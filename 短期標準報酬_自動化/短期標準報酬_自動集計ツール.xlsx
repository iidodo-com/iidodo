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使い方" sheetId="1" state="visible" r:id="rId3"/>
    <sheet name="設定" sheetId="2" state="visible" r:id="rId4"/>
    <sheet name="集計" sheetId="3" state="visible" r:id="rId5"/>
    <sheet name="取得_DBP1BC2" sheetId="4" state="visible" r:id="rId6"/>
    <sheet name="喪失_DBP7C85" sheetId="5" state="visible" r:id="rId7"/>
    <sheet name="定年延長R8_DBP2BB1" sheetId="6" state="visible" r:id="rId8"/>
    <sheet name="定年延長R7_DBP59F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<sst xmlns="http://schemas.openxmlformats.org/spreadsheetml/2006/main" count="9988" uniqueCount="861">
  <si>
    <r>
      <rPr>
        <b val="true"/>
        <sz val="14"/>
        <rFont val="WenQuanYi Zen Hei"/>
        <family val="2"/>
      </rPr>
      <t xml:space="preserve">短期 標準報酬（</t>
    </r>
    <r>
      <rPr>
        <b val="true"/>
        <sz val="14"/>
        <rFont val="Cambria"/>
        <family val="0"/>
        <charset val="1"/>
      </rPr>
      <t xml:space="preserve">R8</t>
    </r>
    <r>
      <rPr>
        <b val="true"/>
        <sz val="14"/>
        <rFont val="WenQuanYi Zen Hei"/>
        <family val="2"/>
      </rPr>
      <t xml:space="preserve">予算）手入力欄の自動集計ツール</t>
    </r>
  </si>
  <si>
    <t xml:space="preserve">■ 何をするか</t>
  </si>
  <si>
    <r>
      <rPr>
        <sz val="11"/>
        <color theme="1"/>
        <rFont val="Calibri"/>
        <family val="2"/>
        <charset val="1"/>
      </rPr>
      <t xml:space="preserve">R8</t>
    </r>
    <r>
      <rPr>
        <sz val="11"/>
        <color theme="1"/>
        <rFont val="WenQuanYi Zen Hei"/>
        <family val="2"/>
      </rPr>
      <t xml:space="preserve">短期シートの「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月定年」「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月普通退」「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月新採」欄は、基幹システム抽出</t>
    </r>
    <r>
      <rPr>
        <sz val="11"/>
        <color theme="1"/>
        <rFont val="Calibri"/>
        <family val="2"/>
        <charset val="1"/>
      </rPr>
      <t xml:space="preserve">(DBP1BC2/DBP7C85/DBP2BB1/DBP59FA)</t>
    </r>
    <r>
      <rPr>
        <sz val="11"/>
        <color theme="1"/>
        <rFont val="WenQuanYi Zen Hei"/>
        <family val="2"/>
      </rPr>
      <t xml:space="preserve">を手作業で分割・貼り付け・手計算して入力していた。</t>
    </r>
  </si>
  <si>
    <r>
      <rPr>
        <sz val="11"/>
        <color theme="1"/>
        <rFont val="WenQuanYi Zen Hei"/>
        <family val="2"/>
      </rPr>
      <t xml:space="preserve">このツールは抽出データをそのまま貼るだけで、同じ数字を数式で出す（区分の判定は各シート右端の</t>
    </r>
    <r>
      <rPr>
        <sz val="11"/>
        <color theme="1"/>
        <rFont val="Calibri"/>
        <family val="2"/>
        <charset val="1"/>
      </rPr>
      <t xml:space="preserve">DB</t>
    </r>
    <r>
      <rPr>
        <sz val="11"/>
        <color theme="1"/>
        <rFont val="WenQuanYi Zen Hei"/>
        <family val="2"/>
      </rPr>
      <t xml:space="preserve">列、集計は「集計」シート）。</t>
    </r>
  </si>
  <si>
    <t xml:space="preserve">■ 毎年の手順</t>
  </si>
  <si>
    <t xml:space="preserve">1</t>
  </si>
  <si>
    <r>
      <rPr>
        <sz val="11"/>
        <color theme="1"/>
        <rFont val="WenQuanYi Zen Hei"/>
        <family val="2"/>
      </rPr>
      <t xml:space="preserve">基幹システムから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つの抽出を取り、各シートの</t>
    </r>
    <r>
      <rPr>
        <sz val="11"/>
        <color theme="1"/>
        <rFont val="Calibri"/>
        <family val="2"/>
        <charset val="1"/>
      </rPr>
      <t xml:space="preserve">A1</t>
    </r>
    <r>
      <rPr>
        <sz val="11"/>
        <color theme="1"/>
        <rFont val="WenQuanYi Zen Hei"/>
        <family val="2"/>
      </rPr>
      <t xml:space="preserve">に全列貼り付ける（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列は空のままでよい。列位置は変えない）。</t>
    </r>
    <r>
      <rPr>
        <sz val="11"/>
        <color theme="1"/>
        <rFont val="Calibri"/>
        <family val="2"/>
        <charset val="1"/>
      </rPr>
      <t xml:space="preserve">DB</t>
    </r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WenQuanYi Zen Hei"/>
        <family val="2"/>
      </rPr>
      <t xml:space="preserve">列の数式は消さない（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WenQuanYi Zen Hei"/>
        <family val="2"/>
      </rPr>
      <t xml:space="preserve">行まで用意済み）。</t>
    </r>
  </si>
  <si>
    <r>
      <rPr>
        <sz val="11"/>
        <color theme="1"/>
        <rFont val="WenQuanYi Zen Hei"/>
        <family val="2"/>
      </rPr>
      <t xml:space="preserve">  取得</t>
    </r>
    <r>
      <rPr>
        <sz val="11"/>
        <color theme="1"/>
        <rFont val="Calibri"/>
        <family val="2"/>
        <charset val="1"/>
      </rPr>
      <t xml:space="preserve">_DBP1BC2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R7.4.1</t>
    </r>
    <r>
      <rPr>
        <sz val="11"/>
        <color theme="1"/>
        <rFont val="WenQuanYi Zen Hei"/>
        <family val="2"/>
      </rPr>
      <t xml:space="preserve">以降の資格取得者／喪失</t>
    </r>
    <r>
      <rPr>
        <sz val="11"/>
        <color theme="1"/>
        <rFont val="Calibri"/>
        <family val="2"/>
        <charset val="1"/>
      </rPr>
      <t xml:space="preserve">_DBP7C85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R7.4.1</t>
    </r>
    <r>
      <rPr>
        <sz val="11"/>
        <color theme="1"/>
        <rFont val="WenQuanYi Zen Hei"/>
        <family val="2"/>
      </rPr>
      <t xml:space="preserve">以降の資格喪失者／定年延長</t>
    </r>
    <r>
      <rPr>
        <sz val="11"/>
        <color theme="1"/>
        <rFont val="Calibri"/>
        <family val="2"/>
        <charset val="1"/>
      </rPr>
      <t xml:space="preserve">R8_DBP2BB1</t>
    </r>
    <r>
      <rPr>
        <sz val="11"/>
        <color theme="1"/>
        <rFont val="WenQuanYi Zen Hei"/>
        <family val="2"/>
      </rPr>
      <t xml:space="preserve">＝来年度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WenQuanYi Zen Hei"/>
        <family val="2"/>
      </rPr>
      <t xml:space="preserve">歳到達者／定年延長</t>
    </r>
    <r>
      <rPr>
        <sz val="11"/>
        <color theme="1"/>
        <rFont val="Calibri"/>
        <family val="2"/>
        <charset val="1"/>
      </rPr>
      <t xml:space="preserve">R7_DBP59FA</t>
    </r>
    <r>
      <rPr>
        <sz val="11"/>
        <color theme="1"/>
        <rFont val="WenQuanYi Zen Hei"/>
        <family val="2"/>
      </rPr>
      <t xml:space="preserve">＝今年度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WenQuanYi Zen Hei"/>
        <family val="2"/>
      </rPr>
      <t xml:space="preserve">歳到達者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延長率の算出用</t>
    </r>
    <r>
      <rPr>
        <sz val="11"/>
        <color theme="1"/>
        <rFont val="Calibri"/>
        <family val="2"/>
        <charset val="1"/>
      </rPr>
      <t xml:space="preserve">)</t>
    </r>
  </si>
  <si>
    <t xml:space="preserve">2</t>
  </si>
  <si>
    <r>
      <rPr>
        <sz val="11"/>
        <color theme="1"/>
        <rFont val="WenQuanYi Zen Hei"/>
        <family val="2"/>
      </rPr>
      <t xml:space="preserve">「設定」シートで基準日</t>
    </r>
    <r>
      <rPr>
        <sz val="11"/>
        <color theme="1"/>
        <rFont val="Calibri"/>
        <family val="2"/>
        <charset val="1"/>
      </rPr>
      <t xml:space="preserve">(20250401)</t>
    </r>
    <r>
      <rPr>
        <sz val="11"/>
        <color theme="1"/>
        <rFont val="WenQuanYi Zen Hei"/>
        <family val="2"/>
      </rPr>
      <t xml:space="preserve">と人事課・病院機構の採用予定人数（黄色）を入力する。</t>
    </r>
  </si>
  <si>
    <t xml:space="preserve">3</t>
  </si>
  <si>
    <t xml:space="preserve">「集計」シートの「自動」列を確認する。「現行」列は今回の最終版の手入力値で、一致すれば判定が「一致」になる。</t>
  </si>
  <si>
    <t xml:space="preserve">4</t>
  </si>
  <si>
    <r>
      <rPr>
        <sz val="11"/>
        <color theme="1"/>
        <rFont val="Calibri"/>
        <family val="2"/>
        <charset val="1"/>
      </rPr>
      <t xml:space="preserve">R8</t>
    </r>
    <r>
      <rPr>
        <sz val="11"/>
        <color theme="1"/>
        <rFont val="WenQuanYi Zen Hei"/>
        <family val="2"/>
      </rPr>
      <t xml:space="preserve">短期へ反映：このツールの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シート（設定・集計・元データ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つ）を </t>
    </r>
    <r>
      <rPr>
        <sz val="11"/>
        <color theme="1"/>
        <rFont val="Calibri"/>
        <family val="2"/>
        <charset val="1"/>
      </rPr>
      <t xml:space="preserve">R8</t>
    </r>
    <r>
      <rPr>
        <sz val="11"/>
        <color theme="1"/>
        <rFont val="WenQuanYi Zen Hei"/>
        <family val="2"/>
      </rPr>
      <t xml:space="preserve">短期のあるブックへ「シートの移動またはコピー」し、下表のセルに数式を入れる。</t>
    </r>
  </si>
  <si>
    <r>
      <rPr>
        <b val="true"/>
        <sz val="11"/>
        <rFont val="Cambria"/>
        <family val="0"/>
        <charset val="1"/>
      </rPr>
      <t xml:space="preserve">■ R8</t>
    </r>
    <r>
      <rPr>
        <b val="true"/>
        <sz val="11"/>
        <rFont val="WenQuanYi Zen Hei"/>
        <family val="2"/>
      </rPr>
      <t xml:space="preserve">短期への反映（下表の式を入力）</t>
    </r>
  </si>
  <si>
    <r>
      <rPr>
        <b val="true"/>
        <sz val="11"/>
        <rFont val="Cambria"/>
        <family val="0"/>
        <charset val="1"/>
      </rPr>
      <t xml:space="preserve">R8</t>
    </r>
    <r>
      <rPr>
        <b val="true"/>
        <sz val="11"/>
        <rFont val="WenQuanYi Zen Hei"/>
        <family val="2"/>
      </rPr>
      <t xml:space="preserve">短期セル</t>
    </r>
  </si>
  <si>
    <t xml:space="preserve">入れる式</t>
  </si>
  <si>
    <t xml:space="preserve">内容</t>
  </si>
  <si>
    <t xml:space="preserve">D26</t>
  </si>
  <si>
    <r>
      <rPr>
        <sz val="11"/>
        <color theme="1"/>
        <rFont val="Calibri"/>
        <family val="2"/>
        <charset val="1"/>
      </rPr>
      <t xml:space="preserve">="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!D5&amp;"</t>
    </r>
    <r>
      <rPr>
        <sz val="11"/>
        <color theme="1"/>
        <rFont val="WenQuanYi Zen Hei"/>
        <family val="2"/>
      </rPr>
      <t xml:space="preserve">人）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</si>
  <si>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WenQuanYi Zen Hei"/>
        <family val="2"/>
      </rPr>
      <t xml:space="preserve">①病院一般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定年延長者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</t>
    </r>
    <r>
      <rPr>
        <sz val="11"/>
        <color theme="1"/>
        <rFont val="Calibri"/>
        <family val="2"/>
        <charset val="1"/>
      </rPr>
      <t xml:space="preserve">(60</t>
    </r>
    <r>
      <rPr>
        <sz val="11"/>
        <color theme="1"/>
        <rFont val="WenQuanYi Zen Hei"/>
        <family val="2"/>
      </rPr>
      <t xml:space="preserve">歳到達者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延長率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（人数表示）</t>
    </r>
  </si>
  <si>
    <t xml:space="preserve">E26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</si>
  <si>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!H5</t>
    </r>
  </si>
  <si>
    <r>
      <rPr>
        <sz val="11"/>
        <color theme="1"/>
        <rFont val="WenQuanYi Zen Hei"/>
        <family val="2"/>
      </rPr>
      <t xml:space="preserve">①病院一般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定年延長者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</t>
    </r>
    <r>
      <rPr>
        <sz val="11"/>
        <color theme="1"/>
        <rFont val="Calibri"/>
        <family val="2"/>
        <charset val="1"/>
      </rPr>
      <t xml:space="preserve">(60</t>
    </r>
    <r>
      <rPr>
        <sz val="11"/>
        <color theme="1"/>
        <rFont val="WenQuanYi Zen Hei"/>
        <family val="2"/>
      </rPr>
      <t xml:space="preserve">歳到達者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延長率</t>
    </r>
    <r>
      <rPr>
        <sz val="11"/>
        <color theme="1"/>
        <rFont val="Calibri"/>
        <family val="2"/>
        <charset val="1"/>
      </rPr>
      <t xml:space="preserve">)</t>
    </r>
  </si>
  <si>
    <t xml:space="preserve">D27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</si>
  <si>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!D6</t>
    </r>
  </si>
  <si>
    <r>
      <rPr>
        <sz val="11"/>
        <color theme="1"/>
        <rFont val="WenQuanYi Zen Hei"/>
        <family val="2"/>
      </rPr>
      <t xml:space="preserve">①病院一般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普通退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資格喪失 基準日</t>
    </r>
    <r>
      <rPr>
        <sz val="11"/>
        <color theme="1"/>
        <rFont val="Calibri"/>
        <family val="2"/>
        <charset val="1"/>
      </rPr>
      <t xml:space="preserve">)</t>
    </r>
  </si>
  <si>
    <t xml:space="preserve">E27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</si>
  <si>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!H6</t>
    </r>
  </si>
  <si>
    <t xml:space="preserve">D28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</si>
  <si>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設定</t>
    </r>
    <r>
      <rPr>
        <sz val="11"/>
        <color theme="1"/>
        <rFont val="Calibri"/>
        <family val="2"/>
        <charset val="1"/>
      </rPr>
      <t xml:space="preserve">!C12</t>
    </r>
  </si>
  <si>
    <r>
      <rPr>
        <sz val="11"/>
        <color theme="1"/>
        <rFont val="WenQuanYi Zen Hei"/>
        <family val="2"/>
      </rPr>
      <t xml:space="preserve">①病院一般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月新採（人数は聴取、報酬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平均）</t>
    </r>
  </si>
  <si>
    <t xml:space="preserve">E28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</si>
  <si>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!H8</t>
    </r>
  </si>
  <si>
    <t xml:space="preserve">N27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</si>
  <si>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!D9</t>
    </r>
  </si>
  <si>
    <r>
      <rPr>
        <sz val="11"/>
        <color theme="1"/>
        <rFont val="WenQuanYi Zen Hei"/>
        <family val="2"/>
      </rPr>
      <t xml:space="preserve">②病院短期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普通退</t>
    </r>
  </si>
  <si>
    <t xml:space="preserve">O27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</si>
  <si>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!H9</t>
    </r>
  </si>
  <si>
    <t xml:space="preserve">N28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</si>
  <si>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!D10</t>
    </r>
  </si>
  <si>
    <r>
      <rPr>
        <sz val="11"/>
        <color theme="1"/>
        <rFont val="WenQuanYi Zen Hei"/>
        <family val="2"/>
      </rPr>
      <t xml:space="preserve">②病院短期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月採用 </t>
    </r>
    <r>
      <rPr>
        <sz val="11"/>
        <color theme="1"/>
        <rFont val="Calibri"/>
        <family val="2"/>
        <charset val="1"/>
      </rPr>
      <t xml:space="preserve">(R7.4</t>
    </r>
    <r>
      <rPr>
        <sz val="11"/>
        <color theme="1"/>
        <rFont val="WenQuanYi Zen Hei"/>
        <family val="2"/>
      </rPr>
      <t xml:space="preserve">実績</t>
    </r>
    <r>
      <rPr>
        <sz val="11"/>
        <color theme="1"/>
        <rFont val="Calibri"/>
        <family val="2"/>
        <charset val="1"/>
      </rPr>
      <t xml:space="preserve">)</t>
    </r>
  </si>
  <si>
    <t xml:space="preserve">O28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</si>
  <si>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!H10</t>
    </r>
  </si>
  <si>
    <t xml:space="preserve">S26</t>
  </si>
  <si>
    <r>
      <rPr>
        <sz val="11"/>
        <color theme="1"/>
        <rFont val="Calibri"/>
        <family val="2"/>
        <charset val="1"/>
      </rPr>
      <t xml:space="preserve">="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!D11&amp;"</t>
    </r>
    <r>
      <rPr>
        <sz val="11"/>
        <color theme="1"/>
        <rFont val="WenQuanYi Zen Hei"/>
        <family val="2"/>
      </rPr>
      <t xml:space="preserve">人）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</si>
  <si>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WenQuanYi Zen Hei"/>
        <family val="2"/>
      </rPr>
      <t xml:space="preserve">③特定消防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定年延長者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割減（人数表示）</t>
    </r>
  </si>
  <si>
    <t xml:space="preserve">T26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</si>
  <si>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!H11</t>
    </r>
  </si>
  <si>
    <r>
      <rPr>
        <sz val="11"/>
        <color theme="1"/>
        <rFont val="WenQuanYi Zen Hei"/>
        <family val="2"/>
      </rPr>
      <t xml:space="preserve">③特定消防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定年延長者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</t>
    </r>
  </si>
  <si>
    <t xml:space="preserve">S27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</si>
  <si>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!D12</t>
    </r>
  </si>
  <si>
    <r>
      <rPr>
        <sz val="11"/>
        <color theme="1"/>
        <rFont val="WenQuanYi Zen Hei"/>
        <family val="2"/>
      </rPr>
      <t xml:space="preserve">③特定消防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普通退</t>
    </r>
  </si>
  <si>
    <t xml:space="preserve">T27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</si>
  <si>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!H12</t>
    </r>
  </si>
  <si>
    <t xml:space="preserve">S28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</si>
  <si>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設定</t>
    </r>
    <r>
      <rPr>
        <sz val="11"/>
        <color theme="1"/>
        <rFont val="Calibri"/>
        <family val="2"/>
        <charset val="1"/>
      </rPr>
      <t xml:space="preserve">!C13</t>
    </r>
  </si>
  <si>
    <r>
      <rPr>
        <sz val="11"/>
        <color theme="1"/>
        <rFont val="WenQuanYi Zen Hei"/>
        <family val="2"/>
      </rPr>
      <t xml:space="preserve">③特定消防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月新採（人数は聴取、報酬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平均）</t>
    </r>
  </si>
  <si>
    <t xml:space="preserve">T28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</si>
  <si>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!H14</t>
    </r>
  </si>
  <si>
    <t xml:space="preserve">D36</t>
  </si>
  <si>
    <r>
      <rPr>
        <sz val="11"/>
        <color theme="1"/>
        <rFont val="Calibri"/>
        <family val="2"/>
        <charset val="1"/>
      </rPr>
      <t xml:space="preserve">="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!D15&amp;"</t>
    </r>
    <r>
      <rPr>
        <sz val="11"/>
        <color theme="1"/>
        <rFont val="WenQuanYi Zen Hei"/>
        <family val="2"/>
      </rPr>
      <t xml:space="preserve">人）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</si>
  <si>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WenQuanYi Zen Hei"/>
        <family val="2"/>
      </rPr>
      <t xml:space="preserve">④一般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専従・病院以外</t>
    </r>
    <r>
      <rPr>
        <sz val="11"/>
        <color theme="1"/>
        <rFont val="Calibri"/>
        <family val="2"/>
        <charset val="1"/>
      </rPr>
      <t xml:space="preserve">) 3</t>
    </r>
    <r>
      <rPr>
        <sz val="11"/>
        <color theme="1"/>
        <rFont val="WenQuanYi Zen Hei"/>
        <family val="2"/>
      </rPr>
      <t xml:space="preserve">月 定年延長者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割減（人数表示）</t>
    </r>
  </si>
  <si>
    <t xml:space="preserve">E36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</si>
  <si>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!H15</t>
    </r>
  </si>
  <si>
    <r>
      <rPr>
        <sz val="11"/>
        <color theme="1"/>
        <rFont val="WenQuanYi Zen Hei"/>
        <family val="2"/>
      </rPr>
      <t xml:space="preserve">④一般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専従・病院以外</t>
    </r>
    <r>
      <rPr>
        <sz val="11"/>
        <color theme="1"/>
        <rFont val="Calibri"/>
        <family val="2"/>
        <charset val="1"/>
      </rPr>
      <t xml:space="preserve">) 3</t>
    </r>
    <r>
      <rPr>
        <sz val="11"/>
        <color theme="1"/>
        <rFont val="WenQuanYi Zen Hei"/>
        <family val="2"/>
      </rPr>
      <t xml:space="preserve">月 定年延長者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</t>
    </r>
  </si>
  <si>
    <t xml:space="preserve">D37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</si>
  <si>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!D16</t>
    </r>
  </si>
  <si>
    <r>
      <rPr>
        <sz val="11"/>
        <color theme="1"/>
        <rFont val="WenQuanYi Zen Hei"/>
        <family val="2"/>
      </rPr>
      <t xml:space="preserve">④一般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専従・病院以外</t>
    </r>
    <r>
      <rPr>
        <sz val="11"/>
        <color theme="1"/>
        <rFont val="Calibri"/>
        <family val="2"/>
        <charset val="1"/>
      </rPr>
      <t xml:space="preserve">) 3</t>
    </r>
    <r>
      <rPr>
        <sz val="11"/>
        <color theme="1"/>
        <rFont val="WenQuanYi Zen Hei"/>
        <family val="2"/>
      </rPr>
      <t xml:space="preserve">月 普通退</t>
    </r>
  </si>
  <si>
    <t xml:space="preserve">E37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</si>
  <si>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!H16</t>
    </r>
  </si>
  <si>
    <t xml:space="preserve">D38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</si>
  <si>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設定</t>
    </r>
    <r>
      <rPr>
        <sz val="11"/>
        <color theme="1"/>
        <rFont val="Calibri"/>
        <family val="2"/>
        <charset val="1"/>
      </rPr>
      <t xml:space="preserve">!C14</t>
    </r>
  </si>
  <si>
    <r>
      <rPr>
        <sz val="11"/>
        <color theme="1"/>
        <rFont val="WenQuanYi Zen Hei"/>
        <family val="2"/>
      </rPr>
      <t xml:space="preserve">④一般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専従・病院以外</t>
    </r>
    <r>
      <rPr>
        <sz val="11"/>
        <color theme="1"/>
        <rFont val="Calibri"/>
        <family val="2"/>
        <charset val="1"/>
      </rPr>
      <t xml:space="preserve">) 4</t>
    </r>
    <r>
      <rPr>
        <sz val="11"/>
        <color theme="1"/>
        <rFont val="WenQuanYi Zen Hei"/>
        <family val="2"/>
      </rPr>
      <t xml:space="preserve">月新採（人数は聴取、報酬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平均）</t>
    </r>
  </si>
  <si>
    <t xml:space="preserve">E38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</si>
  <si>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!H18</t>
    </r>
  </si>
  <si>
    <t xml:space="preserve">N37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</si>
  <si>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!D19</t>
    </r>
  </si>
  <si>
    <r>
      <rPr>
        <sz val="11"/>
        <color theme="1"/>
        <rFont val="WenQuanYi Zen Hei"/>
        <family val="2"/>
      </rPr>
      <t xml:space="preserve">⑤短期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専従・病院以外</t>
    </r>
    <r>
      <rPr>
        <sz val="11"/>
        <color theme="1"/>
        <rFont val="Calibri"/>
        <family val="2"/>
        <charset val="1"/>
      </rPr>
      <t xml:space="preserve">) 3</t>
    </r>
    <r>
      <rPr>
        <sz val="11"/>
        <color theme="1"/>
        <rFont val="WenQuanYi Zen Hei"/>
        <family val="2"/>
      </rPr>
      <t xml:space="preserve">月 普通退</t>
    </r>
  </si>
  <si>
    <t xml:space="preserve">O37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</si>
  <si>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!H19</t>
    </r>
  </si>
  <si>
    <t xml:space="preserve">N38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</si>
  <si>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!D20</t>
    </r>
  </si>
  <si>
    <r>
      <rPr>
        <sz val="11"/>
        <color theme="1"/>
        <rFont val="WenQuanYi Zen Hei"/>
        <family val="2"/>
      </rPr>
      <t xml:space="preserve">⑤短期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専従・病院以外</t>
    </r>
    <r>
      <rPr>
        <sz val="11"/>
        <color theme="1"/>
        <rFont val="Calibri"/>
        <family val="2"/>
        <charset val="1"/>
      </rPr>
      <t xml:space="preserve">) 4</t>
    </r>
    <r>
      <rPr>
        <sz val="11"/>
        <color theme="1"/>
        <rFont val="WenQuanYi Zen Hei"/>
        <family val="2"/>
      </rPr>
      <t xml:space="preserve">月採用 </t>
    </r>
    <r>
      <rPr>
        <sz val="11"/>
        <color theme="1"/>
        <rFont val="Calibri"/>
        <family val="2"/>
        <charset val="1"/>
      </rPr>
      <t xml:space="preserve">(R7.4</t>
    </r>
    <r>
      <rPr>
        <sz val="11"/>
        <color theme="1"/>
        <rFont val="WenQuanYi Zen Hei"/>
        <family val="2"/>
      </rPr>
      <t xml:space="preserve">実績</t>
    </r>
    <r>
      <rPr>
        <sz val="11"/>
        <color theme="1"/>
        <rFont val="Calibri"/>
        <family val="2"/>
        <charset val="1"/>
      </rPr>
      <t xml:space="preserve">)</t>
    </r>
  </si>
  <si>
    <t xml:space="preserve">O38</t>
  </si>
  <si>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集計</t>
    </r>
    <r>
      <rPr>
        <sz val="11"/>
        <color theme="1"/>
        <rFont val="Calibri"/>
        <family val="2"/>
        <charset val="1"/>
      </rPr>
      <t xml:space="preserve">!H20</t>
    </r>
  </si>
  <si>
    <t xml:space="preserve">■ 検証でわかったこと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</si>
  <si>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WenQuanYi Zen Hei"/>
        <family val="2"/>
      </rPr>
      <t xml:space="preserve">手入力欄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項目（人数・標準報酬・平均）はすべて元データから再現でき、全件一致（集計シートの判定）。</t>
    </r>
  </si>
  <si>
    <r>
      <rPr>
        <sz val="11"/>
        <color theme="1"/>
        <rFont val="Calibri"/>
        <family val="2"/>
        <charset val="1"/>
      </rPr>
      <t xml:space="preserve">2. ④</t>
    </r>
    <r>
      <rPr>
        <sz val="11"/>
        <color theme="1"/>
        <rFont val="WenQuanYi Zen Hei"/>
        <family val="2"/>
      </rPr>
      <t xml:space="preserve">一般の「</t>
    </r>
    <r>
      <rPr>
        <sz val="11"/>
        <color theme="1"/>
        <rFont val="Calibri"/>
        <family val="2"/>
        <charset val="1"/>
      </rPr>
      <t xml:space="preserve">R7.4</t>
    </r>
    <r>
      <rPr>
        <sz val="11"/>
        <color theme="1"/>
        <rFont val="WenQuanYi Zen Hei"/>
        <family val="2"/>
      </rPr>
      <t xml:space="preserve">採用平均標準報酬 </t>
    </r>
    <r>
      <rPr>
        <sz val="11"/>
        <color theme="1"/>
        <rFont val="Calibri"/>
        <family val="2"/>
        <charset val="1"/>
      </rPr>
      <t xml:space="preserve">303,278</t>
    </r>
    <r>
      <rPr>
        <sz val="11"/>
        <color theme="1"/>
        <rFont val="WenQuanYi Zen Hei"/>
        <family val="2"/>
      </rPr>
      <t xml:space="preserve">円」だけ、</t>
    </r>
    <r>
      <rPr>
        <sz val="11"/>
        <color theme="1"/>
        <rFont val="Calibri"/>
        <family val="2"/>
        <charset val="1"/>
      </rPr>
      <t xml:space="preserve">4/1</t>
    </r>
    <r>
      <rPr>
        <sz val="11"/>
        <color theme="1"/>
        <rFont val="WenQuanYi Zen Hei"/>
        <family val="2"/>
      </rPr>
      <t xml:space="preserve">取得者ではなく</t>
    </r>
    <r>
      <rPr>
        <sz val="11"/>
        <color theme="1"/>
        <rFont val="Calibri"/>
        <family val="2"/>
        <charset val="1"/>
      </rPr>
      <t xml:space="preserve">10/22</t>
    </r>
    <r>
      <rPr>
        <sz val="11"/>
        <color theme="1"/>
        <rFont val="WenQuanYi Zen Hei"/>
        <family val="2"/>
      </rPr>
      <t xml:space="preserve">抽出時点までの全取得者</t>
    </r>
    <r>
      <rPr>
        <sz val="11"/>
        <color theme="1"/>
        <rFont val="Calibri"/>
        <family val="2"/>
        <charset val="1"/>
      </rPr>
      <t xml:space="preserve">(418</t>
    </r>
    <r>
      <rPr>
        <sz val="11"/>
        <color theme="1"/>
        <rFont val="WenQuanYi Zen 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で計算されている。</t>
    </r>
    <r>
      <rPr>
        <sz val="11"/>
        <color theme="1"/>
        <rFont val="Calibri"/>
        <family val="2"/>
        <charset val="1"/>
      </rPr>
      <t xml:space="preserve">4/1</t>
    </r>
    <r>
      <rPr>
        <sz val="11"/>
        <color theme="1"/>
        <rFont val="WenQuanYi Zen Hei"/>
        <family val="2"/>
      </rPr>
      <t xml:space="preserve">取得者</t>
    </r>
    <r>
      <rPr>
        <sz val="11"/>
        <color theme="1"/>
        <rFont val="Calibri"/>
        <family val="2"/>
        <charset val="1"/>
      </rPr>
      <t xml:space="preserve">(409</t>
    </r>
    <r>
      <rPr>
        <sz val="11"/>
        <color theme="1"/>
        <rFont val="WenQuanYi Zen 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なら</t>
    </r>
    <r>
      <rPr>
        <sz val="11"/>
        <color theme="1"/>
        <rFont val="Calibri"/>
        <family val="2"/>
        <charset val="1"/>
      </rPr>
      <t xml:space="preserve">302,152</t>
    </r>
    <r>
      <rPr>
        <sz val="11"/>
        <color theme="1"/>
        <rFont val="WenQuanYi Zen Hei"/>
        <family val="2"/>
      </rPr>
      <t xml:space="preserve">円。①③は</t>
    </r>
    <r>
      <rPr>
        <sz val="11"/>
        <color theme="1"/>
        <rFont val="Calibri"/>
        <family val="2"/>
        <charset val="1"/>
      </rPr>
      <t xml:space="preserve">4/1</t>
    </r>
    <r>
      <rPr>
        <sz val="11"/>
        <color theme="1"/>
        <rFont val="WenQuanYi Zen Hei"/>
        <family val="2"/>
      </rPr>
      <t xml:space="preserve">取得者のみ。→設定</t>
    </r>
    <r>
      <rPr>
        <sz val="11"/>
        <color theme="1"/>
        <rFont val="Calibri"/>
        <family val="2"/>
        <charset val="1"/>
      </rPr>
      <t xml:space="preserve">C9</t>
    </r>
    <r>
      <rPr>
        <sz val="11"/>
        <color theme="1"/>
        <rFont val="WenQuanYi Zen Hei"/>
        <family val="2"/>
      </rPr>
      <t xml:space="preserve">で切替可（現行再現</t>
    </r>
    <r>
      <rPr>
        <sz val="11"/>
        <color theme="1"/>
        <rFont val="Calibri"/>
        <family val="2"/>
        <charset val="1"/>
      </rPr>
      <t xml:space="preserve">=2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WenQuanYi Zen 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差</t>
    </r>
    <r>
      <rPr>
        <sz val="11"/>
        <color theme="1"/>
        <rFont val="Calibri"/>
        <family val="2"/>
        <charset val="1"/>
      </rPr>
      <t xml:space="preserve">1,126</t>
    </r>
    <r>
      <rPr>
        <sz val="11"/>
        <color theme="1"/>
        <rFont val="WenQuanYi Zen Hei"/>
        <family val="2"/>
      </rPr>
      <t xml:space="preserve">円＝月額</t>
    </r>
    <r>
      <rPr>
        <sz val="11"/>
        <color theme="1"/>
        <rFont val="Calibri"/>
        <family val="2"/>
        <charset val="1"/>
      </rPr>
      <t xml:space="preserve">362,572</t>
    </r>
    <r>
      <rPr>
        <sz val="11"/>
        <color theme="1"/>
        <rFont val="WenQuanYi Zen Hei"/>
        <family val="2"/>
      </rPr>
      <t xml:space="preserve">円の差。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</si>
  <si>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WenQuanYi Zen Hei"/>
        <family val="2"/>
      </rPr>
      <t xml:space="preserve">定年延長者の「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割減」は 合計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延長率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=33.3%</t>
    </r>
    <r>
      <rPr>
        <sz val="11"/>
        <color theme="1"/>
        <rFont val="WenQuanYi Zen Hei"/>
        <family val="2"/>
      </rPr>
      <t xml:space="preserve">）で計算されている。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割給与の差額は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なので、理論値は</t>
    </r>
    <r>
      <rPr>
        <sz val="11"/>
        <color theme="1"/>
        <rFont val="Calibri"/>
        <family val="2"/>
        <charset val="1"/>
      </rPr>
      <t xml:space="preserve">×0.3</t>
    </r>
    <r>
      <rPr>
        <sz val="11"/>
        <color theme="1"/>
        <rFont val="WenQuanYi Zen Hei"/>
        <family val="2"/>
      </rPr>
      <t xml:space="preserve">。→設定</t>
    </r>
    <r>
      <rPr>
        <sz val="11"/>
        <color theme="1"/>
        <rFont val="Calibri"/>
        <family val="2"/>
        <charset val="1"/>
      </rPr>
      <t xml:space="preserve">C8</t>
    </r>
    <r>
      <rPr>
        <sz val="11"/>
        <color theme="1"/>
        <rFont val="WenQuanYi Zen Hei"/>
        <family val="2"/>
      </rPr>
      <t xml:space="preserve">で切替可（現行</t>
    </r>
    <r>
      <rPr>
        <sz val="11"/>
        <color theme="1"/>
        <rFont val="Calibri"/>
        <family val="2"/>
        <charset val="1"/>
      </rPr>
      <t xml:space="preserve">=1/3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欄の合計で月額 約</t>
    </r>
    <r>
      <rPr>
        <sz val="11"/>
        <color theme="1"/>
        <rFont val="Calibri"/>
        <family val="2"/>
        <charset val="1"/>
      </rPr>
      <t xml:space="preserve">3,337</t>
    </r>
    <r>
      <rPr>
        <sz val="11"/>
        <color theme="1"/>
        <rFont val="WenQuanYi Zen Hei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(÷3)</t>
    </r>
    <r>
      <rPr>
        <sz val="11"/>
        <color theme="1"/>
        <rFont val="WenQuanYi Zen Hei"/>
        <family val="2"/>
      </rPr>
      <t xml:space="preserve">／約</t>
    </r>
    <r>
      <rPr>
        <sz val="11"/>
        <color theme="1"/>
        <rFont val="Calibri"/>
        <family val="2"/>
        <charset val="1"/>
      </rPr>
      <t xml:space="preserve">3,003</t>
    </r>
    <r>
      <rPr>
        <sz val="11"/>
        <color theme="1"/>
        <rFont val="WenQuanYi Zen Hei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(×0.3)</t>
    </r>
    <r>
      <rPr>
        <sz val="11"/>
        <color theme="1"/>
        <rFont val="WenQuanYi Zen Hei"/>
        <family val="2"/>
      </rPr>
      <t xml:space="preserve">＝差 約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WenQuanYi Zen Hei"/>
        <family val="2"/>
      </rPr>
      <t xml:space="preserve">万円。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</si>
  <si>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WenQuanYi Zen Hei"/>
        <family val="2"/>
      </rPr>
      <t xml:space="preserve">延長率</t>
    </r>
    <r>
      <rPr>
        <sz val="11"/>
        <color theme="1"/>
        <rFont val="Calibri"/>
        <family val="2"/>
        <charset val="1"/>
      </rPr>
      <t xml:space="preserve">0.66</t>
    </r>
    <r>
      <rPr>
        <sz val="11"/>
        <color theme="1"/>
        <rFont val="WenQuanYi Zen Hei"/>
        <family val="2"/>
      </rPr>
      <t xml:space="preserve">は各シートに直接入力。前年度データから算出すると</t>
    </r>
    <r>
      <rPr>
        <sz val="11"/>
        <color theme="1"/>
        <rFont val="Calibri"/>
        <family val="2"/>
        <charset val="1"/>
      </rPr>
      <t xml:space="preserve">171/(171+87)=0.663</t>
    </r>
    <r>
      <rPr>
        <sz val="11"/>
        <color theme="1"/>
        <rFont val="WenQuanYi Zen Hei"/>
        <family val="2"/>
      </rPr>
      <t xml:space="preserve">で、四捨五入すると同じ</t>
    </r>
    <r>
      <rPr>
        <sz val="11"/>
        <color theme="1"/>
        <rFont val="Calibri"/>
        <family val="2"/>
        <charset val="1"/>
      </rPr>
      <t xml:space="preserve">0.66</t>
    </r>
    <r>
      <rPr>
        <sz val="11"/>
        <color theme="1"/>
        <rFont val="WenQuanYi Zen Hei"/>
        <family val="2"/>
      </rPr>
      <t xml:space="preserve">。→設定</t>
    </r>
    <r>
      <rPr>
        <sz val="11"/>
        <color theme="1"/>
        <rFont val="Calibri"/>
        <family val="2"/>
        <charset val="1"/>
      </rPr>
      <t xml:space="preserve">C5</t>
    </r>
    <r>
      <rPr>
        <sz val="11"/>
        <color theme="1"/>
        <rFont val="WenQuanYi Zen Hei"/>
        <family val="2"/>
      </rPr>
      <t xml:space="preserve">で自動化。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</si>
  <si>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WenQuanYi Zen 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162(</t>
    </r>
    <r>
      <rPr>
        <sz val="11"/>
        <color theme="1"/>
        <rFont val="WenQuanYi Zen Hei"/>
        <family val="2"/>
      </rPr>
      <t xml:space="preserve">病院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38(</t>
    </r>
    <r>
      <rPr>
        <sz val="11"/>
        <color theme="1"/>
        <rFont val="WenQuanYi Zen Hei"/>
        <family val="2"/>
      </rPr>
      <t xml:space="preserve">消防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322(</t>
    </r>
    <r>
      <rPr>
        <sz val="11"/>
        <color theme="1"/>
        <rFont val="WenQuanYi Zen Hei"/>
        <family val="2"/>
      </rPr>
      <t xml:space="preserve">一般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は聴取値のためデータ化できない。入力欄を設定に集約。</t>
    </r>
  </si>
  <si>
    <r>
      <rPr>
        <sz val="11"/>
        <color theme="1"/>
        <rFont val="Calibri"/>
        <family val="2"/>
        <charset val="1"/>
      </rPr>
      <t xml:space="preserve">6. R7</t>
    </r>
    <r>
      <rPr>
        <sz val="11"/>
        <color theme="1"/>
        <rFont val="WenQuanYi Zen Hei"/>
        <family val="2"/>
      </rPr>
      <t xml:space="preserve">短期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WenQuanYi Zen Hei"/>
        <family val="2"/>
      </rPr>
      <t xml:space="preserve">行（随時改定・中途採用・脱退）は月例報告総括表の集計で、基幹データとは出所が異なる。病院一般の脱退は</t>
    </r>
    <r>
      <rPr>
        <sz val="11"/>
        <color theme="1"/>
        <rFont val="Calibri"/>
        <family val="2"/>
        <charset val="1"/>
      </rPr>
      <t xml:space="preserve">DBP7C85</t>
    </r>
    <r>
      <rPr>
        <sz val="11"/>
        <color theme="1"/>
        <rFont val="WenQuanYi Zen Hei"/>
        <family val="2"/>
      </rPr>
      <t xml:space="preserve">の月別と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月すべて一致するが、他区分は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WenQuanYi Zen Hei"/>
        <family val="2"/>
      </rPr>
      <t xml:space="preserve">数名ずれる。今回は自動化対象外。</t>
    </r>
  </si>
  <si>
    <r>
      <rPr>
        <sz val="11"/>
        <color theme="1"/>
        <rFont val="WenQuanYi Zen Hei"/>
        <family val="2"/>
      </rPr>
      <t xml:space="preserve">※ このファイルの元データシートは個人情報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氏名・住所・生年月日・職員番号等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を除き、集計に使う列</t>
    </r>
    <r>
      <rPr>
        <sz val="11"/>
        <color theme="1"/>
        <rFont val="Calibri"/>
        <family val="2"/>
        <charset val="1"/>
      </rPr>
      <t xml:space="preserve">(A,AA,AB,AD,AE,AH,AJ,AP)</t>
    </r>
    <r>
      <rPr>
        <sz val="11"/>
        <color theme="1"/>
        <rFont val="WenQuanYi Zen Hei"/>
        <family val="2"/>
      </rPr>
      <t xml:space="preserve">のみ入れてある。実運用では抽出データ全列を貼り付ける。</t>
    </r>
  </si>
  <si>
    <t xml:space="preserve">設定（黄色セルだけ入力）</t>
  </si>
  <si>
    <t xml:space="preserve">基準日（資格取得日・資格喪失日）</t>
  </si>
  <si>
    <t xml:space="preserve">20250401</t>
  </si>
  <si>
    <r>
      <rPr>
        <sz val="11"/>
        <color theme="1"/>
        <rFont val="WenQuanYi Zen Hei"/>
        <family val="2"/>
      </rPr>
      <t xml:space="preserve">文字列で入力。</t>
    </r>
    <r>
      <rPr>
        <sz val="11"/>
        <color theme="1"/>
        <rFont val="Calibri"/>
        <family val="2"/>
        <charset val="1"/>
      </rPr>
      <t xml:space="preserve">R8</t>
    </r>
    <r>
      <rPr>
        <sz val="11"/>
        <color theme="1"/>
        <rFont val="WenQuanYi Zen Hei"/>
        <family val="2"/>
      </rPr>
      <t xml:space="preserve">予算なら「</t>
    </r>
    <r>
      <rPr>
        <sz val="11"/>
        <color theme="1"/>
        <rFont val="Calibri"/>
        <family val="2"/>
        <charset val="1"/>
      </rPr>
      <t xml:space="preserve">R7.4.1</t>
    </r>
    <r>
      <rPr>
        <sz val="11"/>
        <color theme="1"/>
        <rFont val="WenQuanYi Zen Hei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20250401</t>
    </r>
    <r>
      <rPr>
        <sz val="11"/>
        <color theme="1"/>
        <rFont val="WenQuanYi Zen Hei"/>
        <family val="2"/>
      </rPr>
      <t xml:space="preserve">。喪失日がこの日の者＝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月末退職者</t>
    </r>
  </si>
  <si>
    <t xml:space="preserve">定年延長率（自動）</t>
  </si>
  <si>
    <r>
      <rPr>
        <sz val="11"/>
        <color theme="1"/>
        <rFont val="WenQuanYi Zen Hei"/>
        <family val="2"/>
      </rPr>
      <t xml:space="preserve">前年度（</t>
    </r>
    <r>
      <rPr>
        <sz val="11"/>
        <color theme="1"/>
        <rFont val="Calibri"/>
        <family val="2"/>
        <charset val="1"/>
      </rPr>
      <t xml:space="preserve">R6</t>
    </r>
    <r>
      <rPr>
        <sz val="11"/>
        <color theme="1"/>
        <rFont val="WenQuanYi Zen Hei"/>
        <family val="2"/>
      </rPr>
      <t xml:space="preserve">年度末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WenQuanYi Zen Hei"/>
        <family val="2"/>
      </rPr>
      <t xml:space="preserve">歳到達者）のうち、</t>
    </r>
    <r>
      <rPr>
        <sz val="11"/>
        <color theme="1"/>
        <rFont val="Calibri"/>
        <family val="2"/>
        <charset val="1"/>
      </rPr>
      <t xml:space="preserve">4/1</t>
    </r>
    <r>
      <rPr>
        <sz val="11"/>
        <color theme="1"/>
        <rFont val="WenQuanYi Zen Hei"/>
        <family val="2"/>
      </rPr>
      <t xml:space="preserve">に資格喪失せず在職している者の割合。現行は</t>
    </r>
    <r>
      <rPr>
        <sz val="11"/>
        <color theme="1"/>
        <rFont val="Calibri"/>
        <family val="2"/>
        <charset val="1"/>
      </rPr>
      <t xml:space="preserve">0.66</t>
    </r>
    <r>
      <rPr>
        <sz val="11"/>
        <color theme="1"/>
        <rFont val="WenQuanYi Zen Hei"/>
        <family val="2"/>
      </rPr>
      <t xml:space="preserve">を手入力</t>
    </r>
  </si>
  <si>
    <t xml:space="preserve">定年延長率（手入力で上書きする場合のみ）</t>
  </si>
  <si>
    <t xml:space="preserve">空欄なら自動値を使用</t>
  </si>
  <si>
    <t xml:space="preserve">使用する定年延長率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</si>
  <si>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WenQuanYi Zen Hei"/>
        <family val="2"/>
      </rPr>
      <t xml:space="preserve">歳到達者の給与減額係数</t>
    </r>
  </si>
  <si>
    <r>
      <rPr>
        <sz val="11"/>
        <color theme="1"/>
        <rFont val="WenQuanYi Zen Hei"/>
        <family val="2"/>
      </rPr>
      <t xml:space="preserve">現行は「合計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延長率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WenQuanYi Zen Hei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割給与＝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割減なら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WenQuanYi Zen Hei"/>
        <family val="2"/>
      </rPr>
      <t xml:space="preserve">が理論値（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WenQuanYi Zen Hei"/>
        <family val="2"/>
      </rPr>
      <t xml:space="preserve">にすると減額が約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割小さくなる）。現行再現は </t>
    </r>
    <r>
      <rPr>
        <sz val="11"/>
        <color theme="1"/>
        <rFont val="Calibri"/>
        <family val="2"/>
        <charset val="1"/>
      </rPr>
      <t xml:space="preserve">=1/3</t>
    </r>
  </si>
  <si>
    <t xml:space="preserve">④一般の平均標準報酬の対象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</si>
  <si>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＝基準日（</t>
    </r>
    <r>
      <rPr>
        <sz val="11"/>
        <color theme="1"/>
        <rFont val="Calibri"/>
        <family val="2"/>
        <charset val="1"/>
      </rPr>
      <t xml:space="preserve">4/1</t>
    </r>
    <r>
      <rPr>
        <sz val="11"/>
        <color theme="1"/>
        <rFont val="WenQuanYi Zen Hei"/>
        <family val="2"/>
      </rPr>
      <t xml:space="preserve">）取得者のみ（①③は現行もこの方式）／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＝全期間の取得者（現行の</t>
    </r>
    <r>
      <rPr>
        <sz val="11"/>
        <color theme="1"/>
        <rFont val="Calibri"/>
        <family val="2"/>
        <charset val="1"/>
      </rPr>
      <t xml:space="preserve">303,278</t>
    </r>
    <r>
      <rPr>
        <sz val="11"/>
        <color theme="1"/>
        <rFont val="WenQuanYi Zen Hei"/>
        <family val="2"/>
      </rPr>
      <t xml:space="preserve">円はこちら）</t>
    </r>
  </si>
  <si>
    <r>
      <rPr>
        <b val="true"/>
        <sz val="11"/>
        <rFont val="WenQuanYi Zen Hei"/>
        <family val="2"/>
      </rPr>
      <t xml:space="preserve">人事課・病院等からの聴取人数（</t>
    </r>
    <r>
      <rPr>
        <b val="true"/>
        <sz val="11"/>
        <rFont val="Cambria"/>
        <family val="0"/>
        <charset val="1"/>
      </rPr>
      <t xml:space="preserve">R8.4</t>
    </r>
    <r>
      <rPr>
        <b val="true"/>
        <sz val="11"/>
        <rFont val="WenQuanYi Zen Hei"/>
        <family val="2"/>
      </rPr>
      <t xml:space="preserve">採用予定）</t>
    </r>
  </si>
  <si>
    <r>
      <rPr>
        <sz val="11"/>
        <color theme="1"/>
        <rFont val="WenQuanYi Zen Hei"/>
        <family val="2"/>
      </rPr>
      <t xml:space="preserve">①病院機構 一般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月新採</t>
    </r>
  </si>
  <si>
    <t xml:space="preserve">市予算要求時に病院機構から聴取</t>
  </si>
  <si>
    <r>
      <rPr>
        <sz val="11"/>
        <color theme="1"/>
        <rFont val="WenQuanYi Zen Hei"/>
        <family val="2"/>
      </rPr>
      <t xml:space="preserve">③特定消防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月新採</t>
    </r>
  </si>
  <si>
    <t xml:space="preserve">人事課予定数</t>
  </si>
  <si>
    <r>
      <rPr>
        <sz val="11"/>
        <color theme="1"/>
        <rFont val="WenQuanYi Zen Hei"/>
        <family val="2"/>
      </rPr>
      <t xml:space="preserve">④専従・病院以外の一般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月新採</t>
    </r>
  </si>
  <si>
    <t xml:space="preserve">人事課採用予定数</t>
  </si>
  <si>
    <r>
      <rPr>
        <b val="true"/>
        <sz val="11"/>
        <rFont val="WenQuanYi Zen Hei"/>
        <family val="2"/>
      </rPr>
      <t xml:space="preserve">区分の判定ルール（各シートの</t>
    </r>
    <r>
      <rPr>
        <b val="true"/>
        <sz val="11"/>
        <rFont val="Cambria"/>
        <family val="0"/>
        <charset val="1"/>
      </rPr>
      <t xml:space="preserve">DB</t>
    </r>
    <r>
      <rPr>
        <b val="true"/>
        <sz val="11"/>
        <rFont val="WenQuanYi Zen Hei"/>
        <family val="2"/>
      </rPr>
      <t xml:space="preserve">列に数式あり。点検用）</t>
    </r>
  </si>
  <si>
    <t xml:space="preserve">取得 ①</t>
  </si>
  <si>
    <r>
      <rPr>
        <sz val="11"/>
        <color theme="1"/>
        <rFont val="WenQuanYi Zen Hei"/>
        <family val="2"/>
      </rPr>
      <t xml:space="preserve">所属</t>
    </r>
    <r>
      <rPr>
        <sz val="11"/>
        <color theme="1"/>
        <rFont val="Calibri"/>
        <family val="2"/>
        <charset val="1"/>
      </rPr>
      <t xml:space="preserve">(AH)=20 </t>
    </r>
    <r>
      <rPr>
        <sz val="11"/>
        <color theme="1"/>
        <rFont val="WenQuanYi Zen Hei"/>
        <family val="2"/>
      </rPr>
      <t xml:space="preserve">かつ 組合員種別</t>
    </r>
    <r>
      <rPr>
        <sz val="11"/>
        <color theme="1"/>
        <rFont val="Calibri"/>
        <family val="2"/>
        <charset val="1"/>
      </rPr>
      <t xml:space="preserve">(A)=21or215 </t>
    </r>
    <r>
      <rPr>
        <sz val="11"/>
        <color theme="1"/>
        <rFont val="WenQuanYi Zen Hei"/>
        <family val="2"/>
      </rPr>
      <t xml:space="preserve">かつ 職員種別</t>
    </r>
    <r>
      <rPr>
        <sz val="11"/>
        <color theme="1"/>
        <rFont val="Calibri"/>
        <family val="2"/>
        <charset val="1"/>
      </rPr>
      <t xml:space="preserve">(AJ)=10</t>
    </r>
  </si>
  <si>
    <t xml:space="preserve">取得 ②</t>
  </si>
  <si>
    <r>
      <rPr>
        <sz val="11"/>
        <color theme="1"/>
        <rFont val="Calibri"/>
        <family val="2"/>
        <charset val="1"/>
      </rPr>
      <t xml:space="preserve">AH=20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A=31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AJ=41</t>
    </r>
  </si>
  <si>
    <t xml:space="preserve">取得 ③</t>
  </si>
  <si>
    <r>
      <rPr>
        <sz val="11"/>
        <color theme="1"/>
        <rFont val="Calibri"/>
        <family val="2"/>
        <charset val="1"/>
      </rPr>
      <t xml:space="preserve">AJ=30</t>
    </r>
    <r>
      <rPr>
        <sz val="11"/>
        <color theme="1"/>
        <rFont val="WenQuanYi Zen Hei"/>
        <family val="2"/>
      </rPr>
      <t xml:space="preserve">（特定消防）</t>
    </r>
  </si>
  <si>
    <t xml:space="preserve">取得 ④</t>
  </si>
  <si>
    <r>
      <rPr>
        <sz val="11"/>
        <color theme="1"/>
        <rFont val="Calibri"/>
        <family val="2"/>
        <charset val="1"/>
      </rPr>
      <t xml:space="preserve">AH≠20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A=21or215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AJ=10</t>
    </r>
    <r>
      <rPr>
        <sz val="11"/>
        <color theme="1"/>
        <rFont val="WenQuanYi Zen Hei"/>
        <family val="2"/>
      </rPr>
      <t xml:space="preserve">（③以外）</t>
    </r>
  </si>
  <si>
    <t xml:space="preserve">取得 ⑤</t>
  </si>
  <si>
    <r>
      <rPr>
        <sz val="11"/>
        <color theme="1"/>
        <rFont val="Calibri"/>
        <family val="2"/>
        <charset val="1"/>
      </rPr>
      <t xml:space="preserve">AH≠20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A=31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AJ=41</t>
    </r>
  </si>
  <si>
    <t xml:space="preserve">喪失 ①</t>
  </si>
  <si>
    <r>
      <rPr>
        <sz val="11"/>
        <color theme="1"/>
        <rFont val="WenQuanYi Zen Hei"/>
        <family val="2"/>
      </rPr>
      <t xml:space="preserve">喪失日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基準日 かつ </t>
    </r>
    <r>
      <rPr>
        <sz val="11"/>
        <color theme="1"/>
        <rFont val="Calibri"/>
        <family val="2"/>
        <charset val="1"/>
      </rPr>
      <t xml:space="preserve">AH=20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AJ=10/11/18</t>
    </r>
  </si>
  <si>
    <t xml:space="preserve">喪失 ②</t>
  </si>
  <si>
    <r>
      <rPr>
        <sz val="11"/>
        <color theme="1"/>
        <rFont val="WenQuanYi Zen Hei"/>
        <family val="2"/>
      </rPr>
      <t xml:space="preserve">喪失日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基準日 かつ </t>
    </r>
    <r>
      <rPr>
        <sz val="11"/>
        <color theme="1"/>
        <rFont val="Calibri"/>
        <family val="2"/>
        <charset val="1"/>
      </rPr>
      <t xml:space="preserve">AH=20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AJ=41</t>
    </r>
  </si>
  <si>
    <t xml:space="preserve">喪失 ③</t>
  </si>
  <si>
    <r>
      <rPr>
        <sz val="11"/>
        <color theme="1"/>
        <rFont val="WenQuanYi Zen Hei"/>
        <family val="2"/>
      </rPr>
      <t xml:space="preserve">喪失日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基準日 かつ </t>
    </r>
    <r>
      <rPr>
        <sz val="11"/>
        <color theme="1"/>
        <rFont val="Calibri"/>
        <family val="2"/>
        <charset val="1"/>
      </rPr>
      <t xml:space="preserve">AH=5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AJ=30</t>
    </r>
  </si>
  <si>
    <t xml:space="preserve">喪失 ④</t>
  </si>
  <si>
    <r>
      <rPr>
        <sz val="11"/>
        <color theme="1"/>
        <rFont val="WenQuanYi Zen Hei"/>
        <family val="2"/>
      </rPr>
      <t xml:space="preserve">喪失日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基準日 かつ </t>
    </r>
    <r>
      <rPr>
        <sz val="11"/>
        <color theme="1"/>
        <rFont val="Calibri"/>
        <family val="2"/>
        <charset val="1"/>
      </rPr>
      <t xml:space="preserve">AH≠20,5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AJ=10/11/74</t>
    </r>
  </si>
  <si>
    <t xml:space="preserve">喪失 ⑤</t>
  </si>
  <si>
    <r>
      <rPr>
        <sz val="11"/>
        <color theme="1"/>
        <rFont val="WenQuanYi Zen Hei"/>
        <family val="2"/>
      </rPr>
      <t xml:space="preserve">喪失日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基準日 かつ </t>
    </r>
    <r>
      <rPr>
        <sz val="11"/>
        <color theme="1"/>
        <rFont val="Calibri"/>
        <family val="2"/>
        <charset val="1"/>
      </rPr>
      <t xml:space="preserve">AH≠20,5 </t>
    </r>
    <r>
      <rPr>
        <sz val="11"/>
        <color theme="1"/>
        <rFont val="WenQuanYi Zen Hei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AJ=41/47</t>
    </r>
  </si>
  <si>
    <r>
      <rPr>
        <sz val="11"/>
        <color theme="1"/>
        <rFont val="WenQuanYi Zen Hei"/>
        <family val="2"/>
      </rPr>
      <t xml:space="preserve">定年延長</t>
    </r>
    <r>
      <rPr>
        <sz val="11"/>
        <color theme="1"/>
        <rFont val="Calibri"/>
        <family val="2"/>
        <charset val="1"/>
      </rPr>
      <t xml:space="preserve">R8</t>
    </r>
  </si>
  <si>
    <r>
      <rPr>
        <sz val="11"/>
        <color theme="1"/>
        <rFont val="Calibri"/>
        <family val="2"/>
        <charset val="1"/>
      </rPr>
      <t xml:space="preserve">A=21 </t>
    </r>
    <r>
      <rPr>
        <sz val="11"/>
        <color theme="1"/>
        <rFont val="WenQuanYi Zen Hei"/>
        <family val="2"/>
      </rPr>
      <t xml:space="preserve">かつ 喪失日</t>
    </r>
    <r>
      <rPr>
        <sz val="11"/>
        <color theme="1"/>
        <rFont val="Calibri"/>
        <family val="2"/>
        <charset val="1"/>
      </rPr>
      <t xml:space="preserve">=00000000</t>
    </r>
    <r>
      <rPr>
        <sz val="11"/>
        <color theme="1"/>
        <rFont val="WenQuanYi Zen Hei"/>
        <family val="2"/>
      </rPr>
      <t xml:space="preserve">（在職）を所属</t>
    </r>
    <r>
      <rPr>
        <sz val="11"/>
        <color theme="1"/>
        <rFont val="Calibri"/>
        <family val="2"/>
        <charset val="1"/>
      </rPr>
      <t xml:space="preserve">(AH)</t>
    </r>
    <r>
      <rPr>
        <sz val="11"/>
        <color theme="1"/>
        <rFont val="WenQuanYi Zen Hei"/>
        <family val="2"/>
      </rPr>
      <t xml:space="preserve">で 病院</t>
    </r>
    <r>
      <rPr>
        <sz val="11"/>
        <color theme="1"/>
        <rFont val="Calibri"/>
        <family val="2"/>
        <charset val="1"/>
      </rPr>
      <t xml:space="preserve">=20</t>
    </r>
    <r>
      <rPr>
        <sz val="11"/>
        <color theme="1"/>
        <rFont val="WenQuanYi Zen Hei"/>
        <family val="2"/>
      </rPr>
      <t xml:space="preserve">／消防</t>
    </r>
    <r>
      <rPr>
        <sz val="11"/>
        <color theme="1"/>
        <rFont val="Calibri"/>
        <family val="2"/>
        <charset val="1"/>
      </rPr>
      <t xml:space="preserve">=5</t>
    </r>
    <r>
      <rPr>
        <sz val="11"/>
        <color theme="1"/>
        <rFont val="WenQuanYi Zen Hei"/>
        <family val="2"/>
      </rPr>
      <t xml:space="preserve">／市長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その他 に分ける</t>
    </r>
  </si>
  <si>
    <r>
      <rPr>
        <b val="true"/>
        <sz val="14"/>
        <rFont val="Cambria"/>
        <family val="0"/>
        <charset val="1"/>
      </rPr>
      <t xml:space="preserve">R8</t>
    </r>
    <r>
      <rPr>
        <b val="true"/>
        <sz val="14"/>
        <rFont val="WenQuanYi Zen Hei"/>
        <family val="2"/>
      </rPr>
      <t xml:space="preserve">短期 手入力欄の自動集計と照合</t>
    </r>
  </si>
  <si>
    <r>
      <rPr>
        <sz val="11"/>
        <color theme="1"/>
        <rFont val="WenQuanYi Zen Hei"/>
        <family val="2"/>
      </rPr>
      <t xml:space="preserve">「自動」列の式を </t>
    </r>
    <r>
      <rPr>
        <sz val="11"/>
        <color theme="1"/>
        <rFont val="Calibri"/>
        <family val="2"/>
        <charset val="1"/>
      </rPr>
      <t xml:space="preserve">R8</t>
    </r>
    <r>
      <rPr>
        <sz val="11"/>
        <color theme="1"/>
        <rFont val="WenQuanYi Zen Hei"/>
        <family val="2"/>
      </rPr>
      <t xml:space="preserve">短期 の該当セルに入れれば手入力・貼り付けが不要になります。「現行」は最終版に入っている値、「判定」で一致を確認。</t>
    </r>
  </si>
  <si>
    <t xml:space="preserve">区分</t>
  </si>
  <si>
    <t xml:space="preserve">項目</t>
  </si>
  <si>
    <r>
      <rPr>
        <b val="true"/>
        <sz val="11"/>
        <rFont val="Cambria"/>
        <family val="0"/>
        <charset val="1"/>
      </rPr>
      <t xml:space="preserve">R8</t>
    </r>
    <r>
      <rPr>
        <b val="true"/>
        <sz val="11"/>
        <rFont val="WenQuanYi Zen Hei"/>
        <family val="2"/>
      </rPr>
      <t xml:space="preserve">短期セル
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人数</t>
    </r>
    <r>
      <rPr>
        <b val="true"/>
        <sz val="11"/>
        <rFont val="Cambria"/>
        <family val="0"/>
        <charset val="1"/>
      </rPr>
      <t xml:space="preserve">)</t>
    </r>
  </si>
  <si>
    <t xml:space="preserve">自動
人数</t>
  </si>
  <si>
    <t xml:space="preserve">現行
人数</t>
  </si>
  <si>
    <t xml:space="preserve">差</t>
  </si>
  <si>
    <r>
      <rPr>
        <b val="true"/>
        <sz val="11"/>
        <rFont val="Cambria"/>
        <family val="0"/>
        <charset val="1"/>
      </rPr>
      <t xml:space="preserve">R8</t>
    </r>
    <r>
      <rPr>
        <b val="true"/>
        <sz val="11"/>
        <rFont val="WenQuanYi Zen Hei"/>
        <family val="2"/>
      </rPr>
      <t xml:space="preserve">短期セル
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標準報酬</t>
    </r>
    <r>
      <rPr>
        <b val="true"/>
        <sz val="11"/>
        <rFont val="Cambria"/>
        <family val="0"/>
        <charset val="1"/>
      </rPr>
      <t xml:space="preserve">)</t>
    </r>
  </si>
  <si>
    <t xml:space="preserve">自動
標準報酬</t>
  </si>
  <si>
    <t xml:space="preserve">現行
標準報酬</t>
  </si>
  <si>
    <t xml:space="preserve">判定</t>
  </si>
  <si>
    <t xml:space="preserve">算式・根拠</t>
  </si>
  <si>
    <t xml:space="preserve">①病院一般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</si>
  <si>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定年延長者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</t>
    </r>
    <r>
      <rPr>
        <sz val="11"/>
        <color theme="1"/>
        <rFont val="Calibri"/>
        <family val="2"/>
        <charset val="1"/>
      </rPr>
      <t xml:space="preserve">(60</t>
    </r>
    <r>
      <rPr>
        <sz val="11"/>
        <color theme="1"/>
        <rFont val="WenQuanYi Zen Hei"/>
        <family val="2"/>
      </rPr>
      <t xml:space="preserve">歳到達者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延長率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</si>
  <si>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定年延長</t>
    </r>
    <r>
      <rPr>
        <sz val="11"/>
        <color theme="1"/>
        <rFont val="Calibri"/>
        <family val="2"/>
        <charset val="1"/>
      </rPr>
      <t xml:space="preserve">R8</t>
    </r>
    <r>
      <rPr>
        <sz val="11"/>
        <color theme="1"/>
        <rFont val="WenQuanYi Zen Hei"/>
        <family val="2"/>
      </rPr>
      <t xml:space="preserve">シートの病院在職者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延長率（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給与減額係数）。人数は③に含まれるため足さない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</si>
  <si>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普通退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資格喪失 基準日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</si>
  <si>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喪失</t>
    </r>
    <r>
      <rPr>
        <sz val="11"/>
        <color theme="1"/>
        <rFont val="Calibri"/>
        <family val="2"/>
        <charset val="1"/>
      </rPr>
      <t xml:space="preserve">_DBP7C85 </t>
    </r>
    <r>
      <rPr>
        <sz val="11"/>
        <color theme="1"/>
        <rFont val="WenQuanYi Zen Hei"/>
        <family val="2"/>
      </rPr>
      <t xml:space="preserve">区分①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</si>
  <si>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月新採 </t>
    </r>
    <r>
      <rPr>
        <sz val="11"/>
        <color theme="1"/>
        <rFont val="Calibri"/>
        <family val="2"/>
        <charset val="1"/>
      </rPr>
      <t xml:space="preserve">R7.4</t>
    </r>
    <r>
      <rPr>
        <sz val="11"/>
        <color theme="1"/>
        <rFont val="WenQuanYi Zen Hei"/>
        <family val="2"/>
      </rPr>
      <t xml:space="preserve">採用平均標準報酬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</si>
  <si>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参考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</si>
  <si>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平均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</si>
  <si>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取得</t>
    </r>
    <r>
      <rPr>
        <sz val="11"/>
        <color theme="1"/>
        <rFont val="Calibri"/>
        <family val="2"/>
        <charset val="1"/>
      </rPr>
      <t xml:space="preserve">_DBP1BC2 </t>
    </r>
    <r>
      <rPr>
        <sz val="11"/>
        <color theme="1"/>
        <rFont val="WenQuanYi Zen Hei"/>
        <family val="2"/>
      </rPr>
      <t xml:space="preserve">区分①の基準日取得者の平均（円）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</si>
  <si>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月新採（人数は聴取、報酬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平均）</t>
    </r>
  </si>
  <si>
    <r>
      <rPr>
        <sz val="11"/>
        <color theme="1"/>
        <rFont val="WenQuanYi Zen 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162</t>
    </r>
    <r>
      <rPr>
        <sz val="11"/>
        <color theme="1"/>
        <rFont val="WenQuanYi Zen Hei"/>
        <family val="2"/>
      </rPr>
      <t xml:space="preserve">は聴取値（設定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WenQuanYi Zen Hei"/>
        <family val="2"/>
      </rPr>
      <t xml:space="preserve">）</t>
    </r>
  </si>
  <si>
    <t xml:space="preserve">②病院短期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</si>
  <si>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普通退</t>
    </r>
  </si>
  <si>
    <r>
      <rPr>
        <sz val="11"/>
        <color theme="1"/>
        <rFont val="WenQuanYi Zen Hei"/>
        <family val="2"/>
      </rPr>
      <t xml:space="preserve">喪失</t>
    </r>
    <r>
      <rPr>
        <sz val="11"/>
        <color theme="1"/>
        <rFont val="Calibri"/>
        <family val="2"/>
        <charset val="1"/>
      </rPr>
      <t xml:space="preserve">_DBP7C85 </t>
    </r>
    <r>
      <rPr>
        <sz val="11"/>
        <color theme="1"/>
        <rFont val="WenQuanYi Zen Hei"/>
        <family val="2"/>
      </rPr>
      <t xml:space="preserve">区分②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</si>
  <si>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月採用 </t>
    </r>
    <r>
      <rPr>
        <sz val="11"/>
        <color theme="1"/>
        <rFont val="Calibri"/>
        <family val="2"/>
        <charset val="1"/>
      </rPr>
      <t xml:space="preserve">(R7.4</t>
    </r>
    <r>
      <rPr>
        <sz val="11"/>
        <color theme="1"/>
        <rFont val="WenQuanYi Zen Hei"/>
        <family val="2"/>
      </rPr>
      <t xml:space="preserve">実績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</si>
  <si>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取得</t>
    </r>
    <r>
      <rPr>
        <sz val="11"/>
        <color theme="1"/>
        <rFont val="Calibri"/>
        <family val="2"/>
        <charset val="1"/>
      </rPr>
      <t xml:space="preserve">_DBP1BC2 </t>
    </r>
    <r>
      <rPr>
        <sz val="11"/>
        <color theme="1"/>
        <rFont val="WenQuanYi Zen Hei"/>
        <family val="2"/>
      </rPr>
      <t xml:space="preserve">区分②の基準日取得者</t>
    </r>
  </si>
  <si>
    <t xml:space="preserve">③特定消防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</si>
  <si>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 定年延長者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割減</t>
    </r>
  </si>
  <si>
    <r>
      <rPr>
        <sz val="11"/>
        <color theme="1"/>
        <rFont val="WenQuanYi Zen Hei"/>
        <family val="2"/>
      </rPr>
      <t xml:space="preserve">定年延長</t>
    </r>
    <r>
      <rPr>
        <sz val="11"/>
        <color theme="1"/>
        <rFont val="Calibri"/>
        <family val="2"/>
        <charset val="1"/>
      </rPr>
      <t xml:space="preserve">R8</t>
    </r>
    <r>
      <rPr>
        <sz val="11"/>
        <color theme="1"/>
        <rFont val="WenQuanYi Zen Hei"/>
        <family val="2"/>
      </rPr>
      <t xml:space="preserve">シートの消防在職者</t>
    </r>
  </si>
  <si>
    <r>
      <rPr>
        <sz val="11"/>
        <color theme="1"/>
        <rFont val="WenQuanYi Zen Hei"/>
        <family val="2"/>
      </rPr>
      <t xml:space="preserve">喪失</t>
    </r>
    <r>
      <rPr>
        <sz val="11"/>
        <color theme="1"/>
        <rFont val="Calibri"/>
        <family val="2"/>
        <charset val="1"/>
      </rPr>
      <t xml:space="preserve">_DBP7C85 </t>
    </r>
    <r>
      <rPr>
        <sz val="11"/>
        <color theme="1"/>
        <rFont val="WenQuanYi Zen Hei"/>
        <family val="2"/>
      </rPr>
      <t xml:space="preserve">区分③</t>
    </r>
  </si>
  <si>
    <r>
      <rPr>
        <sz val="11"/>
        <color theme="1"/>
        <rFont val="WenQuanYi Zen Hei"/>
        <family val="2"/>
      </rPr>
      <t xml:space="preserve">取得</t>
    </r>
    <r>
      <rPr>
        <sz val="11"/>
        <color theme="1"/>
        <rFont val="Calibri"/>
        <family val="2"/>
        <charset val="1"/>
      </rPr>
      <t xml:space="preserve">_DBP1BC2 </t>
    </r>
    <r>
      <rPr>
        <sz val="11"/>
        <color theme="1"/>
        <rFont val="WenQuanYi Zen Hei"/>
        <family val="2"/>
      </rPr>
      <t xml:space="preserve">区分③の基準日取得者の平均（円）</t>
    </r>
  </si>
  <si>
    <r>
      <rPr>
        <sz val="11"/>
        <color theme="1"/>
        <rFont val="WenQuanYi Zen 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38</t>
    </r>
    <r>
      <rPr>
        <sz val="11"/>
        <color theme="1"/>
        <rFont val="WenQuanYi Zen Hei"/>
        <family val="2"/>
      </rPr>
      <t xml:space="preserve">は人事課予定数（設定</t>
    </r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</si>
  <si>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④一般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専従・病院以外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</si>
  <si>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定年延長</t>
    </r>
    <r>
      <rPr>
        <sz val="11"/>
        <color theme="1"/>
        <rFont val="Calibri"/>
        <family val="2"/>
        <charset val="1"/>
      </rPr>
      <t xml:space="preserve">R8</t>
    </r>
    <r>
      <rPr>
        <sz val="11"/>
        <color theme="1"/>
        <rFont val="WenQuanYi Zen Hei"/>
        <family val="2"/>
      </rPr>
      <t xml:space="preserve">シートの市長部局在職者</t>
    </r>
  </si>
  <si>
    <r>
      <rPr>
        <sz val="11"/>
        <color theme="1"/>
        <rFont val="WenQuanYi Zen Hei"/>
        <family val="2"/>
      </rPr>
      <t xml:space="preserve">喪失</t>
    </r>
    <r>
      <rPr>
        <sz val="11"/>
        <color theme="1"/>
        <rFont val="Calibri"/>
        <family val="2"/>
        <charset val="1"/>
      </rPr>
      <t xml:space="preserve">_DBP7C85 </t>
    </r>
    <r>
      <rPr>
        <sz val="11"/>
        <color theme="1"/>
        <rFont val="WenQuanYi Zen Hei"/>
        <family val="2"/>
      </rPr>
      <t xml:space="preserve">区分④</t>
    </r>
  </si>
  <si>
    <r>
      <rPr>
        <sz val="11"/>
        <color theme="1"/>
        <rFont val="WenQuanYi Zen Hei"/>
        <family val="2"/>
      </rPr>
      <t xml:space="preserve">設定</t>
    </r>
    <r>
      <rPr>
        <sz val="11"/>
        <color theme="1"/>
        <rFont val="Calibri"/>
        <family val="2"/>
        <charset val="1"/>
      </rPr>
      <t xml:space="preserve">C9</t>
    </r>
    <r>
      <rPr>
        <sz val="11"/>
        <color theme="1"/>
        <rFont val="WenQuanYi Zen Hei"/>
        <family val="2"/>
      </rPr>
      <t xml:space="preserve">で </t>
    </r>
    <r>
      <rPr>
        <sz val="11"/>
        <color theme="1"/>
        <rFont val="Calibri"/>
        <family val="2"/>
        <charset val="1"/>
      </rPr>
      <t xml:space="preserve">4/1</t>
    </r>
    <r>
      <rPr>
        <sz val="11"/>
        <color theme="1"/>
        <rFont val="WenQuanYi Zen Hei"/>
        <family val="2"/>
      </rPr>
      <t xml:space="preserve">のみ／全期間 を切替</t>
    </r>
  </si>
  <si>
    <r>
      <rPr>
        <sz val="11"/>
        <color theme="1"/>
        <rFont val="WenQuanYi Zen 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WenQuanYi Zen Hei"/>
        <family val="2"/>
      </rPr>
      <t xml:space="preserve">は人事課予定数（設定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</si>
  <si>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⑤短期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専従・病院以外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</si>
  <si>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喪失</t>
    </r>
    <r>
      <rPr>
        <sz val="11"/>
        <color theme="1"/>
        <rFont val="Calibri"/>
        <family val="2"/>
        <charset val="1"/>
      </rPr>
      <t xml:space="preserve">_DBP7C85 </t>
    </r>
    <r>
      <rPr>
        <sz val="11"/>
        <color theme="1"/>
        <rFont val="WenQuanYi Zen Hei"/>
        <family val="2"/>
      </rPr>
      <t xml:space="preserve">区分⑤</t>
    </r>
  </si>
  <si>
    <r>
      <rPr>
        <sz val="11"/>
        <color theme="1"/>
        <rFont val="WenQuanYi Zen Hei"/>
        <family val="2"/>
      </rPr>
      <t xml:space="preserve">取得</t>
    </r>
    <r>
      <rPr>
        <sz val="11"/>
        <color theme="1"/>
        <rFont val="Calibri"/>
        <family val="2"/>
        <charset val="1"/>
      </rPr>
      <t xml:space="preserve">_DBP1BC2 </t>
    </r>
    <r>
      <rPr>
        <sz val="11"/>
        <color theme="1"/>
        <rFont val="WenQuanYi Zen Hei"/>
        <family val="2"/>
      </rPr>
      <t xml:space="preserve">区分⑤の基準日取得者</t>
    </r>
  </si>
  <si>
    <t xml:space="preserve">判定まとめ</t>
  </si>
  <si>
    <r>
      <rPr>
        <b val="true"/>
        <sz val="11"/>
        <rFont val="WenQuanYi Zen Hei"/>
        <family val="2"/>
      </rPr>
      <t xml:space="preserve">参考：定年延長率の根拠（</t>
    </r>
    <r>
      <rPr>
        <b val="true"/>
        <sz val="11"/>
        <rFont val="Cambria"/>
        <family val="0"/>
        <charset val="1"/>
      </rPr>
      <t xml:space="preserve">R6</t>
    </r>
    <r>
      <rPr>
        <b val="true"/>
        <sz val="11"/>
        <rFont val="WenQuanYi Zen Hei"/>
        <family val="2"/>
      </rPr>
      <t xml:space="preserve">年度末</t>
    </r>
    <r>
      <rPr>
        <b val="true"/>
        <sz val="11"/>
        <rFont val="Cambria"/>
        <family val="0"/>
        <charset val="1"/>
      </rPr>
      <t xml:space="preserve">60</t>
    </r>
    <r>
      <rPr>
        <b val="true"/>
        <sz val="11"/>
        <rFont val="WenQuanYi Zen Hei"/>
        <family val="2"/>
      </rPr>
      <t xml:space="preserve">歳到達者／</t>
    </r>
    <r>
      <rPr>
        <b val="true"/>
        <sz val="11"/>
        <rFont val="Cambria"/>
        <family val="0"/>
        <charset val="1"/>
      </rPr>
      <t xml:space="preserve">DBP59FA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</si>
  <si>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在職</t>
    </r>
    <r>
      <rPr>
        <sz val="11"/>
        <color theme="1"/>
        <rFont val="Calibri"/>
        <family val="2"/>
        <charset val="1"/>
      </rPr>
      <t xml:space="preserve">(21</t>
    </r>
    <r>
      <rPr>
        <sz val="11"/>
        <color theme="1"/>
        <rFont val="WenQuanYi Zen Hei"/>
        <family val="2"/>
      </rPr>
      <t xml:space="preserve">・喪失日なし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</si>
  <si>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4/1</t>
    </r>
    <r>
      <rPr>
        <sz val="11"/>
        <color theme="1"/>
        <rFont val="WenQuanYi Zen Hei"/>
        <family val="2"/>
      </rPr>
      <t xml:space="preserve">喪失</t>
    </r>
    <r>
      <rPr>
        <sz val="11"/>
        <color theme="1"/>
        <rFont val="Calibri"/>
        <family val="2"/>
        <charset val="1"/>
      </rPr>
      <t xml:space="preserve">(21)</t>
    </r>
  </si>
  <si>
    <t xml:space="preserve">延長率</t>
  </si>
  <si>
    <r>
      <rPr>
        <sz val="11"/>
        <color theme="1"/>
        <rFont val="WenQuanYi Zen Hei"/>
        <family val="2"/>
      </rPr>
      <t xml:space="preserve">現行の手入力</t>
    </r>
    <r>
      <rPr>
        <sz val="11"/>
        <color theme="1"/>
        <rFont val="Calibri"/>
        <family val="2"/>
        <charset val="1"/>
      </rPr>
      <t xml:space="preserve">0.66</t>
    </r>
    <r>
      <rPr>
        <sz val="11"/>
        <color theme="1"/>
        <rFont val="WenQuanYi Zen Hei"/>
        <family val="2"/>
      </rPr>
      <t xml:space="preserve">（まとめシートの</t>
    </r>
    <r>
      <rPr>
        <sz val="11"/>
        <color theme="1"/>
        <rFont val="Calibri"/>
        <family val="2"/>
        <charset val="1"/>
      </rPr>
      <t xml:space="preserve">171/259</t>
    </r>
    <r>
      <rPr>
        <sz val="11"/>
        <color theme="1"/>
        <rFont val="WenQuanYi Zen Hei"/>
        <family val="2"/>
      </rPr>
      <t xml:space="preserve">）と同じ四捨五入結果</t>
    </r>
  </si>
  <si>
    <t xml:space="preserve">参考：④一般の平均標準報酬（取得者）</t>
  </si>
  <si>
    <r>
      <rPr>
        <sz val="11"/>
        <color theme="1"/>
        <rFont val="Calibri"/>
        <family val="2"/>
        <charset val="1"/>
      </rPr>
      <t xml:space="preserve">4/1</t>
    </r>
    <r>
      <rPr>
        <sz val="11"/>
        <color theme="1"/>
        <rFont val="WenQuanYi Zen Hei"/>
        <family val="2"/>
      </rPr>
      <t xml:space="preserve">取得のみ</t>
    </r>
  </si>
  <si>
    <r>
      <rPr>
        <sz val="11"/>
        <color theme="1"/>
        <rFont val="WenQuanYi Zen Hei"/>
        <family val="2"/>
      </rPr>
      <t xml:space="preserve">全期間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WenQuanYi Zen Hei"/>
        <family val="2"/>
      </rPr>
      <t xml:space="preserve">月取得分まで含む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</si>
  <si>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)×322</t>
    </r>
    <r>
      <rPr>
        <sz val="11"/>
        <color theme="1"/>
        <rFont val="WenQuanYi Zen Hei"/>
        <family val="2"/>
      </rPr>
      <t xml:space="preserve">人</t>
    </r>
  </si>
  <si>
    <t xml:space="preserve">A07_SHOZOKU_NO</t>
  </si>
  <si>
    <t xml:space="preserve">A07_SHO_NO</t>
  </si>
  <si>
    <t xml:space="preserve">A07_TOKUSO_K</t>
  </si>
  <si>
    <t xml:space="preserve">A07_NINKEI_K</t>
  </si>
  <si>
    <t xml:space="preserve">A07_SIMEI_YMD</t>
  </si>
  <si>
    <t xml:space="preserve">A07_SIMEI_KNA_OLD</t>
  </si>
  <si>
    <t xml:space="preserve">A07_SIMEI_KNJ_OLD</t>
  </si>
  <si>
    <t xml:space="preserve">A07_SEIBETU</t>
  </si>
  <si>
    <t xml:space="preserve">A07_SEI_G</t>
  </si>
  <si>
    <t xml:space="preserve">A07_SEI_YMD</t>
  </si>
  <si>
    <t xml:space="preserve">A07_KYURYO_NO</t>
  </si>
  <si>
    <t xml:space="preserve">A07_KISO_NO</t>
  </si>
  <si>
    <t xml:space="preserve">A07_M_SHOZOKU_NO</t>
  </si>
  <si>
    <t xml:space="preserve">A07_M_SHO_NO</t>
  </si>
  <si>
    <t xml:space="preserve">A07_I_SHOZOKU_NO</t>
  </si>
  <si>
    <t xml:space="preserve">A07_I_SHO_NO</t>
  </si>
  <si>
    <t xml:space="preserve">A07_I_NINKEI_K</t>
  </si>
  <si>
    <t xml:space="preserve">A07_K_SHOZOKU_NO</t>
  </si>
  <si>
    <t xml:space="preserve">A07_K_SHO_NO</t>
  </si>
  <si>
    <t xml:space="preserve">A07_M_KUMIAI_NO</t>
  </si>
  <si>
    <t xml:space="preserve">A07_IKAN_K</t>
  </si>
  <si>
    <t xml:space="preserve">A07_JURYO_YMD</t>
  </si>
  <si>
    <t xml:space="preserve">A07_S_KUMIAI_NO</t>
  </si>
  <si>
    <t xml:space="preserve">A07_KANYU_YMD</t>
  </si>
  <si>
    <t xml:space="preserve">A07_SHUTOKU_JY</t>
  </si>
  <si>
    <t xml:space="preserve">A07_SHUTOKU_YMD</t>
  </si>
  <si>
    <t xml:space="preserve">A07_JUKYU_K</t>
  </si>
  <si>
    <t xml:space="preserve">A07_SOSITU_JY</t>
  </si>
  <si>
    <t xml:space="preserve">A07_SOSITU_YMD</t>
  </si>
  <si>
    <t xml:space="preserve">A07_IDO_YMD</t>
  </si>
  <si>
    <t xml:space="preserve">A07_IDO_JY</t>
  </si>
  <si>
    <t xml:space="preserve">A07_KIGYO_C</t>
  </si>
  <si>
    <t xml:space="preserve">A07_KAIKEI</t>
  </si>
  <si>
    <t xml:space="preserve">A07_SHUBETU</t>
  </si>
  <si>
    <t xml:space="preserve">A07_HYO_K</t>
  </si>
  <si>
    <t xml:space="preserve">A07_TOKYU</t>
  </si>
  <si>
    <t xml:space="preserve">A07_GOKYU</t>
  </si>
  <si>
    <t xml:space="preserve">A07_C_RITU</t>
  </si>
  <si>
    <t xml:space="preserve">A07_C_GAKU</t>
  </si>
  <si>
    <t xml:space="preserve">A07_KYURYO</t>
  </si>
  <si>
    <t xml:space="preserve">A07_TEIKI_M</t>
  </si>
  <si>
    <t xml:space="preserve">A07_BUKASHO_NO</t>
  </si>
  <si>
    <t xml:space="preserve">A07_SHOKUIN_NO</t>
  </si>
  <si>
    <t xml:space="preserve">A07_SHOKUSHU_C</t>
  </si>
  <si>
    <t xml:space="preserve">A07_TOGETU_K</t>
  </si>
  <si>
    <t xml:space="preserve">A07_SOKYU_K</t>
  </si>
  <si>
    <t xml:space="preserve">A07_IKUJI_K</t>
  </si>
  <si>
    <t xml:space="preserve">A07_FUYO_SU</t>
  </si>
  <si>
    <t xml:space="preserve">A07_N_FUYO_SU</t>
  </si>
  <si>
    <t xml:space="preserve">A07_N_SHUTOKU_JY</t>
  </si>
  <si>
    <t xml:space="preserve">A07_N_SHUTOKU_YMD</t>
  </si>
  <si>
    <t xml:space="preserve">A07_N_SOSITU_JY</t>
  </si>
  <si>
    <t xml:space="preserve">A07_N_SOSITU_YMD</t>
  </si>
  <si>
    <t xml:space="preserve">A07_N_YOTEI_YMD</t>
  </si>
  <si>
    <t xml:space="preserve">A07_HARAI_K</t>
  </si>
  <si>
    <t xml:space="preserve">A07_ENCHO_K</t>
  </si>
  <si>
    <t xml:space="preserve">A07_YOKEN_K</t>
  </si>
  <si>
    <t xml:space="preserve">A07_SIHARAI_K</t>
  </si>
  <si>
    <t xml:space="preserve">A07_FURIKAE_YM_FR</t>
  </si>
  <si>
    <t xml:space="preserve">A07_FURIKAE_YM_TO</t>
  </si>
  <si>
    <t xml:space="preserve">A07_YUBIN_NO</t>
  </si>
  <si>
    <t xml:space="preserve">A07_JUSHO_C</t>
  </si>
  <si>
    <t xml:space="preserve">A07_JUSHO2</t>
  </si>
  <si>
    <t xml:space="preserve">A07_JUSHO3</t>
  </si>
  <si>
    <t xml:space="preserve">A07_DENWA_NO</t>
  </si>
  <si>
    <t xml:space="preserve">A07_KAHI_K</t>
  </si>
  <si>
    <t xml:space="preserve">A07_JUSHO_YMD</t>
  </si>
  <si>
    <t xml:space="preserve">A07_JUSHO_C_OLD</t>
  </si>
  <si>
    <t xml:space="preserve">A07_SOKIN_K</t>
  </si>
  <si>
    <t xml:space="preserve">A07_GINKO_NO</t>
  </si>
  <si>
    <t xml:space="preserve">A07_SITEN_NO</t>
  </si>
  <si>
    <t xml:space="preserve">A07_KOZA_NO</t>
  </si>
  <si>
    <t xml:space="preserve">A07_YOKIN_S</t>
  </si>
  <si>
    <t xml:space="preserve">A07_KOHI_C</t>
  </si>
  <si>
    <t xml:space="preserve">A07_KOHI_YMD_FR</t>
  </si>
  <si>
    <t xml:space="preserve">A07_KOHI_YMD_TO</t>
  </si>
  <si>
    <t xml:space="preserve">A07_ROKEN_K</t>
  </si>
  <si>
    <t xml:space="preserve">A07_65ROKEN_YMD_FR</t>
  </si>
  <si>
    <t xml:space="preserve">A07_65ROKEN_YMD_TO</t>
  </si>
  <si>
    <t xml:space="preserve">A07_ROKEN_YMD</t>
  </si>
  <si>
    <t xml:space="preserve">A07_CHOSON_NO</t>
  </si>
  <si>
    <t xml:space="preserve">A07_JUKYU_NO</t>
  </si>
  <si>
    <t xml:space="preserve">A07_KAGAI_YMD_FR</t>
  </si>
  <si>
    <t xml:space="preserve">A07_KAGAI_YMD_TO</t>
  </si>
  <si>
    <t xml:space="preserve">A07_SAIGAI_YMD_FR</t>
  </si>
  <si>
    <t xml:space="preserve">A07_SAIGAI_YMD_TO</t>
  </si>
  <si>
    <t xml:space="preserve">A07_SIPPEI_YMD_FR</t>
  </si>
  <si>
    <t xml:space="preserve">A07_SIPPEI_YMD_TO</t>
  </si>
  <si>
    <t xml:space="preserve">A07_SHOTOKU_YMD_FR</t>
  </si>
  <si>
    <t xml:space="preserve">A07_SHOTOKU_YMD_TO</t>
  </si>
  <si>
    <t xml:space="preserve">A07_GOJO_K</t>
  </si>
  <si>
    <t xml:space="preserve">A07_G_NYUKAI_YMD</t>
  </si>
  <si>
    <t xml:space="preserve">A07_G_DAKAI_YMD</t>
  </si>
  <si>
    <t xml:space="preserve">A07_BIKO1</t>
  </si>
  <si>
    <t xml:space="preserve">A07_BIKO2</t>
  </si>
  <si>
    <t xml:space="preserve">A07_BIKO3</t>
  </si>
  <si>
    <t xml:space="preserve">A07_SINKI_K</t>
  </si>
  <si>
    <t xml:space="preserve">A07_IDO_K</t>
  </si>
  <si>
    <t xml:space="preserve">A07_SOKYU_YMD</t>
  </si>
  <si>
    <t xml:space="preserve">A07_KINYU_HK</t>
  </si>
  <si>
    <t xml:space="preserve">A07_KOSIN_DATETIME</t>
  </si>
  <si>
    <t xml:space="preserve">A07_KOSIN_ID</t>
  </si>
  <si>
    <r>
      <rPr>
        <b val="true"/>
        <sz val="11"/>
        <rFont val="WenQuanYi Zen Hei"/>
        <family val="2"/>
      </rPr>
      <t xml:space="preserve">区分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自動判定</t>
    </r>
    <r>
      <rPr>
        <b val="true"/>
        <sz val="11"/>
        <rFont val="Cambria"/>
        <family val="0"/>
        <charset val="1"/>
      </rPr>
      <t xml:space="preserve">)</t>
    </r>
  </si>
  <si>
    <t xml:space="preserve">基準日フラグ</t>
  </si>
  <si>
    <t xml:space="preserve">20250701</t>
  </si>
  <si>
    <t xml:space="preserve">00000000</t>
  </si>
  <si>
    <t xml:space="preserve">20250801</t>
  </si>
  <si>
    <t xml:space="preserve">20250708</t>
  </si>
  <si>
    <t xml:space="preserve">20250501</t>
  </si>
  <si>
    <t xml:space="preserve">20250601</t>
  </si>
  <si>
    <t xml:space="preserve">20250714</t>
  </si>
  <si>
    <t xml:space="preserve">20251001</t>
  </si>
  <si>
    <t xml:space="preserve">20250605</t>
  </si>
  <si>
    <t xml:space="preserve">20250901</t>
  </si>
  <si>
    <t xml:space="preserve">20250804</t>
  </si>
  <si>
    <t xml:space="preserve">20250521</t>
  </si>
  <si>
    <t xml:space="preserve">20250904</t>
  </si>
  <si>
    <t xml:space="preserve">20250512</t>
  </si>
  <si>
    <t xml:space="preserve">20250623</t>
  </si>
  <si>
    <t xml:space="preserve">20250425</t>
  </si>
  <si>
    <t xml:space="preserve">20250404</t>
  </si>
  <si>
    <t xml:space="preserve">20250707</t>
  </si>
  <si>
    <t xml:space="preserve">20250411</t>
  </si>
  <si>
    <t xml:space="preserve">20250531</t>
  </si>
  <si>
    <t xml:space="preserve">20250602</t>
  </si>
  <si>
    <t xml:space="preserve">20250818</t>
  </si>
  <si>
    <t xml:space="preserve">20250409</t>
  </si>
  <si>
    <t xml:space="preserve">20250616</t>
  </si>
  <si>
    <t xml:space="preserve">20250408</t>
  </si>
  <si>
    <t xml:space="preserve">20250821</t>
  </si>
  <si>
    <t xml:space="preserve">20250728</t>
  </si>
  <si>
    <t xml:space="preserve">20250908</t>
  </si>
  <si>
    <t xml:space="preserve">20250522</t>
  </si>
  <si>
    <t xml:space="preserve">20250410</t>
  </si>
  <si>
    <t xml:space="preserve">20250613</t>
  </si>
  <si>
    <t xml:space="preserve">20251017</t>
  </si>
  <si>
    <t xml:space="preserve">20250609</t>
  </si>
  <si>
    <t xml:space="preserve">20251012</t>
  </si>
  <si>
    <t xml:space="preserve">20251009</t>
  </si>
  <si>
    <t xml:space="preserve">20250416</t>
  </si>
  <si>
    <t xml:space="preserve">20250903</t>
  </si>
  <si>
    <t xml:space="preserve">20250403</t>
  </si>
  <si>
    <t xml:space="preserve">20250526</t>
  </si>
  <si>
    <t xml:space="preserve">20250730</t>
  </si>
  <si>
    <t xml:space="preserve">20250909</t>
  </si>
  <si>
    <t xml:space="preserve">20250916</t>
  </si>
  <si>
    <t xml:space="preserve">20250508</t>
  </si>
  <si>
    <t xml:space="preserve">20250825</t>
  </si>
  <si>
    <t xml:space="preserve">20250407</t>
  </si>
  <si>
    <t xml:space="preserve">20250828</t>
  </si>
  <si>
    <t xml:space="preserve">20250424</t>
  </si>
  <si>
    <t xml:space="preserve">20250812</t>
  </si>
  <si>
    <t xml:space="preserve">20250717</t>
  </si>
  <si>
    <t xml:space="preserve">20250927</t>
  </si>
  <si>
    <t xml:space="preserve">20250414</t>
  </si>
  <si>
    <t xml:space="preserve">20250705</t>
  </si>
  <si>
    <t xml:space="preserve">20250722</t>
  </si>
  <si>
    <t xml:space="preserve">20250530</t>
  </si>
  <si>
    <t xml:space="preserve">20250813</t>
  </si>
  <si>
    <t xml:space="preserve">20250428</t>
  </si>
  <si>
    <t xml:space="preserve">20250819</t>
  </si>
  <si>
    <t xml:space="preserve">20250402</t>
  </si>
  <si>
    <t xml:space="preserve">20250418</t>
  </si>
  <si>
    <t xml:space="preserve">20250507</t>
  </si>
  <si>
    <t xml:space="preserve">20250515</t>
  </si>
  <si>
    <t xml:space="preserve">20250604</t>
  </si>
  <si>
    <t xml:space="preserve">20250807</t>
  </si>
  <si>
    <t xml:space="preserve">20250910</t>
  </si>
  <si>
    <t xml:space="preserve">20250922</t>
  </si>
  <si>
    <t xml:space="preserve">20250917</t>
  </si>
  <si>
    <t xml:space="preserve">20250924</t>
  </si>
  <si>
    <t xml:space="preserve">20251011</t>
  </si>
  <si>
    <t xml:space="preserve">20251014</t>
  </si>
  <si>
    <t xml:space="preserve">20250513</t>
  </si>
  <si>
    <t xml:space="preserve">20250510</t>
  </si>
  <si>
    <t xml:space="preserve">20250421</t>
  </si>
  <si>
    <t xml:space="preserve">20250422</t>
  </si>
  <si>
    <t xml:space="preserve">20250509</t>
  </si>
  <si>
    <t xml:space="preserve">20250514</t>
  </si>
  <si>
    <t xml:space="preserve">20250423</t>
  </si>
  <si>
    <t xml:space="preserve">20250429</t>
  </si>
  <si>
    <t xml:space="preserve">20250519</t>
  </si>
  <si>
    <t xml:space="preserve">20250527</t>
  </si>
  <si>
    <t xml:space="preserve">20250610</t>
  </si>
  <si>
    <t xml:space="preserve">20250611</t>
  </si>
  <si>
    <t xml:space="preserve">20250827</t>
  </si>
  <si>
    <t xml:space="preserve">20250905</t>
  </si>
  <si>
    <t xml:space="preserve">20250921</t>
  </si>
  <si>
    <t xml:space="preserve">20251003</t>
  </si>
  <si>
    <t xml:space="preserve">20251008</t>
  </si>
  <si>
    <t xml:space="preserve">20250619</t>
  </si>
  <si>
    <t xml:space="preserve">20250725</t>
  </si>
  <si>
    <t xml:space="preserve">20250716</t>
  </si>
  <si>
    <t xml:space="preserve">20251022</t>
  </si>
  <si>
    <t xml:space="preserve">20251016</t>
  </si>
  <si>
    <t xml:space="preserve">19820401</t>
  </si>
  <si>
    <t xml:space="preserve">19820701</t>
  </si>
  <si>
    <t xml:space="preserve">19830401</t>
  </si>
  <si>
    <t xml:space="preserve">19831001</t>
  </si>
  <si>
    <t xml:space="preserve">19840901</t>
  </si>
  <si>
    <t xml:space="preserve">19840401</t>
  </si>
  <si>
    <t xml:space="preserve">19850320</t>
  </si>
  <si>
    <t xml:space="preserve">19840701</t>
  </si>
  <si>
    <t xml:space="preserve">20120401</t>
  </si>
  <si>
    <t xml:space="preserve">19850401</t>
  </si>
  <si>
    <t xml:space="preserve">19850501</t>
  </si>
  <si>
    <t xml:space="preserve">19850601</t>
  </si>
  <si>
    <t xml:space="preserve">19850701</t>
  </si>
  <si>
    <t xml:space="preserve">19850901</t>
  </si>
  <si>
    <t xml:space="preserve">19851001</t>
  </si>
  <si>
    <t xml:space="preserve">20100401</t>
  </si>
  <si>
    <t xml:space="preserve">19860501</t>
  </si>
  <si>
    <t xml:space="preserve">19860801</t>
  </si>
  <si>
    <t xml:space="preserve">19861201</t>
  </si>
  <si>
    <t xml:space="preserve">19860401</t>
  </si>
  <si>
    <t xml:space="preserve">19860701</t>
  </si>
  <si>
    <t xml:space="preserve">19870801</t>
  </si>
  <si>
    <t xml:space="preserve">19870501</t>
  </si>
  <si>
    <t xml:space="preserve">19870701</t>
  </si>
  <si>
    <t xml:space="preserve">19870401</t>
  </si>
  <si>
    <t xml:space="preserve">20190401</t>
  </si>
  <si>
    <t xml:space="preserve">19871101</t>
  </si>
  <si>
    <t xml:space="preserve">19880501</t>
  </si>
  <si>
    <t xml:space="preserve">19880401</t>
  </si>
  <si>
    <t xml:space="preserve">20250617</t>
  </si>
  <si>
    <t xml:space="preserve">19890401</t>
  </si>
  <si>
    <t xml:space="preserve">19890501</t>
  </si>
  <si>
    <t xml:space="preserve">19900401</t>
  </si>
  <si>
    <t xml:space="preserve">19900501</t>
  </si>
  <si>
    <t xml:space="preserve">20251101</t>
  </si>
  <si>
    <t xml:space="preserve">19910101</t>
  </si>
  <si>
    <t xml:space="preserve">19910501</t>
  </si>
  <si>
    <t xml:space="preserve">19910401</t>
  </si>
  <si>
    <t xml:space="preserve">20150401</t>
  </si>
  <si>
    <t xml:space="preserve">19920401</t>
  </si>
  <si>
    <t xml:space="preserve">19920701</t>
  </si>
  <si>
    <t xml:space="preserve">20160601</t>
  </si>
  <si>
    <t xml:space="preserve">19930401</t>
  </si>
  <si>
    <t xml:space="preserve">19931001</t>
  </si>
  <si>
    <t xml:space="preserve">19940401</t>
  </si>
  <si>
    <t xml:space="preserve">19940501</t>
  </si>
  <si>
    <t xml:space="preserve">19950401</t>
  </si>
  <si>
    <t xml:space="preserve">20250331</t>
  </si>
  <si>
    <t xml:space="preserve">19960401</t>
  </si>
  <si>
    <t xml:space="preserve">19960501</t>
  </si>
  <si>
    <t xml:space="preserve">19970301</t>
  </si>
  <si>
    <t xml:space="preserve">19970401</t>
  </si>
  <si>
    <t xml:space="preserve">19970801</t>
  </si>
  <si>
    <t xml:space="preserve">19980401</t>
  </si>
  <si>
    <t xml:space="preserve">20140401</t>
  </si>
  <si>
    <t xml:space="preserve">19980801</t>
  </si>
  <si>
    <t xml:space="preserve">20030401</t>
  </si>
  <si>
    <t xml:space="preserve">20180401</t>
  </si>
  <si>
    <t xml:space="preserve">20000401</t>
  </si>
  <si>
    <t xml:space="preserve">20190601</t>
  </si>
  <si>
    <t xml:space="preserve">20000801</t>
  </si>
  <si>
    <t xml:space="preserve">20020401</t>
  </si>
  <si>
    <t xml:space="preserve">20020701</t>
  </si>
  <si>
    <t xml:space="preserve">20040401</t>
  </si>
  <si>
    <t xml:space="preserve">20040901</t>
  </si>
  <si>
    <t xml:space="preserve">20050425</t>
  </si>
  <si>
    <t xml:space="preserve">20050401</t>
  </si>
  <si>
    <t xml:space="preserve">20170401</t>
  </si>
  <si>
    <t xml:space="preserve">20060401</t>
  </si>
  <si>
    <t xml:space="preserve">20060501</t>
  </si>
  <si>
    <t xml:space="preserve">20060701</t>
  </si>
  <si>
    <t xml:space="preserve">20070401</t>
  </si>
  <si>
    <t xml:space="preserve">20080401</t>
  </si>
  <si>
    <t xml:space="preserve">20210401</t>
  </si>
  <si>
    <t xml:space="preserve">20090401</t>
  </si>
  <si>
    <t xml:space="preserve">20090701</t>
  </si>
  <si>
    <t xml:space="preserve">20090801</t>
  </si>
  <si>
    <t xml:space="preserve">20091001</t>
  </si>
  <si>
    <t xml:space="preserve">20091201</t>
  </si>
  <si>
    <t xml:space="preserve">20100101</t>
  </si>
  <si>
    <t xml:space="preserve">20100201</t>
  </si>
  <si>
    <t xml:space="preserve">20110401</t>
  </si>
  <si>
    <t xml:space="preserve">20110701</t>
  </si>
  <si>
    <t xml:space="preserve">20111001</t>
  </si>
  <si>
    <t xml:space="preserve">20120601</t>
  </si>
  <si>
    <t xml:space="preserve">20121201</t>
  </si>
  <si>
    <t xml:space="preserve">20250911</t>
  </si>
  <si>
    <t xml:space="preserve">20130401</t>
  </si>
  <si>
    <t xml:space="preserve">20131001</t>
  </si>
  <si>
    <t xml:space="preserve">20140101</t>
  </si>
  <si>
    <t xml:space="preserve">20140901</t>
  </si>
  <si>
    <t xml:space="preserve">20220401</t>
  </si>
  <si>
    <t xml:space="preserve">20230401</t>
  </si>
  <si>
    <t xml:space="preserve">20160401</t>
  </si>
  <si>
    <t xml:space="preserve">20160501</t>
  </si>
  <si>
    <t xml:space="preserve">20250913</t>
  </si>
  <si>
    <t xml:space="preserve">20190701</t>
  </si>
  <si>
    <t xml:space="preserve">20250516</t>
  </si>
  <si>
    <t xml:space="preserve">20190801</t>
  </si>
  <si>
    <t xml:space="preserve">20200401</t>
  </si>
  <si>
    <t xml:space="preserve">20250930</t>
  </si>
  <si>
    <t xml:space="preserve">20210201</t>
  </si>
  <si>
    <t xml:space="preserve">20210701</t>
  </si>
  <si>
    <t xml:space="preserve">20211001</t>
  </si>
  <si>
    <t xml:space="preserve">20250803</t>
  </si>
  <si>
    <t xml:space="preserve">20250824</t>
  </si>
  <si>
    <t xml:space="preserve">20240901</t>
  </si>
  <si>
    <t xml:space="preserve">20251007</t>
  </si>
  <si>
    <t xml:space="preserve">20220601</t>
  </si>
  <si>
    <t xml:space="preserve">20240401</t>
  </si>
  <si>
    <t xml:space="preserve">20220901</t>
  </si>
  <si>
    <t xml:space="preserve">20221001</t>
  </si>
  <si>
    <t xml:space="preserve">20230704</t>
  </si>
  <si>
    <t xml:space="preserve">20250713</t>
  </si>
  <si>
    <t xml:space="preserve">20240101</t>
  </si>
  <si>
    <t xml:space="preserve">20230601</t>
  </si>
  <si>
    <t xml:space="preserve">20230701</t>
  </si>
  <si>
    <t xml:space="preserve">20231001</t>
  </si>
  <si>
    <t xml:space="preserve">20240415</t>
  </si>
  <si>
    <t xml:space="preserve">20241001</t>
  </si>
  <si>
    <t xml:space="preserve">20240501</t>
  </si>
  <si>
    <t xml:space="preserve">20240801</t>
  </si>
  <si>
    <t xml:space="preserve">20250211</t>
  </si>
  <si>
    <t xml:space="preserve">20231101</t>
  </si>
  <si>
    <t xml:space="preserve">20240701</t>
  </si>
  <si>
    <t xml:space="preserve">20241112</t>
  </si>
  <si>
    <t xml:space="preserve">20240930</t>
  </si>
  <si>
    <t xml:space="preserve">20250727</t>
  </si>
  <si>
    <t xml:space="preserve">20221201</t>
  </si>
  <si>
    <t xml:space="preserve">20241220</t>
  </si>
  <si>
    <t xml:space="preserve">20240411</t>
  </si>
  <si>
    <t xml:space="preserve">20250517</t>
  </si>
  <si>
    <t xml:space="preserve">20250412</t>
  </si>
  <si>
    <t xml:space="preserve">20250107</t>
  </si>
  <si>
    <t xml:space="preserve">20250101</t>
  </si>
  <si>
    <t xml:space="preserve">20240115</t>
  </si>
  <si>
    <t xml:space="preserve">20210101</t>
  </si>
  <si>
    <t xml:space="preserve">20240515</t>
  </si>
  <si>
    <t xml:space="preserve">20251015</t>
  </si>
  <si>
    <t xml:space="preserve">20250128</t>
  </si>
  <si>
    <t xml:space="preserve">20241014</t>
  </si>
  <si>
    <t xml:space="preserve">20241101</t>
  </si>
  <si>
    <t xml:space="preserve">20250106</t>
  </si>
  <si>
    <t xml:space="preserve">20240408</t>
  </si>
  <si>
    <t xml:space="preserve">20240607</t>
  </si>
  <si>
    <t xml:space="preserve">20240819</t>
  </si>
  <si>
    <t xml:space="preserve">20230703</t>
  </si>
  <si>
    <t xml:space="preserve">20250709</t>
  </si>
  <si>
    <t xml:space="preserve">20250426</t>
  </si>
  <si>
    <t xml:space="preserve">20251006</t>
  </si>
  <si>
    <t xml:space="preserve">20240606</t>
  </si>
  <si>
    <t xml:space="preserve">20241201</t>
  </si>
  <si>
    <t xml:space="preserve">20250301</t>
  </si>
  <si>
    <t xml:space="preserve">20250914</t>
  </si>
  <si>
    <t xml:space="preserve">20240603</t>
  </si>
  <si>
    <t xml:space="preserve">20250201</t>
  </si>
  <si>
    <t xml:space="preserve">20210601</t>
  </si>
  <si>
    <t xml:space="preserve">20250120</t>
  </si>
  <si>
    <t xml:space="preserve">20240513</t>
  </si>
  <si>
    <t xml:space="preserve">20221003</t>
  </si>
  <si>
    <t xml:space="preserve">20221014</t>
  </si>
  <si>
    <t xml:space="preserve">20230208</t>
  </si>
  <si>
    <t xml:space="preserve">20230427</t>
  </si>
  <si>
    <t xml:space="preserve">20250415</t>
  </si>
  <si>
    <t xml:space="preserve">20230801</t>
  </si>
  <si>
    <t xml:space="preserve">20221101</t>
  </si>
  <si>
    <t xml:space="preserve">20240420</t>
  </si>
  <si>
    <t xml:space="preserve">20241202</t>
  </si>
  <si>
    <t xml:space="preserve">20230410</t>
  </si>
  <si>
    <t xml:space="preserve">20250826</t>
  </si>
  <si>
    <t xml:space="preserve">20240516</t>
  </si>
  <si>
    <t xml:space="preserve">20250712</t>
  </si>
  <si>
    <t xml:space="preserve">20231201</t>
  </si>
  <si>
    <t xml:space="preserve">20230508</t>
  </si>
  <si>
    <t xml:space="preserve">20230815</t>
  </si>
  <si>
    <t xml:space="preserve">20230901</t>
  </si>
  <si>
    <t xml:space="preserve">20231016</t>
  </si>
  <si>
    <t xml:space="preserve">20240311</t>
  </si>
  <si>
    <t xml:space="preserve">20240313</t>
  </si>
  <si>
    <t xml:space="preserve">20230501</t>
  </si>
  <si>
    <t xml:space="preserve">20230530</t>
  </si>
  <si>
    <t xml:space="preserve">20240301</t>
  </si>
  <si>
    <t xml:space="preserve">20230619</t>
  </si>
  <si>
    <t xml:space="preserve">20240412</t>
  </si>
  <si>
    <t xml:space="preserve">20240601</t>
  </si>
  <si>
    <t xml:space="preserve">20240402</t>
  </si>
  <si>
    <t xml:space="preserve">20240507</t>
  </si>
  <si>
    <t xml:space="preserve">20240508</t>
  </si>
  <si>
    <t xml:space="preserve">20240617</t>
  </si>
  <si>
    <t xml:space="preserve">20240613</t>
  </si>
  <si>
    <t xml:space="preserve">20240703</t>
  </si>
  <si>
    <t xml:space="preserve">20240709</t>
  </si>
  <si>
    <t xml:space="preserve">20240807</t>
  </si>
  <si>
    <t xml:space="preserve">20240902</t>
  </si>
  <si>
    <t xml:space="preserve">20240924</t>
  </si>
  <si>
    <t xml:space="preserve">20241105</t>
  </si>
  <si>
    <t xml:space="preserve">20241120</t>
  </si>
  <si>
    <t xml:space="preserve">20241205</t>
  </si>
  <si>
    <t xml:space="preserve">20250213</t>
  </si>
  <si>
    <t xml:space="preserve">20250304</t>
  </si>
  <si>
    <t xml:space="preserve">20250303</t>
  </si>
  <si>
    <t xml:space="preserve">20250312</t>
  </si>
  <si>
    <t xml:space="preserve">20240409</t>
  </si>
  <si>
    <t xml:space="preserve">20250419</t>
  </si>
  <si>
    <t xml:space="preserve">20240625</t>
  </si>
  <si>
    <t xml:space="preserve">20240704</t>
  </si>
  <si>
    <t xml:space="preserve">20240923</t>
  </si>
  <si>
    <t xml:space="preserve">20241209</t>
  </si>
  <si>
    <t xml:space="preserve">20250715</t>
  </si>
  <si>
    <t xml:space="preserve">20250710</t>
  </si>
  <si>
    <t xml:space="preserve">20250210</t>
  </si>
  <si>
    <t xml:space="preserve">20250723</t>
  </si>
  <si>
    <t xml:space="preserve">20250311</t>
  </si>
  <si>
    <t xml:space="preserve">20240427</t>
  </si>
  <si>
    <t xml:space="preserve">20240806</t>
  </si>
  <si>
    <t xml:space="preserve">20200701</t>
  </si>
  <si>
    <t xml:space="preserve">20231002</t>
  </si>
  <si>
    <t xml:space="preserve">19990401</t>
  </si>
  <si>
    <t xml:space="preserve">20010401</t>
  </si>
  <si>
    <t xml:space="preserve">19910901</t>
  </si>
  <si>
    <t xml:space="preserve">20011001</t>
  </si>
  <si>
    <t xml:space="preserve">20150601</t>
  </si>
  <si>
    <t xml:space="preserve">20240109</t>
  </si>
  <si>
    <t xml:space="preserve">19860901</t>
  </si>
  <si>
    <t xml:space="preserve">20230829</t>
  </si>
  <si>
    <t xml:space="preserve">19871001</t>
  </si>
  <si>
    <t xml:space="preserve">19871201</t>
  </si>
  <si>
    <t xml:space="preserve">19860916</t>
  </si>
  <si>
    <t xml:space="preserve">20200601</t>
  </si>
  <si>
    <t xml:space="preserve">20071001</t>
  </si>
  <si>
    <t xml:space="preserve">19891201</t>
  </si>
  <si>
    <t xml:space="preserve">20190501</t>
  </si>
  <si>
    <t xml:space="preserve">20230201</t>
  </si>
  <si>
    <t xml:space="preserve">19940101</t>
  </si>
  <si>
    <t xml:space="preserve">19911001</t>
  </si>
  <si>
    <t xml:space="preserve">20230411</t>
  </si>
  <si>
    <t xml:space="preserve">20110911</t>
  </si>
  <si>
    <t xml:space="preserve">20190901</t>
  </si>
  <si>
    <t xml:space="preserve">20180828</t>
  </si>
  <si>
    <t xml:space="preserve">20100601</t>
  </si>
  <si>
    <t xml:space="preserve">20100712</t>
  </si>
  <si>
    <t xml:space="preserve">20140210</t>
  </si>
  <si>
    <t xml:space="preserve">20021001</t>
  </si>
  <si>
    <t xml:space="preserve">20091008</t>
  </si>
  <si>
    <t xml:space="preserve">20000901</t>
  </si>
  <si>
    <t xml:space="preserve">20070701</t>
  </si>
  <si>
    <t xml:space="preserve">19990416</t>
  </si>
  <si>
    <t xml:space="preserve">20090307</t>
  </si>
  <si>
    <t xml:space="preserve">20160419</t>
  </si>
  <si>
    <t xml:space="preserve">20080601</t>
  </si>
  <si>
    <t xml:space="preserve">20220701</t>
  </si>
  <si>
    <t xml:space="preserve">20211102</t>
  </si>
  <si>
    <t xml:space="preserve">20200411</t>
  </si>
  <si>
    <t xml:space="preserve">20130624</t>
  </si>
  <si>
    <t xml:space="preserve">20070405</t>
  </si>
  <si>
    <t xml:space="preserve">20080328</t>
  </si>
  <si>
    <t xml:space="preserve">20070416</t>
  </si>
  <si>
    <t xml:space="preserve">20200710</t>
  </si>
  <si>
    <t xml:space="preserve">20201001</t>
  </si>
  <si>
    <t xml:space="preserve">20240322</t>
  </si>
  <si>
    <t xml:space="preserve">20220101</t>
  </si>
  <si>
    <t xml:space="preserve">20090831</t>
  </si>
  <si>
    <t xml:space="preserve">20091002</t>
  </si>
  <si>
    <t xml:space="preserve">20070702</t>
  </si>
  <si>
    <t xml:space="preserve">20070929</t>
  </si>
  <si>
    <t xml:space="preserve">20070501</t>
  </si>
  <si>
    <t xml:space="preserve">20080901</t>
  </si>
  <si>
    <t xml:space="preserve">20080201</t>
  </si>
  <si>
    <t xml:space="preserve">19981001</t>
  </si>
  <si>
    <t xml:space="preserve">19880701</t>
  </si>
  <si>
    <t xml:space="preserve">20070404</t>
  </si>
  <si>
    <t xml:space="preserve">20000718</t>
  </si>
  <si>
    <t xml:space="preserve">20230101</t>
  </si>
  <si>
    <t xml:space="preserve">20230112</t>
  </si>
  <si>
    <t xml:space="preserve">20091113</t>
  </si>
  <si>
    <t xml:space="preserve">20090828</t>
  </si>
  <si>
    <t xml:space="preserve">20121001</t>
  </si>
  <si>
    <t xml:space="preserve">20070109</t>
  </si>
  <si>
    <t xml:space="preserve">20220715</t>
  </si>
  <si>
    <t xml:space="preserve">19991001</t>
  </si>
  <si>
    <t xml:space="preserve">20151001</t>
  </si>
  <si>
    <t xml:space="preserve">20130921</t>
  </si>
  <si>
    <t xml:space="preserve">20080107</t>
  </si>
  <si>
    <t xml:space="preserve">20150106</t>
  </si>
  <si>
    <t xml:space="preserve">20030901</t>
  </si>
  <si>
    <t xml:space="preserve">20090630</t>
  </si>
  <si>
    <t xml:space="preserve">20080703</t>
  </si>
  <si>
    <t xml:space="preserve">20081101</t>
  </si>
  <si>
    <t xml:space="preserve">20090901</t>
  </si>
  <si>
    <t xml:space="preserve">20130101</t>
  </si>
  <si>
    <t xml:space="preserve">20230930</t>
  </si>
  <si>
    <t xml:space="preserve">20091105</t>
  </si>
  <si>
    <t xml:space="preserve">20051217</t>
  </si>
  <si>
    <t xml:space="preserve">20240602</t>
  </si>
  <si>
    <t xml:space="preserve">20090126</t>
  </si>
  <si>
    <t xml:space="preserve">20051024</t>
  </si>
  <si>
    <t xml:space="preserve">20060517</t>
  </si>
  <si>
    <t xml:space="preserve">20071026</t>
  </si>
  <si>
    <t xml:space="preserve">20020501</t>
  </si>
  <si>
    <t xml:space="preserve">20240517</t>
  </si>
  <si>
    <t xml:space="preserve">20240521</t>
  </si>
  <si>
    <t xml:space="preserve">20050614</t>
  </si>
  <si>
    <t xml:space="preserve">20230325</t>
  </si>
  <si>
    <t xml:space="preserve">20090721</t>
  </si>
  <si>
    <t xml:space="preserve">19870417</t>
  </si>
  <si>
    <t xml:space="preserve">20060403</t>
  </si>
  <si>
    <t xml:space="preserve">20080329</t>
  </si>
  <si>
    <t xml:space="preserve">20250326</t>
  </si>
  <si>
    <t xml:space="preserve">19951002</t>
  </si>
  <si>
    <t xml:space="preserve">20241224</t>
  </si>
  <si>
    <t xml:space="preserve">20090804</t>
  </si>
  <si>
    <t xml:space="preserve">20090205</t>
  </si>
  <si>
    <t xml:space="preserve">20090107</t>
  </si>
  <si>
    <t xml:space="preserve">20090320</t>
  </si>
  <si>
    <t xml:space="preserve">19861101</t>
  </si>
  <si>
    <t xml:space="preserve">20160708</t>
  </si>
  <si>
    <t xml:space="preserve">19980601</t>
  </si>
  <si>
    <t xml:space="preserve">19920901</t>
  </si>
  <si>
    <t xml:space="preserve">20040108</t>
  </si>
  <si>
    <t xml:space="preserve">20140701</t>
  </si>
  <si>
    <t xml:space="preserve">20070107</t>
  </si>
  <si>
    <t xml:space="preserve">20090613</t>
  </si>
  <si>
    <t xml:space="preserve">20080101</t>
  </si>
  <si>
    <t xml:space="preserve">20090101</t>
  </si>
  <si>
    <t xml:space="preserve">19880301</t>
  </si>
  <si>
    <t xml:space="preserve">20090621</t>
  </si>
  <si>
    <t xml:space="preserve">20090105</t>
  </si>
  <si>
    <t xml:space="preserve">20070801</t>
  </si>
  <si>
    <t xml:space="preserve">20050404</t>
  </si>
  <si>
    <t xml:space="preserve">20071101</t>
  </si>
  <si>
    <t xml:space="preserve">19961101</t>
  </si>
  <si>
    <t xml:space="preserve">20080701</t>
  </si>
  <si>
    <t xml:space="preserve">20081224</t>
  </si>
  <si>
    <t xml:space="preserve">20090201</t>
  </si>
  <si>
    <t xml:space="preserve">20050301</t>
  </si>
  <si>
    <t xml:space="preserve">20091101</t>
  </si>
  <si>
    <t xml:space="preserve">20250320</t>
  </si>
  <si>
    <t xml:space="preserve">20091020</t>
  </si>
  <si>
    <t xml:space="preserve">20161008</t>
  </si>
  <si>
    <t xml:space="preserve">20180601</t>
  </si>
  <si>
    <t xml:space="preserve">20201101</t>
  </si>
  <si>
    <t xml:space="preserve">20230512</t>
  </si>
  <si>
    <t xml:space="preserve">20171201</t>
  </si>
  <si>
    <t xml:space="preserve">20081001</t>
  </si>
  <si>
    <t xml:space="preserve">20150501</t>
  </si>
  <si>
    <t xml:space="preserve">20231028</t>
  </si>
  <si>
    <t xml:space="preserve">20230407</t>
  </si>
  <si>
    <t xml:space="preserve">20240326</t>
  </si>
  <si>
    <t xml:space="preserve">20090415</t>
  </si>
  <si>
    <t xml:space="preserve">20051201</t>
  </si>
  <si>
    <t xml:space="preserve">20080707</t>
  </si>
  <si>
    <t xml:space="preserve">20050701</t>
  </si>
  <si>
    <t xml:space="preserve">20071206</t>
  </si>
  <si>
    <t xml:space="preserve">20080809</t>
  </si>
  <si>
    <t xml:space="preserve">20030501</t>
  </si>
  <si>
    <t xml:space="preserve">20071009</t>
  </si>
  <si>
    <t xml:space="preserve">20021120</t>
  </si>
  <si>
    <t xml:space="preserve">20240710</t>
  </si>
  <si>
    <t xml:space="preserve">20001001</t>
  </si>
  <si>
    <t xml:space="preserve">20170701</t>
  </si>
  <si>
    <t xml:space="preserve">20090408</t>
  </si>
  <si>
    <t xml:space="preserve">20090718</t>
  </si>
  <si>
    <t xml:space="preserve">20080704</t>
  </si>
  <si>
    <t xml:space="preserve">20110215</t>
  </si>
  <si>
    <t xml:space="preserve">20230616</t>
  </si>
  <si>
    <t xml:space="preserve">20231223</t>
  </si>
  <si>
    <t xml:space="preserve">19881110</t>
  </si>
  <si>
    <t xml:space="preserve">19980301</t>
  </si>
  <si>
    <t xml:space="preserve">19830411</t>
  </si>
  <si>
    <t xml:space="preserve">19920201</t>
  </si>
  <si>
    <t xml:space="preserve">19830501</t>
  </si>
  <si>
    <t xml:space="preserve">20250325</t>
  </si>
  <si>
    <t xml:space="preserve">19851201</t>
  </si>
  <si>
    <t xml:space="preserve">20011101</t>
  </si>
  <si>
    <t xml:space="preserve">20240614</t>
  </si>
  <si>
    <t xml:space="preserve">19870301</t>
  </si>
  <si>
    <t xml:space="preserve">20031001</t>
  </si>
  <si>
    <t xml:space="preserve">19861001</t>
  </si>
  <si>
    <t xml:space="preserve">19870817</t>
  </si>
  <si>
    <t xml:space="preserve">19860601</t>
  </si>
  <si>
    <t xml:space="preserve">19850801</t>
  </si>
  <si>
    <t xml:space="preserve">20200101</t>
  </si>
  <si>
    <t xml:space="preserve">19880601</t>
  </si>
  <si>
    <t xml:space="preserve">20200919</t>
  </si>
  <si>
    <t xml:space="preserve">19870601</t>
  </si>
  <si>
    <t xml:space="preserve">20201201</t>
  </si>
  <si>
    <t xml:space="preserve">20100901</t>
  </si>
  <si>
    <t xml:space="preserve">20130901</t>
  </si>
  <si>
    <t xml:space="preserve">20220301</t>
  </si>
  <si>
    <t xml:space="preserve">20240914</t>
  </si>
  <si>
    <t xml:space="preserve">20231121</t>
  </si>
  <si>
    <t xml:space="preserve">20080102</t>
  </si>
  <si>
    <t xml:space="preserve">20160301</t>
  </si>
  <si>
    <t xml:space="preserve">20170321</t>
  </si>
  <si>
    <t xml:space="preserve">20240719</t>
  </si>
  <si>
    <t xml:space="preserve">20210806</t>
  </si>
  <si>
    <t xml:space="preserve">20080602</t>
  </si>
  <si>
    <t xml:space="preserve">20041001</t>
  </si>
  <si>
    <t xml:space="preserve">20200822</t>
  </si>
  <si>
    <t xml:space="preserve">20040726</t>
  </si>
  <si>
    <t xml:space="preserve">20070726</t>
  </si>
  <si>
    <t xml:space="preserve">20160130</t>
  </si>
  <si>
    <t xml:space="preserve">20210322</t>
  </si>
  <si>
    <t xml:space="preserve">20230224</t>
  </si>
  <si>
    <t xml:space="preserve">20051001</t>
  </si>
  <si>
    <t xml:space="preserve">20160701</t>
  </si>
  <si>
    <t xml:space="preserve">20181001</t>
  </si>
  <si>
    <t xml:space="preserve">20160901</t>
  </si>
  <si>
    <t xml:space="preserve">20190311</t>
  </si>
  <si>
    <t xml:space="preserve">20220322</t>
  </si>
  <si>
    <t xml:space="preserve">20141214</t>
  </si>
  <si>
    <t xml:space="preserve">20230817</t>
  </si>
  <si>
    <t xml:space="preserve">20131201</t>
  </si>
  <si>
    <t xml:space="preserve">20030316</t>
  </si>
  <si>
    <t xml:space="preserve">20191001</t>
  </si>
  <si>
    <t xml:space="preserve">20090601</t>
  </si>
  <si>
    <t xml:space="preserve">20221117</t>
  </si>
  <si>
    <t xml:space="preserve">20001002</t>
  </si>
  <si>
    <t xml:space="preserve">20071119</t>
  </si>
  <si>
    <t xml:space="preserve">19971001</t>
  </si>
  <si>
    <t xml:space="preserve">20090413</t>
  </si>
  <si>
    <t xml:space="preserve">20070403</t>
  </si>
  <si>
    <t xml:space="preserve">20070601</t>
  </si>
  <si>
    <t xml:space="preserve">20071004</t>
  </si>
  <si>
    <t xml:space="preserve">20071110</t>
  </si>
  <si>
    <t xml:space="preserve">20221116</t>
  </si>
  <si>
    <t xml:space="preserve">20020610</t>
  </si>
  <si>
    <t xml:space="preserve">20050501</t>
  </si>
  <si>
    <t xml:space="preserve">20240730</t>
  </si>
  <si>
    <t xml:space="preserve">20000701</t>
  </si>
  <si>
    <t xml:space="preserve">20240116</t>
  </si>
  <si>
    <t xml:space="preserve">20051221</t>
  </si>
  <si>
    <t xml:space="preserve">20090803</t>
  </si>
  <si>
    <t xml:space="preserve">20000705</t>
  </si>
  <si>
    <t xml:space="preserve">19990901</t>
  </si>
  <si>
    <t xml:space="preserve">20040113</t>
  </si>
  <si>
    <t xml:space="preserve">20080817</t>
  </si>
  <si>
    <t xml:space="preserve">20010501</t>
  </si>
  <si>
    <t xml:space="preserve">20090331</t>
  </si>
  <si>
    <t xml:space="preserve">20050906</t>
  </si>
  <si>
    <t xml:space="preserve">20090530</t>
  </si>
  <si>
    <t xml:space="preserve">20240323</t>
  </si>
  <si>
    <t xml:space="preserve">20000406</t>
  </si>
  <si>
    <t xml:space="preserve">19920801</t>
  </si>
  <si>
    <t xml:space="preserve">20090202</t>
  </si>
  <si>
    <t xml:space="preserve">20070607</t>
  </si>
  <si>
    <t xml:space="preserve">20040701</t>
  </si>
  <si>
    <t xml:space="preserve">20150901</t>
  </si>
  <si>
    <t xml:space="preserve">20060601</t>
  </si>
  <si>
    <t xml:space="preserve">20070219</t>
  </si>
  <si>
    <t xml:space="preserve">19960801</t>
  </si>
  <si>
    <t xml:space="preserve">20090125</t>
  </si>
  <si>
    <t xml:space="preserve">20070124</t>
  </si>
  <si>
    <t xml:space="preserve">20240201</t>
  </si>
  <si>
    <t xml:space="preserve">20040506</t>
  </si>
  <si>
    <t xml:space="preserve">20030711</t>
  </si>
  <si>
    <t xml:space="preserve">20080501</t>
  </si>
  <si>
    <t xml:space="preserve">20081014</t>
  </si>
  <si>
    <t xml:space="preserve">20070602</t>
  </si>
  <si>
    <t xml:space="preserve">20010616</t>
  </si>
  <si>
    <t xml:space="preserve">20180801</t>
  </si>
  <si>
    <t xml:space="preserve">20010109</t>
  </si>
  <si>
    <t xml:space="preserve">20080301</t>
  </si>
  <si>
    <t xml:space="preserve">20241016</t>
  </si>
  <si>
    <t xml:space="preserve">20061001</t>
  </si>
  <si>
    <t xml:space="preserve">20160801</t>
  </si>
  <si>
    <t xml:space="preserve">20040601</t>
  </si>
  <si>
    <t xml:space="preserve">20230416</t>
  </si>
  <si>
    <t xml:space="preserve">20090414</t>
  </si>
  <si>
    <t xml:space="preserve">20030601</t>
  </si>
  <si>
    <t xml:space="preserve">20080916</t>
  </si>
  <si>
    <t xml:space="preserve">20060117</t>
  </si>
  <si>
    <t xml:space="preserve">20140719</t>
  </si>
  <si>
    <t xml:space="preserve">20210730</t>
  </si>
  <si>
    <t xml:space="preserve">20020821</t>
  </si>
  <si>
    <t xml:space="preserve">19870516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</si>
</sst>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0"/>
    <numFmt numFmtId="167" formatCode="0.0000"/>
    <numFmt numFmtId="168" formatCode="#,##0;[RED]\-#,##0"/>
    <numFmt numFmtId="169" formatCode="#,##0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Cambria"/>
      <family val="0"/>
      <charset val="1"/>
    </font>
    <font>
      <b val="true"/>
      <sz val="11"/>
      <name val="WenQuanYi Zen Hei"/>
      <family val="2"/>
    </font>
    <font>
      <sz val="11"/>
      <color theme="1"/>
      <name val="WenQuanYi Zen Hei"/>
      <family val="2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70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B4" s="0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s">
        <v>6</v>
      </c>
    </row>
    <row r="8" customFormat="false" ht="15" hidden="false" customHeight="false" outlineLevel="0" collapsed="false">
      <c r="B8" s="3" t="s">
        <v>7</v>
      </c>
    </row>
    <row r="9" customFormat="false" ht="15" hidden="false" customHeight="false" outlineLevel="0" collapsed="false">
      <c r="A9" s="0" t="s">
        <v>8</v>
      </c>
      <c r="B9" s="3" t="s">
        <v>9</v>
      </c>
    </row>
    <row r="10" customFormat="false" ht="15" hidden="false" customHeight="false" outlineLevel="0" collapsed="false">
      <c r="A10" s="0" t="s">
        <v>10</v>
      </c>
      <c r="B10" s="3" t="s">
        <v>11</v>
      </c>
    </row>
    <row r="11" customFormat="false" ht="15" hidden="false" customHeight="false" outlineLevel="0" collapsed="false">
      <c r="A11" s="0" t="s">
        <v>12</v>
      </c>
      <c r="B11" s="0" t="s">
        <v>13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B13" s="5" t="s">
        <v>15</v>
      </c>
      <c r="C13" s="6" t="s">
        <v>16</v>
      </c>
      <c r="D13" s="6" t="s">
        <v>17</v>
      </c>
    </row>
    <row r="14" customFormat="false" ht="15" hidden="false" customHeight="false" outlineLevel="0" collapsed="false">
      <c r="B14" s="0" t="s">
        <v>18</v>
      </c>
      <c r="C14" s="0" t="s">
        <v>19</v>
      </c>
      <c r="D14" s="3" t="s">
        <v>20</v>
      </c>
    </row>
    <row r="15" customFormat="false" ht="15" hidden="false" customHeight="false" outlineLevel="0" collapsed="false">
      <c r="B15" s="0" t="s">
        <v>21</v>
      </c>
      <c r="C15" s="0" t="s">
        <v>22</v>
      </c>
      <c r="D15" s="3" t="s">
        <v>23</v>
      </c>
    </row>
    <row r="16" customFormat="false" ht="15" hidden="false" customHeight="false" outlineLevel="0" collapsed="false">
      <c r="B16" s="0" t="s">
        <v>24</v>
      </c>
      <c r="C16" s="0" t="s">
        <v>25</v>
      </c>
      <c r="D16" s="3" t="s">
        <v>26</v>
      </c>
    </row>
    <row r="17" customFormat="false" ht="15" hidden="false" customHeight="false" outlineLevel="0" collapsed="false">
      <c r="B17" s="0" t="s">
        <v>27</v>
      </c>
      <c r="C17" s="0" t="s">
        <v>28</v>
      </c>
      <c r="D17" s="3" t="s">
        <v>26</v>
      </c>
    </row>
    <row r="18" customFormat="false" ht="15" hidden="false" customHeight="false" outlineLevel="0" collapsed="false">
      <c r="B18" s="0" t="s">
        <v>29</v>
      </c>
      <c r="C18" s="0" t="s">
        <v>30</v>
      </c>
      <c r="D18" s="3" t="s">
        <v>31</v>
      </c>
    </row>
    <row r="19" customFormat="false" ht="15" hidden="false" customHeight="false" outlineLevel="0" collapsed="false">
      <c r="B19" s="0" t="s">
        <v>32</v>
      </c>
      <c r="C19" s="0" t="s">
        <v>33</v>
      </c>
      <c r="D19" s="3" t="s">
        <v>31</v>
      </c>
    </row>
    <row r="20" customFormat="false" ht="15" hidden="false" customHeight="false" outlineLevel="0" collapsed="false">
      <c r="B20" s="0" t="s">
        <v>34</v>
      </c>
      <c r="C20" s="0" t="s">
        <v>35</v>
      </c>
      <c r="D20" s="3" t="s">
        <v>36</v>
      </c>
    </row>
    <row r="21" customFormat="false" ht="15" hidden="false" customHeight="false" outlineLevel="0" collapsed="false">
      <c r="B21" s="0" t="s">
        <v>37</v>
      </c>
      <c r="C21" s="0" t="s">
        <v>38</v>
      </c>
      <c r="D21" s="3" t="s">
        <v>36</v>
      </c>
    </row>
    <row r="22" customFormat="false" ht="15" hidden="false" customHeight="false" outlineLevel="0" collapsed="false">
      <c r="B22" s="0" t="s">
        <v>39</v>
      </c>
      <c r="C22" s="0" t="s">
        <v>40</v>
      </c>
      <c r="D22" s="3" t="s">
        <v>41</v>
      </c>
    </row>
    <row r="23" customFormat="false" ht="15" hidden="false" customHeight="false" outlineLevel="0" collapsed="false">
      <c r="B23" s="0" t="s">
        <v>42</v>
      </c>
      <c r="C23" s="0" t="s">
        <v>43</v>
      </c>
      <c r="D23" s="3" t="s">
        <v>41</v>
      </c>
    </row>
    <row r="24" customFormat="false" ht="15" hidden="false" customHeight="false" outlineLevel="0" collapsed="false">
      <c r="B24" s="0" t="s">
        <v>44</v>
      </c>
      <c r="C24" s="0" t="s">
        <v>45</v>
      </c>
      <c r="D24" s="3" t="s">
        <v>46</v>
      </c>
    </row>
    <row r="25" customFormat="false" ht="15" hidden="false" customHeight="false" outlineLevel="0" collapsed="false">
      <c r="B25" s="0" t="s">
        <v>47</v>
      </c>
      <c r="C25" s="0" t="s">
        <v>48</v>
      </c>
      <c r="D25" s="3" t="s">
        <v>49</v>
      </c>
    </row>
    <row r="26" customFormat="false" ht="15" hidden="false" customHeight="false" outlineLevel="0" collapsed="false">
      <c r="B26" s="0" t="s">
        <v>50</v>
      </c>
      <c r="C26" s="0" t="s">
        <v>51</v>
      </c>
      <c r="D26" s="3" t="s">
        <v>52</v>
      </c>
    </row>
    <row r="27" customFormat="false" ht="15" hidden="false" customHeight="false" outlineLevel="0" collapsed="false">
      <c r="B27" s="0" t="s">
        <v>53</v>
      </c>
      <c r="C27" s="0" t="s">
        <v>54</v>
      </c>
      <c r="D27" s="3" t="s">
        <v>52</v>
      </c>
    </row>
    <row r="28" customFormat="false" ht="15" hidden="false" customHeight="false" outlineLevel="0" collapsed="false">
      <c r="B28" s="0" t="s">
        <v>55</v>
      </c>
      <c r="C28" s="0" t="s">
        <v>56</v>
      </c>
      <c r="D28" s="3" t="s">
        <v>57</v>
      </c>
    </row>
    <row r="29" customFormat="false" ht="15" hidden="false" customHeight="false" outlineLevel="0" collapsed="false">
      <c r="B29" s="0" t="s">
        <v>58</v>
      </c>
      <c r="C29" s="0" t="s">
        <v>59</v>
      </c>
      <c r="D29" s="3" t="s">
        <v>57</v>
      </c>
    </row>
    <row r="30" customFormat="false" ht="15" hidden="false" customHeight="false" outlineLevel="0" collapsed="false">
      <c r="B30" s="0" t="s">
        <v>60</v>
      </c>
      <c r="C30" s="0" t="s">
        <v>61</v>
      </c>
      <c r="D30" s="3" t="s">
        <v>62</v>
      </c>
    </row>
    <row r="31" customFormat="false" ht="15" hidden="false" customHeight="false" outlineLevel="0" collapsed="false">
      <c r="B31" s="0" t="s">
        <v>63</v>
      </c>
      <c r="C31" s="0" t="s">
        <v>64</v>
      </c>
      <c r="D31" s="3" t="s">
        <v>65</v>
      </c>
    </row>
    <row r="32" customFormat="false" ht="15" hidden="false" customHeight="false" outlineLevel="0" collapsed="false">
      <c r="B32" s="0" t="s">
        <v>66</v>
      </c>
      <c r="C32" s="0" t="s">
        <v>67</v>
      </c>
      <c r="D32" s="3" t="s">
        <v>68</v>
      </c>
    </row>
    <row r="33" customFormat="false" ht="15" hidden="false" customHeight="false" outlineLevel="0" collapsed="false">
      <c r="B33" s="0" t="s">
        <v>69</v>
      </c>
      <c r="C33" s="0" t="s">
        <v>70</v>
      </c>
      <c r="D33" s="3" t="s">
        <v>68</v>
      </c>
    </row>
    <row r="34" customFormat="false" ht="15" hidden="false" customHeight="false" outlineLevel="0" collapsed="false">
      <c r="B34" s="0" t="s">
        <v>71</v>
      </c>
      <c r="C34" s="0" t="s">
        <v>72</v>
      </c>
      <c r="D34" s="3" t="s">
        <v>73</v>
      </c>
    </row>
    <row r="35" customFormat="false" ht="15" hidden="false" customHeight="false" outlineLevel="0" collapsed="false">
      <c r="B35" s="0" t="s">
        <v>74</v>
      </c>
      <c r="C35" s="0" t="s">
        <v>75</v>
      </c>
      <c r="D35" s="3" t="s">
        <v>73</v>
      </c>
    </row>
    <row r="36" customFormat="false" ht="15" hidden="false" customHeight="false" outlineLevel="0" collapsed="false">
      <c r="B36" s="0" t="s">
        <v>76</v>
      </c>
      <c r="C36" s="0" t="s">
        <v>77</v>
      </c>
      <c r="D36" s="3" t="s">
        <v>78</v>
      </c>
    </row>
    <row r="37" customFormat="false" ht="15" hidden="false" customHeight="false" outlineLevel="0" collapsed="false">
      <c r="B37" s="0" t="s">
        <v>79</v>
      </c>
      <c r="C37" s="0" t="s">
        <v>80</v>
      </c>
      <c r="D37" s="3" t="s">
        <v>78</v>
      </c>
    </row>
    <row r="38" customFormat="false" ht="15" hidden="false" customHeight="false" outlineLevel="0" collapsed="false">
      <c r="B38" s="0" t="s">
        <v>81</v>
      </c>
      <c r="C38" s="0" t="s">
        <v>82</v>
      </c>
      <c r="D38" s="3" t="s">
        <v>83</v>
      </c>
    </row>
    <row r="39" customFormat="false" ht="15" hidden="false" customHeight="false" outlineLevel="0" collapsed="false">
      <c r="B39" s="0" t="s">
        <v>84</v>
      </c>
      <c r="C39" s="0" t="s">
        <v>85</v>
      </c>
      <c r="D39" s="3" t="s">
        <v>83</v>
      </c>
    </row>
    <row r="41" customFormat="false" ht="15" hidden="false" customHeight="false" outlineLevel="0" collapsed="false">
      <c r="A41" s="2" t="s">
        <v>86</v>
      </c>
    </row>
    <row r="42" customFormat="false" ht="15" hidden="false" customHeight="false" outlineLevel="0" collapsed="false">
      <c r="A42" s="0" t="s">
        <v>87</v>
      </c>
    </row>
    <row r="43" customFormat="false" ht="15" hidden="false" customHeight="false" outlineLevel="0" collapsed="false">
      <c r="A43" s="0" t="s">
        <v>88</v>
      </c>
    </row>
    <row r="44" customFormat="false" ht="15" hidden="false" customHeight="false" outlineLevel="0" collapsed="false">
      <c r="A44" s="0" t="s">
        <v>89</v>
      </c>
    </row>
    <row r="45" customFormat="false" ht="15" hidden="false" customHeight="false" outlineLevel="0" collapsed="false">
      <c r="A45" s="0" t="s">
        <v>90</v>
      </c>
    </row>
    <row r="46" customFormat="false" ht="15" hidden="false" customHeight="false" outlineLevel="0" collapsed="false">
      <c r="A46" s="0" t="s">
        <v>91</v>
      </c>
    </row>
    <row r="47" customFormat="false" ht="15" hidden="false" customHeight="false" outlineLevel="0" collapsed="false">
      <c r="A47" s="0" t="s">
        <v>92</v>
      </c>
    </row>
    <row r="48" customFormat="false" ht="15" hidden="false" customHeight="false" outlineLevel="0" collapsed="false">
      <c r="A48" s="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3" style="0" width="16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1" t="s">
        <v>94</v>
      </c>
    </row>
    <row r="4" customFormat="false" ht="15" hidden="false" customHeight="false" outlineLevel="0" collapsed="false">
      <c r="A4" s="3" t="s">
        <v>95</v>
      </c>
      <c r="C4" s="7" t="s">
        <v>96</v>
      </c>
      <c r="D4" s="3" t="s">
        <v>97</v>
      </c>
    </row>
    <row r="5" customFormat="false" ht="15" hidden="false" customHeight="false" outlineLevel="0" collapsed="false">
      <c r="A5" s="3" t="s">
        <v>98</v>
      </c>
      <c r="C5" s="8" t="n">
        <f aca="false">ROUND(COUNTIF(定年延長R7_DBP59FA!$DB$2:$DB$3001,"在職")/(COUNTIF(定年延長R7_DBP59FA!$DB$2:$DB$3001,"在職")+COUNTIF(定年延長R7_DBP59FA!$DB$2:$DB$3001,"4/1喪失")),2)</f>
        <v>0.66</v>
      </c>
      <c r="D5" s="3" t="s">
        <v>99</v>
      </c>
    </row>
    <row r="6" customFormat="false" ht="15" hidden="false" customHeight="false" outlineLevel="0" collapsed="false">
      <c r="A6" s="3" t="s">
        <v>100</v>
      </c>
      <c r="C6" s="9"/>
      <c r="D6" s="3" t="s">
        <v>101</v>
      </c>
    </row>
    <row r="7" customFormat="false" ht="15" hidden="false" customHeight="false" outlineLevel="0" collapsed="false">
      <c r="A7" s="3" t="s">
        <v>102</v>
      </c>
      <c r="C7" s="8" t="n">
        <f aca="false">IF(C6="",C5,C6)</f>
        <v>0.66</v>
      </c>
    </row>
    <row r="8" customFormat="false" ht="15" hidden="false" customHeight="false" outlineLevel="0" collapsed="false">
      <c r="A8" s="0" t="s">
        <v>103</v>
      </c>
      <c r="C8" s="10" t="n">
        <f aca="false">1/3</f>
        <v>0.333333333333333</v>
      </c>
      <c r="D8" s="3" t="s">
        <v>104</v>
      </c>
    </row>
    <row r="9" customFormat="false" ht="15" hidden="false" customHeight="false" outlineLevel="0" collapsed="false">
      <c r="A9" s="3" t="s">
        <v>105</v>
      </c>
      <c r="C9" s="11" t="s">
        <v>8</v>
      </c>
      <c r="D9" s="12" t="s">
        <v>106</v>
      </c>
    </row>
    <row r="11" customFormat="false" ht="15" hidden="false" customHeight="false" outlineLevel="0" collapsed="false">
      <c r="A11" s="2" t="s">
        <v>107</v>
      </c>
    </row>
    <row r="12" customFormat="false" ht="15" hidden="false" customHeight="false" outlineLevel="0" collapsed="false">
      <c r="A12" s="3" t="s">
        <v>108</v>
      </c>
      <c r="C12" s="9" t="n">
        <v>162</v>
      </c>
      <c r="D12" s="3" t="s">
        <v>109</v>
      </c>
    </row>
    <row r="13" customFormat="false" ht="15" hidden="false" customHeight="false" outlineLevel="0" collapsed="false">
      <c r="A13" s="3" t="s">
        <v>110</v>
      </c>
      <c r="C13" s="9" t="n">
        <v>38</v>
      </c>
      <c r="D13" s="3" t="s">
        <v>111</v>
      </c>
    </row>
    <row r="14" customFormat="false" ht="15" hidden="false" customHeight="false" outlineLevel="0" collapsed="false">
      <c r="A14" s="3" t="s">
        <v>112</v>
      </c>
      <c r="C14" s="9" t="n">
        <v>322</v>
      </c>
      <c r="D14" s="3" t="s">
        <v>113</v>
      </c>
    </row>
    <row r="16" customFormat="false" ht="15" hidden="false" customHeight="false" outlineLevel="0" collapsed="false">
      <c r="A16" s="2" t="s">
        <v>114</v>
      </c>
    </row>
    <row r="17" customFormat="false" ht="15" hidden="false" customHeight="false" outlineLevel="0" collapsed="false">
      <c r="A17" s="3" t="s">
        <v>115</v>
      </c>
      <c r="D17" s="3" t="s">
        <v>116</v>
      </c>
    </row>
    <row r="18" customFormat="false" ht="15" hidden="false" customHeight="false" outlineLevel="0" collapsed="false">
      <c r="A18" s="3" t="s">
        <v>117</v>
      </c>
      <c r="D18" s="0" t="s">
        <v>118</v>
      </c>
    </row>
    <row r="19" customFormat="false" ht="15" hidden="false" customHeight="false" outlineLevel="0" collapsed="false">
      <c r="A19" s="3" t="s">
        <v>119</v>
      </c>
      <c r="D19" s="0" t="s">
        <v>120</v>
      </c>
    </row>
    <row r="20" customFormat="false" ht="15" hidden="false" customHeight="false" outlineLevel="0" collapsed="false">
      <c r="A20" s="3" t="s">
        <v>121</v>
      </c>
      <c r="D20" s="0" t="s">
        <v>122</v>
      </c>
    </row>
    <row r="21" customFormat="false" ht="15" hidden="false" customHeight="false" outlineLevel="0" collapsed="false">
      <c r="A21" s="3" t="s">
        <v>123</v>
      </c>
      <c r="D21" s="0" t="s">
        <v>124</v>
      </c>
    </row>
    <row r="22" customFormat="false" ht="15" hidden="false" customHeight="false" outlineLevel="0" collapsed="false">
      <c r="A22" s="3" t="s">
        <v>125</v>
      </c>
      <c r="D22" s="3" t="s">
        <v>126</v>
      </c>
    </row>
    <row r="23" customFormat="false" ht="15" hidden="false" customHeight="false" outlineLevel="0" collapsed="false">
      <c r="A23" s="3" t="s">
        <v>127</v>
      </c>
      <c r="D23" s="3" t="s">
        <v>128</v>
      </c>
    </row>
    <row r="24" customFormat="false" ht="15" hidden="false" customHeight="false" outlineLevel="0" collapsed="false">
      <c r="A24" s="3" t="s">
        <v>129</v>
      </c>
      <c r="D24" s="3" t="s">
        <v>130</v>
      </c>
    </row>
    <row r="25" customFormat="false" ht="15" hidden="false" customHeight="false" outlineLevel="0" collapsed="false">
      <c r="A25" s="3" t="s">
        <v>131</v>
      </c>
      <c r="D25" s="3" t="s">
        <v>132</v>
      </c>
    </row>
    <row r="26" customFormat="false" ht="15" hidden="false" customHeight="false" outlineLevel="0" collapsed="false">
      <c r="A26" s="3" t="s">
        <v>133</v>
      </c>
      <c r="D26" s="3" t="s">
        <v>134</v>
      </c>
    </row>
    <row r="27" customFormat="false" ht="15" hidden="false" customHeight="false" outlineLevel="0" collapsed="false">
      <c r="A27" s="3" t="s">
        <v>135</v>
      </c>
      <c r="D27" s="0" t="s">
        <v>136</v>
      </c>
    </row>
  </sheetData>
  <dataValidations count="1">
    <dataValidation allowBlank="false" errorStyle="stop" operator="between" showDropDown="false" showErrorMessage="false" showInputMessage="false" sqref="C9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5" min="3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60"/>
  </cols>
  <sheetData>
    <row r="1" customFormat="false" ht="19.4" hidden="false" customHeight="false" outlineLevel="0" collapsed="false">
      <c r="A1" s="13" t="s">
        <v>137</v>
      </c>
    </row>
    <row r="2" customFormat="false" ht="15" hidden="false" customHeight="false" outlineLevel="0" collapsed="false">
      <c r="A2" s="3" t="s">
        <v>138</v>
      </c>
    </row>
    <row r="4" customFormat="false" ht="31.5" hidden="false" customHeight="true" outlineLevel="0" collapsed="false">
      <c r="A4" s="14" t="s">
        <v>139</v>
      </c>
      <c r="B4" s="14" t="s">
        <v>140</v>
      </c>
      <c r="C4" s="15" t="s">
        <v>141</v>
      </c>
      <c r="D4" s="14" t="s">
        <v>142</v>
      </c>
      <c r="E4" s="14" t="s">
        <v>143</v>
      </c>
      <c r="F4" s="14" t="s">
        <v>144</v>
      </c>
      <c r="G4" s="15" t="s">
        <v>145</v>
      </c>
      <c r="H4" s="14" t="s">
        <v>146</v>
      </c>
      <c r="I4" s="14" t="s">
        <v>147</v>
      </c>
      <c r="J4" s="14" t="s">
        <v>144</v>
      </c>
      <c r="K4" s="14" t="s">
        <v>148</v>
      </c>
      <c r="L4" s="14" t="s">
        <v>149</v>
      </c>
    </row>
    <row r="5" customFormat="false" ht="15" hidden="false" customHeight="false" outlineLevel="0" collapsed="false">
      <c r="A5" s="16" t="s">
        <v>150</v>
      </c>
      <c r="B5" s="17" t="s">
        <v>151</v>
      </c>
      <c r="C5" s="17" t="s">
        <v>18</v>
      </c>
      <c r="D5" s="18" t="n">
        <f aca="false">ROUND(COUNTIFS(定年延長R8_DBP2BB1!$DB$2:$DB$3001,"病院")*設定!$C$7,0)</f>
        <v>28</v>
      </c>
      <c r="E5" s="18" t="n">
        <v>28</v>
      </c>
      <c r="F5" s="18" t="n">
        <f aca="false">D5-E5</f>
        <v>0</v>
      </c>
      <c r="G5" s="17" t="s">
        <v>21</v>
      </c>
      <c r="H5" s="18" t="n">
        <f aca="false">ROUND(SUMIFS(定年延長R8_DBP2BB1!$AP$2:$AP$3001,定年延長R8_DBP2BB1!$DB$2:$DB$3001,"病院")*設定!$C$7*設定!$C$8,0)</f>
        <v>5951000</v>
      </c>
      <c r="I5" s="18" t="n">
        <v>5951000</v>
      </c>
      <c r="J5" s="18" t="n">
        <f aca="false">H5-I5</f>
        <v>0</v>
      </c>
      <c r="K5" s="17" t="str">
        <f aca="false">IF(AND(F5=0,J5=0),"一致","差あり")</f>
        <v>一致</v>
      </c>
      <c r="L5" s="16" t="s">
        <v>152</v>
      </c>
    </row>
    <row r="6" customFormat="false" ht="15" hidden="false" customHeight="false" outlineLevel="0" collapsed="false">
      <c r="A6" s="16" t="s">
        <v>150</v>
      </c>
      <c r="B6" s="17" t="s">
        <v>153</v>
      </c>
      <c r="C6" s="17" t="s">
        <v>24</v>
      </c>
      <c r="D6" s="18" t="n">
        <f aca="false">COUNTIFS(喪失_DBP7C85!$DB$2:$DB$3001,"①病院一般")</f>
        <v>187</v>
      </c>
      <c r="E6" s="18" t="n">
        <v>187</v>
      </c>
      <c r="F6" s="18" t="n">
        <f aca="false">D6-E6</f>
        <v>0</v>
      </c>
      <c r="G6" s="17" t="s">
        <v>27</v>
      </c>
      <c r="H6" s="18" t="n">
        <f aca="false">SUMIFS(喪失_DBP7C85!$AP$2:$AP$3001,喪失_DBP7C85!$DB$2:$DB$3001,"①病院一般")</f>
        <v>125510000</v>
      </c>
      <c r="I6" s="18" t="n">
        <v>125510000</v>
      </c>
      <c r="J6" s="18" t="n">
        <f aca="false">H6-I6</f>
        <v>0</v>
      </c>
      <c r="K6" s="17" t="str">
        <f aca="false">IF(AND(F6=0,J6=0),"一致","差あり")</f>
        <v>一致</v>
      </c>
      <c r="L6" s="16" t="s">
        <v>154</v>
      </c>
    </row>
    <row r="7" customFormat="false" ht="15" hidden="false" customHeight="false" outlineLevel="0" collapsed="false">
      <c r="A7" s="16" t="s">
        <v>150</v>
      </c>
      <c r="B7" s="17" t="s">
        <v>155</v>
      </c>
      <c r="C7" s="17" t="s">
        <v>156</v>
      </c>
      <c r="D7" s="18" t="n">
        <f aca="false">COUNTIFS(取得_DBP1BC2!$DB$2:$DB$3001,"①病院一般",取得_DBP1BC2!$DC$2:$DC$3001,1)</f>
        <v>206</v>
      </c>
      <c r="E7" s="18" t="n">
        <v>206</v>
      </c>
      <c r="F7" s="18" t="n">
        <f aca="false">D7-E7</f>
        <v>0</v>
      </c>
      <c r="G7" s="17" t="s">
        <v>157</v>
      </c>
      <c r="H7" s="18" t="n">
        <f aca="false">ROUND(SUMIFS(取得_DBP1BC2!$AP$2:$AP$3001,取得_DBP1BC2!$DB$2:$DB$3001,"①病院一般",取得_DBP1BC2!$DC$2:$DC$3001,1)/COUNTIFS(取得_DBP1BC2!$DB$2:$DB$3001,"①病院一般",取得_DBP1BC2!$DC$2:$DC$3001,1),0)</f>
        <v>442282</v>
      </c>
      <c r="I7" s="18" t="n">
        <v>442282</v>
      </c>
      <c r="J7" s="18" t="n">
        <f aca="false">H7-I7</f>
        <v>0</v>
      </c>
      <c r="K7" s="17" t="str">
        <f aca="false">IF(AND(F7=0,J7=0),"一致","差あり")</f>
        <v>一致</v>
      </c>
      <c r="L7" s="16" t="s">
        <v>158</v>
      </c>
    </row>
    <row r="8" customFormat="false" ht="15" hidden="false" customHeight="false" outlineLevel="0" collapsed="false">
      <c r="A8" s="16" t="s">
        <v>150</v>
      </c>
      <c r="B8" s="17" t="s">
        <v>159</v>
      </c>
      <c r="C8" s="17" t="s">
        <v>29</v>
      </c>
      <c r="D8" s="18" t="n">
        <f aca="false">設定!$C$12</f>
        <v>162</v>
      </c>
      <c r="E8" s="18" t="n">
        <v>162</v>
      </c>
      <c r="F8" s="18" t="n">
        <f aca="false">D8-E8</f>
        <v>0</v>
      </c>
      <c r="G8" s="17" t="s">
        <v>32</v>
      </c>
      <c r="H8" s="18" t="n">
        <f aca="false">D8*H7</f>
        <v>71649684</v>
      </c>
      <c r="I8" s="18" t="n">
        <v>71649684</v>
      </c>
      <c r="J8" s="18" t="n">
        <f aca="false">H8-I8</f>
        <v>0</v>
      </c>
      <c r="K8" s="17" t="str">
        <f aca="false">IF(AND(F8=0,J8=0),"一致","差あり")</f>
        <v>一致</v>
      </c>
      <c r="L8" s="16" t="s">
        <v>160</v>
      </c>
    </row>
    <row r="9" customFormat="false" ht="15" hidden="false" customHeight="false" outlineLevel="0" collapsed="false">
      <c r="A9" s="16" t="s">
        <v>161</v>
      </c>
      <c r="B9" s="17" t="s">
        <v>162</v>
      </c>
      <c r="C9" s="17" t="s">
        <v>34</v>
      </c>
      <c r="D9" s="18" t="n">
        <f aca="false">COUNTIFS(喪失_DBP7C85!$DB$2:$DB$3001,"②病院短期")</f>
        <v>113</v>
      </c>
      <c r="E9" s="18" t="n">
        <v>113</v>
      </c>
      <c r="F9" s="18" t="n">
        <f aca="false">D9-E9</f>
        <v>0</v>
      </c>
      <c r="G9" s="17" t="s">
        <v>37</v>
      </c>
      <c r="H9" s="18" t="n">
        <f aca="false">SUMIFS(喪失_DBP7C85!$AP$2:$AP$3001,喪失_DBP7C85!$DB$2:$DB$3001,"②病院短期")</f>
        <v>38738000</v>
      </c>
      <c r="I9" s="18" t="n">
        <v>38738000</v>
      </c>
      <c r="J9" s="18" t="n">
        <f aca="false">H9-I9</f>
        <v>0</v>
      </c>
      <c r="K9" s="17" t="str">
        <f aca="false">IF(AND(F9=0,J9=0),"一致","差あり")</f>
        <v>一致</v>
      </c>
      <c r="L9" s="16" t="s">
        <v>163</v>
      </c>
    </row>
    <row r="10" customFormat="false" ht="15" hidden="false" customHeight="false" outlineLevel="0" collapsed="false">
      <c r="A10" s="16" t="s">
        <v>161</v>
      </c>
      <c r="B10" s="17" t="s">
        <v>164</v>
      </c>
      <c r="C10" s="17" t="s">
        <v>39</v>
      </c>
      <c r="D10" s="18" t="n">
        <f aca="false">COUNTIFS(取得_DBP1BC2!$DB$2:$DB$3001,"②病院短期",取得_DBP1BC2!$DC$2:$DC$3001,1)</f>
        <v>129</v>
      </c>
      <c r="E10" s="18" t="n">
        <v>129</v>
      </c>
      <c r="F10" s="18" t="n">
        <f aca="false">D10-E10</f>
        <v>0</v>
      </c>
      <c r="G10" s="17" t="s">
        <v>42</v>
      </c>
      <c r="H10" s="18" t="n">
        <f aca="false">SUMIFS(取得_DBP1BC2!$AP$2:$AP$3001,取得_DBP1BC2!$DB$2:$DB$3001,"②病院短期",取得_DBP1BC2!$DC$2:$DC$3001,1)</f>
        <v>63790000</v>
      </c>
      <c r="I10" s="18" t="n">
        <v>63790000</v>
      </c>
      <c r="J10" s="18" t="n">
        <f aca="false">H10-I10</f>
        <v>0</v>
      </c>
      <c r="K10" s="17" t="str">
        <f aca="false">IF(AND(F10=0,J10=0),"一致","差あり")</f>
        <v>一致</v>
      </c>
      <c r="L10" s="16" t="s">
        <v>165</v>
      </c>
    </row>
    <row r="11" customFormat="false" ht="15" hidden="false" customHeight="false" outlineLevel="0" collapsed="false">
      <c r="A11" s="16" t="s">
        <v>166</v>
      </c>
      <c r="B11" s="17" t="s">
        <v>167</v>
      </c>
      <c r="C11" s="17" t="s">
        <v>44</v>
      </c>
      <c r="D11" s="18" t="n">
        <f aca="false">ROUND(COUNTIFS(定年延長R8_DBP2BB1!$DB$2:$DB$3001,"消防")*設定!$C$7,0)</f>
        <v>11</v>
      </c>
      <c r="E11" s="18" t="n">
        <v>11</v>
      </c>
      <c r="F11" s="18" t="n">
        <f aca="false">D11-E11</f>
        <v>0</v>
      </c>
      <c r="G11" s="17" t="s">
        <v>47</v>
      </c>
      <c r="H11" s="18" t="n">
        <f aca="false">ROUND(SUMIFS(定年延長R8_DBP2BB1!$AP$2:$AP$3001,定年延長R8_DBP2BB1!$DB$2:$DB$3001,"消防")*設定!$C$7*設定!$C$8,0)</f>
        <v>1977800</v>
      </c>
      <c r="I11" s="18" t="n">
        <v>1977800</v>
      </c>
      <c r="J11" s="18" t="n">
        <f aca="false">H11-I11</f>
        <v>0</v>
      </c>
      <c r="K11" s="17" t="str">
        <f aca="false">IF(AND(F11=0,J11=0),"一致","差あり")</f>
        <v>一致</v>
      </c>
      <c r="L11" s="16" t="s">
        <v>168</v>
      </c>
    </row>
    <row r="12" customFormat="false" ht="15" hidden="false" customHeight="false" outlineLevel="0" collapsed="false">
      <c r="A12" s="16" t="s">
        <v>166</v>
      </c>
      <c r="B12" s="17" t="s">
        <v>162</v>
      </c>
      <c r="C12" s="17" t="s">
        <v>50</v>
      </c>
      <c r="D12" s="18" t="n">
        <f aca="false">COUNTIFS(喪失_DBP7C85!$DB$2:$DB$3001,"③特定消防")</f>
        <v>32</v>
      </c>
      <c r="E12" s="18" t="n">
        <v>32</v>
      </c>
      <c r="F12" s="18" t="n">
        <f aca="false">D12-E12</f>
        <v>0</v>
      </c>
      <c r="G12" s="17" t="s">
        <v>53</v>
      </c>
      <c r="H12" s="18" t="n">
        <f aca="false">SUMIFS(喪失_DBP7C85!$AP$2:$AP$3001,喪失_DBP7C85!$DB$2:$DB$3001,"③特定消防")</f>
        <v>12100000</v>
      </c>
      <c r="I12" s="18" t="n">
        <v>12100000</v>
      </c>
      <c r="J12" s="18" t="n">
        <f aca="false">H12-I12</f>
        <v>0</v>
      </c>
      <c r="K12" s="17" t="str">
        <f aca="false">IF(AND(F12=0,J12=0),"一致","差あり")</f>
        <v>一致</v>
      </c>
      <c r="L12" s="16" t="s">
        <v>169</v>
      </c>
    </row>
    <row r="13" customFormat="false" ht="15" hidden="false" customHeight="false" outlineLevel="0" collapsed="false">
      <c r="A13" s="16" t="s">
        <v>166</v>
      </c>
      <c r="B13" s="17" t="s">
        <v>155</v>
      </c>
      <c r="C13" s="17" t="s">
        <v>156</v>
      </c>
      <c r="D13" s="18" t="n">
        <f aca="false">COUNTIFS(取得_DBP1BC2!$DB$2:$DB$3001,"③特定消防",取得_DBP1BC2!$DC$2:$DC$3001,1)</f>
        <v>53</v>
      </c>
      <c r="E13" s="18" t="n">
        <v>53</v>
      </c>
      <c r="F13" s="18" t="n">
        <f aca="false">D13-E13</f>
        <v>0</v>
      </c>
      <c r="G13" s="17" t="s">
        <v>157</v>
      </c>
      <c r="H13" s="18" t="n">
        <f aca="false">ROUND(SUMIFS(取得_DBP1BC2!$AP$2:$AP$3001,取得_DBP1BC2!$DB$2:$DB$3001,"③特定消防",取得_DBP1BC2!$DC$2:$DC$3001,1)/COUNTIFS(取得_DBP1BC2!$DB$2:$DB$3001,"③特定消防",取得_DBP1BC2!$DC$2:$DC$3001,1),0)</f>
        <v>260377</v>
      </c>
      <c r="I13" s="18" t="n">
        <v>260377</v>
      </c>
      <c r="J13" s="18" t="n">
        <f aca="false">H13-I13</f>
        <v>0</v>
      </c>
      <c r="K13" s="17" t="str">
        <f aca="false">IF(AND(F13=0,J13=0),"一致","差あり")</f>
        <v>一致</v>
      </c>
      <c r="L13" s="16" t="s">
        <v>170</v>
      </c>
    </row>
    <row r="14" customFormat="false" ht="15" hidden="false" customHeight="false" outlineLevel="0" collapsed="false">
      <c r="A14" s="16" t="s">
        <v>166</v>
      </c>
      <c r="B14" s="17" t="s">
        <v>159</v>
      </c>
      <c r="C14" s="17" t="s">
        <v>55</v>
      </c>
      <c r="D14" s="18" t="n">
        <f aca="false">設定!$C$13</f>
        <v>38</v>
      </c>
      <c r="E14" s="18" t="n">
        <v>38</v>
      </c>
      <c r="F14" s="18" t="n">
        <f aca="false">D14-E14</f>
        <v>0</v>
      </c>
      <c r="G14" s="17" t="s">
        <v>58</v>
      </c>
      <c r="H14" s="18" t="n">
        <f aca="false">D14*H13</f>
        <v>9894326</v>
      </c>
      <c r="I14" s="18" t="n">
        <v>9894326</v>
      </c>
      <c r="J14" s="18" t="n">
        <f aca="false">H14-I14</f>
        <v>0</v>
      </c>
      <c r="K14" s="17" t="str">
        <f aca="false">IF(AND(F14=0,J14=0),"一致","差あり")</f>
        <v>一致</v>
      </c>
      <c r="L14" s="16" t="s">
        <v>171</v>
      </c>
    </row>
    <row r="15" customFormat="false" ht="15" hidden="false" customHeight="false" outlineLevel="0" collapsed="false">
      <c r="A15" s="16" t="s">
        <v>172</v>
      </c>
      <c r="B15" s="17" t="s">
        <v>167</v>
      </c>
      <c r="C15" s="17" t="s">
        <v>60</v>
      </c>
      <c r="D15" s="18" t="n">
        <f aca="false">ROUND(COUNTIFS(定年延長R8_DBP2BB1!$DB$2:$DB$3001,"市長")*設定!$C$7,0)</f>
        <v>141</v>
      </c>
      <c r="E15" s="18" t="n">
        <v>141</v>
      </c>
      <c r="F15" s="18" t="n">
        <f aca="false">D15-E15</f>
        <v>0</v>
      </c>
      <c r="G15" s="17" t="s">
        <v>63</v>
      </c>
      <c r="H15" s="18" t="n">
        <f aca="false">ROUND(SUMIFS(定年延長R8_DBP2BB1!$AP$2:$AP$3001,定年延長R8_DBP2BB1!$DB$2:$DB$3001,"市長")*設定!$C$7*設定!$C$8,0)</f>
        <v>25443000</v>
      </c>
      <c r="I15" s="18" t="n">
        <v>25443000</v>
      </c>
      <c r="J15" s="18" t="n">
        <f aca="false">H15-I15</f>
        <v>0</v>
      </c>
      <c r="K15" s="17" t="str">
        <f aca="false">IF(AND(F15=0,J15=0),"一致","差あり")</f>
        <v>一致</v>
      </c>
      <c r="L15" s="16" t="s">
        <v>173</v>
      </c>
    </row>
    <row r="16" customFormat="false" ht="15" hidden="false" customHeight="false" outlineLevel="0" collapsed="false">
      <c r="A16" s="16" t="s">
        <v>172</v>
      </c>
      <c r="B16" s="17" t="s">
        <v>162</v>
      </c>
      <c r="C16" s="17" t="s">
        <v>66</v>
      </c>
      <c r="D16" s="18" t="n">
        <f aca="false">COUNTIFS(喪失_DBP7C85!$DB$2:$DB$3001,"④一般")</f>
        <v>352</v>
      </c>
      <c r="E16" s="18" t="n">
        <v>352</v>
      </c>
      <c r="F16" s="18" t="n">
        <f aca="false">D16-E16</f>
        <v>0</v>
      </c>
      <c r="G16" s="17" t="s">
        <v>69</v>
      </c>
      <c r="H16" s="18" t="n">
        <f aca="false">SUMIFS(喪失_DBP7C85!$AP$2:$AP$3001,喪失_DBP7C85!$DB$2:$DB$3001,"④一般")</f>
        <v>146570000</v>
      </c>
      <c r="I16" s="18" t="n">
        <v>146570000</v>
      </c>
      <c r="J16" s="18" t="n">
        <f aca="false">H16-I16</f>
        <v>0</v>
      </c>
      <c r="K16" s="17" t="str">
        <f aca="false">IF(AND(F16=0,J16=0),"一致","差あり")</f>
        <v>一致</v>
      </c>
      <c r="L16" s="16" t="s">
        <v>174</v>
      </c>
    </row>
    <row r="17" customFormat="false" ht="15" hidden="false" customHeight="false" outlineLevel="0" collapsed="false">
      <c r="A17" s="16" t="s">
        <v>172</v>
      </c>
      <c r="B17" s="17" t="s">
        <v>155</v>
      </c>
      <c r="C17" s="17" t="s">
        <v>156</v>
      </c>
      <c r="D17" s="18" t="n">
        <f aca="false">IF(設定!$C$9=1,COUNTIFS(取得_DBP1BC2!$DB$2:$DB$3001,"④一般",取得_DBP1BC2!$DC$2:$DC$3001,1),COUNTIFS(取得_DBP1BC2!$DB$2:$DB$3001,"④一般"))</f>
        <v>418</v>
      </c>
      <c r="E17" s="18" t="n">
        <v>418</v>
      </c>
      <c r="F17" s="18" t="n">
        <f aca="false">D17-E17</f>
        <v>0</v>
      </c>
      <c r="G17" s="17" t="s">
        <v>157</v>
      </c>
      <c r="H17" s="18" t="n">
        <f aca="false">ROUND(IF(設定!$C$9=1,SUMIFS(取得_DBP1BC2!$AP$2:$AP$3001,取得_DBP1BC2!$DB$2:$DB$3001,"④一般",取得_DBP1BC2!$DC$2:$DC$3001,1)/COUNTIFS(取得_DBP1BC2!$DB$2:$DB$3001,"④一般",取得_DBP1BC2!$DC$2:$DC$3001,1),SUMIFS(取得_DBP1BC2!$AP$2:$AP$3001,取得_DBP1BC2!$DB$2:$DB$3001,"④一般")/COUNTIFS(取得_DBP1BC2!$DB$2:$DB$3001,"④一般")),0)</f>
        <v>303278</v>
      </c>
      <c r="I17" s="18" t="n">
        <v>303278</v>
      </c>
      <c r="J17" s="18" t="n">
        <f aca="false">H17-I17</f>
        <v>0</v>
      </c>
      <c r="K17" s="17" t="str">
        <f aca="false">IF(AND(F17=0,J17=0),"一致","差あり")</f>
        <v>一致</v>
      </c>
      <c r="L17" s="16" t="s">
        <v>175</v>
      </c>
    </row>
    <row r="18" customFormat="false" ht="15" hidden="false" customHeight="false" outlineLevel="0" collapsed="false">
      <c r="A18" s="16" t="s">
        <v>172</v>
      </c>
      <c r="B18" s="17" t="s">
        <v>159</v>
      </c>
      <c r="C18" s="17" t="s">
        <v>71</v>
      </c>
      <c r="D18" s="18" t="n">
        <f aca="false">設定!$C$14</f>
        <v>322</v>
      </c>
      <c r="E18" s="18" t="n">
        <v>322</v>
      </c>
      <c r="F18" s="18" t="n">
        <f aca="false">D18-E18</f>
        <v>0</v>
      </c>
      <c r="G18" s="17" t="s">
        <v>74</v>
      </c>
      <c r="H18" s="18" t="n">
        <f aca="false">D18*H17</f>
        <v>97655516</v>
      </c>
      <c r="I18" s="18" t="n">
        <v>97655516</v>
      </c>
      <c r="J18" s="18" t="n">
        <f aca="false">H18-I18</f>
        <v>0</v>
      </c>
      <c r="K18" s="17" t="str">
        <f aca="false">IF(AND(F18=0,J18=0),"一致","差あり")</f>
        <v>一致</v>
      </c>
      <c r="L18" s="16" t="s">
        <v>176</v>
      </c>
    </row>
    <row r="19" customFormat="false" ht="15" hidden="false" customHeight="false" outlineLevel="0" collapsed="false">
      <c r="A19" s="16" t="s">
        <v>177</v>
      </c>
      <c r="B19" s="17" t="s">
        <v>162</v>
      </c>
      <c r="C19" s="17" t="s">
        <v>76</v>
      </c>
      <c r="D19" s="18" t="n">
        <f aca="false">COUNTIFS(喪失_DBP7C85!$DB$2:$DB$3001,"⑤短期")</f>
        <v>352</v>
      </c>
      <c r="E19" s="18" t="n">
        <v>352</v>
      </c>
      <c r="F19" s="18" t="n">
        <f aca="false">D19-E19</f>
        <v>0</v>
      </c>
      <c r="G19" s="17" t="s">
        <v>79</v>
      </c>
      <c r="H19" s="18" t="n">
        <f aca="false">SUMIFS(喪失_DBP7C85!$AP$2:$AP$3001,喪失_DBP7C85!$DB$2:$DB$3001,"⑤短期")</f>
        <v>60070000</v>
      </c>
      <c r="I19" s="18" t="n">
        <v>60070000</v>
      </c>
      <c r="J19" s="18" t="n">
        <f aca="false">H19-I19</f>
        <v>0</v>
      </c>
      <c r="K19" s="17" t="str">
        <f aca="false">IF(AND(F19=0,J19=0),"一致","差あり")</f>
        <v>一致</v>
      </c>
      <c r="L19" s="16" t="s">
        <v>178</v>
      </c>
    </row>
    <row r="20" customFormat="false" ht="15" hidden="false" customHeight="false" outlineLevel="0" collapsed="false">
      <c r="A20" s="16" t="s">
        <v>177</v>
      </c>
      <c r="B20" s="17" t="s">
        <v>164</v>
      </c>
      <c r="C20" s="17" t="s">
        <v>81</v>
      </c>
      <c r="D20" s="18" t="n">
        <f aca="false">COUNTIFS(取得_DBP1BC2!$DB$2:$DB$3001,"⑤短期",取得_DBP1BC2!$DC$2:$DC$3001,1)</f>
        <v>392</v>
      </c>
      <c r="E20" s="18" t="n">
        <v>392</v>
      </c>
      <c r="F20" s="18" t="n">
        <f aca="false">D20-E20</f>
        <v>0</v>
      </c>
      <c r="G20" s="17" t="s">
        <v>84</v>
      </c>
      <c r="H20" s="18" t="n">
        <f aca="false">SUMIFS(取得_DBP1BC2!$AP$2:$AP$3001,取得_DBP1BC2!$DB$2:$DB$3001,"⑤短期",取得_DBP1BC2!$DC$2:$DC$3001,1)</f>
        <v>75136000</v>
      </c>
      <c r="I20" s="18" t="n">
        <v>75136000</v>
      </c>
      <c r="J20" s="18" t="n">
        <f aca="false">H20-I20</f>
        <v>0</v>
      </c>
      <c r="K20" s="17" t="str">
        <f aca="false">IF(AND(F20=0,J20=0),"一致","差あり")</f>
        <v>一致</v>
      </c>
      <c r="L20" s="16" t="s">
        <v>179</v>
      </c>
    </row>
    <row r="22" customFormat="false" ht="15" hidden="false" customHeight="false" outlineLevel="0" collapsed="false">
      <c r="A22" s="2" t="s">
        <v>180</v>
      </c>
      <c r="B22" s="2" t="str">
        <f aca="false">IF(COUNTIF(K5:K20,"差あり")=0,"全項目一致","差あり "&amp;COUNTIF(K5:K20,"差あり")&amp;" 件")</f>
        <v>全項目一致</v>
      </c>
    </row>
    <row r="24" customFormat="false" ht="15" hidden="false" customHeight="false" outlineLevel="0" collapsed="false">
      <c r="A24" s="2" t="s">
        <v>181</v>
      </c>
    </row>
    <row r="25" customFormat="false" ht="15" hidden="false" customHeight="false" outlineLevel="0" collapsed="false">
      <c r="A25" s="3" t="s">
        <v>182</v>
      </c>
      <c r="D25" s="19" t="n">
        <f aca="false">COUNTIF(定年延長R7_DBP59FA!$DB$2:$DB$3001,"在職")</f>
        <v>171</v>
      </c>
      <c r="H25" s="19"/>
    </row>
    <row r="26" customFormat="false" ht="15" hidden="false" customHeight="false" outlineLevel="0" collapsed="false">
      <c r="A26" s="0" t="s">
        <v>183</v>
      </c>
      <c r="D26" s="19" t="n">
        <f aca="false">COUNTIF(定年延長R7_DBP59FA!$DB$2:$DB$3001,"4/1喪失")</f>
        <v>87</v>
      </c>
      <c r="H26" s="19"/>
    </row>
    <row r="27" customFormat="false" ht="15" hidden="false" customHeight="false" outlineLevel="0" collapsed="false">
      <c r="A27" s="3" t="s">
        <v>184</v>
      </c>
      <c r="D27" s="20" t="n">
        <f aca="false">D25/(D25+D26)</f>
        <v>0.662790697674419</v>
      </c>
      <c r="L27" s="3" t="s">
        <v>185</v>
      </c>
    </row>
    <row r="29" customFormat="false" ht="15" hidden="false" customHeight="false" outlineLevel="0" collapsed="false">
      <c r="A29" s="2" t="s">
        <v>186</v>
      </c>
    </row>
    <row r="30" customFormat="false" ht="15" hidden="false" customHeight="false" outlineLevel="0" collapsed="false">
      <c r="A30" s="0" t="s">
        <v>187</v>
      </c>
      <c r="D30" s="19" t="n">
        <f aca="false">COUNTIFS(取得_DBP1BC2!$DB$2:$DB$3001,"④一般",取得_DBP1BC2!$DC$2:$DC$3001,1)</f>
        <v>409</v>
      </c>
      <c r="H30" s="19" t="n">
        <f aca="false">ROUND(SUMIFS(取得_DBP1BC2!$AP$2:$AP$3001,取得_DBP1BC2!$DB$2:$DB$3001,"④一般",取得_DBP1BC2!$DC$2:$DC$3001,1)/COUNTIFS(取得_DBP1BC2!$DB$2:$DB$3001,"④一般",取得_DBP1BC2!$DC$2:$DC$3001,1),0)</f>
        <v>302152</v>
      </c>
    </row>
    <row r="31" customFormat="false" ht="15" hidden="false" customHeight="false" outlineLevel="0" collapsed="false">
      <c r="A31" s="3" t="s">
        <v>188</v>
      </c>
      <c r="D31" s="19" t="n">
        <f aca="false">COUNTIFS(取得_DBP1BC2!$DB$2:$DB$3001,"④一般")</f>
        <v>418</v>
      </c>
      <c r="H31" s="19" t="n">
        <f aca="false">ROUND(SUMIFS(取得_DBP1BC2!$AP$2:$AP$3001,取得_DBP1BC2!$DB$2:$DB$3001,"④一般")/COUNTIFS(取得_DBP1BC2!$DB$2:$DB$3001,"④一般"),0)</f>
        <v>303278</v>
      </c>
    </row>
    <row r="32" customFormat="false" ht="15" hidden="false" customHeight="false" outlineLevel="0" collapsed="false">
      <c r="A32" s="3" t="s">
        <v>189</v>
      </c>
      <c r="D32" s="19"/>
      <c r="H32" s="19" t="n">
        <f aca="false">(H31-H30)*設定!$C$14</f>
        <v>362572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6" min="106" style="0" width="24"/>
  </cols>
  <sheetData>
    <row r="1" customFormat="false" ht="15" hidden="false" customHeight="false" outlineLevel="0" collapsed="false">
      <c r="A1" s="0" t="s">
        <v>190</v>
      </c>
      <c r="B1" s="0" t="s">
        <v>191</v>
      </c>
      <c r="C1" s="0" t="s">
        <v>192</v>
      </c>
      <c r="D1" s="0" t="s">
        <v>193</v>
      </c>
      <c r="G1" s="0" t="s">
        <v>194</v>
      </c>
      <c r="H1" s="0" t="s">
        <v>195</v>
      </c>
      <c r="I1" s="0" t="s">
        <v>196</v>
      </c>
      <c r="J1" s="0" t="s">
        <v>197</v>
      </c>
      <c r="K1" s="0" t="s">
        <v>198</v>
      </c>
      <c r="L1" s="0" t="s">
        <v>199</v>
      </c>
      <c r="M1" s="0" t="s">
        <v>200</v>
      </c>
      <c r="N1" s="0" t="s">
        <v>201</v>
      </c>
      <c r="O1" s="0" t="s">
        <v>202</v>
      </c>
      <c r="P1" s="0" t="s">
        <v>203</v>
      </c>
      <c r="Q1" s="0" t="s">
        <v>204</v>
      </c>
      <c r="R1" s="0" t="s">
        <v>205</v>
      </c>
      <c r="S1" s="0" t="s">
        <v>206</v>
      </c>
      <c r="T1" s="0" t="s">
        <v>207</v>
      </c>
      <c r="U1" s="0" t="s">
        <v>208</v>
      </c>
      <c r="V1" s="0" t="s">
        <v>209</v>
      </c>
      <c r="W1" s="0" t="s">
        <v>210</v>
      </c>
      <c r="X1" s="0" t="s">
        <v>211</v>
      </c>
      <c r="Y1" s="0" t="s">
        <v>212</v>
      </c>
      <c r="Z1" s="0" t="s">
        <v>213</v>
      </c>
      <c r="AA1" s="0" t="s">
        <v>214</v>
      </c>
      <c r="AB1" s="0" t="s">
        <v>215</v>
      </c>
      <c r="AC1" s="0" t="s">
        <v>216</v>
      </c>
      <c r="AD1" s="0" t="s">
        <v>217</v>
      </c>
      <c r="AE1" s="0" t="s">
        <v>218</v>
      </c>
      <c r="AF1" s="0" t="s">
        <v>219</v>
      </c>
      <c r="AG1" s="0" t="s">
        <v>220</v>
      </c>
      <c r="AH1" s="0" t="s">
        <v>221</v>
      </c>
      <c r="AI1" s="0" t="s">
        <v>222</v>
      </c>
      <c r="AJ1" s="0" t="s">
        <v>223</v>
      </c>
      <c r="AK1" s="0" t="s">
        <v>224</v>
      </c>
      <c r="AL1" s="0" t="s">
        <v>225</v>
      </c>
      <c r="AM1" s="0" t="s">
        <v>226</v>
      </c>
      <c r="AN1" s="0" t="s">
        <v>227</v>
      </c>
      <c r="AO1" s="0" t="s">
        <v>228</v>
      </c>
      <c r="AP1" s="0" t="s">
        <v>229</v>
      </c>
      <c r="AQ1" s="0" t="s">
        <v>230</v>
      </c>
      <c r="AR1" s="0" t="s">
        <v>231</v>
      </c>
      <c r="AS1" s="0" t="s">
        <v>232</v>
      </c>
      <c r="AT1" s="0" t="s">
        <v>233</v>
      </c>
      <c r="AU1" s="0" t="s">
        <v>234</v>
      </c>
      <c r="AV1" s="0" t="s">
        <v>235</v>
      </c>
      <c r="AW1" s="0" t="s">
        <v>236</v>
      </c>
      <c r="AX1" s="0" t="s">
        <v>237</v>
      </c>
      <c r="AY1" s="0" t="s">
        <v>238</v>
      </c>
      <c r="AZ1" s="0" t="s">
        <v>239</v>
      </c>
      <c r="BA1" s="0" t="s">
        <v>240</v>
      </c>
      <c r="BB1" s="0" t="s">
        <v>241</v>
      </c>
      <c r="BC1" s="0" t="s">
        <v>242</v>
      </c>
      <c r="BD1" s="0" t="s">
        <v>243</v>
      </c>
      <c r="BE1" s="0" t="s">
        <v>244</v>
      </c>
      <c r="BF1" s="0" t="s">
        <v>245</v>
      </c>
      <c r="BG1" s="0" t="s">
        <v>246</v>
      </c>
      <c r="BH1" s="0" t="s">
        <v>247</v>
      </c>
      <c r="BI1" s="0" t="s">
        <v>248</v>
      </c>
      <c r="BJ1" s="0" t="s">
        <v>249</v>
      </c>
      <c r="BK1" s="0" t="s">
        <v>250</v>
      </c>
      <c r="BL1" s="0" t="s">
        <v>251</v>
      </c>
      <c r="BM1" s="0" t="s">
        <v>252</v>
      </c>
      <c r="BN1" s="0" t="s">
        <v>253</v>
      </c>
      <c r="BO1" s="0" t="s">
        <v>254</v>
      </c>
      <c r="BP1" s="0" t="s">
        <v>255</v>
      </c>
      <c r="BQ1" s="0" t="s">
        <v>256</v>
      </c>
      <c r="BR1" s="0" t="s">
        <v>257</v>
      </c>
      <c r="BS1" s="0" t="s">
        <v>258</v>
      </c>
      <c r="BT1" s="0" t="s">
        <v>259</v>
      </c>
      <c r="BU1" s="0" t="s">
        <v>260</v>
      </c>
      <c r="BV1" s="0" t="s">
        <v>261</v>
      </c>
      <c r="BW1" s="0" t="s">
        <v>262</v>
      </c>
      <c r="BX1" s="0" t="s">
        <v>263</v>
      </c>
      <c r="BY1" s="0" t="s">
        <v>264</v>
      </c>
      <c r="BZ1" s="0" t="s">
        <v>265</v>
      </c>
      <c r="CA1" s="0" t="s">
        <v>266</v>
      </c>
      <c r="CB1" s="0" t="s">
        <v>267</v>
      </c>
      <c r="CC1" s="0" t="s">
        <v>268</v>
      </c>
      <c r="CD1" s="0" t="s">
        <v>269</v>
      </c>
      <c r="CE1" s="0" t="s">
        <v>270</v>
      </c>
      <c r="CF1" s="0" t="s">
        <v>271</v>
      </c>
      <c r="CG1" s="0" t="s">
        <v>272</v>
      </c>
      <c r="CH1" s="0" t="s">
        <v>273</v>
      </c>
      <c r="CI1" s="0" t="s">
        <v>274</v>
      </c>
      <c r="CJ1" s="0" t="s">
        <v>275</v>
      </c>
      <c r="CK1" s="0" t="s">
        <v>276</v>
      </c>
      <c r="CL1" s="0" t="s">
        <v>277</v>
      </c>
      <c r="CM1" s="0" t="s">
        <v>278</v>
      </c>
      <c r="CN1" s="0" t="s">
        <v>279</v>
      </c>
      <c r="CO1" s="0" t="s">
        <v>280</v>
      </c>
      <c r="CP1" s="0" t="s">
        <v>281</v>
      </c>
      <c r="CQ1" s="0" t="s">
        <v>282</v>
      </c>
      <c r="CR1" s="0" t="s">
        <v>283</v>
      </c>
      <c r="CS1" s="0" t="s">
        <v>284</v>
      </c>
      <c r="CT1" s="0" t="s">
        <v>285</v>
      </c>
      <c r="CU1" s="0" t="s">
        <v>286</v>
      </c>
      <c r="CV1" s="0" t="s">
        <v>287</v>
      </c>
      <c r="CW1" s="0" t="s">
        <v>288</v>
      </c>
      <c r="CX1" s="0" t="s">
        <v>289</v>
      </c>
      <c r="CY1" s="0" t="s">
        <v>290</v>
      </c>
      <c r="CZ1" s="0" t="s">
        <v>291</v>
      </c>
      <c r="DB1" s="6" t="s">
        <v>292</v>
      </c>
      <c r="DC1" s="6" t="s">
        <v>293</v>
      </c>
    </row>
    <row r="2" customFormat="false" ht="15" hidden="false" customHeight="false" outlineLevel="0" collapsed="false">
      <c r="A2" s="0" t="n">
        <v>21</v>
      </c>
      <c r="AA2" s="0" t="n">
        <v>24</v>
      </c>
      <c r="AB2" s="0" t="s">
        <v>294</v>
      </c>
      <c r="AD2" s="0" t="n">
        <v>0</v>
      </c>
      <c r="AE2" s="0" t="s">
        <v>295</v>
      </c>
      <c r="AH2" s="0" t="n">
        <v>1</v>
      </c>
      <c r="AJ2" s="0" t="n">
        <v>11</v>
      </c>
      <c r="AP2" s="0" t="n">
        <v>1090000</v>
      </c>
      <c r="DB2" s="0" t="str">
        <f aca="false">IF($A2="","",IF($AH2=20,IF(AND(OR($A2=21,$A2=215),$AJ2=10),"①病院一般",IF(AND($A2=31,$AJ2=41),"②病院短期","対象外")),IF($AJ2=30,"③特定消防",IF(AND(OR($A2=21,$A2=215),$AJ2=10),"④一般",IF(AND($A2=31,$AJ2=41),"⑤短期","対象外")))))</f>
        <v>対象外</v>
      </c>
      <c r="DC2" s="0" t="n">
        <f aca="false">IF($A2="","",IF($AB2&amp;""=設定!$C$4,1,0))</f>
        <v>0</v>
      </c>
    </row>
    <row r="3" customFormat="false" ht="15" hidden="false" customHeight="false" outlineLevel="0" collapsed="false">
      <c r="A3" s="0" t="n">
        <v>21</v>
      </c>
      <c r="AA3" s="0" t="n">
        <v>24</v>
      </c>
      <c r="AB3" s="0" t="s">
        <v>96</v>
      </c>
      <c r="AD3" s="0" t="n">
        <v>0</v>
      </c>
      <c r="AE3" s="0" t="s">
        <v>295</v>
      </c>
      <c r="AH3" s="0" t="n">
        <v>1</v>
      </c>
      <c r="AJ3" s="0" t="n">
        <v>10</v>
      </c>
      <c r="AP3" s="0" t="n">
        <v>590000</v>
      </c>
      <c r="DB3" s="0" t="str">
        <f aca="false">IF($A3="","",IF($AH3=20,IF(AND(OR($A3=21,$A3=215),$AJ3=10),"①病院一般",IF(AND($A3=31,$AJ3=41),"②病院短期","対象外")),IF($AJ3=30,"③特定消防",IF(AND(OR($A3=21,$A3=215),$AJ3=10),"④一般",IF(AND($A3=31,$AJ3=41),"⑤短期","対象外")))))</f>
        <v>④一般</v>
      </c>
      <c r="DC3" s="0" t="n">
        <f aca="false">IF($A3="","",IF($AB3&amp;""=設定!$C$4,1,0))</f>
        <v>1</v>
      </c>
    </row>
    <row r="4" customFormat="false" ht="15" hidden="false" customHeight="false" outlineLevel="0" collapsed="false">
      <c r="A4" s="0" t="n">
        <v>21</v>
      </c>
      <c r="AA4" s="0" t="n">
        <v>21</v>
      </c>
      <c r="AB4" s="0" t="s">
        <v>96</v>
      </c>
      <c r="AD4" s="0" t="n">
        <v>0</v>
      </c>
      <c r="AE4" s="0" t="s">
        <v>295</v>
      </c>
      <c r="AH4" s="0" t="n">
        <v>11</v>
      </c>
      <c r="AJ4" s="0" t="n">
        <v>10</v>
      </c>
      <c r="AP4" s="0" t="n">
        <v>650000</v>
      </c>
      <c r="DB4" s="0" t="str">
        <f aca="false">IF($A4="","",IF($AH4=20,IF(AND(OR($A4=21,$A4=215),$AJ4=10),"①病院一般",IF(AND($A4=31,$AJ4=41),"②病院短期","対象外")),IF($AJ4=30,"③特定消防",IF(AND(OR($A4=21,$A4=215),$AJ4=10),"④一般",IF(AND($A4=31,$AJ4=41),"⑤短期","対象外")))))</f>
        <v>④一般</v>
      </c>
      <c r="DC4" s="0" t="n">
        <f aca="false">IF($A4="","",IF($AB4&amp;""=設定!$C$4,1,0))</f>
        <v>1</v>
      </c>
    </row>
    <row r="5" customFormat="false" ht="15" hidden="false" customHeight="false" outlineLevel="0" collapsed="false">
      <c r="A5" s="0" t="n">
        <v>21</v>
      </c>
      <c r="AA5" s="0" t="n">
        <v>24</v>
      </c>
      <c r="AB5" s="0" t="s">
        <v>96</v>
      </c>
      <c r="AD5" s="0" t="n">
        <v>0</v>
      </c>
      <c r="AE5" s="0" t="s">
        <v>295</v>
      </c>
      <c r="AH5" s="0" t="n">
        <v>1</v>
      </c>
      <c r="AJ5" s="0" t="n">
        <v>10</v>
      </c>
      <c r="AP5" s="0" t="n">
        <v>440000</v>
      </c>
      <c r="DB5" s="0" t="str">
        <f aca="false">IF($A5="","",IF($AH5=20,IF(AND(OR($A5=21,$A5=215),$AJ5=10),"①病院一般",IF(AND($A5=31,$AJ5=41),"②病院短期","対象外")),IF($AJ5=30,"③特定消防",IF(AND(OR($A5=21,$A5=215),$AJ5=10),"④一般",IF(AND($A5=31,$AJ5=41),"⑤短期","対象外")))))</f>
        <v>④一般</v>
      </c>
      <c r="DC5" s="0" t="n">
        <f aca="false">IF($A5="","",IF($AB5&amp;""=設定!$C$4,1,0))</f>
        <v>1</v>
      </c>
    </row>
    <row r="6" customFormat="false" ht="15" hidden="false" customHeight="false" outlineLevel="0" collapsed="false">
      <c r="A6" s="0" t="n">
        <v>21</v>
      </c>
      <c r="AA6" s="0" t="n">
        <v>24</v>
      </c>
      <c r="AB6" s="0" t="s">
        <v>96</v>
      </c>
      <c r="AD6" s="0" t="n">
        <v>0</v>
      </c>
      <c r="AE6" s="0" t="s">
        <v>295</v>
      </c>
      <c r="AH6" s="0" t="n">
        <v>20</v>
      </c>
      <c r="AJ6" s="0" t="n">
        <v>10</v>
      </c>
      <c r="AP6" s="0" t="n">
        <v>320000</v>
      </c>
      <c r="DB6" s="0" t="str">
        <f aca="false">IF($A6="","",IF($AH6=20,IF(AND(OR($A6=21,$A6=215),$AJ6=10),"①病院一般",IF(AND($A6=31,$AJ6=41),"②病院短期","対象外")),IF($AJ6=30,"③特定消防",IF(AND(OR($A6=21,$A6=215),$AJ6=10),"④一般",IF(AND($A6=31,$AJ6=41),"⑤短期","対象外")))))</f>
        <v>①病院一般</v>
      </c>
      <c r="DC6" s="0" t="n">
        <f aca="false">IF($A6="","",IF($AB6&amp;""=設定!$C$4,1,0))</f>
        <v>1</v>
      </c>
    </row>
    <row r="7" customFormat="false" ht="15" hidden="false" customHeight="false" outlineLevel="0" collapsed="false">
      <c r="A7" s="0" t="n">
        <v>21</v>
      </c>
      <c r="AA7" s="0" t="n">
        <v>21</v>
      </c>
      <c r="AB7" s="0" t="s">
        <v>96</v>
      </c>
      <c r="AD7" s="0" t="n">
        <v>0</v>
      </c>
      <c r="AE7" s="0" t="s">
        <v>295</v>
      </c>
      <c r="AH7" s="0" t="n">
        <v>11</v>
      </c>
      <c r="AJ7" s="0" t="n">
        <v>10</v>
      </c>
      <c r="AP7" s="0" t="n">
        <v>470000</v>
      </c>
      <c r="DB7" s="0" t="str">
        <f aca="false">IF($A7="","",IF($AH7=20,IF(AND(OR($A7=21,$A7=215),$AJ7=10),"①病院一般",IF(AND($A7=31,$AJ7=41),"②病院短期","対象外")),IF($AJ7=30,"③特定消防",IF(AND(OR($A7=21,$A7=215),$AJ7=10),"④一般",IF(AND($A7=31,$AJ7=41),"⑤短期","対象外")))))</f>
        <v>④一般</v>
      </c>
      <c r="DC7" s="0" t="n">
        <f aca="false">IF($A7="","",IF($AB7&amp;""=設定!$C$4,1,0))</f>
        <v>1</v>
      </c>
    </row>
    <row r="8" customFormat="false" ht="15" hidden="false" customHeight="false" outlineLevel="0" collapsed="false">
      <c r="A8" s="0" t="n">
        <v>21</v>
      </c>
      <c r="AA8" s="0" t="n">
        <v>21</v>
      </c>
      <c r="AB8" s="0" t="s">
        <v>96</v>
      </c>
      <c r="AD8" s="0" t="n">
        <v>0</v>
      </c>
      <c r="AE8" s="0" t="s">
        <v>295</v>
      </c>
      <c r="AH8" s="0" t="n">
        <v>32</v>
      </c>
      <c r="AJ8" s="0" t="n">
        <v>74</v>
      </c>
      <c r="AP8" s="0" t="n">
        <v>440000</v>
      </c>
      <c r="DB8" s="0" t="str">
        <f aca="false">IF($A8="","",IF($AH8=20,IF(AND(OR($A8=21,$A8=215),$AJ8=10),"①病院一般",IF(AND($A8=31,$AJ8=41),"②病院短期","対象外")),IF($AJ8=30,"③特定消防",IF(AND(OR($A8=21,$A8=215),$AJ8=10),"④一般",IF(AND($A8=31,$AJ8=41),"⑤短期","対象外")))))</f>
        <v>対象外</v>
      </c>
      <c r="DC8" s="0" t="n">
        <f aca="false">IF($A8="","",IF($AB8&amp;""=設定!$C$4,1,0))</f>
        <v>1</v>
      </c>
    </row>
    <row r="9" customFormat="false" ht="15" hidden="false" customHeight="false" outlineLevel="0" collapsed="false">
      <c r="A9" s="0" t="n">
        <v>21</v>
      </c>
      <c r="AA9" s="0" t="n">
        <v>24</v>
      </c>
      <c r="AB9" s="0" t="s">
        <v>96</v>
      </c>
      <c r="AD9" s="0" t="n">
        <v>0</v>
      </c>
      <c r="AE9" s="0" t="s">
        <v>295</v>
      </c>
      <c r="AH9" s="0" t="n">
        <v>1</v>
      </c>
      <c r="AJ9" s="0" t="n">
        <v>10</v>
      </c>
      <c r="AP9" s="0" t="n">
        <v>410000</v>
      </c>
      <c r="DB9" s="0" t="str">
        <f aca="false">IF($A9="","",IF($AH9=20,IF(AND(OR($A9=21,$A9=215),$AJ9=10),"①病院一般",IF(AND($A9=31,$AJ9=41),"②病院短期","対象外")),IF($AJ9=30,"③特定消防",IF(AND(OR($A9=21,$A9=215),$AJ9=10),"④一般",IF(AND($A9=31,$AJ9=41),"⑤短期","対象外")))))</f>
        <v>④一般</v>
      </c>
      <c r="DC9" s="0" t="n">
        <f aca="false">IF($A9="","",IF($AB9&amp;""=設定!$C$4,1,0))</f>
        <v>1</v>
      </c>
    </row>
    <row r="10" customFormat="false" ht="15" hidden="false" customHeight="false" outlineLevel="0" collapsed="false">
      <c r="A10" s="0" t="n">
        <v>21</v>
      </c>
      <c r="AA10" s="0" t="n">
        <v>21</v>
      </c>
      <c r="AB10" s="0" t="s">
        <v>96</v>
      </c>
      <c r="AD10" s="0" t="n">
        <v>0</v>
      </c>
      <c r="AE10" s="0" t="s">
        <v>295</v>
      </c>
      <c r="AH10" s="0" t="n">
        <v>11</v>
      </c>
      <c r="AJ10" s="0" t="n">
        <v>10</v>
      </c>
      <c r="AP10" s="0" t="n">
        <v>500000</v>
      </c>
      <c r="DB10" s="0" t="str">
        <f aca="false">IF($A10="","",IF($AH10=20,IF(AND(OR($A10=21,$A10=215),$AJ10=10),"①病院一般",IF(AND($A10=31,$AJ10=41),"②病院短期","対象外")),IF($AJ10=30,"③特定消防",IF(AND(OR($A10=21,$A10=215),$AJ10=10),"④一般",IF(AND($A10=31,$AJ10=41),"⑤短期","対象外")))))</f>
        <v>④一般</v>
      </c>
      <c r="DC10" s="0" t="n">
        <f aca="false">IF($A10="","",IF($AB10&amp;""=設定!$C$4,1,0))</f>
        <v>1</v>
      </c>
    </row>
    <row r="11" customFormat="false" ht="15" hidden="false" customHeight="false" outlineLevel="0" collapsed="false">
      <c r="A11" s="0" t="n">
        <v>21</v>
      </c>
      <c r="AA11" s="0" t="n">
        <v>24</v>
      </c>
      <c r="AB11" s="0" t="s">
        <v>96</v>
      </c>
      <c r="AD11" s="0" t="n">
        <v>0</v>
      </c>
      <c r="AE11" s="0" t="s">
        <v>295</v>
      </c>
      <c r="AH11" s="0" t="n">
        <v>11</v>
      </c>
      <c r="AJ11" s="0" t="n">
        <v>10</v>
      </c>
      <c r="AP11" s="0" t="n">
        <v>440000</v>
      </c>
      <c r="DB11" s="0" t="str">
        <f aca="false">IF($A11="","",IF($AH11=20,IF(AND(OR($A11=21,$A11=215),$AJ11=10),"①病院一般",IF(AND($A11=31,$AJ11=41),"②病院短期","対象外")),IF($AJ11=30,"③特定消防",IF(AND(OR($A11=21,$A11=215),$AJ11=10),"④一般",IF(AND($A11=31,$AJ11=41),"⑤短期","対象外")))))</f>
        <v>④一般</v>
      </c>
      <c r="DC11" s="0" t="n">
        <f aca="false">IF($A11="","",IF($AB11&amp;""=設定!$C$4,1,0))</f>
        <v>1</v>
      </c>
    </row>
    <row r="12" customFormat="false" ht="15" hidden="false" customHeight="false" outlineLevel="0" collapsed="false">
      <c r="A12" s="0" t="n">
        <v>21</v>
      </c>
      <c r="AA12" s="0" t="n">
        <v>21</v>
      </c>
      <c r="AB12" s="0" t="s">
        <v>96</v>
      </c>
      <c r="AD12" s="0" t="n">
        <v>0</v>
      </c>
      <c r="AE12" s="0" t="s">
        <v>295</v>
      </c>
      <c r="AH12" s="0" t="n">
        <v>11</v>
      </c>
      <c r="AJ12" s="0" t="n">
        <v>10</v>
      </c>
      <c r="AP12" s="0" t="n">
        <v>410000</v>
      </c>
      <c r="DB12" s="0" t="str">
        <f aca="false">IF($A12="","",IF($AH12=20,IF(AND(OR($A12=21,$A12=215),$AJ12=10),"①病院一般",IF(AND($A12=31,$AJ12=41),"②病院短期","対象外")),IF($AJ12=30,"③特定消防",IF(AND(OR($A12=21,$A12=215),$AJ12=10),"④一般",IF(AND($A12=31,$AJ12=41),"⑤短期","対象外")))))</f>
        <v>④一般</v>
      </c>
      <c r="DC12" s="0" t="n">
        <f aca="false">IF($A12="","",IF($AB12&amp;""=設定!$C$4,1,0))</f>
        <v>1</v>
      </c>
    </row>
    <row r="13" customFormat="false" ht="15" hidden="false" customHeight="false" outlineLevel="0" collapsed="false">
      <c r="A13" s="0" t="n">
        <v>21</v>
      </c>
      <c r="AA13" s="0" t="n">
        <v>21</v>
      </c>
      <c r="AB13" s="0" t="s">
        <v>96</v>
      </c>
      <c r="AD13" s="0" t="n">
        <v>0</v>
      </c>
      <c r="AE13" s="0" t="s">
        <v>295</v>
      </c>
      <c r="AH13" s="0" t="n">
        <v>11</v>
      </c>
      <c r="AJ13" s="0" t="n">
        <v>10</v>
      </c>
      <c r="AP13" s="0" t="n">
        <v>320000</v>
      </c>
      <c r="DB13" s="0" t="str">
        <f aca="false">IF($A13="","",IF($AH13=20,IF(AND(OR($A13=21,$A13=215),$AJ13=10),"①病院一般",IF(AND($A13=31,$AJ13=41),"②病院短期","対象外")),IF($AJ13=30,"③特定消防",IF(AND(OR($A13=21,$A13=215),$AJ13=10),"④一般",IF(AND($A13=31,$AJ13=41),"⑤短期","対象外")))))</f>
        <v>④一般</v>
      </c>
      <c r="DC13" s="0" t="n">
        <f aca="false">IF($A13="","",IF($AB13&amp;""=設定!$C$4,1,0))</f>
        <v>1</v>
      </c>
    </row>
    <row r="14" customFormat="false" ht="15" hidden="false" customHeight="false" outlineLevel="0" collapsed="false">
      <c r="A14" s="0" t="n">
        <v>21</v>
      </c>
      <c r="AA14" s="0" t="n">
        <v>21</v>
      </c>
      <c r="AB14" s="0" t="s">
        <v>96</v>
      </c>
      <c r="AD14" s="0" t="n">
        <v>0</v>
      </c>
      <c r="AE14" s="0" t="s">
        <v>295</v>
      </c>
      <c r="AH14" s="0" t="n">
        <v>11</v>
      </c>
      <c r="AJ14" s="0" t="n">
        <v>10</v>
      </c>
      <c r="AP14" s="0" t="n">
        <v>440000</v>
      </c>
      <c r="DB14" s="0" t="str">
        <f aca="false">IF($A14="","",IF($AH14=20,IF(AND(OR($A14=21,$A14=215),$AJ14=10),"①病院一般",IF(AND($A14=31,$AJ14=41),"②病院短期","対象外")),IF($AJ14=30,"③特定消防",IF(AND(OR($A14=21,$A14=215),$AJ14=10),"④一般",IF(AND($A14=31,$AJ14=41),"⑤短期","対象外")))))</f>
        <v>④一般</v>
      </c>
      <c r="DC14" s="0" t="n">
        <f aca="false">IF($A14="","",IF($AB14&amp;""=設定!$C$4,1,0))</f>
        <v>1</v>
      </c>
    </row>
    <row r="15" customFormat="false" ht="15" hidden="false" customHeight="false" outlineLevel="0" collapsed="false">
      <c r="A15" s="0" t="n">
        <v>21</v>
      </c>
      <c r="AA15" s="0" t="n">
        <v>21</v>
      </c>
      <c r="AB15" s="0" t="s">
        <v>96</v>
      </c>
      <c r="AD15" s="0" t="n">
        <v>0</v>
      </c>
      <c r="AE15" s="0" t="s">
        <v>295</v>
      </c>
      <c r="AH15" s="0" t="n">
        <v>11</v>
      </c>
      <c r="AJ15" s="0" t="n">
        <v>10</v>
      </c>
      <c r="AP15" s="0" t="n">
        <v>500000</v>
      </c>
      <c r="DB15" s="0" t="str">
        <f aca="false">IF($A15="","",IF($AH15=20,IF(AND(OR($A15=21,$A15=215),$AJ15=10),"①病院一般",IF(AND($A15=31,$AJ15=41),"②病院短期","対象外")),IF($AJ15=30,"③特定消防",IF(AND(OR($A15=21,$A15=215),$AJ15=10),"④一般",IF(AND($A15=31,$AJ15=41),"⑤短期","対象外")))))</f>
        <v>④一般</v>
      </c>
      <c r="DC15" s="0" t="n">
        <f aca="false">IF($A15="","",IF($AB15&amp;""=設定!$C$4,1,0))</f>
        <v>1</v>
      </c>
    </row>
    <row r="16" customFormat="false" ht="15" hidden="false" customHeight="false" outlineLevel="0" collapsed="false">
      <c r="A16" s="0" t="n">
        <v>21</v>
      </c>
      <c r="AA16" s="0" t="n">
        <v>21</v>
      </c>
      <c r="AB16" s="0" t="s">
        <v>96</v>
      </c>
      <c r="AD16" s="0" t="n">
        <v>0</v>
      </c>
      <c r="AE16" s="0" t="s">
        <v>295</v>
      </c>
      <c r="AH16" s="0" t="n">
        <v>11</v>
      </c>
      <c r="AJ16" s="0" t="n">
        <v>10</v>
      </c>
      <c r="AP16" s="0" t="n">
        <v>380000</v>
      </c>
      <c r="DB16" s="0" t="str">
        <f aca="false">IF($A16="","",IF($AH16=20,IF(AND(OR($A16=21,$A16=215),$AJ16=10),"①病院一般",IF(AND($A16=31,$AJ16=41),"②病院短期","対象外")),IF($AJ16=30,"③特定消防",IF(AND(OR($A16=21,$A16=215),$AJ16=10),"④一般",IF(AND($A16=31,$AJ16=41),"⑤短期","対象外")))))</f>
        <v>④一般</v>
      </c>
      <c r="DC16" s="0" t="n">
        <f aca="false">IF($A16="","",IF($AB16&amp;""=設定!$C$4,1,0))</f>
        <v>1</v>
      </c>
    </row>
    <row r="17" customFormat="false" ht="15" hidden="false" customHeight="false" outlineLevel="0" collapsed="false">
      <c r="A17" s="0" t="n">
        <v>21</v>
      </c>
      <c r="AA17" s="0" t="n">
        <v>24</v>
      </c>
      <c r="AB17" s="0" t="s">
        <v>294</v>
      </c>
      <c r="AD17" s="0" t="n">
        <v>0</v>
      </c>
      <c r="AE17" s="0" t="s">
        <v>295</v>
      </c>
      <c r="AH17" s="0" t="n">
        <v>1</v>
      </c>
      <c r="AJ17" s="0" t="n">
        <v>10</v>
      </c>
      <c r="AP17" s="0" t="n">
        <v>340000</v>
      </c>
      <c r="DB17" s="0" t="str">
        <f aca="false">IF($A17="","",IF($AH17=20,IF(AND(OR($A17=21,$A17=215),$AJ17=10),"①病院一般",IF(AND($A17=31,$AJ17=41),"②病院短期","対象外")),IF($AJ17=30,"③特定消防",IF(AND(OR($A17=21,$A17=215),$AJ17=10),"④一般",IF(AND($A17=31,$AJ17=41),"⑤短期","対象外")))))</f>
        <v>④一般</v>
      </c>
      <c r="DC17" s="0" t="n">
        <f aca="false">IF($A17="","",IF($AB17&amp;""=設定!$C$4,1,0))</f>
        <v>0</v>
      </c>
    </row>
    <row r="18" customFormat="false" ht="15" hidden="false" customHeight="false" outlineLevel="0" collapsed="false">
      <c r="A18" s="0" t="n">
        <v>21</v>
      </c>
      <c r="AA18" s="0" t="n">
        <v>21</v>
      </c>
      <c r="AB18" s="0" t="s">
        <v>96</v>
      </c>
      <c r="AD18" s="0" t="n">
        <v>0</v>
      </c>
      <c r="AE18" s="0" t="s">
        <v>295</v>
      </c>
      <c r="AH18" s="0" t="n">
        <v>11</v>
      </c>
      <c r="AJ18" s="0" t="n">
        <v>10</v>
      </c>
      <c r="AP18" s="0" t="n">
        <v>300000</v>
      </c>
      <c r="DB18" s="0" t="str">
        <f aca="false">IF($A18="","",IF($AH18=20,IF(AND(OR($A18=21,$A18=215),$AJ18=10),"①病院一般",IF(AND($A18=31,$AJ18=41),"②病院短期","対象外")),IF($AJ18=30,"③特定消防",IF(AND(OR($A18=21,$A18=215),$AJ18=10),"④一般",IF(AND($A18=31,$AJ18=41),"⑤短期","対象外")))))</f>
        <v>④一般</v>
      </c>
      <c r="DC18" s="0" t="n">
        <f aca="false">IF($A18="","",IF($AB18&amp;""=設定!$C$4,1,0))</f>
        <v>1</v>
      </c>
    </row>
    <row r="19" customFormat="false" ht="15" hidden="false" customHeight="false" outlineLevel="0" collapsed="false">
      <c r="A19" s="0" t="n">
        <v>21</v>
      </c>
      <c r="AA19" s="0" t="n">
        <v>21</v>
      </c>
      <c r="AB19" s="0" t="s">
        <v>96</v>
      </c>
      <c r="AD19" s="0" t="n">
        <v>0</v>
      </c>
      <c r="AE19" s="0" t="s">
        <v>295</v>
      </c>
      <c r="AH19" s="0" t="n">
        <v>11</v>
      </c>
      <c r="AJ19" s="0" t="n">
        <v>10</v>
      </c>
      <c r="AP19" s="0" t="n">
        <v>410000</v>
      </c>
      <c r="DB19" s="0" t="str">
        <f aca="false">IF($A19="","",IF($AH19=20,IF(AND(OR($A19=21,$A19=215),$AJ19=10),"①病院一般",IF(AND($A19=31,$AJ19=41),"②病院短期","対象外")),IF($AJ19=30,"③特定消防",IF(AND(OR($A19=21,$A19=215),$AJ19=10),"④一般",IF(AND($A19=31,$AJ19=41),"⑤短期","対象外")))))</f>
        <v>④一般</v>
      </c>
      <c r="DC19" s="0" t="n">
        <f aca="false">IF($A19="","",IF($AB19&amp;""=設定!$C$4,1,0))</f>
        <v>1</v>
      </c>
    </row>
    <row r="20" customFormat="false" ht="15" hidden="false" customHeight="false" outlineLevel="0" collapsed="false">
      <c r="A20" s="0" t="n">
        <v>21</v>
      </c>
      <c r="AA20" s="0" t="n">
        <v>21</v>
      </c>
      <c r="AB20" s="0" t="s">
        <v>96</v>
      </c>
      <c r="AD20" s="0" t="n">
        <v>0</v>
      </c>
      <c r="AE20" s="0" t="s">
        <v>295</v>
      </c>
      <c r="AH20" s="0" t="n">
        <v>11</v>
      </c>
      <c r="AJ20" s="0" t="n">
        <v>10</v>
      </c>
      <c r="AP20" s="0" t="n">
        <v>340000</v>
      </c>
      <c r="DB20" s="0" t="str">
        <f aca="false">IF($A20="","",IF($AH20=20,IF(AND(OR($A20=21,$A20=215),$AJ20=10),"①病院一般",IF(AND($A20=31,$AJ20=41),"②病院短期","対象外")),IF($AJ20=30,"③特定消防",IF(AND(OR($A20=21,$A20=215),$AJ20=10),"④一般",IF(AND($A20=31,$AJ20=41),"⑤短期","対象外")))))</f>
        <v>④一般</v>
      </c>
      <c r="DC20" s="0" t="n">
        <f aca="false">IF($A20="","",IF($AB20&amp;""=設定!$C$4,1,0))</f>
        <v>1</v>
      </c>
    </row>
    <row r="21" customFormat="false" ht="15" hidden="false" customHeight="false" outlineLevel="0" collapsed="false">
      <c r="A21" s="0" t="n">
        <v>21</v>
      </c>
      <c r="AA21" s="0" t="n">
        <v>21</v>
      </c>
      <c r="AB21" s="0" t="s">
        <v>96</v>
      </c>
      <c r="AD21" s="0" t="n">
        <v>0</v>
      </c>
      <c r="AE21" s="0" t="s">
        <v>295</v>
      </c>
      <c r="AH21" s="0" t="n">
        <v>11</v>
      </c>
      <c r="AJ21" s="0" t="n">
        <v>10</v>
      </c>
      <c r="AP21" s="0" t="n">
        <v>410000</v>
      </c>
      <c r="DB21" s="0" t="str">
        <f aca="false">IF($A21="","",IF($AH21=20,IF(AND(OR($A21=21,$A21=215),$AJ21=10),"①病院一般",IF(AND($A21=31,$AJ21=41),"②病院短期","対象外")),IF($AJ21=30,"③特定消防",IF(AND(OR($A21=21,$A21=215),$AJ21=10),"④一般",IF(AND($A21=31,$AJ21=41),"⑤短期","対象外")))))</f>
        <v>④一般</v>
      </c>
      <c r="DC21" s="0" t="n">
        <f aca="false">IF($A21="","",IF($AB21&amp;""=設定!$C$4,1,0))</f>
        <v>1</v>
      </c>
    </row>
    <row r="22" customFormat="false" ht="15" hidden="false" customHeight="false" outlineLevel="0" collapsed="false">
      <c r="A22" s="0" t="n">
        <v>21</v>
      </c>
      <c r="AA22" s="0" t="n">
        <v>24</v>
      </c>
      <c r="AB22" s="0" t="s">
        <v>96</v>
      </c>
      <c r="AD22" s="0" t="n">
        <v>0</v>
      </c>
      <c r="AE22" s="0" t="s">
        <v>295</v>
      </c>
      <c r="AH22" s="0" t="n">
        <v>1</v>
      </c>
      <c r="AJ22" s="0" t="n">
        <v>10</v>
      </c>
      <c r="AP22" s="0" t="n">
        <v>340000</v>
      </c>
      <c r="DB22" s="0" t="str">
        <f aca="false">IF($A22="","",IF($AH22=20,IF(AND(OR($A22=21,$A22=215),$AJ22=10),"①病院一般",IF(AND($A22=31,$AJ22=41),"②病院短期","対象外")),IF($AJ22=30,"③特定消防",IF(AND(OR($A22=21,$A22=215),$AJ22=10),"④一般",IF(AND($A22=31,$AJ22=41),"⑤短期","対象外")))))</f>
        <v>④一般</v>
      </c>
      <c r="DC22" s="0" t="n">
        <f aca="false">IF($A22="","",IF($AB22&amp;""=設定!$C$4,1,0))</f>
        <v>1</v>
      </c>
    </row>
    <row r="23" customFormat="false" ht="15" hidden="false" customHeight="false" outlineLevel="0" collapsed="false">
      <c r="A23" s="0" t="n">
        <v>21</v>
      </c>
      <c r="AA23" s="0" t="n">
        <v>24</v>
      </c>
      <c r="AB23" s="0" t="s">
        <v>96</v>
      </c>
      <c r="AD23" s="0" t="n">
        <v>0</v>
      </c>
      <c r="AE23" s="0" t="s">
        <v>295</v>
      </c>
      <c r="AH23" s="0" t="n">
        <v>83</v>
      </c>
      <c r="AJ23" s="0" t="n">
        <v>70</v>
      </c>
      <c r="AP23" s="0" t="n">
        <v>440000</v>
      </c>
      <c r="DB23" s="0" t="str">
        <f aca="false">IF($A23="","",IF($AH23=20,IF(AND(OR($A23=21,$A23=215),$AJ23=10),"①病院一般",IF(AND($A23=31,$AJ23=41),"②病院短期","対象外")),IF($AJ23=30,"③特定消防",IF(AND(OR($A23=21,$A23=215),$AJ23=10),"④一般",IF(AND($A23=31,$AJ23=41),"⑤短期","対象外")))))</f>
        <v>対象外</v>
      </c>
      <c r="DC23" s="0" t="n">
        <f aca="false">IF($A23="","",IF($AB23&amp;""=設定!$C$4,1,0))</f>
        <v>1</v>
      </c>
    </row>
    <row r="24" customFormat="false" ht="15" hidden="false" customHeight="false" outlineLevel="0" collapsed="false">
      <c r="A24" s="0" t="n">
        <v>21</v>
      </c>
      <c r="AA24" s="0" t="n">
        <v>24</v>
      </c>
      <c r="AB24" s="0" t="s">
        <v>294</v>
      </c>
      <c r="AD24" s="0" t="n">
        <v>0</v>
      </c>
      <c r="AE24" s="0" t="s">
        <v>295</v>
      </c>
      <c r="AH24" s="0" t="n">
        <v>1</v>
      </c>
      <c r="AJ24" s="0" t="n">
        <v>10</v>
      </c>
      <c r="AP24" s="0" t="n">
        <v>360000</v>
      </c>
      <c r="DB24" s="0" t="str">
        <f aca="false">IF($A24="","",IF($AH24=20,IF(AND(OR($A24=21,$A24=215),$AJ24=10),"①病院一般",IF(AND($A24=31,$AJ24=41),"②病院短期","対象外")),IF($AJ24=30,"③特定消防",IF(AND(OR($A24=21,$A24=215),$AJ24=10),"④一般",IF(AND($A24=31,$AJ24=41),"⑤短期","対象外")))))</f>
        <v>④一般</v>
      </c>
      <c r="DC24" s="0" t="n">
        <f aca="false">IF($A24="","",IF($AB24&amp;""=設定!$C$4,1,0))</f>
        <v>0</v>
      </c>
    </row>
    <row r="25" customFormat="false" ht="15" hidden="false" customHeight="false" outlineLevel="0" collapsed="false">
      <c r="A25" s="0" t="n">
        <v>21</v>
      </c>
      <c r="AA25" s="0" t="n">
        <v>21</v>
      </c>
      <c r="AB25" s="0" t="s">
        <v>294</v>
      </c>
      <c r="AD25" s="0" t="n">
        <v>0</v>
      </c>
      <c r="AE25" s="0" t="s">
        <v>295</v>
      </c>
      <c r="AH25" s="0" t="n">
        <v>20</v>
      </c>
      <c r="AJ25" s="0" t="n">
        <v>10</v>
      </c>
      <c r="AP25" s="0" t="n">
        <v>260000</v>
      </c>
      <c r="DB25" s="0" t="str">
        <f aca="false">IF($A25="","",IF($AH25=20,IF(AND(OR($A25=21,$A25=215),$AJ25=10),"①病院一般",IF(AND($A25=31,$AJ25=41),"②病院短期","対象外")),IF($AJ25=30,"③特定消防",IF(AND(OR($A25=21,$A25=215),$AJ25=10),"④一般",IF(AND($A25=31,$AJ25=41),"⑤短期","対象外")))))</f>
        <v>①病院一般</v>
      </c>
      <c r="DC25" s="0" t="n">
        <f aca="false">IF($A25="","",IF($AB25&amp;""=設定!$C$4,1,0))</f>
        <v>0</v>
      </c>
    </row>
    <row r="26" customFormat="false" ht="15" hidden="false" customHeight="false" outlineLevel="0" collapsed="false">
      <c r="A26" s="0" t="n">
        <v>21</v>
      </c>
      <c r="AA26" s="0" t="n">
        <v>21</v>
      </c>
      <c r="AB26" s="0" t="s">
        <v>296</v>
      </c>
      <c r="AD26" s="0" t="n">
        <v>0</v>
      </c>
      <c r="AE26" s="0" t="s">
        <v>295</v>
      </c>
      <c r="AH26" s="0" t="n">
        <v>20</v>
      </c>
      <c r="AJ26" s="0" t="n">
        <v>10</v>
      </c>
      <c r="AP26" s="0" t="n">
        <v>320000</v>
      </c>
      <c r="DB26" s="0" t="str">
        <f aca="false">IF($A26="","",IF($AH26=20,IF(AND(OR($A26=21,$A26=215),$AJ26=10),"①病院一般",IF(AND($A26=31,$AJ26=41),"②病院短期","対象外")),IF($AJ26=30,"③特定消防",IF(AND(OR($A26=21,$A26=215),$AJ26=10),"④一般",IF(AND($A26=31,$AJ26=41),"⑤短期","対象外")))))</f>
        <v>①病院一般</v>
      </c>
      <c r="DC26" s="0" t="n">
        <f aca="false">IF($A26="","",IF($AB26&amp;""=設定!$C$4,1,0))</f>
        <v>0</v>
      </c>
    </row>
    <row r="27" customFormat="false" ht="15" hidden="false" customHeight="false" outlineLevel="0" collapsed="false">
      <c r="A27" s="0" t="n">
        <v>21</v>
      </c>
      <c r="AA27" s="0" t="n">
        <v>21</v>
      </c>
      <c r="AB27" s="0" t="s">
        <v>96</v>
      </c>
      <c r="AD27" s="0" t="n">
        <v>0</v>
      </c>
      <c r="AE27" s="0" t="s">
        <v>295</v>
      </c>
      <c r="AH27" s="0" t="n">
        <v>20</v>
      </c>
      <c r="AJ27" s="0" t="n">
        <v>10</v>
      </c>
      <c r="AP27" s="0" t="n">
        <v>320000</v>
      </c>
      <c r="DB27" s="0" t="str">
        <f aca="false">IF($A27="","",IF($AH27=20,IF(AND(OR($A27=21,$A27=215),$AJ27=10),"①病院一般",IF(AND($A27=31,$AJ27=41),"②病院短期","対象外")),IF($AJ27=30,"③特定消防",IF(AND(OR($A27=21,$A27=215),$AJ27=10),"④一般",IF(AND($A27=31,$AJ27=41),"⑤短期","対象外")))))</f>
        <v>①病院一般</v>
      </c>
      <c r="DC27" s="0" t="n">
        <f aca="false">IF($A27="","",IF($AB27&amp;""=設定!$C$4,1,0))</f>
        <v>1</v>
      </c>
    </row>
    <row r="28" customFormat="false" ht="15" hidden="false" customHeight="false" outlineLevel="0" collapsed="false">
      <c r="A28" s="0" t="n">
        <v>21</v>
      </c>
      <c r="AA28" s="0" t="n">
        <v>21</v>
      </c>
      <c r="AB28" s="0" t="s">
        <v>296</v>
      </c>
      <c r="AD28" s="0" t="n">
        <v>0</v>
      </c>
      <c r="AE28" s="0" t="s">
        <v>295</v>
      </c>
      <c r="AH28" s="0" t="n">
        <v>20</v>
      </c>
      <c r="AJ28" s="0" t="n">
        <v>10</v>
      </c>
      <c r="AP28" s="0" t="n">
        <v>320000</v>
      </c>
      <c r="DB28" s="0" t="str">
        <f aca="false">IF($A28="","",IF($AH28=20,IF(AND(OR($A28=21,$A28=215),$AJ28=10),"①病院一般",IF(AND($A28=31,$AJ28=41),"②病院短期","対象外")),IF($AJ28=30,"③特定消防",IF(AND(OR($A28=21,$A28=215),$AJ28=10),"④一般",IF(AND($A28=31,$AJ28=41),"⑤短期","対象外")))))</f>
        <v>①病院一般</v>
      </c>
      <c r="DC28" s="0" t="n">
        <f aca="false">IF($A28="","",IF($AB28&amp;""=設定!$C$4,1,0))</f>
        <v>0</v>
      </c>
    </row>
    <row r="29" customFormat="false" ht="15" hidden="false" customHeight="false" outlineLevel="0" collapsed="false">
      <c r="A29" s="0" t="n">
        <v>21</v>
      </c>
      <c r="AA29" s="0" t="n">
        <v>21</v>
      </c>
      <c r="AB29" s="0" t="s">
        <v>294</v>
      </c>
      <c r="AD29" s="0" t="n">
        <v>0</v>
      </c>
      <c r="AE29" s="0" t="s">
        <v>295</v>
      </c>
      <c r="AH29" s="0" t="n">
        <v>20</v>
      </c>
      <c r="AJ29" s="0" t="n">
        <v>10</v>
      </c>
      <c r="AP29" s="0" t="n">
        <v>240000</v>
      </c>
      <c r="DB29" s="0" t="str">
        <f aca="false">IF($A29="","",IF($AH29=20,IF(AND(OR($A29=21,$A29=215),$AJ29=10),"①病院一般",IF(AND($A29=31,$AJ29=41),"②病院短期","対象外")),IF($AJ29=30,"③特定消防",IF(AND(OR($A29=21,$A29=215),$AJ29=10),"④一般",IF(AND($A29=31,$AJ29=41),"⑤短期","対象外")))))</f>
        <v>①病院一般</v>
      </c>
      <c r="DC29" s="0" t="n">
        <f aca="false">IF($A29="","",IF($AB29&amp;""=設定!$C$4,1,0))</f>
        <v>0</v>
      </c>
    </row>
    <row r="30" customFormat="false" ht="15" hidden="false" customHeight="false" outlineLevel="0" collapsed="false">
      <c r="A30" s="0" t="n">
        <v>21</v>
      </c>
      <c r="AA30" s="0" t="n">
        <v>21</v>
      </c>
      <c r="AB30" s="0" t="s">
        <v>96</v>
      </c>
      <c r="AD30" s="0" t="n">
        <v>0</v>
      </c>
      <c r="AE30" s="0" t="s">
        <v>295</v>
      </c>
      <c r="AH30" s="0" t="n">
        <v>11</v>
      </c>
      <c r="AJ30" s="0" t="n">
        <v>10</v>
      </c>
      <c r="AP30" s="0" t="n">
        <v>470000</v>
      </c>
      <c r="DB30" s="0" t="str">
        <f aca="false">IF($A30="","",IF($AH30=20,IF(AND(OR($A30=21,$A30=215),$AJ30=10),"①病院一般",IF(AND($A30=31,$AJ30=41),"②病院短期","対象外")),IF($AJ30=30,"③特定消防",IF(AND(OR($A30=21,$A30=215),$AJ30=10),"④一般",IF(AND($A30=31,$AJ30=41),"⑤短期","対象外")))))</f>
        <v>④一般</v>
      </c>
      <c r="DC30" s="0" t="n">
        <f aca="false">IF($A30="","",IF($AB30&amp;""=設定!$C$4,1,0))</f>
        <v>1</v>
      </c>
    </row>
    <row r="31" customFormat="false" ht="15" hidden="false" customHeight="false" outlineLevel="0" collapsed="false">
      <c r="A31" s="0" t="n">
        <v>21</v>
      </c>
      <c r="AA31" s="0" t="n">
        <v>21</v>
      </c>
      <c r="AB31" s="0" t="s">
        <v>96</v>
      </c>
      <c r="AD31" s="0" t="n">
        <v>0</v>
      </c>
      <c r="AE31" s="0" t="s">
        <v>295</v>
      </c>
      <c r="AH31" s="0" t="n">
        <v>11</v>
      </c>
      <c r="AJ31" s="0" t="n">
        <v>10</v>
      </c>
      <c r="AP31" s="0" t="n">
        <v>280000</v>
      </c>
      <c r="DB31" s="0" t="str">
        <f aca="false">IF($A31="","",IF($AH31=20,IF(AND(OR($A31=21,$A31=215),$AJ31=10),"①病院一般",IF(AND($A31=31,$AJ31=41),"②病院短期","対象外")),IF($AJ31=30,"③特定消防",IF(AND(OR($A31=21,$A31=215),$AJ31=10),"④一般",IF(AND($A31=31,$AJ31=41),"⑤短期","対象外")))))</f>
        <v>④一般</v>
      </c>
      <c r="DC31" s="0" t="n">
        <f aca="false">IF($A31="","",IF($AB31&amp;""=設定!$C$4,1,0))</f>
        <v>1</v>
      </c>
    </row>
    <row r="32" customFormat="false" ht="15" hidden="false" customHeight="false" outlineLevel="0" collapsed="false">
      <c r="A32" s="0" t="n">
        <v>21</v>
      </c>
      <c r="AA32" s="0" t="n">
        <v>21</v>
      </c>
      <c r="AB32" s="0" t="s">
        <v>96</v>
      </c>
      <c r="AD32" s="0" t="n">
        <v>0</v>
      </c>
      <c r="AE32" s="0" t="s">
        <v>295</v>
      </c>
      <c r="AH32" s="0" t="n">
        <v>11</v>
      </c>
      <c r="AJ32" s="0" t="n">
        <v>10</v>
      </c>
      <c r="AP32" s="0" t="n">
        <v>280000</v>
      </c>
      <c r="DB32" s="0" t="str">
        <f aca="false">IF($A32="","",IF($AH32=20,IF(AND(OR($A32=21,$A32=215),$AJ32=10),"①病院一般",IF(AND($A32=31,$AJ32=41),"②病院短期","対象外")),IF($AJ32=30,"③特定消防",IF(AND(OR($A32=21,$A32=215),$AJ32=10),"④一般",IF(AND($A32=31,$AJ32=41),"⑤短期","対象外")))))</f>
        <v>④一般</v>
      </c>
      <c r="DC32" s="0" t="n">
        <f aca="false">IF($A32="","",IF($AB32&amp;""=設定!$C$4,1,0))</f>
        <v>1</v>
      </c>
    </row>
    <row r="33" customFormat="false" ht="15" hidden="false" customHeight="false" outlineLevel="0" collapsed="false">
      <c r="A33" s="0" t="n">
        <v>21</v>
      </c>
      <c r="AA33" s="0" t="n">
        <v>21</v>
      </c>
      <c r="AB33" s="0" t="s">
        <v>96</v>
      </c>
      <c r="AD33" s="0" t="n">
        <v>0</v>
      </c>
      <c r="AE33" s="0" t="s">
        <v>295</v>
      </c>
      <c r="AH33" s="0" t="n">
        <v>11</v>
      </c>
      <c r="AJ33" s="0" t="n">
        <v>10</v>
      </c>
      <c r="AP33" s="0" t="n">
        <v>300000</v>
      </c>
      <c r="DB33" s="0" t="str">
        <f aca="false">IF($A33="","",IF($AH33=20,IF(AND(OR($A33=21,$A33=215),$AJ33=10),"①病院一般",IF(AND($A33=31,$AJ33=41),"②病院短期","対象外")),IF($AJ33=30,"③特定消防",IF(AND(OR($A33=21,$A33=215),$AJ33=10),"④一般",IF(AND($A33=31,$AJ33=41),"⑤短期","対象外")))))</f>
        <v>④一般</v>
      </c>
      <c r="DC33" s="0" t="n">
        <f aca="false">IF($A33="","",IF($AB33&amp;""=設定!$C$4,1,0))</f>
        <v>1</v>
      </c>
    </row>
    <row r="34" customFormat="false" ht="15" hidden="false" customHeight="false" outlineLevel="0" collapsed="false">
      <c r="A34" s="0" t="n">
        <v>21</v>
      </c>
      <c r="AA34" s="0" t="n">
        <v>21</v>
      </c>
      <c r="AB34" s="0" t="s">
        <v>96</v>
      </c>
      <c r="AD34" s="0" t="n">
        <v>0</v>
      </c>
      <c r="AE34" s="0" t="s">
        <v>295</v>
      </c>
      <c r="AH34" s="0" t="n">
        <v>11</v>
      </c>
      <c r="AJ34" s="0" t="n">
        <v>10</v>
      </c>
      <c r="AP34" s="0" t="n">
        <v>300000</v>
      </c>
      <c r="DB34" s="0" t="str">
        <f aca="false">IF($A34="","",IF($AH34=20,IF(AND(OR($A34=21,$A34=215),$AJ34=10),"①病院一般",IF(AND($A34=31,$AJ34=41),"②病院短期","対象外")),IF($AJ34=30,"③特定消防",IF(AND(OR($A34=21,$A34=215),$AJ34=10),"④一般",IF(AND($A34=31,$AJ34=41),"⑤短期","対象外")))))</f>
        <v>④一般</v>
      </c>
      <c r="DC34" s="0" t="n">
        <f aca="false">IF($A34="","",IF($AB34&amp;""=設定!$C$4,1,0))</f>
        <v>1</v>
      </c>
    </row>
    <row r="35" customFormat="false" ht="15" hidden="false" customHeight="false" outlineLevel="0" collapsed="false">
      <c r="A35" s="0" t="n">
        <v>21</v>
      </c>
      <c r="AA35" s="0" t="n">
        <v>21</v>
      </c>
      <c r="AB35" s="0" t="s">
        <v>96</v>
      </c>
      <c r="AD35" s="0" t="n">
        <v>0</v>
      </c>
      <c r="AE35" s="0" t="s">
        <v>295</v>
      </c>
      <c r="AH35" s="0" t="n">
        <v>11</v>
      </c>
      <c r="AJ35" s="0" t="n">
        <v>10</v>
      </c>
      <c r="AP35" s="0" t="n">
        <v>260000</v>
      </c>
      <c r="DB35" s="0" t="str">
        <f aca="false">IF($A35="","",IF($AH35=20,IF(AND(OR($A35=21,$A35=215),$AJ35=10),"①病院一般",IF(AND($A35=31,$AJ35=41),"②病院短期","対象外")),IF($AJ35=30,"③特定消防",IF(AND(OR($A35=21,$A35=215),$AJ35=10),"④一般",IF(AND($A35=31,$AJ35=41),"⑤短期","対象外")))))</f>
        <v>④一般</v>
      </c>
      <c r="DC35" s="0" t="n">
        <f aca="false">IF($A35="","",IF($AB35&amp;""=設定!$C$4,1,0))</f>
        <v>1</v>
      </c>
    </row>
    <row r="36" customFormat="false" ht="15" hidden="false" customHeight="false" outlineLevel="0" collapsed="false">
      <c r="A36" s="0" t="n">
        <v>21</v>
      </c>
      <c r="AA36" s="0" t="n">
        <v>21</v>
      </c>
      <c r="AB36" s="0" t="s">
        <v>96</v>
      </c>
      <c r="AD36" s="0" t="n">
        <v>0</v>
      </c>
      <c r="AE36" s="0" t="s">
        <v>295</v>
      </c>
      <c r="AH36" s="0" t="n">
        <v>1</v>
      </c>
      <c r="AJ36" s="0" t="n">
        <v>10</v>
      </c>
      <c r="AP36" s="0" t="n">
        <v>280000</v>
      </c>
      <c r="DB36" s="0" t="str">
        <f aca="false">IF($A36="","",IF($AH36=20,IF(AND(OR($A36=21,$A36=215),$AJ36=10),"①病院一般",IF(AND($A36=31,$AJ36=41),"②病院短期","対象外")),IF($AJ36=30,"③特定消防",IF(AND(OR($A36=21,$A36=215),$AJ36=10),"④一般",IF(AND($A36=31,$AJ36=41),"⑤短期","対象外")))))</f>
        <v>④一般</v>
      </c>
      <c r="DC36" s="0" t="n">
        <f aca="false">IF($A36="","",IF($AB36&amp;""=設定!$C$4,1,0))</f>
        <v>1</v>
      </c>
    </row>
    <row r="37" customFormat="false" ht="15" hidden="false" customHeight="false" outlineLevel="0" collapsed="false">
      <c r="A37" s="0" t="n">
        <v>21</v>
      </c>
      <c r="AA37" s="0" t="n">
        <v>21</v>
      </c>
      <c r="AB37" s="0" t="s">
        <v>96</v>
      </c>
      <c r="AD37" s="0" t="n">
        <v>0</v>
      </c>
      <c r="AE37" s="0" t="s">
        <v>295</v>
      </c>
      <c r="AH37" s="0" t="n">
        <v>20</v>
      </c>
      <c r="AJ37" s="0" t="n">
        <v>10</v>
      </c>
      <c r="AP37" s="0" t="n">
        <v>1090000</v>
      </c>
      <c r="DB37" s="0" t="str">
        <f aca="false">IF($A37="","",IF($AH37=20,IF(AND(OR($A37=21,$A37=215),$AJ37=10),"①病院一般",IF(AND($A37=31,$AJ37=41),"②病院短期","対象外")),IF($AJ37=30,"③特定消防",IF(AND(OR($A37=21,$A37=215),$AJ37=10),"④一般",IF(AND($A37=31,$AJ37=41),"⑤短期","対象外")))))</f>
        <v>①病院一般</v>
      </c>
      <c r="DC37" s="0" t="n">
        <f aca="false">IF($A37="","",IF($AB37&amp;""=設定!$C$4,1,0))</f>
        <v>1</v>
      </c>
    </row>
    <row r="38" customFormat="false" ht="15" hidden="false" customHeight="false" outlineLevel="0" collapsed="false">
      <c r="A38" s="0" t="n">
        <v>21</v>
      </c>
      <c r="AA38" s="0" t="n">
        <v>21</v>
      </c>
      <c r="AB38" s="0" t="s">
        <v>96</v>
      </c>
      <c r="AD38" s="0" t="n">
        <v>0</v>
      </c>
      <c r="AE38" s="0" t="s">
        <v>295</v>
      </c>
      <c r="AH38" s="0" t="n">
        <v>20</v>
      </c>
      <c r="AJ38" s="0" t="n">
        <v>10</v>
      </c>
      <c r="AP38" s="0" t="n">
        <v>980000</v>
      </c>
      <c r="DB38" s="0" t="str">
        <f aca="false">IF($A38="","",IF($AH38=20,IF(AND(OR($A38=21,$A38=215),$AJ38=10),"①病院一般",IF(AND($A38=31,$AJ38=41),"②病院短期","対象外")),IF($AJ38=30,"③特定消防",IF(AND(OR($A38=21,$A38=215),$AJ38=10),"④一般",IF(AND($A38=31,$AJ38=41),"⑤短期","対象外")))))</f>
        <v>①病院一般</v>
      </c>
      <c r="DC38" s="0" t="n">
        <f aca="false">IF($A38="","",IF($AB38&amp;""=設定!$C$4,1,0))</f>
        <v>1</v>
      </c>
    </row>
    <row r="39" customFormat="false" ht="15" hidden="false" customHeight="false" outlineLevel="0" collapsed="false">
      <c r="A39" s="0" t="n">
        <v>21</v>
      </c>
      <c r="AA39" s="0" t="n">
        <v>21</v>
      </c>
      <c r="AB39" s="0" t="s">
        <v>96</v>
      </c>
      <c r="AD39" s="0" t="n">
        <v>0</v>
      </c>
      <c r="AE39" s="0" t="s">
        <v>295</v>
      </c>
      <c r="AH39" s="0" t="n">
        <v>20</v>
      </c>
      <c r="AJ39" s="0" t="n">
        <v>10</v>
      </c>
      <c r="AP39" s="0" t="n">
        <v>880000</v>
      </c>
      <c r="DB39" s="0" t="str">
        <f aca="false">IF($A39="","",IF($AH39=20,IF(AND(OR($A39=21,$A39=215),$AJ39=10),"①病院一般",IF(AND($A39=31,$AJ39=41),"②病院短期","対象外")),IF($AJ39=30,"③特定消防",IF(AND(OR($A39=21,$A39=215),$AJ39=10),"④一般",IF(AND($A39=31,$AJ39=41),"⑤短期","対象外")))))</f>
        <v>①病院一般</v>
      </c>
      <c r="DC39" s="0" t="n">
        <f aca="false">IF($A39="","",IF($AB39&amp;""=設定!$C$4,1,0))</f>
        <v>1</v>
      </c>
    </row>
    <row r="40" customFormat="false" ht="15" hidden="false" customHeight="false" outlineLevel="0" collapsed="false">
      <c r="A40" s="0" t="n">
        <v>21</v>
      </c>
      <c r="AA40" s="0" t="n">
        <v>21</v>
      </c>
      <c r="AB40" s="0" t="s">
        <v>96</v>
      </c>
      <c r="AD40" s="0" t="n">
        <v>12</v>
      </c>
      <c r="AE40" s="0" t="s">
        <v>297</v>
      </c>
      <c r="AH40" s="0" t="n">
        <v>20</v>
      </c>
      <c r="AJ40" s="0" t="n">
        <v>10</v>
      </c>
      <c r="AP40" s="0" t="n">
        <v>1090000</v>
      </c>
      <c r="DB40" s="0" t="str">
        <f aca="false">IF($A40="","",IF($AH40=20,IF(AND(OR($A40=21,$A40=215),$AJ40=10),"①病院一般",IF(AND($A40=31,$AJ40=41),"②病院短期","対象外")),IF($AJ40=30,"③特定消防",IF(AND(OR($A40=21,$A40=215),$AJ40=10),"④一般",IF(AND($A40=31,$AJ40=41),"⑤短期","対象外")))))</f>
        <v>①病院一般</v>
      </c>
      <c r="DC40" s="0" t="n">
        <f aca="false">IF($A40="","",IF($AB40&amp;""=設定!$C$4,1,0))</f>
        <v>1</v>
      </c>
    </row>
    <row r="41" customFormat="false" ht="15" hidden="false" customHeight="false" outlineLevel="0" collapsed="false">
      <c r="A41" s="0" t="n">
        <v>21</v>
      </c>
      <c r="AA41" s="0" t="n">
        <v>21</v>
      </c>
      <c r="AB41" s="0" t="s">
        <v>96</v>
      </c>
      <c r="AD41" s="0" t="n">
        <v>0</v>
      </c>
      <c r="AE41" s="0" t="s">
        <v>295</v>
      </c>
      <c r="AH41" s="0" t="n">
        <v>20</v>
      </c>
      <c r="AJ41" s="0" t="n">
        <v>10</v>
      </c>
      <c r="AP41" s="0" t="n">
        <v>830000</v>
      </c>
      <c r="DB41" s="0" t="str">
        <f aca="false">IF($A41="","",IF($AH41=20,IF(AND(OR($A41=21,$A41=215),$AJ41=10),"①病院一般",IF(AND($A41=31,$AJ41=41),"②病院短期","対象外")),IF($AJ41=30,"③特定消防",IF(AND(OR($A41=21,$A41=215),$AJ41=10),"④一般",IF(AND($A41=31,$AJ41=41),"⑤短期","対象外")))))</f>
        <v>①病院一般</v>
      </c>
      <c r="DC41" s="0" t="n">
        <f aca="false">IF($A41="","",IF($AB41&amp;""=設定!$C$4,1,0))</f>
        <v>1</v>
      </c>
    </row>
    <row r="42" customFormat="false" ht="15" hidden="false" customHeight="false" outlineLevel="0" collapsed="false">
      <c r="A42" s="0" t="n">
        <v>21</v>
      </c>
      <c r="AA42" s="0" t="n">
        <v>21</v>
      </c>
      <c r="AB42" s="0" t="s">
        <v>96</v>
      </c>
      <c r="AD42" s="0" t="n">
        <v>0</v>
      </c>
      <c r="AE42" s="0" t="s">
        <v>295</v>
      </c>
      <c r="AH42" s="0" t="n">
        <v>20</v>
      </c>
      <c r="AJ42" s="0" t="n">
        <v>10</v>
      </c>
      <c r="AP42" s="0" t="n">
        <v>930000</v>
      </c>
      <c r="DB42" s="0" t="str">
        <f aca="false">IF($A42="","",IF($AH42=20,IF(AND(OR($A42=21,$A42=215),$AJ42=10),"①病院一般",IF(AND($A42=31,$AJ42=41),"②病院短期","対象外")),IF($AJ42=30,"③特定消防",IF(AND(OR($A42=21,$A42=215),$AJ42=10),"④一般",IF(AND($A42=31,$AJ42=41),"⑤短期","対象外")))))</f>
        <v>①病院一般</v>
      </c>
      <c r="DC42" s="0" t="n">
        <f aca="false">IF($A42="","",IF($AB42&amp;""=設定!$C$4,1,0))</f>
        <v>1</v>
      </c>
    </row>
    <row r="43" customFormat="false" ht="15" hidden="false" customHeight="false" outlineLevel="0" collapsed="false">
      <c r="A43" s="0" t="n">
        <v>21</v>
      </c>
      <c r="AA43" s="0" t="n">
        <v>21</v>
      </c>
      <c r="AB43" s="0" t="s">
        <v>96</v>
      </c>
      <c r="AD43" s="0" t="n">
        <v>0</v>
      </c>
      <c r="AE43" s="0" t="s">
        <v>295</v>
      </c>
      <c r="AH43" s="0" t="n">
        <v>20</v>
      </c>
      <c r="AJ43" s="0" t="n">
        <v>10</v>
      </c>
      <c r="AP43" s="0" t="n">
        <v>980000</v>
      </c>
      <c r="DB43" s="0" t="str">
        <f aca="false">IF($A43="","",IF($AH43=20,IF(AND(OR($A43=21,$A43=215),$AJ43=10),"①病院一般",IF(AND($A43=31,$AJ43=41),"②病院短期","対象外")),IF($AJ43=30,"③特定消防",IF(AND(OR($A43=21,$A43=215),$AJ43=10),"④一般",IF(AND($A43=31,$AJ43=41),"⑤短期","対象外")))))</f>
        <v>①病院一般</v>
      </c>
      <c r="DC43" s="0" t="n">
        <f aca="false">IF($A43="","",IF($AB43&amp;""=設定!$C$4,1,0))</f>
        <v>1</v>
      </c>
    </row>
    <row r="44" customFormat="false" ht="15" hidden="false" customHeight="false" outlineLevel="0" collapsed="false">
      <c r="A44" s="0" t="n">
        <v>21</v>
      </c>
      <c r="AA44" s="0" t="n">
        <v>21</v>
      </c>
      <c r="AB44" s="0" t="s">
        <v>96</v>
      </c>
      <c r="AD44" s="0" t="n">
        <v>0</v>
      </c>
      <c r="AE44" s="0" t="s">
        <v>295</v>
      </c>
      <c r="AH44" s="0" t="n">
        <v>20</v>
      </c>
      <c r="AJ44" s="0" t="n">
        <v>10</v>
      </c>
      <c r="AP44" s="0" t="n">
        <v>930000</v>
      </c>
      <c r="DB44" s="0" t="str">
        <f aca="false">IF($A44="","",IF($AH44=20,IF(AND(OR($A44=21,$A44=215),$AJ44=10),"①病院一般",IF(AND($A44=31,$AJ44=41),"②病院短期","対象外")),IF($AJ44=30,"③特定消防",IF(AND(OR($A44=21,$A44=215),$AJ44=10),"④一般",IF(AND($A44=31,$AJ44=41),"⑤短期","対象外")))))</f>
        <v>①病院一般</v>
      </c>
      <c r="DC44" s="0" t="n">
        <f aca="false">IF($A44="","",IF($AB44&amp;""=設定!$C$4,1,0))</f>
        <v>1</v>
      </c>
    </row>
    <row r="45" customFormat="false" ht="15" hidden="false" customHeight="false" outlineLevel="0" collapsed="false">
      <c r="A45" s="0" t="n">
        <v>21</v>
      </c>
      <c r="AA45" s="0" t="n">
        <v>21</v>
      </c>
      <c r="AB45" s="0" t="s">
        <v>96</v>
      </c>
      <c r="AD45" s="0" t="n">
        <v>0</v>
      </c>
      <c r="AE45" s="0" t="s">
        <v>295</v>
      </c>
      <c r="AH45" s="0" t="n">
        <v>20</v>
      </c>
      <c r="AJ45" s="0" t="n">
        <v>10</v>
      </c>
      <c r="AP45" s="0" t="n">
        <v>930000</v>
      </c>
      <c r="DB45" s="0" t="str">
        <f aca="false">IF($A45="","",IF($AH45=20,IF(AND(OR($A45=21,$A45=215),$AJ45=10),"①病院一般",IF(AND($A45=31,$AJ45=41),"②病院短期","対象外")),IF($AJ45=30,"③特定消防",IF(AND(OR($A45=21,$A45=215),$AJ45=10),"④一般",IF(AND($A45=31,$AJ45=41),"⑤短期","対象外")))))</f>
        <v>①病院一般</v>
      </c>
      <c r="DC45" s="0" t="n">
        <f aca="false">IF($A45="","",IF($AB45&amp;""=設定!$C$4,1,0))</f>
        <v>1</v>
      </c>
    </row>
    <row r="46" customFormat="false" ht="15" hidden="false" customHeight="false" outlineLevel="0" collapsed="false">
      <c r="A46" s="0" t="n">
        <v>21</v>
      </c>
      <c r="AA46" s="0" t="n">
        <v>21</v>
      </c>
      <c r="AB46" s="0" t="s">
        <v>96</v>
      </c>
      <c r="AD46" s="0" t="n">
        <v>0</v>
      </c>
      <c r="AE46" s="0" t="s">
        <v>295</v>
      </c>
      <c r="AH46" s="0" t="n">
        <v>1</v>
      </c>
      <c r="AJ46" s="0" t="n">
        <v>10</v>
      </c>
      <c r="AP46" s="0" t="n">
        <v>260000</v>
      </c>
      <c r="DB46" s="0" t="str">
        <f aca="false">IF($A46="","",IF($AH46=20,IF(AND(OR($A46=21,$A46=215),$AJ46=10),"①病院一般",IF(AND($A46=31,$AJ46=41),"②病院短期","対象外")),IF($AJ46=30,"③特定消防",IF(AND(OR($A46=21,$A46=215),$AJ46=10),"④一般",IF(AND($A46=31,$AJ46=41),"⑤短期","対象外")))))</f>
        <v>④一般</v>
      </c>
      <c r="DC46" s="0" t="n">
        <f aca="false">IF($A46="","",IF($AB46&amp;""=設定!$C$4,1,0))</f>
        <v>1</v>
      </c>
    </row>
    <row r="47" customFormat="false" ht="15" hidden="false" customHeight="false" outlineLevel="0" collapsed="false">
      <c r="A47" s="0" t="n">
        <v>21</v>
      </c>
      <c r="AA47" s="0" t="n">
        <v>21</v>
      </c>
      <c r="AB47" s="0" t="s">
        <v>96</v>
      </c>
      <c r="AD47" s="0" t="n">
        <v>0</v>
      </c>
      <c r="AE47" s="0" t="s">
        <v>295</v>
      </c>
      <c r="AH47" s="0" t="n">
        <v>1</v>
      </c>
      <c r="AJ47" s="0" t="n">
        <v>10</v>
      </c>
      <c r="AP47" s="0" t="n">
        <v>320000</v>
      </c>
      <c r="DB47" s="0" t="str">
        <f aca="false">IF($A47="","",IF($AH47=20,IF(AND(OR($A47=21,$A47=215),$AJ47=10),"①病院一般",IF(AND($A47=31,$AJ47=41),"②病院短期","対象外")),IF($AJ47=30,"③特定消防",IF(AND(OR($A47=21,$A47=215),$AJ47=10),"④一般",IF(AND($A47=31,$AJ47=41),"⑤短期","対象外")))))</f>
        <v>④一般</v>
      </c>
      <c r="DC47" s="0" t="n">
        <f aca="false">IF($A47="","",IF($AB47&amp;""=設定!$C$4,1,0))</f>
        <v>1</v>
      </c>
    </row>
    <row r="48" customFormat="false" ht="15" hidden="false" customHeight="false" outlineLevel="0" collapsed="false">
      <c r="A48" s="0" t="n">
        <v>21</v>
      </c>
      <c r="AA48" s="0" t="n">
        <v>21</v>
      </c>
      <c r="AB48" s="0" t="s">
        <v>96</v>
      </c>
      <c r="AD48" s="0" t="n">
        <v>0</v>
      </c>
      <c r="AE48" s="0" t="s">
        <v>295</v>
      </c>
      <c r="AH48" s="0" t="n">
        <v>1</v>
      </c>
      <c r="AJ48" s="0" t="n">
        <v>10</v>
      </c>
      <c r="AP48" s="0" t="n">
        <v>300000</v>
      </c>
      <c r="DB48" s="0" t="str">
        <f aca="false">IF($A48="","",IF($AH48=20,IF(AND(OR($A48=21,$A48=215),$AJ48=10),"①病院一般",IF(AND($A48=31,$AJ48=41),"②病院短期","対象外")),IF($AJ48=30,"③特定消防",IF(AND(OR($A48=21,$A48=215),$AJ48=10),"④一般",IF(AND($A48=31,$AJ48=41),"⑤短期","対象外")))))</f>
        <v>④一般</v>
      </c>
      <c r="DC48" s="0" t="n">
        <f aca="false">IF($A48="","",IF($AB48&amp;""=設定!$C$4,1,0))</f>
        <v>1</v>
      </c>
    </row>
    <row r="49" customFormat="false" ht="15" hidden="false" customHeight="false" outlineLevel="0" collapsed="false">
      <c r="A49" s="0" t="n">
        <v>21</v>
      </c>
      <c r="AA49" s="0" t="n">
        <v>21</v>
      </c>
      <c r="AB49" s="0" t="s">
        <v>96</v>
      </c>
      <c r="AD49" s="0" t="n">
        <v>0</v>
      </c>
      <c r="AE49" s="0" t="s">
        <v>295</v>
      </c>
      <c r="AH49" s="0" t="n">
        <v>1</v>
      </c>
      <c r="AJ49" s="0" t="n">
        <v>10</v>
      </c>
      <c r="AP49" s="0" t="n">
        <v>260000</v>
      </c>
      <c r="DB49" s="0" t="str">
        <f aca="false">IF($A49="","",IF($AH49=20,IF(AND(OR($A49=21,$A49=215),$AJ49=10),"①病院一般",IF(AND($A49=31,$AJ49=41),"②病院短期","対象外")),IF($AJ49=30,"③特定消防",IF(AND(OR($A49=21,$A49=215),$AJ49=10),"④一般",IF(AND($A49=31,$AJ49=41),"⑤短期","対象外")))))</f>
        <v>④一般</v>
      </c>
      <c r="DC49" s="0" t="n">
        <f aca="false">IF($A49="","",IF($AB49&amp;""=設定!$C$4,1,0))</f>
        <v>1</v>
      </c>
    </row>
    <row r="50" customFormat="false" ht="15" hidden="false" customHeight="false" outlineLevel="0" collapsed="false">
      <c r="A50" s="0" t="n">
        <v>21</v>
      </c>
      <c r="AA50" s="0" t="n">
        <v>21</v>
      </c>
      <c r="AB50" s="0" t="s">
        <v>96</v>
      </c>
      <c r="AD50" s="0" t="n">
        <v>0</v>
      </c>
      <c r="AE50" s="0" t="s">
        <v>295</v>
      </c>
      <c r="AH50" s="0" t="n">
        <v>1</v>
      </c>
      <c r="AJ50" s="0" t="n">
        <v>10</v>
      </c>
      <c r="AP50" s="0" t="n">
        <v>280000</v>
      </c>
      <c r="DB50" s="0" t="str">
        <f aca="false">IF($A50="","",IF($AH50=20,IF(AND(OR($A50=21,$A50=215),$AJ50=10),"①病院一般",IF(AND($A50=31,$AJ50=41),"②病院短期","対象外")),IF($AJ50=30,"③特定消防",IF(AND(OR($A50=21,$A50=215),$AJ50=10),"④一般",IF(AND($A50=31,$AJ50=41),"⑤短期","対象外")))))</f>
        <v>④一般</v>
      </c>
      <c r="DC50" s="0" t="n">
        <f aca="false">IF($A50="","",IF($AB50&amp;""=設定!$C$4,1,0))</f>
        <v>1</v>
      </c>
    </row>
    <row r="51" customFormat="false" ht="15" hidden="false" customHeight="false" outlineLevel="0" collapsed="false">
      <c r="A51" s="0" t="n">
        <v>21</v>
      </c>
      <c r="AA51" s="0" t="n">
        <v>21</v>
      </c>
      <c r="AB51" s="0" t="s">
        <v>96</v>
      </c>
      <c r="AD51" s="0" t="n">
        <v>0</v>
      </c>
      <c r="AE51" s="0" t="s">
        <v>295</v>
      </c>
      <c r="AH51" s="0" t="n">
        <v>1</v>
      </c>
      <c r="AJ51" s="0" t="n">
        <v>10</v>
      </c>
      <c r="AP51" s="0" t="n">
        <v>260000</v>
      </c>
      <c r="DB51" s="0" t="str">
        <f aca="false">IF($A51="","",IF($AH51=20,IF(AND(OR($A51=21,$A51=215),$AJ51=10),"①病院一般",IF(AND($A51=31,$AJ51=41),"②病院短期","対象外")),IF($AJ51=30,"③特定消防",IF(AND(OR($A51=21,$A51=215),$AJ51=10),"④一般",IF(AND($A51=31,$AJ51=41),"⑤短期","対象外")))))</f>
        <v>④一般</v>
      </c>
      <c r="DC51" s="0" t="n">
        <f aca="false">IF($A51="","",IF($AB51&amp;""=設定!$C$4,1,0))</f>
        <v>1</v>
      </c>
    </row>
    <row r="52" customFormat="false" ht="15" hidden="false" customHeight="false" outlineLevel="0" collapsed="false">
      <c r="A52" s="0" t="n">
        <v>21</v>
      </c>
      <c r="AA52" s="0" t="n">
        <v>21</v>
      </c>
      <c r="AB52" s="0" t="s">
        <v>96</v>
      </c>
      <c r="AD52" s="0" t="n">
        <v>0</v>
      </c>
      <c r="AE52" s="0" t="s">
        <v>295</v>
      </c>
      <c r="AH52" s="0" t="n">
        <v>1</v>
      </c>
      <c r="AJ52" s="0" t="n">
        <v>10</v>
      </c>
      <c r="AP52" s="0" t="n">
        <v>300000</v>
      </c>
      <c r="DB52" s="0" t="str">
        <f aca="false">IF($A52="","",IF($AH52=20,IF(AND(OR($A52=21,$A52=215),$AJ52=10),"①病院一般",IF(AND($A52=31,$AJ52=41),"②病院短期","対象外")),IF($AJ52=30,"③特定消防",IF(AND(OR($A52=21,$A52=215),$AJ52=10),"④一般",IF(AND($A52=31,$AJ52=41),"⑤短期","対象外")))))</f>
        <v>④一般</v>
      </c>
      <c r="DC52" s="0" t="n">
        <f aca="false">IF($A52="","",IF($AB52&amp;""=設定!$C$4,1,0))</f>
        <v>1</v>
      </c>
    </row>
    <row r="53" customFormat="false" ht="15" hidden="false" customHeight="false" outlineLevel="0" collapsed="false">
      <c r="A53" s="0" t="n">
        <v>21</v>
      </c>
      <c r="AA53" s="0" t="n">
        <v>21</v>
      </c>
      <c r="AB53" s="0" t="s">
        <v>96</v>
      </c>
      <c r="AD53" s="0" t="n">
        <v>0</v>
      </c>
      <c r="AE53" s="0" t="s">
        <v>295</v>
      </c>
      <c r="AH53" s="0" t="n">
        <v>1</v>
      </c>
      <c r="AJ53" s="0" t="n">
        <v>10</v>
      </c>
      <c r="AP53" s="0" t="n">
        <v>280000</v>
      </c>
      <c r="DB53" s="0" t="str">
        <f aca="false">IF($A53="","",IF($AH53=20,IF(AND(OR($A53=21,$A53=215),$AJ53=10),"①病院一般",IF(AND($A53=31,$AJ53=41),"②病院短期","対象外")),IF($AJ53=30,"③特定消防",IF(AND(OR($A53=21,$A53=215),$AJ53=10),"④一般",IF(AND($A53=31,$AJ53=41),"⑤短期","対象外")))))</f>
        <v>④一般</v>
      </c>
      <c r="DC53" s="0" t="n">
        <f aca="false">IF($A53="","",IF($AB53&amp;""=設定!$C$4,1,0))</f>
        <v>1</v>
      </c>
    </row>
    <row r="54" customFormat="false" ht="15" hidden="false" customHeight="false" outlineLevel="0" collapsed="false">
      <c r="A54" s="0" t="n">
        <v>21</v>
      </c>
      <c r="AA54" s="0" t="n">
        <v>21</v>
      </c>
      <c r="AB54" s="0" t="s">
        <v>96</v>
      </c>
      <c r="AD54" s="0" t="n">
        <v>0</v>
      </c>
      <c r="AE54" s="0" t="s">
        <v>295</v>
      </c>
      <c r="AH54" s="0" t="n">
        <v>1</v>
      </c>
      <c r="AJ54" s="0" t="n">
        <v>10</v>
      </c>
      <c r="AP54" s="0" t="n">
        <v>280000</v>
      </c>
      <c r="DB54" s="0" t="str">
        <f aca="false">IF($A54="","",IF($AH54=20,IF(AND(OR($A54=21,$A54=215),$AJ54=10),"①病院一般",IF(AND($A54=31,$AJ54=41),"②病院短期","対象外")),IF($AJ54=30,"③特定消防",IF(AND(OR($A54=21,$A54=215),$AJ54=10),"④一般",IF(AND($A54=31,$AJ54=41),"⑤短期","対象外")))))</f>
        <v>④一般</v>
      </c>
      <c r="DC54" s="0" t="n">
        <f aca="false">IF($A54="","",IF($AB54&amp;""=設定!$C$4,1,0))</f>
        <v>1</v>
      </c>
    </row>
    <row r="55" customFormat="false" ht="15" hidden="false" customHeight="false" outlineLevel="0" collapsed="false">
      <c r="A55" s="0" t="n">
        <v>21</v>
      </c>
      <c r="AA55" s="0" t="n">
        <v>21</v>
      </c>
      <c r="AB55" s="0" t="s">
        <v>96</v>
      </c>
      <c r="AD55" s="0" t="n">
        <v>0</v>
      </c>
      <c r="AE55" s="0" t="s">
        <v>295</v>
      </c>
      <c r="AH55" s="0" t="n">
        <v>1</v>
      </c>
      <c r="AJ55" s="0" t="n">
        <v>10</v>
      </c>
      <c r="AP55" s="0" t="n">
        <v>300000</v>
      </c>
      <c r="DB55" s="0" t="str">
        <f aca="false">IF($A55="","",IF($AH55=20,IF(AND(OR($A55=21,$A55=215),$AJ55=10),"①病院一般",IF(AND($A55=31,$AJ55=41),"②病院短期","対象外")),IF($AJ55=30,"③特定消防",IF(AND(OR($A55=21,$A55=215),$AJ55=10),"④一般",IF(AND($A55=31,$AJ55=41),"⑤短期","対象外")))))</f>
        <v>④一般</v>
      </c>
      <c r="DC55" s="0" t="n">
        <f aca="false">IF($A55="","",IF($AB55&amp;""=設定!$C$4,1,0))</f>
        <v>1</v>
      </c>
    </row>
    <row r="56" customFormat="false" ht="15" hidden="false" customHeight="false" outlineLevel="0" collapsed="false">
      <c r="A56" s="0" t="n">
        <v>21</v>
      </c>
      <c r="AA56" s="0" t="n">
        <v>21</v>
      </c>
      <c r="AB56" s="0" t="s">
        <v>96</v>
      </c>
      <c r="AD56" s="0" t="n">
        <v>0</v>
      </c>
      <c r="AE56" s="0" t="s">
        <v>295</v>
      </c>
      <c r="AH56" s="0" t="n">
        <v>1</v>
      </c>
      <c r="AJ56" s="0" t="n">
        <v>10</v>
      </c>
      <c r="AP56" s="0" t="n">
        <v>260000</v>
      </c>
      <c r="DB56" s="0" t="str">
        <f aca="false">IF($A56="","",IF($AH56=20,IF(AND(OR($A56=21,$A56=215),$AJ56=10),"①病院一般",IF(AND($A56=31,$AJ56=41),"②病院短期","対象外")),IF($AJ56=30,"③特定消防",IF(AND(OR($A56=21,$A56=215),$AJ56=10),"④一般",IF(AND($A56=31,$AJ56=41),"⑤短期","対象外")))))</f>
        <v>④一般</v>
      </c>
      <c r="DC56" s="0" t="n">
        <f aca="false">IF($A56="","",IF($AB56&amp;""=設定!$C$4,1,0))</f>
        <v>1</v>
      </c>
    </row>
    <row r="57" customFormat="false" ht="15" hidden="false" customHeight="false" outlineLevel="0" collapsed="false">
      <c r="A57" s="0" t="n">
        <v>21</v>
      </c>
      <c r="AA57" s="0" t="n">
        <v>21</v>
      </c>
      <c r="AB57" s="0" t="s">
        <v>96</v>
      </c>
      <c r="AD57" s="0" t="n">
        <v>0</v>
      </c>
      <c r="AE57" s="0" t="s">
        <v>295</v>
      </c>
      <c r="AH57" s="0" t="n">
        <v>1</v>
      </c>
      <c r="AJ57" s="0" t="n">
        <v>10</v>
      </c>
      <c r="AP57" s="0" t="n">
        <v>280000</v>
      </c>
      <c r="DB57" s="0" t="str">
        <f aca="false">IF($A57="","",IF($AH57=20,IF(AND(OR($A57=21,$A57=215),$AJ57=10),"①病院一般",IF(AND($A57=31,$AJ57=41),"②病院短期","対象外")),IF($AJ57=30,"③特定消防",IF(AND(OR($A57=21,$A57=215),$AJ57=10),"④一般",IF(AND($A57=31,$AJ57=41),"⑤短期","対象外")))))</f>
        <v>④一般</v>
      </c>
      <c r="DC57" s="0" t="n">
        <f aca="false">IF($A57="","",IF($AB57&amp;""=設定!$C$4,1,0))</f>
        <v>1</v>
      </c>
    </row>
    <row r="58" customFormat="false" ht="15" hidden="false" customHeight="false" outlineLevel="0" collapsed="false">
      <c r="A58" s="0" t="n">
        <v>21</v>
      </c>
      <c r="AA58" s="0" t="n">
        <v>21</v>
      </c>
      <c r="AB58" s="0" t="s">
        <v>96</v>
      </c>
      <c r="AD58" s="0" t="n">
        <v>0</v>
      </c>
      <c r="AE58" s="0" t="s">
        <v>295</v>
      </c>
      <c r="AH58" s="0" t="n">
        <v>1</v>
      </c>
      <c r="AJ58" s="0" t="n">
        <v>10</v>
      </c>
      <c r="AP58" s="0" t="n">
        <v>280000</v>
      </c>
      <c r="DB58" s="0" t="str">
        <f aca="false">IF($A58="","",IF($AH58=20,IF(AND(OR($A58=21,$A58=215),$AJ58=10),"①病院一般",IF(AND($A58=31,$AJ58=41),"②病院短期","対象外")),IF($AJ58=30,"③特定消防",IF(AND(OR($A58=21,$A58=215),$AJ58=10),"④一般",IF(AND($A58=31,$AJ58=41),"⑤短期","対象外")))))</f>
        <v>④一般</v>
      </c>
      <c r="DC58" s="0" t="n">
        <f aca="false">IF($A58="","",IF($AB58&amp;""=設定!$C$4,1,0))</f>
        <v>1</v>
      </c>
    </row>
    <row r="59" customFormat="false" ht="15" hidden="false" customHeight="false" outlineLevel="0" collapsed="false">
      <c r="A59" s="0" t="n">
        <v>21</v>
      </c>
      <c r="AA59" s="0" t="n">
        <v>21</v>
      </c>
      <c r="AB59" s="0" t="s">
        <v>96</v>
      </c>
      <c r="AD59" s="0" t="n">
        <v>0</v>
      </c>
      <c r="AE59" s="0" t="s">
        <v>295</v>
      </c>
      <c r="AH59" s="0" t="n">
        <v>1</v>
      </c>
      <c r="AJ59" s="0" t="n">
        <v>10</v>
      </c>
      <c r="AP59" s="0" t="n">
        <v>320000</v>
      </c>
      <c r="DB59" s="0" t="str">
        <f aca="false">IF($A59="","",IF($AH59=20,IF(AND(OR($A59=21,$A59=215),$AJ59=10),"①病院一般",IF(AND($A59=31,$AJ59=41),"②病院短期","対象外")),IF($AJ59=30,"③特定消防",IF(AND(OR($A59=21,$A59=215),$AJ59=10),"④一般",IF(AND($A59=31,$AJ59=41),"⑤短期","対象外")))))</f>
        <v>④一般</v>
      </c>
      <c r="DC59" s="0" t="n">
        <f aca="false">IF($A59="","",IF($AB59&amp;""=設定!$C$4,1,0))</f>
        <v>1</v>
      </c>
    </row>
    <row r="60" customFormat="false" ht="15" hidden="false" customHeight="false" outlineLevel="0" collapsed="false">
      <c r="A60" s="0" t="n">
        <v>21</v>
      </c>
      <c r="AA60" s="0" t="n">
        <v>21</v>
      </c>
      <c r="AB60" s="0" t="s">
        <v>96</v>
      </c>
      <c r="AD60" s="0" t="n">
        <v>0</v>
      </c>
      <c r="AE60" s="0" t="s">
        <v>295</v>
      </c>
      <c r="AH60" s="0" t="n">
        <v>1</v>
      </c>
      <c r="AJ60" s="0" t="n">
        <v>10</v>
      </c>
      <c r="AP60" s="0" t="n">
        <v>260000</v>
      </c>
      <c r="DB60" s="0" t="str">
        <f aca="false">IF($A60="","",IF($AH60=20,IF(AND(OR($A60=21,$A60=215),$AJ60=10),"①病院一般",IF(AND($A60=31,$AJ60=41),"②病院短期","対象外")),IF($AJ60=30,"③特定消防",IF(AND(OR($A60=21,$A60=215),$AJ60=10),"④一般",IF(AND($A60=31,$AJ60=41),"⑤短期","対象外")))))</f>
        <v>④一般</v>
      </c>
      <c r="DC60" s="0" t="n">
        <f aca="false">IF($A60="","",IF($AB60&amp;""=設定!$C$4,1,0))</f>
        <v>1</v>
      </c>
    </row>
    <row r="61" customFormat="false" ht="15" hidden="false" customHeight="false" outlineLevel="0" collapsed="false">
      <c r="A61" s="0" t="n">
        <v>21</v>
      </c>
      <c r="AA61" s="0" t="n">
        <v>21</v>
      </c>
      <c r="AB61" s="0" t="s">
        <v>96</v>
      </c>
      <c r="AD61" s="0" t="n">
        <v>0</v>
      </c>
      <c r="AE61" s="0" t="s">
        <v>295</v>
      </c>
      <c r="AH61" s="0" t="n">
        <v>1</v>
      </c>
      <c r="AJ61" s="0" t="n">
        <v>10</v>
      </c>
      <c r="AP61" s="0" t="n">
        <v>280000</v>
      </c>
      <c r="DB61" s="0" t="str">
        <f aca="false">IF($A61="","",IF($AH61=20,IF(AND(OR($A61=21,$A61=215),$AJ61=10),"①病院一般",IF(AND($A61=31,$AJ61=41),"②病院短期","対象外")),IF($AJ61=30,"③特定消防",IF(AND(OR($A61=21,$A61=215),$AJ61=10),"④一般",IF(AND($A61=31,$AJ61=41),"⑤短期","対象外")))))</f>
        <v>④一般</v>
      </c>
      <c r="DC61" s="0" t="n">
        <f aca="false">IF($A61="","",IF($AB61&amp;""=設定!$C$4,1,0))</f>
        <v>1</v>
      </c>
    </row>
    <row r="62" customFormat="false" ht="15" hidden="false" customHeight="false" outlineLevel="0" collapsed="false">
      <c r="A62" s="0" t="n">
        <v>21</v>
      </c>
      <c r="AA62" s="0" t="n">
        <v>21</v>
      </c>
      <c r="AB62" s="0" t="s">
        <v>96</v>
      </c>
      <c r="AD62" s="0" t="n">
        <v>0</v>
      </c>
      <c r="AE62" s="0" t="s">
        <v>295</v>
      </c>
      <c r="AH62" s="0" t="n">
        <v>4</v>
      </c>
      <c r="AJ62" s="0" t="n">
        <v>10</v>
      </c>
      <c r="AP62" s="0" t="n">
        <v>300000</v>
      </c>
      <c r="DB62" s="0" t="str">
        <f aca="false">IF($A62="","",IF($AH62=20,IF(AND(OR($A62=21,$A62=215),$AJ62=10),"①病院一般",IF(AND($A62=31,$AJ62=41),"②病院短期","対象外")),IF($AJ62=30,"③特定消防",IF(AND(OR($A62=21,$A62=215),$AJ62=10),"④一般",IF(AND($A62=31,$AJ62=41),"⑤短期","対象外")))))</f>
        <v>④一般</v>
      </c>
      <c r="DC62" s="0" t="n">
        <f aca="false">IF($A62="","",IF($AB62&amp;""=設定!$C$4,1,0))</f>
        <v>1</v>
      </c>
    </row>
    <row r="63" customFormat="false" ht="15" hidden="false" customHeight="false" outlineLevel="0" collapsed="false">
      <c r="A63" s="0" t="n">
        <v>21</v>
      </c>
      <c r="AA63" s="0" t="n">
        <v>21</v>
      </c>
      <c r="AB63" s="0" t="s">
        <v>96</v>
      </c>
      <c r="AD63" s="0" t="n">
        <v>0</v>
      </c>
      <c r="AE63" s="0" t="s">
        <v>295</v>
      </c>
      <c r="AH63" s="0" t="n">
        <v>1</v>
      </c>
      <c r="AJ63" s="0" t="n">
        <v>10</v>
      </c>
      <c r="AP63" s="0" t="n">
        <v>320000</v>
      </c>
      <c r="DB63" s="0" t="str">
        <f aca="false">IF($A63="","",IF($AH63=20,IF(AND(OR($A63=21,$A63=215),$AJ63=10),"①病院一般",IF(AND($A63=31,$AJ63=41),"②病院短期","対象外")),IF($AJ63=30,"③特定消防",IF(AND(OR($A63=21,$A63=215),$AJ63=10),"④一般",IF(AND($A63=31,$AJ63=41),"⑤短期","対象外")))))</f>
        <v>④一般</v>
      </c>
      <c r="DC63" s="0" t="n">
        <f aca="false">IF($A63="","",IF($AB63&amp;""=設定!$C$4,1,0))</f>
        <v>1</v>
      </c>
    </row>
    <row r="64" customFormat="false" ht="15" hidden="false" customHeight="false" outlineLevel="0" collapsed="false">
      <c r="A64" s="0" t="n">
        <v>21</v>
      </c>
      <c r="AA64" s="0" t="n">
        <v>21</v>
      </c>
      <c r="AB64" s="0" t="s">
        <v>96</v>
      </c>
      <c r="AD64" s="0" t="n">
        <v>0</v>
      </c>
      <c r="AE64" s="0" t="s">
        <v>295</v>
      </c>
      <c r="AH64" s="0" t="n">
        <v>1</v>
      </c>
      <c r="AJ64" s="0" t="n">
        <v>10</v>
      </c>
      <c r="AP64" s="0" t="n">
        <v>340000</v>
      </c>
      <c r="DB64" s="0" t="str">
        <f aca="false">IF($A64="","",IF($AH64=20,IF(AND(OR($A64=21,$A64=215),$AJ64=10),"①病院一般",IF(AND($A64=31,$AJ64=41),"②病院短期","対象外")),IF($AJ64=30,"③特定消防",IF(AND(OR($A64=21,$A64=215),$AJ64=10),"④一般",IF(AND($A64=31,$AJ64=41),"⑤短期","対象外")))))</f>
        <v>④一般</v>
      </c>
      <c r="DC64" s="0" t="n">
        <f aca="false">IF($A64="","",IF($AB64&amp;""=設定!$C$4,1,0))</f>
        <v>1</v>
      </c>
    </row>
    <row r="65" customFormat="false" ht="15" hidden="false" customHeight="false" outlineLevel="0" collapsed="false">
      <c r="A65" s="0" t="n">
        <v>21</v>
      </c>
      <c r="AA65" s="0" t="n">
        <v>21</v>
      </c>
      <c r="AB65" s="0" t="s">
        <v>96</v>
      </c>
      <c r="AD65" s="0" t="n">
        <v>0</v>
      </c>
      <c r="AE65" s="0" t="s">
        <v>295</v>
      </c>
      <c r="AH65" s="0" t="n">
        <v>1</v>
      </c>
      <c r="AJ65" s="0" t="n">
        <v>10</v>
      </c>
      <c r="AP65" s="0" t="n">
        <v>280000</v>
      </c>
      <c r="DB65" s="0" t="str">
        <f aca="false">IF($A65="","",IF($AH65=20,IF(AND(OR($A65=21,$A65=215),$AJ65=10),"①病院一般",IF(AND($A65=31,$AJ65=41),"②病院短期","対象外")),IF($AJ65=30,"③特定消防",IF(AND(OR($A65=21,$A65=215),$AJ65=10),"④一般",IF(AND($A65=31,$AJ65=41),"⑤短期","対象外")))))</f>
        <v>④一般</v>
      </c>
      <c r="DC65" s="0" t="n">
        <f aca="false">IF($A65="","",IF($AB65&amp;""=設定!$C$4,1,0))</f>
        <v>1</v>
      </c>
    </row>
    <row r="66" customFormat="false" ht="15" hidden="false" customHeight="false" outlineLevel="0" collapsed="false">
      <c r="A66" s="0" t="n">
        <v>21</v>
      </c>
      <c r="AA66" s="0" t="n">
        <v>21</v>
      </c>
      <c r="AB66" s="0" t="s">
        <v>96</v>
      </c>
      <c r="AD66" s="0" t="n">
        <v>0</v>
      </c>
      <c r="AE66" s="0" t="s">
        <v>295</v>
      </c>
      <c r="AH66" s="0" t="n">
        <v>1</v>
      </c>
      <c r="AJ66" s="0" t="n">
        <v>10</v>
      </c>
      <c r="AP66" s="0" t="n">
        <v>280000</v>
      </c>
      <c r="DB66" s="0" t="str">
        <f aca="false">IF($A66="","",IF($AH66=20,IF(AND(OR($A66=21,$A66=215),$AJ66=10),"①病院一般",IF(AND($A66=31,$AJ66=41),"②病院短期","対象外")),IF($AJ66=30,"③特定消防",IF(AND(OR($A66=21,$A66=215),$AJ66=10),"④一般",IF(AND($A66=31,$AJ66=41),"⑤短期","対象外")))))</f>
        <v>④一般</v>
      </c>
      <c r="DC66" s="0" t="n">
        <f aca="false">IF($A66="","",IF($AB66&amp;""=設定!$C$4,1,0))</f>
        <v>1</v>
      </c>
    </row>
    <row r="67" customFormat="false" ht="15" hidden="false" customHeight="false" outlineLevel="0" collapsed="false">
      <c r="A67" s="0" t="n">
        <v>21</v>
      </c>
      <c r="AA67" s="0" t="n">
        <v>21</v>
      </c>
      <c r="AB67" s="0" t="s">
        <v>96</v>
      </c>
      <c r="AD67" s="0" t="n">
        <v>0</v>
      </c>
      <c r="AE67" s="0" t="s">
        <v>295</v>
      </c>
      <c r="AH67" s="0" t="n">
        <v>1</v>
      </c>
      <c r="AJ67" s="0" t="n">
        <v>10</v>
      </c>
      <c r="AP67" s="0" t="n">
        <v>260000</v>
      </c>
      <c r="DB67" s="0" t="str">
        <f aca="false">IF($A67="","",IF($AH67=20,IF(AND(OR($A67=21,$A67=215),$AJ67=10),"①病院一般",IF(AND($A67=31,$AJ67=41),"②病院短期","対象外")),IF($AJ67=30,"③特定消防",IF(AND(OR($A67=21,$A67=215),$AJ67=10),"④一般",IF(AND($A67=31,$AJ67=41),"⑤短期","対象外")))))</f>
        <v>④一般</v>
      </c>
      <c r="DC67" s="0" t="n">
        <f aca="false">IF($A67="","",IF($AB67&amp;""=設定!$C$4,1,0))</f>
        <v>1</v>
      </c>
    </row>
    <row r="68" customFormat="false" ht="15" hidden="false" customHeight="false" outlineLevel="0" collapsed="false">
      <c r="A68" s="0" t="n">
        <v>21</v>
      </c>
      <c r="AA68" s="0" t="n">
        <v>21</v>
      </c>
      <c r="AB68" s="0" t="s">
        <v>96</v>
      </c>
      <c r="AD68" s="0" t="n">
        <v>0</v>
      </c>
      <c r="AE68" s="0" t="s">
        <v>295</v>
      </c>
      <c r="AH68" s="0" t="n">
        <v>1</v>
      </c>
      <c r="AJ68" s="0" t="n">
        <v>10</v>
      </c>
      <c r="AP68" s="0" t="n">
        <v>280000</v>
      </c>
      <c r="DB68" s="0" t="str">
        <f aca="false">IF($A68="","",IF($AH68=20,IF(AND(OR($A68=21,$A68=215),$AJ68=10),"①病院一般",IF(AND($A68=31,$AJ68=41),"②病院短期","対象外")),IF($AJ68=30,"③特定消防",IF(AND(OR($A68=21,$A68=215),$AJ68=10),"④一般",IF(AND($A68=31,$AJ68=41),"⑤短期","対象外")))))</f>
        <v>④一般</v>
      </c>
      <c r="DC68" s="0" t="n">
        <f aca="false">IF($A68="","",IF($AB68&amp;""=設定!$C$4,1,0))</f>
        <v>1</v>
      </c>
    </row>
    <row r="69" customFormat="false" ht="15" hidden="false" customHeight="false" outlineLevel="0" collapsed="false">
      <c r="A69" s="0" t="n">
        <v>21</v>
      </c>
      <c r="AA69" s="0" t="n">
        <v>21</v>
      </c>
      <c r="AB69" s="0" t="s">
        <v>96</v>
      </c>
      <c r="AD69" s="0" t="n">
        <v>0</v>
      </c>
      <c r="AE69" s="0" t="s">
        <v>295</v>
      </c>
      <c r="AH69" s="0" t="n">
        <v>4</v>
      </c>
      <c r="AJ69" s="0" t="n">
        <v>10</v>
      </c>
      <c r="AP69" s="0" t="n">
        <v>260000</v>
      </c>
      <c r="DB69" s="0" t="str">
        <f aca="false">IF($A69="","",IF($AH69=20,IF(AND(OR($A69=21,$A69=215),$AJ69=10),"①病院一般",IF(AND($A69=31,$AJ69=41),"②病院短期","対象外")),IF($AJ69=30,"③特定消防",IF(AND(OR($A69=21,$A69=215),$AJ69=10),"④一般",IF(AND($A69=31,$AJ69=41),"⑤短期","対象外")))))</f>
        <v>④一般</v>
      </c>
      <c r="DC69" s="0" t="n">
        <f aca="false">IF($A69="","",IF($AB69&amp;""=設定!$C$4,1,0))</f>
        <v>1</v>
      </c>
    </row>
    <row r="70" customFormat="false" ht="15" hidden="false" customHeight="false" outlineLevel="0" collapsed="false">
      <c r="A70" s="0" t="n">
        <v>21</v>
      </c>
      <c r="AA70" s="0" t="n">
        <v>21</v>
      </c>
      <c r="AB70" s="0" t="s">
        <v>96</v>
      </c>
      <c r="AD70" s="0" t="n">
        <v>0</v>
      </c>
      <c r="AE70" s="0" t="s">
        <v>295</v>
      </c>
      <c r="AH70" s="0" t="n">
        <v>1</v>
      </c>
      <c r="AJ70" s="0" t="n">
        <v>10</v>
      </c>
      <c r="AP70" s="0" t="n">
        <v>380000</v>
      </c>
      <c r="DB70" s="0" t="str">
        <f aca="false">IF($A70="","",IF($AH70=20,IF(AND(OR($A70=21,$A70=215),$AJ70=10),"①病院一般",IF(AND($A70=31,$AJ70=41),"②病院短期","対象外")),IF($AJ70=30,"③特定消防",IF(AND(OR($A70=21,$A70=215),$AJ70=10),"④一般",IF(AND($A70=31,$AJ70=41),"⑤短期","対象外")))))</f>
        <v>④一般</v>
      </c>
      <c r="DC70" s="0" t="n">
        <f aca="false">IF($A70="","",IF($AB70&amp;""=設定!$C$4,1,0))</f>
        <v>1</v>
      </c>
    </row>
    <row r="71" customFormat="false" ht="15" hidden="false" customHeight="false" outlineLevel="0" collapsed="false">
      <c r="A71" s="0" t="n">
        <v>21</v>
      </c>
      <c r="AA71" s="0" t="n">
        <v>21</v>
      </c>
      <c r="AB71" s="0" t="s">
        <v>96</v>
      </c>
      <c r="AD71" s="0" t="n">
        <v>0</v>
      </c>
      <c r="AE71" s="0" t="s">
        <v>295</v>
      </c>
      <c r="AH71" s="0" t="n">
        <v>1</v>
      </c>
      <c r="AJ71" s="0" t="n">
        <v>10</v>
      </c>
      <c r="AP71" s="0" t="n">
        <v>260000</v>
      </c>
      <c r="DB71" s="0" t="str">
        <f aca="false">IF($A71="","",IF($AH71=20,IF(AND(OR($A71=21,$A71=215),$AJ71=10),"①病院一般",IF(AND($A71=31,$AJ71=41),"②病院短期","対象外")),IF($AJ71=30,"③特定消防",IF(AND(OR($A71=21,$A71=215),$AJ71=10),"④一般",IF(AND($A71=31,$AJ71=41),"⑤短期","対象外")))))</f>
        <v>④一般</v>
      </c>
      <c r="DC71" s="0" t="n">
        <f aca="false">IF($A71="","",IF($AB71&amp;""=設定!$C$4,1,0))</f>
        <v>1</v>
      </c>
    </row>
    <row r="72" customFormat="false" ht="15" hidden="false" customHeight="false" outlineLevel="0" collapsed="false">
      <c r="A72" s="0" t="n">
        <v>21</v>
      </c>
      <c r="AA72" s="0" t="n">
        <v>21</v>
      </c>
      <c r="AB72" s="0" t="s">
        <v>96</v>
      </c>
      <c r="AD72" s="0" t="n">
        <v>0</v>
      </c>
      <c r="AE72" s="0" t="s">
        <v>295</v>
      </c>
      <c r="AH72" s="0" t="n">
        <v>1</v>
      </c>
      <c r="AJ72" s="0" t="n">
        <v>10</v>
      </c>
      <c r="AP72" s="0" t="n">
        <v>280000</v>
      </c>
      <c r="DB72" s="0" t="str">
        <f aca="false">IF($A72="","",IF($AH72=20,IF(AND(OR($A72=21,$A72=215),$AJ72=10),"①病院一般",IF(AND($A72=31,$AJ72=41),"②病院短期","対象外")),IF($AJ72=30,"③特定消防",IF(AND(OR($A72=21,$A72=215),$AJ72=10),"④一般",IF(AND($A72=31,$AJ72=41),"⑤短期","対象外")))))</f>
        <v>④一般</v>
      </c>
      <c r="DC72" s="0" t="n">
        <f aca="false">IF($A72="","",IF($AB72&amp;""=設定!$C$4,1,0))</f>
        <v>1</v>
      </c>
    </row>
    <row r="73" customFormat="false" ht="15" hidden="false" customHeight="false" outlineLevel="0" collapsed="false">
      <c r="A73" s="0" t="n">
        <v>21</v>
      </c>
      <c r="AA73" s="0" t="n">
        <v>21</v>
      </c>
      <c r="AB73" s="0" t="s">
        <v>96</v>
      </c>
      <c r="AD73" s="0" t="n">
        <v>0</v>
      </c>
      <c r="AE73" s="0" t="s">
        <v>295</v>
      </c>
      <c r="AH73" s="0" t="n">
        <v>11</v>
      </c>
      <c r="AJ73" s="0" t="n">
        <v>10</v>
      </c>
      <c r="AP73" s="0" t="n">
        <v>300000</v>
      </c>
      <c r="DB73" s="0" t="str">
        <f aca="false">IF($A73="","",IF($AH73=20,IF(AND(OR($A73=21,$A73=215),$AJ73=10),"①病院一般",IF(AND($A73=31,$AJ73=41),"②病院短期","対象外")),IF($AJ73=30,"③特定消防",IF(AND(OR($A73=21,$A73=215),$AJ73=10),"④一般",IF(AND($A73=31,$AJ73=41),"⑤短期","対象外")))))</f>
        <v>④一般</v>
      </c>
      <c r="DC73" s="0" t="n">
        <f aca="false">IF($A73="","",IF($AB73&amp;""=設定!$C$4,1,0))</f>
        <v>1</v>
      </c>
    </row>
    <row r="74" customFormat="false" ht="15" hidden="false" customHeight="false" outlineLevel="0" collapsed="false">
      <c r="A74" s="0" t="n">
        <v>21</v>
      </c>
      <c r="AA74" s="0" t="n">
        <v>21</v>
      </c>
      <c r="AB74" s="0" t="s">
        <v>96</v>
      </c>
      <c r="AD74" s="0" t="n">
        <v>0</v>
      </c>
      <c r="AE74" s="0" t="s">
        <v>295</v>
      </c>
      <c r="AH74" s="0" t="n">
        <v>1</v>
      </c>
      <c r="AJ74" s="0" t="n">
        <v>10</v>
      </c>
      <c r="AP74" s="0" t="n">
        <v>260000</v>
      </c>
      <c r="DB74" s="0" t="str">
        <f aca="false">IF($A74="","",IF($AH74=20,IF(AND(OR($A74=21,$A74=215),$AJ74=10),"①病院一般",IF(AND($A74=31,$AJ74=41),"②病院短期","対象外")),IF($AJ74=30,"③特定消防",IF(AND(OR($A74=21,$A74=215),$AJ74=10),"④一般",IF(AND($A74=31,$AJ74=41),"⑤短期","対象外")))))</f>
        <v>④一般</v>
      </c>
      <c r="DC74" s="0" t="n">
        <f aca="false">IF($A74="","",IF($AB74&amp;""=設定!$C$4,1,0))</f>
        <v>1</v>
      </c>
    </row>
    <row r="75" customFormat="false" ht="15" hidden="false" customHeight="false" outlineLevel="0" collapsed="false">
      <c r="A75" s="0" t="n">
        <v>21</v>
      </c>
      <c r="AA75" s="0" t="n">
        <v>21</v>
      </c>
      <c r="AB75" s="0" t="s">
        <v>96</v>
      </c>
      <c r="AD75" s="0" t="n">
        <v>0</v>
      </c>
      <c r="AE75" s="0" t="s">
        <v>295</v>
      </c>
      <c r="AH75" s="0" t="n">
        <v>1</v>
      </c>
      <c r="AJ75" s="0" t="n">
        <v>10</v>
      </c>
      <c r="AP75" s="0" t="n">
        <v>300000</v>
      </c>
      <c r="DB75" s="0" t="str">
        <f aca="false">IF($A75="","",IF($AH75=20,IF(AND(OR($A75=21,$A75=215),$AJ75=10),"①病院一般",IF(AND($A75=31,$AJ75=41),"②病院短期","対象外")),IF($AJ75=30,"③特定消防",IF(AND(OR($A75=21,$A75=215),$AJ75=10),"④一般",IF(AND($A75=31,$AJ75=41),"⑤短期","対象外")))))</f>
        <v>④一般</v>
      </c>
      <c r="DC75" s="0" t="n">
        <f aca="false">IF($A75="","",IF($AB75&amp;""=設定!$C$4,1,0))</f>
        <v>1</v>
      </c>
    </row>
    <row r="76" customFormat="false" ht="15" hidden="false" customHeight="false" outlineLevel="0" collapsed="false">
      <c r="A76" s="0" t="n">
        <v>21</v>
      </c>
      <c r="AA76" s="0" t="n">
        <v>21</v>
      </c>
      <c r="AB76" s="0" t="s">
        <v>96</v>
      </c>
      <c r="AD76" s="0" t="n">
        <v>0</v>
      </c>
      <c r="AE76" s="0" t="s">
        <v>295</v>
      </c>
      <c r="AH76" s="0" t="n">
        <v>1</v>
      </c>
      <c r="AJ76" s="0" t="n">
        <v>10</v>
      </c>
      <c r="AP76" s="0" t="n">
        <v>240000</v>
      </c>
      <c r="DB76" s="0" t="str">
        <f aca="false">IF($A76="","",IF($AH76=20,IF(AND(OR($A76=21,$A76=215),$AJ76=10),"①病院一般",IF(AND($A76=31,$AJ76=41),"②病院短期","対象外")),IF($AJ76=30,"③特定消防",IF(AND(OR($A76=21,$A76=215),$AJ76=10),"④一般",IF(AND($A76=31,$AJ76=41),"⑤短期","対象外")))))</f>
        <v>④一般</v>
      </c>
      <c r="DC76" s="0" t="n">
        <f aca="false">IF($A76="","",IF($AB76&amp;""=設定!$C$4,1,0))</f>
        <v>1</v>
      </c>
    </row>
    <row r="77" customFormat="false" ht="15" hidden="false" customHeight="false" outlineLevel="0" collapsed="false">
      <c r="A77" s="0" t="n">
        <v>21</v>
      </c>
      <c r="AA77" s="0" t="n">
        <v>21</v>
      </c>
      <c r="AB77" s="0" t="s">
        <v>96</v>
      </c>
      <c r="AD77" s="0" t="n">
        <v>0</v>
      </c>
      <c r="AE77" s="0" t="s">
        <v>295</v>
      </c>
      <c r="AH77" s="0" t="n">
        <v>1</v>
      </c>
      <c r="AJ77" s="0" t="n">
        <v>10</v>
      </c>
      <c r="AP77" s="0" t="n">
        <v>300000</v>
      </c>
      <c r="DB77" s="0" t="str">
        <f aca="false">IF($A77="","",IF($AH77=20,IF(AND(OR($A77=21,$A77=215),$AJ77=10),"①病院一般",IF(AND($A77=31,$AJ77=41),"②病院短期","対象外")),IF($AJ77=30,"③特定消防",IF(AND(OR($A77=21,$A77=215),$AJ77=10),"④一般",IF(AND($A77=31,$AJ77=41),"⑤短期","対象外")))))</f>
        <v>④一般</v>
      </c>
      <c r="DC77" s="0" t="n">
        <f aca="false">IF($A77="","",IF($AB77&amp;""=設定!$C$4,1,0))</f>
        <v>1</v>
      </c>
    </row>
    <row r="78" customFormat="false" ht="15" hidden="false" customHeight="false" outlineLevel="0" collapsed="false">
      <c r="A78" s="0" t="n">
        <v>21</v>
      </c>
      <c r="AA78" s="0" t="n">
        <v>21</v>
      </c>
      <c r="AB78" s="0" t="s">
        <v>96</v>
      </c>
      <c r="AD78" s="0" t="n">
        <v>0</v>
      </c>
      <c r="AE78" s="0" t="s">
        <v>295</v>
      </c>
      <c r="AH78" s="0" t="n">
        <v>1</v>
      </c>
      <c r="AJ78" s="0" t="n">
        <v>10</v>
      </c>
      <c r="AP78" s="0" t="n">
        <v>300000</v>
      </c>
      <c r="DB78" s="0" t="str">
        <f aca="false">IF($A78="","",IF($AH78=20,IF(AND(OR($A78=21,$A78=215),$AJ78=10),"①病院一般",IF(AND($A78=31,$AJ78=41),"②病院短期","対象外")),IF($AJ78=30,"③特定消防",IF(AND(OR($A78=21,$A78=215),$AJ78=10),"④一般",IF(AND($A78=31,$AJ78=41),"⑤短期","対象外")))))</f>
        <v>④一般</v>
      </c>
      <c r="DC78" s="0" t="n">
        <f aca="false">IF($A78="","",IF($AB78&amp;""=設定!$C$4,1,0))</f>
        <v>1</v>
      </c>
    </row>
    <row r="79" customFormat="false" ht="15" hidden="false" customHeight="false" outlineLevel="0" collapsed="false">
      <c r="A79" s="0" t="n">
        <v>21</v>
      </c>
      <c r="AA79" s="0" t="n">
        <v>21</v>
      </c>
      <c r="AB79" s="0" t="s">
        <v>96</v>
      </c>
      <c r="AD79" s="0" t="n">
        <v>0</v>
      </c>
      <c r="AE79" s="0" t="s">
        <v>295</v>
      </c>
      <c r="AH79" s="0" t="n">
        <v>1</v>
      </c>
      <c r="AJ79" s="0" t="n">
        <v>10</v>
      </c>
      <c r="AP79" s="0" t="n">
        <v>240000</v>
      </c>
      <c r="DB79" s="0" t="str">
        <f aca="false">IF($A79="","",IF($AH79=20,IF(AND(OR($A79=21,$A79=215),$AJ79=10),"①病院一般",IF(AND($A79=31,$AJ79=41),"②病院短期","対象外")),IF($AJ79=30,"③特定消防",IF(AND(OR($A79=21,$A79=215),$AJ79=10),"④一般",IF(AND($A79=31,$AJ79=41),"⑤短期","対象外")))))</f>
        <v>④一般</v>
      </c>
      <c r="DC79" s="0" t="n">
        <f aca="false">IF($A79="","",IF($AB79&amp;""=設定!$C$4,1,0))</f>
        <v>1</v>
      </c>
    </row>
    <row r="80" customFormat="false" ht="15" hidden="false" customHeight="false" outlineLevel="0" collapsed="false">
      <c r="A80" s="0" t="n">
        <v>21</v>
      </c>
      <c r="AA80" s="0" t="n">
        <v>21</v>
      </c>
      <c r="AB80" s="0" t="s">
        <v>96</v>
      </c>
      <c r="AD80" s="0" t="n">
        <v>0</v>
      </c>
      <c r="AE80" s="0" t="s">
        <v>295</v>
      </c>
      <c r="AH80" s="0" t="n">
        <v>4</v>
      </c>
      <c r="AJ80" s="0" t="n">
        <v>10</v>
      </c>
      <c r="AP80" s="0" t="n">
        <v>260000</v>
      </c>
      <c r="DB80" s="0" t="str">
        <f aca="false">IF($A80="","",IF($AH80=20,IF(AND(OR($A80=21,$A80=215),$AJ80=10),"①病院一般",IF(AND($A80=31,$AJ80=41),"②病院短期","対象外")),IF($AJ80=30,"③特定消防",IF(AND(OR($A80=21,$A80=215),$AJ80=10),"④一般",IF(AND($A80=31,$AJ80=41),"⑤短期","対象外")))))</f>
        <v>④一般</v>
      </c>
      <c r="DC80" s="0" t="n">
        <f aca="false">IF($A80="","",IF($AB80&amp;""=設定!$C$4,1,0))</f>
        <v>1</v>
      </c>
    </row>
    <row r="81" customFormat="false" ht="15" hidden="false" customHeight="false" outlineLevel="0" collapsed="false">
      <c r="A81" s="0" t="n">
        <v>21</v>
      </c>
      <c r="AA81" s="0" t="n">
        <v>21</v>
      </c>
      <c r="AB81" s="0" t="s">
        <v>96</v>
      </c>
      <c r="AD81" s="0" t="n">
        <v>0</v>
      </c>
      <c r="AE81" s="0" t="s">
        <v>295</v>
      </c>
      <c r="AH81" s="0" t="n">
        <v>1</v>
      </c>
      <c r="AJ81" s="0" t="n">
        <v>10</v>
      </c>
      <c r="AP81" s="0" t="n">
        <v>360000</v>
      </c>
      <c r="DB81" s="0" t="str">
        <f aca="false">IF($A81="","",IF($AH81=20,IF(AND(OR($A81=21,$A81=215),$AJ81=10),"①病院一般",IF(AND($A81=31,$AJ81=41),"②病院短期","対象外")),IF($AJ81=30,"③特定消防",IF(AND(OR($A81=21,$A81=215),$AJ81=10),"④一般",IF(AND($A81=31,$AJ81=41),"⑤短期","対象外")))))</f>
        <v>④一般</v>
      </c>
      <c r="DC81" s="0" t="n">
        <f aca="false">IF($A81="","",IF($AB81&amp;""=設定!$C$4,1,0))</f>
        <v>1</v>
      </c>
    </row>
    <row r="82" customFormat="false" ht="15" hidden="false" customHeight="false" outlineLevel="0" collapsed="false">
      <c r="A82" s="0" t="n">
        <v>21</v>
      </c>
      <c r="AA82" s="0" t="n">
        <v>21</v>
      </c>
      <c r="AB82" s="0" t="s">
        <v>96</v>
      </c>
      <c r="AD82" s="0" t="n">
        <v>0</v>
      </c>
      <c r="AE82" s="0" t="s">
        <v>295</v>
      </c>
      <c r="AH82" s="0" t="n">
        <v>1</v>
      </c>
      <c r="AJ82" s="0" t="n">
        <v>10</v>
      </c>
      <c r="AP82" s="0" t="n">
        <v>280000</v>
      </c>
      <c r="DB82" s="0" t="str">
        <f aca="false">IF($A82="","",IF($AH82=20,IF(AND(OR($A82=21,$A82=215),$AJ82=10),"①病院一般",IF(AND($A82=31,$AJ82=41),"②病院短期","対象外")),IF($AJ82=30,"③特定消防",IF(AND(OR($A82=21,$A82=215),$AJ82=10),"④一般",IF(AND($A82=31,$AJ82=41),"⑤短期","対象外")))))</f>
        <v>④一般</v>
      </c>
      <c r="DC82" s="0" t="n">
        <f aca="false">IF($A82="","",IF($AB82&amp;""=設定!$C$4,1,0))</f>
        <v>1</v>
      </c>
    </row>
    <row r="83" customFormat="false" ht="15" hidden="false" customHeight="false" outlineLevel="0" collapsed="false">
      <c r="A83" s="0" t="n">
        <v>21</v>
      </c>
      <c r="AA83" s="0" t="n">
        <v>21</v>
      </c>
      <c r="AB83" s="0" t="s">
        <v>96</v>
      </c>
      <c r="AD83" s="0" t="n">
        <v>0</v>
      </c>
      <c r="AE83" s="0" t="s">
        <v>295</v>
      </c>
      <c r="AH83" s="0" t="n">
        <v>1</v>
      </c>
      <c r="AJ83" s="0" t="n">
        <v>10</v>
      </c>
      <c r="AP83" s="0" t="n">
        <v>300000</v>
      </c>
      <c r="DB83" s="0" t="str">
        <f aca="false">IF($A83="","",IF($AH83=20,IF(AND(OR($A83=21,$A83=215),$AJ83=10),"①病院一般",IF(AND($A83=31,$AJ83=41),"②病院短期","対象外")),IF($AJ83=30,"③特定消防",IF(AND(OR($A83=21,$A83=215),$AJ83=10),"④一般",IF(AND($A83=31,$AJ83=41),"⑤短期","対象外")))))</f>
        <v>④一般</v>
      </c>
      <c r="DC83" s="0" t="n">
        <f aca="false">IF($A83="","",IF($AB83&amp;""=設定!$C$4,1,0))</f>
        <v>1</v>
      </c>
    </row>
    <row r="84" customFormat="false" ht="15" hidden="false" customHeight="false" outlineLevel="0" collapsed="false">
      <c r="A84" s="0" t="n">
        <v>21</v>
      </c>
      <c r="AA84" s="0" t="n">
        <v>21</v>
      </c>
      <c r="AB84" s="0" t="s">
        <v>96</v>
      </c>
      <c r="AD84" s="0" t="n">
        <v>0</v>
      </c>
      <c r="AE84" s="0" t="s">
        <v>295</v>
      </c>
      <c r="AH84" s="0" t="n">
        <v>1</v>
      </c>
      <c r="AJ84" s="0" t="n">
        <v>10</v>
      </c>
      <c r="AP84" s="0" t="n">
        <v>260000</v>
      </c>
      <c r="DB84" s="0" t="str">
        <f aca="false">IF($A84="","",IF($AH84=20,IF(AND(OR($A84=21,$A84=215),$AJ84=10),"①病院一般",IF(AND($A84=31,$AJ84=41),"②病院短期","対象外")),IF($AJ84=30,"③特定消防",IF(AND(OR($A84=21,$A84=215),$AJ84=10),"④一般",IF(AND($A84=31,$AJ84=41),"⑤短期","対象外")))))</f>
        <v>④一般</v>
      </c>
      <c r="DC84" s="0" t="n">
        <f aca="false">IF($A84="","",IF($AB84&amp;""=設定!$C$4,1,0))</f>
        <v>1</v>
      </c>
    </row>
    <row r="85" customFormat="false" ht="15" hidden="false" customHeight="false" outlineLevel="0" collapsed="false">
      <c r="A85" s="0" t="n">
        <v>21</v>
      </c>
      <c r="AA85" s="0" t="n">
        <v>21</v>
      </c>
      <c r="AB85" s="0" t="s">
        <v>96</v>
      </c>
      <c r="AD85" s="0" t="n">
        <v>0</v>
      </c>
      <c r="AE85" s="0" t="s">
        <v>295</v>
      </c>
      <c r="AH85" s="0" t="n">
        <v>1</v>
      </c>
      <c r="AJ85" s="0" t="n">
        <v>10</v>
      </c>
      <c r="AP85" s="0" t="n">
        <v>280000</v>
      </c>
      <c r="DB85" s="0" t="str">
        <f aca="false">IF($A85="","",IF($AH85=20,IF(AND(OR($A85=21,$A85=215),$AJ85=10),"①病院一般",IF(AND($A85=31,$AJ85=41),"②病院短期","対象外")),IF($AJ85=30,"③特定消防",IF(AND(OR($A85=21,$A85=215),$AJ85=10),"④一般",IF(AND($A85=31,$AJ85=41),"⑤短期","対象外")))))</f>
        <v>④一般</v>
      </c>
      <c r="DC85" s="0" t="n">
        <f aca="false">IF($A85="","",IF($AB85&amp;""=設定!$C$4,1,0))</f>
        <v>1</v>
      </c>
    </row>
    <row r="86" customFormat="false" ht="15" hidden="false" customHeight="false" outlineLevel="0" collapsed="false">
      <c r="A86" s="0" t="n">
        <v>21</v>
      </c>
      <c r="AA86" s="0" t="n">
        <v>21</v>
      </c>
      <c r="AB86" s="0" t="s">
        <v>96</v>
      </c>
      <c r="AD86" s="0" t="n">
        <v>0</v>
      </c>
      <c r="AE86" s="0" t="s">
        <v>295</v>
      </c>
      <c r="AH86" s="0" t="n">
        <v>1</v>
      </c>
      <c r="AJ86" s="0" t="n">
        <v>10</v>
      </c>
      <c r="AP86" s="0" t="n">
        <v>280000</v>
      </c>
      <c r="DB86" s="0" t="str">
        <f aca="false">IF($A86="","",IF($AH86=20,IF(AND(OR($A86=21,$A86=215),$AJ86=10),"①病院一般",IF(AND($A86=31,$AJ86=41),"②病院短期","対象外")),IF($AJ86=30,"③特定消防",IF(AND(OR($A86=21,$A86=215),$AJ86=10),"④一般",IF(AND($A86=31,$AJ86=41),"⑤短期","対象外")))))</f>
        <v>④一般</v>
      </c>
      <c r="DC86" s="0" t="n">
        <f aca="false">IF($A86="","",IF($AB86&amp;""=設定!$C$4,1,0))</f>
        <v>1</v>
      </c>
    </row>
    <row r="87" customFormat="false" ht="15" hidden="false" customHeight="false" outlineLevel="0" collapsed="false">
      <c r="A87" s="0" t="n">
        <v>21</v>
      </c>
      <c r="AA87" s="0" t="n">
        <v>21</v>
      </c>
      <c r="AB87" s="0" t="s">
        <v>96</v>
      </c>
      <c r="AD87" s="0" t="n">
        <v>0</v>
      </c>
      <c r="AE87" s="0" t="s">
        <v>295</v>
      </c>
      <c r="AH87" s="0" t="n">
        <v>1</v>
      </c>
      <c r="AJ87" s="0" t="n">
        <v>10</v>
      </c>
      <c r="AP87" s="0" t="n">
        <v>260000</v>
      </c>
      <c r="DB87" s="0" t="str">
        <f aca="false">IF($A87="","",IF($AH87=20,IF(AND(OR($A87=21,$A87=215),$AJ87=10),"①病院一般",IF(AND($A87=31,$AJ87=41),"②病院短期","対象外")),IF($AJ87=30,"③特定消防",IF(AND(OR($A87=21,$A87=215),$AJ87=10),"④一般",IF(AND($A87=31,$AJ87=41),"⑤短期","対象外")))))</f>
        <v>④一般</v>
      </c>
      <c r="DC87" s="0" t="n">
        <f aca="false">IF($A87="","",IF($AB87&amp;""=設定!$C$4,1,0))</f>
        <v>1</v>
      </c>
    </row>
    <row r="88" customFormat="false" ht="15" hidden="false" customHeight="false" outlineLevel="0" collapsed="false">
      <c r="A88" s="0" t="n">
        <v>21</v>
      </c>
      <c r="AA88" s="0" t="n">
        <v>21</v>
      </c>
      <c r="AB88" s="0" t="s">
        <v>96</v>
      </c>
      <c r="AD88" s="0" t="n">
        <v>0</v>
      </c>
      <c r="AE88" s="0" t="s">
        <v>295</v>
      </c>
      <c r="AH88" s="0" t="n">
        <v>1</v>
      </c>
      <c r="AJ88" s="0" t="n">
        <v>10</v>
      </c>
      <c r="AP88" s="0" t="n">
        <v>300000</v>
      </c>
      <c r="DB88" s="0" t="str">
        <f aca="false">IF($A88="","",IF($AH88=20,IF(AND(OR($A88=21,$A88=215),$AJ88=10),"①病院一般",IF(AND($A88=31,$AJ88=41),"②病院短期","対象外")),IF($AJ88=30,"③特定消防",IF(AND(OR($A88=21,$A88=215),$AJ88=10),"④一般",IF(AND($A88=31,$AJ88=41),"⑤短期","対象外")))))</f>
        <v>④一般</v>
      </c>
      <c r="DC88" s="0" t="n">
        <f aca="false">IF($A88="","",IF($AB88&amp;""=設定!$C$4,1,0))</f>
        <v>1</v>
      </c>
    </row>
    <row r="89" customFormat="false" ht="15" hidden="false" customHeight="false" outlineLevel="0" collapsed="false">
      <c r="A89" s="0" t="n">
        <v>21</v>
      </c>
      <c r="AA89" s="0" t="n">
        <v>21</v>
      </c>
      <c r="AB89" s="0" t="s">
        <v>96</v>
      </c>
      <c r="AD89" s="0" t="n">
        <v>0</v>
      </c>
      <c r="AE89" s="0" t="s">
        <v>295</v>
      </c>
      <c r="AH89" s="0" t="n">
        <v>1</v>
      </c>
      <c r="AJ89" s="0" t="n">
        <v>10</v>
      </c>
      <c r="AP89" s="0" t="n">
        <v>260000</v>
      </c>
      <c r="DB89" s="0" t="str">
        <f aca="false">IF($A89="","",IF($AH89=20,IF(AND(OR($A89=21,$A89=215),$AJ89=10),"①病院一般",IF(AND($A89=31,$AJ89=41),"②病院短期","対象外")),IF($AJ89=30,"③特定消防",IF(AND(OR($A89=21,$A89=215),$AJ89=10),"④一般",IF(AND($A89=31,$AJ89=41),"⑤短期","対象外")))))</f>
        <v>④一般</v>
      </c>
      <c r="DC89" s="0" t="n">
        <f aca="false">IF($A89="","",IF($AB89&amp;""=設定!$C$4,1,0))</f>
        <v>1</v>
      </c>
    </row>
    <row r="90" customFormat="false" ht="15" hidden="false" customHeight="false" outlineLevel="0" collapsed="false">
      <c r="A90" s="0" t="n">
        <v>21</v>
      </c>
      <c r="AA90" s="0" t="n">
        <v>21</v>
      </c>
      <c r="AB90" s="0" t="s">
        <v>96</v>
      </c>
      <c r="AD90" s="0" t="n">
        <v>0</v>
      </c>
      <c r="AE90" s="0" t="s">
        <v>295</v>
      </c>
      <c r="AH90" s="0" t="n">
        <v>1</v>
      </c>
      <c r="AJ90" s="0" t="n">
        <v>10</v>
      </c>
      <c r="AP90" s="0" t="n">
        <v>260000</v>
      </c>
      <c r="DB90" s="0" t="str">
        <f aca="false">IF($A90="","",IF($AH90=20,IF(AND(OR($A90=21,$A90=215),$AJ90=10),"①病院一般",IF(AND($A90=31,$AJ90=41),"②病院短期","対象外")),IF($AJ90=30,"③特定消防",IF(AND(OR($A90=21,$A90=215),$AJ90=10),"④一般",IF(AND($A90=31,$AJ90=41),"⑤短期","対象外")))))</f>
        <v>④一般</v>
      </c>
      <c r="DC90" s="0" t="n">
        <f aca="false">IF($A90="","",IF($AB90&amp;""=設定!$C$4,1,0))</f>
        <v>1</v>
      </c>
    </row>
    <row r="91" customFormat="false" ht="15" hidden="false" customHeight="false" outlineLevel="0" collapsed="false">
      <c r="A91" s="0" t="n">
        <v>21</v>
      </c>
      <c r="AA91" s="0" t="n">
        <v>21</v>
      </c>
      <c r="AB91" s="0" t="s">
        <v>96</v>
      </c>
      <c r="AD91" s="0" t="n">
        <v>0</v>
      </c>
      <c r="AE91" s="0" t="s">
        <v>295</v>
      </c>
      <c r="AH91" s="0" t="n">
        <v>11</v>
      </c>
      <c r="AJ91" s="0" t="n">
        <v>10</v>
      </c>
      <c r="AP91" s="0" t="n">
        <v>280000</v>
      </c>
      <c r="DB91" s="0" t="str">
        <f aca="false">IF($A91="","",IF($AH91=20,IF(AND(OR($A91=21,$A91=215),$AJ91=10),"①病院一般",IF(AND($A91=31,$AJ91=41),"②病院短期","対象外")),IF($AJ91=30,"③特定消防",IF(AND(OR($A91=21,$A91=215),$AJ91=10),"④一般",IF(AND($A91=31,$AJ91=41),"⑤短期","対象外")))))</f>
        <v>④一般</v>
      </c>
      <c r="DC91" s="0" t="n">
        <f aca="false">IF($A91="","",IF($AB91&amp;""=設定!$C$4,1,0))</f>
        <v>1</v>
      </c>
    </row>
    <row r="92" customFormat="false" ht="15" hidden="false" customHeight="false" outlineLevel="0" collapsed="false">
      <c r="A92" s="0" t="n">
        <v>21</v>
      </c>
      <c r="AA92" s="0" t="n">
        <v>21</v>
      </c>
      <c r="AB92" s="0" t="s">
        <v>96</v>
      </c>
      <c r="AD92" s="0" t="n">
        <v>0</v>
      </c>
      <c r="AE92" s="0" t="s">
        <v>295</v>
      </c>
      <c r="AH92" s="0" t="n">
        <v>1</v>
      </c>
      <c r="AJ92" s="0" t="n">
        <v>10</v>
      </c>
      <c r="AP92" s="0" t="n">
        <v>260000</v>
      </c>
      <c r="DB92" s="0" t="str">
        <f aca="false">IF($A92="","",IF($AH92=20,IF(AND(OR($A92=21,$A92=215),$AJ92=10),"①病院一般",IF(AND($A92=31,$AJ92=41),"②病院短期","対象外")),IF($AJ92=30,"③特定消防",IF(AND(OR($A92=21,$A92=215),$AJ92=10),"④一般",IF(AND($A92=31,$AJ92=41),"⑤短期","対象外")))))</f>
        <v>④一般</v>
      </c>
      <c r="DC92" s="0" t="n">
        <f aca="false">IF($A92="","",IF($AB92&amp;""=設定!$C$4,1,0))</f>
        <v>1</v>
      </c>
    </row>
    <row r="93" customFormat="false" ht="15" hidden="false" customHeight="false" outlineLevel="0" collapsed="false">
      <c r="A93" s="0" t="n">
        <v>21</v>
      </c>
      <c r="AA93" s="0" t="n">
        <v>21</v>
      </c>
      <c r="AB93" s="0" t="s">
        <v>96</v>
      </c>
      <c r="AD93" s="0" t="n">
        <v>0</v>
      </c>
      <c r="AE93" s="0" t="s">
        <v>295</v>
      </c>
      <c r="AH93" s="0" t="n">
        <v>1</v>
      </c>
      <c r="AJ93" s="0" t="n">
        <v>10</v>
      </c>
      <c r="AP93" s="0" t="n">
        <v>240000</v>
      </c>
      <c r="DB93" s="0" t="str">
        <f aca="false">IF($A93="","",IF($AH93=20,IF(AND(OR($A93=21,$A93=215),$AJ93=10),"①病院一般",IF(AND($A93=31,$AJ93=41),"②病院短期","対象外")),IF($AJ93=30,"③特定消防",IF(AND(OR($A93=21,$A93=215),$AJ93=10),"④一般",IF(AND($A93=31,$AJ93=41),"⑤短期","対象外")))))</f>
        <v>④一般</v>
      </c>
      <c r="DC93" s="0" t="n">
        <f aca="false">IF($A93="","",IF($AB93&amp;""=設定!$C$4,1,0))</f>
        <v>1</v>
      </c>
    </row>
    <row r="94" customFormat="false" ht="15" hidden="false" customHeight="false" outlineLevel="0" collapsed="false">
      <c r="A94" s="0" t="n">
        <v>21</v>
      </c>
      <c r="AA94" s="0" t="n">
        <v>21</v>
      </c>
      <c r="AB94" s="0" t="s">
        <v>96</v>
      </c>
      <c r="AD94" s="0" t="n">
        <v>0</v>
      </c>
      <c r="AE94" s="0" t="s">
        <v>295</v>
      </c>
      <c r="AH94" s="0" t="n">
        <v>4</v>
      </c>
      <c r="AJ94" s="0" t="n">
        <v>10</v>
      </c>
      <c r="AP94" s="0" t="n">
        <v>260000</v>
      </c>
      <c r="DB94" s="0" t="str">
        <f aca="false">IF($A94="","",IF($AH94=20,IF(AND(OR($A94=21,$A94=215),$AJ94=10),"①病院一般",IF(AND($A94=31,$AJ94=41),"②病院短期","対象外")),IF($AJ94=30,"③特定消防",IF(AND(OR($A94=21,$A94=215),$AJ94=10),"④一般",IF(AND($A94=31,$AJ94=41),"⑤短期","対象外")))))</f>
        <v>④一般</v>
      </c>
      <c r="DC94" s="0" t="n">
        <f aca="false">IF($A94="","",IF($AB94&amp;""=設定!$C$4,1,0))</f>
        <v>1</v>
      </c>
    </row>
    <row r="95" customFormat="false" ht="15" hidden="false" customHeight="false" outlineLevel="0" collapsed="false">
      <c r="A95" s="0" t="n">
        <v>21</v>
      </c>
      <c r="AA95" s="0" t="n">
        <v>21</v>
      </c>
      <c r="AB95" s="0" t="s">
        <v>96</v>
      </c>
      <c r="AD95" s="0" t="n">
        <v>0</v>
      </c>
      <c r="AE95" s="0" t="s">
        <v>295</v>
      </c>
      <c r="AH95" s="0" t="n">
        <v>4</v>
      </c>
      <c r="AJ95" s="0" t="n">
        <v>10</v>
      </c>
      <c r="AP95" s="0" t="n">
        <v>260000</v>
      </c>
      <c r="DB95" s="0" t="str">
        <f aca="false">IF($A95="","",IF($AH95=20,IF(AND(OR($A95=21,$A95=215),$AJ95=10),"①病院一般",IF(AND($A95=31,$AJ95=41),"②病院短期","対象外")),IF($AJ95=30,"③特定消防",IF(AND(OR($A95=21,$A95=215),$AJ95=10),"④一般",IF(AND($A95=31,$AJ95=41),"⑤短期","対象外")))))</f>
        <v>④一般</v>
      </c>
      <c r="DC95" s="0" t="n">
        <f aca="false">IF($A95="","",IF($AB95&amp;""=設定!$C$4,1,0))</f>
        <v>1</v>
      </c>
    </row>
    <row r="96" customFormat="false" ht="15" hidden="false" customHeight="false" outlineLevel="0" collapsed="false">
      <c r="A96" s="0" t="n">
        <v>21</v>
      </c>
      <c r="AA96" s="0" t="n">
        <v>21</v>
      </c>
      <c r="AB96" s="0" t="s">
        <v>96</v>
      </c>
      <c r="AD96" s="0" t="n">
        <v>0</v>
      </c>
      <c r="AE96" s="0" t="s">
        <v>295</v>
      </c>
      <c r="AH96" s="0" t="n">
        <v>1</v>
      </c>
      <c r="AJ96" s="0" t="n">
        <v>10</v>
      </c>
      <c r="AP96" s="0" t="n">
        <v>280000</v>
      </c>
      <c r="DB96" s="0" t="str">
        <f aca="false">IF($A96="","",IF($AH96=20,IF(AND(OR($A96=21,$A96=215),$AJ96=10),"①病院一般",IF(AND($A96=31,$AJ96=41),"②病院短期","対象外")),IF($AJ96=30,"③特定消防",IF(AND(OR($A96=21,$A96=215),$AJ96=10),"④一般",IF(AND($A96=31,$AJ96=41),"⑤短期","対象外")))))</f>
        <v>④一般</v>
      </c>
      <c r="DC96" s="0" t="n">
        <f aca="false">IF($A96="","",IF($AB96&amp;""=設定!$C$4,1,0))</f>
        <v>1</v>
      </c>
    </row>
    <row r="97" customFormat="false" ht="15" hidden="false" customHeight="false" outlineLevel="0" collapsed="false">
      <c r="A97" s="0" t="n">
        <v>21</v>
      </c>
      <c r="AA97" s="0" t="n">
        <v>21</v>
      </c>
      <c r="AB97" s="0" t="s">
        <v>96</v>
      </c>
      <c r="AD97" s="0" t="n">
        <v>0</v>
      </c>
      <c r="AE97" s="0" t="s">
        <v>295</v>
      </c>
      <c r="AH97" s="0" t="n">
        <v>1</v>
      </c>
      <c r="AJ97" s="0" t="n">
        <v>10</v>
      </c>
      <c r="AP97" s="0" t="n">
        <v>280000</v>
      </c>
      <c r="DB97" s="0" t="str">
        <f aca="false">IF($A97="","",IF($AH97=20,IF(AND(OR($A97=21,$A97=215),$AJ97=10),"①病院一般",IF(AND($A97=31,$AJ97=41),"②病院短期","対象外")),IF($AJ97=30,"③特定消防",IF(AND(OR($A97=21,$A97=215),$AJ97=10),"④一般",IF(AND($A97=31,$AJ97=41),"⑤短期","対象外")))))</f>
        <v>④一般</v>
      </c>
      <c r="DC97" s="0" t="n">
        <f aca="false">IF($A97="","",IF($AB97&amp;""=設定!$C$4,1,0))</f>
        <v>1</v>
      </c>
    </row>
    <row r="98" customFormat="false" ht="15" hidden="false" customHeight="false" outlineLevel="0" collapsed="false">
      <c r="A98" s="0" t="n">
        <v>21</v>
      </c>
      <c r="AA98" s="0" t="n">
        <v>21</v>
      </c>
      <c r="AB98" s="0" t="s">
        <v>96</v>
      </c>
      <c r="AD98" s="0" t="n">
        <v>0</v>
      </c>
      <c r="AE98" s="0" t="s">
        <v>295</v>
      </c>
      <c r="AH98" s="0" t="n">
        <v>1</v>
      </c>
      <c r="AJ98" s="0" t="n">
        <v>10</v>
      </c>
      <c r="AP98" s="0" t="n">
        <v>280000</v>
      </c>
      <c r="DB98" s="0" t="str">
        <f aca="false">IF($A98="","",IF($AH98=20,IF(AND(OR($A98=21,$A98=215),$AJ98=10),"①病院一般",IF(AND($A98=31,$AJ98=41),"②病院短期","対象外")),IF($AJ98=30,"③特定消防",IF(AND(OR($A98=21,$A98=215),$AJ98=10),"④一般",IF(AND($A98=31,$AJ98=41),"⑤短期","対象外")))))</f>
        <v>④一般</v>
      </c>
      <c r="DC98" s="0" t="n">
        <f aca="false">IF($A98="","",IF($AB98&amp;""=設定!$C$4,1,0))</f>
        <v>1</v>
      </c>
    </row>
    <row r="99" customFormat="false" ht="15" hidden="false" customHeight="false" outlineLevel="0" collapsed="false">
      <c r="A99" s="0" t="n">
        <v>21</v>
      </c>
      <c r="AA99" s="0" t="n">
        <v>21</v>
      </c>
      <c r="AB99" s="0" t="s">
        <v>96</v>
      </c>
      <c r="AD99" s="0" t="n">
        <v>0</v>
      </c>
      <c r="AE99" s="0" t="s">
        <v>295</v>
      </c>
      <c r="AH99" s="0" t="n">
        <v>1</v>
      </c>
      <c r="AJ99" s="0" t="n">
        <v>10</v>
      </c>
      <c r="AP99" s="0" t="n">
        <v>260000</v>
      </c>
      <c r="DB99" s="0" t="str">
        <f aca="false">IF($A99="","",IF($AH99=20,IF(AND(OR($A99=21,$A99=215),$AJ99=10),"①病院一般",IF(AND($A99=31,$AJ99=41),"②病院短期","対象外")),IF($AJ99=30,"③特定消防",IF(AND(OR($A99=21,$A99=215),$AJ99=10),"④一般",IF(AND($A99=31,$AJ99=41),"⑤短期","対象外")))))</f>
        <v>④一般</v>
      </c>
      <c r="DC99" s="0" t="n">
        <f aca="false">IF($A99="","",IF($AB99&amp;""=設定!$C$4,1,0))</f>
        <v>1</v>
      </c>
    </row>
    <row r="100" customFormat="false" ht="15" hidden="false" customHeight="false" outlineLevel="0" collapsed="false">
      <c r="A100" s="0" t="n">
        <v>21</v>
      </c>
      <c r="AA100" s="0" t="n">
        <v>21</v>
      </c>
      <c r="AB100" s="0" t="s">
        <v>96</v>
      </c>
      <c r="AD100" s="0" t="n">
        <v>0</v>
      </c>
      <c r="AE100" s="0" t="s">
        <v>295</v>
      </c>
      <c r="AH100" s="0" t="n">
        <v>1</v>
      </c>
      <c r="AJ100" s="0" t="n">
        <v>10</v>
      </c>
      <c r="AP100" s="0" t="n">
        <v>260000</v>
      </c>
      <c r="DB100" s="0" t="str">
        <f aca="false">IF($A100="","",IF($AH100=20,IF(AND(OR($A100=21,$A100=215),$AJ100=10),"①病院一般",IF(AND($A100=31,$AJ100=41),"②病院短期","対象外")),IF($AJ100=30,"③特定消防",IF(AND(OR($A100=21,$A100=215),$AJ100=10),"④一般",IF(AND($A100=31,$AJ100=41),"⑤短期","対象外")))))</f>
        <v>④一般</v>
      </c>
      <c r="DC100" s="0" t="n">
        <f aca="false">IF($A100="","",IF($AB100&amp;""=設定!$C$4,1,0))</f>
        <v>1</v>
      </c>
    </row>
    <row r="101" customFormat="false" ht="15" hidden="false" customHeight="false" outlineLevel="0" collapsed="false">
      <c r="A101" s="0" t="n">
        <v>21</v>
      </c>
      <c r="AA101" s="0" t="n">
        <v>21</v>
      </c>
      <c r="AB101" s="0" t="s">
        <v>96</v>
      </c>
      <c r="AD101" s="0" t="n">
        <v>0</v>
      </c>
      <c r="AE101" s="0" t="s">
        <v>295</v>
      </c>
      <c r="AH101" s="0" t="n">
        <v>10</v>
      </c>
      <c r="AJ101" s="0" t="n">
        <v>10</v>
      </c>
      <c r="AP101" s="0" t="n">
        <v>280000</v>
      </c>
      <c r="DB101" s="0" t="str">
        <f aca="false">IF($A101="","",IF($AH101=20,IF(AND(OR($A101=21,$A101=215),$AJ101=10),"①病院一般",IF(AND($A101=31,$AJ101=41),"②病院短期","対象外")),IF($AJ101=30,"③特定消防",IF(AND(OR($A101=21,$A101=215),$AJ101=10),"④一般",IF(AND($A101=31,$AJ101=41),"⑤短期","対象外")))))</f>
        <v>④一般</v>
      </c>
      <c r="DC101" s="0" t="n">
        <f aca="false">IF($A101="","",IF($AB101&amp;""=設定!$C$4,1,0))</f>
        <v>1</v>
      </c>
    </row>
    <row r="102" customFormat="false" ht="15" hidden="false" customHeight="false" outlineLevel="0" collapsed="false">
      <c r="A102" s="0" t="n">
        <v>21</v>
      </c>
      <c r="AA102" s="0" t="n">
        <v>21</v>
      </c>
      <c r="AB102" s="0" t="s">
        <v>96</v>
      </c>
      <c r="AD102" s="0" t="n">
        <v>0</v>
      </c>
      <c r="AE102" s="0" t="s">
        <v>295</v>
      </c>
      <c r="AH102" s="0" t="n">
        <v>1</v>
      </c>
      <c r="AJ102" s="0" t="n">
        <v>10</v>
      </c>
      <c r="AP102" s="0" t="n">
        <v>260000</v>
      </c>
      <c r="DB102" s="0" t="str">
        <f aca="false">IF($A102="","",IF($AH102=20,IF(AND(OR($A102=21,$A102=215),$AJ102=10),"①病院一般",IF(AND($A102=31,$AJ102=41),"②病院短期","対象外")),IF($AJ102=30,"③特定消防",IF(AND(OR($A102=21,$A102=215),$AJ102=10),"④一般",IF(AND($A102=31,$AJ102=41),"⑤短期","対象外")))))</f>
        <v>④一般</v>
      </c>
      <c r="DC102" s="0" t="n">
        <f aca="false">IF($A102="","",IF($AB102&amp;""=設定!$C$4,1,0))</f>
        <v>1</v>
      </c>
    </row>
    <row r="103" customFormat="false" ht="15" hidden="false" customHeight="false" outlineLevel="0" collapsed="false">
      <c r="A103" s="0" t="n">
        <v>21</v>
      </c>
      <c r="AA103" s="0" t="n">
        <v>21</v>
      </c>
      <c r="AB103" s="0" t="s">
        <v>96</v>
      </c>
      <c r="AD103" s="0" t="n">
        <v>0</v>
      </c>
      <c r="AE103" s="0" t="s">
        <v>295</v>
      </c>
      <c r="AH103" s="0" t="n">
        <v>1</v>
      </c>
      <c r="AJ103" s="0" t="n">
        <v>10</v>
      </c>
      <c r="AP103" s="0" t="n">
        <v>260000</v>
      </c>
      <c r="DB103" s="0" t="str">
        <f aca="false">IF($A103="","",IF($AH103=20,IF(AND(OR($A103=21,$A103=215),$AJ103=10),"①病院一般",IF(AND($A103=31,$AJ103=41),"②病院短期","対象外")),IF($AJ103=30,"③特定消防",IF(AND(OR($A103=21,$A103=215),$AJ103=10),"④一般",IF(AND($A103=31,$AJ103=41),"⑤短期","対象外")))))</f>
        <v>④一般</v>
      </c>
      <c r="DC103" s="0" t="n">
        <f aca="false">IF($A103="","",IF($AB103&amp;""=設定!$C$4,1,0))</f>
        <v>1</v>
      </c>
    </row>
    <row r="104" customFormat="false" ht="15" hidden="false" customHeight="false" outlineLevel="0" collapsed="false">
      <c r="A104" s="0" t="n">
        <v>21</v>
      </c>
      <c r="AA104" s="0" t="n">
        <v>21</v>
      </c>
      <c r="AB104" s="0" t="s">
        <v>96</v>
      </c>
      <c r="AD104" s="0" t="n">
        <v>0</v>
      </c>
      <c r="AE104" s="0" t="s">
        <v>295</v>
      </c>
      <c r="AH104" s="0" t="n">
        <v>10</v>
      </c>
      <c r="AJ104" s="0" t="n">
        <v>10</v>
      </c>
      <c r="AP104" s="0" t="n">
        <v>240000</v>
      </c>
      <c r="DB104" s="0" t="str">
        <f aca="false">IF($A104="","",IF($AH104=20,IF(AND(OR($A104=21,$A104=215),$AJ104=10),"①病院一般",IF(AND($A104=31,$AJ104=41),"②病院短期","対象外")),IF($AJ104=30,"③特定消防",IF(AND(OR($A104=21,$A104=215),$AJ104=10),"④一般",IF(AND($A104=31,$AJ104=41),"⑤短期","対象外")))))</f>
        <v>④一般</v>
      </c>
      <c r="DC104" s="0" t="n">
        <f aca="false">IF($A104="","",IF($AB104&amp;""=設定!$C$4,1,0))</f>
        <v>1</v>
      </c>
    </row>
    <row r="105" customFormat="false" ht="15" hidden="false" customHeight="false" outlineLevel="0" collapsed="false">
      <c r="A105" s="0" t="n">
        <v>21</v>
      </c>
      <c r="AA105" s="0" t="n">
        <v>21</v>
      </c>
      <c r="AB105" s="0" t="s">
        <v>96</v>
      </c>
      <c r="AD105" s="0" t="n">
        <v>0</v>
      </c>
      <c r="AE105" s="0" t="s">
        <v>295</v>
      </c>
      <c r="AH105" s="0" t="n">
        <v>1</v>
      </c>
      <c r="AJ105" s="0" t="n">
        <v>10</v>
      </c>
      <c r="AP105" s="0" t="n">
        <v>260000</v>
      </c>
      <c r="DB105" s="0" t="str">
        <f aca="false">IF($A105="","",IF($AH105=20,IF(AND(OR($A105=21,$A105=215),$AJ105=10),"①病院一般",IF(AND($A105=31,$AJ105=41),"②病院短期","対象外")),IF($AJ105=30,"③特定消防",IF(AND(OR($A105=21,$A105=215),$AJ105=10),"④一般",IF(AND($A105=31,$AJ105=41),"⑤短期","対象外")))))</f>
        <v>④一般</v>
      </c>
      <c r="DC105" s="0" t="n">
        <f aca="false">IF($A105="","",IF($AB105&amp;""=設定!$C$4,1,0))</f>
        <v>1</v>
      </c>
    </row>
    <row r="106" customFormat="false" ht="15" hidden="false" customHeight="false" outlineLevel="0" collapsed="false">
      <c r="A106" s="0" t="n">
        <v>21</v>
      </c>
      <c r="AA106" s="0" t="n">
        <v>21</v>
      </c>
      <c r="AB106" s="0" t="s">
        <v>96</v>
      </c>
      <c r="AD106" s="0" t="n">
        <v>0</v>
      </c>
      <c r="AE106" s="0" t="s">
        <v>295</v>
      </c>
      <c r="AH106" s="0" t="n">
        <v>1</v>
      </c>
      <c r="AJ106" s="0" t="n">
        <v>10</v>
      </c>
      <c r="AP106" s="0" t="n">
        <v>260000</v>
      </c>
      <c r="DB106" s="0" t="str">
        <f aca="false">IF($A106="","",IF($AH106=20,IF(AND(OR($A106=21,$A106=215),$AJ106=10),"①病院一般",IF(AND($A106=31,$AJ106=41),"②病院短期","対象外")),IF($AJ106=30,"③特定消防",IF(AND(OR($A106=21,$A106=215),$AJ106=10),"④一般",IF(AND($A106=31,$AJ106=41),"⑤短期","対象外")))))</f>
        <v>④一般</v>
      </c>
      <c r="DC106" s="0" t="n">
        <f aca="false">IF($A106="","",IF($AB106&amp;""=設定!$C$4,1,0))</f>
        <v>1</v>
      </c>
    </row>
    <row r="107" customFormat="false" ht="15" hidden="false" customHeight="false" outlineLevel="0" collapsed="false">
      <c r="A107" s="0" t="n">
        <v>21</v>
      </c>
      <c r="AA107" s="0" t="n">
        <v>21</v>
      </c>
      <c r="AB107" s="0" t="s">
        <v>96</v>
      </c>
      <c r="AD107" s="0" t="n">
        <v>0</v>
      </c>
      <c r="AE107" s="0" t="s">
        <v>295</v>
      </c>
      <c r="AH107" s="0" t="n">
        <v>1</v>
      </c>
      <c r="AJ107" s="0" t="n">
        <v>10</v>
      </c>
      <c r="AP107" s="0" t="n">
        <v>280000</v>
      </c>
      <c r="DB107" s="0" t="str">
        <f aca="false">IF($A107="","",IF($AH107=20,IF(AND(OR($A107=21,$A107=215),$AJ107=10),"①病院一般",IF(AND($A107=31,$AJ107=41),"②病院短期","対象外")),IF($AJ107=30,"③特定消防",IF(AND(OR($A107=21,$A107=215),$AJ107=10),"④一般",IF(AND($A107=31,$AJ107=41),"⑤短期","対象外")))))</f>
        <v>④一般</v>
      </c>
      <c r="DC107" s="0" t="n">
        <f aca="false">IF($A107="","",IF($AB107&amp;""=設定!$C$4,1,0))</f>
        <v>1</v>
      </c>
    </row>
    <row r="108" customFormat="false" ht="15" hidden="false" customHeight="false" outlineLevel="0" collapsed="false">
      <c r="A108" s="0" t="n">
        <v>21</v>
      </c>
      <c r="AA108" s="0" t="n">
        <v>21</v>
      </c>
      <c r="AB108" s="0" t="s">
        <v>96</v>
      </c>
      <c r="AD108" s="0" t="n">
        <v>0</v>
      </c>
      <c r="AE108" s="0" t="s">
        <v>295</v>
      </c>
      <c r="AH108" s="0" t="n">
        <v>1</v>
      </c>
      <c r="AJ108" s="0" t="n">
        <v>10</v>
      </c>
      <c r="AP108" s="0" t="n">
        <v>300000</v>
      </c>
      <c r="DB108" s="0" t="str">
        <f aca="false">IF($A108="","",IF($AH108=20,IF(AND(OR($A108=21,$A108=215),$AJ108=10),"①病院一般",IF(AND($A108=31,$AJ108=41),"②病院短期","対象外")),IF($AJ108=30,"③特定消防",IF(AND(OR($A108=21,$A108=215),$AJ108=10),"④一般",IF(AND($A108=31,$AJ108=41),"⑤短期","対象外")))))</f>
        <v>④一般</v>
      </c>
      <c r="DC108" s="0" t="n">
        <f aca="false">IF($A108="","",IF($AB108&amp;""=設定!$C$4,1,0))</f>
        <v>1</v>
      </c>
    </row>
    <row r="109" customFormat="false" ht="15" hidden="false" customHeight="false" outlineLevel="0" collapsed="false">
      <c r="A109" s="0" t="n">
        <v>21</v>
      </c>
      <c r="AA109" s="0" t="n">
        <v>21</v>
      </c>
      <c r="AB109" s="0" t="s">
        <v>96</v>
      </c>
      <c r="AD109" s="0" t="n">
        <v>0</v>
      </c>
      <c r="AE109" s="0" t="s">
        <v>295</v>
      </c>
      <c r="AH109" s="0" t="n">
        <v>1</v>
      </c>
      <c r="AJ109" s="0" t="n">
        <v>10</v>
      </c>
      <c r="AP109" s="0" t="n">
        <v>240000</v>
      </c>
      <c r="DB109" s="0" t="str">
        <f aca="false">IF($A109="","",IF($AH109=20,IF(AND(OR($A109=21,$A109=215),$AJ109=10),"①病院一般",IF(AND($A109=31,$AJ109=41),"②病院短期","対象外")),IF($AJ109=30,"③特定消防",IF(AND(OR($A109=21,$A109=215),$AJ109=10),"④一般",IF(AND($A109=31,$AJ109=41),"⑤短期","対象外")))))</f>
        <v>④一般</v>
      </c>
      <c r="DC109" s="0" t="n">
        <f aca="false">IF($A109="","",IF($AB109&amp;""=設定!$C$4,1,0))</f>
        <v>1</v>
      </c>
    </row>
    <row r="110" customFormat="false" ht="15" hidden="false" customHeight="false" outlineLevel="0" collapsed="false">
      <c r="A110" s="0" t="n">
        <v>21</v>
      </c>
      <c r="AA110" s="0" t="n">
        <v>21</v>
      </c>
      <c r="AB110" s="0" t="s">
        <v>96</v>
      </c>
      <c r="AD110" s="0" t="n">
        <v>0</v>
      </c>
      <c r="AE110" s="0" t="s">
        <v>295</v>
      </c>
      <c r="AH110" s="0" t="n">
        <v>1</v>
      </c>
      <c r="AJ110" s="0" t="n">
        <v>10</v>
      </c>
      <c r="AP110" s="0" t="n">
        <v>280000</v>
      </c>
      <c r="DB110" s="0" t="str">
        <f aca="false">IF($A110="","",IF($AH110=20,IF(AND(OR($A110=21,$A110=215),$AJ110=10),"①病院一般",IF(AND($A110=31,$AJ110=41),"②病院短期","対象外")),IF($AJ110=30,"③特定消防",IF(AND(OR($A110=21,$A110=215),$AJ110=10),"④一般",IF(AND($A110=31,$AJ110=41),"⑤短期","対象外")))))</f>
        <v>④一般</v>
      </c>
      <c r="DC110" s="0" t="n">
        <f aca="false">IF($A110="","",IF($AB110&amp;""=設定!$C$4,1,0))</f>
        <v>1</v>
      </c>
    </row>
    <row r="111" customFormat="false" ht="15" hidden="false" customHeight="false" outlineLevel="0" collapsed="false">
      <c r="A111" s="0" t="n">
        <v>21</v>
      </c>
      <c r="AA111" s="0" t="n">
        <v>21</v>
      </c>
      <c r="AB111" s="0" t="s">
        <v>96</v>
      </c>
      <c r="AD111" s="0" t="n">
        <v>0</v>
      </c>
      <c r="AE111" s="0" t="s">
        <v>295</v>
      </c>
      <c r="AH111" s="0" t="n">
        <v>1</v>
      </c>
      <c r="AJ111" s="0" t="n">
        <v>10</v>
      </c>
      <c r="AP111" s="0" t="n">
        <v>260000</v>
      </c>
      <c r="DB111" s="0" t="str">
        <f aca="false">IF($A111="","",IF($AH111=20,IF(AND(OR($A111=21,$A111=215),$AJ111=10),"①病院一般",IF(AND($A111=31,$AJ111=41),"②病院短期","対象外")),IF($AJ111=30,"③特定消防",IF(AND(OR($A111=21,$A111=215),$AJ111=10),"④一般",IF(AND($A111=31,$AJ111=41),"⑤短期","対象外")))))</f>
        <v>④一般</v>
      </c>
      <c r="DC111" s="0" t="n">
        <f aca="false">IF($A111="","",IF($AB111&amp;""=設定!$C$4,1,0))</f>
        <v>1</v>
      </c>
    </row>
    <row r="112" customFormat="false" ht="15" hidden="false" customHeight="false" outlineLevel="0" collapsed="false">
      <c r="A112" s="0" t="n">
        <v>21</v>
      </c>
      <c r="AA112" s="0" t="n">
        <v>21</v>
      </c>
      <c r="AB112" s="0" t="s">
        <v>96</v>
      </c>
      <c r="AD112" s="0" t="n">
        <v>0</v>
      </c>
      <c r="AE112" s="0" t="s">
        <v>295</v>
      </c>
      <c r="AH112" s="0" t="n">
        <v>1</v>
      </c>
      <c r="AJ112" s="0" t="n">
        <v>10</v>
      </c>
      <c r="AP112" s="0" t="n">
        <v>260000</v>
      </c>
      <c r="DB112" s="0" t="str">
        <f aca="false">IF($A112="","",IF($AH112=20,IF(AND(OR($A112=21,$A112=215),$AJ112=10),"①病院一般",IF(AND($A112=31,$AJ112=41),"②病院短期","対象外")),IF($AJ112=30,"③特定消防",IF(AND(OR($A112=21,$A112=215),$AJ112=10),"④一般",IF(AND($A112=31,$AJ112=41),"⑤短期","対象外")))))</f>
        <v>④一般</v>
      </c>
      <c r="DC112" s="0" t="n">
        <f aca="false">IF($A112="","",IF($AB112&amp;""=設定!$C$4,1,0))</f>
        <v>1</v>
      </c>
    </row>
    <row r="113" customFormat="false" ht="15" hidden="false" customHeight="false" outlineLevel="0" collapsed="false">
      <c r="A113" s="0" t="n">
        <v>21</v>
      </c>
      <c r="AA113" s="0" t="n">
        <v>21</v>
      </c>
      <c r="AB113" s="0" t="s">
        <v>96</v>
      </c>
      <c r="AD113" s="0" t="n">
        <v>0</v>
      </c>
      <c r="AE113" s="0" t="s">
        <v>295</v>
      </c>
      <c r="AH113" s="0" t="n">
        <v>1</v>
      </c>
      <c r="AJ113" s="0" t="n">
        <v>10</v>
      </c>
      <c r="AP113" s="0" t="n">
        <v>280000</v>
      </c>
      <c r="DB113" s="0" t="str">
        <f aca="false">IF($A113="","",IF($AH113=20,IF(AND(OR($A113=21,$A113=215),$AJ113=10),"①病院一般",IF(AND($A113=31,$AJ113=41),"②病院短期","対象外")),IF($AJ113=30,"③特定消防",IF(AND(OR($A113=21,$A113=215),$AJ113=10),"④一般",IF(AND($A113=31,$AJ113=41),"⑤短期","対象外")))))</f>
        <v>④一般</v>
      </c>
      <c r="DC113" s="0" t="n">
        <f aca="false">IF($A113="","",IF($AB113&amp;""=設定!$C$4,1,0))</f>
        <v>1</v>
      </c>
    </row>
    <row r="114" customFormat="false" ht="15" hidden="false" customHeight="false" outlineLevel="0" collapsed="false">
      <c r="A114" s="0" t="n">
        <v>21</v>
      </c>
      <c r="AA114" s="0" t="n">
        <v>21</v>
      </c>
      <c r="AB114" s="0" t="s">
        <v>96</v>
      </c>
      <c r="AD114" s="0" t="n">
        <v>0</v>
      </c>
      <c r="AE114" s="0" t="s">
        <v>295</v>
      </c>
      <c r="AH114" s="0" t="n">
        <v>1</v>
      </c>
      <c r="AJ114" s="0" t="n">
        <v>10</v>
      </c>
      <c r="AP114" s="0" t="n">
        <v>280000</v>
      </c>
      <c r="DB114" s="0" t="str">
        <f aca="false">IF($A114="","",IF($AH114=20,IF(AND(OR($A114=21,$A114=215),$AJ114=10),"①病院一般",IF(AND($A114=31,$AJ114=41),"②病院短期","対象外")),IF($AJ114=30,"③特定消防",IF(AND(OR($A114=21,$A114=215),$AJ114=10),"④一般",IF(AND($A114=31,$AJ114=41),"⑤短期","対象外")))))</f>
        <v>④一般</v>
      </c>
      <c r="DC114" s="0" t="n">
        <f aca="false">IF($A114="","",IF($AB114&amp;""=設定!$C$4,1,0))</f>
        <v>1</v>
      </c>
    </row>
    <row r="115" customFormat="false" ht="15" hidden="false" customHeight="false" outlineLevel="0" collapsed="false">
      <c r="A115" s="0" t="n">
        <v>21</v>
      </c>
      <c r="AA115" s="0" t="n">
        <v>21</v>
      </c>
      <c r="AB115" s="0" t="s">
        <v>96</v>
      </c>
      <c r="AD115" s="0" t="n">
        <v>0</v>
      </c>
      <c r="AE115" s="0" t="s">
        <v>295</v>
      </c>
      <c r="AH115" s="0" t="n">
        <v>4</v>
      </c>
      <c r="AJ115" s="0" t="n">
        <v>10</v>
      </c>
      <c r="AP115" s="0" t="n">
        <v>260000</v>
      </c>
      <c r="DB115" s="0" t="str">
        <f aca="false">IF($A115="","",IF($AH115=20,IF(AND(OR($A115=21,$A115=215),$AJ115=10),"①病院一般",IF(AND($A115=31,$AJ115=41),"②病院短期","対象外")),IF($AJ115=30,"③特定消防",IF(AND(OR($A115=21,$A115=215),$AJ115=10),"④一般",IF(AND($A115=31,$AJ115=41),"⑤短期","対象外")))))</f>
        <v>④一般</v>
      </c>
      <c r="DC115" s="0" t="n">
        <f aca="false">IF($A115="","",IF($AB115&amp;""=設定!$C$4,1,0))</f>
        <v>1</v>
      </c>
    </row>
    <row r="116" customFormat="false" ht="15" hidden="false" customHeight="false" outlineLevel="0" collapsed="false">
      <c r="A116" s="0" t="n">
        <v>21</v>
      </c>
      <c r="AA116" s="0" t="n">
        <v>21</v>
      </c>
      <c r="AB116" s="0" t="s">
        <v>96</v>
      </c>
      <c r="AD116" s="0" t="n">
        <v>0</v>
      </c>
      <c r="AE116" s="0" t="s">
        <v>295</v>
      </c>
      <c r="AH116" s="0" t="n">
        <v>1</v>
      </c>
      <c r="AJ116" s="0" t="n">
        <v>10</v>
      </c>
      <c r="AP116" s="0" t="n">
        <v>300000</v>
      </c>
      <c r="DB116" s="0" t="str">
        <f aca="false">IF($A116="","",IF($AH116=20,IF(AND(OR($A116=21,$A116=215),$AJ116=10),"①病院一般",IF(AND($A116=31,$AJ116=41),"②病院短期","対象外")),IF($AJ116=30,"③特定消防",IF(AND(OR($A116=21,$A116=215),$AJ116=10),"④一般",IF(AND($A116=31,$AJ116=41),"⑤短期","対象外")))))</f>
        <v>④一般</v>
      </c>
      <c r="DC116" s="0" t="n">
        <f aca="false">IF($A116="","",IF($AB116&amp;""=設定!$C$4,1,0))</f>
        <v>1</v>
      </c>
    </row>
    <row r="117" customFormat="false" ht="15" hidden="false" customHeight="false" outlineLevel="0" collapsed="false">
      <c r="A117" s="0" t="n">
        <v>21</v>
      </c>
      <c r="AA117" s="0" t="n">
        <v>21</v>
      </c>
      <c r="AB117" s="0" t="s">
        <v>96</v>
      </c>
      <c r="AD117" s="0" t="n">
        <v>0</v>
      </c>
      <c r="AE117" s="0" t="s">
        <v>295</v>
      </c>
      <c r="AH117" s="0" t="n">
        <v>1</v>
      </c>
      <c r="AJ117" s="0" t="n">
        <v>10</v>
      </c>
      <c r="AP117" s="0" t="n">
        <v>300000</v>
      </c>
      <c r="DB117" s="0" t="str">
        <f aca="false">IF($A117="","",IF($AH117=20,IF(AND(OR($A117=21,$A117=215),$AJ117=10),"①病院一般",IF(AND($A117=31,$AJ117=41),"②病院短期","対象外")),IF($AJ117=30,"③特定消防",IF(AND(OR($A117=21,$A117=215),$AJ117=10),"④一般",IF(AND($A117=31,$AJ117=41),"⑤短期","対象外")))))</f>
        <v>④一般</v>
      </c>
      <c r="DC117" s="0" t="n">
        <f aca="false">IF($A117="","",IF($AB117&amp;""=設定!$C$4,1,0))</f>
        <v>1</v>
      </c>
    </row>
    <row r="118" customFormat="false" ht="15" hidden="false" customHeight="false" outlineLevel="0" collapsed="false">
      <c r="A118" s="0" t="n">
        <v>21</v>
      </c>
      <c r="AA118" s="0" t="n">
        <v>21</v>
      </c>
      <c r="AB118" s="0" t="s">
        <v>96</v>
      </c>
      <c r="AD118" s="0" t="n">
        <v>0</v>
      </c>
      <c r="AE118" s="0" t="s">
        <v>295</v>
      </c>
      <c r="AH118" s="0" t="n">
        <v>1</v>
      </c>
      <c r="AJ118" s="0" t="n">
        <v>10</v>
      </c>
      <c r="AP118" s="0" t="n">
        <v>280000</v>
      </c>
      <c r="DB118" s="0" t="str">
        <f aca="false">IF($A118="","",IF($AH118=20,IF(AND(OR($A118=21,$A118=215),$AJ118=10),"①病院一般",IF(AND($A118=31,$AJ118=41),"②病院短期","対象外")),IF($AJ118=30,"③特定消防",IF(AND(OR($A118=21,$A118=215),$AJ118=10),"④一般",IF(AND($A118=31,$AJ118=41),"⑤短期","対象外")))))</f>
        <v>④一般</v>
      </c>
      <c r="DC118" s="0" t="n">
        <f aca="false">IF($A118="","",IF($AB118&amp;""=設定!$C$4,1,0))</f>
        <v>1</v>
      </c>
    </row>
    <row r="119" customFormat="false" ht="15" hidden="false" customHeight="false" outlineLevel="0" collapsed="false">
      <c r="A119" s="0" t="n">
        <v>21</v>
      </c>
      <c r="AA119" s="0" t="n">
        <v>21</v>
      </c>
      <c r="AB119" s="0" t="s">
        <v>96</v>
      </c>
      <c r="AD119" s="0" t="n">
        <v>0</v>
      </c>
      <c r="AE119" s="0" t="s">
        <v>295</v>
      </c>
      <c r="AH119" s="0" t="n">
        <v>1</v>
      </c>
      <c r="AJ119" s="0" t="n">
        <v>10</v>
      </c>
      <c r="AP119" s="0" t="n">
        <v>260000</v>
      </c>
      <c r="DB119" s="0" t="str">
        <f aca="false">IF($A119="","",IF($AH119=20,IF(AND(OR($A119=21,$A119=215),$AJ119=10),"①病院一般",IF(AND($A119=31,$AJ119=41),"②病院短期","対象外")),IF($AJ119=30,"③特定消防",IF(AND(OR($A119=21,$A119=215),$AJ119=10),"④一般",IF(AND($A119=31,$AJ119=41),"⑤短期","対象外")))))</f>
        <v>④一般</v>
      </c>
      <c r="DC119" s="0" t="n">
        <f aca="false">IF($A119="","",IF($AB119&amp;""=設定!$C$4,1,0))</f>
        <v>1</v>
      </c>
    </row>
    <row r="120" customFormat="false" ht="15" hidden="false" customHeight="false" outlineLevel="0" collapsed="false">
      <c r="A120" s="0" t="n">
        <v>21</v>
      </c>
      <c r="AA120" s="0" t="n">
        <v>21</v>
      </c>
      <c r="AB120" s="0" t="s">
        <v>96</v>
      </c>
      <c r="AD120" s="0" t="n">
        <v>0</v>
      </c>
      <c r="AE120" s="0" t="s">
        <v>295</v>
      </c>
      <c r="AH120" s="0" t="n">
        <v>1</v>
      </c>
      <c r="AJ120" s="0" t="n">
        <v>10</v>
      </c>
      <c r="AP120" s="0" t="n">
        <v>280000</v>
      </c>
      <c r="DB120" s="0" t="str">
        <f aca="false">IF($A120="","",IF($AH120=20,IF(AND(OR($A120=21,$A120=215),$AJ120=10),"①病院一般",IF(AND($A120=31,$AJ120=41),"②病院短期","対象外")),IF($AJ120=30,"③特定消防",IF(AND(OR($A120=21,$A120=215),$AJ120=10),"④一般",IF(AND($A120=31,$AJ120=41),"⑤短期","対象外")))))</f>
        <v>④一般</v>
      </c>
      <c r="DC120" s="0" t="n">
        <f aca="false">IF($A120="","",IF($AB120&amp;""=設定!$C$4,1,0))</f>
        <v>1</v>
      </c>
    </row>
    <row r="121" customFormat="false" ht="15" hidden="false" customHeight="false" outlineLevel="0" collapsed="false">
      <c r="A121" s="0" t="n">
        <v>21</v>
      </c>
      <c r="AA121" s="0" t="n">
        <v>21</v>
      </c>
      <c r="AB121" s="0" t="s">
        <v>96</v>
      </c>
      <c r="AD121" s="0" t="n">
        <v>0</v>
      </c>
      <c r="AE121" s="0" t="s">
        <v>295</v>
      </c>
      <c r="AH121" s="0" t="n">
        <v>1</v>
      </c>
      <c r="AJ121" s="0" t="n">
        <v>10</v>
      </c>
      <c r="AP121" s="0" t="n">
        <v>280000</v>
      </c>
      <c r="DB121" s="0" t="str">
        <f aca="false">IF($A121="","",IF($AH121=20,IF(AND(OR($A121=21,$A121=215),$AJ121=10),"①病院一般",IF(AND($A121=31,$AJ121=41),"②病院短期","対象外")),IF($AJ121=30,"③特定消防",IF(AND(OR($A121=21,$A121=215),$AJ121=10),"④一般",IF(AND($A121=31,$AJ121=41),"⑤短期","対象外")))))</f>
        <v>④一般</v>
      </c>
      <c r="DC121" s="0" t="n">
        <f aca="false">IF($A121="","",IF($AB121&amp;""=設定!$C$4,1,0))</f>
        <v>1</v>
      </c>
    </row>
    <row r="122" customFormat="false" ht="15" hidden="false" customHeight="false" outlineLevel="0" collapsed="false">
      <c r="A122" s="0" t="n">
        <v>21</v>
      </c>
      <c r="AA122" s="0" t="n">
        <v>21</v>
      </c>
      <c r="AB122" s="0" t="s">
        <v>96</v>
      </c>
      <c r="AD122" s="0" t="n">
        <v>0</v>
      </c>
      <c r="AE122" s="0" t="s">
        <v>295</v>
      </c>
      <c r="AH122" s="0" t="n">
        <v>1</v>
      </c>
      <c r="AJ122" s="0" t="n">
        <v>10</v>
      </c>
      <c r="AP122" s="0" t="n">
        <v>260000</v>
      </c>
      <c r="DB122" s="0" t="str">
        <f aca="false">IF($A122="","",IF($AH122=20,IF(AND(OR($A122=21,$A122=215),$AJ122=10),"①病院一般",IF(AND($A122=31,$AJ122=41),"②病院短期","対象外")),IF($AJ122=30,"③特定消防",IF(AND(OR($A122=21,$A122=215),$AJ122=10),"④一般",IF(AND($A122=31,$AJ122=41),"⑤短期","対象外")))))</f>
        <v>④一般</v>
      </c>
      <c r="DC122" s="0" t="n">
        <f aca="false">IF($A122="","",IF($AB122&amp;""=設定!$C$4,1,0))</f>
        <v>1</v>
      </c>
    </row>
    <row r="123" customFormat="false" ht="15" hidden="false" customHeight="false" outlineLevel="0" collapsed="false">
      <c r="A123" s="0" t="n">
        <v>21</v>
      </c>
      <c r="AA123" s="0" t="n">
        <v>21</v>
      </c>
      <c r="AB123" s="0" t="s">
        <v>96</v>
      </c>
      <c r="AD123" s="0" t="n">
        <v>0</v>
      </c>
      <c r="AE123" s="0" t="s">
        <v>295</v>
      </c>
      <c r="AH123" s="0" t="n">
        <v>1</v>
      </c>
      <c r="AJ123" s="0" t="n">
        <v>10</v>
      </c>
      <c r="AP123" s="0" t="n">
        <v>260000</v>
      </c>
      <c r="DB123" s="0" t="str">
        <f aca="false">IF($A123="","",IF($AH123=20,IF(AND(OR($A123=21,$A123=215),$AJ123=10),"①病院一般",IF(AND($A123=31,$AJ123=41),"②病院短期","対象外")),IF($AJ123=30,"③特定消防",IF(AND(OR($A123=21,$A123=215),$AJ123=10),"④一般",IF(AND($A123=31,$AJ123=41),"⑤短期","対象外")))))</f>
        <v>④一般</v>
      </c>
      <c r="DC123" s="0" t="n">
        <f aca="false">IF($A123="","",IF($AB123&amp;""=設定!$C$4,1,0))</f>
        <v>1</v>
      </c>
    </row>
    <row r="124" customFormat="false" ht="15" hidden="false" customHeight="false" outlineLevel="0" collapsed="false">
      <c r="A124" s="0" t="n">
        <v>21</v>
      </c>
      <c r="AA124" s="0" t="n">
        <v>21</v>
      </c>
      <c r="AB124" s="0" t="s">
        <v>96</v>
      </c>
      <c r="AD124" s="0" t="n">
        <v>0</v>
      </c>
      <c r="AE124" s="0" t="s">
        <v>295</v>
      </c>
      <c r="AH124" s="0" t="n">
        <v>1</v>
      </c>
      <c r="AJ124" s="0" t="n">
        <v>10</v>
      </c>
      <c r="AP124" s="0" t="n">
        <v>260000</v>
      </c>
      <c r="DB124" s="0" t="str">
        <f aca="false">IF($A124="","",IF($AH124=20,IF(AND(OR($A124=21,$A124=215),$AJ124=10),"①病院一般",IF(AND($A124=31,$AJ124=41),"②病院短期","対象外")),IF($AJ124=30,"③特定消防",IF(AND(OR($A124=21,$A124=215),$AJ124=10),"④一般",IF(AND($A124=31,$AJ124=41),"⑤短期","対象外")))))</f>
        <v>④一般</v>
      </c>
      <c r="DC124" s="0" t="n">
        <f aca="false">IF($A124="","",IF($AB124&amp;""=設定!$C$4,1,0))</f>
        <v>1</v>
      </c>
    </row>
    <row r="125" customFormat="false" ht="15" hidden="false" customHeight="false" outlineLevel="0" collapsed="false">
      <c r="A125" s="0" t="n">
        <v>21</v>
      </c>
      <c r="AA125" s="0" t="n">
        <v>21</v>
      </c>
      <c r="AB125" s="0" t="s">
        <v>96</v>
      </c>
      <c r="AD125" s="0" t="n">
        <v>0</v>
      </c>
      <c r="AE125" s="0" t="s">
        <v>295</v>
      </c>
      <c r="AH125" s="0" t="n">
        <v>1</v>
      </c>
      <c r="AJ125" s="0" t="n">
        <v>10</v>
      </c>
      <c r="AP125" s="0" t="n">
        <v>280000</v>
      </c>
      <c r="DB125" s="0" t="str">
        <f aca="false">IF($A125="","",IF($AH125=20,IF(AND(OR($A125=21,$A125=215),$AJ125=10),"①病院一般",IF(AND($A125=31,$AJ125=41),"②病院短期","対象外")),IF($AJ125=30,"③特定消防",IF(AND(OR($A125=21,$A125=215),$AJ125=10),"④一般",IF(AND($A125=31,$AJ125=41),"⑤短期","対象外")))))</f>
        <v>④一般</v>
      </c>
      <c r="DC125" s="0" t="n">
        <f aca="false">IF($A125="","",IF($AB125&amp;""=設定!$C$4,1,0))</f>
        <v>1</v>
      </c>
    </row>
    <row r="126" customFormat="false" ht="15" hidden="false" customHeight="false" outlineLevel="0" collapsed="false">
      <c r="A126" s="0" t="n">
        <v>21</v>
      </c>
      <c r="AA126" s="0" t="n">
        <v>21</v>
      </c>
      <c r="AB126" s="0" t="s">
        <v>96</v>
      </c>
      <c r="AD126" s="0" t="n">
        <v>0</v>
      </c>
      <c r="AE126" s="0" t="s">
        <v>295</v>
      </c>
      <c r="AH126" s="0" t="n">
        <v>1</v>
      </c>
      <c r="AJ126" s="0" t="n">
        <v>10</v>
      </c>
      <c r="AP126" s="0" t="n">
        <v>280000</v>
      </c>
      <c r="DB126" s="0" t="str">
        <f aca="false">IF($A126="","",IF($AH126=20,IF(AND(OR($A126=21,$A126=215),$AJ126=10),"①病院一般",IF(AND($A126=31,$AJ126=41),"②病院短期","対象外")),IF($AJ126=30,"③特定消防",IF(AND(OR($A126=21,$A126=215),$AJ126=10),"④一般",IF(AND($A126=31,$AJ126=41),"⑤短期","対象外")))))</f>
        <v>④一般</v>
      </c>
      <c r="DC126" s="0" t="n">
        <f aca="false">IF($A126="","",IF($AB126&amp;""=設定!$C$4,1,0))</f>
        <v>1</v>
      </c>
    </row>
    <row r="127" customFormat="false" ht="15" hidden="false" customHeight="false" outlineLevel="0" collapsed="false">
      <c r="A127" s="0" t="n">
        <v>21</v>
      </c>
      <c r="AA127" s="0" t="n">
        <v>21</v>
      </c>
      <c r="AB127" s="0" t="s">
        <v>96</v>
      </c>
      <c r="AD127" s="0" t="n">
        <v>0</v>
      </c>
      <c r="AE127" s="0" t="s">
        <v>295</v>
      </c>
      <c r="AH127" s="0" t="n">
        <v>1</v>
      </c>
      <c r="AJ127" s="0" t="n">
        <v>10</v>
      </c>
      <c r="AP127" s="0" t="n">
        <v>280000</v>
      </c>
      <c r="DB127" s="0" t="str">
        <f aca="false">IF($A127="","",IF($AH127=20,IF(AND(OR($A127=21,$A127=215),$AJ127=10),"①病院一般",IF(AND($A127=31,$AJ127=41),"②病院短期","対象外")),IF($AJ127=30,"③特定消防",IF(AND(OR($A127=21,$A127=215),$AJ127=10),"④一般",IF(AND($A127=31,$AJ127=41),"⑤短期","対象外")))))</f>
        <v>④一般</v>
      </c>
      <c r="DC127" s="0" t="n">
        <f aca="false">IF($A127="","",IF($AB127&amp;""=設定!$C$4,1,0))</f>
        <v>1</v>
      </c>
    </row>
    <row r="128" customFormat="false" ht="15" hidden="false" customHeight="false" outlineLevel="0" collapsed="false">
      <c r="A128" s="0" t="n">
        <v>21</v>
      </c>
      <c r="AA128" s="0" t="n">
        <v>21</v>
      </c>
      <c r="AB128" s="0" t="s">
        <v>96</v>
      </c>
      <c r="AD128" s="0" t="n">
        <v>0</v>
      </c>
      <c r="AE128" s="0" t="s">
        <v>295</v>
      </c>
      <c r="AH128" s="0" t="n">
        <v>1</v>
      </c>
      <c r="AJ128" s="0" t="n">
        <v>10</v>
      </c>
      <c r="AP128" s="0" t="n">
        <v>300000</v>
      </c>
      <c r="DB128" s="0" t="str">
        <f aca="false">IF($A128="","",IF($AH128=20,IF(AND(OR($A128=21,$A128=215),$AJ128=10),"①病院一般",IF(AND($A128=31,$AJ128=41),"②病院短期","対象外")),IF($AJ128=30,"③特定消防",IF(AND(OR($A128=21,$A128=215),$AJ128=10),"④一般",IF(AND($A128=31,$AJ128=41),"⑤短期","対象外")))))</f>
        <v>④一般</v>
      </c>
      <c r="DC128" s="0" t="n">
        <f aca="false">IF($A128="","",IF($AB128&amp;""=設定!$C$4,1,0))</f>
        <v>1</v>
      </c>
    </row>
    <row r="129" customFormat="false" ht="15" hidden="false" customHeight="false" outlineLevel="0" collapsed="false">
      <c r="A129" s="0" t="n">
        <v>21</v>
      </c>
      <c r="AA129" s="0" t="n">
        <v>21</v>
      </c>
      <c r="AB129" s="0" t="s">
        <v>96</v>
      </c>
      <c r="AD129" s="0" t="n">
        <v>0</v>
      </c>
      <c r="AE129" s="0" t="s">
        <v>295</v>
      </c>
      <c r="AH129" s="0" t="n">
        <v>1</v>
      </c>
      <c r="AJ129" s="0" t="n">
        <v>10</v>
      </c>
      <c r="AP129" s="0" t="n">
        <v>340000</v>
      </c>
      <c r="DB129" s="0" t="str">
        <f aca="false">IF($A129="","",IF($AH129=20,IF(AND(OR($A129=21,$A129=215),$AJ129=10),"①病院一般",IF(AND($A129=31,$AJ129=41),"②病院短期","対象外")),IF($AJ129=30,"③特定消防",IF(AND(OR($A129=21,$A129=215),$AJ129=10),"④一般",IF(AND($A129=31,$AJ129=41),"⑤短期","対象外")))))</f>
        <v>④一般</v>
      </c>
      <c r="DC129" s="0" t="n">
        <f aca="false">IF($A129="","",IF($AB129&amp;""=設定!$C$4,1,0))</f>
        <v>1</v>
      </c>
    </row>
    <row r="130" customFormat="false" ht="15" hidden="false" customHeight="false" outlineLevel="0" collapsed="false">
      <c r="A130" s="0" t="n">
        <v>21</v>
      </c>
      <c r="AA130" s="0" t="n">
        <v>21</v>
      </c>
      <c r="AB130" s="0" t="s">
        <v>96</v>
      </c>
      <c r="AD130" s="0" t="n">
        <v>0</v>
      </c>
      <c r="AE130" s="0" t="s">
        <v>295</v>
      </c>
      <c r="AH130" s="0" t="n">
        <v>1</v>
      </c>
      <c r="AJ130" s="0" t="n">
        <v>10</v>
      </c>
      <c r="AP130" s="0" t="n">
        <v>260000</v>
      </c>
      <c r="DB130" s="0" t="str">
        <f aca="false">IF($A130="","",IF($AH130=20,IF(AND(OR($A130=21,$A130=215),$AJ130=10),"①病院一般",IF(AND($A130=31,$AJ130=41),"②病院短期","対象外")),IF($AJ130=30,"③特定消防",IF(AND(OR($A130=21,$A130=215),$AJ130=10),"④一般",IF(AND($A130=31,$AJ130=41),"⑤短期","対象外")))))</f>
        <v>④一般</v>
      </c>
      <c r="DC130" s="0" t="n">
        <f aca="false">IF($A130="","",IF($AB130&amp;""=設定!$C$4,1,0))</f>
        <v>1</v>
      </c>
    </row>
    <row r="131" customFormat="false" ht="15" hidden="false" customHeight="false" outlineLevel="0" collapsed="false">
      <c r="A131" s="0" t="n">
        <v>21</v>
      </c>
      <c r="AA131" s="0" t="n">
        <v>21</v>
      </c>
      <c r="AB131" s="0" t="s">
        <v>96</v>
      </c>
      <c r="AD131" s="0" t="n">
        <v>0</v>
      </c>
      <c r="AE131" s="0" t="s">
        <v>295</v>
      </c>
      <c r="AH131" s="0" t="n">
        <v>1</v>
      </c>
      <c r="AJ131" s="0" t="n">
        <v>10</v>
      </c>
      <c r="AP131" s="0" t="n">
        <v>320000</v>
      </c>
      <c r="DB131" s="0" t="str">
        <f aca="false">IF($A131="","",IF($AH131=20,IF(AND(OR($A131=21,$A131=215),$AJ131=10),"①病院一般",IF(AND($A131=31,$AJ131=41),"②病院短期","対象外")),IF($AJ131=30,"③特定消防",IF(AND(OR($A131=21,$A131=215),$AJ131=10),"④一般",IF(AND($A131=31,$AJ131=41),"⑤短期","対象外")))))</f>
        <v>④一般</v>
      </c>
      <c r="DC131" s="0" t="n">
        <f aca="false">IF($A131="","",IF($AB131&amp;""=設定!$C$4,1,0))</f>
        <v>1</v>
      </c>
    </row>
    <row r="132" customFormat="false" ht="15" hidden="false" customHeight="false" outlineLevel="0" collapsed="false">
      <c r="A132" s="0" t="n">
        <v>21</v>
      </c>
      <c r="AA132" s="0" t="n">
        <v>21</v>
      </c>
      <c r="AB132" s="0" t="s">
        <v>96</v>
      </c>
      <c r="AD132" s="0" t="n">
        <v>0</v>
      </c>
      <c r="AE132" s="0" t="s">
        <v>295</v>
      </c>
      <c r="AH132" s="0" t="n">
        <v>1</v>
      </c>
      <c r="AJ132" s="0" t="n">
        <v>10</v>
      </c>
      <c r="AP132" s="0" t="n">
        <v>280000</v>
      </c>
      <c r="DB132" s="0" t="str">
        <f aca="false">IF($A132="","",IF($AH132=20,IF(AND(OR($A132=21,$A132=215),$AJ132=10),"①病院一般",IF(AND($A132=31,$AJ132=41),"②病院短期","対象外")),IF($AJ132=30,"③特定消防",IF(AND(OR($A132=21,$A132=215),$AJ132=10),"④一般",IF(AND($A132=31,$AJ132=41),"⑤短期","対象外")))))</f>
        <v>④一般</v>
      </c>
      <c r="DC132" s="0" t="n">
        <f aca="false">IF($A132="","",IF($AB132&amp;""=設定!$C$4,1,0))</f>
        <v>1</v>
      </c>
    </row>
    <row r="133" customFormat="false" ht="15" hidden="false" customHeight="false" outlineLevel="0" collapsed="false">
      <c r="A133" s="0" t="n">
        <v>21</v>
      </c>
      <c r="AA133" s="0" t="n">
        <v>21</v>
      </c>
      <c r="AB133" s="0" t="s">
        <v>96</v>
      </c>
      <c r="AD133" s="0" t="n">
        <v>0</v>
      </c>
      <c r="AE133" s="0" t="s">
        <v>295</v>
      </c>
      <c r="AH133" s="0" t="n">
        <v>1</v>
      </c>
      <c r="AJ133" s="0" t="n">
        <v>10</v>
      </c>
      <c r="AP133" s="0" t="n">
        <v>280000</v>
      </c>
      <c r="DB133" s="0" t="str">
        <f aca="false">IF($A133="","",IF($AH133=20,IF(AND(OR($A133=21,$A133=215),$AJ133=10),"①病院一般",IF(AND($A133=31,$AJ133=41),"②病院短期","対象外")),IF($AJ133=30,"③特定消防",IF(AND(OR($A133=21,$A133=215),$AJ133=10),"④一般",IF(AND($A133=31,$AJ133=41),"⑤短期","対象外")))))</f>
        <v>④一般</v>
      </c>
      <c r="DC133" s="0" t="n">
        <f aca="false">IF($A133="","",IF($AB133&amp;""=設定!$C$4,1,0))</f>
        <v>1</v>
      </c>
    </row>
    <row r="134" customFormat="false" ht="15" hidden="false" customHeight="false" outlineLevel="0" collapsed="false">
      <c r="A134" s="0" t="n">
        <v>21</v>
      </c>
      <c r="AA134" s="0" t="n">
        <v>21</v>
      </c>
      <c r="AB134" s="0" t="s">
        <v>96</v>
      </c>
      <c r="AD134" s="0" t="n">
        <v>0</v>
      </c>
      <c r="AE134" s="0" t="s">
        <v>295</v>
      </c>
      <c r="AH134" s="0" t="n">
        <v>1</v>
      </c>
      <c r="AJ134" s="0" t="n">
        <v>10</v>
      </c>
      <c r="AP134" s="0" t="n">
        <v>260000</v>
      </c>
      <c r="DB134" s="0" t="str">
        <f aca="false">IF($A134="","",IF($AH134=20,IF(AND(OR($A134=21,$A134=215),$AJ134=10),"①病院一般",IF(AND($A134=31,$AJ134=41),"②病院短期","対象外")),IF($AJ134=30,"③特定消防",IF(AND(OR($A134=21,$A134=215),$AJ134=10),"④一般",IF(AND($A134=31,$AJ134=41),"⑤短期","対象外")))))</f>
        <v>④一般</v>
      </c>
      <c r="DC134" s="0" t="n">
        <f aca="false">IF($A134="","",IF($AB134&amp;""=設定!$C$4,1,0))</f>
        <v>1</v>
      </c>
    </row>
    <row r="135" customFormat="false" ht="15" hidden="false" customHeight="false" outlineLevel="0" collapsed="false">
      <c r="A135" s="0" t="n">
        <v>21</v>
      </c>
      <c r="AA135" s="0" t="n">
        <v>21</v>
      </c>
      <c r="AB135" s="0" t="s">
        <v>96</v>
      </c>
      <c r="AD135" s="0" t="n">
        <v>0</v>
      </c>
      <c r="AE135" s="0" t="s">
        <v>295</v>
      </c>
      <c r="AH135" s="0" t="n">
        <v>1</v>
      </c>
      <c r="AJ135" s="0" t="n">
        <v>10</v>
      </c>
      <c r="AP135" s="0" t="n">
        <v>260000</v>
      </c>
      <c r="DB135" s="0" t="str">
        <f aca="false">IF($A135="","",IF($AH135=20,IF(AND(OR($A135=21,$A135=215),$AJ135=10),"①病院一般",IF(AND($A135=31,$AJ135=41),"②病院短期","対象外")),IF($AJ135=30,"③特定消防",IF(AND(OR($A135=21,$A135=215),$AJ135=10),"④一般",IF(AND($A135=31,$AJ135=41),"⑤短期","対象外")))))</f>
        <v>④一般</v>
      </c>
      <c r="DC135" s="0" t="n">
        <f aca="false">IF($A135="","",IF($AB135&amp;""=設定!$C$4,1,0))</f>
        <v>1</v>
      </c>
    </row>
    <row r="136" customFormat="false" ht="15" hidden="false" customHeight="false" outlineLevel="0" collapsed="false">
      <c r="A136" s="0" t="n">
        <v>21</v>
      </c>
      <c r="AA136" s="0" t="n">
        <v>21</v>
      </c>
      <c r="AB136" s="0" t="s">
        <v>96</v>
      </c>
      <c r="AD136" s="0" t="n">
        <v>0</v>
      </c>
      <c r="AE136" s="0" t="s">
        <v>295</v>
      </c>
      <c r="AH136" s="0" t="n">
        <v>1</v>
      </c>
      <c r="AJ136" s="0" t="n">
        <v>10</v>
      </c>
      <c r="AP136" s="0" t="n">
        <v>300000</v>
      </c>
      <c r="DB136" s="0" t="str">
        <f aca="false">IF($A136="","",IF($AH136=20,IF(AND(OR($A136=21,$A136=215),$AJ136=10),"①病院一般",IF(AND($A136=31,$AJ136=41),"②病院短期","対象外")),IF($AJ136=30,"③特定消防",IF(AND(OR($A136=21,$A136=215),$AJ136=10),"④一般",IF(AND($A136=31,$AJ136=41),"⑤短期","対象外")))))</f>
        <v>④一般</v>
      </c>
      <c r="DC136" s="0" t="n">
        <f aca="false">IF($A136="","",IF($AB136&amp;""=設定!$C$4,1,0))</f>
        <v>1</v>
      </c>
    </row>
    <row r="137" customFormat="false" ht="15" hidden="false" customHeight="false" outlineLevel="0" collapsed="false">
      <c r="A137" s="0" t="n">
        <v>21</v>
      </c>
      <c r="AA137" s="0" t="n">
        <v>21</v>
      </c>
      <c r="AB137" s="0" t="s">
        <v>96</v>
      </c>
      <c r="AD137" s="0" t="n">
        <v>0</v>
      </c>
      <c r="AE137" s="0" t="s">
        <v>295</v>
      </c>
      <c r="AH137" s="0" t="n">
        <v>1</v>
      </c>
      <c r="AJ137" s="0" t="n">
        <v>10</v>
      </c>
      <c r="AP137" s="0" t="n">
        <v>240000</v>
      </c>
      <c r="DB137" s="0" t="str">
        <f aca="false">IF($A137="","",IF($AH137=20,IF(AND(OR($A137=21,$A137=215),$AJ137=10),"①病院一般",IF(AND($A137=31,$AJ137=41),"②病院短期","対象外")),IF($AJ137=30,"③特定消防",IF(AND(OR($A137=21,$A137=215),$AJ137=10),"④一般",IF(AND($A137=31,$AJ137=41),"⑤短期","対象外")))))</f>
        <v>④一般</v>
      </c>
      <c r="DC137" s="0" t="n">
        <f aca="false">IF($A137="","",IF($AB137&amp;""=設定!$C$4,1,0))</f>
        <v>1</v>
      </c>
    </row>
    <row r="138" customFormat="false" ht="15" hidden="false" customHeight="false" outlineLevel="0" collapsed="false">
      <c r="A138" s="0" t="n">
        <v>21</v>
      </c>
      <c r="AA138" s="0" t="n">
        <v>21</v>
      </c>
      <c r="AB138" s="0" t="s">
        <v>96</v>
      </c>
      <c r="AD138" s="0" t="n">
        <v>0</v>
      </c>
      <c r="AE138" s="0" t="s">
        <v>295</v>
      </c>
      <c r="AH138" s="0" t="n">
        <v>1</v>
      </c>
      <c r="AJ138" s="0" t="n">
        <v>10</v>
      </c>
      <c r="AP138" s="0" t="n">
        <v>280000</v>
      </c>
      <c r="DB138" s="0" t="str">
        <f aca="false">IF($A138="","",IF($AH138=20,IF(AND(OR($A138=21,$A138=215),$AJ138=10),"①病院一般",IF(AND($A138=31,$AJ138=41),"②病院短期","対象外")),IF($AJ138=30,"③特定消防",IF(AND(OR($A138=21,$A138=215),$AJ138=10),"④一般",IF(AND($A138=31,$AJ138=41),"⑤短期","対象外")))))</f>
        <v>④一般</v>
      </c>
      <c r="DC138" s="0" t="n">
        <f aca="false">IF($A138="","",IF($AB138&amp;""=設定!$C$4,1,0))</f>
        <v>1</v>
      </c>
    </row>
    <row r="139" customFormat="false" ht="15" hidden="false" customHeight="false" outlineLevel="0" collapsed="false">
      <c r="A139" s="0" t="n">
        <v>21</v>
      </c>
      <c r="AA139" s="0" t="n">
        <v>21</v>
      </c>
      <c r="AB139" s="0" t="s">
        <v>96</v>
      </c>
      <c r="AD139" s="0" t="n">
        <v>0</v>
      </c>
      <c r="AE139" s="0" t="s">
        <v>295</v>
      </c>
      <c r="AH139" s="0" t="n">
        <v>1</v>
      </c>
      <c r="AJ139" s="0" t="n">
        <v>10</v>
      </c>
      <c r="AP139" s="0" t="n">
        <v>300000</v>
      </c>
      <c r="DB139" s="0" t="str">
        <f aca="false">IF($A139="","",IF($AH139=20,IF(AND(OR($A139=21,$A139=215),$AJ139=10),"①病院一般",IF(AND($A139=31,$AJ139=41),"②病院短期","対象外")),IF($AJ139=30,"③特定消防",IF(AND(OR($A139=21,$A139=215),$AJ139=10),"④一般",IF(AND($A139=31,$AJ139=41),"⑤短期","対象外")))))</f>
        <v>④一般</v>
      </c>
      <c r="DC139" s="0" t="n">
        <f aca="false">IF($A139="","",IF($AB139&amp;""=設定!$C$4,1,0))</f>
        <v>1</v>
      </c>
    </row>
    <row r="140" customFormat="false" ht="15" hidden="false" customHeight="false" outlineLevel="0" collapsed="false">
      <c r="A140" s="0" t="n">
        <v>21</v>
      </c>
      <c r="AA140" s="0" t="n">
        <v>21</v>
      </c>
      <c r="AB140" s="0" t="s">
        <v>96</v>
      </c>
      <c r="AD140" s="0" t="n">
        <v>0</v>
      </c>
      <c r="AE140" s="0" t="s">
        <v>295</v>
      </c>
      <c r="AH140" s="0" t="n">
        <v>1</v>
      </c>
      <c r="AJ140" s="0" t="n">
        <v>10</v>
      </c>
      <c r="AP140" s="0" t="n">
        <v>280000</v>
      </c>
      <c r="DB140" s="0" t="str">
        <f aca="false">IF($A140="","",IF($AH140=20,IF(AND(OR($A140=21,$A140=215),$AJ140=10),"①病院一般",IF(AND($A140=31,$AJ140=41),"②病院短期","対象外")),IF($AJ140=30,"③特定消防",IF(AND(OR($A140=21,$A140=215),$AJ140=10),"④一般",IF(AND($A140=31,$AJ140=41),"⑤短期","対象外")))))</f>
        <v>④一般</v>
      </c>
      <c r="DC140" s="0" t="n">
        <f aca="false">IF($A140="","",IF($AB140&amp;""=設定!$C$4,1,0))</f>
        <v>1</v>
      </c>
    </row>
    <row r="141" customFormat="false" ht="15" hidden="false" customHeight="false" outlineLevel="0" collapsed="false">
      <c r="A141" s="0" t="n">
        <v>21</v>
      </c>
      <c r="AA141" s="0" t="n">
        <v>21</v>
      </c>
      <c r="AB141" s="0" t="s">
        <v>96</v>
      </c>
      <c r="AD141" s="0" t="n">
        <v>0</v>
      </c>
      <c r="AE141" s="0" t="s">
        <v>295</v>
      </c>
      <c r="AH141" s="0" t="n">
        <v>1</v>
      </c>
      <c r="AJ141" s="0" t="n">
        <v>10</v>
      </c>
      <c r="AP141" s="0" t="n">
        <v>360000</v>
      </c>
      <c r="DB141" s="0" t="str">
        <f aca="false">IF($A141="","",IF($AH141=20,IF(AND(OR($A141=21,$A141=215),$AJ141=10),"①病院一般",IF(AND($A141=31,$AJ141=41),"②病院短期","対象外")),IF($AJ141=30,"③特定消防",IF(AND(OR($A141=21,$A141=215),$AJ141=10),"④一般",IF(AND($A141=31,$AJ141=41),"⑤短期","対象外")))))</f>
        <v>④一般</v>
      </c>
      <c r="DC141" s="0" t="n">
        <f aca="false">IF($A141="","",IF($AB141&amp;""=設定!$C$4,1,0))</f>
        <v>1</v>
      </c>
    </row>
    <row r="142" customFormat="false" ht="15" hidden="false" customHeight="false" outlineLevel="0" collapsed="false">
      <c r="A142" s="0" t="n">
        <v>21</v>
      </c>
      <c r="AA142" s="0" t="n">
        <v>21</v>
      </c>
      <c r="AB142" s="0" t="s">
        <v>96</v>
      </c>
      <c r="AD142" s="0" t="n">
        <v>0</v>
      </c>
      <c r="AE142" s="0" t="s">
        <v>295</v>
      </c>
      <c r="AH142" s="0" t="n">
        <v>1</v>
      </c>
      <c r="AJ142" s="0" t="n">
        <v>10</v>
      </c>
      <c r="AP142" s="0" t="n">
        <v>300000</v>
      </c>
      <c r="DB142" s="0" t="str">
        <f aca="false">IF($A142="","",IF($AH142=20,IF(AND(OR($A142=21,$A142=215),$AJ142=10),"①病院一般",IF(AND($A142=31,$AJ142=41),"②病院短期","対象外")),IF($AJ142=30,"③特定消防",IF(AND(OR($A142=21,$A142=215),$AJ142=10),"④一般",IF(AND($A142=31,$AJ142=41),"⑤短期","対象外")))))</f>
        <v>④一般</v>
      </c>
      <c r="DC142" s="0" t="n">
        <f aca="false">IF($A142="","",IF($AB142&amp;""=設定!$C$4,1,0))</f>
        <v>1</v>
      </c>
    </row>
    <row r="143" customFormat="false" ht="15" hidden="false" customHeight="false" outlineLevel="0" collapsed="false">
      <c r="A143" s="0" t="n">
        <v>21</v>
      </c>
      <c r="AA143" s="0" t="n">
        <v>21</v>
      </c>
      <c r="AB143" s="0" t="s">
        <v>96</v>
      </c>
      <c r="AD143" s="0" t="n">
        <v>0</v>
      </c>
      <c r="AE143" s="0" t="s">
        <v>295</v>
      </c>
      <c r="AH143" s="0" t="n">
        <v>1</v>
      </c>
      <c r="AJ143" s="0" t="n">
        <v>10</v>
      </c>
      <c r="AP143" s="0" t="n">
        <v>260000</v>
      </c>
      <c r="DB143" s="0" t="str">
        <f aca="false">IF($A143="","",IF($AH143=20,IF(AND(OR($A143=21,$A143=215),$AJ143=10),"①病院一般",IF(AND($A143=31,$AJ143=41),"②病院短期","対象外")),IF($AJ143=30,"③特定消防",IF(AND(OR($A143=21,$A143=215),$AJ143=10),"④一般",IF(AND($A143=31,$AJ143=41),"⑤短期","対象外")))))</f>
        <v>④一般</v>
      </c>
      <c r="DC143" s="0" t="n">
        <f aca="false">IF($A143="","",IF($AB143&amp;""=設定!$C$4,1,0))</f>
        <v>1</v>
      </c>
    </row>
    <row r="144" customFormat="false" ht="15" hidden="false" customHeight="false" outlineLevel="0" collapsed="false">
      <c r="A144" s="0" t="n">
        <v>21</v>
      </c>
      <c r="AA144" s="0" t="n">
        <v>21</v>
      </c>
      <c r="AB144" s="0" t="s">
        <v>96</v>
      </c>
      <c r="AD144" s="0" t="n">
        <v>0</v>
      </c>
      <c r="AE144" s="0" t="s">
        <v>295</v>
      </c>
      <c r="AH144" s="0" t="n">
        <v>1</v>
      </c>
      <c r="AJ144" s="0" t="n">
        <v>10</v>
      </c>
      <c r="AP144" s="0" t="n">
        <v>240000</v>
      </c>
      <c r="DB144" s="0" t="str">
        <f aca="false">IF($A144="","",IF($AH144=20,IF(AND(OR($A144=21,$A144=215),$AJ144=10),"①病院一般",IF(AND($A144=31,$AJ144=41),"②病院短期","対象外")),IF($AJ144=30,"③特定消防",IF(AND(OR($A144=21,$A144=215),$AJ144=10),"④一般",IF(AND($A144=31,$AJ144=41),"⑤短期","対象外")))))</f>
        <v>④一般</v>
      </c>
      <c r="DC144" s="0" t="n">
        <f aca="false">IF($A144="","",IF($AB144&amp;""=設定!$C$4,1,0))</f>
        <v>1</v>
      </c>
    </row>
    <row r="145" customFormat="false" ht="15" hidden="false" customHeight="false" outlineLevel="0" collapsed="false">
      <c r="A145" s="0" t="n">
        <v>21</v>
      </c>
      <c r="AA145" s="0" t="n">
        <v>21</v>
      </c>
      <c r="AB145" s="0" t="s">
        <v>96</v>
      </c>
      <c r="AD145" s="0" t="n">
        <v>0</v>
      </c>
      <c r="AE145" s="0" t="s">
        <v>295</v>
      </c>
      <c r="AH145" s="0" t="n">
        <v>1</v>
      </c>
      <c r="AJ145" s="0" t="n">
        <v>10</v>
      </c>
      <c r="AP145" s="0" t="n">
        <v>260000</v>
      </c>
      <c r="DB145" s="0" t="str">
        <f aca="false">IF($A145="","",IF($AH145=20,IF(AND(OR($A145=21,$A145=215),$AJ145=10),"①病院一般",IF(AND($A145=31,$AJ145=41),"②病院短期","対象外")),IF($AJ145=30,"③特定消防",IF(AND(OR($A145=21,$A145=215),$AJ145=10),"④一般",IF(AND($A145=31,$AJ145=41),"⑤短期","対象外")))))</f>
        <v>④一般</v>
      </c>
      <c r="DC145" s="0" t="n">
        <f aca="false">IF($A145="","",IF($AB145&amp;""=設定!$C$4,1,0))</f>
        <v>1</v>
      </c>
    </row>
    <row r="146" customFormat="false" ht="15" hidden="false" customHeight="false" outlineLevel="0" collapsed="false">
      <c r="A146" s="0" t="n">
        <v>21</v>
      </c>
      <c r="AA146" s="0" t="n">
        <v>21</v>
      </c>
      <c r="AB146" s="0" t="s">
        <v>96</v>
      </c>
      <c r="AD146" s="0" t="n">
        <v>0</v>
      </c>
      <c r="AE146" s="0" t="s">
        <v>295</v>
      </c>
      <c r="AH146" s="0" t="n">
        <v>1</v>
      </c>
      <c r="AJ146" s="0" t="n">
        <v>10</v>
      </c>
      <c r="AP146" s="0" t="n">
        <v>280000</v>
      </c>
      <c r="DB146" s="0" t="str">
        <f aca="false">IF($A146="","",IF($AH146=20,IF(AND(OR($A146=21,$A146=215),$AJ146=10),"①病院一般",IF(AND($A146=31,$AJ146=41),"②病院短期","対象外")),IF($AJ146=30,"③特定消防",IF(AND(OR($A146=21,$A146=215),$AJ146=10),"④一般",IF(AND($A146=31,$AJ146=41),"⑤短期","対象外")))))</f>
        <v>④一般</v>
      </c>
      <c r="DC146" s="0" t="n">
        <f aca="false">IF($A146="","",IF($AB146&amp;""=設定!$C$4,1,0))</f>
        <v>1</v>
      </c>
    </row>
    <row r="147" customFormat="false" ht="15" hidden="false" customHeight="false" outlineLevel="0" collapsed="false">
      <c r="A147" s="0" t="n">
        <v>21</v>
      </c>
      <c r="AA147" s="0" t="n">
        <v>21</v>
      </c>
      <c r="AB147" s="0" t="s">
        <v>96</v>
      </c>
      <c r="AD147" s="0" t="n">
        <v>0</v>
      </c>
      <c r="AE147" s="0" t="s">
        <v>295</v>
      </c>
      <c r="AH147" s="0" t="n">
        <v>1</v>
      </c>
      <c r="AJ147" s="0" t="n">
        <v>10</v>
      </c>
      <c r="AP147" s="0" t="n">
        <v>280000</v>
      </c>
      <c r="DB147" s="0" t="str">
        <f aca="false">IF($A147="","",IF($AH147=20,IF(AND(OR($A147=21,$A147=215),$AJ147=10),"①病院一般",IF(AND($A147=31,$AJ147=41),"②病院短期","対象外")),IF($AJ147=30,"③特定消防",IF(AND(OR($A147=21,$A147=215),$AJ147=10),"④一般",IF(AND($A147=31,$AJ147=41),"⑤短期","対象外")))))</f>
        <v>④一般</v>
      </c>
      <c r="DC147" s="0" t="n">
        <f aca="false">IF($A147="","",IF($AB147&amp;""=設定!$C$4,1,0))</f>
        <v>1</v>
      </c>
    </row>
    <row r="148" customFormat="false" ht="15" hidden="false" customHeight="false" outlineLevel="0" collapsed="false">
      <c r="A148" s="0" t="n">
        <v>21</v>
      </c>
      <c r="AA148" s="0" t="n">
        <v>21</v>
      </c>
      <c r="AB148" s="0" t="s">
        <v>96</v>
      </c>
      <c r="AD148" s="0" t="n">
        <v>0</v>
      </c>
      <c r="AE148" s="0" t="s">
        <v>295</v>
      </c>
      <c r="AH148" s="0" t="n">
        <v>1</v>
      </c>
      <c r="AJ148" s="0" t="n">
        <v>10</v>
      </c>
      <c r="AP148" s="0" t="n">
        <v>240000</v>
      </c>
      <c r="DB148" s="0" t="str">
        <f aca="false">IF($A148="","",IF($AH148=20,IF(AND(OR($A148=21,$A148=215),$AJ148=10),"①病院一般",IF(AND($A148=31,$AJ148=41),"②病院短期","対象外")),IF($AJ148=30,"③特定消防",IF(AND(OR($A148=21,$A148=215),$AJ148=10),"④一般",IF(AND($A148=31,$AJ148=41),"⑤短期","対象外")))))</f>
        <v>④一般</v>
      </c>
      <c r="DC148" s="0" t="n">
        <f aca="false">IF($A148="","",IF($AB148&amp;""=設定!$C$4,1,0))</f>
        <v>1</v>
      </c>
    </row>
    <row r="149" customFormat="false" ht="15" hidden="false" customHeight="false" outlineLevel="0" collapsed="false">
      <c r="A149" s="0" t="n">
        <v>21</v>
      </c>
      <c r="AA149" s="0" t="n">
        <v>21</v>
      </c>
      <c r="AB149" s="0" t="s">
        <v>96</v>
      </c>
      <c r="AD149" s="0" t="n">
        <v>0</v>
      </c>
      <c r="AE149" s="0" t="s">
        <v>295</v>
      </c>
      <c r="AH149" s="0" t="n">
        <v>1</v>
      </c>
      <c r="AJ149" s="0" t="n">
        <v>10</v>
      </c>
      <c r="AP149" s="0" t="n">
        <v>280000</v>
      </c>
      <c r="DB149" s="0" t="str">
        <f aca="false">IF($A149="","",IF($AH149=20,IF(AND(OR($A149=21,$A149=215),$AJ149=10),"①病院一般",IF(AND($A149=31,$AJ149=41),"②病院短期","対象外")),IF($AJ149=30,"③特定消防",IF(AND(OR($A149=21,$A149=215),$AJ149=10),"④一般",IF(AND($A149=31,$AJ149=41),"⑤短期","対象外")))))</f>
        <v>④一般</v>
      </c>
      <c r="DC149" s="0" t="n">
        <f aca="false">IF($A149="","",IF($AB149&amp;""=設定!$C$4,1,0))</f>
        <v>1</v>
      </c>
    </row>
    <row r="150" customFormat="false" ht="15" hidden="false" customHeight="false" outlineLevel="0" collapsed="false">
      <c r="A150" s="0" t="n">
        <v>21</v>
      </c>
      <c r="AA150" s="0" t="n">
        <v>21</v>
      </c>
      <c r="AB150" s="0" t="s">
        <v>96</v>
      </c>
      <c r="AD150" s="0" t="n">
        <v>0</v>
      </c>
      <c r="AE150" s="0" t="s">
        <v>295</v>
      </c>
      <c r="AH150" s="0" t="n">
        <v>1</v>
      </c>
      <c r="AJ150" s="0" t="n">
        <v>10</v>
      </c>
      <c r="AP150" s="0" t="n">
        <v>260000</v>
      </c>
      <c r="DB150" s="0" t="str">
        <f aca="false">IF($A150="","",IF($AH150=20,IF(AND(OR($A150=21,$A150=215),$AJ150=10),"①病院一般",IF(AND($A150=31,$AJ150=41),"②病院短期","対象外")),IF($AJ150=30,"③特定消防",IF(AND(OR($A150=21,$A150=215),$AJ150=10),"④一般",IF(AND($A150=31,$AJ150=41),"⑤短期","対象外")))))</f>
        <v>④一般</v>
      </c>
      <c r="DC150" s="0" t="n">
        <f aca="false">IF($A150="","",IF($AB150&amp;""=設定!$C$4,1,0))</f>
        <v>1</v>
      </c>
    </row>
    <row r="151" customFormat="false" ht="15" hidden="false" customHeight="false" outlineLevel="0" collapsed="false">
      <c r="A151" s="0" t="n">
        <v>21</v>
      </c>
      <c r="AA151" s="0" t="n">
        <v>21</v>
      </c>
      <c r="AB151" s="0" t="s">
        <v>96</v>
      </c>
      <c r="AD151" s="0" t="n">
        <v>0</v>
      </c>
      <c r="AE151" s="0" t="s">
        <v>295</v>
      </c>
      <c r="AH151" s="0" t="n">
        <v>1</v>
      </c>
      <c r="AJ151" s="0" t="n">
        <v>10</v>
      </c>
      <c r="AP151" s="0" t="n">
        <v>340000</v>
      </c>
      <c r="DB151" s="0" t="str">
        <f aca="false">IF($A151="","",IF($AH151=20,IF(AND(OR($A151=21,$A151=215),$AJ151=10),"①病院一般",IF(AND($A151=31,$AJ151=41),"②病院短期","対象外")),IF($AJ151=30,"③特定消防",IF(AND(OR($A151=21,$A151=215),$AJ151=10),"④一般",IF(AND($A151=31,$AJ151=41),"⑤短期","対象外")))))</f>
        <v>④一般</v>
      </c>
      <c r="DC151" s="0" t="n">
        <f aca="false">IF($A151="","",IF($AB151&amp;""=設定!$C$4,1,0))</f>
        <v>1</v>
      </c>
    </row>
    <row r="152" customFormat="false" ht="15" hidden="false" customHeight="false" outlineLevel="0" collapsed="false">
      <c r="A152" s="0" t="n">
        <v>21</v>
      </c>
      <c r="AA152" s="0" t="n">
        <v>21</v>
      </c>
      <c r="AB152" s="0" t="s">
        <v>96</v>
      </c>
      <c r="AD152" s="0" t="n">
        <v>0</v>
      </c>
      <c r="AE152" s="0" t="s">
        <v>295</v>
      </c>
      <c r="AH152" s="0" t="n">
        <v>1</v>
      </c>
      <c r="AJ152" s="0" t="n">
        <v>10</v>
      </c>
      <c r="AP152" s="0" t="n">
        <v>300000</v>
      </c>
      <c r="DB152" s="0" t="str">
        <f aca="false">IF($A152="","",IF($AH152=20,IF(AND(OR($A152=21,$A152=215),$AJ152=10),"①病院一般",IF(AND($A152=31,$AJ152=41),"②病院短期","対象外")),IF($AJ152=30,"③特定消防",IF(AND(OR($A152=21,$A152=215),$AJ152=10),"④一般",IF(AND($A152=31,$AJ152=41),"⑤短期","対象外")))))</f>
        <v>④一般</v>
      </c>
      <c r="DC152" s="0" t="n">
        <f aca="false">IF($A152="","",IF($AB152&amp;""=設定!$C$4,1,0))</f>
        <v>1</v>
      </c>
    </row>
    <row r="153" customFormat="false" ht="15" hidden="false" customHeight="false" outlineLevel="0" collapsed="false">
      <c r="A153" s="0" t="n">
        <v>21</v>
      </c>
      <c r="AA153" s="0" t="n">
        <v>21</v>
      </c>
      <c r="AB153" s="0" t="s">
        <v>96</v>
      </c>
      <c r="AD153" s="0" t="n">
        <v>0</v>
      </c>
      <c r="AE153" s="0" t="s">
        <v>295</v>
      </c>
      <c r="AH153" s="0" t="n">
        <v>1</v>
      </c>
      <c r="AJ153" s="0" t="n">
        <v>10</v>
      </c>
      <c r="AP153" s="0" t="n">
        <v>320000</v>
      </c>
      <c r="DB153" s="0" t="str">
        <f aca="false">IF($A153="","",IF($AH153=20,IF(AND(OR($A153=21,$A153=215),$AJ153=10),"①病院一般",IF(AND($A153=31,$AJ153=41),"②病院短期","対象外")),IF($AJ153=30,"③特定消防",IF(AND(OR($A153=21,$A153=215),$AJ153=10),"④一般",IF(AND($A153=31,$AJ153=41),"⑤短期","対象外")))))</f>
        <v>④一般</v>
      </c>
      <c r="DC153" s="0" t="n">
        <f aca="false">IF($A153="","",IF($AB153&amp;""=設定!$C$4,1,0))</f>
        <v>1</v>
      </c>
    </row>
    <row r="154" customFormat="false" ht="15" hidden="false" customHeight="false" outlineLevel="0" collapsed="false">
      <c r="A154" s="0" t="n">
        <v>21</v>
      </c>
      <c r="AA154" s="0" t="n">
        <v>21</v>
      </c>
      <c r="AB154" s="0" t="s">
        <v>96</v>
      </c>
      <c r="AD154" s="0" t="n">
        <v>0</v>
      </c>
      <c r="AE154" s="0" t="s">
        <v>295</v>
      </c>
      <c r="AH154" s="0" t="n">
        <v>1</v>
      </c>
      <c r="AJ154" s="0" t="n">
        <v>10</v>
      </c>
      <c r="AP154" s="0" t="n">
        <v>300000</v>
      </c>
      <c r="DB154" s="0" t="str">
        <f aca="false">IF($A154="","",IF($AH154=20,IF(AND(OR($A154=21,$A154=215),$AJ154=10),"①病院一般",IF(AND($A154=31,$AJ154=41),"②病院短期","対象外")),IF($AJ154=30,"③特定消防",IF(AND(OR($A154=21,$A154=215),$AJ154=10),"④一般",IF(AND($A154=31,$AJ154=41),"⑤短期","対象外")))))</f>
        <v>④一般</v>
      </c>
      <c r="DC154" s="0" t="n">
        <f aca="false">IF($A154="","",IF($AB154&amp;""=設定!$C$4,1,0))</f>
        <v>1</v>
      </c>
    </row>
    <row r="155" customFormat="false" ht="15" hidden="false" customHeight="false" outlineLevel="0" collapsed="false">
      <c r="A155" s="0" t="n">
        <v>21</v>
      </c>
      <c r="AA155" s="0" t="n">
        <v>21</v>
      </c>
      <c r="AB155" s="0" t="s">
        <v>96</v>
      </c>
      <c r="AD155" s="0" t="n">
        <v>0</v>
      </c>
      <c r="AE155" s="0" t="s">
        <v>295</v>
      </c>
      <c r="AH155" s="0" t="n">
        <v>1</v>
      </c>
      <c r="AJ155" s="0" t="n">
        <v>10</v>
      </c>
      <c r="AP155" s="0" t="n">
        <v>260000</v>
      </c>
      <c r="DB155" s="0" t="str">
        <f aca="false">IF($A155="","",IF($AH155=20,IF(AND(OR($A155=21,$A155=215),$AJ155=10),"①病院一般",IF(AND($A155=31,$AJ155=41),"②病院短期","対象外")),IF($AJ155=30,"③特定消防",IF(AND(OR($A155=21,$A155=215),$AJ155=10),"④一般",IF(AND($A155=31,$AJ155=41),"⑤短期","対象外")))))</f>
        <v>④一般</v>
      </c>
      <c r="DC155" s="0" t="n">
        <f aca="false">IF($A155="","",IF($AB155&amp;""=設定!$C$4,1,0))</f>
        <v>1</v>
      </c>
    </row>
    <row r="156" customFormat="false" ht="15" hidden="false" customHeight="false" outlineLevel="0" collapsed="false">
      <c r="A156" s="0" t="n">
        <v>21</v>
      </c>
      <c r="AA156" s="0" t="n">
        <v>21</v>
      </c>
      <c r="AB156" s="0" t="s">
        <v>96</v>
      </c>
      <c r="AD156" s="0" t="n">
        <v>0</v>
      </c>
      <c r="AE156" s="0" t="s">
        <v>295</v>
      </c>
      <c r="AH156" s="0" t="n">
        <v>1</v>
      </c>
      <c r="AJ156" s="0" t="n">
        <v>10</v>
      </c>
      <c r="AP156" s="0" t="n">
        <v>300000</v>
      </c>
      <c r="DB156" s="0" t="str">
        <f aca="false">IF($A156="","",IF($AH156=20,IF(AND(OR($A156=21,$A156=215),$AJ156=10),"①病院一般",IF(AND($A156=31,$AJ156=41),"②病院短期","対象外")),IF($AJ156=30,"③特定消防",IF(AND(OR($A156=21,$A156=215),$AJ156=10),"④一般",IF(AND($A156=31,$AJ156=41),"⑤短期","対象外")))))</f>
        <v>④一般</v>
      </c>
      <c r="DC156" s="0" t="n">
        <f aca="false">IF($A156="","",IF($AB156&amp;""=設定!$C$4,1,0))</f>
        <v>1</v>
      </c>
    </row>
    <row r="157" customFormat="false" ht="15" hidden="false" customHeight="false" outlineLevel="0" collapsed="false">
      <c r="A157" s="0" t="n">
        <v>21</v>
      </c>
      <c r="AA157" s="0" t="n">
        <v>21</v>
      </c>
      <c r="AB157" s="0" t="s">
        <v>96</v>
      </c>
      <c r="AD157" s="0" t="n">
        <v>0</v>
      </c>
      <c r="AE157" s="0" t="s">
        <v>295</v>
      </c>
      <c r="AH157" s="0" t="n">
        <v>1</v>
      </c>
      <c r="AJ157" s="0" t="n">
        <v>10</v>
      </c>
      <c r="AP157" s="0" t="n">
        <v>260000</v>
      </c>
      <c r="DB157" s="0" t="str">
        <f aca="false">IF($A157="","",IF($AH157=20,IF(AND(OR($A157=21,$A157=215),$AJ157=10),"①病院一般",IF(AND($A157=31,$AJ157=41),"②病院短期","対象外")),IF($AJ157=30,"③特定消防",IF(AND(OR($A157=21,$A157=215),$AJ157=10),"④一般",IF(AND($A157=31,$AJ157=41),"⑤短期","対象外")))))</f>
        <v>④一般</v>
      </c>
      <c r="DC157" s="0" t="n">
        <f aca="false">IF($A157="","",IF($AB157&amp;""=設定!$C$4,1,0))</f>
        <v>1</v>
      </c>
    </row>
    <row r="158" customFormat="false" ht="15" hidden="false" customHeight="false" outlineLevel="0" collapsed="false">
      <c r="A158" s="0" t="n">
        <v>21</v>
      </c>
      <c r="AA158" s="0" t="n">
        <v>21</v>
      </c>
      <c r="AB158" s="0" t="s">
        <v>96</v>
      </c>
      <c r="AD158" s="0" t="n">
        <v>0</v>
      </c>
      <c r="AE158" s="0" t="s">
        <v>295</v>
      </c>
      <c r="AH158" s="0" t="n">
        <v>1</v>
      </c>
      <c r="AJ158" s="0" t="n">
        <v>10</v>
      </c>
      <c r="AP158" s="0" t="n">
        <v>300000</v>
      </c>
      <c r="DB158" s="0" t="str">
        <f aca="false">IF($A158="","",IF($AH158=20,IF(AND(OR($A158=21,$A158=215),$AJ158=10),"①病院一般",IF(AND($A158=31,$AJ158=41),"②病院短期","対象外")),IF($AJ158=30,"③特定消防",IF(AND(OR($A158=21,$A158=215),$AJ158=10),"④一般",IF(AND($A158=31,$AJ158=41),"⑤短期","対象外")))))</f>
        <v>④一般</v>
      </c>
      <c r="DC158" s="0" t="n">
        <f aca="false">IF($A158="","",IF($AB158&amp;""=設定!$C$4,1,0))</f>
        <v>1</v>
      </c>
    </row>
    <row r="159" customFormat="false" ht="15" hidden="false" customHeight="false" outlineLevel="0" collapsed="false">
      <c r="A159" s="0" t="n">
        <v>21</v>
      </c>
      <c r="AA159" s="0" t="n">
        <v>21</v>
      </c>
      <c r="AB159" s="0" t="s">
        <v>96</v>
      </c>
      <c r="AD159" s="0" t="n">
        <v>0</v>
      </c>
      <c r="AE159" s="0" t="s">
        <v>295</v>
      </c>
      <c r="AH159" s="0" t="n">
        <v>1</v>
      </c>
      <c r="AJ159" s="0" t="n">
        <v>10</v>
      </c>
      <c r="AP159" s="0" t="n">
        <v>300000</v>
      </c>
      <c r="DB159" s="0" t="str">
        <f aca="false">IF($A159="","",IF($AH159=20,IF(AND(OR($A159=21,$A159=215),$AJ159=10),"①病院一般",IF(AND($A159=31,$AJ159=41),"②病院短期","対象外")),IF($AJ159=30,"③特定消防",IF(AND(OR($A159=21,$A159=215),$AJ159=10),"④一般",IF(AND($A159=31,$AJ159=41),"⑤短期","対象外")))))</f>
        <v>④一般</v>
      </c>
      <c r="DC159" s="0" t="n">
        <f aca="false">IF($A159="","",IF($AB159&amp;""=設定!$C$4,1,0))</f>
        <v>1</v>
      </c>
    </row>
    <row r="160" customFormat="false" ht="15" hidden="false" customHeight="false" outlineLevel="0" collapsed="false">
      <c r="A160" s="0" t="n">
        <v>21</v>
      </c>
      <c r="AA160" s="0" t="n">
        <v>21</v>
      </c>
      <c r="AB160" s="0" t="s">
        <v>96</v>
      </c>
      <c r="AD160" s="0" t="n">
        <v>0</v>
      </c>
      <c r="AE160" s="0" t="s">
        <v>295</v>
      </c>
      <c r="AH160" s="0" t="n">
        <v>1</v>
      </c>
      <c r="AJ160" s="0" t="n">
        <v>10</v>
      </c>
      <c r="AP160" s="0" t="n">
        <v>320000</v>
      </c>
      <c r="DB160" s="0" t="str">
        <f aca="false">IF($A160="","",IF($AH160=20,IF(AND(OR($A160=21,$A160=215),$AJ160=10),"①病院一般",IF(AND($A160=31,$AJ160=41),"②病院短期","対象外")),IF($AJ160=30,"③特定消防",IF(AND(OR($A160=21,$A160=215),$AJ160=10),"④一般",IF(AND($A160=31,$AJ160=41),"⑤短期","対象外")))))</f>
        <v>④一般</v>
      </c>
      <c r="DC160" s="0" t="n">
        <f aca="false">IF($A160="","",IF($AB160&amp;""=設定!$C$4,1,0))</f>
        <v>1</v>
      </c>
    </row>
    <row r="161" customFormat="false" ht="15" hidden="false" customHeight="false" outlineLevel="0" collapsed="false">
      <c r="A161" s="0" t="n">
        <v>21</v>
      </c>
      <c r="AA161" s="0" t="n">
        <v>21</v>
      </c>
      <c r="AB161" s="0" t="s">
        <v>96</v>
      </c>
      <c r="AD161" s="0" t="n">
        <v>0</v>
      </c>
      <c r="AE161" s="0" t="s">
        <v>295</v>
      </c>
      <c r="AH161" s="0" t="n">
        <v>1</v>
      </c>
      <c r="AJ161" s="0" t="n">
        <v>10</v>
      </c>
      <c r="AP161" s="0" t="n">
        <v>280000</v>
      </c>
      <c r="DB161" s="0" t="str">
        <f aca="false">IF($A161="","",IF($AH161=20,IF(AND(OR($A161=21,$A161=215),$AJ161=10),"①病院一般",IF(AND($A161=31,$AJ161=41),"②病院短期","対象外")),IF($AJ161=30,"③特定消防",IF(AND(OR($A161=21,$A161=215),$AJ161=10),"④一般",IF(AND($A161=31,$AJ161=41),"⑤短期","対象外")))))</f>
        <v>④一般</v>
      </c>
      <c r="DC161" s="0" t="n">
        <f aca="false">IF($A161="","",IF($AB161&amp;""=設定!$C$4,1,0))</f>
        <v>1</v>
      </c>
    </row>
    <row r="162" customFormat="false" ht="15" hidden="false" customHeight="false" outlineLevel="0" collapsed="false">
      <c r="A162" s="0" t="n">
        <v>21</v>
      </c>
      <c r="AA162" s="0" t="n">
        <v>21</v>
      </c>
      <c r="AB162" s="0" t="s">
        <v>96</v>
      </c>
      <c r="AD162" s="0" t="n">
        <v>0</v>
      </c>
      <c r="AE162" s="0" t="s">
        <v>295</v>
      </c>
      <c r="AH162" s="0" t="n">
        <v>1</v>
      </c>
      <c r="AJ162" s="0" t="n">
        <v>10</v>
      </c>
      <c r="AP162" s="0" t="n">
        <v>320000</v>
      </c>
      <c r="DB162" s="0" t="str">
        <f aca="false">IF($A162="","",IF($AH162=20,IF(AND(OR($A162=21,$A162=215),$AJ162=10),"①病院一般",IF(AND($A162=31,$AJ162=41),"②病院短期","対象外")),IF($AJ162=30,"③特定消防",IF(AND(OR($A162=21,$A162=215),$AJ162=10),"④一般",IF(AND($A162=31,$AJ162=41),"⑤短期","対象外")))))</f>
        <v>④一般</v>
      </c>
      <c r="DC162" s="0" t="n">
        <f aca="false">IF($A162="","",IF($AB162&amp;""=設定!$C$4,1,0))</f>
        <v>1</v>
      </c>
    </row>
    <row r="163" customFormat="false" ht="15" hidden="false" customHeight="false" outlineLevel="0" collapsed="false">
      <c r="A163" s="0" t="n">
        <v>21</v>
      </c>
      <c r="AA163" s="0" t="n">
        <v>21</v>
      </c>
      <c r="AB163" s="0" t="s">
        <v>96</v>
      </c>
      <c r="AD163" s="0" t="n">
        <v>0</v>
      </c>
      <c r="AE163" s="0" t="s">
        <v>295</v>
      </c>
      <c r="AH163" s="0" t="n">
        <v>1</v>
      </c>
      <c r="AJ163" s="0" t="n">
        <v>10</v>
      </c>
      <c r="AP163" s="0" t="n">
        <v>300000</v>
      </c>
      <c r="DB163" s="0" t="str">
        <f aca="false">IF($A163="","",IF($AH163=20,IF(AND(OR($A163=21,$A163=215),$AJ163=10),"①病院一般",IF(AND($A163=31,$AJ163=41),"②病院短期","対象外")),IF($AJ163=30,"③特定消防",IF(AND(OR($A163=21,$A163=215),$AJ163=10),"④一般",IF(AND($A163=31,$AJ163=41),"⑤短期","対象外")))))</f>
        <v>④一般</v>
      </c>
      <c r="DC163" s="0" t="n">
        <f aca="false">IF($A163="","",IF($AB163&amp;""=設定!$C$4,1,0))</f>
        <v>1</v>
      </c>
    </row>
    <row r="164" customFormat="false" ht="15" hidden="false" customHeight="false" outlineLevel="0" collapsed="false">
      <c r="A164" s="0" t="n">
        <v>21</v>
      </c>
      <c r="AA164" s="0" t="n">
        <v>21</v>
      </c>
      <c r="AB164" s="0" t="s">
        <v>96</v>
      </c>
      <c r="AD164" s="0" t="n">
        <v>0</v>
      </c>
      <c r="AE164" s="0" t="s">
        <v>295</v>
      </c>
      <c r="AH164" s="0" t="n">
        <v>1</v>
      </c>
      <c r="AJ164" s="0" t="n">
        <v>10</v>
      </c>
      <c r="AP164" s="0" t="n">
        <v>320000</v>
      </c>
      <c r="DB164" s="0" t="str">
        <f aca="false">IF($A164="","",IF($AH164=20,IF(AND(OR($A164=21,$A164=215),$AJ164=10),"①病院一般",IF(AND($A164=31,$AJ164=41),"②病院短期","対象外")),IF($AJ164=30,"③特定消防",IF(AND(OR($A164=21,$A164=215),$AJ164=10),"④一般",IF(AND($A164=31,$AJ164=41),"⑤短期","対象外")))))</f>
        <v>④一般</v>
      </c>
      <c r="DC164" s="0" t="n">
        <f aca="false">IF($A164="","",IF($AB164&amp;""=設定!$C$4,1,0))</f>
        <v>1</v>
      </c>
    </row>
    <row r="165" customFormat="false" ht="15" hidden="false" customHeight="false" outlineLevel="0" collapsed="false">
      <c r="A165" s="0" t="n">
        <v>21</v>
      </c>
      <c r="AA165" s="0" t="n">
        <v>21</v>
      </c>
      <c r="AB165" s="0" t="s">
        <v>96</v>
      </c>
      <c r="AD165" s="0" t="n">
        <v>0</v>
      </c>
      <c r="AE165" s="0" t="s">
        <v>295</v>
      </c>
      <c r="AH165" s="0" t="n">
        <v>1</v>
      </c>
      <c r="AJ165" s="0" t="n">
        <v>10</v>
      </c>
      <c r="AP165" s="0" t="n">
        <v>280000</v>
      </c>
      <c r="DB165" s="0" t="str">
        <f aca="false">IF($A165="","",IF($AH165=20,IF(AND(OR($A165=21,$A165=215),$AJ165=10),"①病院一般",IF(AND($A165=31,$AJ165=41),"②病院短期","対象外")),IF($AJ165=30,"③特定消防",IF(AND(OR($A165=21,$A165=215),$AJ165=10),"④一般",IF(AND($A165=31,$AJ165=41),"⑤短期","対象外")))))</f>
        <v>④一般</v>
      </c>
      <c r="DC165" s="0" t="n">
        <f aca="false">IF($A165="","",IF($AB165&amp;""=設定!$C$4,1,0))</f>
        <v>1</v>
      </c>
    </row>
    <row r="166" customFormat="false" ht="15" hidden="false" customHeight="false" outlineLevel="0" collapsed="false">
      <c r="A166" s="0" t="n">
        <v>21</v>
      </c>
      <c r="AA166" s="0" t="n">
        <v>21</v>
      </c>
      <c r="AB166" s="0" t="s">
        <v>96</v>
      </c>
      <c r="AD166" s="0" t="n">
        <v>0</v>
      </c>
      <c r="AE166" s="0" t="s">
        <v>295</v>
      </c>
      <c r="AH166" s="0" t="n">
        <v>1</v>
      </c>
      <c r="AJ166" s="0" t="n">
        <v>10</v>
      </c>
      <c r="AP166" s="0" t="n">
        <v>300000</v>
      </c>
      <c r="DB166" s="0" t="str">
        <f aca="false">IF($A166="","",IF($AH166=20,IF(AND(OR($A166=21,$A166=215),$AJ166=10),"①病院一般",IF(AND($A166=31,$AJ166=41),"②病院短期","対象外")),IF($AJ166=30,"③特定消防",IF(AND(OR($A166=21,$A166=215),$AJ166=10),"④一般",IF(AND($A166=31,$AJ166=41),"⑤短期","対象外")))))</f>
        <v>④一般</v>
      </c>
      <c r="DC166" s="0" t="n">
        <f aca="false">IF($A166="","",IF($AB166&amp;""=設定!$C$4,1,0))</f>
        <v>1</v>
      </c>
    </row>
    <row r="167" customFormat="false" ht="15" hidden="false" customHeight="false" outlineLevel="0" collapsed="false">
      <c r="A167" s="0" t="n">
        <v>21</v>
      </c>
      <c r="AA167" s="0" t="n">
        <v>21</v>
      </c>
      <c r="AB167" s="0" t="s">
        <v>96</v>
      </c>
      <c r="AD167" s="0" t="n">
        <v>0</v>
      </c>
      <c r="AE167" s="0" t="s">
        <v>295</v>
      </c>
      <c r="AH167" s="0" t="n">
        <v>1</v>
      </c>
      <c r="AJ167" s="0" t="n">
        <v>10</v>
      </c>
      <c r="AP167" s="0" t="n">
        <v>300000</v>
      </c>
      <c r="DB167" s="0" t="str">
        <f aca="false">IF($A167="","",IF($AH167=20,IF(AND(OR($A167=21,$A167=215),$AJ167=10),"①病院一般",IF(AND($A167=31,$AJ167=41),"②病院短期","対象外")),IF($AJ167=30,"③特定消防",IF(AND(OR($A167=21,$A167=215),$AJ167=10),"④一般",IF(AND($A167=31,$AJ167=41),"⑤短期","対象外")))))</f>
        <v>④一般</v>
      </c>
      <c r="DC167" s="0" t="n">
        <f aca="false">IF($A167="","",IF($AB167&amp;""=設定!$C$4,1,0))</f>
        <v>1</v>
      </c>
    </row>
    <row r="168" customFormat="false" ht="15" hidden="false" customHeight="false" outlineLevel="0" collapsed="false">
      <c r="A168" s="0" t="n">
        <v>21</v>
      </c>
      <c r="AA168" s="0" t="n">
        <v>21</v>
      </c>
      <c r="AB168" s="0" t="s">
        <v>96</v>
      </c>
      <c r="AD168" s="0" t="n">
        <v>0</v>
      </c>
      <c r="AE168" s="0" t="s">
        <v>295</v>
      </c>
      <c r="AH168" s="0" t="n">
        <v>1</v>
      </c>
      <c r="AJ168" s="0" t="n">
        <v>10</v>
      </c>
      <c r="AP168" s="0" t="n">
        <v>320000</v>
      </c>
      <c r="DB168" s="0" t="str">
        <f aca="false">IF($A168="","",IF($AH168=20,IF(AND(OR($A168=21,$A168=215),$AJ168=10),"①病院一般",IF(AND($A168=31,$AJ168=41),"②病院短期","対象外")),IF($AJ168=30,"③特定消防",IF(AND(OR($A168=21,$A168=215),$AJ168=10),"④一般",IF(AND($A168=31,$AJ168=41),"⑤短期","対象外")))))</f>
        <v>④一般</v>
      </c>
      <c r="DC168" s="0" t="n">
        <f aca="false">IF($A168="","",IF($AB168&amp;""=設定!$C$4,1,0))</f>
        <v>1</v>
      </c>
    </row>
    <row r="169" customFormat="false" ht="15" hidden="false" customHeight="false" outlineLevel="0" collapsed="false">
      <c r="A169" s="0" t="n">
        <v>21</v>
      </c>
      <c r="AA169" s="0" t="n">
        <v>21</v>
      </c>
      <c r="AB169" s="0" t="s">
        <v>96</v>
      </c>
      <c r="AD169" s="0" t="n">
        <v>0</v>
      </c>
      <c r="AE169" s="0" t="s">
        <v>295</v>
      </c>
      <c r="AH169" s="0" t="n">
        <v>1</v>
      </c>
      <c r="AJ169" s="0" t="n">
        <v>10</v>
      </c>
      <c r="AP169" s="0" t="n">
        <v>260000</v>
      </c>
      <c r="DB169" s="0" t="str">
        <f aca="false">IF($A169="","",IF($AH169=20,IF(AND(OR($A169=21,$A169=215),$AJ169=10),"①病院一般",IF(AND($A169=31,$AJ169=41),"②病院短期","対象外")),IF($AJ169=30,"③特定消防",IF(AND(OR($A169=21,$A169=215),$AJ169=10),"④一般",IF(AND($A169=31,$AJ169=41),"⑤短期","対象外")))))</f>
        <v>④一般</v>
      </c>
      <c r="DC169" s="0" t="n">
        <f aca="false">IF($A169="","",IF($AB169&amp;""=設定!$C$4,1,0))</f>
        <v>1</v>
      </c>
    </row>
    <row r="170" customFormat="false" ht="15" hidden="false" customHeight="false" outlineLevel="0" collapsed="false">
      <c r="A170" s="0" t="n">
        <v>21</v>
      </c>
      <c r="AA170" s="0" t="n">
        <v>21</v>
      </c>
      <c r="AB170" s="0" t="s">
        <v>96</v>
      </c>
      <c r="AD170" s="0" t="n">
        <v>0</v>
      </c>
      <c r="AE170" s="0" t="s">
        <v>295</v>
      </c>
      <c r="AH170" s="0" t="n">
        <v>1</v>
      </c>
      <c r="AJ170" s="0" t="n">
        <v>10</v>
      </c>
      <c r="AP170" s="0" t="n">
        <v>300000</v>
      </c>
      <c r="DB170" s="0" t="str">
        <f aca="false">IF($A170="","",IF($AH170=20,IF(AND(OR($A170=21,$A170=215),$AJ170=10),"①病院一般",IF(AND($A170=31,$AJ170=41),"②病院短期","対象外")),IF($AJ170=30,"③特定消防",IF(AND(OR($A170=21,$A170=215),$AJ170=10),"④一般",IF(AND($A170=31,$AJ170=41),"⑤短期","対象外")))))</f>
        <v>④一般</v>
      </c>
      <c r="DC170" s="0" t="n">
        <f aca="false">IF($A170="","",IF($AB170&amp;""=設定!$C$4,1,0))</f>
        <v>1</v>
      </c>
    </row>
    <row r="171" customFormat="false" ht="15" hidden="false" customHeight="false" outlineLevel="0" collapsed="false">
      <c r="A171" s="0" t="n">
        <v>21</v>
      </c>
      <c r="AA171" s="0" t="n">
        <v>21</v>
      </c>
      <c r="AB171" s="0" t="s">
        <v>96</v>
      </c>
      <c r="AD171" s="0" t="n">
        <v>0</v>
      </c>
      <c r="AE171" s="0" t="s">
        <v>295</v>
      </c>
      <c r="AH171" s="0" t="n">
        <v>1</v>
      </c>
      <c r="AJ171" s="0" t="n">
        <v>10</v>
      </c>
      <c r="AP171" s="0" t="n">
        <v>300000</v>
      </c>
      <c r="DB171" s="0" t="str">
        <f aca="false">IF($A171="","",IF($AH171=20,IF(AND(OR($A171=21,$A171=215),$AJ171=10),"①病院一般",IF(AND($A171=31,$AJ171=41),"②病院短期","対象外")),IF($AJ171=30,"③特定消防",IF(AND(OR($A171=21,$A171=215),$AJ171=10),"④一般",IF(AND($A171=31,$AJ171=41),"⑤短期","対象外")))))</f>
        <v>④一般</v>
      </c>
      <c r="DC171" s="0" t="n">
        <f aca="false">IF($A171="","",IF($AB171&amp;""=設定!$C$4,1,0))</f>
        <v>1</v>
      </c>
    </row>
    <row r="172" customFormat="false" ht="15" hidden="false" customHeight="false" outlineLevel="0" collapsed="false">
      <c r="A172" s="0" t="n">
        <v>21</v>
      </c>
      <c r="AA172" s="0" t="n">
        <v>21</v>
      </c>
      <c r="AB172" s="0" t="s">
        <v>96</v>
      </c>
      <c r="AD172" s="0" t="n">
        <v>0</v>
      </c>
      <c r="AE172" s="0" t="s">
        <v>295</v>
      </c>
      <c r="AH172" s="0" t="n">
        <v>4</v>
      </c>
      <c r="AJ172" s="0" t="n">
        <v>10</v>
      </c>
      <c r="AP172" s="0" t="n">
        <v>260000</v>
      </c>
      <c r="DB172" s="0" t="str">
        <f aca="false">IF($A172="","",IF($AH172=20,IF(AND(OR($A172=21,$A172=215),$AJ172=10),"①病院一般",IF(AND($A172=31,$AJ172=41),"②病院短期","対象外")),IF($AJ172=30,"③特定消防",IF(AND(OR($A172=21,$A172=215),$AJ172=10),"④一般",IF(AND($A172=31,$AJ172=41),"⑤短期","対象外")))))</f>
        <v>④一般</v>
      </c>
      <c r="DC172" s="0" t="n">
        <f aca="false">IF($A172="","",IF($AB172&amp;""=設定!$C$4,1,0))</f>
        <v>1</v>
      </c>
    </row>
    <row r="173" customFormat="false" ht="15" hidden="false" customHeight="false" outlineLevel="0" collapsed="false">
      <c r="A173" s="0" t="n">
        <v>21</v>
      </c>
      <c r="AA173" s="0" t="n">
        <v>21</v>
      </c>
      <c r="AB173" s="0" t="s">
        <v>96</v>
      </c>
      <c r="AD173" s="0" t="n">
        <v>0</v>
      </c>
      <c r="AE173" s="0" t="s">
        <v>295</v>
      </c>
      <c r="AH173" s="0" t="n">
        <v>1</v>
      </c>
      <c r="AJ173" s="0" t="n">
        <v>10</v>
      </c>
      <c r="AP173" s="0" t="n">
        <v>260000</v>
      </c>
      <c r="DB173" s="0" t="str">
        <f aca="false">IF($A173="","",IF($AH173=20,IF(AND(OR($A173=21,$A173=215),$AJ173=10),"①病院一般",IF(AND($A173=31,$AJ173=41),"②病院短期","対象外")),IF($AJ173=30,"③特定消防",IF(AND(OR($A173=21,$A173=215),$AJ173=10),"④一般",IF(AND($A173=31,$AJ173=41),"⑤短期","対象外")))))</f>
        <v>④一般</v>
      </c>
      <c r="DC173" s="0" t="n">
        <f aca="false">IF($A173="","",IF($AB173&amp;""=設定!$C$4,1,0))</f>
        <v>1</v>
      </c>
    </row>
    <row r="174" customFormat="false" ht="15" hidden="false" customHeight="false" outlineLevel="0" collapsed="false">
      <c r="A174" s="0" t="n">
        <v>21</v>
      </c>
      <c r="AA174" s="0" t="n">
        <v>21</v>
      </c>
      <c r="AB174" s="0" t="s">
        <v>96</v>
      </c>
      <c r="AD174" s="0" t="n">
        <v>0</v>
      </c>
      <c r="AE174" s="0" t="s">
        <v>295</v>
      </c>
      <c r="AH174" s="0" t="n">
        <v>1</v>
      </c>
      <c r="AJ174" s="0" t="n">
        <v>10</v>
      </c>
      <c r="AP174" s="0" t="n">
        <v>280000</v>
      </c>
      <c r="DB174" s="0" t="str">
        <f aca="false">IF($A174="","",IF($AH174=20,IF(AND(OR($A174=21,$A174=215),$AJ174=10),"①病院一般",IF(AND($A174=31,$AJ174=41),"②病院短期","対象外")),IF($AJ174=30,"③特定消防",IF(AND(OR($A174=21,$A174=215),$AJ174=10),"④一般",IF(AND($A174=31,$AJ174=41),"⑤短期","対象外")))))</f>
        <v>④一般</v>
      </c>
      <c r="DC174" s="0" t="n">
        <f aca="false">IF($A174="","",IF($AB174&amp;""=設定!$C$4,1,0))</f>
        <v>1</v>
      </c>
    </row>
    <row r="175" customFormat="false" ht="15" hidden="false" customHeight="false" outlineLevel="0" collapsed="false">
      <c r="A175" s="0" t="n">
        <v>21</v>
      </c>
      <c r="AA175" s="0" t="n">
        <v>21</v>
      </c>
      <c r="AB175" s="0" t="s">
        <v>96</v>
      </c>
      <c r="AD175" s="0" t="n">
        <v>0</v>
      </c>
      <c r="AE175" s="0" t="s">
        <v>295</v>
      </c>
      <c r="AH175" s="0" t="n">
        <v>1</v>
      </c>
      <c r="AJ175" s="0" t="n">
        <v>10</v>
      </c>
      <c r="AP175" s="0" t="n">
        <v>280000</v>
      </c>
      <c r="DB175" s="0" t="str">
        <f aca="false">IF($A175="","",IF($AH175=20,IF(AND(OR($A175=21,$A175=215),$AJ175=10),"①病院一般",IF(AND($A175=31,$AJ175=41),"②病院短期","対象外")),IF($AJ175=30,"③特定消防",IF(AND(OR($A175=21,$A175=215),$AJ175=10),"④一般",IF(AND($A175=31,$AJ175=41),"⑤短期","対象外")))))</f>
        <v>④一般</v>
      </c>
      <c r="DC175" s="0" t="n">
        <f aca="false">IF($A175="","",IF($AB175&amp;""=設定!$C$4,1,0))</f>
        <v>1</v>
      </c>
    </row>
    <row r="176" customFormat="false" ht="15" hidden="false" customHeight="false" outlineLevel="0" collapsed="false">
      <c r="A176" s="0" t="n">
        <v>21</v>
      </c>
      <c r="AA176" s="0" t="n">
        <v>21</v>
      </c>
      <c r="AB176" s="0" t="s">
        <v>96</v>
      </c>
      <c r="AD176" s="0" t="n">
        <v>0</v>
      </c>
      <c r="AE176" s="0" t="s">
        <v>295</v>
      </c>
      <c r="AH176" s="0" t="n">
        <v>4</v>
      </c>
      <c r="AJ176" s="0" t="n">
        <v>10</v>
      </c>
      <c r="AP176" s="0" t="n">
        <v>280000</v>
      </c>
      <c r="DB176" s="0" t="str">
        <f aca="false">IF($A176="","",IF($AH176=20,IF(AND(OR($A176=21,$A176=215),$AJ176=10),"①病院一般",IF(AND($A176=31,$AJ176=41),"②病院短期","対象外")),IF($AJ176=30,"③特定消防",IF(AND(OR($A176=21,$A176=215),$AJ176=10),"④一般",IF(AND($A176=31,$AJ176=41),"⑤短期","対象外")))))</f>
        <v>④一般</v>
      </c>
      <c r="DC176" s="0" t="n">
        <f aca="false">IF($A176="","",IF($AB176&amp;""=設定!$C$4,1,0))</f>
        <v>1</v>
      </c>
    </row>
    <row r="177" customFormat="false" ht="15" hidden="false" customHeight="false" outlineLevel="0" collapsed="false">
      <c r="A177" s="0" t="n">
        <v>21</v>
      </c>
      <c r="AA177" s="0" t="n">
        <v>21</v>
      </c>
      <c r="AB177" s="0" t="s">
        <v>96</v>
      </c>
      <c r="AD177" s="0" t="n">
        <v>0</v>
      </c>
      <c r="AE177" s="0" t="s">
        <v>295</v>
      </c>
      <c r="AH177" s="0" t="n">
        <v>4</v>
      </c>
      <c r="AJ177" s="0" t="n">
        <v>10</v>
      </c>
      <c r="AP177" s="0" t="n">
        <v>280000</v>
      </c>
      <c r="DB177" s="0" t="str">
        <f aca="false">IF($A177="","",IF($AH177=20,IF(AND(OR($A177=21,$A177=215),$AJ177=10),"①病院一般",IF(AND($A177=31,$AJ177=41),"②病院短期","対象外")),IF($AJ177=30,"③特定消防",IF(AND(OR($A177=21,$A177=215),$AJ177=10),"④一般",IF(AND($A177=31,$AJ177=41),"⑤短期","対象外")))))</f>
        <v>④一般</v>
      </c>
      <c r="DC177" s="0" t="n">
        <f aca="false">IF($A177="","",IF($AB177&amp;""=設定!$C$4,1,0))</f>
        <v>1</v>
      </c>
    </row>
    <row r="178" customFormat="false" ht="15" hidden="false" customHeight="false" outlineLevel="0" collapsed="false">
      <c r="A178" s="0" t="n">
        <v>21</v>
      </c>
      <c r="AA178" s="0" t="n">
        <v>21</v>
      </c>
      <c r="AB178" s="0" t="s">
        <v>96</v>
      </c>
      <c r="AD178" s="0" t="n">
        <v>0</v>
      </c>
      <c r="AE178" s="0" t="s">
        <v>295</v>
      </c>
      <c r="AH178" s="0" t="n">
        <v>1</v>
      </c>
      <c r="AJ178" s="0" t="n">
        <v>10</v>
      </c>
      <c r="AP178" s="0" t="n">
        <v>260000</v>
      </c>
      <c r="DB178" s="0" t="str">
        <f aca="false">IF($A178="","",IF($AH178=20,IF(AND(OR($A178=21,$A178=215),$AJ178=10),"①病院一般",IF(AND($A178=31,$AJ178=41),"②病院短期","対象外")),IF($AJ178=30,"③特定消防",IF(AND(OR($A178=21,$A178=215),$AJ178=10),"④一般",IF(AND($A178=31,$AJ178=41),"⑤短期","対象外")))))</f>
        <v>④一般</v>
      </c>
      <c r="DC178" s="0" t="n">
        <f aca="false">IF($A178="","",IF($AB178&amp;""=設定!$C$4,1,0))</f>
        <v>1</v>
      </c>
    </row>
    <row r="179" customFormat="false" ht="15" hidden="false" customHeight="false" outlineLevel="0" collapsed="false">
      <c r="A179" s="0" t="n">
        <v>21</v>
      </c>
      <c r="AA179" s="0" t="n">
        <v>21</v>
      </c>
      <c r="AB179" s="0" t="s">
        <v>96</v>
      </c>
      <c r="AD179" s="0" t="n">
        <v>0</v>
      </c>
      <c r="AE179" s="0" t="s">
        <v>295</v>
      </c>
      <c r="AH179" s="0" t="n">
        <v>4</v>
      </c>
      <c r="AJ179" s="0" t="n">
        <v>10</v>
      </c>
      <c r="AP179" s="0" t="n">
        <v>280000</v>
      </c>
      <c r="DB179" s="0" t="str">
        <f aca="false">IF($A179="","",IF($AH179=20,IF(AND(OR($A179=21,$A179=215),$AJ179=10),"①病院一般",IF(AND($A179=31,$AJ179=41),"②病院短期","対象外")),IF($AJ179=30,"③特定消防",IF(AND(OR($A179=21,$A179=215),$AJ179=10),"④一般",IF(AND($A179=31,$AJ179=41),"⑤短期","対象外")))))</f>
        <v>④一般</v>
      </c>
      <c r="DC179" s="0" t="n">
        <f aca="false">IF($A179="","",IF($AB179&amp;""=設定!$C$4,1,0))</f>
        <v>1</v>
      </c>
    </row>
    <row r="180" customFormat="false" ht="15" hidden="false" customHeight="false" outlineLevel="0" collapsed="false">
      <c r="A180" s="0" t="n">
        <v>21</v>
      </c>
      <c r="AA180" s="0" t="n">
        <v>21</v>
      </c>
      <c r="AB180" s="0" t="s">
        <v>96</v>
      </c>
      <c r="AD180" s="0" t="n">
        <v>0</v>
      </c>
      <c r="AE180" s="0" t="s">
        <v>295</v>
      </c>
      <c r="AH180" s="0" t="n">
        <v>3</v>
      </c>
      <c r="AJ180" s="0" t="n">
        <v>10</v>
      </c>
      <c r="AP180" s="0" t="n">
        <v>300000</v>
      </c>
      <c r="DB180" s="0" t="str">
        <f aca="false">IF($A180="","",IF($AH180=20,IF(AND(OR($A180=21,$A180=215),$AJ180=10),"①病院一般",IF(AND($A180=31,$AJ180=41),"②病院短期","対象外")),IF($AJ180=30,"③特定消防",IF(AND(OR($A180=21,$A180=215),$AJ180=10),"④一般",IF(AND($A180=31,$AJ180=41),"⑤短期","対象外")))))</f>
        <v>④一般</v>
      </c>
      <c r="DC180" s="0" t="n">
        <f aca="false">IF($A180="","",IF($AB180&amp;""=設定!$C$4,1,0))</f>
        <v>1</v>
      </c>
    </row>
    <row r="181" customFormat="false" ht="15" hidden="false" customHeight="false" outlineLevel="0" collapsed="false">
      <c r="A181" s="0" t="n">
        <v>21</v>
      </c>
      <c r="AA181" s="0" t="n">
        <v>21</v>
      </c>
      <c r="AB181" s="0" t="s">
        <v>96</v>
      </c>
      <c r="AD181" s="0" t="n">
        <v>0</v>
      </c>
      <c r="AE181" s="0" t="s">
        <v>295</v>
      </c>
      <c r="AH181" s="0" t="n">
        <v>1</v>
      </c>
      <c r="AJ181" s="0" t="n">
        <v>10</v>
      </c>
      <c r="AP181" s="0" t="n">
        <v>240000</v>
      </c>
      <c r="DB181" s="0" t="str">
        <f aca="false">IF($A181="","",IF($AH181=20,IF(AND(OR($A181=21,$A181=215),$AJ181=10),"①病院一般",IF(AND($A181=31,$AJ181=41),"②病院短期","対象外")),IF($AJ181=30,"③特定消防",IF(AND(OR($A181=21,$A181=215),$AJ181=10),"④一般",IF(AND($A181=31,$AJ181=41),"⑤短期","対象外")))))</f>
        <v>④一般</v>
      </c>
      <c r="DC181" s="0" t="n">
        <f aca="false">IF($A181="","",IF($AB181&amp;""=設定!$C$4,1,0))</f>
        <v>1</v>
      </c>
    </row>
    <row r="182" customFormat="false" ht="15" hidden="false" customHeight="false" outlineLevel="0" collapsed="false">
      <c r="A182" s="0" t="n">
        <v>21</v>
      </c>
      <c r="AA182" s="0" t="n">
        <v>21</v>
      </c>
      <c r="AB182" s="0" t="s">
        <v>96</v>
      </c>
      <c r="AD182" s="0" t="n">
        <v>0</v>
      </c>
      <c r="AE182" s="0" t="s">
        <v>295</v>
      </c>
      <c r="AH182" s="0" t="n">
        <v>1</v>
      </c>
      <c r="AJ182" s="0" t="n">
        <v>10</v>
      </c>
      <c r="AP182" s="0" t="n">
        <v>260000</v>
      </c>
      <c r="DB182" s="0" t="str">
        <f aca="false">IF($A182="","",IF($AH182=20,IF(AND(OR($A182=21,$A182=215),$AJ182=10),"①病院一般",IF(AND($A182=31,$AJ182=41),"②病院短期","対象外")),IF($AJ182=30,"③特定消防",IF(AND(OR($A182=21,$A182=215),$AJ182=10),"④一般",IF(AND($A182=31,$AJ182=41),"⑤短期","対象外")))))</f>
        <v>④一般</v>
      </c>
      <c r="DC182" s="0" t="n">
        <f aca="false">IF($A182="","",IF($AB182&amp;""=設定!$C$4,1,0))</f>
        <v>1</v>
      </c>
    </row>
    <row r="183" customFormat="false" ht="15" hidden="false" customHeight="false" outlineLevel="0" collapsed="false">
      <c r="A183" s="0" t="n">
        <v>21</v>
      </c>
      <c r="AA183" s="0" t="n">
        <v>21</v>
      </c>
      <c r="AB183" s="0" t="s">
        <v>96</v>
      </c>
      <c r="AD183" s="0" t="n">
        <v>0</v>
      </c>
      <c r="AE183" s="0" t="s">
        <v>295</v>
      </c>
      <c r="AH183" s="0" t="n">
        <v>1</v>
      </c>
      <c r="AJ183" s="0" t="n">
        <v>10</v>
      </c>
      <c r="AP183" s="0" t="n">
        <v>260000</v>
      </c>
      <c r="DB183" s="0" t="str">
        <f aca="false">IF($A183="","",IF($AH183=20,IF(AND(OR($A183=21,$A183=215),$AJ183=10),"①病院一般",IF(AND($A183=31,$AJ183=41),"②病院短期","対象外")),IF($AJ183=30,"③特定消防",IF(AND(OR($A183=21,$A183=215),$AJ183=10),"④一般",IF(AND($A183=31,$AJ183=41),"⑤短期","対象外")))))</f>
        <v>④一般</v>
      </c>
      <c r="DC183" s="0" t="n">
        <f aca="false">IF($A183="","",IF($AB183&amp;""=設定!$C$4,1,0))</f>
        <v>1</v>
      </c>
    </row>
    <row r="184" customFormat="false" ht="15" hidden="false" customHeight="false" outlineLevel="0" collapsed="false">
      <c r="A184" s="0" t="n">
        <v>21</v>
      </c>
      <c r="AA184" s="0" t="n">
        <v>21</v>
      </c>
      <c r="AB184" s="0" t="s">
        <v>96</v>
      </c>
      <c r="AD184" s="0" t="n">
        <v>0</v>
      </c>
      <c r="AE184" s="0" t="s">
        <v>295</v>
      </c>
      <c r="AH184" s="0" t="n">
        <v>1</v>
      </c>
      <c r="AJ184" s="0" t="n">
        <v>10</v>
      </c>
      <c r="AP184" s="0" t="n">
        <v>260000</v>
      </c>
      <c r="DB184" s="0" t="str">
        <f aca="false">IF($A184="","",IF($AH184=20,IF(AND(OR($A184=21,$A184=215),$AJ184=10),"①病院一般",IF(AND($A184=31,$AJ184=41),"②病院短期","対象外")),IF($AJ184=30,"③特定消防",IF(AND(OR($A184=21,$A184=215),$AJ184=10),"④一般",IF(AND($A184=31,$AJ184=41),"⑤短期","対象外")))))</f>
        <v>④一般</v>
      </c>
      <c r="DC184" s="0" t="n">
        <f aca="false">IF($A184="","",IF($AB184&amp;""=設定!$C$4,1,0))</f>
        <v>1</v>
      </c>
    </row>
    <row r="185" customFormat="false" ht="15" hidden="false" customHeight="false" outlineLevel="0" collapsed="false">
      <c r="A185" s="0" t="n">
        <v>21</v>
      </c>
      <c r="AA185" s="0" t="n">
        <v>21</v>
      </c>
      <c r="AB185" s="0" t="s">
        <v>96</v>
      </c>
      <c r="AD185" s="0" t="n">
        <v>0</v>
      </c>
      <c r="AE185" s="0" t="s">
        <v>295</v>
      </c>
      <c r="AH185" s="0" t="n">
        <v>1</v>
      </c>
      <c r="AJ185" s="0" t="n">
        <v>10</v>
      </c>
      <c r="AP185" s="0" t="n">
        <v>260000</v>
      </c>
      <c r="DB185" s="0" t="str">
        <f aca="false">IF($A185="","",IF($AH185=20,IF(AND(OR($A185=21,$A185=215),$AJ185=10),"①病院一般",IF(AND($A185=31,$AJ185=41),"②病院短期","対象外")),IF($AJ185=30,"③特定消防",IF(AND(OR($A185=21,$A185=215),$AJ185=10),"④一般",IF(AND($A185=31,$AJ185=41),"⑤短期","対象外")))))</f>
        <v>④一般</v>
      </c>
      <c r="DC185" s="0" t="n">
        <f aca="false">IF($A185="","",IF($AB185&amp;""=設定!$C$4,1,0))</f>
        <v>1</v>
      </c>
    </row>
    <row r="186" customFormat="false" ht="15" hidden="false" customHeight="false" outlineLevel="0" collapsed="false">
      <c r="A186" s="0" t="n">
        <v>21</v>
      </c>
      <c r="AA186" s="0" t="n">
        <v>21</v>
      </c>
      <c r="AB186" s="0" t="s">
        <v>96</v>
      </c>
      <c r="AD186" s="0" t="n">
        <v>0</v>
      </c>
      <c r="AE186" s="0" t="s">
        <v>295</v>
      </c>
      <c r="AH186" s="0" t="n">
        <v>1</v>
      </c>
      <c r="AJ186" s="0" t="n">
        <v>10</v>
      </c>
      <c r="AP186" s="0" t="n">
        <v>260000</v>
      </c>
      <c r="DB186" s="0" t="str">
        <f aca="false">IF($A186="","",IF($AH186=20,IF(AND(OR($A186=21,$A186=215),$AJ186=10),"①病院一般",IF(AND($A186=31,$AJ186=41),"②病院短期","対象外")),IF($AJ186=30,"③特定消防",IF(AND(OR($A186=21,$A186=215),$AJ186=10),"④一般",IF(AND($A186=31,$AJ186=41),"⑤短期","対象外")))))</f>
        <v>④一般</v>
      </c>
      <c r="DC186" s="0" t="n">
        <f aca="false">IF($A186="","",IF($AB186&amp;""=設定!$C$4,1,0))</f>
        <v>1</v>
      </c>
    </row>
    <row r="187" customFormat="false" ht="15" hidden="false" customHeight="false" outlineLevel="0" collapsed="false">
      <c r="A187" s="0" t="n">
        <v>21</v>
      </c>
      <c r="AA187" s="0" t="n">
        <v>21</v>
      </c>
      <c r="AB187" s="0" t="s">
        <v>96</v>
      </c>
      <c r="AD187" s="0" t="n">
        <v>0</v>
      </c>
      <c r="AE187" s="0" t="s">
        <v>295</v>
      </c>
      <c r="AH187" s="0" t="n">
        <v>4</v>
      </c>
      <c r="AJ187" s="0" t="n">
        <v>10</v>
      </c>
      <c r="AP187" s="0" t="n">
        <v>260000</v>
      </c>
      <c r="DB187" s="0" t="str">
        <f aca="false">IF($A187="","",IF($AH187=20,IF(AND(OR($A187=21,$A187=215),$AJ187=10),"①病院一般",IF(AND($A187=31,$AJ187=41),"②病院短期","対象外")),IF($AJ187=30,"③特定消防",IF(AND(OR($A187=21,$A187=215),$AJ187=10),"④一般",IF(AND($A187=31,$AJ187=41),"⑤短期","対象外")))))</f>
        <v>④一般</v>
      </c>
      <c r="DC187" s="0" t="n">
        <f aca="false">IF($A187="","",IF($AB187&amp;""=設定!$C$4,1,0))</f>
        <v>1</v>
      </c>
    </row>
    <row r="188" customFormat="false" ht="15" hidden="false" customHeight="false" outlineLevel="0" collapsed="false">
      <c r="A188" s="0" t="n">
        <v>21</v>
      </c>
      <c r="AA188" s="0" t="n">
        <v>21</v>
      </c>
      <c r="AB188" s="0" t="s">
        <v>96</v>
      </c>
      <c r="AD188" s="0" t="n">
        <v>0</v>
      </c>
      <c r="AE188" s="0" t="s">
        <v>295</v>
      </c>
      <c r="AH188" s="0" t="n">
        <v>4</v>
      </c>
      <c r="AJ188" s="0" t="n">
        <v>10</v>
      </c>
      <c r="AP188" s="0" t="n">
        <v>280000</v>
      </c>
      <c r="DB188" s="0" t="str">
        <f aca="false">IF($A188="","",IF($AH188=20,IF(AND(OR($A188=21,$A188=215),$AJ188=10),"①病院一般",IF(AND($A188=31,$AJ188=41),"②病院短期","対象外")),IF($AJ188=30,"③特定消防",IF(AND(OR($A188=21,$A188=215),$AJ188=10),"④一般",IF(AND($A188=31,$AJ188=41),"⑤短期","対象外")))))</f>
        <v>④一般</v>
      </c>
      <c r="DC188" s="0" t="n">
        <f aca="false">IF($A188="","",IF($AB188&amp;""=設定!$C$4,1,0))</f>
        <v>1</v>
      </c>
    </row>
    <row r="189" customFormat="false" ht="15" hidden="false" customHeight="false" outlineLevel="0" collapsed="false">
      <c r="A189" s="0" t="n">
        <v>21</v>
      </c>
      <c r="AA189" s="0" t="n">
        <v>21</v>
      </c>
      <c r="AB189" s="0" t="s">
        <v>96</v>
      </c>
      <c r="AD189" s="0" t="n">
        <v>0</v>
      </c>
      <c r="AE189" s="0" t="s">
        <v>295</v>
      </c>
      <c r="AH189" s="0" t="n">
        <v>1</v>
      </c>
      <c r="AJ189" s="0" t="n">
        <v>10</v>
      </c>
      <c r="AP189" s="0" t="n">
        <v>260000</v>
      </c>
      <c r="DB189" s="0" t="str">
        <f aca="false">IF($A189="","",IF($AH189=20,IF(AND(OR($A189=21,$A189=215),$AJ189=10),"①病院一般",IF(AND($A189=31,$AJ189=41),"②病院短期","対象外")),IF($AJ189=30,"③特定消防",IF(AND(OR($A189=21,$A189=215),$AJ189=10),"④一般",IF(AND($A189=31,$AJ189=41),"⑤短期","対象外")))))</f>
        <v>④一般</v>
      </c>
      <c r="DC189" s="0" t="n">
        <f aca="false">IF($A189="","",IF($AB189&amp;""=設定!$C$4,1,0))</f>
        <v>1</v>
      </c>
    </row>
    <row r="190" customFormat="false" ht="15" hidden="false" customHeight="false" outlineLevel="0" collapsed="false">
      <c r="A190" s="0" t="n">
        <v>21</v>
      </c>
      <c r="AA190" s="0" t="n">
        <v>21</v>
      </c>
      <c r="AB190" s="0" t="s">
        <v>96</v>
      </c>
      <c r="AD190" s="0" t="n">
        <v>0</v>
      </c>
      <c r="AE190" s="0" t="s">
        <v>295</v>
      </c>
      <c r="AH190" s="0" t="n">
        <v>1</v>
      </c>
      <c r="AJ190" s="0" t="n">
        <v>10</v>
      </c>
      <c r="AP190" s="0" t="n">
        <v>260000</v>
      </c>
      <c r="DB190" s="0" t="str">
        <f aca="false">IF($A190="","",IF($AH190=20,IF(AND(OR($A190=21,$A190=215),$AJ190=10),"①病院一般",IF(AND($A190=31,$AJ190=41),"②病院短期","対象外")),IF($AJ190=30,"③特定消防",IF(AND(OR($A190=21,$A190=215),$AJ190=10),"④一般",IF(AND($A190=31,$AJ190=41),"⑤短期","対象外")))))</f>
        <v>④一般</v>
      </c>
      <c r="DC190" s="0" t="n">
        <f aca="false">IF($A190="","",IF($AB190&amp;""=設定!$C$4,1,0))</f>
        <v>1</v>
      </c>
    </row>
    <row r="191" customFormat="false" ht="15" hidden="false" customHeight="false" outlineLevel="0" collapsed="false">
      <c r="A191" s="0" t="n">
        <v>21</v>
      </c>
      <c r="AA191" s="0" t="n">
        <v>21</v>
      </c>
      <c r="AB191" s="0" t="s">
        <v>96</v>
      </c>
      <c r="AD191" s="0" t="n">
        <v>0</v>
      </c>
      <c r="AE191" s="0" t="s">
        <v>295</v>
      </c>
      <c r="AH191" s="0" t="n">
        <v>1</v>
      </c>
      <c r="AJ191" s="0" t="n">
        <v>10</v>
      </c>
      <c r="AP191" s="0" t="n">
        <v>260000</v>
      </c>
      <c r="DB191" s="0" t="str">
        <f aca="false">IF($A191="","",IF($AH191=20,IF(AND(OR($A191=21,$A191=215),$AJ191=10),"①病院一般",IF(AND($A191=31,$AJ191=41),"②病院短期","対象外")),IF($AJ191=30,"③特定消防",IF(AND(OR($A191=21,$A191=215),$AJ191=10),"④一般",IF(AND($A191=31,$AJ191=41),"⑤短期","対象外")))))</f>
        <v>④一般</v>
      </c>
      <c r="DC191" s="0" t="n">
        <f aca="false">IF($A191="","",IF($AB191&amp;""=設定!$C$4,1,0))</f>
        <v>1</v>
      </c>
    </row>
    <row r="192" customFormat="false" ht="15" hidden="false" customHeight="false" outlineLevel="0" collapsed="false">
      <c r="A192" s="0" t="n">
        <v>21</v>
      </c>
      <c r="AA192" s="0" t="n">
        <v>21</v>
      </c>
      <c r="AB192" s="0" t="s">
        <v>96</v>
      </c>
      <c r="AD192" s="0" t="n">
        <v>0</v>
      </c>
      <c r="AE192" s="0" t="s">
        <v>295</v>
      </c>
      <c r="AH192" s="0" t="n">
        <v>1</v>
      </c>
      <c r="AJ192" s="0" t="n">
        <v>10</v>
      </c>
      <c r="AP192" s="0" t="n">
        <v>300000</v>
      </c>
      <c r="DB192" s="0" t="str">
        <f aca="false">IF($A192="","",IF($AH192=20,IF(AND(OR($A192=21,$A192=215),$AJ192=10),"①病院一般",IF(AND($A192=31,$AJ192=41),"②病院短期","対象外")),IF($AJ192=30,"③特定消防",IF(AND(OR($A192=21,$A192=215),$AJ192=10),"④一般",IF(AND($A192=31,$AJ192=41),"⑤短期","対象外")))))</f>
        <v>④一般</v>
      </c>
      <c r="DC192" s="0" t="n">
        <f aca="false">IF($A192="","",IF($AB192&amp;""=設定!$C$4,1,0))</f>
        <v>1</v>
      </c>
    </row>
    <row r="193" customFormat="false" ht="15" hidden="false" customHeight="false" outlineLevel="0" collapsed="false">
      <c r="A193" s="0" t="n">
        <v>21</v>
      </c>
      <c r="AA193" s="0" t="n">
        <v>21</v>
      </c>
      <c r="AB193" s="0" t="s">
        <v>96</v>
      </c>
      <c r="AD193" s="0" t="n">
        <v>0</v>
      </c>
      <c r="AE193" s="0" t="s">
        <v>295</v>
      </c>
      <c r="AH193" s="0" t="n">
        <v>1</v>
      </c>
      <c r="AJ193" s="0" t="n">
        <v>10</v>
      </c>
      <c r="AP193" s="0" t="n">
        <v>260000</v>
      </c>
      <c r="DB193" s="0" t="str">
        <f aca="false">IF($A193="","",IF($AH193=20,IF(AND(OR($A193=21,$A193=215),$AJ193=10),"①病院一般",IF(AND($A193=31,$AJ193=41),"②病院短期","対象外")),IF($AJ193=30,"③特定消防",IF(AND(OR($A193=21,$A193=215),$AJ193=10),"④一般",IF(AND($A193=31,$AJ193=41),"⑤短期","対象外")))))</f>
        <v>④一般</v>
      </c>
      <c r="DC193" s="0" t="n">
        <f aca="false">IF($A193="","",IF($AB193&amp;""=設定!$C$4,1,0))</f>
        <v>1</v>
      </c>
    </row>
    <row r="194" customFormat="false" ht="15" hidden="false" customHeight="false" outlineLevel="0" collapsed="false">
      <c r="A194" s="0" t="n">
        <v>21</v>
      </c>
      <c r="AA194" s="0" t="n">
        <v>21</v>
      </c>
      <c r="AB194" s="0" t="s">
        <v>96</v>
      </c>
      <c r="AD194" s="0" t="n">
        <v>0</v>
      </c>
      <c r="AE194" s="0" t="s">
        <v>295</v>
      </c>
      <c r="AH194" s="0" t="n">
        <v>1</v>
      </c>
      <c r="AJ194" s="0" t="n">
        <v>10</v>
      </c>
      <c r="AP194" s="0" t="n">
        <v>260000</v>
      </c>
      <c r="DB194" s="0" t="str">
        <f aca="false">IF($A194="","",IF($AH194=20,IF(AND(OR($A194=21,$A194=215),$AJ194=10),"①病院一般",IF(AND($A194=31,$AJ194=41),"②病院短期","対象外")),IF($AJ194=30,"③特定消防",IF(AND(OR($A194=21,$A194=215),$AJ194=10),"④一般",IF(AND($A194=31,$AJ194=41),"⑤短期","対象外")))))</f>
        <v>④一般</v>
      </c>
      <c r="DC194" s="0" t="n">
        <f aca="false">IF($A194="","",IF($AB194&amp;""=設定!$C$4,1,0))</f>
        <v>1</v>
      </c>
    </row>
    <row r="195" customFormat="false" ht="15" hidden="false" customHeight="false" outlineLevel="0" collapsed="false">
      <c r="A195" s="0" t="n">
        <v>21</v>
      </c>
      <c r="AA195" s="0" t="n">
        <v>21</v>
      </c>
      <c r="AB195" s="0" t="s">
        <v>96</v>
      </c>
      <c r="AD195" s="0" t="n">
        <v>0</v>
      </c>
      <c r="AE195" s="0" t="s">
        <v>295</v>
      </c>
      <c r="AH195" s="0" t="n">
        <v>1</v>
      </c>
      <c r="AJ195" s="0" t="n">
        <v>10</v>
      </c>
      <c r="AP195" s="0" t="n">
        <v>320000</v>
      </c>
      <c r="DB195" s="0" t="str">
        <f aca="false">IF($A195="","",IF($AH195=20,IF(AND(OR($A195=21,$A195=215),$AJ195=10),"①病院一般",IF(AND($A195=31,$AJ195=41),"②病院短期","対象外")),IF($AJ195=30,"③特定消防",IF(AND(OR($A195=21,$A195=215),$AJ195=10),"④一般",IF(AND($A195=31,$AJ195=41),"⑤短期","対象外")))))</f>
        <v>④一般</v>
      </c>
      <c r="DC195" s="0" t="n">
        <f aca="false">IF($A195="","",IF($AB195&amp;""=設定!$C$4,1,0))</f>
        <v>1</v>
      </c>
    </row>
    <row r="196" customFormat="false" ht="15" hidden="false" customHeight="false" outlineLevel="0" collapsed="false">
      <c r="A196" s="0" t="n">
        <v>21</v>
      </c>
      <c r="AA196" s="0" t="n">
        <v>21</v>
      </c>
      <c r="AB196" s="0" t="s">
        <v>96</v>
      </c>
      <c r="AD196" s="0" t="n">
        <v>0</v>
      </c>
      <c r="AE196" s="0" t="s">
        <v>295</v>
      </c>
      <c r="AH196" s="0" t="n">
        <v>1</v>
      </c>
      <c r="AJ196" s="0" t="n">
        <v>10</v>
      </c>
      <c r="AP196" s="0" t="n">
        <v>280000</v>
      </c>
      <c r="DB196" s="0" t="str">
        <f aca="false">IF($A196="","",IF($AH196=20,IF(AND(OR($A196=21,$A196=215),$AJ196=10),"①病院一般",IF(AND($A196=31,$AJ196=41),"②病院短期","対象外")),IF($AJ196=30,"③特定消防",IF(AND(OR($A196=21,$A196=215),$AJ196=10),"④一般",IF(AND($A196=31,$AJ196=41),"⑤短期","対象外")))))</f>
        <v>④一般</v>
      </c>
      <c r="DC196" s="0" t="n">
        <f aca="false">IF($A196="","",IF($AB196&amp;""=設定!$C$4,1,0))</f>
        <v>1</v>
      </c>
    </row>
    <row r="197" customFormat="false" ht="15" hidden="false" customHeight="false" outlineLevel="0" collapsed="false">
      <c r="A197" s="0" t="n">
        <v>21</v>
      </c>
      <c r="AA197" s="0" t="n">
        <v>21</v>
      </c>
      <c r="AB197" s="0" t="s">
        <v>96</v>
      </c>
      <c r="AD197" s="0" t="n">
        <v>0</v>
      </c>
      <c r="AE197" s="0" t="s">
        <v>295</v>
      </c>
      <c r="AH197" s="0" t="n">
        <v>46</v>
      </c>
      <c r="AJ197" s="0" t="n">
        <v>74</v>
      </c>
      <c r="AP197" s="0" t="n">
        <v>260000</v>
      </c>
      <c r="DB197" s="0" t="str">
        <f aca="false">IF($A197="","",IF($AH197=20,IF(AND(OR($A197=21,$A197=215),$AJ197=10),"①病院一般",IF(AND($A197=31,$AJ197=41),"②病院短期","対象外")),IF($AJ197=30,"③特定消防",IF(AND(OR($A197=21,$A197=215),$AJ197=10),"④一般",IF(AND($A197=31,$AJ197=41),"⑤短期","対象外")))))</f>
        <v>対象外</v>
      </c>
      <c r="DC197" s="0" t="n">
        <f aca="false">IF($A197="","",IF($AB197&amp;""=設定!$C$4,1,0))</f>
        <v>1</v>
      </c>
    </row>
    <row r="198" customFormat="false" ht="15" hidden="false" customHeight="false" outlineLevel="0" collapsed="false">
      <c r="A198" s="0" t="n">
        <v>21</v>
      </c>
      <c r="AA198" s="0" t="n">
        <v>21</v>
      </c>
      <c r="AB198" s="0" t="s">
        <v>96</v>
      </c>
      <c r="AD198" s="0" t="n">
        <v>0</v>
      </c>
      <c r="AE198" s="0" t="s">
        <v>295</v>
      </c>
      <c r="AH198" s="0" t="n">
        <v>1</v>
      </c>
      <c r="AJ198" s="0" t="n">
        <v>10</v>
      </c>
      <c r="AP198" s="0" t="n">
        <v>280000</v>
      </c>
      <c r="DB198" s="0" t="str">
        <f aca="false">IF($A198="","",IF($AH198=20,IF(AND(OR($A198=21,$A198=215),$AJ198=10),"①病院一般",IF(AND($A198=31,$AJ198=41),"②病院短期","対象外")),IF($AJ198=30,"③特定消防",IF(AND(OR($A198=21,$A198=215),$AJ198=10),"④一般",IF(AND($A198=31,$AJ198=41),"⑤短期","対象外")))))</f>
        <v>④一般</v>
      </c>
      <c r="DC198" s="0" t="n">
        <f aca="false">IF($A198="","",IF($AB198&amp;""=設定!$C$4,1,0))</f>
        <v>1</v>
      </c>
    </row>
    <row r="199" customFormat="false" ht="15" hidden="false" customHeight="false" outlineLevel="0" collapsed="false">
      <c r="A199" s="0" t="n">
        <v>21</v>
      </c>
      <c r="AA199" s="0" t="n">
        <v>21</v>
      </c>
      <c r="AB199" s="0" t="s">
        <v>96</v>
      </c>
      <c r="AD199" s="0" t="n">
        <v>0</v>
      </c>
      <c r="AE199" s="0" t="s">
        <v>295</v>
      </c>
      <c r="AH199" s="0" t="n">
        <v>1</v>
      </c>
      <c r="AJ199" s="0" t="n">
        <v>10</v>
      </c>
      <c r="AP199" s="0" t="n">
        <v>260000</v>
      </c>
      <c r="DB199" s="0" t="str">
        <f aca="false">IF($A199="","",IF($AH199=20,IF(AND(OR($A199=21,$A199=215),$AJ199=10),"①病院一般",IF(AND($A199=31,$AJ199=41),"②病院短期","対象外")),IF($AJ199=30,"③特定消防",IF(AND(OR($A199=21,$A199=215),$AJ199=10),"④一般",IF(AND($A199=31,$AJ199=41),"⑤短期","対象外")))))</f>
        <v>④一般</v>
      </c>
      <c r="DC199" s="0" t="n">
        <f aca="false">IF($A199="","",IF($AB199&amp;""=設定!$C$4,1,0))</f>
        <v>1</v>
      </c>
    </row>
    <row r="200" customFormat="false" ht="15" hidden="false" customHeight="false" outlineLevel="0" collapsed="false">
      <c r="A200" s="0" t="n">
        <v>21</v>
      </c>
      <c r="AA200" s="0" t="n">
        <v>21</v>
      </c>
      <c r="AB200" s="0" t="s">
        <v>96</v>
      </c>
      <c r="AD200" s="0" t="n">
        <v>0</v>
      </c>
      <c r="AE200" s="0" t="s">
        <v>295</v>
      </c>
      <c r="AH200" s="0" t="n">
        <v>1</v>
      </c>
      <c r="AJ200" s="0" t="n">
        <v>10</v>
      </c>
      <c r="AP200" s="0" t="n">
        <v>320000</v>
      </c>
      <c r="DB200" s="0" t="str">
        <f aca="false">IF($A200="","",IF($AH200=20,IF(AND(OR($A200=21,$A200=215),$AJ200=10),"①病院一般",IF(AND($A200=31,$AJ200=41),"②病院短期","対象外")),IF($AJ200=30,"③特定消防",IF(AND(OR($A200=21,$A200=215),$AJ200=10),"④一般",IF(AND($A200=31,$AJ200=41),"⑤短期","対象外")))))</f>
        <v>④一般</v>
      </c>
      <c r="DC200" s="0" t="n">
        <f aca="false">IF($A200="","",IF($AB200&amp;""=設定!$C$4,1,0))</f>
        <v>1</v>
      </c>
    </row>
    <row r="201" customFormat="false" ht="15" hidden="false" customHeight="false" outlineLevel="0" collapsed="false">
      <c r="A201" s="0" t="n">
        <v>21</v>
      </c>
      <c r="AA201" s="0" t="n">
        <v>21</v>
      </c>
      <c r="AB201" s="0" t="s">
        <v>96</v>
      </c>
      <c r="AD201" s="0" t="n">
        <v>0</v>
      </c>
      <c r="AE201" s="0" t="s">
        <v>295</v>
      </c>
      <c r="AH201" s="0" t="n">
        <v>1</v>
      </c>
      <c r="AJ201" s="0" t="n">
        <v>10</v>
      </c>
      <c r="AP201" s="0" t="n">
        <v>300000</v>
      </c>
      <c r="DB201" s="0" t="str">
        <f aca="false">IF($A201="","",IF($AH201=20,IF(AND(OR($A201=21,$A201=215),$AJ201=10),"①病院一般",IF(AND($A201=31,$AJ201=41),"②病院短期","対象外")),IF($AJ201=30,"③特定消防",IF(AND(OR($A201=21,$A201=215),$AJ201=10),"④一般",IF(AND($A201=31,$AJ201=41),"⑤短期","対象外")))))</f>
        <v>④一般</v>
      </c>
      <c r="DC201" s="0" t="n">
        <f aca="false">IF($A201="","",IF($AB201&amp;""=設定!$C$4,1,0))</f>
        <v>1</v>
      </c>
    </row>
    <row r="202" customFormat="false" ht="15" hidden="false" customHeight="false" outlineLevel="0" collapsed="false">
      <c r="A202" s="0" t="n">
        <v>21</v>
      </c>
      <c r="AA202" s="0" t="n">
        <v>21</v>
      </c>
      <c r="AB202" s="0" t="s">
        <v>96</v>
      </c>
      <c r="AD202" s="0" t="n">
        <v>0</v>
      </c>
      <c r="AE202" s="0" t="s">
        <v>295</v>
      </c>
      <c r="AH202" s="0" t="n">
        <v>1</v>
      </c>
      <c r="AJ202" s="0" t="n">
        <v>10</v>
      </c>
      <c r="AP202" s="0" t="n">
        <v>280000</v>
      </c>
      <c r="DB202" s="0" t="str">
        <f aca="false">IF($A202="","",IF($AH202=20,IF(AND(OR($A202=21,$A202=215),$AJ202=10),"①病院一般",IF(AND($A202=31,$AJ202=41),"②病院短期","対象外")),IF($AJ202=30,"③特定消防",IF(AND(OR($A202=21,$A202=215),$AJ202=10),"④一般",IF(AND($A202=31,$AJ202=41),"⑤短期","対象外")))))</f>
        <v>④一般</v>
      </c>
      <c r="DC202" s="0" t="n">
        <f aca="false">IF($A202="","",IF($AB202&amp;""=設定!$C$4,1,0))</f>
        <v>1</v>
      </c>
    </row>
    <row r="203" customFormat="false" ht="15" hidden="false" customHeight="false" outlineLevel="0" collapsed="false">
      <c r="A203" s="0" t="n">
        <v>21</v>
      </c>
      <c r="AA203" s="0" t="n">
        <v>21</v>
      </c>
      <c r="AB203" s="0" t="s">
        <v>96</v>
      </c>
      <c r="AD203" s="0" t="n">
        <v>0</v>
      </c>
      <c r="AE203" s="0" t="s">
        <v>295</v>
      </c>
      <c r="AH203" s="0" t="n">
        <v>1</v>
      </c>
      <c r="AJ203" s="0" t="n">
        <v>10</v>
      </c>
      <c r="AP203" s="0" t="n">
        <v>300000</v>
      </c>
      <c r="DB203" s="0" t="str">
        <f aca="false">IF($A203="","",IF($AH203=20,IF(AND(OR($A203=21,$A203=215),$AJ203=10),"①病院一般",IF(AND($A203=31,$AJ203=41),"②病院短期","対象外")),IF($AJ203=30,"③特定消防",IF(AND(OR($A203=21,$A203=215),$AJ203=10),"④一般",IF(AND($A203=31,$AJ203=41),"⑤短期","対象外")))))</f>
        <v>④一般</v>
      </c>
      <c r="DC203" s="0" t="n">
        <f aca="false">IF($A203="","",IF($AB203&amp;""=設定!$C$4,1,0))</f>
        <v>1</v>
      </c>
    </row>
    <row r="204" customFormat="false" ht="15" hidden="false" customHeight="false" outlineLevel="0" collapsed="false">
      <c r="A204" s="0" t="n">
        <v>21</v>
      </c>
      <c r="AA204" s="0" t="n">
        <v>21</v>
      </c>
      <c r="AB204" s="0" t="s">
        <v>96</v>
      </c>
      <c r="AD204" s="0" t="n">
        <v>0</v>
      </c>
      <c r="AE204" s="0" t="s">
        <v>295</v>
      </c>
      <c r="AH204" s="0" t="n">
        <v>1</v>
      </c>
      <c r="AJ204" s="0" t="n">
        <v>10</v>
      </c>
      <c r="AP204" s="0" t="n">
        <v>300000</v>
      </c>
      <c r="DB204" s="0" t="str">
        <f aca="false">IF($A204="","",IF($AH204=20,IF(AND(OR($A204=21,$A204=215),$AJ204=10),"①病院一般",IF(AND($A204=31,$AJ204=41),"②病院短期","対象外")),IF($AJ204=30,"③特定消防",IF(AND(OR($A204=21,$A204=215),$AJ204=10),"④一般",IF(AND($A204=31,$AJ204=41),"⑤短期","対象外")))))</f>
        <v>④一般</v>
      </c>
      <c r="DC204" s="0" t="n">
        <f aca="false">IF($A204="","",IF($AB204&amp;""=設定!$C$4,1,0))</f>
        <v>1</v>
      </c>
    </row>
    <row r="205" customFormat="false" ht="15" hidden="false" customHeight="false" outlineLevel="0" collapsed="false">
      <c r="A205" s="0" t="n">
        <v>21</v>
      </c>
      <c r="AA205" s="0" t="n">
        <v>21</v>
      </c>
      <c r="AB205" s="0" t="s">
        <v>96</v>
      </c>
      <c r="AD205" s="0" t="n">
        <v>0</v>
      </c>
      <c r="AE205" s="0" t="s">
        <v>295</v>
      </c>
      <c r="AH205" s="0" t="n">
        <v>1</v>
      </c>
      <c r="AJ205" s="0" t="n">
        <v>10</v>
      </c>
      <c r="AP205" s="0" t="n">
        <v>280000</v>
      </c>
      <c r="DB205" s="0" t="str">
        <f aca="false">IF($A205="","",IF($AH205=20,IF(AND(OR($A205=21,$A205=215),$AJ205=10),"①病院一般",IF(AND($A205=31,$AJ205=41),"②病院短期","対象外")),IF($AJ205=30,"③特定消防",IF(AND(OR($A205=21,$A205=215),$AJ205=10),"④一般",IF(AND($A205=31,$AJ205=41),"⑤短期","対象外")))))</f>
        <v>④一般</v>
      </c>
      <c r="DC205" s="0" t="n">
        <f aca="false">IF($A205="","",IF($AB205&amp;""=設定!$C$4,1,0))</f>
        <v>1</v>
      </c>
    </row>
    <row r="206" customFormat="false" ht="15" hidden="false" customHeight="false" outlineLevel="0" collapsed="false">
      <c r="A206" s="0" t="n">
        <v>21</v>
      </c>
      <c r="AA206" s="0" t="n">
        <v>21</v>
      </c>
      <c r="AB206" s="0" t="s">
        <v>96</v>
      </c>
      <c r="AD206" s="0" t="n">
        <v>0</v>
      </c>
      <c r="AE206" s="0" t="s">
        <v>295</v>
      </c>
      <c r="AH206" s="0" t="n">
        <v>1</v>
      </c>
      <c r="AJ206" s="0" t="n">
        <v>10</v>
      </c>
      <c r="AP206" s="0" t="n">
        <v>260000</v>
      </c>
      <c r="DB206" s="0" t="str">
        <f aca="false">IF($A206="","",IF($AH206=20,IF(AND(OR($A206=21,$A206=215),$AJ206=10),"①病院一般",IF(AND($A206=31,$AJ206=41),"②病院短期","対象外")),IF($AJ206=30,"③特定消防",IF(AND(OR($A206=21,$A206=215),$AJ206=10),"④一般",IF(AND($A206=31,$AJ206=41),"⑤短期","対象外")))))</f>
        <v>④一般</v>
      </c>
      <c r="DC206" s="0" t="n">
        <f aca="false">IF($A206="","",IF($AB206&amp;""=設定!$C$4,1,0))</f>
        <v>1</v>
      </c>
    </row>
    <row r="207" customFormat="false" ht="15" hidden="false" customHeight="false" outlineLevel="0" collapsed="false">
      <c r="A207" s="0" t="n">
        <v>21</v>
      </c>
      <c r="AA207" s="0" t="n">
        <v>21</v>
      </c>
      <c r="AB207" s="0" t="s">
        <v>96</v>
      </c>
      <c r="AD207" s="0" t="n">
        <v>0</v>
      </c>
      <c r="AE207" s="0" t="s">
        <v>295</v>
      </c>
      <c r="AH207" s="0" t="n">
        <v>1</v>
      </c>
      <c r="AJ207" s="0" t="n">
        <v>10</v>
      </c>
      <c r="AP207" s="0" t="n">
        <v>260000</v>
      </c>
      <c r="DB207" s="0" t="str">
        <f aca="false">IF($A207="","",IF($AH207=20,IF(AND(OR($A207=21,$A207=215),$AJ207=10),"①病院一般",IF(AND($A207=31,$AJ207=41),"②病院短期","対象外")),IF($AJ207=30,"③特定消防",IF(AND(OR($A207=21,$A207=215),$AJ207=10),"④一般",IF(AND($A207=31,$AJ207=41),"⑤短期","対象外")))))</f>
        <v>④一般</v>
      </c>
      <c r="DC207" s="0" t="n">
        <f aca="false">IF($A207="","",IF($AB207&amp;""=設定!$C$4,1,0))</f>
        <v>1</v>
      </c>
    </row>
    <row r="208" customFormat="false" ht="15" hidden="false" customHeight="false" outlineLevel="0" collapsed="false">
      <c r="A208" s="0" t="n">
        <v>21</v>
      </c>
      <c r="AA208" s="0" t="n">
        <v>21</v>
      </c>
      <c r="AB208" s="0" t="s">
        <v>96</v>
      </c>
      <c r="AD208" s="0" t="n">
        <v>0</v>
      </c>
      <c r="AE208" s="0" t="s">
        <v>295</v>
      </c>
      <c r="AH208" s="0" t="n">
        <v>1</v>
      </c>
      <c r="AJ208" s="0" t="n">
        <v>10</v>
      </c>
      <c r="AP208" s="0" t="n">
        <v>320000</v>
      </c>
      <c r="DB208" s="0" t="str">
        <f aca="false">IF($A208="","",IF($AH208=20,IF(AND(OR($A208=21,$A208=215),$AJ208=10),"①病院一般",IF(AND($A208=31,$AJ208=41),"②病院短期","対象外")),IF($AJ208=30,"③特定消防",IF(AND(OR($A208=21,$A208=215),$AJ208=10),"④一般",IF(AND($A208=31,$AJ208=41),"⑤短期","対象外")))))</f>
        <v>④一般</v>
      </c>
      <c r="DC208" s="0" t="n">
        <f aca="false">IF($A208="","",IF($AB208&amp;""=設定!$C$4,1,0))</f>
        <v>1</v>
      </c>
    </row>
    <row r="209" customFormat="false" ht="15" hidden="false" customHeight="false" outlineLevel="0" collapsed="false">
      <c r="A209" s="0" t="n">
        <v>21</v>
      </c>
      <c r="AA209" s="0" t="n">
        <v>21</v>
      </c>
      <c r="AB209" s="0" t="s">
        <v>96</v>
      </c>
      <c r="AD209" s="0" t="n">
        <v>0</v>
      </c>
      <c r="AE209" s="0" t="s">
        <v>295</v>
      </c>
      <c r="AH209" s="0" t="n">
        <v>1</v>
      </c>
      <c r="AJ209" s="0" t="n">
        <v>10</v>
      </c>
      <c r="AP209" s="0" t="n">
        <v>300000</v>
      </c>
      <c r="DB209" s="0" t="str">
        <f aca="false">IF($A209="","",IF($AH209=20,IF(AND(OR($A209=21,$A209=215),$AJ209=10),"①病院一般",IF(AND($A209=31,$AJ209=41),"②病院短期","対象外")),IF($AJ209=30,"③特定消防",IF(AND(OR($A209=21,$A209=215),$AJ209=10),"④一般",IF(AND($A209=31,$AJ209=41),"⑤短期","対象外")))))</f>
        <v>④一般</v>
      </c>
      <c r="DC209" s="0" t="n">
        <f aca="false">IF($A209="","",IF($AB209&amp;""=設定!$C$4,1,0))</f>
        <v>1</v>
      </c>
    </row>
    <row r="210" customFormat="false" ht="15" hidden="false" customHeight="false" outlineLevel="0" collapsed="false">
      <c r="A210" s="0" t="n">
        <v>21</v>
      </c>
      <c r="AA210" s="0" t="n">
        <v>21</v>
      </c>
      <c r="AB210" s="0" t="s">
        <v>96</v>
      </c>
      <c r="AD210" s="0" t="n">
        <v>0</v>
      </c>
      <c r="AE210" s="0" t="s">
        <v>295</v>
      </c>
      <c r="AH210" s="0" t="n">
        <v>1</v>
      </c>
      <c r="AJ210" s="0" t="n">
        <v>10</v>
      </c>
      <c r="AP210" s="0" t="n">
        <v>280000</v>
      </c>
      <c r="DB210" s="0" t="str">
        <f aca="false">IF($A210="","",IF($AH210=20,IF(AND(OR($A210=21,$A210=215),$AJ210=10),"①病院一般",IF(AND($A210=31,$AJ210=41),"②病院短期","対象外")),IF($AJ210=30,"③特定消防",IF(AND(OR($A210=21,$A210=215),$AJ210=10),"④一般",IF(AND($A210=31,$AJ210=41),"⑤短期","対象外")))))</f>
        <v>④一般</v>
      </c>
      <c r="DC210" s="0" t="n">
        <f aca="false">IF($A210="","",IF($AB210&amp;""=設定!$C$4,1,0))</f>
        <v>1</v>
      </c>
    </row>
    <row r="211" customFormat="false" ht="15" hidden="false" customHeight="false" outlineLevel="0" collapsed="false">
      <c r="A211" s="0" t="n">
        <v>21</v>
      </c>
      <c r="AA211" s="0" t="n">
        <v>21</v>
      </c>
      <c r="AB211" s="0" t="s">
        <v>96</v>
      </c>
      <c r="AD211" s="0" t="n">
        <v>0</v>
      </c>
      <c r="AE211" s="0" t="s">
        <v>295</v>
      </c>
      <c r="AH211" s="0" t="n">
        <v>1</v>
      </c>
      <c r="AJ211" s="0" t="n">
        <v>10</v>
      </c>
      <c r="AP211" s="0" t="n">
        <v>260000</v>
      </c>
      <c r="DB211" s="0" t="str">
        <f aca="false">IF($A211="","",IF($AH211=20,IF(AND(OR($A211=21,$A211=215),$AJ211=10),"①病院一般",IF(AND($A211=31,$AJ211=41),"②病院短期","対象外")),IF($AJ211=30,"③特定消防",IF(AND(OR($A211=21,$A211=215),$AJ211=10),"④一般",IF(AND($A211=31,$AJ211=41),"⑤短期","対象外")))))</f>
        <v>④一般</v>
      </c>
      <c r="DC211" s="0" t="n">
        <f aca="false">IF($A211="","",IF($AB211&amp;""=設定!$C$4,1,0))</f>
        <v>1</v>
      </c>
    </row>
    <row r="212" customFormat="false" ht="15" hidden="false" customHeight="false" outlineLevel="0" collapsed="false">
      <c r="A212" s="0" t="n">
        <v>21</v>
      </c>
      <c r="AA212" s="0" t="n">
        <v>21</v>
      </c>
      <c r="AB212" s="0" t="s">
        <v>96</v>
      </c>
      <c r="AD212" s="0" t="n">
        <v>0</v>
      </c>
      <c r="AE212" s="0" t="s">
        <v>295</v>
      </c>
      <c r="AH212" s="0" t="n">
        <v>1</v>
      </c>
      <c r="AJ212" s="0" t="n">
        <v>10</v>
      </c>
      <c r="AP212" s="0" t="n">
        <v>260000</v>
      </c>
      <c r="DB212" s="0" t="str">
        <f aca="false">IF($A212="","",IF($AH212=20,IF(AND(OR($A212=21,$A212=215),$AJ212=10),"①病院一般",IF(AND($A212=31,$AJ212=41),"②病院短期","対象外")),IF($AJ212=30,"③特定消防",IF(AND(OR($A212=21,$A212=215),$AJ212=10),"④一般",IF(AND($A212=31,$AJ212=41),"⑤短期","対象外")))))</f>
        <v>④一般</v>
      </c>
      <c r="DC212" s="0" t="n">
        <f aca="false">IF($A212="","",IF($AB212&amp;""=設定!$C$4,1,0))</f>
        <v>1</v>
      </c>
    </row>
    <row r="213" customFormat="false" ht="15" hidden="false" customHeight="false" outlineLevel="0" collapsed="false">
      <c r="A213" s="0" t="n">
        <v>21</v>
      </c>
      <c r="AA213" s="0" t="n">
        <v>21</v>
      </c>
      <c r="AB213" s="0" t="s">
        <v>96</v>
      </c>
      <c r="AD213" s="0" t="n">
        <v>0</v>
      </c>
      <c r="AE213" s="0" t="s">
        <v>295</v>
      </c>
      <c r="AH213" s="0" t="n">
        <v>1</v>
      </c>
      <c r="AJ213" s="0" t="n">
        <v>10</v>
      </c>
      <c r="AP213" s="0" t="n">
        <v>280000</v>
      </c>
      <c r="DB213" s="0" t="str">
        <f aca="false">IF($A213="","",IF($AH213=20,IF(AND(OR($A213=21,$A213=215),$AJ213=10),"①病院一般",IF(AND($A213=31,$AJ213=41),"②病院短期","対象外")),IF($AJ213=30,"③特定消防",IF(AND(OR($A213=21,$A213=215),$AJ213=10),"④一般",IF(AND($A213=31,$AJ213=41),"⑤短期","対象外")))))</f>
        <v>④一般</v>
      </c>
      <c r="DC213" s="0" t="n">
        <f aca="false">IF($A213="","",IF($AB213&amp;""=設定!$C$4,1,0))</f>
        <v>1</v>
      </c>
    </row>
    <row r="214" customFormat="false" ht="15" hidden="false" customHeight="false" outlineLevel="0" collapsed="false">
      <c r="A214" s="0" t="n">
        <v>21</v>
      </c>
      <c r="AA214" s="0" t="n">
        <v>21</v>
      </c>
      <c r="AB214" s="0" t="s">
        <v>96</v>
      </c>
      <c r="AD214" s="0" t="n">
        <v>0</v>
      </c>
      <c r="AE214" s="0" t="s">
        <v>295</v>
      </c>
      <c r="AH214" s="0" t="n">
        <v>1</v>
      </c>
      <c r="AJ214" s="0" t="n">
        <v>10</v>
      </c>
      <c r="AP214" s="0" t="n">
        <v>280000</v>
      </c>
      <c r="DB214" s="0" t="str">
        <f aca="false">IF($A214="","",IF($AH214=20,IF(AND(OR($A214=21,$A214=215),$AJ214=10),"①病院一般",IF(AND($A214=31,$AJ214=41),"②病院短期","対象外")),IF($AJ214=30,"③特定消防",IF(AND(OR($A214=21,$A214=215),$AJ214=10),"④一般",IF(AND($A214=31,$AJ214=41),"⑤短期","対象外")))))</f>
        <v>④一般</v>
      </c>
      <c r="DC214" s="0" t="n">
        <f aca="false">IF($A214="","",IF($AB214&amp;""=設定!$C$4,1,0))</f>
        <v>1</v>
      </c>
    </row>
    <row r="215" customFormat="false" ht="15" hidden="false" customHeight="false" outlineLevel="0" collapsed="false">
      <c r="A215" s="0" t="n">
        <v>21</v>
      </c>
      <c r="AA215" s="0" t="n">
        <v>21</v>
      </c>
      <c r="AB215" s="0" t="s">
        <v>96</v>
      </c>
      <c r="AD215" s="0" t="n">
        <v>0</v>
      </c>
      <c r="AE215" s="0" t="s">
        <v>295</v>
      </c>
      <c r="AH215" s="0" t="n">
        <v>1</v>
      </c>
      <c r="AJ215" s="0" t="n">
        <v>10</v>
      </c>
      <c r="AP215" s="0" t="n">
        <v>240000</v>
      </c>
      <c r="DB215" s="0" t="str">
        <f aca="false">IF($A215="","",IF($AH215=20,IF(AND(OR($A215=21,$A215=215),$AJ215=10),"①病院一般",IF(AND($A215=31,$AJ215=41),"②病院短期","対象外")),IF($AJ215=30,"③特定消防",IF(AND(OR($A215=21,$A215=215),$AJ215=10),"④一般",IF(AND($A215=31,$AJ215=41),"⑤短期","対象外")))))</f>
        <v>④一般</v>
      </c>
      <c r="DC215" s="0" t="n">
        <f aca="false">IF($A215="","",IF($AB215&amp;""=設定!$C$4,1,0))</f>
        <v>1</v>
      </c>
    </row>
    <row r="216" customFormat="false" ht="15" hidden="false" customHeight="false" outlineLevel="0" collapsed="false">
      <c r="A216" s="0" t="n">
        <v>21</v>
      </c>
      <c r="AA216" s="0" t="n">
        <v>21</v>
      </c>
      <c r="AB216" s="0" t="s">
        <v>96</v>
      </c>
      <c r="AD216" s="0" t="n">
        <v>0</v>
      </c>
      <c r="AE216" s="0" t="s">
        <v>295</v>
      </c>
      <c r="AH216" s="0" t="n">
        <v>1</v>
      </c>
      <c r="AJ216" s="0" t="n">
        <v>10</v>
      </c>
      <c r="AP216" s="0" t="n">
        <v>240000</v>
      </c>
      <c r="DB216" s="0" t="str">
        <f aca="false">IF($A216="","",IF($AH216=20,IF(AND(OR($A216=21,$A216=215),$AJ216=10),"①病院一般",IF(AND($A216=31,$AJ216=41),"②病院短期","対象外")),IF($AJ216=30,"③特定消防",IF(AND(OR($A216=21,$A216=215),$AJ216=10),"④一般",IF(AND($A216=31,$AJ216=41),"⑤短期","対象外")))))</f>
        <v>④一般</v>
      </c>
      <c r="DC216" s="0" t="n">
        <f aca="false">IF($A216="","",IF($AB216&amp;""=設定!$C$4,1,0))</f>
        <v>1</v>
      </c>
    </row>
    <row r="217" customFormat="false" ht="15" hidden="false" customHeight="false" outlineLevel="0" collapsed="false">
      <c r="A217" s="0" t="n">
        <v>21</v>
      </c>
      <c r="AA217" s="0" t="n">
        <v>21</v>
      </c>
      <c r="AB217" s="0" t="s">
        <v>96</v>
      </c>
      <c r="AD217" s="0" t="n">
        <v>0</v>
      </c>
      <c r="AE217" s="0" t="s">
        <v>295</v>
      </c>
      <c r="AH217" s="0" t="n">
        <v>1</v>
      </c>
      <c r="AJ217" s="0" t="n">
        <v>10</v>
      </c>
      <c r="AP217" s="0" t="n">
        <v>260000</v>
      </c>
      <c r="DB217" s="0" t="str">
        <f aca="false">IF($A217="","",IF($AH217=20,IF(AND(OR($A217=21,$A217=215),$AJ217=10),"①病院一般",IF(AND($A217=31,$AJ217=41),"②病院短期","対象外")),IF($AJ217=30,"③特定消防",IF(AND(OR($A217=21,$A217=215),$AJ217=10),"④一般",IF(AND($A217=31,$AJ217=41),"⑤短期","対象外")))))</f>
        <v>④一般</v>
      </c>
      <c r="DC217" s="0" t="n">
        <f aca="false">IF($A217="","",IF($AB217&amp;""=設定!$C$4,1,0))</f>
        <v>1</v>
      </c>
    </row>
    <row r="218" customFormat="false" ht="15" hidden="false" customHeight="false" outlineLevel="0" collapsed="false">
      <c r="A218" s="0" t="n">
        <v>21</v>
      </c>
      <c r="AA218" s="0" t="n">
        <v>21</v>
      </c>
      <c r="AB218" s="0" t="s">
        <v>96</v>
      </c>
      <c r="AD218" s="0" t="n">
        <v>0</v>
      </c>
      <c r="AE218" s="0" t="s">
        <v>295</v>
      </c>
      <c r="AH218" s="0" t="n">
        <v>1</v>
      </c>
      <c r="AJ218" s="0" t="n">
        <v>10</v>
      </c>
      <c r="AP218" s="0" t="n">
        <v>260000</v>
      </c>
      <c r="DB218" s="0" t="str">
        <f aca="false">IF($A218="","",IF($AH218=20,IF(AND(OR($A218=21,$A218=215),$AJ218=10),"①病院一般",IF(AND($A218=31,$AJ218=41),"②病院短期","対象外")),IF($AJ218=30,"③特定消防",IF(AND(OR($A218=21,$A218=215),$AJ218=10),"④一般",IF(AND($A218=31,$AJ218=41),"⑤短期","対象外")))))</f>
        <v>④一般</v>
      </c>
      <c r="DC218" s="0" t="n">
        <f aca="false">IF($A218="","",IF($AB218&amp;""=設定!$C$4,1,0))</f>
        <v>1</v>
      </c>
    </row>
    <row r="219" customFormat="false" ht="15" hidden="false" customHeight="false" outlineLevel="0" collapsed="false">
      <c r="A219" s="0" t="n">
        <v>21</v>
      </c>
      <c r="AA219" s="0" t="n">
        <v>21</v>
      </c>
      <c r="AB219" s="0" t="s">
        <v>96</v>
      </c>
      <c r="AD219" s="0" t="n">
        <v>0</v>
      </c>
      <c r="AE219" s="0" t="s">
        <v>295</v>
      </c>
      <c r="AH219" s="0" t="n">
        <v>1</v>
      </c>
      <c r="AJ219" s="0" t="n">
        <v>10</v>
      </c>
      <c r="AP219" s="0" t="n">
        <v>280000</v>
      </c>
      <c r="DB219" s="0" t="str">
        <f aca="false">IF($A219="","",IF($AH219=20,IF(AND(OR($A219=21,$A219=215),$AJ219=10),"①病院一般",IF(AND($A219=31,$AJ219=41),"②病院短期","対象外")),IF($AJ219=30,"③特定消防",IF(AND(OR($A219=21,$A219=215),$AJ219=10),"④一般",IF(AND($A219=31,$AJ219=41),"⑤短期","対象外")))))</f>
        <v>④一般</v>
      </c>
      <c r="DC219" s="0" t="n">
        <f aca="false">IF($A219="","",IF($AB219&amp;""=設定!$C$4,1,0))</f>
        <v>1</v>
      </c>
    </row>
    <row r="220" customFormat="false" ht="15" hidden="false" customHeight="false" outlineLevel="0" collapsed="false">
      <c r="A220" s="0" t="n">
        <v>21</v>
      </c>
      <c r="AA220" s="0" t="n">
        <v>21</v>
      </c>
      <c r="AB220" s="0" t="s">
        <v>96</v>
      </c>
      <c r="AD220" s="0" t="n">
        <v>0</v>
      </c>
      <c r="AE220" s="0" t="s">
        <v>295</v>
      </c>
      <c r="AH220" s="0" t="n">
        <v>1</v>
      </c>
      <c r="AJ220" s="0" t="n">
        <v>10</v>
      </c>
      <c r="AP220" s="0" t="n">
        <v>260000</v>
      </c>
      <c r="DB220" s="0" t="str">
        <f aca="false">IF($A220="","",IF($AH220=20,IF(AND(OR($A220=21,$A220=215),$AJ220=10),"①病院一般",IF(AND($A220=31,$AJ220=41),"②病院短期","対象外")),IF($AJ220=30,"③特定消防",IF(AND(OR($A220=21,$A220=215),$AJ220=10),"④一般",IF(AND($A220=31,$AJ220=41),"⑤短期","対象外")))))</f>
        <v>④一般</v>
      </c>
      <c r="DC220" s="0" t="n">
        <f aca="false">IF($A220="","",IF($AB220&amp;""=設定!$C$4,1,0))</f>
        <v>1</v>
      </c>
    </row>
    <row r="221" customFormat="false" ht="15" hidden="false" customHeight="false" outlineLevel="0" collapsed="false">
      <c r="A221" s="0" t="n">
        <v>21</v>
      </c>
      <c r="AA221" s="0" t="n">
        <v>21</v>
      </c>
      <c r="AB221" s="0" t="s">
        <v>96</v>
      </c>
      <c r="AD221" s="0" t="n">
        <v>0</v>
      </c>
      <c r="AE221" s="0" t="s">
        <v>295</v>
      </c>
      <c r="AH221" s="0" t="n">
        <v>1</v>
      </c>
      <c r="AJ221" s="0" t="n">
        <v>10</v>
      </c>
      <c r="AP221" s="0" t="n">
        <v>240000</v>
      </c>
      <c r="DB221" s="0" t="str">
        <f aca="false">IF($A221="","",IF($AH221=20,IF(AND(OR($A221=21,$A221=215),$AJ221=10),"①病院一般",IF(AND($A221=31,$AJ221=41),"②病院短期","対象外")),IF($AJ221=30,"③特定消防",IF(AND(OR($A221=21,$A221=215),$AJ221=10),"④一般",IF(AND($A221=31,$AJ221=41),"⑤短期","対象外")))))</f>
        <v>④一般</v>
      </c>
      <c r="DC221" s="0" t="n">
        <f aca="false">IF($A221="","",IF($AB221&amp;""=設定!$C$4,1,0))</f>
        <v>1</v>
      </c>
    </row>
    <row r="222" customFormat="false" ht="15" hidden="false" customHeight="false" outlineLevel="0" collapsed="false">
      <c r="A222" s="0" t="n">
        <v>21</v>
      </c>
      <c r="AA222" s="0" t="n">
        <v>21</v>
      </c>
      <c r="AB222" s="0" t="s">
        <v>96</v>
      </c>
      <c r="AD222" s="0" t="n">
        <v>0</v>
      </c>
      <c r="AE222" s="0" t="s">
        <v>295</v>
      </c>
      <c r="AH222" s="0" t="n">
        <v>1</v>
      </c>
      <c r="AJ222" s="0" t="n">
        <v>10</v>
      </c>
      <c r="AP222" s="0" t="n">
        <v>280000</v>
      </c>
      <c r="DB222" s="0" t="str">
        <f aca="false">IF($A222="","",IF($AH222=20,IF(AND(OR($A222=21,$A222=215),$AJ222=10),"①病院一般",IF(AND($A222=31,$AJ222=41),"②病院短期","対象外")),IF($AJ222=30,"③特定消防",IF(AND(OR($A222=21,$A222=215),$AJ222=10),"④一般",IF(AND($A222=31,$AJ222=41),"⑤短期","対象外")))))</f>
        <v>④一般</v>
      </c>
      <c r="DC222" s="0" t="n">
        <f aca="false">IF($A222="","",IF($AB222&amp;""=設定!$C$4,1,0))</f>
        <v>1</v>
      </c>
    </row>
    <row r="223" customFormat="false" ht="15" hidden="false" customHeight="false" outlineLevel="0" collapsed="false">
      <c r="A223" s="0" t="n">
        <v>21</v>
      </c>
      <c r="AA223" s="0" t="n">
        <v>21</v>
      </c>
      <c r="AB223" s="0" t="s">
        <v>96</v>
      </c>
      <c r="AD223" s="0" t="n">
        <v>0</v>
      </c>
      <c r="AE223" s="0" t="s">
        <v>295</v>
      </c>
      <c r="AH223" s="0" t="n">
        <v>1</v>
      </c>
      <c r="AJ223" s="0" t="n">
        <v>10</v>
      </c>
      <c r="AP223" s="0" t="n">
        <v>240000</v>
      </c>
      <c r="DB223" s="0" t="str">
        <f aca="false">IF($A223="","",IF($AH223=20,IF(AND(OR($A223=21,$A223=215),$AJ223=10),"①病院一般",IF(AND($A223=31,$AJ223=41),"②病院短期","対象外")),IF($AJ223=30,"③特定消防",IF(AND(OR($A223=21,$A223=215),$AJ223=10),"④一般",IF(AND($A223=31,$AJ223=41),"⑤短期","対象外")))))</f>
        <v>④一般</v>
      </c>
      <c r="DC223" s="0" t="n">
        <f aca="false">IF($A223="","",IF($AB223&amp;""=設定!$C$4,1,0))</f>
        <v>1</v>
      </c>
    </row>
    <row r="224" customFormat="false" ht="15" hidden="false" customHeight="false" outlineLevel="0" collapsed="false">
      <c r="A224" s="0" t="n">
        <v>21</v>
      </c>
      <c r="AA224" s="0" t="n">
        <v>21</v>
      </c>
      <c r="AB224" s="0" t="s">
        <v>96</v>
      </c>
      <c r="AD224" s="0" t="n">
        <v>0</v>
      </c>
      <c r="AE224" s="0" t="s">
        <v>295</v>
      </c>
      <c r="AH224" s="0" t="n">
        <v>1</v>
      </c>
      <c r="AJ224" s="0" t="n">
        <v>10</v>
      </c>
      <c r="AP224" s="0" t="n">
        <v>280000</v>
      </c>
      <c r="DB224" s="0" t="str">
        <f aca="false">IF($A224="","",IF($AH224=20,IF(AND(OR($A224=21,$A224=215),$AJ224=10),"①病院一般",IF(AND($A224=31,$AJ224=41),"②病院短期","対象外")),IF($AJ224=30,"③特定消防",IF(AND(OR($A224=21,$A224=215),$AJ224=10),"④一般",IF(AND($A224=31,$AJ224=41),"⑤短期","対象外")))))</f>
        <v>④一般</v>
      </c>
      <c r="DC224" s="0" t="n">
        <f aca="false">IF($A224="","",IF($AB224&amp;""=設定!$C$4,1,0))</f>
        <v>1</v>
      </c>
    </row>
    <row r="225" customFormat="false" ht="15" hidden="false" customHeight="false" outlineLevel="0" collapsed="false">
      <c r="A225" s="0" t="n">
        <v>21</v>
      </c>
      <c r="AA225" s="0" t="n">
        <v>21</v>
      </c>
      <c r="AB225" s="0" t="s">
        <v>96</v>
      </c>
      <c r="AD225" s="0" t="n">
        <v>0</v>
      </c>
      <c r="AE225" s="0" t="s">
        <v>295</v>
      </c>
      <c r="AH225" s="0" t="n">
        <v>1</v>
      </c>
      <c r="AJ225" s="0" t="n">
        <v>10</v>
      </c>
      <c r="AP225" s="0" t="n">
        <v>280000</v>
      </c>
      <c r="DB225" s="0" t="str">
        <f aca="false">IF($A225="","",IF($AH225=20,IF(AND(OR($A225=21,$A225=215),$AJ225=10),"①病院一般",IF(AND($A225=31,$AJ225=41),"②病院短期","対象外")),IF($AJ225=30,"③特定消防",IF(AND(OR($A225=21,$A225=215),$AJ225=10),"④一般",IF(AND($A225=31,$AJ225=41),"⑤短期","対象外")))))</f>
        <v>④一般</v>
      </c>
      <c r="DC225" s="0" t="n">
        <f aca="false">IF($A225="","",IF($AB225&amp;""=設定!$C$4,1,0))</f>
        <v>1</v>
      </c>
    </row>
    <row r="226" customFormat="false" ht="15" hidden="false" customHeight="false" outlineLevel="0" collapsed="false">
      <c r="A226" s="0" t="n">
        <v>21</v>
      </c>
      <c r="AA226" s="0" t="n">
        <v>21</v>
      </c>
      <c r="AB226" s="0" t="s">
        <v>96</v>
      </c>
      <c r="AD226" s="0" t="n">
        <v>0</v>
      </c>
      <c r="AE226" s="0" t="s">
        <v>295</v>
      </c>
      <c r="AH226" s="0" t="n">
        <v>1</v>
      </c>
      <c r="AJ226" s="0" t="n">
        <v>10</v>
      </c>
      <c r="AP226" s="0" t="n">
        <v>240000</v>
      </c>
      <c r="DB226" s="0" t="str">
        <f aca="false">IF($A226="","",IF($AH226=20,IF(AND(OR($A226=21,$A226=215),$AJ226=10),"①病院一般",IF(AND($A226=31,$AJ226=41),"②病院短期","対象外")),IF($AJ226=30,"③特定消防",IF(AND(OR($A226=21,$A226=215),$AJ226=10),"④一般",IF(AND($A226=31,$AJ226=41),"⑤短期","対象外")))))</f>
        <v>④一般</v>
      </c>
      <c r="DC226" s="0" t="n">
        <f aca="false">IF($A226="","",IF($AB226&amp;""=設定!$C$4,1,0))</f>
        <v>1</v>
      </c>
    </row>
    <row r="227" customFormat="false" ht="15" hidden="false" customHeight="false" outlineLevel="0" collapsed="false">
      <c r="A227" s="0" t="n">
        <v>21</v>
      </c>
      <c r="AA227" s="0" t="n">
        <v>21</v>
      </c>
      <c r="AB227" s="0" t="s">
        <v>96</v>
      </c>
      <c r="AD227" s="0" t="n">
        <v>0</v>
      </c>
      <c r="AE227" s="0" t="s">
        <v>295</v>
      </c>
      <c r="AH227" s="0" t="n">
        <v>1</v>
      </c>
      <c r="AJ227" s="0" t="n">
        <v>10</v>
      </c>
      <c r="AP227" s="0" t="n">
        <v>280000</v>
      </c>
      <c r="DB227" s="0" t="str">
        <f aca="false">IF($A227="","",IF($AH227=20,IF(AND(OR($A227=21,$A227=215),$AJ227=10),"①病院一般",IF(AND($A227=31,$AJ227=41),"②病院短期","対象外")),IF($AJ227=30,"③特定消防",IF(AND(OR($A227=21,$A227=215),$AJ227=10),"④一般",IF(AND($A227=31,$AJ227=41),"⑤短期","対象外")))))</f>
        <v>④一般</v>
      </c>
      <c r="DC227" s="0" t="n">
        <f aca="false">IF($A227="","",IF($AB227&amp;""=設定!$C$4,1,0))</f>
        <v>1</v>
      </c>
    </row>
    <row r="228" customFormat="false" ht="15" hidden="false" customHeight="false" outlineLevel="0" collapsed="false">
      <c r="A228" s="0" t="n">
        <v>21</v>
      </c>
      <c r="AA228" s="0" t="n">
        <v>21</v>
      </c>
      <c r="AB228" s="0" t="s">
        <v>96</v>
      </c>
      <c r="AD228" s="0" t="n">
        <v>0</v>
      </c>
      <c r="AE228" s="0" t="s">
        <v>295</v>
      </c>
      <c r="AH228" s="0" t="n">
        <v>1</v>
      </c>
      <c r="AJ228" s="0" t="n">
        <v>10</v>
      </c>
      <c r="AP228" s="0" t="n">
        <v>240000</v>
      </c>
      <c r="DB228" s="0" t="str">
        <f aca="false">IF($A228="","",IF($AH228=20,IF(AND(OR($A228=21,$A228=215),$AJ228=10),"①病院一般",IF(AND($A228=31,$AJ228=41),"②病院短期","対象外")),IF($AJ228=30,"③特定消防",IF(AND(OR($A228=21,$A228=215),$AJ228=10),"④一般",IF(AND($A228=31,$AJ228=41),"⑤短期","対象外")))))</f>
        <v>④一般</v>
      </c>
      <c r="DC228" s="0" t="n">
        <f aca="false">IF($A228="","",IF($AB228&amp;""=設定!$C$4,1,0))</f>
        <v>1</v>
      </c>
    </row>
    <row r="229" customFormat="false" ht="15" hidden="false" customHeight="false" outlineLevel="0" collapsed="false">
      <c r="A229" s="0" t="n">
        <v>21</v>
      </c>
      <c r="AA229" s="0" t="n">
        <v>21</v>
      </c>
      <c r="AB229" s="0" t="s">
        <v>96</v>
      </c>
      <c r="AD229" s="0" t="n">
        <v>0</v>
      </c>
      <c r="AE229" s="0" t="s">
        <v>295</v>
      </c>
      <c r="AH229" s="0" t="n">
        <v>1</v>
      </c>
      <c r="AJ229" s="0" t="n">
        <v>10</v>
      </c>
      <c r="AP229" s="0" t="n">
        <v>260000</v>
      </c>
      <c r="DB229" s="0" t="str">
        <f aca="false">IF($A229="","",IF($AH229=20,IF(AND(OR($A229=21,$A229=215),$AJ229=10),"①病院一般",IF(AND($A229=31,$AJ229=41),"②病院短期","対象外")),IF($AJ229=30,"③特定消防",IF(AND(OR($A229=21,$A229=215),$AJ229=10),"④一般",IF(AND($A229=31,$AJ229=41),"⑤短期","対象外")))))</f>
        <v>④一般</v>
      </c>
      <c r="DC229" s="0" t="n">
        <f aca="false">IF($A229="","",IF($AB229&amp;""=設定!$C$4,1,0))</f>
        <v>1</v>
      </c>
    </row>
    <row r="230" customFormat="false" ht="15" hidden="false" customHeight="false" outlineLevel="0" collapsed="false">
      <c r="A230" s="0" t="n">
        <v>21</v>
      </c>
      <c r="AA230" s="0" t="n">
        <v>21</v>
      </c>
      <c r="AB230" s="0" t="s">
        <v>96</v>
      </c>
      <c r="AD230" s="0" t="n">
        <v>0</v>
      </c>
      <c r="AE230" s="0" t="s">
        <v>295</v>
      </c>
      <c r="AH230" s="0" t="n">
        <v>1</v>
      </c>
      <c r="AJ230" s="0" t="n">
        <v>10</v>
      </c>
      <c r="AP230" s="0" t="n">
        <v>240000</v>
      </c>
      <c r="DB230" s="0" t="str">
        <f aca="false">IF($A230="","",IF($AH230=20,IF(AND(OR($A230=21,$A230=215),$AJ230=10),"①病院一般",IF(AND($A230=31,$AJ230=41),"②病院短期","対象外")),IF($AJ230=30,"③特定消防",IF(AND(OR($A230=21,$A230=215),$AJ230=10),"④一般",IF(AND($A230=31,$AJ230=41),"⑤短期","対象外")))))</f>
        <v>④一般</v>
      </c>
      <c r="DC230" s="0" t="n">
        <f aca="false">IF($A230="","",IF($AB230&amp;""=設定!$C$4,1,0))</f>
        <v>1</v>
      </c>
    </row>
    <row r="231" customFormat="false" ht="15" hidden="false" customHeight="false" outlineLevel="0" collapsed="false">
      <c r="A231" s="0" t="n">
        <v>21</v>
      </c>
      <c r="AA231" s="0" t="n">
        <v>21</v>
      </c>
      <c r="AB231" s="0" t="s">
        <v>96</v>
      </c>
      <c r="AD231" s="0" t="n">
        <v>0</v>
      </c>
      <c r="AE231" s="0" t="s">
        <v>295</v>
      </c>
      <c r="AH231" s="0" t="n">
        <v>1</v>
      </c>
      <c r="AJ231" s="0" t="n">
        <v>10</v>
      </c>
      <c r="AP231" s="0" t="n">
        <v>240000</v>
      </c>
      <c r="DB231" s="0" t="str">
        <f aca="false">IF($A231="","",IF($AH231=20,IF(AND(OR($A231=21,$A231=215),$AJ231=10),"①病院一般",IF(AND($A231=31,$AJ231=41),"②病院短期","対象外")),IF($AJ231=30,"③特定消防",IF(AND(OR($A231=21,$A231=215),$AJ231=10),"④一般",IF(AND($A231=31,$AJ231=41),"⑤短期","対象外")))))</f>
        <v>④一般</v>
      </c>
      <c r="DC231" s="0" t="n">
        <f aca="false">IF($A231="","",IF($AB231&amp;""=設定!$C$4,1,0))</f>
        <v>1</v>
      </c>
    </row>
    <row r="232" customFormat="false" ht="15" hidden="false" customHeight="false" outlineLevel="0" collapsed="false">
      <c r="A232" s="0" t="n">
        <v>21</v>
      </c>
      <c r="AA232" s="0" t="n">
        <v>21</v>
      </c>
      <c r="AB232" s="0" t="s">
        <v>96</v>
      </c>
      <c r="AD232" s="0" t="n">
        <v>0</v>
      </c>
      <c r="AE232" s="0" t="s">
        <v>295</v>
      </c>
      <c r="AH232" s="0" t="n">
        <v>1</v>
      </c>
      <c r="AJ232" s="0" t="n">
        <v>10</v>
      </c>
      <c r="AP232" s="0" t="n">
        <v>280000</v>
      </c>
      <c r="DB232" s="0" t="str">
        <f aca="false">IF($A232="","",IF($AH232=20,IF(AND(OR($A232=21,$A232=215),$AJ232=10),"①病院一般",IF(AND($A232=31,$AJ232=41),"②病院短期","対象外")),IF($AJ232=30,"③特定消防",IF(AND(OR($A232=21,$A232=215),$AJ232=10),"④一般",IF(AND($A232=31,$AJ232=41),"⑤短期","対象外")))))</f>
        <v>④一般</v>
      </c>
      <c r="DC232" s="0" t="n">
        <f aca="false">IF($A232="","",IF($AB232&amp;""=設定!$C$4,1,0))</f>
        <v>1</v>
      </c>
    </row>
    <row r="233" customFormat="false" ht="15" hidden="false" customHeight="false" outlineLevel="0" collapsed="false">
      <c r="A233" s="0" t="n">
        <v>21</v>
      </c>
      <c r="AA233" s="0" t="n">
        <v>21</v>
      </c>
      <c r="AB233" s="0" t="s">
        <v>96</v>
      </c>
      <c r="AD233" s="0" t="n">
        <v>0</v>
      </c>
      <c r="AE233" s="0" t="s">
        <v>295</v>
      </c>
      <c r="AH233" s="0" t="n">
        <v>1</v>
      </c>
      <c r="AJ233" s="0" t="n">
        <v>10</v>
      </c>
      <c r="AP233" s="0" t="n">
        <v>240000</v>
      </c>
      <c r="DB233" s="0" t="str">
        <f aca="false">IF($A233="","",IF($AH233=20,IF(AND(OR($A233=21,$A233=215),$AJ233=10),"①病院一般",IF(AND($A233=31,$AJ233=41),"②病院短期","対象外")),IF($AJ233=30,"③特定消防",IF(AND(OR($A233=21,$A233=215),$AJ233=10),"④一般",IF(AND($A233=31,$AJ233=41),"⑤短期","対象外")))))</f>
        <v>④一般</v>
      </c>
      <c r="DC233" s="0" t="n">
        <f aca="false">IF($A233="","",IF($AB233&amp;""=設定!$C$4,1,0))</f>
        <v>1</v>
      </c>
    </row>
    <row r="234" customFormat="false" ht="15" hidden="false" customHeight="false" outlineLevel="0" collapsed="false">
      <c r="A234" s="0" t="n">
        <v>21</v>
      </c>
      <c r="AA234" s="0" t="n">
        <v>21</v>
      </c>
      <c r="AB234" s="0" t="s">
        <v>96</v>
      </c>
      <c r="AD234" s="0" t="n">
        <v>0</v>
      </c>
      <c r="AE234" s="0" t="s">
        <v>295</v>
      </c>
      <c r="AH234" s="0" t="n">
        <v>1</v>
      </c>
      <c r="AJ234" s="0" t="n">
        <v>10</v>
      </c>
      <c r="AP234" s="0" t="n">
        <v>260000</v>
      </c>
      <c r="DB234" s="0" t="str">
        <f aca="false">IF($A234="","",IF($AH234=20,IF(AND(OR($A234=21,$A234=215),$AJ234=10),"①病院一般",IF(AND($A234=31,$AJ234=41),"②病院短期","対象外")),IF($AJ234=30,"③特定消防",IF(AND(OR($A234=21,$A234=215),$AJ234=10),"④一般",IF(AND($A234=31,$AJ234=41),"⑤短期","対象外")))))</f>
        <v>④一般</v>
      </c>
      <c r="DC234" s="0" t="n">
        <f aca="false">IF($A234="","",IF($AB234&amp;""=設定!$C$4,1,0))</f>
        <v>1</v>
      </c>
    </row>
    <row r="235" customFormat="false" ht="15" hidden="false" customHeight="false" outlineLevel="0" collapsed="false">
      <c r="A235" s="0" t="n">
        <v>21</v>
      </c>
      <c r="AA235" s="0" t="n">
        <v>21</v>
      </c>
      <c r="AB235" s="0" t="s">
        <v>96</v>
      </c>
      <c r="AD235" s="0" t="n">
        <v>0</v>
      </c>
      <c r="AE235" s="0" t="s">
        <v>295</v>
      </c>
      <c r="AH235" s="0" t="n">
        <v>1</v>
      </c>
      <c r="AJ235" s="0" t="n">
        <v>10</v>
      </c>
      <c r="AP235" s="0" t="n">
        <v>260000</v>
      </c>
      <c r="DB235" s="0" t="str">
        <f aca="false">IF($A235="","",IF($AH235=20,IF(AND(OR($A235=21,$A235=215),$AJ235=10),"①病院一般",IF(AND($A235=31,$AJ235=41),"②病院短期","対象外")),IF($AJ235=30,"③特定消防",IF(AND(OR($A235=21,$A235=215),$AJ235=10),"④一般",IF(AND($A235=31,$AJ235=41),"⑤短期","対象外")))))</f>
        <v>④一般</v>
      </c>
      <c r="DC235" s="0" t="n">
        <f aca="false">IF($A235="","",IF($AB235&amp;""=設定!$C$4,1,0))</f>
        <v>1</v>
      </c>
    </row>
    <row r="236" customFormat="false" ht="15" hidden="false" customHeight="false" outlineLevel="0" collapsed="false">
      <c r="A236" s="0" t="n">
        <v>21</v>
      </c>
      <c r="AA236" s="0" t="n">
        <v>21</v>
      </c>
      <c r="AB236" s="0" t="s">
        <v>96</v>
      </c>
      <c r="AD236" s="0" t="n">
        <v>0</v>
      </c>
      <c r="AE236" s="0" t="s">
        <v>295</v>
      </c>
      <c r="AH236" s="0" t="n">
        <v>1</v>
      </c>
      <c r="AJ236" s="0" t="n">
        <v>10</v>
      </c>
      <c r="AP236" s="0" t="n">
        <v>240000</v>
      </c>
      <c r="DB236" s="0" t="str">
        <f aca="false">IF($A236="","",IF($AH236=20,IF(AND(OR($A236=21,$A236=215),$AJ236=10),"①病院一般",IF(AND($A236=31,$AJ236=41),"②病院短期","対象外")),IF($AJ236=30,"③特定消防",IF(AND(OR($A236=21,$A236=215),$AJ236=10),"④一般",IF(AND($A236=31,$AJ236=41),"⑤短期","対象外")))))</f>
        <v>④一般</v>
      </c>
      <c r="DC236" s="0" t="n">
        <f aca="false">IF($A236="","",IF($AB236&amp;""=設定!$C$4,1,0))</f>
        <v>1</v>
      </c>
    </row>
    <row r="237" customFormat="false" ht="15" hidden="false" customHeight="false" outlineLevel="0" collapsed="false">
      <c r="A237" s="0" t="n">
        <v>21</v>
      </c>
      <c r="AA237" s="0" t="n">
        <v>21</v>
      </c>
      <c r="AB237" s="0" t="s">
        <v>96</v>
      </c>
      <c r="AD237" s="0" t="n">
        <v>0</v>
      </c>
      <c r="AE237" s="0" t="s">
        <v>295</v>
      </c>
      <c r="AH237" s="0" t="n">
        <v>1</v>
      </c>
      <c r="AJ237" s="0" t="n">
        <v>10</v>
      </c>
      <c r="AP237" s="0" t="n">
        <v>190000</v>
      </c>
      <c r="DB237" s="0" t="str">
        <f aca="false">IF($A237="","",IF($AH237=20,IF(AND(OR($A237=21,$A237=215),$AJ237=10),"①病院一般",IF(AND($A237=31,$AJ237=41),"②病院短期","対象外")),IF($AJ237=30,"③特定消防",IF(AND(OR($A237=21,$A237=215),$AJ237=10),"④一般",IF(AND($A237=31,$AJ237=41),"⑤短期","対象外")))))</f>
        <v>④一般</v>
      </c>
      <c r="DC237" s="0" t="n">
        <f aca="false">IF($A237="","",IF($AB237&amp;""=設定!$C$4,1,0))</f>
        <v>1</v>
      </c>
    </row>
    <row r="238" customFormat="false" ht="15" hidden="false" customHeight="false" outlineLevel="0" collapsed="false">
      <c r="A238" s="0" t="n">
        <v>21</v>
      </c>
      <c r="AA238" s="0" t="n">
        <v>21</v>
      </c>
      <c r="AB238" s="0" t="s">
        <v>96</v>
      </c>
      <c r="AD238" s="0" t="n">
        <v>0</v>
      </c>
      <c r="AE238" s="0" t="s">
        <v>295</v>
      </c>
      <c r="AH238" s="0" t="n">
        <v>1</v>
      </c>
      <c r="AJ238" s="0" t="n">
        <v>10</v>
      </c>
      <c r="AP238" s="0" t="n">
        <v>260000</v>
      </c>
      <c r="DB238" s="0" t="str">
        <f aca="false">IF($A238="","",IF($AH238=20,IF(AND(OR($A238=21,$A238=215),$AJ238=10),"①病院一般",IF(AND($A238=31,$AJ238=41),"②病院短期","対象外")),IF($AJ238=30,"③特定消防",IF(AND(OR($A238=21,$A238=215),$AJ238=10),"④一般",IF(AND($A238=31,$AJ238=41),"⑤短期","対象外")))))</f>
        <v>④一般</v>
      </c>
      <c r="DC238" s="0" t="n">
        <f aca="false">IF($A238="","",IF($AB238&amp;""=設定!$C$4,1,0))</f>
        <v>1</v>
      </c>
    </row>
    <row r="239" customFormat="false" ht="15" hidden="false" customHeight="false" outlineLevel="0" collapsed="false">
      <c r="A239" s="0" t="n">
        <v>21</v>
      </c>
      <c r="AA239" s="0" t="n">
        <v>21</v>
      </c>
      <c r="AB239" s="0" t="s">
        <v>96</v>
      </c>
      <c r="AD239" s="0" t="n">
        <v>0</v>
      </c>
      <c r="AE239" s="0" t="s">
        <v>295</v>
      </c>
      <c r="AH239" s="0" t="n">
        <v>1</v>
      </c>
      <c r="AJ239" s="0" t="n">
        <v>10</v>
      </c>
      <c r="AP239" s="0" t="n">
        <v>260000</v>
      </c>
      <c r="DB239" s="0" t="str">
        <f aca="false">IF($A239="","",IF($AH239=20,IF(AND(OR($A239=21,$A239=215),$AJ239=10),"①病院一般",IF(AND($A239=31,$AJ239=41),"②病院短期","対象外")),IF($AJ239=30,"③特定消防",IF(AND(OR($A239=21,$A239=215),$AJ239=10),"④一般",IF(AND($A239=31,$AJ239=41),"⑤短期","対象外")))))</f>
        <v>④一般</v>
      </c>
      <c r="DC239" s="0" t="n">
        <f aca="false">IF($A239="","",IF($AB239&amp;""=設定!$C$4,1,0))</f>
        <v>1</v>
      </c>
    </row>
    <row r="240" customFormat="false" ht="15" hidden="false" customHeight="false" outlineLevel="0" collapsed="false">
      <c r="A240" s="0" t="n">
        <v>21</v>
      </c>
      <c r="AA240" s="0" t="n">
        <v>21</v>
      </c>
      <c r="AB240" s="0" t="s">
        <v>96</v>
      </c>
      <c r="AD240" s="0" t="n">
        <v>0</v>
      </c>
      <c r="AE240" s="0" t="s">
        <v>295</v>
      </c>
      <c r="AH240" s="0" t="n">
        <v>1</v>
      </c>
      <c r="AJ240" s="0" t="n">
        <v>10</v>
      </c>
      <c r="AP240" s="0" t="n">
        <v>240000</v>
      </c>
      <c r="DB240" s="0" t="str">
        <f aca="false">IF($A240="","",IF($AH240=20,IF(AND(OR($A240=21,$A240=215),$AJ240=10),"①病院一般",IF(AND($A240=31,$AJ240=41),"②病院短期","対象外")),IF($AJ240=30,"③特定消防",IF(AND(OR($A240=21,$A240=215),$AJ240=10),"④一般",IF(AND($A240=31,$AJ240=41),"⑤短期","対象外")))))</f>
        <v>④一般</v>
      </c>
      <c r="DC240" s="0" t="n">
        <f aca="false">IF($A240="","",IF($AB240&amp;""=設定!$C$4,1,0))</f>
        <v>1</v>
      </c>
    </row>
    <row r="241" customFormat="false" ht="15" hidden="false" customHeight="false" outlineLevel="0" collapsed="false">
      <c r="A241" s="0" t="n">
        <v>21</v>
      </c>
      <c r="AA241" s="0" t="n">
        <v>21</v>
      </c>
      <c r="AB241" s="0" t="s">
        <v>96</v>
      </c>
      <c r="AD241" s="0" t="n">
        <v>0</v>
      </c>
      <c r="AE241" s="0" t="s">
        <v>295</v>
      </c>
      <c r="AH241" s="0" t="n">
        <v>1</v>
      </c>
      <c r="AJ241" s="0" t="n">
        <v>10</v>
      </c>
      <c r="AP241" s="0" t="n">
        <v>240000</v>
      </c>
      <c r="DB241" s="0" t="str">
        <f aca="false">IF($A241="","",IF($AH241=20,IF(AND(OR($A241=21,$A241=215),$AJ241=10),"①病院一般",IF(AND($A241=31,$AJ241=41),"②病院短期","対象外")),IF($AJ241=30,"③特定消防",IF(AND(OR($A241=21,$A241=215),$AJ241=10),"④一般",IF(AND($A241=31,$AJ241=41),"⑤短期","対象外")))))</f>
        <v>④一般</v>
      </c>
      <c r="DC241" s="0" t="n">
        <f aca="false">IF($A241="","",IF($AB241&amp;""=設定!$C$4,1,0))</f>
        <v>1</v>
      </c>
    </row>
    <row r="242" customFormat="false" ht="15" hidden="false" customHeight="false" outlineLevel="0" collapsed="false">
      <c r="A242" s="0" t="n">
        <v>21</v>
      </c>
      <c r="AA242" s="0" t="n">
        <v>21</v>
      </c>
      <c r="AB242" s="0" t="s">
        <v>96</v>
      </c>
      <c r="AD242" s="0" t="n">
        <v>0</v>
      </c>
      <c r="AE242" s="0" t="s">
        <v>295</v>
      </c>
      <c r="AH242" s="0" t="n">
        <v>1</v>
      </c>
      <c r="AJ242" s="0" t="n">
        <v>10</v>
      </c>
      <c r="AP242" s="0" t="n">
        <v>240000</v>
      </c>
      <c r="DB242" s="0" t="str">
        <f aca="false">IF($A242="","",IF($AH242=20,IF(AND(OR($A242=21,$A242=215),$AJ242=10),"①病院一般",IF(AND($A242=31,$AJ242=41),"②病院短期","対象外")),IF($AJ242=30,"③特定消防",IF(AND(OR($A242=21,$A242=215),$AJ242=10),"④一般",IF(AND($A242=31,$AJ242=41),"⑤短期","対象外")))))</f>
        <v>④一般</v>
      </c>
      <c r="DC242" s="0" t="n">
        <f aca="false">IF($A242="","",IF($AB242&amp;""=設定!$C$4,1,0))</f>
        <v>1</v>
      </c>
    </row>
    <row r="243" customFormat="false" ht="15" hidden="false" customHeight="false" outlineLevel="0" collapsed="false">
      <c r="A243" s="0" t="n">
        <v>21</v>
      </c>
      <c r="AA243" s="0" t="n">
        <v>21</v>
      </c>
      <c r="AB243" s="0" t="s">
        <v>96</v>
      </c>
      <c r="AD243" s="0" t="n">
        <v>0</v>
      </c>
      <c r="AE243" s="0" t="s">
        <v>295</v>
      </c>
      <c r="AH243" s="0" t="n">
        <v>1</v>
      </c>
      <c r="AJ243" s="0" t="n">
        <v>10</v>
      </c>
      <c r="AP243" s="0" t="n">
        <v>280000</v>
      </c>
      <c r="DB243" s="0" t="str">
        <f aca="false">IF($A243="","",IF($AH243=20,IF(AND(OR($A243=21,$A243=215),$AJ243=10),"①病院一般",IF(AND($A243=31,$AJ243=41),"②病院短期","対象外")),IF($AJ243=30,"③特定消防",IF(AND(OR($A243=21,$A243=215),$AJ243=10),"④一般",IF(AND($A243=31,$AJ243=41),"⑤短期","対象外")))))</f>
        <v>④一般</v>
      </c>
      <c r="DC243" s="0" t="n">
        <f aca="false">IF($A243="","",IF($AB243&amp;""=設定!$C$4,1,0))</f>
        <v>1</v>
      </c>
    </row>
    <row r="244" customFormat="false" ht="15" hidden="false" customHeight="false" outlineLevel="0" collapsed="false">
      <c r="A244" s="0" t="n">
        <v>21</v>
      </c>
      <c r="AA244" s="0" t="n">
        <v>21</v>
      </c>
      <c r="AB244" s="0" t="s">
        <v>96</v>
      </c>
      <c r="AD244" s="0" t="n">
        <v>0</v>
      </c>
      <c r="AE244" s="0" t="s">
        <v>295</v>
      </c>
      <c r="AH244" s="0" t="n">
        <v>1</v>
      </c>
      <c r="AJ244" s="0" t="n">
        <v>10</v>
      </c>
      <c r="AP244" s="0" t="n">
        <v>280000</v>
      </c>
      <c r="DB244" s="0" t="str">
        <f aca="false">IF($A244="","",IF($AH244=20,IF(AND(OR($A244=21,$A244=215),$AJ244=10),"①病院一般",IF(AND($A244=31,$AJ244=41),"②病院短期","対象外")),IF($AJ244=30,"③特定消防",IF(AND(OR($A244=21,$A244=215),$AJ244=10),"④一般",IF(AND($A244=31,$AJ244=41),"⑤短期","対象外")))))</f>
        <v>④一般</v>
      </c>
      <c r="DC244" s="0" t="n">
        <f aca="false">IF($A244="","",IF($AB244&amp;""=設定!$C$4,1,0))</f>
        <v>1</v>
      </c>
    </row>
    <row r="245" customFormat="false" ht="15" hidden="false" customHeight="false" outlineLevel="0" collapsed="false">
      <c r="A245" s="0" t="n">
        <v>21</v>
      </c>
      <c r="AA245" s="0" t="n">
        <v>21</v>
      </c>
      <c r="AB245" s="0" t="s">
        <v>96</v>
      </c>
      <c r="AD245" s="0" t="n">
        <v>0</v>
      </c>
      <c r="AE245" s="0" t="s">
        <v>295</v>
      </c>
      <c r="AH245" s="0" t="n">
        <v>1</v>
      </c>
      <c r="AJ245" s="0" t="n">
        <v>10</v>
      </c>
      <c r="AP245" s="0" t="n">
        <v>240000</v>
      </c>
      <c r="DB245" s="0" t="str">
        <f aca="false">IF($A245="","",IF($AH245=20,IF(AND(OR($A245=21,$A245=215),$AJ245=10),"①病院一般",IF(AND($A245=31,$AJ245=41),"②病院短期","対象外")),IF($AJ245=30,"③特定消防",IF(AND(OR($A245=21,$A245=215),$AJ245=10),"④一般",IF(AND($A245=31,$AJ245=41),"⑤短期","対象外")))))</f>
        <v>④一般</v>
      </c>
      <c r="DC245" s="0" t="n">
        <f aca="false">IF($A245="","",IF($AB245&amp;""=設定!$C$4,1,0))</f>
        <v>1</v>
      </c>
    </row>
    <row r="246" customFormat="false" ht="15" hidden="false" customHeight="false" outlineLevel="0" collapsed="false">
      <c r="A246" s="0" t="n">
        <v>21</v>
      </c>
      <c r="AA246" s="0" t="n">
        <v>21</v>
      </c>
      <c r="AB246" s="0" t="s">
        <v>96</v>
      </c>
      <c r="AD246" s="0" t="n">
        <v>0</v>
      </c>
      <c r="AE246" s="0" t="s">
        <v>295</v>
      </c>
      <c r="AH246" s="0" t="n">
        <v>1</v>
      </c>
      <c r="AJ246" s="0" t="n">
        <v>10</v>
      </c>
      <c r="AP246" s="0" t="n">
        <v>240000</v>
      </c>
      <c r="DB246" s="0" t="str">
        <f aca="false">IF($A246="","",IF($AH246=20,IF(AND(OR($A246=21,$A246=215),$AJ246=10),"①病院一般",IF(AND($A246=31,$AJ246=41),"②病院短期","対象外")),IF($AJ246=30,"③特定消防",IF(AND(OR($A246=21,$A246=215),$AJ246=10),"④一般",IF(AND($A246=31,$AJ246=41),"⑤短期","対象外")))))</f>
        <v>④一般</v>
      </c>
      <c r="DC246" s="0" t="n">
        <f aca="false">IF($A246="","",IF($AB246&amp;""=設定!$C$4,1,0))</f>
        <v>1</v>
      </c>
    </row>
    <row r="247" customFormat="false" ht="15" hidden="false" customHeight="false" outlineLevel="0" collapsed="false">
      <c r="A247" s="0" t="n">
        <v>21</v>
      </c>
      <c r="AA247" s="0" t="n">
        <v>21</v>
      </c>
      <c r="AB247" s="0" t="s">
        <v>96</v>
      </c>
      <c r="AD247" s="0" t="n">
        <v>0</v>
      </c>
      <c r="AE247" s="0" t="s">
        <v>295</v>
      </c>
      <c r="AH247" s="0" t="n">
        <v>4</v>
      </c>
      <c r="AJ247" s="0" t="n">
        <v>10</v>
      </c>
      <c r="AP247" s="0" t="n">
        <v>320000</v>
      </c>
      <c r="DB247" s="0" t="str">
        <f aca="false">IF($A247="","",IF($AH247=20,IF(AND(OR($A247=21,$A247=215),$AJ247=10),"①病院一般",IF(AND($A247=31,$AJ247=41),"②病院短期","対象外")),IF($AJ247=30,"③特定消防",IF(AND(OR($A247=21,$A247=215),$AJ247=10),"④一般",IF(AND($A247=31,$AJ247=41),"⑤短期","対象外")))))</f>
        <v>④一般</v>
      </c>
      <c r="DC247" s="0" t="n">
        <f aca="false">IF($A247="","",IF($AB247&amp;""=設定!$C$4,1,0))</f>
        <v>1</v>
      </c>
    </row>
    <row r="248" customFormat="false" ht="15" hidden="false" customHeight="false" outlineLevel="0" collapsed="false">
      <c r="A248" s="0" t="n">
        <v>21</v>
      </c>
      <c r="AA248" s="0" t="n">
        <v>21</v>
      </c>
      <c r="AB248" s="0" t="s">
        <v>96</v>
      </c>
      <c r="AD248" s="0" t="n">
        <v>0</v>
      </c>
      <c r="AE248" s="0" t="s">
        <v>295</v>
      </c>
      <c r="AH248" s="0" t="n">
        <v>1</v>
      </c>
      <c r="AJ248" s="0" t="n">
        <v>10</v>
      </c>
      <c r="AP248" s="0" t="n">
        <v>320000</v>
      </c>
      <c r="DB248" s="0" t="str">
        <f aca="false">IF($A248="","",IF($AH248=20,IF(AND(OR($A248=21,$A248=215),$AJ248=10),"①病院一般",IF(AND($A248=31,$AJ248=41),"②病院短期","対象外")),IF($AJ248=30,"③特定消防",IF(AND(OR($A248=21,$A248=215),$AJ248=10),"④一般",IF(AND($A248=31,$AJ248=41),"⑤短期","対象外")))))</f>
        <v>④一般</v>
      </c>
      <c r="DC248" s="0" t="n">
        <f aca="false">IF($A248="","",IF($AB248&amp;""=設定!$C$4,1,0))</f>
        <v>1</v>
      </c>
    </row>
    <row r="249" customFormat="false" ht="15" hidden="false" customHeight="false" outlineLevel="0" collapsed="false">
      <c r="A249" s="0" t="n">
        <v>21</v>
      </c>
      <c r="AA249" s="0" t="n">
        <v>21</v>
      </c>
      <c r="AB249" s="0" t="s">
        <v>96</v>
      </c>
      <c r="AD249" s="0" t="n">
        <v>0</v>
      </c>
      <c r="AE249" s="0" t="s">
        <v>295</v>
      </c>
      <c r="AH249" s="0" t="n">
        <v>11</v>
      </c>
      <c r="AJ249" s="0" t="n">
        <v>10</v>
      </c>
      <c r="AP249" s="0" t="n">
        <v>300000</v>
      </c>
      <c r="DB249" s="0" t="str">
        <f aca="false">IF($A249="","",IF($AH249=20,IF(AND(OR($A249=21,$A249=215),$AJ249=10),"①病院一般",IF(AND($A249=31,$AJ249=41),"②病院短期","対象外")),IF($AJ249=30,"③特定消防",IF(AND(OR($A249=21,$A249=215),$AJ249=10),"④一般",IF(AND($A249=31,$AJ249=41),"⑤短期","対象外")))))</f>
        <v>④一般</v>
      </c>
      <c r="DC249" s="0" t="n">
        <f aca="false">IF($A249="","",IF($AB249&amp;""=設定!$C$4,1,0))</f>
        <v>1</v>
      </c>
    </row>
    <row r="250" customFormat="false" ht="15" hidden="false" customHeight="false" outlineLevel="0" collapsed="false">
      <c r="A250" s="0" t="n">
        <v>21</v>
      </c>
      <c r="AA250" s="0" t="n">
        <v>21</v>
      </c>
      <c r="AB250" s="0" t="s">
        <v>96</v>
      </c>
      <c r="AD250" s="0" t="n">
        <v>0</v>
      </c>
      <c r="AE250" s="0" t="s">
        <v>295</v>
      </c>
      <c r="AH250" s="0" t="n">
        <v>1</v>
      </c>
      <c r="AJ250" s="0" t="n">
        <v>10</v>
      </c>
      <c r="AP250" s="0" t="n">
        <v>260000</v>
      </c>
      <c r="DB250" s="0" t="str">
        <f aca="false">IF($A250="","",IF($AH250=20,IF(AND(OR($A250=21,$A250=215),$AJ250=10),"①病院一般",IF(AND($A250=31,$AJ250=41),"②病院短期","対象外")),IF($AJ250=30,"③特定消防",IF(AND(OR($A250=21,$A250=215),$AJ250=10),"④一般",IF(AND($A250=31,$AJ250=41),"⑤短期","対象外")))))</f>
        <v>④一般</v>
      </c>
      <c r="DC250" s="0" t="n">
        <f aca="false">IF($A250="","",IF($AB250&amp;""=設定!$C$4,1,0))</f>
        <v>1</v>
      </c>
    </row>
    <row r="251" customFormat="false" ht="15" hidden="false" customHeight="false" outlineLevel="0" collapsed="false">
      <c r="A251" s="0" t="n">
        <v>21</v>
      </c>
      <c r="AA251" s="0" t="n">
        <v>21</v>
      </c>
      <c r="AB251" s="0" t="s">
        <v>96</v>
      </c>
      <c r="AD251" s="0" t="n">
        <v>0</v>
      </c>
      <c r="AE251" s="0" t="s">
        <v>295</v>
      </c>
      <c r="AH251" s="0" t="n">
        <v>11</v>
      </c>
      <c r="AJ251" s="0" t="n">
        <v>10</v>
      </c>
      <c r="AP251" s="0" t="n">
        <v>280000</v>
      </c>
      <c r="DB251" s="0" t="str">
        <f aca="false">IF($A251="","",IF($AH251=20,IF(AND(OR($A251=21,$A251=215),$AJ251=10),"①病院一般",IF(AND($A251=31,$AJ251=41),"②病院短期","対象外")),IF($AJ251=30,"③特定消防",IF(AND(OR($A251=21,$A251=215),$AJ251=10),"④一般",IF(AND($A251=31,$AJ251=41),"⑤短期","対象外")))))</f>
        <v>④一般</v>
      </c>
      <c r="DC251" s="0" t="n">
        <f aca="false">IF($A251="","",IF($AB251&amp;""=設定!$C$4,1,0))</f>
        <v>1</v>
      </c>
    </row>
    <row r="252" customFormat="false" ht="15" hidden="false" customHeight="false" outlineLevel="0" collapsed="false">
      <c r="A252" s="0" t="n">
        <v>21</v>
      </c>
      <c r="AA252" s="0" t="n">
        <v>21</v>
      </c>
      <c r="AB252" s="0" t="s">
        <v>96</v>
      </c>
      <c r="AD252" s="0" t="n">
        <v>0</v>
      </c>
      <c r="AE252" s="0" t="s">
        <v>295</v>
      </c>
      <c r="AH252" s="0" t="n">
        <v>1</v>
      </c>
      <c r="AJ252" s="0" t="n">
        <v>10</v>
      </c>
      <c r="AP252" s="0" t="n">
        <v>220000</v>
      </c>
      <c r="DB252" s="0" t="str">
        <f aca="false">IF($A252="","",IF($AH252=20,IF(AND(OR($A252=21,$A252=215),$AJ252=10),"①病院一般",IF(AND($A252=31,$AJ252=41),"②病院短期","対象外")),IF($AJ252=30,"③特定消防",IF(AND(OR($A252=21,$A252=215),$AJ252=10),"④一般",IF(AND($A252=31,$AJ252=41),"⑤短期","対象外")))))</f>
        <v>④一般</v>
      </c>
      <c r="DC252" s="0" t="n">
        <f aca="false">IF($A252="","",IF($AB252&amp;""=設定!$C$4,1,0))</f>
        <v>1</v>
      </c>
    </row>
    <row r="253" customFormat="false" ht="15" hidden="false" customHeight="false" outlineLevel="0" collapsed="false">
      <c r="A253" s="0" t="n">
        <v>21</v>
      </c>
      <c r="AA253" s="0" t="n">
        <v>21</v>
      </c>
      <c r="AB253" s="0" t="s">
        <v>96</v>
      </c>
      <c r="AD253" s="0" t="n">
        <v>0</v>
      </c>
      <c r="AE253" s="0" t="s">
        <v>295</v>
      </c>
      <c r="AH253" s="0" t="n">
        <v>4</v>
      </c>
      <c r="AJ253" s="0" t="n">
        <v>10</v>
      </c>
      <c r="AP253" s="0" t="n">
        <v>240000</v>
      </c>
      <c r="DB253" s="0" t="str">
        <f aca="false">IF($A253="","",IF($AH253=20,IF(AND(OR($A253=21,$A253=215),$AJ253=10),"①病院一般",IF(AND($A253=31,$AJ253=41),"②病院短期","対象外")),IF($AJ253=30,"③特定消防",IF(AND(OR($A253=21,$A253=215),$AJ253=10),"④一般",IF(AND($A253=31,$AJ253=41),"⑤短期","対象外")))))</f>
        <v>④一般</v>
      </c>
      <c r="DC253" s="0" t="n">
        <f aca="false">IF($A253="","",IF($AB253&amp;""=設定!$C$4,1,0))</f>
        <v>1</v>
      </c>
    </row>
    <row r="254" customFormat="false" ht="15" hidden="false" customHeight="false" outlineLevel="0" collapsed="false">
      <c r="A254" s="0" t="n">
        <v>21</v>
      </c>
      <c r="AA254" s="0" t="n">
        <v>21</v>
      </c>
      <c r="AB254" s="0" t="s">
        <v>96</v>
      </c>
      <c r="AD254" s="0" t="n">
        <v>0</v>
      </c>
      <c r="AE254" s="0" t="s">
        <v>295</v>
      </c>
      <c r="AH254" s="0" t="n">
        <v>3</v>
      </c>
      <c r="AJ254" s="0" t="n">
        <v>10</v>
      </c>
      <c r="AP254" s="0" t="n">
        <v>340000</v>
      </c>
      <c r="DB254" s="0" t="str">
        <f aca="false">IF($A254="","",IF($AH254=20,IF(AND(OR($A254=21,$A254=215),$AJ254=10),"①病院一般",IF(AND($A254=31,$AJ254=41),"②病院短期","対象外")),IF($AJ254=30,"③特定消防",IF(AND(OR($A254=21,$A254=215),$AJ254=10),"④一般",IF(AND($A254=31,$AJ254=41),"⑤短期","対象外")))))</f>
        <v>④一般</v>
      </c>
      <c r="DC254" s="0" t="n">
        <f aca="false">IF($A254="","",IF($AB254&amp;""=設定!$C$4,1,0))</f>
        <v>1</v>
      </c>
    </row>
    <row r="255" customFormat="false" ht="15" hidden="false" customHeight="false" outlineLevel="0" collapsed="false">
      <c r="A255" s="0" t="n">
        <v>21</v>
      </c>
      <c r="AA255" s="0" t="n">
        <v>21</v>
      </c>
      <c r="AB255" s="0" t="s">
        <v>96</v>
      </c>
      <c r="AD255" s="0" t="n">
        <v>0</v>
      </c>
      <c r="AE255" s="0" t="s">
        <v>295</v>
      </c>
      <c r="AH255" s="0" t="n">
        <v>1</v>
      </c>
      <c r="AJ255" s="0" t="n">
        <v>10</v>
      </c>
      <c r="AP255" s="0" t="n">
        <v>300000</v>
      </c>
      <c r="DB255" s="0" t="str">
        <f aca="false">IF($A255="","",IF($AH255=20,IF(AND(OR($A255=21,$A255=215),$AJ255=10),"①病院一般",IF(AND($A255=31,$AJ255=41),"②病院短期","対象外")),IF($AJ255=30,"③特定消防",IF(AND(OR($A255=21,$A255=215),$AJ255=10),"④一般",IF(AND($A255=31,$AJ255=41),"⑤短期","対象外")))))</f>
        <v>④一般</v>
      </c>
      <c r="DC255" s="0" t="n">
        <f aca="false">IF($A255="","",IF($AB255&amp;""=設定!$C$4,1,0))</f>
        <v>1</v>
      </c>
    </row>
    <row r="256" customFormat="false" ht="15" hidden="false" customHeight="false" outlineLevel="0" collapsed="false">
      <c r="A256" s="0" t="n">
        <v>21</v>
      </c>
      <c r="AA256" s="0" t="n">
        <v>21</v>
      </c>
      <c r="AB256" s="0" t="s">
        <v>96</v>
      </c>
      <c r="AD256" s="0" t="n">
        <v>0</v>
      </c>
      <c r="AE256" s="0" t="s">
        <v>295</v>
      </c>
      <c r="AH256" s="0" t="n">
        <v>11</v>
      </c>
      <c r="AJ256" s="0" t="n">
        <v>10</v>
      </c>
      <c r="AP256" s="0" t="n">
        <v>220000</v>
      </c>
      <c r="DB256" s="0" t="str">
        <f aca="false">IF($A256="","",IF($AH256=20,IF(AND(OR($A256=21,$A256=215),$AJ256=10),"①病院一般",IF(AND($A256=31,$AJ256=41),"②病院短期","対象外")),IF($AJ256=30,"③特定消防",IF(AND(OR($A256=21,$A256=215),$AJ256=10),"④一般",IF(AND($A256=31,$AJ256=41),"⑤短期","対象外")))))</f>
        <v>④一般</v>
      </c>
      <c r="DC256" s="0" t="n">
        <f aca="false">IF($A256="","",IF($AB256&amp;""=設定!$C$4,1,0))</f>
        <v>1</v>
      </c>
    </row>
    <row r="257" customFormat="false" ht="15" hidden="false" customHeight="false" outlineLevel="0" collapsed="false">
      <c r="A257" s="0" t="n">
        <v>21</v>
      </c>
      <c r="AA257" s="0" t="n">
        <v>21</v>
      </c>
      <c r="AB257" s="0" t="s">
        <v>96</v>
      </c>
      <c r="AD257" s="0" t="n">
        <v>0</v>
      </c>
      <c r="AE257" s="0" t="s">
        <v>295</v>
      </c>
      <c r="AH257" s="0" t="n">
        <v>4</v>
      </c>
      <c r="AJ257" s="0" t="n">
        <v>10</v>
      </c>
      <c r="AP257" s="0" t="n">
        <v>220000</v>
      </c>
      <c r="DB257" s="0" t="str">
        <f aca="false">IF($A257="","",IF($AH257=20,IF(AND(OR($A257=21,$A257=215),$AJ257=10),"①病院一般",IF(AND($A257=31,$AJ257=41),"②病院短期","対象外")),IF($AJ257=30,"③特定消防",IF(AND(OR($A257=21,$A257=215),$AJ257=10),"④一般",IF(AND($A257=31,$AJ257=41),"⑤短期","対象外")))))</f>
        <v>④一般</v>
      </c>
      <c r="DC257" s="0" t="n">
        <f aca="false">IF($A257="","",IF($AB257&amp;""=設定!$C$4,1,0))</f>
        <v>1</v>
      </c>
    </row>
    <row r="258" customFormat="false" ht="15" hidden="false" customHeight="false" outlineLevel="0" collapsed="false">
      <c r="A258" s="0" t="n">
        <v>21</v>
      </c>
      <c r="AA258" s="0" t="n">
        <v>21</v>
      </c>
      <c r="AB258" s="0" t="s">
        <v>96</v>
      </c>
      <c r="AD258" s="0" t="n">
        <v>0</v>
      </c>
      <c r="AE258" s="0" t="s">
        <v>295</v>
      </c>
      <c r="AH258" s="0" t="n">
        <v>1</v>
      </c>
      <c r="AJ258" s="0" t="n">
        <v>10</v>
      </c>
      <c r="AP258" s="0" t="n">
        <v>220000</v>
      </c>
      <c r="DB258" s="0" t="str">
        <f aca="false">IF($A258="","",IF($AH258=20,IF(AND(OR($A258=21,$A258=215),$AJ258=10),"①病院一般",IF(AND($A258=31,$AJ258=41),"②病院短期","対象外")),IF($AJ258=30,"③特定消防",IF(AND(OR($A258=21,$A258=215),$AJ258=10),"④一般",IF(AND($A258=31,$AJ258=41),"⑤短期","対象外")))))</f>
        <v>④一般</v>
      </c>
      <c r="DC258" s="0" t="n">
        <f aca="false">IF($A258="","",IF($AB258&amp;""=設定!$C$4,1,0))</f>
        <v>1</v>
      </c>
    </row>
    <row r="259" customFormat="false" ht="15" hidden="false" customHeight="false" outlineLevel="0" collapsed="false">
      <c r="A259" s="0" t="n">
        <v>21</v>
      </c>
      <c r="AA259" s="0" t="n">
        <v>21</v>
      </c>
      <c r="AB259" s="0" t="s">
        <v>96</v>
      </c>
      <c r="AD259" s="0" t="n">
        <v>0</v>
      </c>
      <c r="AE259" s="0" t="s">
        <v>295</v>
      </c>
      <c r="AH259" s="0" t="n">
        <v>1</v>
      </c>
      <c r="AJ259" s="0" t="n">
        <v>10</v>
      </c>
      <c r="AP259" s="0" t="n">
        <v>220000</v>
      </c>
      <c r="DB259" s="0" t="str">
        <f aca="false">IF($A259="","",IF($AH259=20,IF(AND(OR($A259=21,$A259=215),$AJ259=10),"①病院一般",IF(AND($A259=31,$AJ259=41),"②病院短期","対象外")),IF($AJ259=30,"③特定消防",IF(AND(OR($A259=21,$A259=215),$AJ259=10),"④一般",IF(AND($A259=31,$AJ259=41),"⑤短期","対象外")))))</f>
        <v>④一般</v>
      </c>
      <c r="DC259" s="0" t="n">
        <f aca="false">IF($A259="","",IF($AB259&amp;""=設定!$C$4,1,0))</f>
        <v>1</v>
      </c>
    </row>
    <row r="260" customFormat="false" ht="15" hidden="false" customHeight="false" outlineLevel="0" collapsed="false">
      <c r="A260" s="0" t="n">
        <v>21</v>
      </c>
      <c r="AA260" s="0" t="n">
        <v>21</v>
      </c>
      <c r="AB260" s="0" t="s">
        <v>96</v>
      </c>
      <c r="AD260" s="0" t="n">
        <v>0</v>
      </c>
      <c r="AE260" s="0" t="s">
        <v>295</v>
      </c>
      <c r="AH260" s="0" t="n">
        <v>1</v>
      </c>
      <c r="AJ260" s="0" t="n">
        <v>10</v>
      </c>
      <c r="AP260" s="0" t="n">
        <v>220000</v>
      </c>
      <c r="DB260" s="0" t="str">
        <f aca="false">IF($A260="","",IF($AH260=20,IF(AND(OR($A260=21,$A260=215),$AJ260=10),"①病院一般",IF(AND($A260=31,$AJ260=41),"②病院短期","対象外")),IF($AJ260=30,"③特定消防",IF(AND(OR($A260=21,$A260=215),$AJ260=10),"④一般",IF(AND($A260=31,$AJ260=41),"⑤短期","対象外")))))</f>
        <v>④一般</v>
      </c>
      <c r="DC260" s="0" t="n">
        <f aca="false">IF($A260="","",IF($AB260&amp;""=設定!$C$4,1,0))</f>
        <v>1</v>
      </c>
    </row>
    <row r="261" customFormat="false" ht="15" hidden="false" customHeight="false" outlineLevel="0" collapsed="false">
      <c r="A261" s="0" t="n">
        <v>21</v>
      </c>
      <c r="AA261" s="0" t="n">
        <v>21</v>
      </c>
      <c r="AB261" s="0" t="s">
        <v>96</v>
      </c>
      <c r="AD261" s="0" t="n">
        <v>0</v>
      </c>
      <c r="AE261" s="0" t="s">
        <v>295</v>
      </c>
      <c r="AH261" s="0" t="n">
        <v>1</v>
      </c>
      <c r="AJ261" s="0" t="n">
        <v>10</v>
      </c>
      <c r="AP261" s="0" t="n">
        <v>220000</v>
      </c>
      <c r="DB261" s="0" t="str">
        <f aca="false">IF($A261="","",IF($AH261=20,IF(AND(OR($A261=21,$A261=215),$AJ261=10),"①病院一般",IF(AND($A261=31,$AJ261=41),"②病院短期","対象外")),IF($AJ261=30,"③特定消防",IF(AND(OR($A261=21,$A261=215),$AJ261=10),"④一般",IF(AND($A261=31,$AJ261=41),"⑤短期","対象外")))))</f>
        <v>④一般</v>
      </c>
      <c r="DC261" s="0" t="n">
        <f aca="false">IF($A261="","",IF($AB261&amp;""=設定!$C$4,1,0))</f>
        <v>1</v>
      </c>
    </row>
    <row r="262" customFormat="false" ht="15" hidden="false" customHeight="false" outlineLevel="0" collapsed="false">
      <c r="A262" s="0" t="n">
        <v>21</v>
      </c>
      <c r="AA262" s="0" t="n">
        <v>21</v>
      </c>
      <c r="AB262" s="0" t="s">
        <v>96</v>
      </c>
      <c r="AD262" s="0" t="n">
        <v>0</v>
      </c>
      <c r="AE262" s="0" t="s">
        <v>295</v>
      </c>
      <c r="AH262" s="0" t="n">
        <v>1</v>
      </c>
      <c r="AJ262" s="0" t="n">
        <v>10</v>
      </c>
      <c r="AP262" s="0" t="n">
        <v>240000</v>
      </c>
      <c r="DB262" s="0" t="str">
        <f aca="false">IF($A262="","",IF($AH262=20,IF(AND(OR($A262=21,$A262=215),$AJ262=10),"①病院一般",IF(AND($A262=31,$AJ262=41),"②病院短期","対象外")),IF($AJ262=30,"③特定消防",IF(AND(OR($A262=21,$A262=215),$AJ262=10),"④一般",IF(AND($A262=31,$AJ262=41),"⑤短期","対象外")))))</f>
        <v>④一般</v>
      </c>
      <c r="DC262" s="0" t="n">
        <f aca="false">IF($A262="","",IF($AB262&amp;""=設定!$C$4,1,0))</f>
        <v>1</v>
      </c>
    </row>
    <row r="263" customFormat="false" ht="15" hidden="false" customHeight="false" outlineLevel="0" collapsed="false">
      <c r="A263" s="0" t="n">
        <v>21</v>
      </c>
      <c r="AA263" s="0" t="n">
        <v>21</v>
      </c>
      <c r="AB263" s="0" t="s">
        <v>96</v>
      </c>
      <c r="AD263" s="0" t="n">
        <v>0</v>
      </c>
      <c r="AE263" s="0" t="s">
        <v>295</v>
      </c>
      <c r="AH263" s="0" t="n">
        <v>1</v>
      </c>
      <c r="AJ263" s="0" t="n">
        <v>10</v>
      </c>
      <c r="AP263" s="0" t="n">
        <v>240000</v>
      </c>
      <c r="DB263" s="0" t="str">
        <f aca="false">IF($A263="","",IF($AH263=20,IF(AND(OR($A263=21,$A263=215),$AJ263=10),"①病院一般",IF(AND($A263=31,$AJ263=41),"②病院短期","対象外")),IF($AJ263=30,"③特定消防",IF(AND(OR($A263=21,$A263=215),$AJ263=10),"④一般",IF(AND($A263=31,$AJ263=41),"⑤短期","対象外")))))</f>
        <v>④一般</v>
      </c>
      <c r="DC263" s="0" t="n">
        <f aca="false">IF($A263="","",IF($AB263&amp;""=設定!$C$4,1,0))</f>
        <v>1</v>
      </c>
    </row>
    <row r="264" customFormat="false" ht="15" hidden="false" customHeight="false" outlineLevel="0" collapsed="false">
      <c r="A264" s="0" t="n">
        <v>21</v>
      </c>
      <c r="AA264" s="0" t="n">
        <v>21</v>
      </c>
      <c r="AB264" s="0" t="s">
        <v>96</v>
      </c>
      <c r="AD264" s="0" t="n">
        <v>0</v>
      </c>
      <c r="AE264" s="0" t="s">
        <v>295</v>
      </c>
      <c r="AH264" s="0" t="n">
        <v>1</v>
      </c>
      <c r="AJ264" s="0" t="n">
        <v>10</v>
      </c>
      <c r="AP264" s="0" t="n">
        <v>220000</v>
      </c>
      <c r="DB264" s="0" t="str">
        <f aca="false">IF($A264="","",IF($AH264=20,IF(AND(OR($A264=21,$A264=215),$AJ264=10),"①病院一般",IF(AND($A264=31,$AJ264=41),"②病院短期","対象外")),IF($AJ264=30,"③特定消防",IF(AND(OR($A264=21,$A264=215),$AJ264=10),"④一般",IF(AND($A264=31,$AJ264=41),"⑤短期","対象外")))))</f>
        <v>④一般</v>
      </c>
      <c r="DC264" s="0" t="n">
        <f aca="false">IF($A264="","",IF($AB264&amp;""=設定!$C$4,1,0))</f>
        <v>1</v>
      </c>
    </row>
    <row r="265" customFormat="false" ht="15" hidden="false" customHeight="false" outlineLevel="0" collapsed="false">
      <c r="A265" s="0" t="n">
        <v>21</v>
      </c>
      <c r="AA265" s="0" t="n">
        <v>21</v>
      </c>
      <c r="AB265" s="0" t="s">
        <v>96</v>
      </c>
      <c r="AD265" s="0" t="n">
        <v>0</v>
      </c>
      <c r="AE265" s="0" t="s">
        <v>295</v>
      </c>
      <c r="AH265" s="0" t="n">
        <v>1</v>
      </c>
      <c r="AJ265" s="0" t="n">
        <v>10</v>
      </c>
      <c r="AP265" s="0" t="n">
        <v>280000</v>
      </c>
      <c r="DB265" s="0" t="str">
        <f aca="false">IF($A265="","",IF($AH265=20,IF(AND(OR($A265=21,$A265=215),$AJ265=10),"①病院一般",IF(AND($A265=31,$AJ265=41),"②病院短期","対象外")),IF($AJ265=30,"③特定消防",IF(AND(OR($A265=21,$A265=215),$AJ265=10),"④一般",IF(AND($A265=31,$AJ265=41),"⑤短期","対象外")))))</f>
        <v>④一般</v>
      </c>
      <c r="DC265" s="0" t="n">
        <f aca="false">IF($A265="","",IF($AB265&amp;""=設定!$C$4,1,0))</f>
        <v>1</v>
      </c>
    </row>
    <row r="266" customFormat="false" ht="15" hidden="false" customHeight="false" outlineLevel="0" collapsed="false">
      <c r="A266" s="0" t="n">
        <v>21</v>
      </c>
      <c r="AA266" s="0" t="n">
        <v>21</v>
      </c>
      <c r="AB266" s="0" t="s">
        <v>96</v>
      </c>
      <c r="AD266" s="0" t="n">
        <v>0</v>
      </c>
      <c r="AE266" s="0" t="s">
        <v>295</v>
      </c>
      <c r="AH266" s="0" t="n">
        <v>1</v>
      </c>
      <c r="AJ266" s="0" t="n">
        <v>10</v>
      </c>
      <c r="AP266" s="0" t="n">
        <v>240000</v>
      </c>
      <c r="DB266" s="0" t="str">
        <f aca="false">IF($A266="","",IF($AH266=20,IF(AND(OR($A266=21,$A266=215),$AJ266=10),"①病院一般",IF(AND($A266=31,$AJ266=41),"②病院短期","対象外")),IF($AJ266=30,"③特定消防",IF(AND(OR($A266=21,$A266=215),$AJ266=10),"④一般",IF(AND($A266=31,$AJ266=41),"⑤短期","対象外")))))</f>
        <v>④一般</v>
      </c>
      <c r="DC266" s="0" t="n">
        <f aca="false">IF($A266="","",IF($AB266&amp;""=設定!$C$4,1,0))</f>
        <v>1</v>
      </c>
    </row>
    <row r="267" customFormat="false" ht="15" hidden="false" customHeight="false" outlineLevel="0" collapsed="false">
      <c r="A267" s="0" t="n">
        <v>21</v>
      </c>
      <c r="AA267" s="0" t="n">
        <v>21</v>
      </c>
      <c r="AB267" s="0" t="s">
        <v>96</v>
      </c>
      <c r="AD267" s="0" t="n">
        <v>0</v>
      </c>
      <c r="AE267" s="0" t="s">
        <v>295</v>
      </c>
      <c r="AH267" s="0" t="n">
        <v>1</v>
      </c>
      <c r="AJ267" s="0" t="n">
        <v>10</v>
      </c>
      <c r="AP267" s="0" t="n">
        <v>220000</v>
      </c>
      <c r="DB267" s="0" t="str">
        <f aca="false">IF($A267="","",IF($AH267=20,IF(AND(OR($A267=21,$A267=215),$AJ267=10),"①病院一般",IF(AND($A267=31,$AJ267=41),"②病院短期","対象外")),IF($AJ267=30,"③特定消防",IF(AND(OR($A267=21,$A267=215),$AJ267=10),"④一般",IF(AND($A267=31,$AJ267=41),"⑤短期","対象外")))))</f>
        <v>④一般</v>
      </c>
      <c r="DC267" s="0" t="n">
        <f aca="false">IF($A267="","",IF($AB267&amp;""=設定!$C$4,1,0))</f>
        <v>1</v>
      </c>
    </row>
    <row r="268" customFormat="false" ht="15" hidden="false" customHeight="false" outlineLevel="0" collapsed="false">
      <c r="A268" s="0" t="n">
        <v>21</v>
      </c>
      <c r="AA268" s="0" t="n">
        <v>21</v>
      </c>
      <c r="AB268" s="0" t="s">
        <v>96</v>
      </c>
      <c r="AD268" s="0" t="n">
        <v>0</v>
      </c>
      <c r="AE268" s="0" t="s">
        <v>295</v>
      </c>
      <c r="AH268" s="0" t="n">
        <v>1</v>
      </c>
      <c r="AJ268" s="0" t="n">
        <v>10</v>
      </c>
      <c r="AP268" s="0" t="n">
        <v>260000</v>
      </c>
      <c r="DB268" s="0" t="str">
        <f aca="false">IF($A268="","",IF($AH268=20,IF(AND(OR($A268=21,$A268=215),$AJ268=10),"①病院一般",IF(AND($A268=31,$AJ268=41),"②病院短期","対象外")),IF($AJ268=30,"③特定消防",IF(AND(OR($A268=21,$A268=215),$AJ268=10),"④一般",IF(AND($A268=31,$AJ268=41),"⑤短期","対象外")))))</f>
        <v>④一般</v>
      </c>
      <c r="DC268" s="0" t="n">
        <f aca="false">IF($A268="","",IF($AB268&amp;""=設定!$C$4,1,0))</f>
        <v>1</v>
      </c>
    </row>
    <row r="269" customFormat="false" ht="15" hidden="false" customHeight="false" outlineLevel="0" collapsed="false">
      <c r="A269" s="0" t="n">
        <v>21</v>
      </c>
      <c r="AA269" s="0" t="n">
        <v>21</v>
      </c>
      <c r="AB269" s="0" t="s">
        <v>96</v>
      </c>
      <c r="AD269" s="0" t="n">
        <v>0</v>
      </c>
      <c r="AE269" s="0" t="s">
        <v>295</v>
      </c>
      <c r="AH269" s="0" t="n">
        <v>1</v>
      </c>
      <c r="AJ269" s="0" t="n">
        <v>10</v>
      </c>
      <c r="AP269" s="0" t="n">
        <v>240000</v>
      </c>
      <c r="DB269" s="0" t="str">
        <f aca="false">IF($A269="","",IF($AH269=20,IF(AND(OR($A269=21,$A269=215),$AJ269=10),"①病院一般",IF(AND($A269=31,$AJ269=41),"②病院短期","対象外")),IF($AJ269=30,"③特定消防",IF(AND(OR($A269=21,$A269=215),$AJ269=10),"④一般",IF(AND($A269=31,$AJ269=41),"⑤短期","対象外")))))</f>
        <v>④一般</v>
      </c>
      <c r="DC269" s="0" t="n">
        <f aca="false">IF($A269="","",IF($AB269&amp;""=設定!$C$4,1,0))</f>
        <v>1</v>
      </c>
    </row>
    <row r="270" customFormat="false" ht="15" hidden="false" customHeight="false" outlineLevel="0" collapsed="false">
      <c r="A270" s="0" t="n">
        <v>21</v>
      </c>
      <c r="AA270" s="0" t="n">
        <v>21</v>
      </c>
      <c r="AB270" s="0" t="s">
        <v>96</v>
      </c>
      <c r="AD270" s="0" t="n">
        <v>0</v>
      </c>
      <c r="AE270" s="0" t="s">
        <v>295</v>
      </c>
      <c r="AH270" s="0" t="n">
        <v>1</v>
      </c>
      <c r="AJ270" s="0" t="n">
        <v>10</v>
      </c>
      <c r="AP270" s="0" t="n">
        <v>220000</v>
      </c>
      <c r="DB270" s="0" t="str">
        <f aca="false">IF($A270="","",IF($AH270=20,IF(AND(OR($A270=21,$A270=215),$AJ270=10),"①病院一般",IF(AND($A270=31,$AJ270=41),"②病院短期","対象外")),IF($AJ270=30,"③特定消防",IF(AND(OR($A270=21,$A270=215),$AJ270=10),"④一般",IF(AND($A270=31,$AJ270=41),"⑤短期","対象外")))))</f>
        <v>④一般</v>
      </c>
      <c r="DC270" s="0" t="n">
        <f aca="false">IF($A270="","",IF($AB270&amp;""=設定!$C$4,1,0))</f>
        <v>1</v>
      </c>
    </row>
    <row r="271" customFormat="false" ht="15" hidden="false" customHeight="false" outlineLevel="0" collapsed="false">
      <c r="A271" s="0" t="n">
        <v>21</v>
      </c>
      <c r="AA271" s="0" t="n">
        <v>21</v>
      </c>
      <c r="AB271" s="0" t="s">
        <v>96</v>
      </c>
      <c r="AD271" s="0" t="n">
        <v>0</v>
      </c>
      <c r="AE271" s="0" t="s">
        <v>295</v>
      </c>
      <c r="AH271" s="0" t="n">
        <v>1</v>
      </c>
      <c r="AJ271" s="0" t="n">
        <v>10</v>
      </c>
      <c r="AP271" s="0" t="n">
        <v>220000</v>
      </c>
      <c r="DB271" s="0" t="str">
        <f aca="false">IF($A271="","",IF($AH271=20,IF(AND(OR($A271=21,$A271=215),$AJ271=10),"①病院一般",IF(AND($A271=31,$AJ271=41),"②病院短期","対象外")),IF($AJ271=30,"③特定消防",IF(AND(OR($A271=21,$A271=215),$AJ271=10),"④一般",IF(AND($A271=31,$AJ271=41),"⑤短期","対象外")))))</f>
        <v>④一般</v>
      </c>
      <c r="DC271" s="0" t="n">
        <f aca="false">IF($A271="","",IF($AB271&amp;""=設定!$C$4,1,0))</f>
        <v>1</v>
      </c>
    </row>
    <row r="272" customFormat="false" ht="15" hidden="false" customHeight="false" outlineLevel="0" collapsed="false">
      <c r="A272" s="0" t="n">
        <v>21</v>
      </c>
      <c r="AA272" s="0" t="n">
        <v>21</v>
      </c>
      <c r="AB272" s="0" t="s">
        <v>96</v>
      </c>
      <c r="AD272" s="0" t="n">
        <v>0</v>
      </c>
      <c r="AE272" s="0" t="s">
        <v>295</v>
      </c>
      <c r="AH272" s="0" t="n">
        <v>1</v>
      </c>
      <c r="AJ272" s="0" t="n">
        <v>10</v>
      </c>
      <c r="AP272" s="0" t="n">
        <v>280000</v>
      </c>
      <c r="DB272" s="0" t="str">
        <f aca="false">IF($A272="","",IF($AH272=20,IF(AND(OR($A272=21,$A272=215),$AJ272=10),"①病院一般",IF(AND($A272=31,$AJ272=41),"②病院短期","対象外")),IF($AJ272=30,"③特定消防",IF(AND(OR($A272=21,$A272=215),$AJ272=10),"④一般",IF(AND($A272=31,$AJ272=41),"⑤短期","対象外")))))</f>
        <v>④一般</v>
      </c>
      <c r="DC272" s="0" t="n">
        <f aca="false">IF($A272="","",IF($AB272&amp;""=設定!$C$4,1,0))</f>
        <v>1</v>
      </c>
    </row>
    <row r="273" customFormat="false" ht="15" hidden="false" customHeight="false" outlineLevel="0" collapsed="false">
      <c r="A273" s="0" t="n">
        <v>21</v>
      </c>
      <c r="AA273" s="0" t="n">
        <v>21</v>
      </c>
      <c r="AB273" s="0" t="s">
        <v>96</v>
      </c>
      <c r="AD273" s="0" t="n">
        <v>0</v>
      </c>
      <c r="AE273" s="0" t="s">
        <v>295</v>
      </c>
      <c r="AH273" s="0" t="n">
        <v>1</v>
      </c>
      <c r="AJ273" s="0" t="n">
        <v>10</v>
      </c>
      <c r="AP273" s="0" t="n">
        <v>220000</v>
      </c>
      <c r="DB273" s="0" t="str">
        <f aca="false">IF($A273="","",IF($AH273=20,IF(AND(OR($A273=21,$A273=215),$AJ273=10),"①病院一般",IF(AND($A273=31,$AJ273=41),"②病院短期","対象外")),IF($AJ273=30,"③特定消防",IF(AND(OR($A273=21,$A273=215),$AJ273=10),"④一般",IF(AND($A273=31,$AJ273=41),"⑤短期","対象外")))))</f>
        <v>④一般</v>
      </c>
      <c r="DC273" s="0" t="n">
        <f aca="false">IF($A273="","",IF($AB273&amp;""=設定!$C$4,1,0))</f>
        <v>1</v>
      </c>
    </row>
    <row r="274" customFormat="false" ht="15" hidden="false" customHeight="false" outlineLevel="0" collapsed="false">
      <c r="A274" s="0" t="n">
        <v>21</v>
      </c>
      <c r="AA274" s="0" t="n">
        <v>21</v>
      </c>
      <c r="AB274" s="0" t="s">
        <v>96</v>
      </c>
      <c r="AD274" s="0" t="n">
        <v>0</v>
      </c>
      <c r="AE274" s="0" t="s">
        <v>295</v>
      </c>
      <c r="AH274" s="0" t="n">
        <v>1</v>
      </c>
      <c r="AJ274" s="0" t="n">
        <v>10</v>
      </c>
      <c r="AP274" s="0" t="n">
        <v>240000</v>
      </c>
      <c r="DB274" s="0" t="str">
        <f aca="false">IF($A274="","",IF($AH274=20,IF(AND(OR($A274=21,$A274=215),$AJ274=10),"①病院一般",IF(AND($A274=31,$AJ274=41),"②病院短期","対象外")),IF($AJ274=30,"③特定消防",IF(AND(OR($A274=21,$A274=215),$AJ274=10),"④一般",IF(AND($A274=31,$AJ274=41),"⑤短期","対象外")))))</f>
        <v>④一般</v>
      </c>
      <c r="DC274" s="0" t="n">
        <f aca="false">IF($A274="","",IF($AB274&amp;""=設定!$C$4,1,0))</f>
        <v>1</v>
      </c>
    </row>
    <row r="275" customFormat="false" ht="15" hidden="false" customHeight="false" outlineLevel="0" collapsed="false">
      <c r="A275" s="0" t="n">
        <v>21</v>
      </c>
      <c r="AA275" s="0" t="n">
        <v>21</v>
      </c>
      <c r="AB275" s="0" t="s">
        <v>96</v>
      </c>
      <c r="AD275" s="0" t="n">
        <v>0</v>
      </c>
      <c r="AE275" s="0" t="s">
        <v>295</v>
      </c>
      <c r="AH275" s="0" t="n">
        <v>4</v>
      </c>
      <c r="AJ275" s="0" t="n">
        <v>10</v>
      </c>
      <c r="AP275" s="0" t="n">
        <v>260000</v>
      </c>
      <c r="DB275" s="0" t="str">
        <f aca="false">IF($A275="","",IF($AH275=20,IF(AND(OR($A275=21,$A275=215),$AJ275=10),"①病院一般",IF(AND($A275=31,$AJ275=41),"②病院短期","対象外")),IF($AJ275=30,"③特定消防",IF(AND(OR($A275=21,$A275=215),$AJ275=10),"④一般",IF(AND($A275=31,$AJ275=41),"⑤短期","対象外")))))</f>
        <v>④一般</v>
      </c>
      <c r="DC275" s="0" t="n">
        <f aca="false">IF($A275="","",IF($AB275&amp;""=設定!$C$4,1,0))</f>
        <v>1</v>
      </c>
    </row>
    <row r="276" customFormat="false" ht="15" hidden="false" customHeight="false" outlineLevel="0" collapsed="false">
      <c r="A276" s="0" t="n">
        <v>21</v>
      </c>
      <c r="AA276" s="0" t="n">
        <v>21</v>
      </c>
      <c r="AB276" s="0" t="s">
        <v>96</v>
      </c>
      <c r="AD276" s="0" t="n">
        <v>0</v>
      </c>
      <c r="AE276" s="0" t="s">
        <v>295</v>
      </c>
      <c r="AH276" s="0" t="n">
        <v>1</v>
      </c>
      <c r="AJ276" s="0" t="n">
        <v>10</v>
      </c>
      <c r="AP276" s="0" t="n">
        <v>220000</v>
      </c>
      <c r="DB276" s="0" t="str">
        <f aca="false">IF($A276="","",IF($AH276=20,IF(AND(OR($A276=21,$A276=215),$AJ276=10),"①病院一般",IF(AND($A276=31,$AJ276=41),"②病院短期","対象外")),IF($AJ276=30,"③特定消防",IF(AND(OR($A276=21,$A276=215),$AJ276=10),"④一般",IF(AND($A276=31,$AJ276=41),"⑤短期","対象外")))))</f>
        <v>④一般</v>
      </c>
      <c r="DC276" s="0" t="n">
        <f aca="false">IF($A276="","",IF($AB276&amp;""=設定!$C$4,1,0))</f>
        <v>1</v>
      </c>
    </row>
    <row r="277" customFormat="false" ht="15" hidden="false" customHeight="false" outlineLevel="0" collapsed="false">
      <c r="A277" s="0" t="n">
        <v>21</v>
      </c>
      <c r="AA277" s="0" t="n">
        <v>21</v>
      </c>
      <c r="AB277" s="0" t="s">
        <v>96</v>
      </c>
      <c r="AD277" s="0" t="n">
        <v>0</v>
      </c>
      <c r="AE277" s="0" t="s">
        <v>295</v>
      </c>
      <c r="AH277" s="0" t="n">
        <v>1</v>
      </c>
      <c r="AJ277" s="0" t="n">
        <v>10</v>
      </c>
      <c r="AP277" s="0" t="n">
        <v>220000</v>
      </c>
      <c r="DB277" s="0" t="str">
        <f aca="false">IF($A277="","",IF($AH277=20,IF(AND(OR($A277=21,$A277=215),$AJ277=10),"①病院一般",IF(AND($A277=31,$AJ277=41),"②病院短期","対象外")),IF($AJ277=30,"③特定消防",IF(AND(OR($A277=21,$A277=215),$AJ277=10),"④一般",IF(AND($A277=31,$AJ277=41),"⑤短期","対象外")))))</f>
        <v>④一般</v>
      </c>
      <c r="DC277" s="0" t="n">
        <f aca="false">IF($A277="","",IF($AB277&amp;""=設定!$C$4,1,0))</f>
        <v>1</v>
      </c>
    </row>
    <row r="278" customFormat="false" ht="15" hidden="false" customHeight="false" outlineLevel="0" collapsed="false">
      <c r="A278" s="0" t="n">
        <v>21</v>
      </c>
      <c r="AA278" s="0" t="n">
        <v>21</v>
      </c>
      <c r="AB278" s="0" t="s">
        <v>96</v>
      </c>
      <c r="AD278" s="0" t="n">
        <v>0</v>
      </c>
      <c r="AE278" s="0" t="s">
        <v>295</v>
      </c>
      <c r="AH278" s="0" t="n">
        <v>1</v>
      </c>
      <c r="AJ278" s="0" t="n">
        <v>10</v>
      </c>
      <c r="AP278" s="0" t="n">
        <v>260000</v>
      </c>
      <c r="DB278" s="0" t="str">
        <f aca="false">IF($A278="","",IF($AH278=20,IF(AND(OR($A278=21,$A278=215),$AJ278=10),"①病院一般",IF(AND($A278=31,$AJ278=41),"②病院短期","対象外")),IF($AJ278=30,"③特定消防",IF(AND(OR($A278=21,$A278=215),$AJ278=10),"④一般",IF(AND($A278=31,$AJ278=41),"⑤短期","対象外")))))</f>
        <v>④一般</v>
      </c>
      <c r="DC278" s="0" t="n">
        <f aca="false">IF($A278="","",IF($AB278&amp;""=設定!$C$4,1,0))</f>
        <v>1</v>
      </c>
    </row>
    <row r="279" customFormat="false" ht="15" hidden="false" customHeight="false" outlineLevel="0" collapsed="false">
      <c r="A279" s="0" t="n">
        <v>21</v>
      </c>
      <c r="AA279" s="0" t="n">
        <v>21</v>
      </c>
      <c r="AB279" s="0" t="s">
        <v>96</v>
      </c>
      <c r="AD279" s="0" t="n">
        <v>0</v>
      </c>
      <c r="AE279" s="0" t="s">
        <v>295</v>
      </c>
      <c r="AH279" s="0" t="n">
        <v>1</v>
      </c>
      <c r="AJ279" s="0" t="n">
        <v>10</v>
      </c>
      <c r="AP279" s="0" t="n">
        <v>220000</v>
      </c>
      <c r="DB279" s="0" t="str">
        <f aca="false">IF($A279="","",IF($AH279=20,IF(AND(OR($A279=21,$A279=215),$AJ279=10),"①病院一般",IF(AND($A279=31,$AJ279=41),"②病院短期","対象外")),IF($AJ279=30,"③特定消防",IF(AND(OR($A279=21,$A279=215),$AJ279=10),"④一般",IF(AND($A279=31,$AJ279=41),"⑤短期","対象外")))))</f>
        <v>④一般</v>
      </c>
      <c r="DC279" s="0" t="n">
        <f aca="false">IF($A279="","",IF($AB279&amp;""=設定!$C$4,1,0))</f>
        <v>1</v>
      </c>
    </row>
    <row r="280" customFormat="false" ht="15" hidden="false" customHeight="false" outlineLevel="0" collapsed="false">
      <c r="A280" s="0" t="n">
        <v>21</v>
      </c>
      <c r="AA280" s="0" t="n">
        <v>21</v>
      </c>
      <c r="AB280" s="0" t="s">
        <v>96</v>
      </c>
      <c r="AD280" s="0" t="n">
        <v>0</v>
      </c>
      <c r="AE280" s="0" t="s">
        <v>295</v>
      </c>
      <c r="AH280" s="0" t="n">
        <v>1</v>
      </c>
      <c r="AJ280" s="0" t="n">
        <v>10</v>
      </c>
      <c r="AP280" s="0" t="n">
        <v>240000</v>
      </c>
      <c r="DB280" s="0" t="str">
        <f aca="false">IF($A280="","",IF($AH280=20,IF(AND(OR($A280=21,$A280=215),$AJ280=10),"①病院一般",IF(AND($A280=31,$AJ280=41),"②病院短期","対象外")),IF($AJ280=30,"③特定消防",IF(AND(OR($A280=21,$A280=215),$AJ280=10),"④一般",IF(AND($A280=31,$AJ280=41),"⑤短期","対象外")))))</f>
        <v>④一般</v>
      </c>
      <c r="DC280" s="0" t="n">
        <f aca="false">IF($A280="","",IF($AB280&amp;""=設定!$C$4,1,0))</f>
        <v>1</v>
      </c>
    </row>
    <row r="281" customFormat="false" ht="15" hidden="false" customHeight="false" outlineLevel="0" collapsed="false">
      <c r="A281" s="0" t="n">
        <v>21</v>
      </c>
      <c r="AA281" s="0" t="n">
        <v>21</v>
      </c>
      <c r="AB281" s="0" t="s">
        <v>96</v>
      </c>
      <c r="AD281" s="0" t="n">
        <v>0</v>
      </c>
      <c r="AE281" s="0" t="s">
        <v>295</v>
      </c>
      <c r="AH281" s="0" t="n">
        <v>1</v>
      </c>
      <c r="AJ281" s="0" t="n">
        <v>10</v>
      </c>
      <c r="AP281" s="0" t="n">
        <v>360000</v>
      </c>
      <c r="DB281" s="0" t="str">
        <f aca="false">IF($A281="","",IF($AH281=20,IF(AND(OR($A281=21,$A281=215),$AJ281=10),"①病院一般",IF(AND($A281=31,$AJ281=41),"②病院短期","対象外")),IF($AJ281=30,"③特定消防",IF(AND(OR($A281=21,$A281=215),$AJ281=10),"④一般",IF(AND($A281=31,$AJ281=41),"⑤短期","対象外")))))</f>
        <v>④一般</v>
      </c>
      <c r="DC281" s="0" t="n">
        <f aca="false">IF($A281="","",IF($AB281&amp;""=設定!$C$4,1,0))</f>
        <v>1</v>
      </c>
    </row>
    <row r="282" customFormat="false" ht="15" hidden="false" customHeight="false" outlineLevel="0" collapsed="false">
      <c r="A282" s="0" t="n">
        <v>21</v>
      </c>
      <c r="AA282" s="0" t="n">
        <v>21</v>
      </c>
      <c r="AB282" s="0" t="s">
        <v>96</v>
      </c>
      <c r="AD282" s="0" t="n">
        <v>0</v>
      </c>
      <c r="AE282" s="0" t="s">
        <v>295</v>
      </c>
      <c r="AH282" s="0" t="n">
        <v>1</v>
      </c>
      <c r="AJ282" s="0" t="n">
        <v>10</v>
      </c>
      <c r="AP282" s="0" t="n">
        <v>410000</v>
      </c>
      <c r="DB282" s="0" t="str">
        <f aca="false">IF($A282="","",IF($AH282=20,IF(AND(OR($A282=21,$A282=215),$AJ282=10),"①病院一般",IF(AND($A282=31,$AJ282=41),"②病院短期","対象外")),IF($AJ282=30,"③特定消防",IF(AND(OR($A282=21,$A282=215),$AJ282=10),"④一般",IF(AND($A282=31,$AJ282=41),"⑤短期","対象外")))))</f>
        <v>④一般</v>
      </c>
      <c r="DC282" s="0" t="n">
        <f aca="false">IF($A282="","",IF($AB282&amp;""=設定!$C$4,1,0))</f>
        <v>1</v>
      </c>
    </row>
    <row r="283" customFormat="false" ht="15" hidden="false" customHeight="false" outlineLevel="0" collapsed="false">
      <c r="A283" s="0" t="n">
        <v>21</v>
      </c>
      <c r="AA283" s="0" t="n">
        <v>21</v>
      </c>
      <c r="AB283" s="0" t="s">
        <v>96</v>
      </c>
      <c r="AD283" s="0" t="n">
        <v>0</v>
      </c>
      <c r="AE283" s="0" t="s">
        <v>295</v>
      </c>
      <c r="AH283" s="0" t="n">
        <v>1</v>
      </c>
      <c r="AJ283" s="0" t="n">
        <v>10</v>
      </c>
      <c r="AP283" s="0" t="n">
        <v>340000</v>
      </c>
      <c r="DB283" s="0" t="str">
        <f aca="false">IF($A283="","",IF($AH283=20,IF(AND(OR($A283=21,$A283=215),$AJ283=10),"①病院一般",IF(AND($A283=31,$AJ283=41),"②病院短期","対象外")),IF($AJ283=30,"③特定消防",IF(AND(OR($A283=21,$A283=215),$AJ283=10),"④一般",IF(AND($A283=31,$AJ283=41),"⑤短期","対象外")))))</f>
        <v>④一般</v>
      </c>
      <c r="DC283" s="0" t="n">
        <f aca="false">IF($A283="","",IF($AB283&amp;""=設定!$C$4,1,0))</f>
        <v>1</v>
      </c>
    </row>
    <row r="284" customFormat="false" ht="15" hidden="false" customHeight="false" outlineLevel="0" collapsed="false">
      <c r="A284" s="0" t="n">
        <v>21</v>
      </c>
      <c r="AA284" s="0" t="n">
        <v>21</v>
      </c>
      <c r="AB284" s="0" t="s">
        <v>96</v>
      </c>
      <c r="AD284" s="0" t="n">
        <v>0</v>
      </c>
      <c r="AE284" s="0" t="s">
        <v>295</v>
      </c>
      <c r="AH284" s="0" t="n">
        <v>1</v>
      </c>
      <c r="AJ284" s="0" t="n">
        <v>10</v>
      </c>
      <c r="AP284" s="0" t="n">
        <v>410000</v>
      </c>
      <c r="DB284" s="0" t="str">
        <f aca="false">IF($A284="","",IF($AH284=20,IF(AND(OR($A284=21,$A284=215),$AJ284=10),"①病院一般",IF(AND($A284=31,$AJ284=41),"②病院短期","対象外")),IF($AJ284=30,"③特定消防",IF(AND(OR($A284=21,$A284=215),$AJ284=10),"④一般",IF(AND($A284=31,$AJ284=41),"⑤短期","対象外")))))</f>
        <v>④一般</v>
      </c>
      <c r="DC284" s="0" t="n">
        <f aca="false">IF($A284="","",IF($AB284&amp;""=設定!$C$4,1,0))</f>
        <v>1</v>
      </c>
    </row>
    <row r="285" customFormat="false" ht="15" hidden="false" customHeight="false" outlineLevel="0" collapsed="false">
      <c r="A285" s="0" t="n">
        <v>21</v>
      </c>
      <c r="AA285" s="0" t="n">
        <v>21</v>
      </c>
      <c r="AB285" s="0" t="s">
        <v>96</v>
      </c>
      <c r="AD285" s="0" t="n">
        <v>0</v>
      </c>
      <c r="AE285" s="0" t="s">
        <v>295</v>
      </c>
      <c r="AH285" s="0" t="n">
        <v>1</v>
      </c>
      <c r="AJ285" s="0" t="n">
        <v>10</v>
      </c>
      <c r="AP285" s="0" t="n">
        <v>300000</v>
      </c>
      <c r="DB285" s="0" t="str">
        <f aca="false">IF($A285="","",IF($AH285=20,IF(AND(OR($A285=21,$A285=215),$AJ285=10),"①病院一般",IF(AND($A285=31,$AJ285=41),"②病院短期","対象外")),IF($AJ285=30,"③特定消防",IF(AND(OR($A285=21,$A285=215),$AJ285=10),"④一般",IF(AND($A285=31,$AJ285=41),"⑤短期","対象外")))))</f>
        <v>④一般</v>
      </c>
      <c r="DC285" s="0" t="n">
        <f aca="false">IF($A285="","",IF($AB285&amp;""=設定!$C$4,1,0))</f>
        <v>1</v>
      </c>
    </row>
    <row r="286" customFormat="false" ht="15" hidden="false" customHeight="false" outlineLevel="0" collapsed="false">
      <c r="A286" s="0" t="n">
        <v>21</v>
      </c>
      <c r="AA286" s="0" t="n">
        <v>21</v>
      </c>
      <c r="AB286" s="0" t="s">
        <v>96</v>
      </c>
      <c r="AD286" s="0" t="n">
        <v>0</v>
      </c>
      <c r="AE286" s="0" t="s">
        <v>295</v>
      </c>
      <c r="AH286" s="0" t="n">
        <v>1</v>
      </c>
      <c r="AJ286" s="0" t="n">
        <v>10</v>
      </c>
      <c r="AP286" s="0" t="n">
        <v>300000</v>
      </c>
      <c r="DB286" s="0" t="str">
        <f aca="false">IF($A286="","",IF($AH286=20,IF(AND(OR($A286=21,$A286=215),$AJ286=10),"①病院一般",IF(AND($A286=31,$AJ286=41),"②病院短期","対象外")),IF($AJ286=30,"③特定消防",IF(AND(OR($A286=21,$A286=215),$AJ286=10),"④一般",IF(AND($A286=31,$AJ286=41),"⑤短期","対象外")))))</f>
        <v>④一般</v>
      </c>
      <c r="DC286" s="0" t="n">
        <f aca="false">IF($A286="","",IF($AB286&amp;""=設定!$C$4,1,0))</f>
        <v>1</v>
      </c>
    </row>
    <row r="287" customFormat="false" ht="15" hidden="false" customHeight="false" outlineLevel="0" collapsed="false">
      <c r="A287" s="0" t="n">
        <v>21</v>
      </c>
      <c r="AA287" s="0" t="n">
        <v>21</v>
      </c>
      <c r="AB287" s="0" t="s">
        <v>96</v>
      </c>
      <c r="AD287" s="0" t="n">
        <v>0</v>
      </c>
      <c r="AE287" s="0" t="s">
        <v>295</v>
      </c>
      <c r="AH287" s="0" t="n">
        <v>1</v>
      </c>
      <c r="AJ287" s="0" t="n">
        <v>10</v>
      </c>
      <c r="AP287" s="0" t="n">
        <v>280000</v>
      </c>
      <c r="DB287" s="0" t="str">
        <f aca="false">IF($A287="","",IF($AH287=20,IF(AND(OR($A287=21,$A287=215),$AJ287=10),"①病院一般",IF(AND($A287=31,$AJ287=41),"②病院短期","対象外")),IF($AJ287=30,"③特定消防",IF(AND(OR($A287=21,$A287=215),$AJ287=10),"④一般",IF(AND($A287=31,$AJ287=41),"⑤短期","対象外")))))</f>
        <v>④一般</v>
      </c>
      <c r="DC287" s="0" t="n">
        <f aca="false">IF($A287="","",IF($AB287&amp;""=設定!$C$4,1,0))</f>
        <v>1</v>
      </c>
    </row>
    <row r="288" customFormat="false" ht="15" hidden="false" customHeight="false" outlineLevel="0" collapsed="false">
      <c r="A288" s="0" t="n">
        <v>21</v>
      </c>
      <c r="AA288" s="0" t="n">
        <v>21</v>
      </c>
      <c r="AB288" s="0" t="s">
        <v>96</v>
      </c>
      <c r="AD288" s="0" t="n">
        <v>0</v>
      </c>
      <c r="AE288" s="0" t="s">
        <v>295</v>
      </c>
      <c r="AH288" s="0" t="n">
        <v>1</v>
      </c>
      <c r="AJ288" s="0" t="n">
        <v>10</v>
      </c>
      <c r="AP288" s="0" t="n">
        <v>300000</v>
      </c>
      <c r="DB288" s="0" t="str">
        <f aca="false">IF($A288="","",IF($AH288=20,IF(AND(OR($A288=21,$A288=215),$AJ288=10),"①病院一般",IF(AND($A288=31,$AJ288=41),"②病院短期","対象外")),IF($AJ288=30,"③特定消防",IF(AND(OR($A288=21,$A288=215),$AJ288=10),"④一般",IF(AND($A288=31,$AJ288=41),"⑤短期","対象外")))))</f>
        <v>④一般</v>
      </c>
      <c r="DC288" s="0" t="n">
        <f aca="false">IF($A288="","",IF($AB288&amp;""=設定!$C$4,1,0))</f>
        <v>1</v>
      </c>
    </row>
    <row r="289" customFormat="false" ht="15" hidden="false" customHeight="false" outlineLevel="0" collapsed="false">
      <c r="A289" s="0" t="n">
        <v>21</v>
      </c>
      <c r="AA289" s="0" t="n">
        <v>21</v>
      </c>
      <c r="AB289" s="0" t="s">
        <v>96</v>
      </c>
      <c r="AD289" s="0" t="n">
        <v>0</v>
      </c>
      <c r="AE289" s="0" t="s">
        <v>295</v>
      </c>
      <c r="AH289" s="0" t="n">
        <v>3</v>
      </c>
      <c r="AJ289" s="0" t="n">
        <v>10</v>
      </c>
      <c r="AP289" s="0" t="n">
        <v>320000</v>
      </c>
      <c r="DB289" s="0" t="str">
        <f aca="false">IF($A289="","",IF($AH289=20,IF(AND(OR($A289=21,$A289=215),$AJ289=10),"①病院一般",IF(AND($A289=31,$AJ289=41),"②病院短期","対象外")),IF($AJ289=30,"③特定消防",IF(AND(OR($A289=21,$A289=215),$AJ289=10),"④一般",IF(AND($A289=31,$AJ289=41),"⑤短期","対象外")))))</f>
        <v>④一般</v>
      </c>
      <c r="DC289" s="0" t="n">
        <f aca="false">IF($A289="","",IF($AB289&amp;""=設定!$C$4,1,0))</f>
        <v>1</v>
      </c>
    </row>
    <row r="290" customFormat="false" ht="15" hidden="false" customHeight="false" outlineLevel="0" collapsed="false">
      <c r="A290" s="0" t="n">
        <v>21</v>
      </c>
      <c r="AA290" s="0" t="n">
        <v>21</v>
      </c>
      <c r="AB290" s="0" t="s">
        <v>96</v>
      </c>
      <c r="AD290" s="0" t="n">
        <v>0</v>
      </c>
      <c r="AE290" s="0" t="s">
        <v>295</v>
      </c>
      <c r="AH290" s="0" t="n">
        <v>1</v>
      </c>
      <c r="AJ290" s="0" t="n">
        <v>10</v>
      </c>
      <c r="AP290" s="0" t="n">
        <v>320000</v>
      </c>
      <c r="DB290" s="0" t="str">
        <f aca="false">IF($A290="","",IF($AH290=20,IF(AND(OR($A290=21,$A290=215),$AJ290=10),"①病院一般",IF(AND($A290=31,$AJ290=41),"②病院短期","対象外")),IF($AJ290=30,"③特定消防",IF(AND(OR($A290=21,$A290=215),$AJ290=10),"④一般",IF(AND($A290=31,$AJ290=41),"⑤短期","対象外")))))</f>
        <v>④一般</v>
      </c>
      <c r="DC290" s="0" t="n">
        <f aca="false">IF($A290="","",IF($AB290&amp;""=設定!$C$4,1,0))</f>
        <v>1</v>
      </c>
    </row>
    <row r="291" customFormat="false" ht="15" hidden="false" customHeight="false" outlineLevel="0" collapsed="false">
      <c r="A291" s="0" t="n">
        <v>21</v>
      </c>
      <c r="AA291" s="0" t="n">
        <v>21</v>
      </c>
      <c r="AB291" s="0" t="s">
        <v>96</v>
      </c>
      <c r="AD291" s="0" t="n">
        <v>0</v>
      </c>
      <c r="AE291" s="0" t="s">
        <v>295</v>
      </c>
      <c r="AH291" s="0" t="n">
        <v>21</v>
      </c>
      <c r="AJ291" s="0" t="n">
        <v>74</v>
      </c>
      <c r="AP291" s="0" t="n">
        <v>340000</v>
      </c>
      <c r="DB291" s="0" t="str">
        <f aca="false">IF($A291="","",IF($AH291=20,IF(AND(OR($A291=21,$A291=215),$AJ291=10),"①病院一般",IF(AND($A291=31,$AJ291=41),"②病院短期","対象外")),IF($AJ291=30,"③特定消防",IF(AND(OR($A291=21,$A291=215),$AJ291=10),"④一般",IF(AND($A291=31,$AJ291=41),"⑤短期","対象外")))))</f>
        <v>対象外</v>
      </c>
      <c r="DC291" s="0" t="n">
        <f aca="false">IF($A291="","",IF($AB291&amp;""=設定!$C$4,1,0))</f>
        <v>1</v>
      </c>
    </row>
    <row r="292" customFormat="false" ht="15" hidden="false" customHeight="false" outlineLevel="0" collapsed="false">
      <c r="A292" s="0" t="n">
        <v>21</v>
      </c>
      <c r="AA292" s="0" t="n">
        <v>21</v>
      </c>
      <c r="AB292" s="0" t="s">
        <v>96</v>
      </c>
      <c r="AD292" s="0" t="n">
        <v>0</v>
      </c>
      <c r="AE292" s="0" t="s">
        <v>295</v>
      </c>
      <c r="AH292" s="0" t="n">
        <v>1</v>
      </c>
      <c r="AJ292" s="0" t="n">
        <v>10</v>
      </c>
      <c r="AP292" s="0" t="n">
        <v>340000</v>
      </c>
      <c r="DB292" s="0" t="str">
        <f aca="false">IF($A292="","",IF($AH292=20,IF(AND(OR($A292=21,$A292=215),$AJ292=10),"①病院一般",IF(AND($A292=31,$AJ292=41),"②病院短期","対象外")),IF($AJ292=30,"③特定消防",IF(AND(OR($A292=21,$A292=215),$AJ292=10),"④一般",IF(AND($A292=31,$AJ292=41),"⑤短期","対象外")))))</f>
        <v>④一般</v>
      </c>
      <c r="DC292" s="0" t="n">
        <f aca="false">IF($A292="","",IF($AB292&amp;""=設定!$C$4,1,0))</f>
        <v>1</v>
      </c>
    </row>
    <row r="293" customFormat="false" ht="15" hidden="false" customHeight="false" outlineLevel="0" collapsed="false">
      <c r="A293" s="0" t="n">
        <v>21</v>
      </c>
      <c r="AA293" s="0" t="n">
        <v>21</v>
      </c>
      <c r="AB293" s="0" t="s">
        <v>96</v>
      </c>
      <c r="AD293" s="0" t="n">
        <v>0</v>
      </c>
      <c r="AE293" s="0" t="s">
        <v>295</v>
      </c>
      <c r="AH293" s="0" t="n">
        <v>1</v>
      </c>
      <c r="AJ293" s="0" t="n">
        <v>10</v>
      </c>
      <c r="AP293" s="0" t="n">
        <v>300000</v>
      </c>
      <c r="DB293" s="0" t="str">
        <f aca="false">IF($A293="","",IF($AH293=20,IF(AND(OR($A293=21,$A293=215),$AJ293=10),"①病院一般",IF(AND($A293=31,$AJ293=41),"②病院短期","対象外")),IF($AJ293=30,"③特定消防",IF(AND(OR($A293=21,$A293=215),$AJ293=10),"④一般",IF(AND($A293=31,$AJ293=41),"⑤短期","対象外")))))</f>
        <v>④一般</v>
      </c>
      <c r="DC293" s="0" t="n">
        <f aca="false">IF($A293="","",IF($AB293&amp;""=設定!$C$4,1,0))</f>
        <v>1</v>
      </c>
    </row>
    <row r="294" customFormat="false" ht="15" hidden="false" customHeight="false" outlineLevel="0" collapsed="false">
      <c r="A294" s="0" t="n">
        <v>21</v>
      </c>
      <c r="AA294" s="0" t="n">
        <v>21</v>
      </c>
      <c r="AB294" s="0" t="s">
        <v>96</v>
      </c>
      <c r="AD294" s="0" t="n">
        <v>0</v>
      </c>
      <c r="AE294" s="0" t="s">
        <v>295</v>
      </c>
      <c r="AH294" s="0" t="n">
        <v>1</v>
      </c>
      <c r="AJ294" s="0" t="n">
        <v>10</v>
      </c>
      <c r="AP294" s="0" t="n">
        <v>320000</v>
      </c>
      <c r="DB294" s="0" t="str">
        <f aca="false">IF($A294="","",IF($AH294=20,IF(AND(OR($A294=21,$A294=215),$AJ294=10),"①病院一般",IF(AND($A294=31,$AJ294=41),"②病院短期","対象外")),IF($AJ294=30,"③特定消防",IF(AND(OR($A294=21,$A294=215),$AJ294=10),"④一般",IF(AND($A294=31,$AJ294=41),"⑤短期","対象外")))))</f>
        <v>④一般</v>
      </c>
      <c r="DC294" s="0" t="n">
        <f aca="false">IF($A294="","",IF($AB294&amp;""=設定!$C$4,1,0))</f>
        <v>1</v>
      </c>
    </row>
    <row r="295" customFormat="false" ht="15" hidden="false" customHeight="false" outlineLevel="0" collapsed="false">
      <c r="A295" s="0" t="n">
        <v>21</v>
      </c>
      <c r="AA295" s="0" t="n">
        <v>21</v>
      </c>
      <c r="AB295" s="0" t="s">
        <v>96</v>
      </c>
      <c r="AD295" s="0" t="n">
        <v>0</v>
      </c>
      <c r="AE295" s="0" t="s">
        <v>295</v>
      </c>
      <c r="AH295" s="0" t="n">
        <v>1</v>
      </c>
      <c r="AJ295" s="0" t="n">
        <v>10</v>
      </c>
      <c r="AP295" s="0" t="n">
        <v>320000</v>
      </c>
      <c r="DB295" s="0" t="str">
        <f aca="false">IF($A295="","",IF($AH295=20,IF(AND(OR($A295=21,$A295=215),$AJ295=10),"①病院一般",IF(AND($A295=31,$AJ295=41),"②病院短期","対象外")),IF($AJ295=30,"③特定消防",IF(AND(OR($A295=21,$A295=215),$AJ295=10),"④一般",IF(AND($A295=31,$AJ295=41),"⑤短期","対象外")))))</f>
        <v>④一般</v>
      </c>
      <c r="DC295" s="0" t="n">
        <f aca="false">IF($A295="","",IF($AB295&amp;""=設定!$C$4,1,0))</f>
        <v>1</v>
      </c>
    </row>
    <row r="296" customFormat="false" ht="15" hidden="false" customHeight="false" outlineLevel="0" collapsed="false">
      <c r="A296" s="0" t="n">
        <v>21</v>
      </c>
      <c r="AA296" s="0" t="n">
        <v>21</v>
      </c>
      <c r="AB296" s="0" t="s">
        <v>96</v>
      </c>
      <c r="AD296" s="0" t="n">
        <v>0</v>
      </c>
      <c r="AE296" s="0" t="s">
        <v>295</v>
      </c>
      <c r="AH296" s="0" t="n">
        <v>11</v>
      </c>
      <c r="AJ296" s="0" t="n">
        <v>10</v>
      </c>
      <c r="AP296" s="0" t="n">
        <v>360000</v>
      </c>
      <c r="DB296" s="0" t="str">
        <f aca="false">IF($A296="","",IF($AH296=20,IF(AND(OR($A296=21,$A296=215),$AJ296=10),"①病院一般",IF(AND($A296=31,$AJ296=41),"②病院短期","対象外")),IF($AJ296=30,"③特定消防",IF(AND(OR($A296=21,$A296=215),$AJ296=10),"④一般",IF(AND($A296=31,$AJ296=41),"⑤短期","対象外")))))</f>
        <v>④一般</v>
      </c>
      <c r="DC296" s="0" t="n">
        <f aca="false">IF($A296="","",IF($AB296&amp;""=設定!$C$4,1,0))</f>
        <v>1</v>
      </c>
    </row>
    <row r="297" customFormat="false" ht="15" hidden="false" customHeight="false" outlineLevel="0" collapsed="false">
      <c r="A297" s="0" t="n">
        <v>21</v>
      </c>
      <c r="AA297" s="0" t="n">
        <v>21</v>
      </c>
      <c r="AB297" s="0" t="s">
        <v>96</v>
      </c>
      <c r="AD297" s="0" t="n">
        <v>0</v>
      </c>
      <c r="AE297" s="0" t="s">
        <v>295</v>
      </c>
      <c r="AH297" s="0" t="n">
        <v>1</v>
      </c>
      <c r="AJ297" s="0" t="n">
        <v>10</v>
      </c>
      <c r="AP297" s="0" t="n">
        <v>440000</v>
      </c>
      <c r="DB297" s="0" t="str">
        <f aca="false">IF($A297="","",IF($AH297=20,IF(AND(OR($A297=21,$A297=215),$AJ297=10),"①病院一般",IF(AND($A297=31,$AJ297=41),"②病院短期","対象外")),IF($AJ297=30,"③特定消防",IF(AND(OR($A297=21,$A297=215),$AJ297=10),"④一般",IF(AND($A297=31,$AJ297=41),"⑤短期","対象外")))))</f>
        <v>④一般</v>
      </c>
      <c r="DC297" s="0" t="n">
        <f aca="false">IF($A297="","",IF($AB297&amp;""=設定!$C$4,1,0))</f>
        <v>1</v>
      </c>
    </row>
    <row r="298" customFormat="false" ht="15" hidden="false" customHeight="false" outlineLevel="0" collapsed="false">
      <c r="A298" s="0" t="n">
        <v>21</v>
      </c>
      <c r="AA298" s="0" t="n">
        <v>21</v>
      </c>
      <c r="AB298" s="0" t="s">
        <v>96</v>
      </c>
      <c r="AD298" s="0" t="n">
        <v>0</v>
      </c>
      <c r="AE298" s="0" t="s">
        <v>295</v>
      </c>
      <c r="AH298" s="0" t="n">
        <v>1</v>
      </c>
      <c r="AJ298" s="0" t="n">
        <v>10</v>
      </c>
      <c r="AP298" s="0" t="n">
        <v>320000</v>
      </c>
      <c r="DB298" s="0" t="str">
        <f aca="false">IF($A298="","",IF($AH298=20,IF(AND(OR($A298=21,$A298=215),$AJ298=10),"①病院一般",IF(AND($A298=31,$AJ298=41),"②病院短期","対象外")),IF($AJ298=30,"③特定消防",IF(AND(OR($A298=21,$A298=215),$AJ298=10),"④一般",IF(AND($A298=31,$AJ298=41),"⑤短期","対象外")))))</f>
        <v>④一般</v>
      </c>
      <c r="DC298" s="0" t="n">
        <f aca="false">IF($A298="","",IF($AB298&amp;""=設定!$C$4,1,0))</f>
        <v>1</v>
      </c>
    </row>
    <row r="299" customFormat="false" ht="15" hidden="false" customHeight="false" outlineLevel="0" collapsed="false">
      <c r="A299" s="0" t="n">
        <v>21</v>
      </c>
      <c r="AA299" s="0" t="n">
        <v>21</v>
      </c>
      <c r="AB299" s="0" t="s">
        <v>96</v>
      </c>
      <c r="AD299" s="0" t="n">
        <v>0</v>
      </c>
      <c r="AE299" s="0" t="s">
        <v>295</v>
      </c>
      <c r="AH299" s="0" t="n">
        <v>1</v>
      </c>
      <c r="AJ299" s="0" t="n">
        <v>10</v>
      </c>
      <c r="AP299" s="0" t="n">
        <v>300000</v>
      </c>
      <c r="DB299" s="0" t="str">
        <f aca="false">IF($A299="","",IF($AH299=20,IF(AND(OR($A299=21,$A299=215),$AJ299=10),"①病院一般",IF(AND($A299=31,$AJ299=41),"②病院短期","対象外")),IF($AJ299=30,"③特定消防",IF(AND(OR($A299=21,$A299=215),$AJ299=10),"④一般",IF(AND($A299=31,$AJ299=41),"⑤短期","対象外")))))</f>
        <v>④一般</v>
      </c>
      <c r="DC299" s="0" t="n">
        <f aca="false">IF($A299="","",IF($AB299&amp;""=設定!$C$4,1,0))</f>
        <v>1</v>
      </c>
    </row>
    <row r="300" customFormat="false" ht="15" hidden="false" customHeight="false" outlineLevel="0" collapsed="false">
      <c r="A300" s="0" t="n">
        <v>21</v>
      </c>
      <c r="AA300" s="0" t="n">
        <v>21</v>
      </c>
      <c r="AB300" s="0" t="s">
        <v>96</v>
      </c>
      <c r="AD300" s="0" t="n">
        <v>0</v>
      </c>
      <c r="AE300" s="0" t="s">
        <v>295</v>
      </c>
      <c r="AH300" s="0" t="n">
        <v>1</v>
      </c>
      <c r="AJ300" s="0" t="n">
        <v>10</v>
      </c>
      <c r="AP300" s="0" t="n">
        <v>360000</v>
      </c>
      <c r="DB300" s="0" t="str">
        <f aca="false">IF($A300="","",IF($AH300=20,IF(AND(OR($A300=21,$A300=215),$AJ300=10),"①病院一般",IF(AND($A300=31,$AJ300=41),"②病院短期","対象外")),IF($AJ300=30,"③特定消防",IF(AND(OR($A300=21,$A300=215),$AJ300=10),"④一般",IF(AND($A300=31,$AJ300=41),"⑤短期","対象外")))))</f>
        <v>④一般</v>
      </c>
      <c r="DC300" s="0" t="n">
        <f aca="false">IF($A300="","",IF($AB300&amp;""=設定!$C$4,1,0))</f>
        <v>1</v>
      </c>
    </row>
    <row r="301" customFormat="false" ht="15" hidden="false" customHeight="false" outlineLevel="0" collapsed="false">
      <c r="A301" s="0" t="n">
        <v>21</v>
      </c>
      <c r="AA301" s="0" t="n">
        <v>21</v>
      </c>
      <c r="AB301" s="0" t="s">
        <v>96</v>
      </c>
      <c r="AD301" s="0" t="n">
        <v>0</v>
      </c>
      <c r="AE301" s="0" t="s">
        <v>295</v>
      </c>
      <c r="AH301" s="0" t="n">
        <v>1</v>
      </c>
      <c r="AJ301" s="0" t="n">
        <v>10</v>
      </c>
      <c r="AP301" s="0" t="n">
        <v>320000</v>
      </c>
      <c r="DB301" s="0" t="str">
        <f aca="false">IF($A301="","",IF($AH301=20,IF(AND(OR($A301=21,$A301=215),$AJ301=10),"①病院一般",IF(AND($A301=31,$AJ301=41),"②病院短期","対象外")),IF($AJ301=30,"③特定消防",IF(AND(OR($A301=21,$A301=215),$AJ301=10),"④一般",IF(AND($A301=31,$AJ301=41),"⑤短期","対象外")))))</f>
        <v>④一般</v>
      </c>
      <c r="DC301" s="0" t="n">
        <f aca="false">IF($A301="","",IF($AB301&amp;""=設定!$C$4,1,0))</f>
        <v>1</v>
      </c>
    </row>
    <row r="302" customFormat="false" ht="15" hidden="false" customHeight="false" outlineLevel="0" collapsed="false">
      <c r="A302" s="0" t="n">
        <v>21</v>
      </c>
      <c r="AA302" s="0" t="n">
        <v>21</v>
      </c>
      <c r="AB302" s="0" t="s">
        <v>96</v>
      </c>
      <c r="AD302" s="0" t="n">
        <v>0</v>
      </c>
      <c r="AE302" s="0" t="s">
        <v>295</v>
      </c>
      <c r="AH302" s="0" t="n">
        <v>1</v>
      </c>
      <c r="AJ302" s="0" t="n">
        <v>10</v>
      </c>
      <c r="AP302" s="0" t="n">
        <v>380000</v>
      </c>
      <c r="DB302" s="0" t="str">
        <f aca="false">IF($A302="","",IF($AH302=20,IF(AND(OR($A302=21,$A302=215),$AJ302=10),"①病院一般",IF(AND($A302=31,$AJ302=41),"②病院短期","対象外")),IF($AJ302=30,"③特定消防",IF(AND(OR($A302=21,$A302=215),$AJ302=10),"④一般",IF(AND($A302=31,$AJ302=41),"⑤短期","対象外")))))</f>
        <v>④一般</v>
      </c>
      <c r="DC302" s="0" t="n">
        <f aca="false">IF($A302="","",IF($AB302&amp;""=設定!$C$4,1,0))</f>
        <v>1</v>
      </c>
    </row>
    <row r="303" customFormat="false" ht="15" hidden="false" customHeight="false" outlineLevel="0" collapsed="false">
      <c r="A303" s="0" t="n">
        <v>21</v>
      </c>
      <c r="AA303" s="0" t="n">
        <v>21</v>
      </c>
      <c r="AB303" s="0" t="s">
        <v>96</v>
      </c>
      <c r="AD303" s="0" t="n">
        <v>0</v>
      </c>
      <c r="AE303" s="0" t="s">
        <v>295</v>
      </c>
      <c r="AH303" s="0" t="n">
        <v>1</v>
      </c>
      <c r="AJ303" s="0" t="n">
        <v>10</v>
      </c>
      <c r="AP303" s="0" t="n">
        <v>300000</v>
      </c>
      <c r="DB303" s="0" t="str">
        <f aca="false">IF($A303="","",IF($AH303=20,IF(AND(OR($A303=21,$A303=215),$AJ303=10),"①病院一般",IF(AND($A303=31,$AJ303=41),"②病院短期","対象外")),IF($AJ303=30,"③特定消防",IF(AND(OR($A303=21,$A303=215),$AJ303=10),"④一般",IF(AND($A303=31,$AJ303=41),"⑤短期","対象外")))))</f>
        <v>④一般</v>
      </c>
      <c r="DC303" s="0" t="n">
        <f aca="false">IF($A303="","",IF($AB303&amp;""=設定!$C$4,1,0))</f>
        <v>1</v>
      </c>
    </row>
    <row r="304" customFormat="false" ht="15" hidden="false" customHeight="false" outlineLevel="0" collapsed="false">
      <c r="A304" s="0" t="n">
        <v>21</v>
      </c>
      <c r="AA304" s="0" t="n">
        <v>21</v>
      </c>
      <c r="AB304" s="0" t="s">
        <v>96</v>
      </c>
      <c r="AD304" s="0" t="n">
        <v>0</v>
      </c>
      <c r="AE304" s="0" t="s">
        <v>295</v>
      </c>
      <c r="AH304" s="0" t="n">
        <v>1</v>
      </c>
      <c r="AJ304" s="0" t="n">
        <v>10</v>
      </c>
      <c r="AP304" s="0" t="n">
        <v>440000</v>
      </c>
      <c r="DB304" s="0" t="str">
        <f aca="false">IF($A304="","",IF($AH304=20,IF(AND(OR($A304=21,$A304=215),$AJ304=10),"①病院一般",IF(AND($A304=31,$AJ304=41),"②病院短期","対象外")),IF($AJ304=30,"③特定消防",IF(AND(OR($A304=21,$A304=215),$AJ304=10),"④一般",IF(AND($A304=31,$AJ304=41),"⑤短期","対象外")))))</f>
        <v>④一般</v>
      </c>
      <c r="DC304" s="0" t="n">
        <f aca="false">IF($A304="","",IF($AB304&amp;""=設定!$C$4,1,0))</f>
        <v>1</v>
      </c>
    </row>
    <row r="305" customFormat="false" ht="15" hidden="false" customHeight="false" outlineLevel="0" collapsed="false">
      <c r="A305" s="0" t="n">
        <v>21</v>
      </c>
      <c r="AA305" s="0" t="n">
        <v>21</v>
      </c>
      <c r="AB305" s="0" t="s">
        <v>96</v>
      </c>
      <c r="AD305" s="0" t="n">
        <v>0</v>
      </c>
      <c r="AE305" s="0" t="s">
        <v>295</v>
      </c>
      <c r="AH305" s="0" t="n">
        <v>1</v>
      </c>
      <c r="AJ305" s="0" t="n">
        <v>10</v>
      </c>
      <c r="AP305" s="0" t="n">
        <v>440000</v>
      </c>
      <c r="DB305" s="0" t="str">
        <f aca="false">IF($A305="","",IF($AH305=20,IF(AND(OR($A305=21,$A305=215),$AJ305=10),"①病院一般",IF(AND($A305=31,$AJ305=41),"②病院短期","対象外")),IF($AJ305=30,"③特定消防",IF(AND(OR($A305=21,$A305=215),$AJ305=10),"④一般",IF(AND($A305=31,$AJ305=41),"⑤短期","対象外")))))</f>
        <v>④一般</v>
      </c>
      <c r="DC305" s="0" t="n">
        <f aca="false">IF($A305="","",IF($AB305&amp;""=設定!$C$4,1,0))</f>
        <v>1</v>
      </c>
    </row>
    <row r="306" customFormat="false" ht="15" hidden="false" customHeight="false" outlineLevel="0" collapsed="false">
      <c r="A306" s="0" t="n">
        <v>21</v>
      </c>
      <c r="AA306" s="0" t="n">
        <v>21</v>
      </c>
      <c r="AB306" s="0" t="s">
        <v>96</v>
      </c>
      <c r="AD306" s="0" t="n">
        <v>0</v>
      </c>
      <c r="AE306" s="0" t="s">
        <v>295</v>
      </c>
      <c r="AH306" s="0" t="n">
        <v>1</v>
      </c>
      <c r="AJ306" s="0" t="n">
        <v>10</v>
      </c>
      <c r="AP306" s="0" t="n">
        <v>380000</v>
      </c>
      <c r="DB306" s="0" t="str">
        <f aca="false">IF($A306="","",IF($AH306=20,IF(AND(OR($A306=21,$A306=215),$AJ306=10),"①病院一般",IF(AND($A306=31,$AJ306=41),"②病院短期","対象外")),IF($AJ306=30,"③特定消防",IF(AND(OR($A306=21,$A306=215),$AJ306=10),"④一般",IF(AND($A306=31,$AJ306=41),"⑤短期","対象外")))))</f>
        <v>④一般</v>
      </c>
      <c r="DC306" s="0" t="n">
        <f aca="false">IF($A306="","",IF($AB306&amp;""=設定!$C$4,1,0))</f>
        <v>1</v>
      </c>
    </row>
    <row r="307" customFormat="false" ht="15" hidden="false" customHeight="false" outlineLevel="0" collapsed="false">
      <c r="A307" s="0" t="n">
        <v>21</v>
      </c>
      <c r="AA307" s="0" t="n">
        <v>21</v>
      </c>
      <c r="AB307" s="0" t="s">
        <v>96</v>
      </c>
      <c r="AD307" s="0" t="n">
        <v>0</v>
      </c>
      <c r="AE307" s="0" t="s">
        <v>295</v>
      </c>
      <c r="AH307" s="0" t="n">
        <v>1</v>
      </c>
      <c r="AJ307" s="0" t="n">
        <v>10</v>
      </c>
      <c r="AP307" s="0" t="n">
        <v>440000</v>
      </c>
      <c r="DB307" s="0" t="str">
        <f aca="false">IF($A307="","",IF($AH307=20,IF(AND(OR($A307=21,$A307=215),$AJ307=10),"①病院一般",IF(AND($A307=31,$AJ307=41),"②病院短期","対象外")),IF($AJ307=30,"③特定消防",IF(AND(OR($A307=21,$A307=215),$AJ307=10),"④一般",IF(AND($A307=31,$AJ307=41),"⑤短期","対象外")))))</f>
        <v>④一般</v>
      </c>
      <c r="DC307" s="0" t="n">
        <f aca="false">IF($A307="","",IF($AB307&amp;""=設定!$C$4,1,0))</f>
        <v>1</v>
      </c>
    </row>
    <row r="308" customFormat="false" ht="15" hidden="false" customHeight="false" outlineLevel="0" collapsed="false">
      <c r="A308" s="0" t="n">
        <v>21</v>
      </c>
      <c r="AA308" s="0" t="n">
        <v>21</v>
      </c>
      <c r="AB308" s="0" t="s">
        <v>96</v>
      </c>
      <c r="AD308" s="0" t="n">
        <v>0</v>
      </c>
      <c r="AE308" s="0" t="s">
        <v>295</v>
      </c>
      <c r="AH308" s="0" t="n">
        <v>1</v>
      </c>
      <c r="AJ308" s="0" t="n">
        <v>10</v>
      </c>
      <c r="AP308" s="0" t="n">
        <v>380000</v>
      </c>
      <c r="DB308" s="0" t="str">
        <f aca="false">IF($A308="","",IF($AH308=20,IF(AND(OR($A308=21,$A308=215),$AJ308=10),"①病院一般",IF(AND($A308=31,$AJ308=41),"②病院短期","対象外")),IF($AJ308=30,"③特定消防",IF(AND(OR($A308=21,$A308=215),$AJ308=10),"④一般",IF(AND($A308=31,$AJ308=41),"⑤短期","対象外")))))</f>
        <v>④一般</v>
      </c>
      <c r="DC308" s="0" t="n">
        <f aca="false">IF($A308="","",IF($AB308&amp;""=設定!$C$4,1,0))</f>
        <v>1</v>
      </c>
    </row>
    <row r="309" customFormat="false" ht="15" hidden="false" customHeight="false" outlineLevel="0" collapsed="false">
      <c r="A309" s="0" t="n">
        <v>21</v>
      </c>
      <c r="AA309" s="0" t="n">
        <v>21</v>
      </c>
      <c r="AB309" s="0" t="s">
        <v>96</v>
      </c>
      <c r="AD309" s="0" t="n">
        <v>0</v>
      </c>
      <c r="AE309" s="0" t="s">
        <v>295</v>
      </c>
      <c r="AH309" s="0" t="n">
        <v>1</v>
      </c>
      <c r="AJ309" s="0" t="n">
        <v>10</v>
      </c>
      <c r="AP309" s="0" t="n">
        <v>360000</v>
      </c>
      <c r="DB309" s="0" t="str">
        <f aca="false">IF($A309="","",IF($AH309=20,IF(AND(OR($A309=21,$A309=215),$AJ309=10),"①病院一般",IF(AND($A309=31,$AJ309=41),"②病院短期","対象外")),IF($AJ309=30,"③特定消防",IF(AND(OR($A309=21,$A309=215),$AJ309=10),"④一般",IF(AND($A309=31,$AJ309=41),"⑤短期","対象外")))))</f>
        <v>④一般</v>
      </c>
      <c r="DC309" s="0" t="n">
        <f aca="false">IF($A309="","",IF($AB309&amp;""=設定!$C$4,1,0))</f>
        <v>1</v>
      </c>
    </row>
    <row r="310" customFormat="false" ht="15" hidden="false" customHeight="false" outlineLevel="0" collapsed="false">
      <c r="A310" s="0" t="n">
        <v>21</v>
      </c>
      <c r="AA310" s="0" t="n">
        <v>21</v>
      </c>
      <c r="AB310" s="0" t="s">
        <v>96</v>
      </c>
      <c r="AD310" s="0" t="n">
        <v>0</v>
      </c>
      <c r="AE310" s="0" t="s">
        <v>295</v>
      </c>
      <c r="AH310" s="0" t="n">
        <v>1</v>
      </c>
      <c r="AJ310" s="0" t="n">
        <v>10</v>
      </c>
      <c r="AP310" s="0" t="n">
        <v>410000</v>
      </c>
      <c r="DB310" s="0" t="str">
        <f aca="false">IF($A310="","",IF($AH310=20,IF(AND(OR($A310=21,$A310=215),$AJ310=10),"①病院一般",IF(AND($A310=31,$AJ310=41),"②病院短期","対象外")),IF($AJ310=30,"③特定消防",IF(AND(OR($A310=21,$A310=215),$AJ310=10),"④一般",IF(AND($A310=31,$AJ310=41),"⑤短期","対象外")))))</f>
        <v>④一般</v>
      </c>
      <c r="DC310" s="0" t="n">
        <f aca="false">IF($A310="","",IF($AB310&amp;""=設定!$C$4,1,0))</f>
        <v>1</v>
      </c>
    </row>
    <row r="311" customFormat="false" ht="15" hidden="false" customHeight="false" outlineLevel="0" collapsed="false">
      <c r="A311" s="0" t="n">
        <v>21</v>
      </c>
      <c r="AA311" s="0" t="n">
        <v>21</v>
      </c>
      <c r="AB311" s="0" t="s">
        <v>96</v>
      </c>
      <c r="AD311" s="0" t="n">
        <v>0</v>
      </c>
      <c r="AE311" s="0" t="s">
        <v>295</v>
      </c>
      <c r="AH311" s="0" t="n">
        <v>4</v>
      </c>
      <c r="AJ311" s="0" t="n">
        <v>10</v>
      </c>
      <c r="AP311" s="0" t="n">
        <v>320000</v>
      </c>
      <c r="DB311" s="0" t="str">
        <f aca="false">IF($A311="","",IF($AH311=20,IF(AND(OR($A311=21,$A311=215),$AJ311=10),"①病院一般",IF(AND($A311=31,$AJ311=41),"②病院短期","対象外")),IF($AJ311=30,"③特定消防",IF(AND(OR($A311=21,$A311=215),$AJ311=10),"④一般",IF(AND($A311=31,$AJ311=41),"⑤短期","対象外")))))</f>
        <v>④一般</v>
      </c>
      <c r="DC311" s="0" t="n">
        <f aca="false">IF($A311="","",IF($AB311&amp;""=設定!$C$4,1,0))</f>
        <v>1</v>
      </c>
    </row>
    <row r="312" customFormat="false" ht="15" hidden="false" customHeight="false" outlineLevel="0" collapsed="false">
      <c r="A312" s="0" t="n">
        <v>21</v>
      </c>
      <c r="AA312" s="0" t="n">
        <v>21</v>
      </c>
      <c r="AB312" s="0" t="s">
        <v>96</v>
      </c>
      <c r="AD312" s="0" t="n">
        <v>0</v>
      </c>
      <c r="AE312" s="0" t="s">
        <v>295</v>
      </c>
      <c r="AH312" s="0" t="n">
        <v>4</v>
      </c>
      <c r="AJ312" s="0" t="n">
        <v>10</v>
      </c>
      <c r="AP312" s="0" t="n">
        <v>340000</v>
      </c>
      <c r="DB312" s="0" t="str">
        <f aca="false">IF($A312="","",IF($AH312=20,IF(AND(OR($A312=21,$A312=215),$AJ312=10),"①病院一般",IF(AND($A312=31,$AJ312=41),"②病院短期","対象外")),IF($AJ312=30,"③特定消防",IF(AND(OR($A312=21,$A312=215),$AJ312=10),"④一般",IF(AND($A312=31,$AJ312=41),"⑤短期","対象外")))))</f>
        <v>④一般</v>
      </c>
      <c r="DC312" s="0" t="n">
        <f aca="false">IF($A312="","",IF($AB312&amp;""=設定!$C$4,1,0))</f>
        <v>1</v>
      </c>
    </row>
    <row r="313" customFormat="false" ht="15" hidden="false" customHeight="false" outlineLevel="0" collapsed="false">
      <c r="A313" s="0" t="n">
        <v>21</v>
      </c>
      <c r="AA313" s="0" t="n">
        <v>21</v>
      </c>
      <c r="AB313" s="0" t="s">
        <v>96</v>
      </c>
      <c r="AD313" s="0" t="n">
        <v>0</v>
      </c>
      <c r="AE313" s="0" t="s">
        <v>295</v>
      </c>
      <c r="AH313" s="0" t="n">
        <v>1</v>
      </c>
      <c r="AJ313" s="0" t="n">
        <v>10</v>
      </c>
      <c r="AP313" s="0" t="n">
        <v>360000</v>
      </c>
      <c r="DB313" s="0" t="str">
        <f aca="false">IF($A313="","",IF($AH313=20,IF(AND(OR($A313=21,$A313=215),$AJ313=10),"①病院一般",IF(AND($A313=31,$AJ313=41),"②病院短期","対象外")),IF($AJ313=30,"③特定消防",IF(AND(OR($A313=21,$A313=215),$AJ313=10),"④一般",IF(AND($A313=31,$AJ313=41),"⑤短期","対象外")))))</f>
        <v>④一般</v>
      </c>
      <c r="DC313" s="0" t="n">
        <f aca="false">IF($A313="","",IF($AB313&amp;""=設定!$C$4,1,0))</f>
        <v>1</v>
      </c>
    </row>
    <row r="314" customFormat="false" ht="15" hidden="false" customHeight="false" outlineLevel="0" collapsed="false">
      <c r="A314" s="0" t="n">
        <v>21</v>
      </c>
      <c r="AA314" s="0" t="n">
        <v>21</v>
      </c>
      <c r="AB314" s="0" t="s">
        <v>96</v>
      </c>
      <c r="AD314" s="0" t="n">
        <v>0</v>
      </c>
      <c r="AE314" s="0" t="s">
        <v>295</v>
      </c>
      <c r="AH314" s="0" t="n">
        <v>1</v>
      </c>
      <c r="AJ314" s="0" t="n">
        <v>10</v>
      </c>
      <c r="AP314" s="0" t="n">
        <v>380000</v>
      </c>
      <c r="DB314" s="0" t="str">
        <f aca="false">IF($A314="","",IF($AH314=20,IF(AND(OR($A314=21,$A314=215),$AJ314=10),"①病院一般",IF(AND($A314=31,$AJ314=41),"②病院短期","対象外")),IF($AJ314=30,"③特定消防",IF(AND(OR($A314=21,$A314=215),$AJ314=10),"④一般",IF(AND($A314=31,$AJ314=41),"⑤短期","対象外")))))</f>
        <v>④一般</v>
      </c>
      <c r="DC314" s="0" t="n">
        <f aca="false">IF($A314="","",IF($AB314&amp;""=設定!$C$4,1,0))</f>
        <v>1</v>
      </c>
    </row>
    <row r="315" customFormat="false" ht="15" hidden="false" customHeight="false" outlineLevel="0" collapsed="false">
      <c r="A315" s="0" t="n">
        <v>21</v>
      </c>
      <c r="AA315" s="0" t="n">
        <v>21</v>
      </c>
      <c r="AB315" s="0" t="s">
        <v>96</v>
      </c>
      <c r="AD315" s="0" t="n">
        <v>0</v>
      </c>
      <c r="AE315" s="0" t="s">
        <v>295</v>
      </c>
      <c r="AH315" s="0" t="n">
        <v>4</v>
      </c>
      <c r="AJ315" s="0" t="n">
        <v>10</v>
      </c>
      <c r="AP315" s="0" t="n">
        <v>360000</v>
      </c>
      <c r="DB315" s="0" t="str">
        <f aca="false">IF($A315="","",IF($AH315=20,IF(AND(OR($A315=21,$A315=215),$AJ315=10),"①病院一般",IF(AND($A315=31,$AJ315=41),"②病院短期","対象外")),IF($AJ315=30,"③特定消防",IF(AND(OR($A315=21,$A315=215),$AJ315=10),"④一般",IF(AND($A315=31,$AJ315=41),"⑤短期","対象外")))))</f>
        <v>④一般</v>
      </c>
      <c r="DC315" s="0" t="n">
        <f aca="false">IF($A315="","",IF($AB315&amp;""=設定!$C$4,1,0))</f>
        <v>1</v>
      </c>
    </row>
    <row r="316" customFormat="false" ht="15" hidden="false" customHeight="false" outlineLevel="0" collapsed="false">
      <c r="A316" s="0" t="n">
        <v>21</v>
      </c>
      <c r="AA316" s="0" t="n">
        <v>21</v>
      </c>
      <c r="AB316" s="0" t="s">
        <v>96</v>
      </c>
      <c r="AD316" s="0" t="n">
        <v>0</v>
      </c>
      <c r="AE316" s="0" t="s">
        <v>295</v>
      </c>
      <c r="AH316" s="0" t="n">
        <v>4</v>
      </c>
      <c r="AJ316" s="0" t="n">
        <v>10</v>
      </c>
      <c r="AP316" s="0" t="n">
        <v>320000</v>
      </c>
      <c r="DB316" s="0" t="str">
        <f aca="false">IF($A316="","",IF($AH316=20,IF(AND(OR($A316=21,$A316=215),$AJ316=10),"①病院一般",IF(AND($A316=31,$AJ316=41),"②病院短期","対象外")),IF($AJ316=30,"③特定消防",IF(AND(OR($A316=21,$A316=215),$AJ316=10),"④一般",IF(AND($A316=31,$AJ316=41),"⑤短期","対象外")))))</f>
        <v>④一般</v>
      </c>
      <c r="DC316" s="0" t="n">
        <f aca="false">IF($A316="","",IF($AB316&amp;""=設定!$C$4,1,0))</f>
        <v>1</v>
      </c>
    </row>
    <row r="317" customFormat="false" ht="15" hidden="false" customHeight="false" outlineLevel="0" collapsed="false">
      <c r="A317" s="0" t="n">
        <v>21</v>
      </c>
      <c r="AA317" s="0" t="n">
        <v>21</v>
      </c>
      <c r="AB317" s="0" t="s">
        <v>96</v>
      </c>
      <c r="AD317" s="0" t="n">
        <v>0</v>
      </c>
      <c r="AE317" s="0" t="s">
        <v>295</v>
      </c>
      <c r="AH317" s="0" t="n">
        <v>4</v>
      </c>
      <c r="AJ317" s="0" t="n">
        <v>10</v>
      </c>
      <c r="AP317" s="0" t="n">
        <v>320000</v>
      </c>
      <c r="DB317" s="0" t="str">
        <f aca="false">IF($A317="","",IF($AH317=20,IF(AND(OR($A317=21,$A317=215),$AJ317=10),"①病院一般",IF(AND($A317=31,$AJ317=41),"②病院短期","対象外")),IF($AJ317=30,"③特定消防",IF(AND(OR($A317=21,$A317=215),$AJ317=10),"④一般",IF(AND($A317=31,$AJ317=41),"⑤短期","対象外")))))</f>
        <v>④一般</v>
      </c>
      <c r="DC317" s="0" t="n">
        <f aca="false">IF($A317="","",IF($AB317&amp;""=設定!$C$4,1,0))</f>
        <v>1</v>
      </c>
    </row>
    <row r="318" customFormat="false" ht="15" hidden="false" customHeight="false" outlineLevel="0" collapsed="false">
      <c r="A318" s="0" t="n">
        <v>21</v>
      </c>
      <c r="AA318" s="0" t="n">
        <v>21</v>
      </c>
      <c r="AB318" s="0" t="s">
        <v>96</v>
      </c>
      <c r="AD318" s="0" t="n">
        <v>0</v>
      </c>
      <c r="AE318" s="0" t="s">
        <v>295</v>
      </c>
      <c r="AH318" s="0" t="n">
        <v>1</v>
      </c>
      <c r="AJ318" s="0" t="n">
        <v>10</v>
      </c>
      <c r="AP318" s="0" t="n">
        <v>320000</v>
      </c>
      <c r="DB318" s="0" t="str">
        <f aca="false">IF($A318="","",IF($AH318=20,IF(AND(OR($A318=21,$A318=215),$AJ318=10),"①病院一般",IF(AND($A318=31,$AJ318=41),"②病院短期","対象外")),IF($AJ318=30,"③特定消防",IF(AND(OR($A318=21,$A318=215),$AJ318=10),"④一般",IF(AND($A318=31,$AJ318=41),"⑤短期","対象外")))))</f>
        <v>④一般</v>
      </c>
      <c r="DC318" s="0" t="n">
        <f aca="false">IF($A318="","",IF($AB318&amp;""=設定!$C$4,1,0))</f>
        <v>1</v>
      </c>
    </row>
    <row r="319" customFormat="false" ht="15" hidden="false" customHeight="false" outlineLevel="0" collapsed="false">
      <c r="A319" s="0" t="n">
        <v>21</v>
      </c>
      <c r="AA319" s="0" t="n">
        <v>21</v>
      </c>
      <c r="AB319" s="0" t="s">
        <v>96</v>
      </c>
      <c r="AD319" s="0" t="n">
        <v>0</v>
      </c>
      <c r="AE319" s="0" t="s">
        <v>295</v>
      </c>
      <c r="AH319" s="0" t="n">
        <v>4</v>
      </c>
      <c r="AJ319" s="0" t="n">
        <v>10</v>
      </c>
      <c r="AP319" s="0" t="n">
        <v>280000</v>
      </c>
      <c r="DB319" s="0" t="str">
        <f aca="false">IF($A319="","",IF($AH319=20,IF(AND(OR($A319=21,$A319=215),$AJ319=10),"①病院一般",IF(AND($A319=31,$AJ319=41),"②病院短期","対象外")),IF($AJ319=30,"③特定消防",IF(AND(OR($A319=21,$A319=215),$AJ319=10),"④一般",IF(AND($A319=31,$AJ319=41),"⑤短期","対象外")))))</f>
        <v>④一般</v>
      </c>
      <c r="DC319" s="0" t="n">
        <f aca="false">IF($A319="","",IF($AB319&amp;""=設定!$C$4,1,0))</f>
        <v>1</v>
      </c>
    </row>
    <row r="320" customFormat="false" ht="15" hidden="false" customHeight="false" outlineLevel="0" collapsed="false">
      <c r="A320" s="0" t="n">
        <v>21</v>
      </c>
      <c r="AA320" s="0" t="n">
        <v>21</v>
      </c>
      <c r="AB320" s="0" t="s">
        <v>96</v>
      </c>
      <c r="AD320" s="0" t="n">
        <v>0</v>
      </c>
      <c r="AE320" s="0" t="s">
        <v>295</v>
      </c>
      <c r="AH320" s="0" t="n">
        <v>1</v>
      </c>
      <c r="AJ320" s="0" t="n">
        <v>10</v>
      </c>
      <c r="AP320" s="0" t="n">
        <v>340000</v>
      </c>
      <c r="DB320" s="0" t="str">
        <f aca="false">IF($A320="","",IF($AH320=20,IF(AND(OR($A320=21,$A320=215),$AJ320=10),"①病院一般",IF(AND($A320=31,$AJ320=41),"②病院短期","対象外")),IF($AJ320=30,"③特定消防",IF(AND(OR($A320=21,$A320=215),$AJ320=10),"④一般",IF(AND($A320=31,$AJ320=41),"⑤短期","対象外")))))</f>
        <v>④一般</v>
      </c>
      <c r="DC320" s="0" t="n">
        <f aca="false">IF($A320="","",IF($AB320&amp;""=設定!$C$4,1,0))</f>
        <v>1</v>
      </c>
    </row>
    <row r="321" customFormat="false" ht="15" hidden="false" customHeight="false" outlineLevel="0" collapsed="false">
      <c r="A321" s="0" t="n">
        <v>21</v>
      </c>
      <c r="AA321" s="0" t="n">
        <v>21</v>
      </c>
      <c r="AB321" s="0" t="s">
        <v>96</v>
      </c>
      <c r="AD321" s="0" t="n">
        <v>0</v>
      </c>
      <c r="AE321" s="0" t="s">
        <v>295</v>
      </c>
      <c r="AH321" s="0" t="n">
        <v>1</v>
      </c>
      <c r="AJ321" s="0" t="n">
        <v>10</v>
      </c>
      <c r="AP321" s="0" t="n">
        <v>280000</v>
      </c>
      <c r="DB321" s="0" t="str">
        <f aca="false">IF($A321="","",IF($AH321=20,IF(AND(OR($A321=21,$A321=215),$AJ321=10),"①病院一般",IF(AND($A321=31,$AJ321=41),"②病院短期","対象外")),IF($AJ321=30,"③特定消防",IF(AND(OR($A321=21,$A321=215),$AJ321=10),"④一般",IF(AND($A321=31,$AJ321=41),"⑤短期","対象外")))))</f>
        <v>④一般</v>
      </c>
      <c r="DC321" s="0" t="n">
        <f aca="false">IF($A321="","",IF($AB321&amp;""=設定!$C$4,1,0))</f>
        <v>1</v>
      </c>
    </row>
    <row r="322" customFormat="false" ht="15" hidden="false" customHeight="false" outlineLevel="0" collapsed="false">
      <c r="A322" s="0" t="n">
        <v>21</v>
      </c>
      <c r="AA322" s="0" t="n">
        <v>21</v>
      </c>
      <c r="AB322" s="0" t="s">
        <v>96</v>
      </c>
      <c r="AD322" s="0" t="n">
        <v>0</v>
      </c>
      <c r="AE322" s="0" t="s">
        <v>295</v>
      </c>
      <c r="AH322" s="0" t="n">
        <v>1</v>
      </c>
      <c r="AJ322" s="0" t="n">
        <v>10</v>
      </c>
      <c r="AP322" s="0" t="n">
        <v>360000</v>
      </c>
      <c r="DB322" s="0" t="str">
        <f aca="false">IF($A322="","",IF($AH322=20,IF(AND(OR($A322=21,$A322=215),$AJ322=10),"①病院一般",IF(AND($A322=31,$AJ322=41),"②病院短期","対象外")),IF($AJ322=30,"③特定消防",IF(AND(OR($A322=21,$A322=215),$AJ322=10),"④一般",IF(AND($A322=31,$AJ322=41),"⑤短期","対象外")))))</f>
        <v>④一般</v>
      </c>
      <c r="DC322" s="0" t="n">
        <f aca="false">IF($A322="","",IF($AB322&amp;""=設定!$C$4,1,0))</f>
        <v>1</v>
      </c>
    </row>
    <row r="323" customFormat="false" ht="15" hidden="false" customHeight="false" outlineLevel="0" collapsed="false">
      <c r="A323" s="0" t="n">
        <v>21</v>
      </c>
      <c r="AA323" s="0" t="n">
        <v>21</v>
      </c>
      <c r="AB323" s="0" t="s">
        <v>96</v>
      </c>
      <c r="AD323" s="0" t="n">
        <v>0</v>
      </c>
      <c r="AE323" s="0" t="s">
        <v>295</v>
      </c>
      <c r="AH323" s="0" t="n">
        <v>1</v>
      </c>
      <c r="AJ323" s="0" t="n">
        <v>10</v>
      </c>
      <c r="AP323" s="0" t="n">
        <v>320000</v>
      </c>
      <c r="DB323" s="0" t="str">
        <f aca="false">IF($A323="","",IF($AH323=20,IF(AND(OR($A323=21,$A323=215),$AJ323=10),"①病院一般",IF(AND($A323=31,$AJ323=41),"②病院短期","対象外")),IF($AJ323=30,"③特定消防",IF(AND(OR($A323=21,$A323=215),$AJ323=10),"④一般",IF(AND($A323=31,$AJ323=41),"⑤短期","対象外")))))</f>
        <v>④一般</v>
      </c>
      <c r="DC323" s="0" t="n">
        <f aca="false">IF($A323="","",IF($AB323&amp;""=設定!$C$4,1,0))</f>
        <v>1</v>
      </c>
    </row>
    <row r="324" customFormat="false" ht="15" hidden="false" customHeight="false" outlineLevel="0" collapsed="false">
      <c r="A324" s="0" t="n">
        <v>21</v>
      </c>
      <c r="AA324" s="0" t="n">
        <v>21</v>
      </c>
      <c r="AB324" s="0" t="s">
        <v>96</v>
      </c>
      <c r="AD324" s="0" t="n">
        <v>12</v>
      </c>
      <c r="AE324" s="0" t="s">
        <v>298</v>
      </c>
      <c r="AH324" s="0" t="n">
        <v>1</v>
      </c>
      <c r="AJ324" s="0" t="n">
        <v>10</v>
      </c>
      <c r="AP324" s="0" t="n">
        <v>340000</v>
      </c>
      <c r="DB324" s="0" t="str">
        <f aca="false">IF($A324="","",IF($AH324=20,IF(AND(OR($A324=21,$A324=215),$AJ324=10),"①病院一般",IF(AND($A324=31,$AJ324=41),"②病院短期","対象外")),IF($AJ324=30,"③特定消防",IF(AND(OR($A324=21,$A324=215),$AJ324=10),"④一般",IF(AND($A324=31,$AJ324=41),"⑤短期","対象外")))))</f>
        <v>④一般</v>
      </c>
      <c r="DC324" s="0" t="n">
        <f aca="false">IF($A324="","",IF($AB324&amp;""=設定!$C$4,1,0))</f>
        <v>1</v>
      </c>
    </row>
    <row r="325" customFormat="false" ht="15" hidden="false" customHeight="false" outlineLevel="0" collapsed="false">
      <c r="A325" s="0" t="n">
        <v>21</v>
      </c>
      <c r="AA325" s="0" t="n">
        <v>21</v>
      </c>
      <c r="AB325" s="0" t="s">
        <v>96</v>
      </c>
      <c r="AD325" s="0" t="n">
        <v>0</v>
      </c>
      <c r="AE325" s="0" t="s">
        <v>295</v>
      </c>
      <c r="AH325" s="0" t="n">
        <v>1</v>
      </c>
      <c r="AJ325" s="0" t="n">
        <v>10</v>
      </c>
      <c r="AP325" s="0" t="n">
        <v>340000</v>
      </c>
      <c r="DB325" s="0" t="str">
        <f aca="false">IF($A325="","",IF($AH325=20,IF(AND(OR($A325=21,$A325=215),$AJ325=10),"①病院一般",IF(AND($A325=31,$AJ325=41),"②病院短期","対象外")),IF($AJ325=30,"③特定消防",IF(AND(OR($A325=21,$A325=215),$AJ325=10),"④一般",IF(AND($A325=31,$AJ325=41),"⑤短期","対象外")))))</f>
        <v>④一般</v>
      </c>
      <c r="DC325" s="0" t="n">
        <f aca="false">IF($A325="","",IF($AB325&amp;""=設定!$C$4,1,0))</f>
        <v>1</v>
      </c>
    </row>
    <row r="326" customFormat="false" ht="15" hidden="false" customHeight="false" outlineLevel="0" collapsed="false">
      <c r="A326" s="0" t="n">
        <v>21</v>
      </c>
      <c r="AA326" s="0" t="n">
        <v>21</v>
      </c>
      <c r="AB326" s="0" t="s">
        <v>96</v>
      </c>
      <c r="AD326" s="0" t="n">
        <v>0</v>
      </c>
      <c r="AE326" s="0" t="s">
        <v>295</v>
      </c>
      <c r="AH326" s="0" t="n">
        <v>1</v>
      </c>
      <c r="AJ326" s="0" t="n">
        <v>10</v>
      </c>
      <c r="AP326" s="0" t="n">
        <v>320000</v>
      </c>
      <c r="DB326" s="0" t="str">
        <f aca="false">IF($A326="","",IF($AH326=20,IF(AND(OR($A326=21,$A326=215),$AJ326=10),"①病院一般",IF(AND($A326=31,$AJ326=41),"②病院短期","対象外")),IF($AJ326=30,"③特定消防",IF(AND(OR($A326=21,$A326=215),$AJ326=10),"④一般",IF(AND($A326=31,$AJ326=41),"⑤短期","対象外")))))</f>
        <v>④一般</v>
      </c>
      <c r="DC326" s="0" t="n">
        <f aca="false">IF($A326="","",IF($AB326&amp;""=設定!$C$4,1,0))</f>
        <v>1</v>
      </c>
    </row>
    <row r="327" customFormat="false" ht="15" hidden="false" customHeight="false" outlineLevel="0" collapsed="false">
      <c r="A327" s="0" t="n">
        <v>21</v>
      </c>
      <c r="AA327" s="0" t="n">
        <v>21</v>
      </c>
      <c r="AB327" s="0" t="s">
        <v>96</v>
      </c>
      <c r="AD327" s="0" t="n">
        <v>0</v>
      </c>
      <c r="AE327" s="0" t="s">
        <v>295</v>
      </c>
      <c r="AH327" s="0" t="n">
        <v>11</v>
      </c>
      <c r="AJ327" s="0" t="n">
        <v>10</v>
      </c>
      <c r="AP327" s="0" t="n">
        <v>320000</v>
      </c>
      <c r="DB327" s="0" t="str">
        <f aca="false">IF($A327="","",IF($AH327=20,IF(AND(OR($A327=21,$A327=215),$AJ327=10),"①病院一般",IF(AND($A327=31,$AJ327=41),"②病院短期","対象外")),IF($AJ327=30,"③特定消防",IF(AND(OR($A327=21,$A327=215),$AJ327=10),"④一般",IF(AND($A327=31,$AJ327=41),"⑤短期","対象外")))))</f>
        <v>④一般</v>
      </c>
      <c r="DC327" s="0" t="n">
        <f aca="false">IF($A327="","",IF($AB327&amp;""=設定!$C$4,1,0))</f>
        <v>1</v>
      </c>
    </row>
    <row r="328" customFormat="false" ht="15" hidden="false" customHeight="false" outlineLevel="0" collapsed="false">
      <c r="A328" s="0" t="n">
        <v>21</v>
      </c>
      <c r="AA328" s="0" t="n">
        <v>21</v>
      </c>
      <c r="AB328" s="0" t="s">
        <v>96</v>
      </c>
      <c r="AD328" s="0" t="n">
        <v>0</v>
      </c>
      <c r="AE328" s="0" t="s">
        <v>295</v>
      </c>
      <c r="AH328" s="0" t="n">
        <v>1</v>
      </c>
      <c r="AJ328" s="0" t="n">
        <v>10</v>
      </c>
      <c r="AP328" s="0" t="n">
        <v>320000</v>
      </c>
      <c r="DB328" s="0" t="str">
        <f aca="false">IF($A328="","",IF($AH328=20,IF(AND(OR($A328=21,$A328=215),$AJ328=10),"①病院一般",IF(AND($A328=31,$AJ328=41),"②病院短期","対象外")),IF($AJ328=30,"③特定消防",IF(AND(OR($A328=21,$A328=215),$AJ328=10),"④一般",IF(AND($A328=31,$AJ328=41),"⑤短期","対象外")))))</f>
        <v>④一般</v>
      </c>
      <c r="DC328" s="0" t="n">
        <f aca="false">IF($A328="","",IF($AB328&amp;""=設定!$C$4,1,0))</f>
        <v>1</v>
      </c>
    </row>
    <row r="329" customFormat="false" ht="15" hidden="false" customHeight="false" outlineLevel="0" collapsed="false">
      <c r="A329" s="0" t="n">
        <v>21</v>
      </c>
      <c r="AA329" s="0" t="n">
        <v>21</v>
      </c>
      <c r="AB329" s="0" t="s">
        <v>96</v>
      </c>
      <c r="AD329" s="0" t="n">
        <v>0</v>
      </c>
      <c r="AE329" s="0" t="s">
        <v>295</v>
      </c>
      <c r="AH329" s="0" t="n">
        <v>11</v>
      </c>
      <c r="AJ329" s="0" t="n">
        <v>10</v>
      </c>
      <c r="AP329" s="0" t="n">
        <v>340000</v>
      </c>
      <c r="DB329" s="0" t="str">
        <f aca="false">IF($A329="","",IF($AH329=20,IF(AND(OR($A329=21,$A329=215),$AJ329=10),"①病院一般",IF(AND($A329=31,$AJ329=41),"②病院短期","対象外")),IF($AJ329=30,"③特定消防",IF(AND(OR($A329=21,$A329=215),$AJ329=10),"④一般",IF(AND($A329=31,$AJ329=41),"⑤短期","対象外")))))</f>
        <v>④一般</v>
      </c>
      <c r="DC329" s="0" t="n">
        <f aca="false">IF($A329="","",IF($AB329&amp;""=設定!$C$4,1,0))</f>
        <v>1</v>
      </c>
    </row>
    <row r="330" customFormat="false" ht="15" hidden="false" customHeight="false" outlineLevel="0" collapsed="false">
      <c r="A330" s="0" t="n">
        <v>21</v>
      </c>
      <c r="AA330" s="0" t="n">
        <v>21</v>
      </c>
      <c r="AB330" s="0" t="s">
        <v>96</v>
      </c>
      <c r="AD330" s="0" t="n">
        <v>0</v>
      </c>
      <c r="AE330" s="0" t="s">
        <v>295</v>
      </c>
      <c r="AH330" s="0" t="n">
        <v>11</v>
      </c>
      <c r="AJ330" s="0" t="n">
        <v>10</v>
      </c>
      <c r="AP330" s="0" t="n">
        <v>320000</v>
      </c>
      <c r="DB330" s="0" t="str">
        <f aca="false">IF($A330="","",IF($AH330=20,IF(AND(OR($A330=21,$A330=215),$AJ330=10),"①病院一般",IF(AND($A330=31,$AJ330=41),"②病院短期","対象外")),IF($AJ330=30,"③特定消防",IF(AND(OR($A330=21,$A330=215),$AJ330=10),"④一般",IF(AND($A330=31,$AJ330=41),"⑤短期","対象外")))))</f>
        <v>④一般</v>
      </c>
      <c r="DC330" s="0" t="n">
        <f aca="false">IF($A330="","",IF($AB330&amp;""=設定!$C$4,1,0))</f>
        <v>1</v>
      </c>
    </row>
    <row r="331" customFormat="false" ht="15" hidden="false" customHeight="false" outlineLevel="0" collapsed="false">
      <c r="A331" s="0" t="n">
        <v>21</v>
      </c>
      <c r="AA331" s="0" t="n">
        <v>21</v>
      </c>
      <c r="AB331" s="0" t="s">
        <v>96</v>
      </c>
      <c r="AD331" s="0" t="n">
        <v>0</v>
      </c>
      <c r="AE331" s="0" t="s">
        <v>295</v>
      </c>
      <c r="AH331" s="0" t="n">
        <v>1</v>
      </c>
      <c r="AJ331" s="0" t="n">
        <v>10</v>
      </c>
      <c r="AP331" s="0" t="n">
        <v>340000</v>
      </c>
      <c r="DB331" s="0" t="str">
        <f aca="false">IF($A331="","",IF($AH331=20,IF(AND(OR($A331=21,$A331=215),$AJ331=10),"①病院一般",IF(AND($A331=31,$AJ331=41),"②病院短期","対象外")),IF($AJ331=30,"③特定消防",IF(AND(OR($A331=21,$A331=215),$AJ331=10),"④一般",IF(AND($A331=31,$AJ331=41),"⑤短期","対象外")))))</f>
        <v>④一般</v>
      </c>
      <c r="DC331" s="0" t="n">
        <f aca="false">IF($A331="","",IF($AB331&amp;""=設定!$C$4,1,0))</f>
        <v>1</v>
      </c>
    </row>
    <row r="332" customFormat="false" ht="15" hidden="false" customHeight="false" outlineLevel="0" collapsed="false">
      <c r="A332" s="0" t="n">
        <v>21</v>
      </c>
      <c r="AA332" s="0" t="n">
        <v>21</v>
      </c>
      <c r="AB332" s="0" t="s">
        <v>96</v>
      </c>
      <c r="AD332" s="0" t="n">
        <v>0</v>
      </c>
      <c r="AE332" s="0" t="s">
        <v>295</v>
      </c>
      <c r="AH332" s="0" t="n">
        <v>1</v>
      </c>
      <c r="AJ332" s="0" t="n">
        <v>10</v>
      </c>
      <c r="AP332" s="0" t="n">
        <v>360000</v>
      </c>
      <c r="DB332" s="0" t="str">
        <f aca="false">IF($A332="","",IF($AH332=20,IF(AND(OR($A332=21,$A332=215),$AJ332=10),"①病院一般",IF(AND($A332=31,$AJ332=41),"②病院短期","対象外")),IF($AJ332=30,"③特定消防",IF(AND(OR($A332=21,$A332=215),$AJ332=10),"④一般",IF(AND($A332=31,$AJ332=41),"⑤短期","対象外")))))</f>
        <v>④一般</v>
      </c>
      <c r="DC332" s="0" t="n">
        <f aca="false">IF($A332="","",IF($AB332&amp;""=設定!$C$4,1,0))</f>
        <v>1</v>
      </c>
    </row>
    <row r="333" customFormat="false" ht="15" hidden="false" customHeight="false" outlineLevel="0" collapsed="false">
      <c r="A333" s="0" t="n">
        <v>21</v>
      </c>
      <c r="AA333" s="0" t="n">
        <v>21</v>
      </c>
      <c r="AB333" s="0" t="s">
        <v>96</v>
      </c>
      <c r="AD333" s="0" t="n">
        <v>0</v>
      </c>
      <c r="AE333" s="0" t="s">
        <v>295</v>
      </c>
      <c r="AH333" s="0" t="n">
        <v>1</v>
      </c>
      <c r="AJ333" s="0" t="n">
        <v>10</v>
      </c>
      <c r="AP333" s="0" t="n">
        <v>300000</v>
      </c>
      <c r="DB333" s="0" t="str">
        <f aca="false">IF($A333="","",IF($AH333=20,IF(AND(OR($A333=21,$A333=215),$AJ333=10),"①病院一般",IF(AND($A333=31,$AJ333=41),"②病院短期","対象外")),IF($AJ333=30,"③特定消防",IF(AND(OR($A333=21,$A333=215),$AJ333=10),"④一般",IF(AND($A333=31,$AJ333=41),"⑤短期","対象外")))))</f>
        <v>④一般</v>
      </c>
      <c r="DC333" s="0" t="n">
        <f aca="false">IF($A333="","",IF($AB333&amp;""=設定!$C$4,1,0))</f>
        <v>1</v>
      </c>
    </row>
    <row r="334" customFormat="false" ht="15" hidden="false" customHeight="false" outlineLevel="0" collapsed="false">
      <c r="A334" s="0" t="n">
        <v>21</v>
      </c>
      <c r="AA334" s="0" t="n">
        <v>21</v>
      </c>
      <c r="AB334" s="0" t="s">
        <v>96</v>
      </c>
      <c r="AD334" s="0" t="n">
        <v>0</v>
      </c>
      <c r="AE334" s="0" t="s">
        <v>295</v>
      </c>
      <c r="AH334" s="0" t="n">
        <v>1</v>
      </c>
      <c r="AJ334" s="0" t="n">
        <v>10</v>
      </c>
      <c r="AP334" s="0" t="n">
        <v>360000</v>
      </c>
      <c r="DB334" s="0" t="str">
        <f aca="false">IF($A334="","",IF($AH334=20,IF(AND(OR($A334=21,$A334=215),$AJ334=10),"①病院一般",IF(AND($A334=31,$AJ334=41),"②病院短期","対象外")),IF($AJ334=30,"③特定消防",IF(AND(OR($A334=21,$A334=215),$AJ334=10),"④一般",IF(AND($A334=31,$AJ334=41),"⑤短期","対象外")))))</f>
        <v>④一般</v>
      </c>
      <c r="DC334" s="0" t="n">
        <f aca="false">IF($A334="","",IF($AB334&amp;""=設定!$C$4,1,0))</f>
        <v>1</v>
      </c>
    </row>
    <row r="335" customFormat="false" ht="15" hidden="false" customHeight="false" outlineLevel="0" collapsed="false">
      <c r="A335" s="0" t="n">
        <v>21</v>
      </c>
      <c r="AA335" s="0" t="n">
        <v>21</v>
      </c>
      <c r="AB335" s="0" t="s">
        <v>96</v>
      </c>
      <c r="AD335" s="0" t="n">
        <v>0</v>
      </c>
      <c r="AE335" s="0" t="s">
        <v>295</v>
      </c>
      <c r="AH335" s="0" t="n">
        <v>4</v>
      </c>
      <c r="AJ335" s="0" t="n">
        <v>10</v>
      </c>
      <c r="AP335" s="0" t="n">
        <v>320000</v>
      </c>
      <c r="DB335" s="0" t="str">
        <f aca="false">IF($A335="","",IF($AH335=20,IF(AND(OR($A335=21,$A335=215),$AJ335=10),"①病院一般",IF(AND($A335=31,$AJ335=41),"②病院短期","対象外")),IF($AJ335=30,"③特定消防",IF(AND(OR($A335=21,$A335=215),$AJ335=10),"④一般",IF(AND($A335=31,$AJ335=41),"⑤短期","対象外")))))</f>
        <v>④一般</v>
      </c>
      <c r="DC335" s="0" t="n">
        <f aca="false">IF($A335="","",IF($AB335&amp;""=設定!$C$4,1,0))</f>
        <v>1</v>
      </c>
    </row>
    <row r="336" customFormat="false" ht="15" hidden="false" customHeight="false" outlineLevel="0" collapsed="false">
      <c r="A336" s="0" t="n">
        <v>21</v>
      </c>
      <c r="AA336" s="0" t="n">
        <v>21</v>
      </c>
      <c r="AB336" s="0" t="s">
        <v>96</v>
      </c>
      <c r="AD336" s="0" t="n">
        <v>0</v>
      </c>
      <c r="AE336" s="0" t="s">
        <v>295</v>
      </c>
      <c r="AH336" s="0" t="n">
        <v>1</v>
      </c>
      <c r="AJ336" s="0" t="n">
        <v>10</v>
      </c>
      <c r="AP336" s="0" t="n">
        <v>340000</v>
      </c>
      <c r="DB336" s="0" t="str">
        <f aca="false">IF($A336="","",IF($AH336=20,IF(AND(OR($A336=21,$A336=215),$AJ336=10),"①病院一般",IF(AND($A336=31,$AJ336=41),"②病院短期","対象外")),IF($AJ336=30,"③特定消防",IF(AND(OR($A336=21,$A336=215),$AJ336=10),"④一般",IF(AND($A336=31,$AJ336=41),"⑤短期","対象外")))))</f>
        <v>④一般</v>
      </c>
      <c r="DC336" s="0" t="n">
        <f aca="false">IF($A336="","",IF($AB336&amp;""=設定!$C$4,1,0))</f>
        <v>1</v>
      </c>
    </row>
    <row r="337" customFormat="false" ht="15" hidden="false" customHeight="false" outlineLevel="0" collapsed="false">
      <c r="A337" s="0" t="n">
        <v>21</v>
      </c>
      <c r="AA337" s="0" t="n">
        <v>21</v>
      </c>
      <c r="AB337" s="0" t="s">
        <v>96</v>
      </c>
      <c r="AD337" s="0" t="n">
        <v>0</v>
      </c>
      <c r="AE337" s="0" t="s">
        <v>295</v>
      </c>
      <c r="AH337" s="0" t="n">
        <v>1</v>
      </c>
      <c r="AJ337" s="0" t="n">
        <v>10</v>
      </c>
      <c r="AP337" s="0" t="n">
        <v>320000</v>
      </c>
      <c r="DB337" s="0" t="str">
        <f aca="false">IF($A337="","",IF($AH337=20,IF(AND(OR($A337=21,$A337=215),$AJ337=10),"①病院一般",IF(AND($A337=31,$AJ337=41),"②病院短期","対象外")),IF($AJ337=30,"③特定消防",IF(AND(OR($A337=21,$A337=215),$AJ337=10),"④一般",IF(AND($A337=31,$AJ337=41),"⑤短期","対象外")))))</f>
        <v>④一般</v>
      </c>
      <c r="DC337" s="0" t="n">
        <f aca="false">IF($A337="","",IF($AB337&amp;""=設定!$C$4,1,0))</f>
        <v>1</v>
      </c>
    </row>
    <row r="338" customFormat="false" ht="15" hidden="false" customHeight="false" outlineLevel="0" collapsed="false">
      <c r="A338" s="0" t="n">
        <v>21</v>
      </c>
      <c r="AA338" s="0" t="n">
        <v>21</v>
      </c>
      <c r="AB338" s="0" t="s">
        <v>96</v>
      </c>
      <c r="AD338" s="0" t="n">
        <v>0</v>
      </c>
      <c r="AE338" s="0" t="s">
        <v>295</v>
      </c>
      <c r="AH338" s="0" t="n">
        <v>1</v>
      </c>
      <c r="AJ338" s="0" t="n">
        <v>10</v>
      </c>
      <c r="AP338" s="0" t="n">
        <v>260000</v>
      </c>
      <c r="DB338" s="0" t="str">
        <f aca="false">IF($A338="","",IF($AH338=20,IF(AND(OR($A338=21,$A338=215),$AJ338=10),"①病院一般",IF(AND($A338=31,$AJ338=41),"②病院短期","対象外")),IF($AJ338=30,"③特定消防",IF(AND(OR($A338=21,$A338=215),$AJ338=10),"④一般",IF(AND($A338=31,$AJ338=41),"⑤短期","対象外")))))</f>
        <v>④一般</v>
      </c>
      <c r="DC338" s="0" t="n">
        <f aca="false">IF($A338="","",IF($AB338&amp;""=設定!$C$4,1,0))</f>
        <v>1</v>
      </c>
    </row>
    <row r="339" customFormat="false" ht="15" hidden="false" customHeight="false" outlineLevel="0" collapsed="false">
      <c r="A339" s="0" t="n">
        <v>21</v>
      </c>
      <c r="AA339" s="0" t="n">
        <v>21</v>
      </c>
      <c r="AB339" s="0" t="s">
        <v>96</v>
      </c>
      <c r="AD339" s="0" t="n">
        <v>0</v>
      </c>
      <c r="AE339" s="0" t="s">
        <v>295</v>
      </c>
      <c r="AH339" s="0" t="n">
        <v>1</v>
      </c>
      <c r="AJ339" s="0" t="n">
        <v>10</v>
      </c>
      <c r="AP339" s="0" t="n">
        <v>260000</v>
      </c>
      <c r="DB339" s="0" t="str">
        <f aca="false">IF($A339="","",IF($AH339=20,IF(AND(OR($A339=21,$A339=215),$AJ339=10),"①病院一般",IF(AND($A339=31,$AJ339=41),"②病院短期","対象外")),IF($AJ339=30,"③特定消防",IF(AND(OR($A339=21,$A339=215),$AJ339=10),"④一般",IF(AND($A339=31,$AJ339=41),"⑤短期","対象外")))))</f>
        <v>④一般</v>
      </c>
      <c r="DC339" s="0" t="n">
        <f aca="false">IF($A339="","",IF($AB339&amp;""=設定!$C$4,1,0))</f>
        <v>1</v>
      </c>
    </row>
    <row r="340" customFormat="false" ht="15" hidden="false" customHeight="false" outlineLevel="0" collapsed="false">
      <c r="A340" s="0" t="n">
        <v>21</v>
      </c>
      <c r="AA340" s="0" t="n">
        <v>21</v>
      </c>
      <c r="AB340" s="0" t="s">
        <v>96</v>
      </c>
      <c r="AD340" s="0" t="n">
        <v>0</v>
      </c>
      <c r="AE340" s="0" t="s">
        <v>295</v>
      </c>
      <c r="AH340" s="0" t="n">
        <v>5</v>
      </c>
      <c r="AJ340" s="0" t="n">
        <v>30</v>
      </c>
      <c r="AP340" s="0" t="n">
        <v>260000</v>
      </c>
      <c r="DB340" s="0" t="str">
        <f aca="false">IF($A340="","",IF($AH340=20,IF(AND(OR($A340=21,$A340=215),$AJ340=10),"①病院一般",IF(AND($A340=31,$AJ340=41),"②病院短期","対象外")),IF($AJ340=30,"③特定消防",IF(AND(OR($A340=21,$A340=215),$AJ340=10),"④一般",IF(AND($A340=31,$AJ340=41),"⑤短期","対象外")))))</f>
        <v>③特定消防</v>
      </c>
      <c r="DC340" s="0" t="n">
        <f aca="false">IF($A340="","",IF($AB340&amp;""=設定!$C$4,1,0))</f>
        <v>1</v>
      </c>
    </row>
    <row r="341" customFormat="false" ht="15" hidden="false" customHeight="false" outlineLevel="0" collapsed="false">
      <c r="A341" s="0" t="n">
        <v>21</v>
      </c>
      <c r="AA341" s="0" t="n">
        <v>21</v>
      </c>
      <c r="AB341" s="0" t="s">
        <v>96</v>
      </c>
      <c r="AD341" s="0" t="n">
        <v>0</v>
      </c>
      <c r="AE341" s="0" t="s">
        <v>295</v>
      </c>
      <c r="AH341" s="0" t="n">
        <v>5</v>
      </c>
      <c r="AJ341" s="0" t="n">
        <v>30</v>
      </c>
      <c r="AP341" s="0" t="n">
        <v>260000</v>
      </c>
      <c r="DB341" s="0" t="str">
        <f aca="false">IF($A341="","",IF($AH341=20,IF(AND(OR($A341=21,$A341=215),$AJ341=10),"①病院一般",IF(AND($A341=31,$AJ341=41),"②病院短期","対象外")),IF($AJ341=30,"③特定消防",IF(AND(OR($A341=21,$A341=215),$AJ341=10),"④一般",IF(AND($A341=31,$AJ341=41),"⑤短期","対象外")))))</f>
        <v>③特定消防</v>
      </c>
      <c r="DC341" s="0" t="n">
        <f aca="false">IF($A341="","",IF($AB341&amp;""=設定!$C$4,1,0))</f>
        <v>1</v>
      </c>
    </row>
    <row r="342" customFormat="false" ht="15" hidden="false" customHeight="false" outlineLevel="0" collapsed="false">
      <c r="A342" s="0" t="n">
        <v>21</v>
      </c>
      <c r="AA342" s="0" t="n">
        <v>21</v>
      </c>
      <c r="AB342" s="0" t="s">
        <v>96</v>
      </c>
      <c r="AD342" s="0" t="n">
        <v>0</v>
      </c>
      <c r="AE342" s="0" t="s">
        <v>295</v>
      </c>
      <c r="AH342" s="0" t="n">
        <v>5</v>
      </c>
      <c r="AJ342" s="0" t="n">
        <v>30</v>
      </c>
      <c r="AP342" s="0" t="n">
        <v>260000</v>
      </c>
      <c r="DB342" s="0" t="str">
        <f aca="false">IF($A342="","",IF($AH342=20,IF(AND(OR($A342=21,$A342=215),$AJ342=10),"①病院一般",IF(AND($A342=31,$AJ342=41),"②病院短期","対象外")),IF($AJ342=30,"③特定消防",IF(AND(OR($A342=21,$A342=215),$AJ342=10),"④一般",IF(AND($A342=31,$AJ342=41),"⑤短期","対象外")))))</f>
        <v>③特定消防</v>
      </c>
      <c r="DC342" s="0" t="n">
        <f aca="false">IF($A342="","",IF($AB342&amp;""=設定!$C$4,1,0))</f>
        <v>1</v>
      </c>
    </row>
    <row r="343" customFormat="false" ht="15" hidden="false" customHeight="false" outlineLevel="0" collapsed="false">
      <c r="A343" s="0" t="n">
        <v>21</v>
      </c>
      <c r="AA343" s="0" t="n">
        <v>21</v>
      </c>
      <c r="AB343" s="0" t="s">
        <v>96</v>
      </c>
      <c r="AD343" s="0" t="n">
        <v>0</v>
      </c>
      <c r="AE343" s="0" t="s">
        <v>295</v>
      </c>
      <c r="AH343" s="0" t="n">
        <v>5</v>
      </c>
      <c r="AJ343" s="0" t="n">
        <v>30</v>
      </c>
      <c r="AP343" s="0" t="n">
        <v>280000</v>
      </c>
      <c r="DB343" s="0" t="str">
        <f aca="false">IF($A343="","",IF($AH343=20,IF(AND(OR($A343=21,$A343=215),$AJ343=10),"①病院一般",IF(AND($A343=31,$AJ343=41),"②病院短期","対象外")),IF($AJ343=30,"③特定消防",IF(AND(OR($A343=21,$A343=215),$AJ343=10),"④一般",IF(AND($A343=31,$AJ343=41),"⑤短期","対象外")))))</f>
        <v>③特定消防</v>
      </c>
      <c r="DC343" s="0" t="n">
        <f aca="false">IF($A343="","",IF($AB343&amp;""=設定!$C$4,1,0))</f>
        <v>1</v>
      </c>
    </row>
    <row r="344" customFormat="false" ht="15" hidden="false" customHeight="false" outlineLevel="0" collapsed="false">
      <c r="A344" s="0" t="n">
        <v>21</v>
      </c>
      <c r="AA344" s="0" t="n">
        <v>21</v>
      </c>
      <c r="AB344" s="0" t="s">
        <v>96</v>
      </c>
      <c r="AD344" s="0" t="n">
        <v>0</v>
      </c>
      <c r="AE344" s="0" t="s">
        <v>295</v>
      </c>
      <c r="AH344" s="0" t="n">
        <v>5</v>
      </c>
      <c r="AJ344" s="0" t="n">
        <v>30</v>
      </c>
      <c r="AP344" s="0" t="n">
        <v>240000</v>
      </c>
      <c r="DB344" s="0" t="str">
        <f aca="false">IF($A344="","",IF($AH344=20,IF(AND(OR($A344=21,$A344=215),$AJ344=10),"①病院一般",IF(AND($A344=31,$AJ344=41),"②病院短期","対象外")),IF($AJ344=30,"③特定消防",IF(AND(OR($A344=21,$A344=215),$AJ344=10),"④一般",IF(AND($A344=31,$AJ344=41),"⑤短期","対象外")))))</f>
        <v>③特定消防</v>
      </c>
      <c r="DC344" s="0" t="n">
        <f aca="false">IF($A344="","",IF($AB344&amp;""=設定!$C$4,1,0))</f>
        <v>1</v>
      </c>
    </row>
    <row r="345" customFormat="false" ht="15" hidden="false" customHeight="false" outlineLevel="0" collapsed="false">
      <c r="A345" s="0" t="n">
        <v>21</v>
      </c>
      <c r="AA345" s="0" t="n">
        <v>21</v>
      </c>
      <c r="AB345" s="0" t="s">
        <v>96</v>
      </c>
      <c r="AD345" s="0" t="n">
        <v>0</v>
      </c>
      <c r="AE345" s="0" t="s">
        <v>295</v>
      </c>
      <c r="AH345" s="0" t="n">
        <v>5</v>
      </c>
      <c r="AJ345" s="0" t="n">
        <v>30</v>
      </c>
      <c r="AP345" s="0" t="n">
        <v>240000</v>
      </c>
      <c r="DB345" s="0" t="str">
        <f aca="false">IF($A345="","",IF($AH345=20,IF(AND(OR($A345=21,$A345=215),$AJ345=10),"①病院一般",IF(AND($A345=31,$AJ345=41),"②病院短期","対象外")),IF($AJ345=30,"③特定消防",IF(AND(OR($A345=21,$A345=215),$AJ345=10),"④一般",IF(AND($A345=31,$AJ345=41),"⑤短期","対象外")))))</f>
        <v>③特定消防</v>
      </c>
      <c r="DC345" s="0" t="n">
        <f aca="false">IF($A345="","",IF($AB345&amp;""=設定!$C$4,1,0))</f>
        <v>1</v>
      </c>
    </row>
    <row r="346" customFormat="false" ht="15" hidden="false" customHeight="false" outlineLevel="0" collapsed="false">
      <c r="A346" s="0" t="n">
        <v>21</v>
      </c>
      <c r="AA346" s="0" t="n">
        <v>21</v>
      </c>
      <c r="AB346" s="0" t="s">
        <v>96</v>
      </c>
      <c r="AD346" s="0" t="n">
        <v>0</v>
      </c>
      <c r="AE346" s="0" t="s">
        <v>295</v>
      </c>
      <c r="AH346" s="0" t="n">
        <v>5</v>
      </c>
      <c r="AJ346" s="0" t="n">
        <v>30</v>
      </c>
      <c r="AP346" s="0" t="n">
        <v>240000</v>
      </c>
      <c r="DB346" s="0" t="str">
        <f aca="false">IF($A346="","",IF($AH346=20,IF(AND(OR($A346=21,$A346=215),$AJ346=10),"①病院一般",IF(AND($A346=31,$AJ346=41),"②病院短期","対象外")),IF($AJ346=30,"③特定消防",IF(AND(OR($A346=21,$A346=215),$AJ346=10),"④一般",IF(AND($A346=31,$AJ346=41),"⑤短期","対象外")))))</f>
        <v>③特定消防</v>
      </c>
      <c r="DC346" s="0" t="n">
        <f aca="false">IF($A346="","",IF($AB346&amp;""=設定!$C$4,1,0))</f>
        <v>1</v>
      </c>
    </row>
    <row r="347" customFormat="false" ht="15" hidden="false" customHeight="false" outlineLevel="0" collapsed="false">
      <c r="A347" s="0" t="n">
        <v>21</v>
      </c>
      <c r="AA347" s="0" t="n">
        <v>21</v>
      </c>
      <c r="AB347" s="0" t="s">
        <v>96</v>
      </c>
      <c r="AD347" s="0" t="n">
        <v>0</v>
      </c>
      <c r="AE347" s="0" t="s">
        <v>295</v>
      </c>
      <c r="AH347" s="0" t="n">
        <v>5</v>
      </c>
      <c r="AJ347" s="0" t="n">
        <v>30</v>
      </c>
      <c r="AP347" s="0" t="n">
        <v>240000</v>
      </c>
      <c r="DB347" s="0" t="str">
        <f aca="false">IF($A347="","",IF($AH347=20,IF(AND(OR($A347=21,$A347=215),$AJ347=10),"①病院一般",IF(AND($A347=31,$AJ347=41),"②病院短期","対象外")),IF($AJ347=30,"③特定消防",IF(AND(OR($A347=21,$A347=215),$AJ347=10),"④一般",IF(AND($A347=31,$AJ347=41),"⑤短期","対象外")))))</f>
        <v>③特定消防</v>
      </c>
      <c r="DC347" s="0" t="n">
        <f aca="false">IF($A347="","",IF($AB347&amp;""=設定!$C$4,1,0))</f>
        <v>1</v>
      </c>
    </row>
    <row r="348" customFormat="false" ht="15" hidden="false" customHeight="false" outlineLevel="0" collapsed="false">
      <c r="A348" s="0" t="n">
        <v>21</v>
      </c>
      <c r="AA348" s="0" t="n">
        <v>21</v>
      </c>
      <c r="AB348" s="0" t="s">
        <v>96</v>
      </c>
      <c r="AD348" s="0" t="n">
        <v>0</v>
      </c>
      <c r="AE348" s="0" t="s">
        <v>295</v>
      </c>
      <c r="AH348" s="0" t="n">
        <v>5</v>
      </c>
      <c r="AJ348" s="0" t="n">
        <v>30</v>
      </c>
      <c r="AP348" s="0" t="n">
        <v>240000</v>
      </c>
      <c r="DB348" s="0" t="str">
        <f aca="false">IF($A348="","",IF($AH348=20,IF(AND(OR($A348=21,$A348=215),$AJ348=10),"①病院一般",IF(AND($A348=31,$AJ348=41),"②病院短期","対象外")),IF($AJ348=30,"③特定消防",IF(AND(OR($A348=21,$A348=215),$AJ348=10),"④一般",IF(AND($A348=31,$AJ348=41),"⑤短期","対象外")))))</f>
        <v>③特定消防</v>
      </c>
      <c r="DC348" s="0" t="n">
        <f aca="false">IF($A348="","",IF($AB348&amp;""=設定!$C$4,1,0))</f>
        <v>1</v>
      </c>
    </row>
    <row r="349" customFormat="false" ht="15" hidden="false" customHeight="false" outlineLevel="0" collapsed="false">
      <c r="A349" s="0" t="n">
        <v>21</v>
      </c>
      <c r="AA349" s="0" t="n">
        <v>21</v>
      </c>
      <c r="AB349" s="0" t="s">
        <v>96</v>
      </c>
      <c r="AD349" s="0" t="n">
        <v>0</v>
      </c>
      <c r="AE349" s="0" t="s">
        <v>295</v>
      </c>
      <c r="AH349" s="0" t="n">
        <v>5</v>
      </c>
      <c r="AJ349" s="0" t="n">
        <v>30</v>
      </c>
      <c r="AP349" s="0" t="n">
        <v>240000</v>
      </c>
      <c r="DB349" s="0" t="str">
        <f aca="false">IF($A349="","",IF($AH349=20,IF(AND(OR($A349=21,$A349=215),$AJ349=10),"①病院一般",IF(AND($A349=31,$AJ349=41),"②病院短期","対象外")),IF($AJ349=30,"③特定消防",IF(AND(OR($A349=21,$A349=215),$AJ349=10),"④一般",IF(AND($A349=31,$AJ349=41),"⑤短期","対象外")))))</f>
        <v>③特定消防</v>
      </c>
      <c r="DC349" s="0" t="n">
        <f aca="false">IF($A349="","",IF($AB349&amp;""=設定!$C$4,1,0))</f>
        <v>1</v>
      </c>
    </row>
    <row r="350" customFormat="false" ht="15" hidden="false" customHeight="false" outlineLevel="0" collapsed="false">
      <c r="A350" s="0" t="n">
        <v>21</v>
      </c>
      <c r="AA350" s="0" t="n">
        <v>21</v>
      </c>
      <c r="AB350" s="0" t="s">
        <v>96</v>
      </c>
      <c r="AD350" s="0" t="n">
        <v>0</v>
      </c>
      <c r="AE350" s="0" t="s">
        <v>295</v>
      </c>
      <c r="AH350" s="0" t="n">
        <v>5</v>
      </c>
      <c r="AJ350" s="0" t="n">
        <v>30</v>
      </c>
      <c r="AP350" s="0" t="n">
        <v>240000</v>
      </c>
      <c r="DB350" s="0" t="str">
        <f aca="false">IF($A350="","",IF($AH350=20,IF(AND(OR($A350=21,$A350=215),$AJ350=10),"①病院一般",IF(AND($A350=31,$AJ350=41),"②病院短期","対象外")),IF($AJ350=30,"③特定消防",IF(AND(OR($A350=21,$A350=215),$AJ350=10),"④一般",IF(AND($A350=31,$AJ350=41),"⑤短期","対象外")))))</f>
        <v>③特定消防</v>
      </c>
      <c r="DC350" s="0" t="n">
        <f aca="false">IF($A350="","",IF($AB350&amp;""=設定!$C$4,1,0))</f>
        <v>1</v>
      </c>
    </row>
    <row r="351" customFormat="false" ht="15" hidden="false" customHeight="false" outlineLevel="0" collapsed="false">
      <c r="A351" s="0" t="n">
        <v>21</v>
      </c>
      <c r="AA351" s="0" t="n">
        <v>21</v>
      </c>
      <c r="AB351" s="0" t="s">
        <v>96</v>
      </c>
      <c r="AD351" s="0" t="n">
        <v>0</v>
      </c>
      <c r="AE351" s="0" t="s">
        <v>295</v>
      </c>
      <c r="AH351" s="0" t="n">
        <v>5</v>
      </c>
      <c r="AJ351" s="0" t="n">
        <v>30</v>
      </c>
      <c r="AP351" s="0" t="n">
        <v>240000</v>
      </c>
      <c r="DB351" s="0" t="str">
        <f aca="false">IF($A351="","",IF($AH351=20,IF(AND(OR($A351=21,$A351=215),$AJ351=10),"①病院一般",IF(AND($A351=31,$AJ351=41),"②病院短期","対象外")),IF($AJ351=30,"③特定消防",IF(AND(OR($A351=21,$A351=215),$AJ351=10),"④一般",IF(AND($A351=31,$AJ351=41),"⑤短期","対象外")))))</f>
        <v>③特定消防</v>
      </c>
      <c r="DC351" s="0" t="n">
        <f aca="false">IF($A351="","",IF($AB351&amp;""=設定!$C$4,1,0))</f>
        <v>1</v>
      </c>
    </row>
    <row r="352" customFormat="false" ht="15" hidden="false" customHeight="false" outlineLevel="0" collapsed="false">
      <c r="A352" s="0" t="n">
        <v>21</v>
      </c>
      <c r="AA352" s="0" t="n">
        <v>21</v>
      </c>
      <c r="AB352" s="0" t="s">
        <v>96</v>
      </c>
      <c r="AD352" s="0" t="n">
        <v>0</v>
      </c>
      <c r="AE352" s="0" t="s">
        <v>295</v>
      </c>
      <c r="AH352" s="0" t="n">
        <v>5</v>
      </c>
      <c r="AJ352" s="0" t="n">
        <v>30</v>
      </c>
      <c r="AP352" s="0" t="n">
        <v>240000</v>
      </c>
      <c r="DB352" s="0" t="str">
        <f aca="false">IF($A352="","",IF($AH352=20,IF(AND(OR($A352=21,$A352=215),$AJ352=10),"①病院一般",IF(AND($A352=31,$AJ352=41),"②病院短期","対象外")),IF($AJ352=30,"③特定消防",IF(AND(OR($A352=21,$A352=215),$AJ352=10),"④一般",IF(AND($A352=31,$AJ352=41),"⑤短期","対象外")))))</f>
        <v>③特定消防</v>
      </c>
      <c r="DC352" s="0" t="n">
        <f aca="false">IF($A352="","",IF($AB352&amp;""=設定!$C$4,1,0))</f>
        <v>1</v>
      </c>
    </row>
    <row r="353" customFormat="false" ht="15" hidden="false" customHeight="false" outlineLevel="0" collapsed="false">
      <c r="A353" s="0" t="n">
        <v>21</v>
      </c>
      <c r="AA353" s="0" t="n">
        <v>21</v>
      </c>
      <c r="AB353" s="0" t="s">
        <v>96</v>
      </c>
      <c r="AD353" s="0" t="n">
        <v>0</v>
      </c>
      <c r="AE353" s="0" t="s">
        <v>295</v>
      </c>
      <c r="AH353" s="0" t="n">
        <v>5</v>
      </c>
      <c r="AJ353" s="0" t="n">
        <v>30</v>
      </c>
      <c r="AP353" s="0" t="n">
        <v>240000</v>
      </c>
      <c r="DB353" s="0" t="str">
        <f aca="false">IF($A353="","",IF($AH353=20,IF(AND(OR($A353=21,$A353=215),$AJ353=10),"①病院一般",IF(AND($A353=31,$AJ353=41),"②病院短期","対象外")),IF($AJ353=30,"③特定消防",IF(AND(OR($A353=21,$A353=215),$AJ353=10),"④一般",IF(AND($A353=31,$AJ353=41),"⑤短期","対象外")))))</f>
        <v>③特定消防</v>
      </c>
      <c r="DC353" s="0" t="n">
        <f aca="false">IF($A353="","",IF($AB353&amp;""=設定!$C$4,1,0))</f>
        <v>1</v>
      </c>
    </row>
    <row r="354" customFormat="false" ht="15" hidden="false" customHeight="false" outlineLevel="0" collapsed="false">
      <c r="A354" s="0" t="n">
        <v>21</v>
      </c>
      <c r="AA354" s="0" t="n">
        <v>21</v>
      </c>
      <c r="AB354" s="0" t="s">
        <v>96</v>
      </c>
      <c r="AD354" s="0" t="n">
        <v>0</v>
      </c>
      <c r="AE354" s="0" t="s">
        <v>295</v>
      </c>
      <c r="AH354" s="0" t="n">
        <v>5</v>
      </c>
      <c r="AJ354" s="0" t="n">
        <v>30</v>
      </c>
      <c r="AP354" s="0" t="n">
        <v>240000</v>
      </c>
      <c r="DB354" s="0" t="str">
        <f aca="false">IF($A354="","",IF($AH354=20,IF(AND(OR($A354=21,$A354=215),$AJ354=10),"①病院一般",IF(AND($A354=31,$AJ354=41),"②病院短期","対象外")),IF($AJ354=30,"③特定消防",IF(AND(OR($A354=21,$A354=215),$AJ354=10),"④一般",IF(AND($A354=31,$AJ354=41),"⑤短期","対象外")))))</f>
        <v>③特定消防</v>
      </c>
      <c r="DC354" s="0" t="n">
        <f aca="false">IF($A354="","",IF($AB354&amp;""=設定!$C$4,1,0))</f>
        <v>1</v>
      </c>
    </row>
    <row r="355" customFormat="false" ht="15" hidden="false" customHeight="false" outlineLevel="0" collapsed="false">
      <c r="A355" s="0" t="n">
        <v>21</v>
      </c>
      <c r="AA355" s="0" t="n">
        <v>21</v>
      </c>
      <c r="AB355" s="0" t="s">
        <v>96</v>
      </c>
      <c r="AD355" s="0" t="n">
        <v>0</v>
      </c>
      <c r="AE355" s="0" t="s">
        <v>295</v>
      </c>
      <c r="AH355" s="0" t="n">
        <v>5</v>
      </c>
      <c r="AJ355" s="0" t="n">
        <v>30</v>
      </c>
      <c r="AP355" s="0" t="n">
        <v>240000</v>
      </c>
      <c r="DB355" s="0" t="str">
        <f aca="false">IF($A355="","",IF($AH355=20,IF(AND(OR($A355=21,$A355=215),$AJ355=10),"①病院一般",IF(AND($A355=31,$AJ355=41),"②病院短期","対象外")),IF($AJ355=30,"③特定消防",IF(AND(OR($A355=21,$A355=215),$AJ355=10),"④一般",IF(AND($A355=31,$AJ355=41),"⑤短期","対象外")))))</f>
        <v>③特定消防</v>
      </c>
      <c r="DC355" s="0" t="n">
        <f aca="false">IF($A355="","",IF($AB355&amp;""=設定!$C$4,1,0))</f>
        <v>1</v>
      </c>
    </row>
    <row r="356" customFormat="false" ht="15" hidden="false" customHeight="false" outlineLevel="0" collapsed="false">
      <c r="A356" s="0" t="n">
        <v>21</v>
      </c>
      <c r="AA356" s="0" t="n">
        <v>21</v>
      </c>
      <c r="AB356" s="0" t="s">
        <v>96</v>
      </c>
      <c r="AD356" s="0" t="n">
        <v>0</v>
      </c>
      <c r="AE356" s="0" t="s">
        <v>295</v>
      </c>
      <c r="AH356" s="0" t="n">
        <v>5</v>
      </c>
      <c r="AJ356" s="0" t="n">
        <v>30</v>
      </c>
      <c r="AP356" s="0" t="n">
        <v>240000</v>
      </c>
      <c r="DB356" s="0" t="str">
        <f aca="false">IF($A356="","",IF($AH356=20,IF(AND(OR($A356=21,$A356=215),$AJ356=10),"①病院一般",IF(AND($A356=31,$AJ356=41),"②病院短期","対象外")),IF($AJ356=30,"③特定消防",IF(AND(OR($A356=21,$A356=215),$AJ356=10),"④一般",IF(AND($A356=31,$AJ356=41),"⑤短期","対象外")))))</f>
        <v>③特定消防</v>
      </c>
      <c r="DC356" s="0" t="n">
        <f aca="false">IF($A356="","",IF($AB356&amp;""=設定!$C$4,1,0))</f>
        <v>1</v>
      </c>
    </row>
    <row r="357" customFormat="false" ht="15" hidden="false" customHeight="false" outlineLevel="0" collapsed="false">
      <c r="A357" s="0" t="n">
        <v>21</v>
      </c>
      <c r="AA357" s="0" t="n">
        <v>21</v>
      </c>
      <c r="AB357" s="0" t="s">
        <v>96</v>
      </c>
      <c r="AD357" s="0" t="n">
        <v>0</v>
      </c>
      <c r="AE357" s="0" t="s">
        <v>295</v>
      </c>
      <c r="AH357" s="0" t="n">
        <v>5</v>
      </c>
      <c r="AJ357" s="0" t="n">
        <v>30</v>
      </c>
      <c r="AP357" s="0" t="n">
        <v>280000</v>
      </c>
      <c r="DB357" s="0" t="str">
        <f aca="false">IF($A357="","",IF($AH357=20,IF(AND(OR($A357=21,$A357=215),$AJ357=10),"①病院一般",IF(AND($A357=31,$AJ357=41),"②病院短期","対象外")),IF($AJ357=30,"③特定消防",IF(AND(OR($A357=21,$A357=215),$AJ357=10),"④一般",IF(AND($A357=31,$AJ357=41),"⑤短期","対象外")))))</f>
        <v>③特定消防</v>
      </c>
      <c r="DC357" s="0" t="n">
        <f aca="false">IF($A357="","",IF($AB357&amp;""=設定!$C$4,1,0))</f>
        <v>1</v>
      </c>
    </row>
    <row r="358" customFormat="false" ht="15" hidden="false" customHeight="false" outlineLevel="0" collapsed="false">
      <c r="A358" s="0" t="n">
        <v>21</v>
      </c>
      <c r="AA358" s="0" t="n">
        <v>21</v>
      </c>
      <c r="AB358" s="0" t="s">
        <v>96</v>
      </c>
      <c r="AD358" s="0" t="n">
        <v>0</v>
      </c>
      <c r="AE358" s="0" t="s">
        <v>295</v>
      </c>
      <c r="AH358" s="0" t="n">
        <v>5</v>
      </c>
      <c r="AJ358" s="0" t="n">
        <v>30</v>
      </c>
      <c r="AP358" s="0" t="n">
        <v>240000</v>
      </c>
      <c r="DB358" s="0" t="str">
        <f aca="false">IF($A358="","",IF($AH358=20,IF(AND(OR($A358=21,$A358=215),$AJ358=10),"①病院一般",IF(AND($A358=31,$AJ358=41),"②病院短期","対象外")),IF($AJ358=30,"③特定消防",IF(AND(OR($A358=21,$A358=215),$AJ358=10),"④一般",IF(AND($A358=31,$AJ358=41),"⑤短期","対象外")))))</f>
        <v>③特定消防</v>
      </c>
      <c r="DC358" s="0" t="n">
        <f aca="false">IF($A358="","",IF($AB358&amp;""=設定!$C$4,1,0))</f>
        <v>1</v>
      </c>
    </row>
    <row r="359" customFormat="false" ht="15" hidden="false" customHeight="false" outlineLevel="0" collapsed="false">
      <c r="A359" s="0" t="n">
        <v>21</v>
      </c>
      <c r="AA359" s="0" t="n">
        <v>21</v>
      </c>
      <c r="AB359" s="0" t="s">
        <v>96</v>
      </c>
      <c r="AD359" s="0" t="n">
        <v>0</v>
      </c>
      <c r="AE359" s="0" t="s">
        <v>295</v>
      </c>
      <c r="AH359" s="0" t="n">
        <v>5</v>
      </c>
      <c r="AJ359" s="0" t="n">
        <v>30</v>
      </c>
      <c r="AP359" s="0" t="n">
        <v>220000</v>
      </c>
      <c r="DB359" s="0" t="str">
        <f aca="false">IF($A359="","",IF($AH359=20,IF(AND(OR($A359=21,$A359=215),$AJ359=10),"①病院一般",IF(AND($A359=31,$AJ359=41),"②病院短期","対象外")),IF($AJ359=30,"③特定消防",IF(AND(OR($A359=21,$A359=215),$AJ359=10),"④一般",IF(AND($A359=31,$AJ359=41),"⑤短期","対象外")))))</f>
        <v>③特定消防</v>
      </c>
      <c r="DC359" s="0" t="n">
        <f aca="false">IF($A359="","",IF($AB359&amp;""=設定!$C$4,1,0))</f>
        <v>1</v>
      </c>
    </row>
    <row r="360" customFormat="false" ht="15" hidden="false" customHeight="false" outlineLevel="0" collapsed="false">
      <c r="A360" s="0" t="n">
        <v>21</v>
      </c>
      <c r="AA360" s="0" t="n">
        <v>21</v>
      </c>
      <c r="AB360" s="0" t="s">
        <v>96</v>
      </c>
      <c r="AD360" s="0" t="n">
        <v>0</v>
      </c>
      <c r="AE360" s="0" t="s">
        <v>295</v>
      </c>
      <c r="AH360" s="0" t="n">
        <v>5</v>
      </c>
      <c r="AJ360" s="0" t="n">
        <v>30</v>
      </c>
      <c r="AP360" s="0" t="n">
        <v>240000</v>
      </c>
      <c r="DB360" s="0" t="str">
        <f aca="false">IF($A360="","",IF($AH360=20,IF(AND(OR($A360=21,$A360=215),$AJ360=10),"①病院一般",IF(AND($A360=31,$AJ360=41),"②病院短期","対象外")),IF($AJ360=30,"③特定消防",IF(AND(OR($A360=21,$A360=215),$AJ360=10),"④一般",IF(AND($A360=31,$AJ360=41),"⑤短期","対象外")))))</f>
        <v>③特定消防</v>
      </c>
      <c r="DC360" s="0" t="n">
        <f aca="false">IF($A360="","",IF($AB360&amp;""=設定!$C$4,1,0))</f>
        <v>1</v>
      </c>
    </row>
    <row r="361" customFormat="false" ht="15" hidden="false" customHeight="false" outlineLevel="0" collapsed="false">
      <c r="A361" s="0" t="n">
        <v>21</v>
      </c>
      <c r="AA361" s="0" t="n">
        <v>21</v>
      </c>
      <c r="AB361" s="0" t="s">
        <v>96</v>
      </c>
      <c r="AD361" s="0" t="n">
        <v>0</v>
      </c>
      <c r="AE361" s="0" t="s">
        <v>295</v>
      </c>
      <c r="AH361" s="0" t="n">
        <v>5</v>
      </c>
      <c r="AJ361" s="0" t="n">
        <v>30</v>
      </c>
      <c r="AP361" s="0" t="n">
        <v>260000</v>
      </c>
      <c r="DB361" s="0" t="str">
        <f aca="false">IF($A361="","",IF($AH361=20,IF(AND(OR($A361=21,$A361=215),$AJ361=10),"①病院一般",IF(AND($A361=31,$AJ361=41),"②病院短期","対象外")),IF($AJ361=30,"③特定消防",IF(AND(OR($A361=21,$A361=215),$AJ361=10),"④一般",IF(AND($A361=31,$AJ361=41),"⑤短期","対象外")))))</f>
        <v>③特定消防</v>
      </c>
      <c r="DC361" s="0" t="n">
        <f aca="false">IF($A361="","",IF($AB361&amp;""=設定!$C$4,1,0))</f>
        <v>1</v>
      </c>
    </row>
    <row r="362" customFormat="false" ht="15" hidden="false" customHeight="false" outlineLevel="0" collapsed="false">
      <c r="A362" s="0" t="n">
        <v>21</v>
      </c>
      <c r="AA362" s="0" t="n">
        <v>21</v>
      </c>
      <c r="AB362" s="0" t="s">
        <v>96</v>
      </c>
      <c r="AD362" s="0" t="n">
        <v>0</v>
      </c>
      <c r="AE362" s="0" t="s">
        <v>295</v>
      </c>
      <c r="AH362" s="0" t="n">
        <v>5</v>
      </c>
      <c r="AJ362" s="0" t="n">
        <v>30</v>
      </c>
      <c r="AP362" s="0" t="n">
        <v>240000</v>
      </c>
      <c r="DB362" s="0" t="str">
        <f aca="false">IF($A362="","",IF($AH362=20,IF(AND(OR($A362=21,$A362=215),$AJ362=10),"①病院一般",IF(AND($A362=31,$AJ362=41),"②病院短期","対象外")),IF($AJ362=30,"③特定消防",IF(AND(OR($A362=21,$A362=215),$AJ362=10),"④一般",IF(AND($A362=31,$AJ362=41),"⑤短期","対象外")))))</f>
        <v>③特定消防</v>
      </c>
      <c r="DC362" s="0" t="n">
        <f aca="false">IF($A362="","",IF($AB362&amp;""=設定!$C$4,1,0))</f>
        <v>1</v>
      </c>
    </row>
    <row r="363" customFormat="false" ht="15" hidden="false" customHeight="false" outlineLevel="0" collapsed="false">
      <c r="A363" s="0" t="n">
        <v>21</v>
      </c>
      <c r="AA363" s="0" t="n">
        <v>21</v>
      </c>
      <c r="AB363" s="0" t="s">
        <v>96</v>
      </c>
      <c r="AD363" s="0" t="n">
        <v>0</v>
      </c>
      <c r="AE363" s="0" t="s">
        <v>295</v>
      </c>
      <c r="AH363" s="0" t="n">
        <v>5</v>
      </c>
      <c r="AJ363" s="0" t="n">
        <v>30</v>
      </c>
      <c r="AP363" s="0" t="n">
        <v>260000</v>
      </c>
      <c r="DB363" s="0" t="str">
        <f aca="false">IF($A363="","",IF($AH363=20,IF(AND(OR($A363=21,$A363=215),$AJ363=10),"①病院一般",IF(AND($A363=31,$AJ363=41),"②病院短期","対象外")),IF($AJ363=30,"③特定消防",IF(AND(OR($A363=21,$A363=215),$AJ363=10),"④一般",IF(AND($A363=31,$AJ363=41),"⑤短期","対象外")))))</f>
        <v>③特定消防</v>
      </c>
      <c r="DC363" s="0" t="n">
        <f aca="false">IF($A363="","",IF($AB363&amp;""=設定!$C$4,1,0))</f>
        <v>1</v>
      </c>
    </row>
    <row r="364" customFormat="false" ht="15" hidden="false" customHeight="false" outlineLevel="0" collapsed="false">
      <c r="A364" s="0" t="n">
        <v>21</v>
      </c>
      <c r="AA364" s="0" t="n">
        <v>21</v>
      </c>
      <c r="AB364" s="0" t="s">
        <v>96</v>
      </c>
      <c r="AD364" s="0" t="n">
        <v>0</v>
      </c>
      <c r="AE364" s="0" t="s">
        <v>295</v>
      </c>
      <c r="AH364" s="0" t="n">
        <v>5</v>
      </c>
      <c r="AJ364" s="0" t="n">
        <v>30</v>
      </c>
      <c r="AP364" s="0" t="n">
        <v>260000</v>
      </c>
      <c r="DB364" s="0" t="str">
        <f aca="false">IF($A364="","",IF($AH364=20,IF(AND(OR($A364=21,$A364=215),$AJ364=10),"①病院一般",IF(AND($A364=31,$AJ364=41),"②病院短期","対象外")),IF($AJ364=30,"③特定消防",IF(AND(OR($A364=21,$A364=215),$AJ364=10),"④一般",IF(AND($A364=31,$AJ364=41),"⑤短期","対象外")))))</f>
        <v>③特定消防</v>
      </c>
      <c r="DC364" s="0" t="n">
        <f aca="false">IF($A364="","",IF($AB364&amp;""=設定!$C$4,1,0))</f>
        <v>1</v>
      </c>
    </row>
    <row r="365" customFormat="false" ht="15" hidden="false" customHeight="false" outlineLevel="0" collapsed="false">
      <c r="A365" s="0" t="n">
        <v>21</v>
      </c>
      <c r="AA365" s="0" t="n">
        <v>21</v>
      </c>
      <c r="AB365" s="0" t="s">
        <v>96</v>
      </c>
      <c r="AD365" s="0" t="n">
        <v>0</v>
      </c>
      <c r="AE365" s="0" t="s">
        <v>295</v>
      </c>
      <c r="AH365" s="0" t="n">
        <v>5</v>
      </c>
      <c r="AJ365" s="0" t="n">
        <v>30</v>
      </c>
      <c r="AP365" s="0" t="n">
        <v>260000</v>
      </c>
      <c r="DB365" s="0" t="str">
        <f aca="false">IF($A365="","",IF($AH365=20,IF(AND(OR($A365=21,$A365=215),$AJ365=10),"①病院一般",IF(AND($A365=31,$AJ365=41),"②病院短期","対象外")),IF($AJ365=30,"③特定消防",IF(AND(OR($A365=21,$A365=215),$AJ365=10),"④一般",IF(AND($A365=31,$AJ365=41),"⑤短期","対象外")))))</f>
        <v>③特定消防</v>
      </c>
      <c r="DC365" s="0" t="n">
        <f aca="false">IF($A365="","",IF($AB365&amp;""=設定!$C$4,1,0))</f>
        <v>1</v>
      </c>
    </row>
    <row r="366" customFormat="false" ht="15" hidden="false" customHeight="false" outlineLevel="0" collapsed="false">
      <c r="A366" s="0" t="n">
        <v>21</v>
      </c>
      <c r="AA366" s="0" t="n">
        <v>21</v>
      </c>
      <c r="AB366" s="0" t="s">
        <v>96</v>
      </c>
      <c r="AD366" s="0" t="n">
        <v>0</v>
      </c>
      <c r="AE366" s="0" t="s">
        <v>295</v>
      </c>
      <c r="AH366" s="0" t="n">
        <v>5</v>
      </c>
      <c r="AJ366" s="0" t="n">
        <v>30</v>
      </c>
      <c r="AP366" s="0" t="n">
        <v>240000</v>
      </c>
      <c r="DB366" s="0" t="str">
        <f aca="false">IF($A366="","",IF($AH366=20,IF(AND(OR($A366=21,$A366=215),$AJ366=10),"①病院一般",IF(AND($A366=31,$AJ366=41),"②病院短期","対象外")),IF($AJ366=30,"③特定消防",IF(AND(OR($A366=21,$A366=215),$AJ366=10),"④一般",IF(AND($A366=31,$AJ366=41),"⑤短期","対象外")))))</f>
        <v>③特定消防</v>
      </c>
      <c r="DC366" s="0" t="n">
        <f aca="false">IF($A366="","",IF($AB366&amp;""=設定!$C$4,1,0))</f>
        <v>1</v>
      </c>
    </row>
    <row r="367" customFormat="false" ht="15" hidden="false" customHeight="false" outlineLevel="0" collapsed="false">
      <c r="A367" s="0" t="n">
        <v>21</v>
      </c>
      <c r="AA367" s="0" t="n">
        <v>21</v>
      </c>
      <c r="AB367" s="0" t="s">
        <v>96</v>
      </c>
      <c r="AD367" s="0" t="n">
        <v>0</v>
      </c>
      <c r="AE367" s="0" t="s">
        <v>295</v>
      </c>
      <c r="AH367" s="0" t="n">
        <v>5</v>
      </c>
      <c r="AJ367" s="0" t="n">
        <v>30</v>
      </c>
      <c r="AP367" s="0" t="n">
        <v>260000</v>
      </c>
      <c r="DB367" s="0" t="str">
        <f aca="false">IF($A367="","",IF($AH367=20,IF(AND(OR($A367=21,$A367=215),$AJ367=10),"①病院一般",IF(AND($A367=31,$AJ367=41),"②病院短期","対象外")),IF($AJ367=30,"③特定消防",IF(AND(OR($A367=21,$A367=215),$AJ367=10),"④一般",IF(AND($A367=31,$AJ367=41),"⑤短期","対象外")))))</f>
        <v>③特定消防</v>
      </c>
      <c r="DC367" s="0" t="n">
        <f aca="false">IF($A367="","",IF($AB367&amp;""=設定!$C$4,1,0))</f>
        <v>1</v>
      </c>
    </row>
    <row r="368" customFormat="false" ht="15" hidden="false" customHeight="false" outlineLevel="0" collapsed="false">
      <c r="A368" s="0" t="n">
        <v>21</v>
      </c>
      <c r="AA368" s="0" t="n">
        <v>21</v>
      </c>
      <c r="AB368" s="0" t="s">
        <v>96</v>
      </c>
      <c r="AD368" s="0" t="n">
        <v>0</v>
      </c>
      <c r="AE368" s="0" t="s">
        <v>295</v>
      </c>
      <c r="AH368" s="0" t="n">
        <v>5</v>
      </c>
      <c r="AJ368" s="0" t="n">
        <v>30</v>
      </c>
      <c r="AP368" s="0" t="n">
        <v>240000</v>
      </c>
      <c r="DB368" s="0" t="str">
        <f aca="false">IF($A368="","",IF($AH368=20,IF(AND(OR($A368=21,$A368=215),$AJ368=10),"①病院一般",IF(AND($A368=31,$AJ368=41),"②病院短期","対象外")),IF($AJ368=30,"③特定消防",IF(AND(OR($A368=21,$A368=215),$AJ368=10),"④一般",IF(AND($A368=31,$AJ368=41),"⑤短期","対象外")))))</f>
        <v>③特定消防</v>
      </c>
      <c r="DC368" s="0" t="n">
        <f aca="false">IF($A368="","",IF($AB368&amp;""=設定!$C$4,1,0))</f>
        <v>1</v>
      </c>
    </row>
    <row r="369" customFormat="false" ht="15" hidden="false" customHeight="false" outlineLevel="0" collapsed="false">
      <c r="A369" s="0" t="n">
        <v>21</v>
      </c>
      <c r="AA369" s="0" t="n">
        <v>21</v>
      </c>
      <c r="AB369" s="0" t="s">
        <v>96</v>
      </c>
      <c r="AD369" s="0" t="n">
        <v>0</v>
      </c>
      <c r="AE369" s="0" t="s">
        <v>295</v>
      </c>
      <c r="AH369" s="0" t="n">
        <v>5</v>
      </c>
      <c r="AJ369" s="0" t="n">
        <v>30</v>
      </c>
      <c r="AP369" s="0" t="n">
        <v>240000</v>
      </c>
      <c r="DB369" s="0" t="str">
        <f aca="false">IF($A369="","",IF($AH369=20,IF(AND(OR($A369=21,$A369=215),$AJ369=10),"①病院一般",IF(AND($A369=31,$AJ369=41),"②病院短期","対象外")),IF($AJ369=30,"③特定消防",IF(AND(OR($A369=21,$A369=215),$AJ369=10),"④一般",IF(AND($A369=31,$AJ369=41),"⑤短期","対象外")))))</f>
        <v>③特定消防</v>
      </c>
      <c r="DC369" s="0" t="n">
        <f aca="false">IF($A369="","",IF($AB369&amp;""=設定!$C$4,1,0))</f>
        <v>1</v>
      </c>
    </row>
    <row r="370" customFormat="false" ht="15" hidden="false" customHeight="false" outlineLevel="0" collapsed="false">
      <c r="A370" s="0" t="n">
        <v>21</v>
      </c>
      <c r="AA370" s="0" t="n">
        <v>21</v>
      </c>
      <c r="AB370" s="0" t="s">
        <v>96</v>
      </c>
      <c r="AD370" s="0" t="n">
        <v>0</v>
      </c>
      <c r="AE370" s="0" t="s">
        <v>295</v>
      </c>
      <c r="AH370" s="0" t="n">
        <v>5</v>
      </c>
      <c r="AJ370" s="0" t="n">
        <v>30</v>
      </c>
      <c r="AP370" s="0" t="n">
        <v>240000</v>
      </c>
      <c r="DB370" s="0" t="str">
        <f aca="false">IF($A370="","",IF($AH370=20,IF(AND(OR($A370=21,$A370=215),$AJ370=10),"①病院一般",IF(AND($A370=31,$AJ370=41),"②病院短期","対象外")),IF($AJ370=30,"③特定消防",IF(AND(OR($A370=21,$A370=215),$AJ370=10),"④一般",IF(AND($A370=31,$AJ370=41),"⑤短期","対象外")))))</f>
        <v>③特定消防</v>
      </c>
      <c r="DC370" s="0" t="n">
        <f aca="false">IF($A370="","",IF($AB370&amp;""=設定!$C$4,1,0))</f>
        <v>1</v>
      </c>
    </row>
    <row r="371" customFormat="false" ht="15" hidden="false" customHeight="false" outlineLevel="0" collapsed="false">
      <c r="A371" s="0" t="n">
        <v>21</v>
      </c>
      <c r="AA371" s="0" t="n">
        <v>21</v>
      </c>
      <c r="AB371" s="0" t="s">
        <v>96</v>
      </c>
      <c r="AD371" s="0" t="n">
        <v>0</v>
      </c>
      <c r="AE371" s="0" t="s">
        <v>295</v>
      </c>
      <c r="AH371" s="0" t="n">
        <v>5</v>
      </c>
      <c r="AJ371" s="0" t="n">
        <v>30</v>
      </c>
      <c r="AP371" s="0" t="n">
        <v>260000</v>
      </c>
      <c r="DB371" s="0" t="str">
        <f aca="false">IF($A371="","",IF($AH371=20,IF(AND(OR($A371=21,$A371=215),$AJ371=10),"①病院一般",IF(AND($A371=31,$AJ371=41),"②病院短期","対象外")),IF($AJ371=30,"③特定消防",IF(AND(OR($A371=21,$A371=215),$AJ371=10),"④一般",IF(AND($A371=31,$AJ371=41),"⑤短期","対象外")))))</f>
        <v>③特定消防</v>
      </c>
      <c r="DC371" s="0" t="n">
        <f aca="false">IF($A371="","",IF($AB371&amp;""=設定!$C$4,1,0))</f>
        <v>1</v>
      </c>
    </row>
    <row r="372" customFormat="false" ht="15" hidden="false" customHeight="false" outlineLevel="0" collapsed="false">
      <c r="A372" s="0" t="n">
        <v>21</v>
      </c>
      <c r="AA372" s="0" t="n">
        <v>21</v>
      </c>
      <c r="AB372" s="0" t="s">
        <v>96</v>
      </c>
      <c r="AD372" s="0" t="n">
        <v>0</v>
      </c>
      <c r="AE372" s="0" t="s">
        <v>295</v>
      </c>
      <c r="AH372" s="0" t="n">
        <v>5</v>
      </c>
      <c r="AJ372" s="0" t="n">
        <v>30</v>
      </c>
      <c r="AP372" s="0" t="n">
        <v>260000</v>
      </c>
      <c r="DB372" s="0" t="str">
        <f aca="false">IF($A372="","",IF($AH372=20,IF(AND(OR($A372=21,$A372=215),$AJ372=10),"①病院一般",IF(AND($A372=31,$AJ372=41),"②病院短期","対象外")),IF($AJ372=30,"③特定消防",IF(AND(OR($A372=21,$A372=215),$AJ372=10),"④一般",IF(AND($A372=31,$AJ372=41),"⑤短期","対象外")))))</f>
        <v>③特定消防</v>
      </c>
      <c r="DC372" s="0" t="n">
        <f aca="false">IF($A372="","",IF($AB372&amp;""=設定!$C$4,1,0))</f>
        <v>1</v>
      </c>
    </row>
    <row r="373" customFormat="false" ht="15" hidden="false" customHeight="false" outlineLevel="0" collapsed="false">
      <c r="A373" s="0" t="n">
        <v>21</v>
      </c>
      <c r="AA373" s="0" t="n">
        <v>21</v>
      </c>
      <c r="AB373" s="0" t="s">
        <v>96</v>
      </c>
      <c r="AD373" s="0" t="n">
        <v>0</v>
      </c>
      <c r="AE373" s="0" t="s">
        <v>295</v>
      </c>
      <c r="AH373" s="0" t="n">
        <v>5</v>
      </c>
      <c r="AJ373" s="0" t="n">
        <v>30</v>
      </c>
      <c r="AP373" s="0" t="n">
        <v>220000</v>
      </c>
      <c r="DB373" s="0" t="str">
        <f aca="false">IF($A373="","",IF($AH373=20,IF(AND(OR($A373=21,$A373=215),$AJ373=10),"①病院一般",IF(AND($A373=31,$AJ373=41),"②病院短期","対象外")),IF($AJ373=30,"③特定消防",IF(AND(OR($A373=21,$A373=215),$AJ373=10),"④一般",IF(AND($A373=31,$AJ373=41),"⑤短期","対象外")))))</f>
        <v>③特定消防</v>
      </c>
      <c r="DC373" s="0" t="n">
        <f aca="false">IF($A373="","",IF($AB373&amp;""=設定!$C$4,1,0))</f>
        <v>1</v>
      </c>
    </row>
    <row r="374" customFormat="false" ht="15" hidden="false" customHeight="false" outlineLevel="0" collapsed="false">
      <c r="A374" s="0" t="n">
        <v>21</v>
      </c>
      <c r="AA374" s="0" t="n">
        <v>21</v>
      </c>
      <c r="AB374" s="0" t="s">
        <v>96</v>
      </c>
      <c r="AD374" s="0" t="n">
        <v>0</v>
      </c>
      <c r="AE374" s="0" t="s">
        <v>295</v>
      </c>
      <c r="AH374" s="0" t="n">
        <v>5</v>
      </c>
      <c r="AJ374" s="0" t="n">
        <v>30</v>
      </c>
      <c r="AP374" s="0" t="n">
        <v>260000</v>
      </c>
      <c r="DB374" s="0" t="str">
        <f aca="false">IF($A374="","",IF($AH374=20,IF(AND(OR($A374=21,$A374=215),$AJ374=10),"①病院一般",IF(AND($A374=31,$AJ374=41),"②病院短期","対象外")),IF($AJ374=30,"③特定消防",IF(AND(OR($A374=21,$A374=215),$AJ374=10),"④一般",IF(AND($A374=31,$AJ374=41),"⑤短期","対象外")))))</f>
        <v>③特定消防</v>
      </c>
      <c r="DC374" s="0" t="n">
        <f aca="false">IF($A374="","",IF($AB374&amp;""=設定!$C$4,1,0))</f>
        <v>1</v>
      </c>
    </row>
    <row r="375" customFormat="false" ht="15" hidden="false" customHeight="false" outlineLevel="0" collapsed="false">
      <c r="A375" s="0" t="n">
        <v>21</v>
      </c>
      <c r="AA375" s="0" t="n">
        <v>21</v>
      </c>
      <c r="AB375" s="0" t="s">
        <v>96</v>
      </c>
      <c r="AD375" s="0" t="n">
        <v>0</v>
      </c>
      <c r="AE375" s="0" t="s">
        <v>295</v>
      </c>
      <c r="AH375" s="0" t="n">
        <v>5</v>
      </c>
      <c r="AJ375" s="0" t="n">
        <v>30</v>
      </c>
      <c r="AP375" s="0" t="n">
        <v>260000</v>
      </c>
      <c r="DB375" s="0" t="str">
        <f aca="false">IF($A375="","",IF($AH375=20,IF(AND(OR($A375=21,$A375=215),$AJ375=10),"①病院一般",IF(AND($A375=31,$AJ375=41),"②病院短期","対象外")),IF($AJ375=30,"③特定消防",IF(AND(OR($A375=21,$A375=215),$AJ375=10),"④一般",IF(AND($A375=31,$AJ375=41),"⑤短期","対象外")))))</f>
        <v>③特定消防</v>
      </c>
      <c r="DC375" s="0" t="n">
        <f aca="false">IF($A375="","",IF($AB375&amp;""=設定!$C$4,1,0))</f>
        <v>1</v>
      </c>
    </row>
    <row r="376" customFormat="false" ht="15" hidden="false" customHeight="false" outlineLevel="0" collapsed="false">
      <c r="A376" s="0" t="n">
        <v>21</v>
      </c>
      <c r="AA376" s="0" t="n">
        <v>21</v>
      </c>
      <c r="AB376" s="0" t="s">
        <v>96</v>
      </c>
      <c r="AD376" s="0" t="n">
        <v>0</v>
      </c>
      <c r="AE376" s="0" t="s">
        <v>295</v>
      </c>
      <c r="AH376" s="0" t="n">
        <v>5</v>
      </c>
      <c r="AJ376" s="0" t="n">
        <v>30</v>
      </c>
      <c r="AP376" s="0" t="n">
        <v>260000</v>
      </c>
      <c r="DB376" s="0" t="str">
        <f aca="false">IF($A376="","",IF($AH376=20,IF(AND(OR($A376=21,$A376=215),$AJ376=10),"①病院一般",IF(AND($A376=31,$AJ376=41),"②病院短期","対象外")),IF($AJ376=30,"③特定消防",IF(AND(OR($A376=21,$A376=215),$AJ376=10),"④一般",IF(AND($A376=31,$AJ376=41),"⑤短期","対象外")))))</f>
        <v>③特定消防</v>
      </c>
      <c r="DC376" s="0" t="n">
        <f aca="false">IF($A376="","",IF($AB376&amp;""=設定!$C$4,1,0))</f>
        <v>1</v>
      </c>
    </row>
    <row r="377" customFormat="false" ht="15" hidden="false" customHeight="false" outlineLevel="0" collapsed="false">
      <c r="A377" s="0" t="n">
        <v>21</v>
      </c>
      <c r="AA377" s="0" t="n">
        <v>21</v>
      </c>
      <c r="AB377" s="0" t="s">
        <v>96</v>
      </c>
      <c r="AD377" s="0" t="n">
        <v>0</v>
      </c>
      <c r="AE377" s="0" t="s">
        <v>295</v>
      </c>
      <c r="AH377" s="0" t="n">
        <v>5</v>
      </c>
      <c r="AJ377" s="0" t="n">
        <v>30</v>
      </c>
      <c r="AP377" s="0" t="n">
        <v>240000</v>
      </c>
      <c r="DB377" s="0" t="str">
        <f aca="false">IF($A377="","",IF($AH377=20,IF(AND(OR($A377=21,$A377=215),$AJ377=10),"①病院一般",IF(AND($A377=31,$AJ377=41),"②病院短期","対象外")),IF($AJ377=30,"③特定消防",IF(AND(OR($A377=21,$A377=215),$AJ377=10),"④一般",IF(AND($A377=31,$AJ377=41),"⑤短期","対象外")))))</f>
        <v>③特定消防</v>
      </c>
      <c r="DC377" s="0" t="n">
        <f aca="false">IF($A377="","",IF($AB377&amp;""=設定!$C$4,1,0))</f>
        <v>1</v>
      </c>
    </row>
    <row r="378" customFormat="false" ht="15" hidden="false" customHeight="false" outlineLevel="0" collapsed="false">
      <c r="A378" s="0" t="n">
        <v>21</v>
      </c>
      <c r="AA378" s="0" t="n">
        <v>21</v>
      </c>
      <c r="AB378" s="0" t="s">
        <v>96</v>
      </c>
      <c r="AD378" s="0" t="n">
        <v>0</v>
      </c>
      <c r="AE378" s="0" t="s">
        <v>295</v>
      </c>
      <c r="AH378" s="0" t="n">
        <v>5</v>
      </c>
      <c r="AJ378" s="0" t="n">
        <v>30</v>
      </c>
      <c r="AP378" s="0" t="n">
        <v>240000</v>
      </c>
      <c r="DB378" s="0" t="str">
        <f aca="false">IF($A378="","",IF($AH378=20,IF(AND(OR($A378=21,$A378=215),$AJ378=10),"①病院一般",IF(AND($A378=31,$AJ378=41),"②病院短期","対象外")),IF($AJ378=30,"③特定消防",IF(AND(OR($A378=21,$A378=215),$AJ378=10),"④一般",IF(AND($A378=31,$AJ378=41),"⑤短期","対象外")))))</f>
        <v>③特定消防</v>
      </c>
      <c r="DC378" s="0" t="n">
        <f aca="false">IF($A378="","",IF($AB378&amp;""=設定!$C$4,1,0))</f>
        <v>1</v>
      </c>
    </row>
    <row r="379" customFormat="false" ht="15" hidden="false" customHeight="false" outlineLevel="0" collapsed="false">
      <c r="A379" s="0" t="n">
        <v>21</v>
      </c>
      <c r="AA379" s="0" t="n">
        <v>21</v>
      </c>
      <c r="AB379" s="0" t="s">
        <v>96</v>
      </c>
      <c r="AD379" s="0" t="n">
        <v>0</v>
      </c>
      <c r="AE379" s="0" t="s">
        <v>295</v>
      </c>
      <c r="AH379" s="0" t="n">
        <v>5</v>
      </c>
      <c r="AJ379" s="0" t="n">
        <v>30</v>
      </c>
      <c r="AP379" s="0" t="n">
        <v>260000</v>
      </c>
      <c r="DB379" s="0" t="str">
        <f aca="false">IF($A379="","",IF($AH379=20,IF(AND(OR($A379=21,$A379=215),$AJ379=10),"①病院一般",IF(AND($A379=31,$AJ379=41),"②病院短期","対象外")),IF($AJ379=30,"③特定消防",IF(AND(OR($A379=21,$A379=215),$AJ379=10),"④一般",IF(AND($A379=31,$AJ379=41),"⑤短期","対象外")))))</f>
        <v>③特定消防</v>
      </c>
      <c r="DC379" s="0" t="n">
        <f aca="false">IF($A379="","",IF($AB379&amp;""=設定!$C$4,1,0))</f>
        <v>1</v>
      </c>
    </row>
    <row r="380" customFormat="false" ht="15" hidden="false" customHeight="false" outlineLevel="0" collapsed="false">
      <c r="A380" s="0" t="n">
        <v>21</v>
      </c>
      <c r="AA380" s="0" t="n">
        <v>21</v>
      </c>
      <c r="AB380" s="0" t="s">
        <v>96</v>
      </c>
      <c r="AD380" s="0" t="n">
        <v>0</v>
      </c>
      <c r="AE380" s="0" t="s">
        <v>295</v>
      </c>
      <c r="AH380" s="0" t="n">
        <v>5</v>
      </c>
      <c r="AJ380" s="0" t="n">
        <v>30</v>
      </c>
      <c r="AP380" s="0" t="n">
        <v>240000</v>
      </c>
      <c r="DB380" s="0" t="str">
        <f aca="false">IF($A380="","",IF($AH380=20,IF(AND(OR($A380=21,$A380=215),$AJ380=10),"①病院一般",IF(AND($A380=31,$AJ380=41),"②病院短期","対象外")),IF($AJ380=30,"③特定消防",IF(AND(OR($A380=21,$A380=215),$AJ380=10),"④一般",IF(AND($A380=31,$AJ380=41),"⑤短期","対象外")))))</f>
        <v>③特定消防</v>
      </c>
      <c r="DC380" s="0" t="n">
        <f aca="false">IF($A380="","",IF($AB380&amp;""=設定!$C$4,1,0))</f>
        <v>1</v>
      </c>
    </row>
    <row r="381" customFormat="false" ht="15" hidden="false" customHeight="false" outlineLevel="0" collapsed="false">
      <c r="A381" s="0" t="n">
        <v>21</v>
      </c>
      <c r="AA381" s="0" t="n">
        <v>21</v>
      </c>
      <c r="AB381" s="0" t="s">
        <v>96</v>
      </c>
      <c r="AD381" s="0" t="n">
        <v>0</v>
      </c>
      <c r="AE381" s="0" t="s">
        <v>295</v>
      </c>
      <c r="AH381" s="0" t="n">
        <v>5</v>
      </c>
      <c r="AJ381" s="0" t="n">
        <v>30</v>
      </c>
      <c r="AP381" s="0" t="n">
        <v>260000</v>
      </c>
      <c r="DB381" s="0" t="str">
        <f aca="false">IF($A381="","",IF($AH381=20,IF(AND(OR($A381=21,$A381=215),$AJ381=10),"①病院一般",IF(AND($A381=31,$AJ381=41),"②病院短期","対象外")),IF($AJ381=30,"③特定消防",IF(AND(OR($A381=21,$A381=215),$AJ381=10),"④一般",IF(AND($A381=31,$AJ381=41),"⑤短期","対象外")))))</f>
        <v>③特定消防</v>
      </c>
      <c r="DC381" s="0" t="n">
        <f aca="false">IF($A381="","",IF($AB381&amp;""=設定!$C$4,1,0))</f>
        <v>1</v>
      </c>
    </row>
    <row r="382" customFormat="false" ht="15" hidden="false" customHeight="false" outlineLevel="0" collapsed="false">
      <c r="A382" s="0" t="n">
        <v>21</v>
      </c>
      <c r="AA382" s="0" t="n">
        <v>21</v>
      </c>
      <c r="AB382" s="0" t="s">
        <v>96</v>
      </c>
      <c r="AD382" s="0" t="n">
        <v>0</v>
      </c>
      <c r="AE382" s="0" t="s">
        <v>295</v>
      </c>
      <c r="AH382" s="0" t="n">
        <v>5</v>
      </c>
      <c r="AJ382" s="0" t="n">
        <v>30</v>
      </c>
      <c r="AP382" s="0" t="n">
        <v>260000</v>
      </c>
      <c r="DB382" s="0" t="str">
        <f aca="false">IF($A382="","",IF($AH382=20,IF(AND(OR($A382=21,$A382=215),$AJ382=10),"①病院一般",IF(AND($A382=31,$AJ382=41),"②病院短期","対象外")),IF($AJ382=30,"③特定消防",IF(AND(OR($A382=21,$A382=215),$AJ382=10),"④一般",IF(AND($A382=31,$AJ382=41),"⑤短期","対象外")))))</f>
        <v>③特定消防</v>
      </c>
      <c r="DC382" s="0" t="n">
        <f aca="false">IF($A382="","",IF($AB382&amp;""=設定!$C$4,1,0))</f>
        <v>1</v>
      </c>
    </row>
    <row r="383" customFormat="false" ht="15" hidden="false" customHeight="false" outlineLevel="0" collapsed="false">
      <c r="A383" s="0" t="n">
        <v>21</v>
      </c>
      <c r="AA383" s="0" t="n">
        <v>21</v>
      </c>
      <c r="AB383" s="0" t="s">
        <v>96</v>
      </c>
      <c r="AD383" s="0" t="n">
        <v>0</v>
      </c>
      <c r="AE383" s="0" t="s">
        <v>295</v>
      </c>
      <c r="AH383" s="0" t="n">
        <v>1</v>
      </c>
      <c r="AJ383" s="0" t="n">
        <v>10</v>
      </c>
      <c r="AP383" s="0" t="n">
        <v>470000</v>
      </c>
      <c r="DB383" s="0" t="str">
        <f aca="false">IF($A383="","",IF($AH383=20,IF(AND(OR($A383=21,$A383=215),$AJ383=10),"①病院一般",IF(AND($A383=31,$AJ383=41),"②病院短期","対象外")),IF($AJ383=30,"③特定消防",IF(AND(OR($A383=21,$A383=215),$AJ383=10),"④一般",IF(AND($A383=31,$AJ383=41),"⑤短期","対象外")))))</f>
        <v>④一般</v>
      </c>
      <c r="DC383" s="0" t="n">
        <f aca="false">IF($A383="","",IF($AB383&amp;""=設定!$C$4,1,0))</f>
        <v>1</v>
      </c>
    </row>
    <row r="384" customFormat="false" ht="15" hidden="false" customHeight="false" outlineLevel="0" collapsed="false">
      <c r="A384" s="0" t="n">
        <v>21</v>
      </c>
      <c r="AA384" s="0" t="n">
        <v>21</v>
      </c>
      <c r="AB384" s="0" t="s">
        <v>96</v>
      </c>
      <c r="AD384" s="0" t="n">
        <v>0</v>
      </c>
      <c r="AE384" s="0" t="s">
        <v>295</v>
      </c>
      <c r="AH384" s="0" t="n">
        <v>1</v>
      </c>
      <c r="AJ384" s="0" t="n">
        <v>10</v>
      </c>
      <c r="AP384" s="0" t="n">
        <v>320000</v>
      </c>
      <c r="DB384" s="0" t="str">
        <f aca="false">IF($A384="","",IF($AH384=20,IF(AND(OR($A384=21,$A384=215),$AJ384=10),"①病院一般",IF(AND($A384=31,$AJ384=41),"②病院短期","対象外")),IF($AJ384=30,"③特定消防",IF(AND(OR($A384=21,$A384=215),$AJ384=10),"④一般",IF(AND($A384=31,$AJ384=41),"⑤短期","対象外")))))</f>
        <v>④一般</v>
      </c>
      <c r="DC384" s="0" t="n">
        <f aca="false">IF($A384="","",IF($AB384&amp;""=設定!$C$4,1,0))</f>
        <v>1</v>
      </c>
    </row>
    <row r="385" customFormat="false" ht="15" hidden="false" customHeight="false" outlineLevel="0" collapsed="false">
      <c r="A385" s="0" t="n">
        <v>21</v>
      </c>
      <c r="AA385" s="0" t="n">
        <v>21</v>
      </c>
      <c r="AB385" s="0" t="s">
        <v>96</v>
      </c>
      <c r="AD385" s="0" t="n">
        <v>0</v>
      </c>
      <c r="AE385" s="0" t="s">
        <v>295</v>
      </c>
      <c r="AH385" s="0" t="n">
        <v>1</v>
      </c>
      <c r="AJ385" s="0" t="n">
        <v>10</v>
      </c>
      <c r="AP385" s="0" t="n">
        <v>930000</v>
      </c>
      <c r="DB385" s="0" t="str">
        <f aca="false">IF($A385="","",IF($AH385=20,IF(AND(OR($A385=21,$A385=215),$AJ385=10),"①病院一般",IF(AND($A385=31,$AJ385=41),"②病院短期","対象外")),IF($AJ385=30,"③特定消防",IF(AND(OR($A385=21,$A385=215),$AJ385=10),"④一般",IF(AND($A385=31,$AJ385=41),"⑤短期","対象外")))))</f>
        <v>④一般</v>
      </c>
      <c r="DC385" s="0" t="n">
        <f aca="false">IF($A385="","",IF($AB385&amp;""=設定!$C$4,1,0))</f>
        <v>1</v>
      </c>
    </row>
    <row r="386" customFormat="false" ht="15" hidden="false" customHeight="false" outlineLevel="0" collapsed="false">
      <c r="A386" s="0" t="n">
        <v>21</v>
      </c>
      <c r="AA386" s="0" t="n">
        <v>21</v>
      </c>
      <c r="AB386" s="0" t="s">
        <v>96</v>
      </c>
      <c r="AD386" s="0" t="n">
        <v>0</v>
      </c>
      <c r="AE386" s="0" t="s">
        <v>295</v>
      </c>
      <c r="AH386" s="0" t="n">
        <v>32</v>
      </c>
      <c r="AJ386" s="0" t="n">
        <v>74</v>
      </c>
      <c r="AP386" s="0" t="n">
        <v>1030000</v>
      </c>
      <c r="DB386" s="0" t="str">
        <f aca="false">IF($A386="","",IF($AH386=20,IF(AND(OR($A386=21,$A386=215),$AJ386=10),"①病院一般",IF(AND($A386=31,$AJ386=41),"②病院短期","対象外")),IF($AJ386=30,"③特定消防",IF(AND(OR($A386=21,$A386=215),$AJ386=10),"④一般",IF(AND($A386=31,$AJ386=41),"⑤短期","対象外")))))</f>
        <v>対象外</v>
      </c>
      <c r="DC386" s="0" t="n">
        <f aca="false">IF($A386="","",IF($AB386&amp;""=設定!$C$4,1,0))</f>
        <v>1</v>
      </c>
    </row>
    <row r="387" customFormat="false" ht="15" hidden="false" customHeight="false" outlineLevel="0" collapsed="false">
      <c r="A387" s="0" t="n">
        <v>21</v>
      </c>
      <c r="AA387" s="0" t="n">
        <v>21</v>
      </c>
      <c r="AB387" s="0" t="s">
        <v>96</v>
      </c>
      <c r="AD387" s="0" t="n">
        <v>0</v>
      </c>
      <c r="AE387" s="0" t="s">
        <v>295</v>
      </c>
      <c r="AH387" s="0" t="n">
        <v>1</v>
      </c>
      <c r="AJ387" s="0" t="n">
        <v>10</v>
      </c>
      <c r="AP387" s="0" t="n">
        <v>750000</v>
      </c>
      <c r="DB387" s="0" t="str">
        <f aca="false">IF($A387="","",IF($AH387=20,IF(AND(OR($A387=21,$A387=215),$AJ387=10),"①病院一般",IF(AND($A387=31,$AJ387=41),"②病院短期","対象外")),IF($AJ387=30,"③特定消防",IF(AND(OR($A387=21,$A387=215),$AJ387=10),"④一般",IF(AND($A387=31,$AJ387=41),"⑤短期","対象外")))))</f>
        <v>④一般</v>
      </c>
      <c r="DC387" s="0" t="n">
        <f aca="false">IF($A387="","",IF($AB387&amp;""=設定!$C$4,1,0))</f>
        <v>1</v>
      </c>
    </row>
    <row r="388" customFormat="false" ht="15" hidden="false" customHeight="false" outlineLevel="0" collapsed="false">
      <c r="A388" s="0" t="n">
        <v>21</v>
      </c>
      <c r="AA388" s="0" t="n">
        <v>21</v>
      </c>
      <c r="AB388" s="0" t="s">
        <v>96</v>
      </c>
      <c r="AD388" s="0" t="n">
        <v>0</v>
      </c>
      <c r="AE388" s="0" t="s">
        <v>295</v>
      </c>
      <c r="AH388" s="0" t="n">
        <v>1</v>
      </c>
      <c r="AJ388" s="0" t="n">
        <v>10</v>
      </c>
      <c r="AP388" s="0" t="n">
        <v>320000</v>
      </c>
      <c r="DB388" s="0" t="str">
        <f aca="false">IF($A388="","",IF($AH388=20,IF(AND(OR($A388=21,$A388=215),$AJ388=10),"①病院一般",IF(AND($A388=31,$AJ388=41),"②病院短期","対象外")),IF($AJ388=30,"③特定消防",IF(AND(OR($A388=21,$A388=215),$AJ388=10),"④一般",IF(AND($A388=31,$AJ388=41),"⑤短期","対象外")))))</f>
        <v>④一般</v>
      </c>
      <c r="DC388" s="0" t="n">
        <f aca="false">IF($A388="","",IF($AB388&amp;""=設定!$C$4,1,0))</f>
        <v>1</v>
      </c>
    </row>
    <row r="389" customFormat="false" ht="15" hidden="false" customHeight="false" outlineLevel="0" collapsed="false">
      <c r="A389" s="0" t="n">
        <v>21</v>
      </c>
      <c r="AA389" s="0" t="n">
        <v>21</v>
      </c>
      <c r="AB389" s="0" t="s">
        <v>96</v>
      </c>
      <c r="AD389" s="0" t="n">
        <v>0</v>
      </c>
      <c r="AE389" s="0" t="s">
        <v>295</v>
      </c>
      <c r="AH389" s="0" t="n">
        <v>1</v>
      </c>
      <c r="AJ389" s="0" t="n">
        <v>10</v>
      </c>
      <c r="AP389" s="0" t="n">
        <v>320000</v>
      </c>
      <c r="DB389" s="0" t="str">
        <f aca="false">IF($A389="","",IF($AH389=20,IF(AND(OR($A389=21,$A389=215),$AJ389=10),"①病院一般",IF(AND($A389=31,$AJ389=41),"②病院短期","対象外")),IF($AJ389=30,"③特定消防",IF(AND(OR($A389=21,$A389=215),$AJ389=10),"④一般",IF(AND($A389=31,$AJ389=41),"⑤短期","対象外")))))</f>
        <v>④一般</v>
      </c>
      <c r="DC389" s="0" t="n">
        <f aca="false">IF($A389="","",IF($AB389&amp;""=設定!$C$4,1,0))</f>
        <v>1</v>
      </c>
    </row>
    <row r="390" customFormat="false" ht="15" hidden="false" customHeight="false" outlineLevel="0" collapsed="false">
      <c r="A390" s="0" t="n">
        <v>21</v>
      </c>
      <c r="AA390" s="0" t="n">
        <v>21</v>
      </c>
      <c r="AB390" s="0" t="s">
        <v>96</v>
      </c>
      <c r="AD390" s="0" t="n">
        <v>0</v>
      </c>
      <c r="AE390" s="0" t="s">
        <v>295</v>
      </c>
      <c r="AH390" s="0" t="n">
        <v>1</v>
      </c>
      <c r="AJ390" s="0" t="n">
        <v>10</v>
      </c>
      <c r="AP390" s="0" t="n">
        <v>360000</v>
      </c>
      <c r="DB390" s="0" t="str">
        <f aca="false">IF($A390="","",IF($AH390=20,IF(AND(OR($A390=21,$A390=215),$AJ390=10),"①病院一般",IF(AND($A390=31,$AJ390=41),"②病院短期","対象外")),IF($AJ390=30,"③特定消防",IF(AND(OR($A390=21,$A390=215),$AJ390=10),"④一般",IF(AND($A390=31,$AJ390=41),"⑤短期","対象外")))))</f>
        <v>④一般</v>
      </c>
      <c r="DC390" s="0" t="n">
        <f aca="false">IF($A390="","",IF($AB390&amp;""=設定!$C$4,1,0))</f>
        <v>1</v>
      </c>
    </row>
    <row r="391" customFormat="false" ht="15" hidden="false" customHeight="false" outlineLevel="0" collapsed="false">
      <c r="A391" s="0" t="n">
        <v>21</v>
      </c>
      <c r="AA391" s="0" t="n">
        <v>21</v>
      </c>
      <c r="AB391" s="0" t="s">
        <v>96</v>
      </c>
      <c r="AD391" s="0" t="n">
        <v>0</v>
      </c>
      <c r="AE391" s="0" t="s">
        <v>295</v>
      </c>
      <c r="AH391" s="0" t="n">
        <v>5</v>
      </c>
      <c r="AJ391" s="0" t="n">
        <v>30</v>
      </c>
      <c r="AP391" s="0" t="n">
        <v>320000</v>
      </c>
      <c r="DB391" s="0" t="str">
        <f aca="false">IF($A391="","",IF($AH391=20,IF(AND(OR($A391=21,$A391=215),$AJ391=10),"①病院一般",IF(AND($A391=31,$AJ391=41),"②病院短期","対象外")),IF($AJ391=30,"③特定消防",IF(AND(OR($A391=21,$A391=215),$AJ391=10),"④一般",IF(AND($A391=31,$AJ391=41),"⑤短期","対象外")))))</f>
        <v>③特定消防</v>
      </c>
      <c r="DC391" s="0" t="n">
        <f aca="false">IF($A391="","",IF($AB391&amp;""=設定!$C$4,1,0))</f>
        <v>1</v>
      </c>
    </row>
    <row r="392" customFormat="false" ht="15" hidden="false" customHeight="false" outlineLevel="0" collapsed="false">
      <c r="A392" s="0" t="n">
        <v>21</v>
      </c>
      <c r="AA392" s="0" t="n">
        <v>21</v>
      </c>
      <c r="AB392" s="0" t="s">
        <v>96</v>
      </c>
      <c r="AD392" s="0" t="n">
        <v>0</v>
      </c>
      <c r="AE392" s="0" t="s">
        <v>295</v>
      </c>
      <c r="AH392" s="0" t="n">
        <v>1</v>
      </c>
      <c r="AJ392" s="0" t="n">
        <v>10</v>
      </c>
      <c r="AP392" s="0" t="n">
        <v>470000</v>
      </c>
      <c r="DB392" s="0" t="str">
        <f aca="false">IF($A392="","",IF($AH392=20,IF(AND(OR($A392=21,$A392=215),$AJ392=10),"①病院一般",IF(AND($A392=31,$AJ392=41),"②病院短期","対象外")),IF($AJ392=30,"③特定消防",IF(AND(OR($A392=21,$A392=215),$AJ392=10),"④一般",IF(AND($A392=31,$AJ392=41),"⑤短期","対象外")))))</f>
        <v>④一般</v>
      </c>
      <c r="DC392" s="0" t="n">
        <f aca="false">IF($A392="","",IF($AB392&amp;""=設定!$C$4,1,0))</f>
        <v>1</v>
      </c>
    </row>
    <row r="393" customFormat="false" ht="15" hidden="false" customHeight="false" outlineLevel="0" collapsed="false">
      <c r="A393" s="0" t="n">
        <v>21</v>
      </c>
      <c r="AA393" s="0" t="n">
        <v>21</v>
      </c>
      <c r="AB393" s="0" t="s">
        <v>96</v>
      </c>
      <c r="AD393" s="0" t="n">
        <v>0</v>
      </c>
      <c r="AE393" s="0" t="s">
        <v>295</v>
      </c>
      <c r="AH393" s="0" t="n">
        <v>1</v>
      </c>
      <c r="AJ393" s="0" t="n">
        <v>10</v>
      </c>
      <c r="AP393" s="0" t="n">
        <v>300000</v>
      </c>
      <c r="DB393" s="0" t="str">
        <f aca="false">IF($A393="","",IF($AH393=20,IF(AND(OR($A393=21,$A393=215),$AJ393=10),"①病院一般",IF(AND($A393=31,$AJ393=41),"②病院短期","対象外")),IF($AJ393=30,"③特定消防",IF(AND(OR($A393=21,$A393=215),$AJ393=10),"④一般",IF(AND($A393=31,$AJ393=41),"⑤短期","対象外")))))</f>
        <v>④一般</v>
      </c>
      <c r="DC393" s="0" t="n">
        <f aca="false">IF($A393="","",IF($AB393&amp;""=設定!$C$4,1,0))</f>
        <v>1</v>
      </c>
    </row>
    <row r="394" customFormat="false" ht="15" hidden="false" customHeight="false" outlineLevel="0" collapsed="false">
      <c r="A394" s="0" t="n">
        <v>21</v>
      </c>
      <c r="AA394" s="0" t="n">
        <v>21</v>
      </c>
      <c r="AB394" s="0" t="s">
        <v>96</v>
      </c>
      <c r="AD394" s="0" t="n">
        <v>0</v>
      </c>
      <c r="AE394" s="0" t="s">
        <v>295</v>
      </c>
      <c r="AH394" s="0" t="n">
        <v>1</v>
      </c>
      <c r="AJ394" s="0" t="n">
        <v>10</v>
      </c>
      <c r="AP394" s="0" t="n">
        <v>300000</v>
      </c>
      <c r="DB394" s="0" t="str">
        <f aca="false">IF($A394="","",IF($AH394=20,IF(AND(OR($A394=21,$A394=215),$AJ394=10),"①病院一般",IF(AND($A394=31,$AJ394=41),"②病院短期","対象外")),IF($AJ394=30,"③特定消防",IF(AND(OR($A394=21,$A394=215),$AJ394=10),"④一般",IF(AND($A394=31,$AJ394=41),"⑤短期","対象外")))))</f>
        <v>④一般</v>
      </c>
      <c r="DC394" s="0" t="n">
        <f aca="false">IF($A394="","",IF($AB394&amp;""=設定!$C$4,1,0))</f>
        <v>1</v>
      </c>
    </row>
    <row r="395" customFormat="false" ht="15" hidden="false" customHeight="false" outlineLevel="0" collapsed="false">
      <c r="A395" s="0" t="n">
        <v>21</v>
      </c>
      <c r="AA395" s="0" t="n">
        <v>21</v>
      </c>
      <c r="AB395" s="0" t="s">
        <v>96</v>
      </c>
      <c r="AD395" s="0" t="n">
        <v>0</v>
      </c>
      <c r="AE395" s="0" t="s">
        <v>295</v>
      </c>
      <c r="AH395" s="0" t="n">
        <v>1</v>
      </c>
      <c r="AJ395" s="0" t="n">
        <v>10</v>
      </c>
      <c r="AP395" s="0" t="n">
        <v>340000</v>
      </c>
      <c r="DB395" s="0" t="str">
        <f aca="false">IF($A395="","",IF($AH395=20,IF(AND(OR($A395=21,$A395=215),$AJ395=10),"①病院一般",IF(AND($A395=31,$AJ395=41),"②病院短期","対象外")),IF($AJ395=30,"③特定消防",IF(AND(OR($A395=21,$A395=215),$AJ395=10),"④一般",IF(AND($A395=31,$AJ395=41),"⑤短期","対象外")))))</f>
        <v>④一般</v>
      </c>
      <c r="DC395" s="0" t="n">
        <f aca="false">IF($A395="","",IF($AB395&amp;""=設定!$C$4,1,0))</f>
        <v>1</v>
      </c>
    </row>
    <row r="396" customFormat="false" ht="15" hidden="false" customHeight="false" outlineLevel="0" collapsed="false">
      <c r="A396" s="0" t="n">
        <v>21</v>
      </c>
      <c r="AA396" s="0" t="n">
        <v>21</v>
      </c>
      <c r="AB396" s="0" t="s">
        <v>96</v>
      </c>
      <c r="AD396" s="0" t="n">
        <v>0</v>
      </c>
      <c r="AE396" s="0" t="s">
        <v>295</v>
      </c>
      <c r="AH396" s="0" t="n">
        <v>11</v>
      </c>
      <c r="AJ396" s="0" t="n">
        <v>10</v>
      </c>
      <c r="AP396" s="0" t="n">
        <v>260000</v>
      </c>
      <c r="DB396" s="0" t="str">
        <f aca="false">IF($A396="","",IF($AH396=20,IF(AND(OR($A396=21,$A396=215),$AJ396=10),"①病院一般",IF(AND($A396=31,$AJ396=41),"②病院短期","対象外")),IF($AJ396=30,"③特定消防",IF(AND(OR($A396=21,$A396=215),$AJ396=10),"④一般",IF(AND($A396=31,$AJ396=41),"⑤短期","対象外")))))</f>
        <v>④一般</v>
      </c>
      <c r="DC396" s="0" t="n">
        <f aca="false">IF($A396="","",IF($AB396&amp;""=設定!$C$4,1,0))</f>
        <v>1</v>
      </c>
    </row>
    <row r="397" customFormat="false" ht="15" hidden="false" customHeight="false" outlineLevel="0" collapsed="false">
      <c r="A397" s="0" t="n">
        <v>21</v>
      </c>
      <c r="AA397" s="0" t="n">
        <v>21</v>
      </c>
      <c r="AB397" s="0" t="s">
        <v>96</v>
      </c>
      <c r="AD397" s="0" t="n">
        <v>0</v>
      </c>
      <c r="AE397" s="0" t="s">
        <v>295</v>
      </c>
      <c r="AH397" s="0" t="n">
        <v>11</v>
      </c>
      <c r="AJ397" s="0" t="n">
        <v>10</v>
      </c>
      <c r="AP397" s="0" t="n">
        <v>260000</v>
      </c>
      <c r="DB397" s="0" t="str">
        <f aca="false">IF($A397="","",IF($AH397=20,IF(AND(OR($A397=21,$A397=215),$AJ397=10),"①病院一般",IF(AND($A397=31,$AJ397=41),"②病院短期","対象外")),IF($AJ397=30,"③特定消防",IF(AND(OR($A397=21,$A397=215),$AJ397=10),"④一般",IF(AND($A397=31,$AJ397=41),"⑤短期","対象外")))))</f>
        <v>④一般</v>
      </c>
      <c r="DC397" s="0" t="n">
        <f aca="false">IF($A397="","",IF($AB397&amp;""=設定!$C$4,1,0))</f>
        <v>1</v>
      </c>
    </row>
    <row r="398" customFormat="false" ht="15" hidden="false" customHeight="false" outlineLevel="0" collapsed="false">
      <c r="A398" s="0" t="n">
        <v>21</v>
      </c>
      <c r="AA398" s="0" t="n">
        <v>21</v>
      </c>
      <c r="AB398" s="0" t="s">
        <v>96</v>
      </c>
      <c r="AD398" s="0" t="n">
        <v>0</v>
      </c>
      <c r="AE398" s="0" t="s">
        <v>295</v>
      </c>
      <c r="AH398" s="0" t="n">
        <v>11</v>
      </c>
      <c r="AJ398" s="0" t="n">
        <v>10</v>
      </c>
      <c r="AP398" s="0" t="n">
        <v>260000</v>
      </c>
      <c r="DB398" s="0" t="str">
        <f aca="false">IF($A398="","",IF($AH398=20,IF(AND(OR($A398=21,$A398=215),$AJ398=10),"①病院一般",IF(AND($A398=31,$AJ398=41),"②病院短期","対象外")),IF($AJ398=30,"③特定消防",IF(AND(OR($A398=21,$A398=215),$AJ398=10),"④一般",IF(AND($A398=31,$AJ398=41),"⑤短期","対象外")))))</f>
        <v>④一般</v>
      </c>
      <c r="DC398" s="0" t="n">
        <f aca="false">IF($A398="","",IF($AB398&amp;""=設定!$C$4,1,0))</f>
        <v>1</v>
      </c>
    </row>
    <row r="399" customFormat="false" ht="15" hidden="false" customHeight="false" outlineLevel="0" collapsed="false">
      <c r="A399" s="0" t="n">
        <v>21</v>
      </c>
      <c r="AA399" s="0" t="n">
        <v>21</v>
      </c>
      <c r="AB399" s="0" t="s">
        <v>96</v>
      </c>
      <c r="AD399" s="0" t="n">
        <v>0</v>
      </c>
      <c r="AE399" s="0" t="s">
        <v>295</v>
      </c>
      <c r="AH399" s="0" t="n">
        <v>60</v>
      </c>
      <c r="AJ399" s="0" t="n">
        <v>74</v>
      </c>
      <c r="AP399" s="0" t="n">
        <v>750000</v>
      </c>
      <c r="DB399" s="0" t="str">
        <f aca="false">IF($A399="","",IF($AH399=20,IF(AND(OR($A399=21,$A399=215),$AJ399=10),"①病院一般",IF(AND($A399=31,$AJ399=41),"②病院短期","対象外")),IF($AJ399=30,"③特定消防",IF(AND(OR($A399=21,$A399=215),$AJ399=10),"④一般",IF(AND($A399=31,$AJ399=41),"⑤短期","対象外")))))</f>
        <v>対象外</v>
      </c>
      <c r="DC399" s="0" t="n">
        <f aca="false">IF($A399="","",IF($AB399&amp;""=設定!$C$4,1,0))</f>
        <v>1</v>
      </c>
    </row>
    <row r="400" customFormat="false" ht="15" hidden="false" customHeight="false" outlineLevel="0" collapsed="false">
      <c r="A400" s="0" t="n">
        <v>21</v>
      </c>
      <c r="AA400" s="0" t="n">
        <v>21</v>
      </c>
      <c r="AB400" s="0" t="s">
        <v>96</v>
      </c>
      <c r="AD400" s="0" t="n">
        <v>0</v>
      </c>
      <c r="AE400" s="0" t="s">
        <v>295</v>
      </c>
      <c r="AH400" s="0" t="n">
        <v>1</v>
      </c>
      <c r="AJ400" s="0" t="n">
        <v>10</v>
      </c>
      <c r="AP400" s="0" t="n">
        <v>280000</v>
      </c>
      <c r="DB400" s="0" t="str">
        <f aca="false">IF($A400="","",IF($AH400=20,IF(AND(OR($A400=21,$A400=215),$AJ400=10),"①病院一般",IF(AND($A400=31,$AJ400=41),"②病院短期","対象外")),IF($AJ400=30,"③特定消防",IF(AND(OR($A400=21,$A400=215),$AJ400=10),"④一般",IF(AND($A400=31,$AJ400=41),"⑤短期","対象外")))))</f>
        <v>④一般</v>
      </c>
      <c r="DC400" s="0" t="n">
        <f aca="false">IF($A400="","",IF($AB400&amp;""=設定!$C$4,1,0))</f>
        <v>1</v>
      </c>
    </row>
    <row r="401" customFormat="false" ht="15" hidden="false" customHeight="false" outlineLevel="0" collapsed="false">
      <c r="A401" s="0" t="n">
        <v>21</v>
      </c>
      <c r="AA401" s="0" t="n">
        <v>21</v>
      </c>
      <c r="AB401" s="0" t="s">
        <v>96</v>
      </c>
      <c r="AD401" s="0" t="n">
        <v>0</v>
      </c>
      <c r="AE401" s="0" t="s">
        <v>295</v>
      </c>
      <c r="AH401" s="0" t="n">
        <v>3</v>
      </c>
      <c r="AJ401" s="0" t="n">
        <v>10</v>
      </c>
      <c r="AP401" s="0" t="n">
        <v>320000</v>
      </c>
      <c r="DB401" s="0" t="str">
        <f aca="false">IF($A401="","",IF($AH401=20,IF(AND(OR($A401=21,$A401=215),$AJ401=10),"①病院一般",IF(AND($A401=31,$AJ401=41),"②病院短期","対象外")),IF($AJ401=30,"③特定消防",IF(AND(OR($A401=21,$A401=215),$AJ401=10),"④一般",IF(AND($A401=31,$AJ401=41),"⑤短期","対象外")))))</f>
        <v>④一般</v>
      </c>
      <c r="DC401" s="0" t="n">
        <f aca="false">IF($A401="","",IF($AB401&amp;""=設定!$C$4,1,0))</f>
        <v>1</v>
      </c>
    </row>
    <row r="402" customFormat="false" ht="15" hidden="false" customHeight="false" outlineLevel="0" collapsed="false">
      <c r="A402" s="0" t="n">
        <v>21</v>
      </c>
      <c r="AA402" s="0" t="n">
        <v>21</v>
      </c>
      <c r="AB402" s="0" t="s">
        <v>96</v>
      </c>
      <c r="AD402" s="0" t="n">
        <v>0</v>
      </c>
      <c r="AE402" s="0" t="s">
        <v>295</v>
      </c>
      <c r="AH402" s="0" t="n">
        <v>3</v>
      </c>
      <c r="AJ402" s="0" t="n">
        <v>10</v>
      </c>
      <c r="AP402" s="0" t="n">
        <v>320000</v>
      </c>
      <c r="DB402" s="0" t="str">
        <f aca="false">IF($A402="","",IF($AH402=20,IF(AND(OR($A402=21,$A402=215),$AJ402=10),"①病院一般",IF(AND($A402=31,$AJ402=41),"②病院短期","対象外")),IF($AJ402=30,"③特定消防",IF(AND(OR($A402=21,$A402=215),$AJ402=10),"④一般",IF(AND($A402=31,$AJ402=41),"⑤短期","対象外")))))</f>
        <v>④一般</v>
      </c>
      <c r="DC402" s="0" t="n">
        <f aca="false">IF($A402="","",IF($AB402&amp;""=設定!$C$4,1,0))</f>
        <v>1</v>
      </c>
    </row>
    <row r="403" customFormat="false" ht="15" hidden="false" customHeight="false" outlineLevel="0" collapsed="false">
      <c r="A403" s="0" t="n">
        <v>21</v>
      </c>
      <c r="AA403" s="0" t="n">
        <v>21</v>
      </c>
      <c r="AB403" s="0" t="s">
        <v>96</v>
      </c>
      <c r="AD403" s="0" t="n">
        <v>0</v>
      </c>
      <c r="AE403" s="0" t="s">
        <v>295</v>
      </c>
      <c r="AH403" s="0" t="n">
        <v>3</v>
      </c>
      <c r="AJ403" s="0" t="n">
        <v>10</v>
      </c>
      <c r="AP403" s="0" t="n">
        <v>300000</v>
      </c>
      <c r="DB403" s="0" t="str">
        <f aca="false">IF($A403="","",IF($AH403=20,IF(AND(OR($A403=21,$A403=215),$AJ403=10),"①病院一般",IF(AND($A403=31,$AJ403=41),"②病院短期","対象外")),IF($AJ403=30,"③特定消防",IF(AND(OR($A403=21,$A403=215),$AJ403=10),"④一般",IF(AND($A403=31,$AJ403=41),"⑤短期","対象外")))))</f>
        <v>④一般</v>
      </c>
      <c r="DC403" s="0" t="n">
        <f aca="false">IF($A403="","",IF($AB403&amp;""=設定!$C$4,1,0))</f>
        <v>1</v>
      </c>
    </row>
    <row r="404" customFormat="false" ht="15" hidden="false" customHeight="false" outlineLevel="0" collapsed="false">
      <c r="A404" s="0" t="n">
        <v>21</v>
      </c>
      <c r="AA404" s="0" t="n">
        <v>21</v>
      </c>
      <c r="AB404" s="0" t="s">
        <v>96</v>
      </c>
      <c r="AD404" s="0" t="n">
        <v>0</v>
      </c>
      <c r="AE404" s="0" t="s">
        <v>295</v>
      </c>
      <c r="AH404" s="0" t="n">
        <v>3</v>
      </c>
      <c r="AJ404" s="0" t="n">
        <v>10</v>
      </c>
      <c r="AP404" s="0" t="n">
        <v>380000</v>
      </c>
      <c r="DB404" s="0" t="str">
        <f aca="false">IF($A404="","",IF($AH404=20,IF(AND(OR($A404=21,$A404=215),$AJ404=10),"①病院一般",IF(AND($A404=31,$AJ404=41),"②病院短期","対象外")),IF($AJ404=30,"③特定消防",IF(AND(OR($A404=21,$A404=215),$AJ404=10),"④一般",IF(AND($A404=31,$AJ404=41),"⑤短期","対象外")))))</f>
        <v>④一般</v>
      </c>
      <c r="DC404" s="0" t="n">
        <f aca="false">IF($A404="","",IF($AB404&amp;""=設定!$C$4,1,0))</f>
        <v>1</v>
      </c>
    </row>
    <row r="405" customFormat="false" ht="15" hidden="false" customHeight="false" outlineLevel="0" collapsed="false">
      <c r="A405" s="0" t="n">
        <v>21</v>
      </c>
      <c r="AA405" s="0" t="n">
        <v>21</v>
      </c>
      <c r="AB405" s="0" t="s">
        <v>96</v>
      </c>
      <c r="AD405" s="0" t="n">
        <v>0</v>
      </c>
      <c r="AE405" s="0" t="s">
        <v>295</v>
      </c>
      <c r="AH405" s="0" t="n">
        <v>3</v>
      </c>
      <c r="AJ405" s="0" t="n">
        <v>10</v>
      </c>
      <c r="AP405" s="0" t="n">
        <v>340000</v>
      </c>
      <c r="DB405" s="0" t="str">
        <f aca="false">IF($A405="","",IF($AH405=20,IF(AND(OR($A405=21,$A405=215),$AJ405=10),"①病院一般",IF(AND($A405=31,$AJ405=41),"②病院短期","対象外")),IF($AJ405=30,"③特定消防",IF(AND(OR($A405=21,$A405=215),$AJ405=10),"④一般",IF(AND($A405=31,$AJ405=41),"⑤短期","対象外")))))</f>
        <v>④一般</v>
      </c>
      <c r="DC405" s="0" t="n">
        <f aca="false">IF($A405="","",IF($AB405&amp;""=設定!$C$4,1,0))</f>
        <v>1</v>
      </c>
    </row>
    <row r="406" customFormat="false" ht="15" hidden="false" customHeight="false" outlineLevel="0" collapsed="false">
      <c r="A406" s="0" t="n">
        <v>21</v>
      </c>
      <c r="AA406" s="0" t="n">
        <v>21</v>
      </c>
      <c r="AB406" s="0" t="s">
        <v>96</v>
      </c>
      <c r="AD406" s="0" t="n">
        <v>0</v>
      </c>
      <c r="AE406" s="0" t="s">
        <v>295</v>
      </c>
      <c r="AH406" s="0" t="n">
        <v>1</v>
      </c>
      <c r="AJ406" s="0" t="n">
        <v>10</v>
      </c>
      <c r="AP406" s="0" t="n">
        <v>260000</v>
      </c>
      <c r="DB406" s="0" t="str">
        <f aca="false">IF($A406="","",IF($AH406=20,IF(AND(OR($A406=21,$A406=215),$AJ406=10),"①病院一般",IF(AND($A406=31,$AJ406=41),"②病院短期","対象外")),IF($AJ406=30,"③特定消防",IF(AND(OR($A406=21,$A406=215),$AJ406=10),"④一般",IF(AND($A406=31,$AJ406=41),"⑤短期","対象外")))))</f>
        <v>④一般</v>
      </c>
      <c r="DC406" s="0" t="n">
        <f aca="false">IF($A406="","",IF($AB406&amp;""=設定!$C$4,1,0))</f>
        <v>1</v>
      </c>
    </row>
    <row r="407" customFormat="false" ht="15" hidden="false" customHeight="false" outlineLevel="0" collapsed="false">
      <c r="A407" s="0" t="n">
        <v>21</v>
      </c>
      <c r="AA407" s="0" t="n">
        <v>21</v>
      </c>
      <c r="AB407" s="0" t="s">
        <v>96</v>
      </c>
      <c r="AD407" s="0" t="n">
        <v>0</v>
      </c>
      <c r="AE407" s="0" t="s">
        <v>295</v>
      </c>
      <c r="AH407" s="0" t="n">
        <v>1</v>
      </c>
      <c r="AJ407" s="0" t="n">
        <v>10</v>
      </c>
      <c r="AP407" s="0" t="n">
        <v>280000</v>
      </c>
      <c r="DB407" s="0" t="str">
        <f aca="false">IF($A407="","",IF($AH407=20,IF(AND(OR($A407=21,$A407=215),$AJ407=10),"①病院一般",IF(AND($A407=31,$AJ407=41),"②病院短期","対象外")),IF($AJ407=30,"③特定消防",IF(AND(OR($A407=21,$A407=215),$AJ407=10),"④一般",IF(AND($A407=31,$AJ407=41),"⑤短期","対象外")))))</f>
        <v>④一般</v>
      </c>
      <c r="DC407" s="0" t="n">
        <f aca="false">IF($A407="","",IF($AB407&amp;""=設定!$C$4,1,0))</f>
        <v>1</v>
      </c>
    </row>
    <row r="408" customFormat="false" ht="15" hidden="false" customHeight="false" outlineLevel="0" collapsed="false">
      <c r="A408" s="0" t="n">
        <v>21</v>
      </c>
      <c r="AA408" s="0" t="n">
        <v>21</v>
      </c>
      <c r="AB408" s="0" t="s">
        <v>96</v>
      </c>
      <c r="AD408" s="0" t="n">
        <v>0</v>
      </c>
      <c r="AE408" s="0" t="s">
        <v>295</v>
      </c>
      <c r="AH408" s="0" t="n">
        <v>11</v>
      </c>
      <c r="AJ408" s="0" t="n">
        <v>10</v>
      </c>
      <c r="AP408" s="0" t="n">
        <v>260000</v>
      </c>
      <c r="DB408" s="0" t="str">
        <f aca="false">IF($A408="","",IF($AH408=20,IF(AND(OR($A408=21,$A408=215),$AJ408=10),"①病院一般",IF(AND($A408=31,$AJ408=41),"②病院短期","対象外")),IF($AJ408=30,"③特定消防",IF(AND(OR($A408=21,$A408=215),$AJ408=10),"④一般",IF(AND($A408=31,$AJ408=41),"⑤短期","対象外")))))</f>
        <v>④一般</v>
      </c>
      <c r="DC408" s="0" t="n">
        <f aca="false">IF($A408="","",IF($AB408&amp;""=設定!$C$4,1,0))</f>
        <v>1</v>
      </c>
    </row>
    <row r="409" customFormat="false" ht="15" hidden="false" customHeight="false" outlineLevel="0" collapsed="false">
      <c r="A409" s="0" t="n">
        <v>21</v>
      </c>
      <c r="AA409" s="0" t="n">
        <v>21</v>
      </c>
      <c r="AB409" s="0" t="s">
        <v>299</v>
      </c>
      <c r="AD409" s="0" t="n">
        <v>0</v>
      </c>
      <c r="AE409" s="0" t="s">
        <v>295</v>
      </c>
      <c r="AH409" s="0" t="n">
        <v>1</v>
      </c>
      <c r="AJ409" s="0" t="n">
        <v>10</v>
      </c>
      <c r="AP409" s="0" t="n">
        <v>260000</v>
      </c>
      <c r="DB409" s="0" t="str">
        <f aca="false">IF($A409="","",IF($AH409=20,IF(AND(OR($A409=21,$A409=215),$AJ409=10),"①病院一般",IF(AND($A409=31,$AJ409=41),"②病院短期","対象外")),IF($AJ409=30,"③特定消防",IF(AND(OR($A409=21,$A409=215),$AJ409=10),"④一般",IF(AND($A409=31,$AJ409=41),"⑤短期","対象外")))))</f>
        <v>④一般</v>
      </c>
      <c r="DC409" s="0" t="n">
        <f aca="false">IF($A409="","",IF($AB409&amp;""=設定!$C$4,1,0))</f>
        <v>0</v>
      </c>
    </row>
    <row r="410" customFormat="false" ht="15" hidden="false" customHeight="false" outlineLevel="0" collapsed="false">
      <c r="A410" s="0" t="n">
        <v>21</v>
      </c>
      <c r="AA410" s="0" t="n">
        <v>21</v>
      </c>
      <c r="AB410" s="0" t="s">
        <v>299</v>
      </c>
      <c r="AD410" s="0" t="n">
        <v>0</v>
      </c>
      <c r="AE410" s="0" t="s">
        <v>295</v>
      </c>
      <c r="AH410" s="0" t="n">
        <v>1</v>
      </c>
      <c r="AJ410" s="0" t="n">
        <v>10</v>
      </c>
      <c r="AP410" s="0" t="n">
        <v>360000</v>
      </c>
      <c r="DB410" s="0" t="str">
        <f aca="false">IF($A410="","",IF($AH410=20,IF(AND(OR($A410=21,$A410=215),$AJ410=10),"①病院一般",IF(AND($A410=31,$AJ410=41),"②病院短期","対象外")),IF($AJ410=30,"③特定消防",IF(AND(OR($A410=21,$A410=215),$AJ410=10),"④一般",IF(AND($A410=31,$AJ410=41),"⑤短期","対象外")))))</f>
        <v>④一般</v>
      </c>
      <c r="DC410" s="0" t="n">
        <f aca="false">IF($A410="","",IF($AB410&amp;""=設定!$C$4,1,0))</f>
        <v>0</v>
      </c>
    </row>
    <row r="411" customFormat="false" ht="15" hidden="false" customHeight="false" outlineLevel="0" collapsed="false">
      <c r="A411" s="0" t="n">
        <v>21</v>
      </c>
      <c r="AA411" s="0" t="n">
        <v>21</v>
      </c>
      <c r="AB411" s="0" t="s">
        <v>300</v>
      </c>
      <c r="AD411" s="0" t="n">
        <v>0</v>
      </c>
      <c r="AE411" s="0" t="s">
        <v>295</v>
      </c>
      <c r="AH411" s="0" t="n">
        <v>1</v>
      </c>
      <c r="AJ411" s="0" t="n">
        <v>10</v>
      </c>
      <c r="AP411" s="0" t="n">
        <v>750000</v>
      </c>
      <c r="DB411" s="0" t="str">
        <f aca="false">IF($A411="","",IF($AH411=20,IF(AND(OR($A411=21,$A411=215),$AJ411=10),"①病院一般",IF(AND($A411=31,$AJ411=41),"②病院短期","対象外")),IF($AJ411=30,"③特定消防",IF(AND(OR($A411=21,$A411=215),$AJ411=10),"④一般",IF(AND($A411=31,$AJ411=41),"⑤短期","対象外")))))</f>
        <v>④一般</v>
      </c>
      <c r="DC411" s="0" t="n">
        <f aca="false">IF($A411="","",IF($AB411&amp;""=設定!$C$4,1,0))</f>
        <v>0</v>
      </c>
    </row>
    <row r="412" customFormat="false" ht="15" hidden="false" customHeight="false" outlineLevel="0" collapsed="false">
      <c r="A412" s="0" t="n">
        <v>21</v>
      </c>
      <c r="AA412" s="0" t="n">
        <v>21</v>
      </c>
      <c r="AB412" s="0" t="s">
        <v>301</v>
      </c>
      <c r="AD412" s="0" t="n">
        <v>0</v>
      </c>
      <c r="AE412" s="0" t="s">
        <v>295</v>
      </c>
      <c r="AH412" s="0" t="n">
        <v>1</v>
      </c>
      <c r="AJ412" s="0" t="n">
        <v>10</v>
      </c>
      <c r="AP412" s="0" t="n">
        <v>260000</v>
      </c>
      <c r="DB412" s="0" t="str">
        <f aca="false">IF($A412="","",IF($AH412=20,IF(AND(OR($A412=21,$A412=215),$AJ412=10),"①病院一般",IF(AND($A412=31,$AJ412=41),"②病院短期","対象外")),IF($AJ412=30,"③特定消防",IF(AND(OR($A412=21,$A412=215),$AJ412=10),"④一般",IF(AND($A412=31,$AJ412=41),"⑤短期","対象外")))))</f>
        <v>④一般</v>
      </c>
      <c r="DC412" s="0" t="n">
        <f aca="false">IF($A412="","",IF($AB412&amp;""=設定!$C$4,1,0))</f>
        <v>0</v>
      </c>
    </row>
    <row r="413" customFormat="false" ht="15" hidden="false" customHeight="false" outlineLevel="0" collapsed="false">
      <c r="A413" s="0" t="n">
        <v>21</v>
      </c>
      <c r="AA413" s="0" t="n">
        <v>21</v>
      </c>
      <c r="AB413" s="0" t="s">
        <v>301</v>
      </c>
      <c r="AD413" s="0" t="n">
        <v>0</v>
      </c>
      <c r="AE413" s="0" t="s">
        <v>295</v>
      </c>
      <c r="AH413" s="0" t="n">
        <v>1</v>
      </c>
      <c r="AJ413" s="0" t="n">
        <v>10</v>
      </c>
      <c r="AP413" s="0" t="n">
        <v>300000</v>
      </c>
      <c r="DB413" s="0" t="str">
        <f aca="false">IF($A413="","",IF($AH413=20,IF(AND(OR($A413=21,$A413=215),$AJ413=10),"①病院一般",IF(AND($A413=31,$AJ413=41),"②病院短期","対象外")),IF($AJ413=30,"③特定消防",IF(AND(OR($A413=21,$A413=215),$AJ413=10),"④一般",IF(AND($A413=31,$AJ413=41),"⑤短期","対象外")))))</f>
        <v>④一般</v>
      </c>
      <c r="DC413" s="0" t="n">
        <f aca="false">IF($A413="","",IF($AB413&amp;""=設定!$C$4,1,0))</f>
        <v>0</v>
      </c>
    </row>
    <row r="414" customFormat="false" ht="15" hidden="false" customHeight="false" outlineLevel="0" collapsed="false">
      <c r="A414" s="0" t="n">
        <v>21</v>
      </c>
      <c r="AA414" s="0" t="n">
        <v>21</v>
      </c>
      <c r="AB414" s="0" t="s">
        <v>301</v>
      </c>
      <c r="AD414" s="0" t="n">
        <v>0</v>
      </c>
      <c r="AE414" s="0" t="s">
        <v>295</v>
      </c>
      <c r="AH414" s="0" t="n">
        <v>1</v>
      </c>
      <c r="AJ414" s="0" t="n">
        <v>10</v>
      </c>
      <c r="AP414" s="0" t="n">
        <v>300000</v>
      </c>
      <c r="DB414" s="0" t="str">
        <f aca="false">IF($A414="","",IF($AH414=20,IF(AND(OR($A414=21,$A414=215),$AJ414=10),"①病院一般",IF(AND($A414=31,$AJ414=41),"②病院短期","対象外")),IF($AJ414=30,"③特定消防",IF(AND(OR($A414=21,$A414=215),$AJ414=10),"④一般",IF(AND($A414=31,$AJ414=41),"⑤短期","対象外")))))</f>
        <v>④一般</v>
      </c>
      <c r="DC414" s="0" t="n">
        <f aca="false">IF($A414="","",IF($AB414&amp;""=設定!$C$4,1,0))</f>
        <v>0</v>
      </c>
    </row>
    <row r="415" customFormat="false" ht="15" hidden="false" customHeight="false" outlineLevel="0" collapsed="false">
      <c r="A415" s="0" t="n">
        <v>21</v>
      </c>
      <c r="AA415" s="0" t="n">
        <v>21</v>
      </c>
      <c r="AB415" s="0" t="s">
        <v>301</v>
      </c>
      <c r="AD415" s="0" t="n">
        <v>0</v>
      </c>
      <c r="AE415" s="0" t="s">
        <v>295</v>
      </c>
      <c r="AH415" s="0" t="n">
        <v>1</v>
      </c>
      <c r="AJ415" s="0" t="n">
        <v>10</v>
      </c>
      <c r="AP415" s="0" t="n">
        <v>260000</v>
      </c>
      <c r="DB415" s="0" t="str">
        <f aca="false">IF($A415="","",IF($AH415=20,IF(AND(OR($A415=21,$A415=215),$AJ415=10),"①病院一般",IF(AND($A415=31,$AJ415=41),"②病院短期","対象外")),IF($AJ415=30,"③特定消防",IF(AND(OR($A415=21,$A415=215),$AJ415=10),"④一般",IF(AND($A415=31,$AJ415=41),"⑤短期","対象外")))))</f>
        <v>④一般</v>
      </c>
      <c r="DC415" s="0" t="n">
        <f aca="false">IF($A415="","",IF($AB415&amp;""=設定!$C$4,1,0))</f>
        <v>0</v>
      </c>
    </row>
    <row r="416" customFormat="false" ht="15" hidden="false" customHeight="false" outlineLevel="0" collapsed="false">
      <c r="A416" s="0" t="n">
        <v>21</v>
      </c>
      <c r="AA416" s="0" t="n">
        <v>21</v>
      </c>
      <c r="AB416" s="0" t="s">
        <v>96</v>
      </c>
      <c r="AD416" s="0" t="n">
        <v>0</v>
      </c>
      <c r="AE416" s="0" t="s">
        <v>295</v>
      </c>
      <c r="AH416" s="0" t="n">
        <v>20</v>
      </c>
      <c r="AJ416" s="0" t="n">
        <v>10</v>
      </c>
      <c r="AP416" s="0" t="n">
        <v>280000</v>
      </c>
      <c r="DB416" s="0" t="str">
        <f aca="false">IF($A416="","",IF($AH416=20,IF(AND(OR($A416=21,$A416=215),$AJ416=10),"①病院一般",IF(AND($A416=31,$AJ416=41),"②病院短期","対象外")),IF($AJ416=30,"③特定消防",IF(AND(OR($A416=21,$A416=215),$AJ416=10),"④一般",IF(AND($A416=31,$AJ416=41),"⑤短期","対象外")))))</f>
        <v>①病院一般</v>
      </c>
      <c r="DC416" s="0" t="n">
        <f aca="false">IF($A416="","",IF($AB416&amp;""=設定!$C$4,1,0))</f>
        <v>1</v>
      </c>
    </row>
    <row r="417" customFormat="false" ht="15" hidden="false" customHeight="false" outlineLevel="0" collapsed="false">
      <c r="A417" s="0" t="n">
        <v>21</v>
      </c>
      <c r="AA417" s="0" t="n">
        <v>21</v>
      </c>
      <c r="AB417" s="0" t="s">
        <v>96</v>
      </c>
      <c r="AD417" s="0" t="n">
        <v>0</v>
      </c>
      <c r="AE417" s="0" t="s">
        <v>295</v>
      </c>
      <c r="AH417" s="0" t="n">
        <v>20</v>
      </c>
      <c r="AJ417" s="0" t="n">
        <v>10</v>
      </c>
      <c r="AP417" s="0" t="n">
        <v>300000</v>
      </c>
      <c r="DB417" s="0" t="str">
        <f aca="false">IF($A417="","",IF($AH417=20,IF(AND(OR($A417=21,$A417=215),$AJ417=10),"①病院一般",IF(AND($A417=31,$AJ417=41),"②病院短期","対象外")),IF($AJ417=30,"③特定消防",IF(AND(OR($A417=21,$A417=215),$AJ417=10),"④一般",IF(AND($A417=31,$AJ417=41),"⑤短期","対象外")))))</f>
        <v>①病院一般</v>
      </c>
      <c r="DC417" s="0" t="n">
        <f aca="false">IF($A417="","",IF($AB417&amp;""=設定!$C$4,1,0))</f>
        <v>1</v>
      </c>
    </row>
    <row r="418" customFormat="false" ht="15" hidden="false" customHeight="false" outlineLevel="0" collapsed="false">
      <c r="A418" s="0" t="n">
        <v>21</v>
      </c>
      <c r="AA418" s="0" t="n">
        <v>21</v>
      </c>
      <c r="AB418" s="0" t="s">
        <v>96</v>
      </c>
      <c r="AD418" s="0" t="n">
        <v>0</v>
      </c>
      <c r="AE418" s="0" t="s">
        <v>295</v>
      </c>
      <c r="AH418" s="0" t="n">
        <v>20</v>
      </c>
      <c r="AJ418" s="0" t="n">
        <v>10</v>
      </c>
      <c r="AP418" s="0" t="n">
        <v>280000</v>
      </c>
      <c r="DB418" s="0" t="str">
        <f aca="false">IF($A418="","",IF($AH418=20,IF(AND(OR($A418=21,$A418=215),$AJ418=10),"①病院一般",IF(AND($A418=31,$AJ418=41),"②病院短期","対象外")),IF($AJ418=30,"③特定消防",IF(AND(OR($A418=21,$A418=215),$AJ418=10),"④一般",IF(AND($A418=31,$AJ418=41),"⑤短期","対象外")))))</f>
        <v>①病院一般</v>
      </c>
      <c r="DC418" s="0" t="n">
        <f aca="false">IF($A418="","",IF($AB418&amp;""=設定!$C$4,1,0))</f>
        <v>1</v>
      </c>
    </row>
    <row r="419" customFormat="false" ht="15" hidden="false" customHeight="false" outlineLevel="0" collapsed="false">
      <c r="A419" s="0" t="n">
        <v>21</v>
      </c>
      <c r="AA419" s="0" t="n">
        <v>21</v>
      </c>
      <c r="AB419" s="0" t="s">
        <v>96</v>
      </c>
      <c r="AD419" s="0" t="n">
        <v>0</v>
      </c>
      <c r="AE419" s="0" t="s">
        <v>295</v>
      </c>
      <c r="AH419" s="0" t="n">
        <v>20</v>
      </c>
      <c r="AJ419" s="0" t="n">
        <v>10</v>
      </c>
      <c r="AP419" s="0" t="n">
        <v>280000</v>
      </c>
      <c r="DB419" s="0" t="str">
        <f aca="false">IF($A419="","",IF($AH419=20,IF(AND(OR($A419=21,$A419=215),$AJ419=10),"①病院一般",IF(AND($A419=31,$AJ419=41),"②病院短期","対象外")),IF($AJ419=30,"③特定消防",IF(AND(OR($A419=21,$A419=215),$AJ419=10),"④一般",IF(AND($A419=31,$AJ419=41),"⑤短期","対象外")))))</f>
        <v>①病院一般</v>
      </c>
      <c r="DC419" s="0" t="n">
        <f aca="false">IF($A419="","",IF($AB419&amp;""=設定!$C$4,1,0))</f>
        <v>1</v>
      </c>
    </row>
    <row r="420" customFormat="false" ht="15" hidden="false" customHeight="false" outlineLevel="0" collapsed="false">
      <c r="A420" s="0" t="n">
        <v>21</v>
      </c>
      <c r="AA420" s="0" t="n">
        <v>21</v>
      </c>
      <c r="AB420" s="0" t="s">
        <v>96</v>
      </c>
      <c r="AD420" s="0" t="n">
        <v>0</v>
      </c>
      <c r="AE420" s="0" t="s">
        <v>295</v>
      </c>
      <c r="AH420" s="0" t="n">
        <v>20</v>
      </c>
      <c r="AJ420" s="0" t="n">
        <v>10</v>
      </c>
      <c r="AP420" s="0" t="n">
        <v>320000</v>
      </c>
      <c r="DB420" s="0" t="str">
        <f aca="false">IF($A420="","",IF($AH420=20,IF(AND(OR($A420=21,$A420=215),$AJ420=10),"①病院一般",IF(AND($A420=31,$AJ420=41),"②病院短期","対象外")),IF($AJ420=30,"③特定消防",IF(AND(OR($A420=21,$A420=215),$AJ420=10),"④一般",IF(AND($A420=31,$AJ420=41),"⑤短期","対象外")))))</f>
        <v>①病院一般</v>
      </c>
      <c r="DC420" s="0" t="n">
        <f aca="false">IF($A420="","",IF($AB420&amp;""=設定!$C$4,1,0))</f>
        <v>1</v>
      </c>
    </row>
    <row r="421" customFormat="false" ht="15" hidden="false" customHeight="false" outlineLevel="0" collapsed="false">
      <c r="A421" s="0" t="n">
        <v>21</v>
      </c>
      <c r="AA421" s="0" t="n">
        <v>21</v>
      </c>
      <c r="AB421" s="0" t="s">
        <v>96</v>
      </c>
      <c r="AD421" s="0" t="n">
        <v>0</v>
      </c>
      <c r="AE421" s="0" t="s">
        <v>295</v>
      </c>
      <c r="AH421" s="0" t="n">
        <v>20</v>
      </c>
      <c r="AJ421" s="0" t="n">
        <v>10</v>
      </c>
      <c r="AP421" s="0" t="n">
        <v>320000</v>
      </c>
      <c r="DB421" s="0" t="str">
        <f aca="false">IF($A421="","",IF($AH421=20,IF(AND(OR($A421=21,$A421=215),$AJ421=10),"①病院一般",IF(AND($A421=31,$AJ421=41),"②病院短期","対象外")),IF($AJ421=30,"③特定消防",IF(AND(OR($A421=21,$A421=215),$AJ421=10),"④一般",IF(AND($A421=31,$AJ421=41),"⑤短期","対象外")))))</f>
        <v>①病院一般</v>
      </c>
      <c r="DC421" s="0" t="n">
        <f aca="false">IF($A421="","",IF($AB421&amp;""=設定!$C$4,1,0))</f>
        <v>1</v>
      </c>
    </row>
    <row r="422" customFormat="false" ht="15" hidden="false" customHeight="false" outlineLevel="0" collapsed="false">
      <c r="A422" s="0" t="n">
        <v>21</v>
      </c>
      <c r="AA422" s="0" t="n">
        <v>21</v>
      </c>
      <c r="AB422" s="0" t="s">
        <v>96</v>
      </c>
      <c r="AD422" s="0" t="n">
        <v>0</v>
      </c>
      <c r="AE422" s="0" t="s">
        <v>295</v>
      </c>
      <c r="AH422" s="0" t="n">
        <v>20</v>
      </c>
      <c r="AJ422" s="0" t="n">
        <v>10</v>
      </c>
      <c r="AP422" s="0" t="n">
        <v>300000</v>
      </c>
      <c r="DB422" s="0" t="str">
        <f aca="false">IF($A422="","",IF($AH422=20,IF(AND(OR($A422=21,$A422=215),$AJ422=10),"①病院一般",IF(AND($A422=31,$AJ422=41),"②病院短期","対象外")),IF($AJ422=30,"③特定消防",IF(AND(OR($A422=21,$A422=215),$AJ422=10),"④一般",IF(AND($A422=31,$AJ422=41),"⑤短期","対象外")))))</f>
        <v>①病院一般</v>
      </c>
      <c r="DC422" s="0" t="n">
        <f aca="false">IF($A422="","",IF($AB422&amp;""=設定!$C$4,1,0))</f>
        <v>1</v>
      </c>
    </row>
    <row r="423" customFormat="false" ht="15" hidden="false" customHeight="false" outlineLevel="0" collapsed="false">
      <c r="A423" s="0" t="n">
        <v>21</v>
      </c>
      <c r="AA423" s="0" t="n">
        <v>21</v>
      </c>
      <c r="AB423" s="0" t="s">
        <v>96</v>
      </c>
      <c r="AD423" s="0" t="n">
        <v>0</v>
      </c>
      <c r="AE423" s="0" t="s">
        <v>295</v>
      </c>
      <c r="AH423" s="0" t="n">
        <v>20</v>
      </c>
      <c r="AJ423" s="0" t="n">
        <v>10</v>
      </c>
      <c r="AP423" s="0" t="n">
        <v>280000</v>
      </c>
      <c r="DB423" s="0" t="str">
        <f aca="false">IF($A423="","",IF($AH423=20,IF(AND(OR($A423=21,$A423=215),$AJ423=10),"①病院一般",IF(AND($A423=31,$AJ423=41),"②病院短期","対象外")),IF($AJ423=30,"③特定消防",IF(AND(OR($A423=21,$A423=215),$AJ423=10),"④一般",IF(AND($A423=31,$AJ423=41),"⑤短期","対象外")))))</f>
        <v>①病院一般</v>
      </c>
      <c r="DC423" s="0" t="n">
        <f aca="false">IF($A423="","",IF($AB423&amp;""=設定!$C$4,1,0))</f>
        <v>1</v>
      </c>
    </row>
    <row r="424" customFormat="false" ht="15" hidden="false" customHeight="false" outlineLevel="0" collapsed="false">
      <c r="A424" s="0" t="n">
        <v>21</v>
      </c>
      <c r="AA424" s="0" t="n">
        <v>21</v>
      </c>
      <c r="AB424" s="0" t="s">
        <v>96</v>
      </c>
      <c r="AD424" s="0" t="n">
        <v>0</v>
      </c>
      <c r="AE424" s="0" t="s">
        <v>295</v>
      </c>
      <c r="AH424" s="0" t="n">
        <v>20</v>
      </c>
      <c r="AJ424" s="0" t="n">
        <v>10</v>
      </c>
      <c r="AP424" s="0" t="n">
        <v>280000</v>
      </c>
      <c r="DB424" s="0" t="str">
        <f aca="false">IF($A424="","",IF($AH424=20,IF(AND(OR($A424=21,$A424=215),$AJ424=10),"①病院一般",IF(AND($A424=31,$AJ424=41),"②病院短期","対象外")),IF($AJ424=30,"③特定消防",IF(AND(OR($A424=21,$A424=215),$AJ424=10),"④一般",IF(AND($A424=31,$AJ424=41),"⑤短期","対象外")))))</f>
        <v>①病院一般</v>
      </c>
      <c r="DC424" s="0" t="n">
        <f aca="false">IF($A424="","",IF($AB424&amp;""=設定!$C$4,1,0))</f>
        <v>1</v>
      </c>
    </row>
    <row r="425" customFormat="false" ht="15" hidden="false" customHeight="false" outlineLevel="0" collapsed="false">
      <c r="A425" s="0" t="n">
        <v>21</v>
      </c>
      <c r="AA425" s="0" t="n">
        <v>21</v>
      </c>
      <c r="AB425" s="0" t="s">
        <v>96</v>
      </c>
      <c r="AD425" s="0" t="n">
        <v>0</v>
      </c>
      <c r="AE425" s="0" t="s">
        <v>295</v>
      </c>
      <c r="AH425" s="0" t="n">
        <v>20</v>
      </c>
      <c r="AJ425" s="0" t="n">
        <v>10</v>
      </c>
      <c r="AP425" s="0" t="n">
        <v>340000</v>
      </c>
      <c r="DB425" s="0" t="str">
        <f aca="false">IF($A425="","",IF($AH425=20,IF(AND(OR($A425=21,$A425=215),$AJ425=10),"①病院一般",IF(AND($A425=31,$AJ425=41),"②病院短期","対象外")),IF($AJ425=30,"③特定消防",IF(AND(OR($A425=21,$A425=215),$AJ425=10),"④一般",IF(AND($A425=31,$AJ425=41),"⑤短期","対象外")))))</f>
        <v>①病院一般</v>
      </c>
      <c r="DC425" s="0" t="n">
        <f aca="false">IF($A425="","",IF($AB425&amp;""=設定!$C$4,1,0))</f>
        <v>1</v>
      </c>
    </row>
    <row r="426" customFormat="false" ht="15" hidden="false" customHeight="false" outlineLevel="0" collapsed="false">
      <c r="A426" s="0" t="n">
        <v>21</v>
      </c>
      <c r="AA426" s="0" t="n">
        <v>21</v>
      </c>
      <c r="AB426" s="0" t="s">
        <v>96</v>
      </c>
      <c r="AD426" s="0" t="n">
        <v>0</v>
      </c>
      <c r="AE426" s="0" t="s">
        <v>295</v>
      </c>
      <c r="AH426" s="0" t="n">
        <v>20</v>
      </c>
      <c r="AJ426" s="0" t="n">
        <v>10</v>
      </c>
      <c r="AP426" s="0" t="n">
        <v>280000</v>
      </c>
      <c r="DB426" s="0" t="str">
        <f aca="false">IF($A426="","",IF($AH426=20,IF(AND(OR($A426=21,$A426=215),$AJ426=10),"①病院一般",IF(AND($A426=31,$AJ426=41),"②病院短期","対象外")),IF($AJ426=30,"③特定消防",IF(AND(OR($A426=21,$A426=215),$AJ426=10),"④一般",IF(AND($A426=31,$AJ426=41),"⑤短期","対象外")))))</f>
        <v>①病院一般</v>
      </c>
      <c r="DC426" s="0" t="n">
        <f aca="false">IF($A426="","",IF($AB426&amp;""=設定!$C$4,1,0))</f>
        <v>1</v>
      </c>
    </row>
    <row r="427" customFormat="false" ht="15" hidden="false" customHeight="false" outlineLevel="0" collapsed="false">
      <c r="A427" s="0" t="n">
        <v>21</v>
      </c>
      <c r="AA427" s="0" t="n">
        <v>21</v>
      </c>
      <c r="AB427" s="0" t="s">
        <v>96</v>
      </c>
      <c r="AD427" s="0" t="n">
        <v>0</v>
      </c>
      <c r="AE427" s="0" t="s">
        <v>295</v>
      </c>
      <c r="AH427" s="0" t="n">
        <v>20</v>
      </c>
      <c r="AJ427" s="0" t="n">
        <v>10</v>
      </c>
      <c r="AP427" s="0" t="n">
        <v>320000</v>
      </c>
      <c r="DB427" s="0" t="str">
        <f aca="false">IF($A427="","",IF($AH427=20,IF(AND(OR($A427=21,$A427=215),$AJ427=10),"①病院一般",IF(AND($A427=31,$AJ427=41),"②病院短期","対象外")),IF($AJ427=30,"③特定消防",IF(AND(OR($A427=21,$A427=215),$AJ427=10),"④一般",IF(AND($A427=31,$AJ427=41),"⑤短期","対象外")))))</f>
        <v>①病院一般</v>
      </c>
      <c r="DC427" s="0" t="n">
        <f aca="false">IF($A427="","",IF($AB427&amp;""=設定!$C$4,1,0))</f>
        <v>1</v>
      </c>
    </row>
    <row r="428" customFormat="false" ht="15" hidden="false" customHeight="false" outlineLevel="0" collapsed="false">
      <c r="A428" s="0" t="n">
        <v>21</v>
      </c>
      <c r="AA428" s="0" t="n">
        <v>21</v>
      </c>
      <c r="AB428" s="0" t="s">
        <v>96</v>
      </c>
      <c r="AD428" s="0" t="n">
        <v>0</v>
      </c>
      <c r="AE428" s="0" t="s">
        <v>295</v>
      </c>
      <c r="AH428" s="0" t="n">
        <v>20</v>
      </c>
      <c r="AJ428" s="0" t="n">
        <v>10</v>
      </c>
      <c r="AP428" s="0" t="n">
        <v>320000</v>
      </c>
      <c r="DB428" s="0" t="str">
        <f aca="false">IF($A428="","",IF($AH428=20,IF(AND(OR($A428=21,$A428=215),$AJ428=10),"①病院一般",IF(AND($A428=31,$AJ428=41),"②病院短期","対象外")),IF($AJ428=30,"③特定消防",IF(AND(OR($A428=21,$A428=215),$AJ428=10),"④一般",IF(AND($A428=31,$AJ428=41),"⑤短期","対象外")))))</f>
        <v>①病院一般</v>
      </c>
      <c r="DC428" s="0" t="n">
        <f aca="false">IF($A428="","",IF($AB428&amp;""=設定!$C$4,1,0))</f>
        <v>1</v>
      </c>
    </row>
    <row r="429" customFormat="false" ht="15" hidden="false" customHeight="false" outlineLevel="0" collapsed="false">
      <c r="A429" s="0" t="n">
        <v>21</v>
      </c>
      <c r="AA429" s="0" t="n">
        <v>21</v>
      </c>
      <c r="AB429" s="0" t="s">
        <v>96</v>
      </c>
      <c r="AD429" s="0" t="n">
        <v>0</v>
      </c>
      <c r="AE429" s="0" t="s">
        <v>295</v>
      </c>
      <c r="AH429" s="0" t="n">
        <v>20</v>
      </c>
      <c r="AJ429" s="0" t="n">
        <v>10</v>
      </c>
      <c r="AP429" s="0" t="n">
        <v>300000</v>
      </c>
      <c r="DB429" s="0" t="str">
        <f aca="false">IF($A429="","",IF($AH429=20,IF(AND(OR($A429=21,$A429=215),$AJ429=10),"①病院一般",IF(AND($A429=31,$AJ429=41),"②病院短期","対象外")),IF($AJ429=30,"③特定消防",IF(AND(OR($A429=21,$A429=215),$AJ429=10),"④一般",IF(AND($A429=31,$AJ429=41),"⑤短期","対象外")))))</f>
        <v>①病院一般</v>
      </c>
      <c r="DC429" s="0" t="n">
        <f aca="false">IF($A429="","",IF($AB429&amp;""=設定!$C$4,1,0))</f>
        <v>1</v>
      </c>
    </row>
    <row r="430" customFormat="false" ht="15" hidden="false" customHeight="false" outlineLevel="0" collapsed="false">
      <c r="A430" s="0" t="n">
        <v>21</v>
      </c>
      <c r="AA430" s="0" t="n">
        <v>21</v>
      </c>
      <c r="AB430" s="0" t="s">
        <v>96</v>
      </c>
      <c r="AD430" s="0" t="n">
        <v>0</v>
      </c>
      <c r="AE430" s="0" t="s">
        <v>295</v>
      </c>
      <c r="AH430" s="0" t="n">
        <v>20</v>
      </c>
      <c r="AJ430" s="0" t="n">
        <v>10</v>
      </c>
      <c r="AP430" s="0" t="n">
        <v>280000</v>
      </c>
      <c r="DB430" s="0" t="str">
        <f aca="false">IF($A430="","",IF($AH430=20,IF(AND(OR($A430=21,$A430=215),$AJ430=10),"①病院一般",IF(AND($A430=31,$AJ430=41),"②病院短期","対象外")),IF($AJ430=30,"③特定消防",IF(AND(OR($A430=21,$A430=215),$AJ430=10),"④一般",IF(AND($A430=31,$AJ430=41),"⑤短期","対象外")))))</f>
        <v>①病院一般</v>
      </c>
      <c r="DC430" s="0" t="n">
        <f aca="false">IF($A430="","",IF($AB430&amp;""=設定!$C$4,1,0))</f>
        <v>1</v>
      </c>
    </row>
    <row r="431" customFormat="false" ht="15" hidden="false" customHeight="false" outlineLevel="0" collapsed="false">
      <c r="A431" s="0" t="n">
        <v>21</v>
      </c>
      <c r="AA431" s="0" t="n">
        <v>21</v>
      </c>
      <c r="AB431" s="0" t="s">
        <v>96</v>
      </c>
      <c r="AD431" s="0" t="n">
        <v>0</v>
      </c>
      <c r="AE431" s="0" t="s">
        <v>295</v>
      </c>
      <c r="AH431" s="0" t="n">
        <v>20</v>
      </c>
      <c r="AJ431" s="0" t="n">
        <v>10</v>
      </c>
      <c r="AP431" s="0" t="n">
        <v>280000</v>
      </c>
      <c r="DB431" s="0" t="str">
        <f aca="false">IF($A431="","",IF($AH431=20,IF(AND(OR($A431=21,$A431=215),$AJ431=10),"①病院一般",IF(AND($A431=31,$AJ431=41),"②病院短期","対象外")),IF($AJ431=30,"③特定消防",IF(AND(OR($A431=21,$A431=215),$AJ431=10),"④一般",IF(AND($A431=31,$AJ431=41),"⑤短期","対象外")))))</f>
        <v>①病院一般</v>
      </c>
      <c r="DC431" s="0" t="n">
        <f aca="false">IF($A431="","",IF($AB431&amp;""=設定!$C$4,1,0))</f>
        <v>1</v>
      </c>
    </row>
    <row r="432" customFormat="false" ht="15" hidden="false" customHeight="false" outlineLevel="0" collapsed="false">
      <c r="A432" s="0" t="n">
        <v>21</v>
      </c>
      <c r="AA432" s="0" t="n">
        <v>21</v>
      </c>
      <c r="AB432" s="0" t="s">
        <v>96</v>
      </c>
      <c r="AD432" s="0" t="n">
        <v>0</v>
      </c>
      <c r="AE432" s="0" t="s">
        <v>295</v>
      </c>
      <c r="AH432" s="0" t="n">
        <v>20</v>
      </c>
      <c r="AJ432" s="0" t="n">
        <v>10</v>
      </c>
      <c r="AP432" s="0" t="n">
        <v>300000</v>
      </c>
      <c r="DB432" s="0" t="str">
        <f aca="false">IF($A432="","",IF($AH432=20,IF(AND(OR($A432=21,$A432=215),$AJ432=10),"①病院一般",IF(AND($A432=31,$AJ432=41),"②病院短期","対象外")),IF($AJ432=30,"③特定消防",IF(AND(OR($A432=21,$A432=215),$AJ432=10),"④一般",IF(AND($A432=31,$AJ432=41),"⑤短期","対象外")))))</f>
        <v>①病院一般</v>
      </c>
      <c r="DC432" s="0" t="n">
        <f aca="false">IF($A432="","",IF($AB432&amp;""=設定!$C$4,1,0))</f>
        <v>1</v>
      </c>
    </row>
    <row r="433" customFormat="false" ht="15" hidden="false" customHeight="false" outlineLevel="0" collapsed="false">
      <c r="A433" s="0" t="n">
        <v>21</v>
      </c>
      <c r="AA433" s="0" t="n">
        <v>21</v>
      </c>
      <c r="AB433" s="0" t="s">
        <v>96</v>
      </c>
      <c r="AD433" s="0" t="n">
        <v>0</v>
      </c>
      <c r="AE433" s="0" t="s">
        <v>295</v>
      </c>
      <c r="AH433" s="0" t="n">
        <v>20</v>
      </c>
      <c r="AJ433" s="0" t="n">
        <v>10</v>
      </c>
      <c r="AP433" s="0" t="n">
        <v>280000</v>
      </c>
      <c r="DB433" s="0" t="str">
        <f aca="false">IF($A433="","",IF($AH433=20,IF(AND(OR($A433=21,$A433=215),$AJ433=10),"①病院一般",IF(AND($A433=31,$AJ433=41),"②病院短期","対象外")),IF($AJ433=30,"③特定消防",IF(AND(OR($A433=21,$A433=215),$AJ433=10),"④一般",IF(AND($A433=31,$AJ433=41),"⑤短期","対象外")))))</f>
        <v>①病院一般</v>
      </c>
      <c r="DC433" s="0" t="n">
        <f aca="false">IF($A433="","",IF($AB433&amp;""=設定!$C$4,1,0))</f>
        <v>1</v>
      </c>
    </row>
    <row r="434" customFormat="false" ht="15" hidden="false" customHeight="false" outlineLevel="0" collapsed="false">
      <c r="A434" s="0" t="n">
        <v>21</v>
      </c>
      <c r="AA434" s="0" t="n">
        <v>21</v>
      </c>
      <c r="AB434" s="0" t="s">
        <v>96</v>
      </c>
      <c r="AD434" s="0" t="n">
        <v>0</v>
      </c>
      <c r="AE434" s="0" t="s">
        <v>295</v>
      </c>
      <c r="AH434" s="0" t="n">
        <v>20</v>
      </c>
      <c r="AJ434" s="0" t="n">
        <v>10</v>
      </c>
      <c r="AP434" s="0" t="n">
        <v>280000</v>
      </c>
      <c r="DB434" s="0" t="str">
        <f aca="false">IF($A434="","",IF($AH434=20,IF(AND(OR($A434=21,$A434=215),$AJ434=10),"①病院一般",IF(AND($A434=31,$AJ434=41),"②病院短期","対象外")),IF($AJ434=30,"③特定消防",IF(AND(OR($A434=21,$A434=215),$AJ434=10),"④一般",IF(AND($A434=31,$AJ434=41),"⑤短期","対象外")))))</f>
        <v>①病院一般</v>
      </c>
      <c r="DC434" s="0" t="n">
        <f aca="false">IF($A434="","",IF($AB434&amp;""=設定!$C$4,1,0))</f>
        <v>1</v>
      </c>
    </row>
    <row r="435" customFormat="false" ht="15" hidden="false" customHeight="false" outlineLevel="0" collapsed="false">
      <c r="A435" s="0" t="n">
        <v>21</v>
      </c>
      <c r="AA435" s="0" t="n">
        <v>21</v>
      </c>
      <c r="AB435" s="0" t="s">
        <v>96</v>
      </c>
      <c r="AD435" s="0" t="n">
        <v>0</v>
      </c>
      <c r="AE435" s="0" t="s">
        <v>295</v>
      </c>
      <c r="AH435" s="0" t="n">
        <v>20</v>
      </c>
      <c r="AJ435" s="0" t="n">
        <v>10</v>
      </c>
      <c r="AP435" s="0" t="n">
        <v>280000</v>
      </c>
      <c r="DB435" s="0" t="str">
        <f aca="false">IF($A435="","",IF($AH435=20,IF(AND(OR($A435=21,$A435=215),$AJ435=10),"①病院一般",IF(AND($A435=31,$AJ435=41),"②病院短期","対象外")),IF($AJ435=30,"③特定消防",IF(AND(OR($A435=21,$A435=215),$AJ435=10),"④一般",IF(AND($A435=31,$AJ435=41),"⑤短期","対象外")))))</f>
        <v>①病院一般</v>
      </c>
      <c r="DC435" s="0" t="n">
        <f aca="false">IF($A435="","",IF($AB435&amp;""=設定!$C$4,1,0))</f>
        <v>1</v>
      </c>
    </row>
    <row r="436" customFormat="false" ht="15" hidden="false" customHeight="false" outlineLevel="0" collapsed="false">
      <c r="A436" s="0" t="n">
        <v>21</v>
      </c>
      <c r="AA436" s="0" t="n">
        <v>21</v>
      </c>
      <c r="AB436" s="0" t="s">
        <v>96</v>
      </c>
      <c r="AD436" s="0" t="n">
        <v>0</v>
      </c>
      <c r="AE436" s="0" t="s">
        <v>295</v>
      </c>
      <c r="AH436" s="0" t="n">
        <v>20</v>
      </c>
      <c r="AJ436" s="0" t="n">
        <v>10</v>
      </c>
      <c r="AP436" s="0" t="n">
        <v>280000</v>
      </c>
      <c r="DB436" s="0" t="str">
        <f aca="false">IF($A436="","",IF($AH436=20,IF(AND(OR($A436=21,$A436=215),$AJ436=10),"①病院一般",IF(AND($A436=31,$AJ436=41),"②病院短期","対象外")),IF($AJ436=30,"③特定消防",IF(AND(OR($A436=21,$A436=215),$AJ436=10),"④一般",IF(AND($A436=31,$AJ436=41),"⑤短期","対象外")))))</f>
        <v>①病院一般</v>
      </c>
      <c r="DC436" s="0" t="n">
        <f aca="false">IF($A436="","",IF($AB436&amp;""=設定!$C$4,1,0))</f>
        <v>1</v>
      </c>
    </row>
    <row r="437" customFormat="false" ht="15" hidden="false" customHeight="false" outlineLevel="0" collapsed="false">
      <c r="A437" s="0" t="n">
        <v>21</v>
      </c>
      <c r="AA437" s="0" t="n">
        <v>21</v>
      </c>
      <c r="AB437" s="0" t="s">
        <v>96</v>
      </c>
      <c r="AD437" s="0" t="n">
        <v>0</v>
      </c>
      <c r="AE437" s="0" t="s">
        <v>295</v>
      </c>
      <c r="AH437" s="0" t="n">
        <v>20</v>
      </c>
      <c r="AJ437" s="0" t="n">
        <v>10</v>
      </c>
      <c r="AP437" s="0" t="n">
        <v>280000</v>
      </c>
      <c r="DB437" s="0" t="str">
        <f aca="false">IF($A437="","",IF($AH437=20,IF(AND(OR($A437=21,$A437=215),$AJ437=10),"①病院一般",IF(AND($A437=31,$AJ437=41),"②病院短期","対象外")),IF($AJ437=30,"③特定消防",IF(AND(OR($A437=21,$A437=215),$AJ437=10),"④一般",IF(AND($A437=31,$AJ437=41),"⑤短期","対象外")))))</f>
        <v>①病院一般</v>
      </c>
      <c r="DC437" s="0" t="n">
        <f aca="false">IF($A437="","",IF($AB437&amp;""=設定!$C$4,1,0))</f>
        <v>1</v>
      </c>
    </row>
    <row r="438" customFormat="false" ht="15" hidden="false" customHeight="false" outlineLevel="0" collapsed="false">
      <c r="A438" s="0" t="n">
        <v>21</v>
      </c>
      <c r="AA438" s="0" t="n">
        <v>21</v>
      </c>
      <c r="AB438" s="0" t="s">
        <v>96</v>
      </c>
      <c r="AD438" s="0" t="n">
        <v>0</v>
      </c>
      <c r="AE438" s="0" t="s">
        <v>295</v>
      </c>
      <c r="AH438" s="0" t="n">
        <v>20</v>
      </c>
      <c r="AJ438" s="0" t="n">
        <v>10</v>
      </c>
      <c r="AP438" s="0" t="n">
        <v>300000</v>
      </c>
      <c r="DB438" s="0" t="str">
        <f aca="false">IF($A438="","",IF($AH438=20,IF(AND(OR($A438=21,$A438=215),$AJ438=10),"①病院一般",IF(AND($A438=31,$AJ438=41),"②病院短期","対象外")),IF($AJ438=30,"③特定消防",IF(AND(OR($A438=21,$A438=215),$AJ438=10),"④一般",IF(AND($A438=31,$AJ438=41),"⑤短期","対象外")))))</f>
        <v>①病院一般</v>
      </c>
      <c r="DC438" s="0" t="n">
        <f aca="false">IF($A438="","",IF($AB438&amp;""=設定!$C$4,1,0))</f>
        <v>1</v>
      </c>
    </row>
    <row r="439" customFormat="false" ht="15" hidden="false" customHeight="false" outlineLevel="0" collapsed="false">
      <c r="A439" s="0" t="n">
        <v>21</v>
      </c>
      <c r="AA439" s="0" t="n">
        <v>21</v>
      </c>
      <c r="AB439" s="0" t="s">
        <v>96</v>
      </c>
      <c r="AD439" s="0" t="n">
        <v>0</v>
      </c>
      <c r="AE439" s="0" t="s">
        <v>295</v>
      </c>
      <c r="AH439" s="0" t="n">
        <v>20</v>
      </c>
      <c r="AJ439" s="0" t="n">
        <v>10</v>
      </c>
      <c r="AP439" s="0" t="n">
        <v>280000</v>
      </c>
      <c r="DB439" s="0" t="str">
        <f aca="false">IF($A439="","",IF($AH439=20,IF(AND(OR($A439=21,$A439=215),$AJ439=10),"①病院一般",IF(AND($A439=31,$AJ439=41),"②病院短期","対象外")),IF($AJ439=30,"③特定消防",IF(AND(OR($A439=21,$A439=215),$AJ439=10),"④一般",IF(AND($A439=31,$AJ439=41),"⑤短期","対象外")))))</f>
        <v>①病院一般</v>
      </c>
      <c r="DC439" s="0" t="n">
        <f aca="false">IF($A439="","",IF($AB439&amp;""=設定!$C$4,1,0))</f>
        <v>1</v>
      </c>
    </row>
    <row r="440" customFormat="false" ht="15" hidden="false" customHeight="false" outlineLevel="0" collapsed="false">
      <c r="A440" s="0" t="n">
        <v>21</v>
      </c>
      <c r="AA440" s="0" t="n">
        <v>21</v>
      </c>
      <c r="AB440" s="0" t="s">
        <v>96</v>
      </c>
      <c r="AD440" s="0" t="n">
        <v>0</v>
      </c>
      <c r="AE440" s="0" t="s">
        <v>295</v>
      </c>
      <c r="AH440" s="0" t="n">
        <v>20</v>
      </c>
      <c r="AJ440" s="0" t="n">
        <v>10</v>
      </c>
      <c r="AP440" s="0" t="n">
        <v>300000</v>
      </c>
      <c r="DB440" s="0" t="str">
        <f aca="false">IF($A440="","",IF($AH440=20,IF(AND(OR($A440=21,$A440=215),$AJ440=10),"①病院一般",IF(AND($A440=31,$AJ440=41),"②病院短期","対象外")),IF($AJ440=30,"③特定消防",IF(AND(OR($A440=21,$A440=215),$AJ440=10),"④一般",IF(AND($A440=31,$AJ440=41),"⑤短期","対象外")))))</f>
        <v>①病院一般</v>
      </c>
      <c r="DC440" s="0" t="n">
        <f aca="false">IF($A440="","",IF($AB440&amp;""=設定!$C$4,1,0))</f>
        <v>1</v>
      </c>
    </row>
    <row r="441" customFormat="false" ht="15" hidden="false" customHeight="false" outlineLevel="0" collapsed="false">
      <c r="A441" s="0" t="n">
        <v>21</v>
      </c>
      <c r="AA441" s="0" t="n">
        <v>21</v>
      </c>
      <c r="AB441" s="0" t="s">
        <v>96</v>
      </c>
      <c r="AD441" s="0" t="n">
        <v>0</v>
      </c>
      <c r="AE441" s="0" t="s">
        <v>295</v>
      </c>
      <c r="AH441" s="0" t="n">
        <v>20</v>
      </c>
      <c r="AJ441" s="0" t="n">
        <v>10</v>
      </c>
      <c r="AP441" s="0" t="n">
        <v>280000</v>
      </c>
      <c r="DB441" s="0" t="str">
        <f aca="false">IF($A441="","",IF($AH441=20,IF(AND(OR($A441=21,$A441=215),$AJ441=10),"①病院一般",IF(AND($A441=31,$AJ441=41),"②病院短期","対象外")),IF($AJ441=30,"③特定消防",IF(AND(OR($A441=21,$A441=215),$AJ441=10),"④一般",IF(AND($A441=31,$AJ441=41),"⑤短期","対象外")))))</f>
        <v>①病院一般</v>
      </c>
      <c r="DC441" s="0" t="n">
        <f aca="false">IF($A441="","",IF($AB441&amp;""=設定!$C$4,1,0))</f>
        <v>1</v>
      </c>
    </row>
    <row r="442" customFormat="false" ht="15" hidden="false" customHeight="false" outlineLevel="0" collapsed="false">
      <c r="A442" s="0" t="n">
        <v>21</v>
      </c>
      <c r="AA442" s="0" t="n">
        <v>21</v>
      </c>
      <c r="AB442" s="0" t="s">
        <v>96</v>
      </c>
      <c r="AD442" s="0" t="n">
        <v>0</v>
      </c>
      <c r="AE442" s="0" t="s">
        <v>295</v>
      </c>
      <c r="AH442" s="0" t="n">
        <v>20</v>
      </c>
      <c r="AJ442" s="0" t="n">
        <v>10</v>
      </c>
      <c r="AP442" s="0" t="n">
        <v>280000</v>
      </c>
      <c r="DB442" s="0" t="str">
        <f aca="false">IF($A442="","",IF($AH442=20,IF(AND(OR($A442=21,$A442=215),$AJ442=10),"①病院一般",IF(AND($A442=31,$AJ442=41),"②病院短期","対象外")),IF($AJ442=30,"③特定消防",IF(AND(OR($A442=21,$A442=215),$AJ442=10),"④一般",IF(AND($A442=31,$AJ442=41),"⑤短期","対象外")))))</f>
        <v>①病院一般</v>
      </c>
      <c r="DC442" s="0" t="n">
        <f aca="false">IF($A442="","",IF($AB442&amp;""=設定!$C$4,1,0))</f>
        <v>1</v>
      </c>
    </row>
    <row r="443" customFormat="false" ht="15" hidden="false" customHeight="false" outlineLevel="0" collapsed="false">
      <c r="A443" s="0" t="n">
        <v>21</v>
      </c>
      <c r="AA443" s="0" t="n">
        <v>21</v>
      </c>
      <c r="AB443" s="0" t="s">
        <v>96</v>
      </c>
      <c r="AD443" s="0" t="n">
        <v>0</v>
      </c>
      <c r="AE443" s="0" t="s">
        <v>295</v>
      </c>
      <c r="AH443" s="0" t="n">
        <v>20</v>
      </c>
      <c r="AJ443" s="0" t="n">
        <v>10</v>
      </c>
      <c r="AP443" s="0" t="n">
        <v>280000</v>
      </c>
      <c r="DB443" s="0" t="str">
        <f aca="false">IF($A443="","",IF($AH443=20,IF(AND(OR($A443=21,$A443=215),$AJ443=10),"①病院一般",IF(AND($A443=31,$AJ443=41),"②病院短期","対象外")),IF($AJ443=30,"③特定消防",IF(AND(OR($A443=21,$A443=215),$AJ443=10),"④一般",IF(AND($A443=31,$AJ443=41),"⑤短期","対象外")))))</f>
        <v>①病院一般</v>
      </c>
      <c r="DC443" s="0" t="n">
        <f aca="false">IF($A443="","",IF($AB443&amp;""=設定!$C$4,1,0))</f>
        <v>1</v>
      </c>
    </row>
    <row r="444" customFormat="false" ht="15" hidden="false" customHeight="false" outlineLevel="0" collapsed="false">
      <c r="A444" s="0" t="n">
        <v>21</v>
      </c>
      <c r="AA444" s="0" t="n">
        <v>21</v>
      </c>
      <c r="AB444" s="0" t="s">
        <v>96</v>
      </c>
      <c r="AD444" s="0" t="n">
        <v>0</v>
      </c>
      <c r="AE444" s="0" t="s">
        <v>295</v>
      </c>
      <c r="AH444" s="0" t="n">
        <v>20</v>
      </c>
      <c r="AJ444" s="0" t="n">
        <v>10</v>
      </c>
      <c r="AP444" s="0" t="n">
        <v>280000</v>
      </c>
      <c r="DB444" s="0" t="str">
        <f aca="false">IF($A444="","",IF($AH444=20,IF(AND(OR($A444=21,$A444=215),$AJ444=10),"①病院一般",IF(AND($A444=31,$AJ444=41),"②病院短期","対象外")),IF($AJ444=30,"③特定消防",IF(AND(OR($A444=21,$A444=215),$AJ444=10),"④一般",IF(AND($A444=31,$AJ444=41),"⑤短期","対象外")))))</f>
        <v>①病院一般</v>
      </c>
      <c r="DC444" s="0" t="n">
        <f aca="false">IF($A444="","",IF($AB444&amp;""=設定!$C$4,1,0))</f>
        <v>1</v>
      </c>
    </row>
    <row r="445" customFormat="false" ht="15" hidden="false" customHeight="false" outlineLevel="0" collapsed="false">
      <c r="A445" s="0" t="n">
        <v>21</v>
      </c>
      <c r="AA445" s="0" t="n">
        <v>21</v>
      </c>
      <c r="AB445" s="0" t="s">
        <v>96</v>
      </c>
      <c r="AD445" s="0" t="n">
        <v>0</v>
      </c>
      <c r="AE445" s="0" t="s">
        <v>295</v>
      </c>
      <c r="AH445" s="0" t="n">
        <v>20</v>
      </c>
      <c r="AJ445" s="0" t="n">
        <v>10</v>
      </c>
      <c r="AP445" s="0" t="n">
        <v>280000</v>
      </c>
      <c r="DB445" s="0" t="str">
        <f aca="false">IF($A445="","",IF($AH445=20,IF(AND(OR($A445=21,$A445=215),$AJ445=10),"①病院一般",IF(AND($A445=31,$AJ445=41),"②病院短期","対象外")),IF($AJ445=30,"③特定消防",IF(AND(OR($A445=21,$A445=215),$AJ445=10),"④一般",IF(AND($A445=31,$AJ445=41),"⑤短期","対象外")))))</f>
        <v>①病院一般</v>
      </c>
      <c r="DC445" s="0" t="n">
        <f aca="false">IF($A445="","",IF($AB445&amp;""=設定!$C$4,1,0))</f>
        <v>1</v>
      </c>
    </row>
    <row r="446" customFormat="false" ht="15" hidden="false" customHeight="false" outlineLevel="0" collapsed="false">
      <c r="A446" s="0" t="n">
        <v>21</v>
      </c>
      <c r="AA446" s="0" t="n">
        <v>21</v>
      </c>
      <c r="AB446" s="0" t="s">
        <v>96</v>
      </c>
      <c r="AD446" s="0" t="n">
        <v>0</v>
      </c>
      <c r="AE446" s="0" t="s">
        <v>295</v>
      </c>
      <c r="AH446" s="0" t="n">
        <v>20</v>
      </c>
      <c r="AJ446" s="0" t="n">
        <v>10</v>
      </c>
      <c r="AP446" s="0" t="n">
        <v>300000</v>
      </c>
      <c r="DB446" s="0" t="str">
        <f aca="false">IF($A446="","",IF($AH446=20,IF(AND(OR($A446=21,$A446=215),$AJ446=10),"①病院一般",IF(AND($A446=31,$AJ446=41),"②病院短期","対象外")),IF($AJ446=30,"③特定消防",IF(AND(OR($A446=21,$A446=215),$AJ446=10),"④一般",IF(AND($A446=31,$AJ446=41),"⑤短期","対象外")))))</f>
        <v>①病院一般</v>
      </c>
      <c r="DC446" s="0" t="n">
        <f aca="false">IF($A446="","",IF($AB446&amp;""=設定!$C$4,1,0))</f>
        <v>1</v>
      </c>
    </row>
    <row r="447" customFormat="false" ht="15" hidden="false" customHeight="false" outlineLevel="0" collapsed="false">
      <c r="A447" s="0" t="n">
        <v>21</v>
      </c>
      <c r="AA447" s="0" t="n">
        <v>21</v>
      </c>
      <c r="AB447" s="0" t="s">
        <v>96</v>
      </c>
      <c r="AD447" s="0" t="n">
        <v>0</v>
      </c>
      <c r="AE447" s="0" t="s">
        <v>295</v>
      </c>
      <c r="AH447" s="0" t="n">
        <v>20</v>
      </c>
      <c r="AJ447" s="0" t="n">
        <v>10</v>
      </c>
      <c r="AP447" s="0" t="n">
        <v>300000</v>
      </c>
      <c r="DB447" s="0" t="str">
        <f aca="false">IF($A447="","",IF($AH447=20,IF(AND(OR($A447=21,$A447=215),$AJ447=10),"①病院一般",IF(AND($A447=31,$AJ447=41),"②病院短期","対象外")),IF($AJ447=30,"③特定消防",IF(AND(OR($A447=21,$A447=215),$AJ447=10),"④一般",IF(AND($A447=31,$AJ447=41),"⑤短期","対象外")))))</f>
        <v>①病院一般</v>
      </c>
      <c r="DC447" s="0" t="n">
        <f aca="false">IF($A447="","",IF($AB447&amp;""=設定!$C$4,1,0))</f>
        <v>1</v>
      </c>
    </row>
    <row r="448" customFormat="false" ht="15" hidden="false" customHeight="false" outlineLevel="0" collapsed="false">
      <c r="A448" s="0" t="n">
        <v>21</v>
      </c>
      <c r="AA448" s="0" t="n">
        <v>21</v>
      </c>
      <c r="AB448" s="0" t="s">
        <v>96</v>
      </c>
      <c r="AD448" s="0" t="n">
        <v>0</v>
      </c>
      <c r="AE448" s="0" t="s">
        <v>295</v>
      </c>
      <c r="AH448" s="0" t="n">
        <v>20</v>
      </c>
      <c r="AJ448" s="0" t="n">
        <v>10</v>
      </c>
      <c r="AP448" s="0" t="n">
        <v>300000</v>
      </c>
      <c r="DB448" s="0" t="str">
        <f aca="false">IF($A448="","",IF($AH448=20,IF(AND(OR($A448=21,$A448=215),$AJ448=10),"①病院一般",IF(AND($A448=31,$AJ448=41),"②病院短期","対象外")),IF($AJ448=30,"③特定消防",IF(AND(OR($A448=21,$A448=215),$AJ448=10),"④一般",IF(AND($A448=31,$AJ448=41),"⑤短期","対象外")))))</f>
        <v>①病院一般</v>
      </c>
      <c r="DC448" s="0" t="n">
        <f aca="false">IF($A448="","",IF($AB448&amp;""=設定!$C$4,1,0))</f>
        <v>1</v>
      </c>
    </row>
    <row r="449" customFormat="false" ht="15" hidden="false" customHeight="false" outlineLevel="0" collapsed="false">
      <c r="A449" s="0" t="n">
        <v>21</v>
      </c>
      <c r="AA449" s="0" t="n">
        <v>21</v>
      </c>
      <c r="AB449" s="0" t="s">
        <v>96</v>
      </c>
      <c r="AD449" s="0" t="n">
        <v>0</v>
      </c>
      <c r="AE449" s="0" t="s">
        <v>295</v>
      </c>
      <c r="AH449" s="0" t="n">
        <v>20</v>
      </c>
      <c r="AJ449" s="0" t="n">
        <v>10</v>
      </c>
      <c r="AP449" s="0" t="n">
        <v>280000</v>
      </c>
      <c r="DB449" s="0" t="str">
        <f aca="false">IF($A449="","",IF($AH449=20,IF(AND(OR($A449=21,$A449=215),$AJ449=10),"①病院一般",IF(AND($A449=31,$AJ449=41),"②病院短期","対象外")),IF($AJ449=30,"③特定消防",IF(AND(OR($A449=21,$A449=215),$AJ449=10),"④一般",IF(AND($A449=31,$AJ449=41),"⑤短期","対象外")))))</f>
        <v>①病院一般</v>
      </c>
      <c r="DC449" s="0" t="n">
        <f aca="false">IF($A449="","",IF($AB449&amp;""=設定!$C$4,1,0))</f>
        <v>1</v>
      </c>
    </row>
    <row r="450" customFormat="false" ht="15" hidden="false" customHeight="false" outlineLevel="0" collapsed="false">
      <c r="A450" s="0" t="n">
        <v>21</v>
      </c>
      <c r="AA450" s="0" t="n">
        <v>21</v>
      </c>
      <c r="AB450" s="0" t="s">
        <v>96</v>
      </c>
      <c r="AD450" s="0" t="n">
        <v>0</v>
      </c>
      <c r="AE450" s="0" t="s">
        <v>295</v>
      </c>
      <c r="AH450" s="0" t="n">
        <v>20</v>
      </c>
      <c r="AJ450" s="0" t="n">
        <v>10</v>
      </c>
      <c r="AP450" s="0" t="n">
        <v>300000</v>
      </c>
      <c r="DB450" s="0" t="str">
        <f aca="false">IF($A450="","",IF($AH450=20,IF(AND(OR($A450=21,$A450=215),$AJ450=10),"①病院一般",IF(AND($A450=31,$AJ450=41),"②病院短期","対象外")),IF($AJ450=30,"③特定消防",IF(AND(OR($A450=21,$A450=215),$AJ450=10),"④一般",IF(AND($A450=31,$AJ450=41),"⑤短期","対象外")))))</f>
        <v>①病院一般</v>
      </c>
      <c r="DC450" s="0" t="n">
        <f aca="false">IF($A450="","",IF($AB450&amp;""=設定!$C$4,1,0))</f>
        <v>1</v>
      </c>
    </row>
    <row r="451" customFormat="false" ht="15" hidden="false" customHeight="false" outlineLevel="0" collapsed="false">
      <c r="A451" s="0" t="n">
        <v>21</v>
      </c>
      <c r="AA451" s="0" t="n">
        <v>21</v>
      </c>
      <c r="AB451" s="0" t="s">
        <v>96</v>
      </c>
      <c r="AD451" s="0" t="n">
        <v>0</v>
      </c>
      <c r="AE451" s="0" t="s">
        <v>295</v>
      </c>
      <c r="AH451" s="0" t="n">
        <v>20</v>
      </c>
      <c r="AJ451" s="0" t="n">
        <v>10</v>
      </c>
      <c r="AP451" s="0" t="n">
        <v>280000</v>
      </c>
      <c r="DB451" s="0" t="str">
        <f aca="false">IF($A451="","",IF($AH451=20,IF(AND(OR($A451=21,$A451=215),$AJ451=10),"①病院一般",IF(AND($A451=31,$AJ451=41),"②病院短期","対象外")),IF($AJ451=30,"③特定消防",IF(AND(OR($A451=21,$A451=215),$AJ451=10),"④一般",IF(AND($A451=31,$AJ451=41),"⑤短期","対象外")))))</f>
        <v>①病院一般</v>
      </c>
      <c r="DC451" s="0" t="n">
        <f aca="false">IF($A451="","",IF($AB451&amp;""=設定!$C$4,1,0))</f>
        <v>1</v>
      </c>
    </row>
    <row r="452" customFormat="false" ht="15" hidden="false" customHeight="false" outlineLevel="0" collapsed="false">
      <c r="A452" s="0" t="n">
        <v>21</v>
      </c>
      <c r="AA452" s="0" t="n">
        <v>21</v>
      </c>
      <c r="AB452" s="0" t="s">
        <v>96</v>
      </c>
      <c r="AD452" s="0" t="n">
        <v>0</v>
      </c>
      <c r="AE452" s="0" t="s">
        <v>295</v>
      </c>
      <c r="AH452" s="0" t="n">
        <v>20</v>
      </c>
      <c r="AJ452" s="0" t="n">
        <v>10</v>
      </c>
      <c r="AP452" s="0" t="n">
        <v>280000</v>
      </c>
      <c r="DB452" s="0" t="str">
        <f aca="false">IF($A452="","",IF($AH452=20,IF(AND(OR($A452=21,$A452=215),$AJ452=10),"①病院一般",IF(AND($A452=31,$AJ452=41),"②病院短期","対象外")),IF($AJ452=30,"③特定消防",IF(AND(OR($A452=21,$A452=215),$AJ452=10),"④一般",IF(AND($A452=31,$AJ452=41),"⑤短期","対象外")))))</f>
        <v>①病院一般</v>
      </c>
      <c r="DC452" s="0" t="n">
        <f aca="false">IF($A452="","",IF($AB452&amp;""=設定!$C$4,1,0))</f>
        <v>1</v>
      </c>
    </row>
    <row r="453" customFormat="false" ht="15" hidden="false" customHeight="false" outlineLevel="0" collapsed="false">
      <c r="A453" s="0" t="n">
        <v>21</v>
      </c>
      <c r="AA453" s="0" t="n">
        <v>21</v>
      </c>
      <c r="AB453" s="0" t="s">
        <v>96</v>
      </c>
      <c r="AD453" s="0" t="n">
        <v>0</v>
      </c>
      <c r="AE453" s="0" t="s">
        <v>295</v>
      </c>
      <c r="AH453" s="0" t="n">
        <v>20</v>
      </c>
      <c r="AJ453" s="0" t="n">
        <v>10</v>
      </c>
      <c r="AP453" s="0" t="n">
        <v>280000</v>
      </c>
      <c r="DB453" s="0" t="str">
        <f aca="false">IF($A453="","",IF($AH453=20,IF(AND(OR($A453=21,$A453=215),$AJ453=10),"①病院一般",IF(AND($A453=31,$AJ453=41),"②病院短期","対象外")),IF($AJ453=30,"③特定消防",IF(AND(OR($A453=21,$A453=215),$AJ453=10),"④一般",IF(AND($A453=31,$AJ453=41),"⑤短期","対象外")))))</f>
        <v>①病院一般</v>
      </c>
      <c r="DC453" s="0" t="n">
        <f aca="false">IF($A453="","",IF($AB453&amp;""=設定!$C$4,1,0))</f>
        <v>1</v>
      </c>
    </row>
    <row r="454" customFormat="false" ht="15" hidden="false" customHeight="false" outlineLevel="0" collapsed="false">
      <c r="A454" s="0" t="n">
        <v>21</v>
      </c>
      <c r="AA454" s="0" t="n">
        <v>21</v>
      </c>
      <c r="AB454" s="0" t="s">
        <v>96</v>
      </c>
      <c r="AD454" s="0" t="n">
        <v>0</v>
      </c>
      <c r="AE454" s="0" t="s">
        <v>295</v>
      </c>
      <c r="AH454" s="0" t="n">
        <v>20</v>
      </c>
      <c r="AJ454" s="0" t="n">
        <v>10</v>
      </c>
      <c r="AP454" s="0" t="n">
        <v>280000</v>
      </c>
      <c r="DB454" s="0" t="str">
        <f aca="false">IF($A454="","",IF($AH454=20,IF(AND(OR($A454=21,$A454=215),$AJ454=10),"①病院一般",IF(AND($A454=31,$AJ454=41),"②病院短期","対象外")),IF($AJ454=30,"③特定消防",IF(AND(OR($A454=21,$A454=215),$AJ454=10),"④一般",IF(AND($A454=31,$AJ454=41),"⑤短期","対象外")))))</f>
        <v>①病院一般</v>
      </c>
      <c r="DC454" s="0" t="n">
        <f aca="false">IF($A454="","",IF($AB454&amp;""=設定!$C$4,1,0))</f>
        <v>1</v>
      </c>
    </row>
    <row r="455" customFormat="false" ht="15" hidden="false" customHeight="false" outlineLevel="0" collapsed="false">
      <c r="A455" s="0" t="n">
        <v>21</v>
      </c>
      <c r="AA455" s="0" t="n">
        <v>21</v>
      </c>
      <c r="AB455" s="0" t="s">
        <v>96</v>
      </c>
      <c r="AD455" s="0" t="n">
        <v>0</v>
      </c>
      <c r="AE455" s="0" t="s">
        <v>295</v>
      </c>
      <c r="AH455" s="0" t="n">
        <v>20</v>
      </c>
      <c r="AJ455" s="0" t="n">
        <v>10</v>
      </c>
      <c r="AP455" s="0" t="n">
        <v>280000</v>
      </c>
      <c r="DB455" s="0" t="str">
        <f aca="false">IF($A455="","",IF($AH455=20,IF(AND(OR($A455=21,$A455=215),$AJ455=10),"①病院一般",IF(AND($A455=31,$AJ455=41),"②病院短期","対象外")),IF($AJ455=30,"③特定消防",IF(AND(OR($A455=21,$A455=215),$AJ455=10),"④一般",IF(AND($A455=31,$AJ455=41),"⑤短期","対象外")))))</f>
        <v>①病院一般</v>
      </c>
      <c r="DC455" s="0" t="n">
        <f aca="false">IF($A455="","",IF($AB455&amp;""=設定!$C$4,1,0))</f>
        <v>1</v>
      </c>
    </row>
    <row r="456" customFormat="false" ht="15" hidden="false" customHeight="false" outlineLevel="0" collapsed="false">
      <c r="A456" s="0" t="n">
        <v>21</v>
      </c>
      <c r="AA456" s="0" t="n">
        <v>21</v>
      </c>
      <c r="AB456" s="0" t="s">
        <v>96</v>
      </c>
      <c r="AD456" s="0" t="n">
        <v>0</v>
      </c>
      <c r="AE456" s="0" t="s">
        <v>295</v>
      </c>
      <c r="AH456" s="0" t="n">
        <v>20</v>
      </c>
      <c r="AJ456" s="0" t="n">
        <v>10</v>
      </c>
      <c r="AP456" s="0" t="n">
        <v>280000</v>
      </c>
      <c r="DB456" s="0" t="str">
        <f aca="false">IF($A456="","",IF($AH456=20,IF(AND(OR($A456=21,$A456=215),$AJ456=10),"①病院一般",IF(AND($A456=31,$AJ456=41),"②病院短期","対象外")),IF($AJ456=30,"③特定消防",IF(AND(OR($A456=21,$A456=215),$AJ456=10),"④一般",IF(AND($A456=31,$AJ456=41),"⑤短期","対象外")))))</f>
        <v>①病院一般</v>
      </c>
      <c r="DC456" s="0" t="n">
        <f aca="false">IF($A456="","",IF($AB456&amp;""=設定!$C$4,1,0))</f>
        <v>1</v>
      </c>
    </row>
    <row r="457" customFormat="false" ht="15" hidden="false" customHeight="false" outlineLevel="0" collapsed="false">
      <c r="A457" s="0" t="n">
        <v>21</v>
      </c>
      <c r="AA457" s="0" t="n">
        <v>21</v>
      </c>
      <c r="AB457" s="0" t="s">
        <v>96</v>
      </c>
      <c r="AD457" s="0" t="n">
        <v>0</v>
      </c>
      <c r="AE457" s="0" t="s">
        <v>295</v>
      </c>
      <c r="AH457" s="0" t="n">
        <v>20</v>
      </c>
      <c r="AJ457" s="0" t="n">
        <v>10</v>
      </c>
      <c r="AP457" s="0" t="n">
        <v>280000</v>
      </c>
      <c r="DB457" s="0" t="str">
        <f aca="false">IF($A457="","",IF($AH457=20,IF(AND(OR($A457=21,$A457=215),$AJ457=10),"①病院一般",IF(AND($A457=31,$AJ457=41),"②病院短期","対象外")),IF($AJ457=30,"③特定消防",IF(AND(OR($A457=21,$A457=215),$AJ457=10),"④一般",IF(AND($A457=31,$AJ457=41),"⑤短期","対象外")))))</f>
        <v>①病院一般</v>
      </c>
      <c r="DC457" s="0" t="n">
        <f aca="false">IF($A457="","",IF($AB457&amp;""=設定!$C$4,1,0))</f>
        <v>1</v>
      </c>
    </row>
    <row r="458" customFormat="false" ht="15" hidden="false" customHeight="false" outlineLevel="0" collapsed="false">
      <c r="A458" s="0" t="n">
        <v>21</v>
      </c>
      <c r="AA458" s="0" t="n">
        <v>21</v>
      </c>
      <c r="AB458" s="0" t="s">
        <v>96</v>
      </c>
      <c r="AD458" s="0" t="n">
        <v>0</v>
      </c>
      <c r="AE458" s="0" t="s">
        <v>295</v>
      </c>
      <c r="AH458" s="0" t="n">
        <v>20</v>
      </c>
      <c r="AJ458" s="0" t="n">
        <v>10</v>
      </c>
      <c r="AP458" s="0" t="n">
        <v>300000</v>
      </c>
      <c r="DB458" s="0" t="str">
        <f aca="false">IF($A458="","",IF($AH458=20,IF(AND(OR($A458=21,$A458=215),$AJ458=10),"①病院一般",IF(AND($A458=31,$AJ458=41),"②病院短期","対象外")),IF($AJ458=30,"③特定消防",IF(AND(OR($A458=21,$A458=215),$AJ458=10),"④一般",IF(AND($A458=31,$AJ458=41),"⑤短期","対象外")))))</f>
        <v>①病院一般</v>
      </c>
      <c r="DC458" s="0" t="n">
        <f aca="false">IF($A458="","",IF($AB458&amp;""=設定!$C$4,1,0))</f>
        <v>1</v>
      </c>
    </row>
    <row r="459" customFormat="false" ht="15" hidden="false" customHeight="false" outlineLevel="0" collapsed="false">
      <c r="A459" s="0" t="n">
        <v>21</v>
      </c>
      <c r="AA459" s="0" t="n">
        <v>21</v>
      </c>
      <c r="AB459" s="0" t="s">
        <v>96</v>
      </c>
      <c r="AD459" s="0" t="n">
        <v>0</v>
      </c>
      <c r="AE459" s="0" t="s">
        <v>295</v>
      </c>
      <c r="AH459" s="0" t="n">
        <v>20</v>
      </c>
      <c r="AJ459" s="0" t="n">
        <v>10</v>
      </c>
      <c r="AP459" s="0" t="n">
        <v>300000</v>
      </c>
      <c r="DB459" s="0" t="str">
        <f aca="false">IF($A459="","",IF($AH459=20,IF(AND(OR($A459=21,$A459=215),$AJ459=10),"①病院一般",IF(AND($A459=31,$AJ459=41),"②病院短期","対象外")),IF($AJ459=30,"③特定消防",IF(AND(OR($A459=21,$A459=215),$AJ459=10),"④一般",IF(AND($A459=31,$AJ459=41),"⑤短期","対象外")))))</f>
        <v>①病院一般</v>
      </c>
      <c r="DC459" s="0" t="n">
        <f aca="false">IF($A459="","",IF($AB459&amp;""=設定!$C$4,1,0))</f>
        <v>1</v>
      </c>
    </row>
    <row r="460" customFormat="false" ht="15" hidden="false" customHeight="false" outlineLevel="0" collapsed="false">
      <c r="A460" s="0" t="n">
        <v>21</v>
      </c>
      <c r="AA460" s="0" t="n">
        <v>21</v>
      </c>
      <c r="AB460" s="0" t="s">
        <v>96</v>
      </c>
      <c r="AD460" s="0" t="n">
        <v>0</v>
      </c>
      <c r="AE460" s="0" t="s">
        <v>295</v>
      </c>
      <c r="AH460" s="0" t="n">
        <v>20</v>
      </c>
      <c r="AJ460" s="0" t="n">
        <v>10</v>
      </c>
      <c r="AP460" s="0" t="n">
        <v>300000</v>
      </c>
      <c r="DB460" s="0" t="str">
        <f aca="false">IF($A460="","",IF($AH460=20,IF(AND(OR($A460=21,$A460=215),$AJ460=10),"①病院一般",IF(AND($A460=31,$AJ460=41),"②病院短期","対象外")),IF($AJ460=30,"③特定消防",IF(AND(OR($A460=21,$A460=215),$AJ460=10),"④一般",IF(AND($A460=31,$AJ460=41),"⑤短期","対象外")))))</f>
        <v>①病院一般</v>
      </c>
      <c r="DC460" s="0" t="n">
        <f aca="false">IF($A460="","",IF($AB460&amp;""=設定!$C$4,1,0))</f>
        <v>1</v>
      </c>
    </row>
    <row r="461" customFormat="false" ht="15" hidden="false" customHeight="false" outlineLevel="0" collapsed="false">
      <c r="A461" s="0" t="n">
        <v>21</v>
      </c>
      <c r="AA461" s="0" t="n">
        <v>21</v>
      </c>
      <c r="AB461" s="0" t="s">
        <v>96</v>
      </c>
      <c r="AD461" s="0" t="n">
        <v>0</v>
      </c>
      <c r="AE461" s="0" t="s">
        <v>295</v>
      </c>
      <c r="AH461" s="0" t="n">
        <v>20</v>
      </c>
      <c r="AJ461" s="0" t="n">
        <v>10</v>
      </c>
      <c r="AP461" s="0" t="n">
        <v>260000</v>
      </c>
      <c r="DB461" s="0" t="str">
        <f aca="false">IF($A461="","",IF($AH461=20,IF(AND(OR($A461=21,$A461=215),$AJ461=10),"①病院一般",IF(AND($A461=31,$AJ461=41),"②病院短期","対象外")),IF($AJ461=30,"③特定消防",IF(AND(OR($A461=21,$A461=215),$AJ461=10),"④一般",IF(AND($A461=31,$AJ461=41),"⑤短期","対象外")))))</f>
        <v>①病院一般</v>
      </c>
      <c r="DC461" s="0" t="n">
        <f aca="false">IF($A461="","",IF($AB461&amp;""=設定!$C$4,1,0))</f>
        <v>1</v>
      </c>
    </row>
    <row r="462" customFormat="false" ht="15" hidden="false" customHeight="false" outlineLevel="0" collapsed="false">
      <c r="A462" s="0" t="n">
        <v>21</v>
      </c>
      <c r="AA462" s="0" t="n">
        <v>21</v>
      </c>
      <c r="AB462" s="0" t="s">
        <v>96</v>
      </c>
      <c r="AD462" s="0" t="n">
        <v>0</v>
      </c>
      <c r="AE462" s="0" t="s">
        <v>295</v>
      </c>
      <c r="AH462" s="0" t="n">
        <v>20</v>
      </c>
      <c r="AJ462" s="0" t="n">
        <v>10</v>
      </c>
      <c r="AP462" s="0" t="n">
        <v>300000</v>
      </c>
      <c r="DB462" s="0" t="str">
        <f aca="false">IF($A462="","",IF($AH462=20,IF(AND(OR($A462=21,$A462=215),$AJ462=10),"①病院一般",IF(AND($A462=31,$AJ462=41),"②病院短期","対象外")),IF($AJ462=30,"③特定消防",IF(AND(OR($A462=21,$A462=215),$AJ462=10),"④一般",IF(AND($A462=31,$AJ462=41),"⑤短期","対象外")))))</f>
        <v>①病院一般</v>
      </c>
      <c r="DC462" s="0" t="n">
        <f aca="false">IF($A462="","",IF($AB462&amp;""=設定!$C$4,1,0))</f>
        <v>1</v>
      </c>
    </row>
    <row r="463" customFormat="false" ht="15" hidden="false" customHeight="false" outlineLevel="0" collapsed="false">
      <c r="A463" s="0" t="n">
        <v>21</v>
      </c>
      <c r="AA463" s="0" t="n">
        <v>21</v>
      </c>
      <c r="AB463" s="0" t="s">
        <v>96</v>
      </c>
      <c r="AD463" s="0" t="n">
        <v>0</v>
      </c>
      <c r="AE463" s="0" t="s">
        <v>295</v>
      </c>
      <c r="AH463" s="0" t="n">
        <v>20</v>
      </c>
      <c r="AJ463" s="0" t="n">
        <v>10</v>
      </c>
      <c r="AP463" s="0" t="n">
        <v>300000</v>
      </c>
      <c r="DB463" s="0" t="str">
        <f aca="false">IF($A463="","",IF($AH463=20,IF(AND(OR($A463=21,$A463=215),$AJ463=10),"①病院一般",IF(AND($A463=31,$AJ463=41),"②病院短期","対象外")),IF($AJ463=30,"③特定消防",IF(AND(OR($A463=21,$A463=215),$AJ463=10),"④一般",IF(AND($A463=31,$AJ463=41),"⑤短期","対象外")))))</f>
        <v>①病院一般</v>
      </c>
      <c r="DC463" s="0" t="n">
        <f aca="false">IF($A463="","",IF($AB463&amp;""=設定!$C$4,1,0))</f>
        <v>1</v>
      </c>
    </row>
    <row r="464" customFormat="false" ht="15" hidden="false" customHeight="false" outlineLevel="0" collapsed="false">
      <c r="A464" s="0" t="n">
        <v>21</v>
      </c>
      <c r="AA464" s="0" t="n">
        <v>21</v>
      </c>
      <c r="AB464" s="0" t="s">
        <v>96</v>
      </c>
      <c r="AD464" s="0" t="n">
        <v>0</v>
      </c>
      <c r="AE464" s="0" t="s">
        <v>295</v>
      </c>
      <c r="AH464" s="0" t="n">
        <v>20</v>
      </c>
      <c r="AJ464" s="0" t="n">
        <v>10</v>
      </c>
      <c r="AP464" s="0" t="n">
        <v>300000</v>
      </c>
      <c r="DB464" s="0" t="str">
        <f aca="false">IF($A464="","",IF($AH464=20,IF(AND(OR($A464=21,$A464=215),$AJ464=10),"①病院一般",IF(AND($A464=31,$AJ464=41),"②病院短期","対象外")),IF($AJ464=30,"③特定消防",IF(AND(OR($A464=21,$A464=215),$AJ464=10),"④一般",IF(AND($A464=31,$AJ464=41),"⑤短期","対象外")))))</f>
        <v>①病院一般</v>
      </c>
      <c r="DC464" s="0" t="n">
        <f aca="false">IF($A464="","",IF($AB464&amp;""=設定!$C$4,1,0))</f>
        <v>1</v>
      </c>
    </row>
    <row r="465" customFormat="false" ht="15" hidden="false" customHeight="false" outlineLevel="0" collapsed="false">
      <c r="A465" s="0" t="n">
        <v>21</v>
      </c>
      <c r="AA465" s="0" t="n">
        <v>21</v>
      </c>
      <c r="AB465" s="0" t="s">
        <v>96</v>
      </c>
      <c r="AD465" s="0" t="n">
        <v>0</v>
      </c>
      <c r="AE465" s="0" t="s">
        <v>295</v>
      </c>
      <c r="AH465" s="0" t="n">
        <v>20</v>
      </c>
      <c r="AJ465" s="0" t="n">
        <v>10</v>
      </c>
      <c r="AP465" s="0" t="n">
        <v>300000</v>
      </c>
      <c r="DB465" s="0" t="str">
        <f aca="false">IF($A465="","",IF($AH465=20,IF(AND(OR($A465=21,$A465=215),$AJ465=10),"①病院一般",IF(AND($A465=31,$AJ465=41),"②病院短期","対象外")),IF($AJ465=30,"③特定消防",IF(AND(OR($A465=21,$A465=215),$AJ465=10),"④一般",IF(AND($A465=31,$AJ465=41),"⑤短期","対象外")))))</f>
        <v>①病院一般</v>
      </c>
      <c r="DC465" s="0" t="n">
        <f aca="false">IF($A465="","",IF($AB465&amp;""=設定!$C$4,1,0))</f>
        <v>1</v>
      </c>
    </row>
    <row r="466" customFormat="false" ht="15" hidden="false" customHeight="false" outlineLevel="0" collapsed="false">
      <c r="A466" s="0" t="n">
        <v>21</v>
      </c>
      <c r="AA466" s="0" t="n">
        <v>21</v>
      </c>
      <c r="AB466" s="0" t="s">
        <v>96</v>
      </c>
      <c r="AD466" s="0" t="n">
        <v>0</v>
      </c>
      <c r="AE466" s="0" t="s">
        <v>295</v>
      </c>
      <c r="AH466" s="0" t="n">
        <v>20</v>
      </c>
      <c r="AJ466" s="0" t="n">
        <v>10</v>
      </c>
      <c r="AP466" s="0" t="n">
        <v>300000</v>
      </c>
      <c r="DB466" s="0" t="str">
        <f aca="false">IF($A466="","",IF($AH466=20,IF(AND(OR($A466=21,$A466=215),$AJ466=10),"①病院一般",IF(AND($A466=31,$AJ466=41),"②病院短期","対象外")),IF($AJ466=30,"③特定消防",IF(AND(OR($A466=21,$A466=215),$AJ466=10),"④一般",IF(AND($A466=31,$AJ466=41),"⑤短期","対象外")))))</f>
        <v>①病院一般</v>
      </c>
      <c r="DC466" s="0" t="n">
        <f aca="false">IF($A466="","",IF($AB466&amp;""=設定!$C$4,1,0))</f>
        <v>1</v>
      </c>
    </row>
    <row r="467" customFormat="false" ht="15" hidden="false" customHeight="false" outlineLevel="0" collapsed="false">
      <c r="A467" s="0" t="n">
        <v>21</v>
      </c>
      <c r="AA467" s="0" t="n">
        <v>21</v>
      </c>
      <c r="AB467" s="0" t="s">
        <v>96</v>
      </c>
      <c r="AD467" s="0" t="n">
        <v>0</v>
      </c>
      <c r="AE467" s="0" t="s">
        <v>295</v>
      </c>
      <c r="AH467" s="0" t="n">
        <v>20</v>
      </c>
      <c r="AJ467" s="0" t="n">
        <v>10</v>
      </c>
      <c r="AP467" s="0" t="n">
        <v>340000</v>
      </c>
      <c r="DB467" s="0" t="str">
        <f aca="false">IF($A467="","",IF($AH467=20,IF(AND(OR($A467=21,$A467=215),$AJ467=10),"①病院一般",IF(AND($A467=31,$AJ467=41),"②病院短期","対象外")),IF($AJ467=30,"③特定消防",IF(AND(OR($A467=21,$A467=215),$AJ467=10),"④一般",IF(AND($A467=31,$AJ467=41),"⑤短期","対象外")))))</f>
        <v>①病院一般</v>
      </c>
      <c r="DC467" s="0" t="n">
        <f aca="false">IF($A467="","",IF($AB467&amp;""=設定!$C$4,1,0))</f>
        <v>1</v>
      </c>
    </row>
    <row r="468" customFormat="false" ht="15" hidden="false" customHeight="false" outlineLevel="0" collapsed="false">
      <c r="A468" s="0" t="n">
        <v>21</v>
      </c>
      <c r="AA468" s="0" t="n">
        <v>21</v>
      </c>
      <c r="AB468" s="0" t="s">
        <v>96</v>
      </c>
      <c r="AD468" s="0" t="n">
        <v>0</v>
      </c>
      <c r="AE468" s="0" t="s">
        <v>295</v>
      </c>
      <c r="AH468" s="0" t="n">
        <v>20</v>
      </c>
      <c r="AJ468" s="0" t="n">
        <v>10</v>
      </c>
      <c r="AP468" s="0" t="n">
        <v>300000</v>
      </c>
      <c r="DB468" s="0" t="str">
        <f aca="false">IF($A468="","",IF($AH468=20,IF(AND(OR($A468=21,$A468=215),$AJ468=10),"①病院一般",IF(AND($A468=31,$AJ468=41),"②病院短期","対象外")),IF($AJ468=30,"③特定消防",IF(AND(OR($A468=21,$A468=215),$AJ468=10),"④一般",IF(AND($A468=31,$AJ468=41),"⑤短期","対象外")))))</f>
        <v>①病院一般</v>
      </c>
      <c r="DC468" s="0" t="n">
        <f aca="false">IF($A468="","",IF($AB468&amp;""=設定!$C$4,1,0))</f>
        <v>1</v>
      </c>
    </row>
    <row r="469" customFormat="false" ht="15" hidden="false" customHeight="false" outlineLevel="0" collapsed="false">
      <c r="A469" s="0" t="n">
        <v>21</v>
      </c>
      <c r="AA469" s="0" t="n">
        <v>21</v>
      </c>
      <c r="AB469" s="0" t="s">
        <v>96</v>
      </c>
      <c r="AD469" s="0" t="n">
        <v>0</v>
      </c>
      <c r="AE469" s="0" t="s">
        <v>295</v>
      </c>
      <c r="AH469" s="0" t="n">
        <v>20</v>
      </c>
      <c r="AJ469" s="0" t="n">
        <v>10</v>
      </c>
      <c r="AP469" s="0" t="n">
        <v>300000</v>
      </c>
      <c r="DB469" s="0" t="str">
        <f aca="false">IF($A469="","",IF($AH469=20,IF(AND(OR($A469=21,$A469=215),$AJ469=10),"①病院一般",IF(AND($A469=31,$AJ469=41),"②病院短期","対象外")),IF($AJ469=30,"③特定消防",IF(AND(OR($A469=21,$A469=215),$AJ469=10),"④一般",IF(AND($A469=31,$AJ469=41),"⑤短期","対象外")))))</f>
        <v>①病院一般</v>
      </c>
      <c r="DC469" s="0" t="n">
        <f aca="false">IF($A469="","",IF($AB469&amp;""=設定!$C$4,1,0))</f>
        <v>1</v>
      </c>
    </row>
    <row r="470" customFormat="false" ht="15" hidden="false" customHeight="false" outlineLevel="0" collapsed="false">
      <c r="A470" s="0" t="n">
        <v>21</v>
      </c>
      <c r="AA470" s="0" t="n">
        <v>21</v>
      </c>
      <c r="AB470" s="0" t="s">
        <v>96</v>
      </c>
      <c r="AD470" s="0" t="n">
        <v>0</v>
      </c>
      <c r="AE470" s="0" t="s">
        <v>295</v>
      </c>
      <c r="AH470" s="0" t="n">
        <v>20</v>
      </c>
      <c r="AJ470" s="0" t="n">
        <v>10</v>
      </c>
      <c r="AP470" s="0" t="n">
        <v>300000</v>
      </c>
      <c r="DB470" s="0" t="str">
        <f aca="false">IF($A470="","",IF($AH470=20,IF(AND(OR($A470=21,$A470=215),$AJ470=10),"①病院一般",IF(AND($A470=31,$AJ470=41),"②病院短期","対象外")),IF($AJ470=30,"③特定消防",IF(AND(OR($A470=21,$A470=215),$AJ470=10),"④一般",IF(AND($A470=31,$AJ470=41),"⑤短期","対象外")))))</f>
        <v>①病院一般</v>
      </c>
      <c r="DC470" s="0" t="n">
        <f aca="false">IF($A470="","",IF($AB470&amp;""=設定!$C$4,1,0))</f>
        <v>1</v>
      </c>
    </row>
    <row r="471" customFormat="false" ht="15" hidden="false" customHeight="false" outlineLevel="0" collapsed="false">
      <c r="A471" s="0" t="n">
        <v>21</v>
      </c>
      <c r="AA471" s="0" t="n">
        <v>21</v>
      </c>
      <c r="AB471" s="0" t="s">
        <v>96</v>
      </c>
      <c r="AD471" s="0" t="n">
        <v>0</v>
      </c>
      <c r="AE471" s="0" t="s">
        <v>295</v>
      </c>
      <c r="AH471" s="0" t="n">
        <v>20</v>
      </c>
      <c r="AJ471" s="0" t="n">
        <v>10</v>
      </c>
      <c r="AP471" s="0" t="n">
        <v>340000</v>
      </c>
      <c r="DB471" s="0" t="str">
        <f aca="false">IF($A471="","",IF($AH471=20,IF(AND(OR($A471=21,$A471=215),$AJ471=10),"①病院一般",IF(AND($A471=31,$AJ471=41),"②病院短期","対象外")),IF($AJ471=30,"③特定消防",IF(AND(OR($A471=21,$A471=215),$AJ471=10),"④一般",IF(AND($A471=31,$AJ471=41),"⑤短期","対象外")))))</f>
        <v>①病院一般</v>
      </c>
      <c r="DC471" s="0" t="n">
        <f aca="false">IF($A471="","",IF($AB471&amp;""=設定!$C$4,1,0))</f>
        <v>1</v>
      </c>
    </row>
    <row r="472" customFormat="false" ht="15" hidden="false" customHeight="false" outlineLevel="0" collapsed="false">
      <c r="A472" s="0" t="n">
        <v>21</v>
      </c>
      <c r="AA472" s="0" t="n">
        <v>21</v>
      </c>
      <c r="AB472" s="0" t="s">
        <v>96</v>
      </c>
      <c r="AD472" s="0" t="n">
        <v>0</v>
      </c>
      <c r="AE472" s="0" t="s">
        <v>295</v>
      </c>
      <c r="AH472" s="0" t="n">
        <v>20</v>
      </c>
      <c r="AJ472" s="0" t="n">
        <v>10</v>
      </c>
      <c r="AP472" s="0" t="n">
        <v>300000</v>
      </c>
      <c r="DB472" s="0" t="str">
        <f aca="false">IF($A472="","",IF($AH472=20,IF(AND(OR($A472=21,$A472=215),$AJ472=10),"①病院一般",IF(AND($A472=31,$AJ472=41),"②病院短期","対象外")),IF($AJ472=30,"③特定消防",IF(AND(OR($A472=21,$A472=215),$AJ472=10),"④一般",IF(AND($A472=31,$AJ472=41),"⑤短期","対象外")))))</f>
        <v>①病院一般</v>
      </c>
      <c r="DC472" s="0" t="n">
        <f aca="false">IF($A472="","",IF($AB472&amp;""=設定!$C$4,1,0))</f>
        <v>1</v>
      </c>
    </row>
    <row r="473" customFormat="false" ht="15" hidden="false" customHeight="false" outlineLevel="0" collapsed="false">
      <c r="A473" s="0" t="n">
        <v>21</v>
      </c>
      <c r="AA473" s="0" t="n">
        <v>21</v>
      </c>
      <c r="AB473" s="0" t="s">
        <v>96</v>
      </c>
      <c r="AD473" s="0" t="n">
        <v>0</v>
      </c>
      <c r="AE473" s="0" t="s">
        <v>295</v>
      </c>
      <c r="AH473" s="0" t="n">
        <v>20</v>
      </c>
      <c r="AJ473" s="0" t="n">
        <v>10</v>
      </c>
      <c r="AP473" s="0" t="n">
        <v>300000</v>
      </c>
      <c r="DB473" s="0" t="str">
        <f aca="false">IF($A473="","",IF($AH473=20,IF(AND(OR($A473=21,$A473=215),$AJ473=10),"①病院一般",IF(AND($A473=31,$AJ473=41),"②病院短期","対象外")),IF($AJ473=30,"③特定消防",IF(AND(OR($A473=21,$A473=215),$AJ473=10),"④一般",IF(AND($A473=31,$AJ473=41),"⑤短期","対象外")))))</f>
        <v>①病院一般</v>
      </c>
      <c r="DC473" s="0" t="n">
        <f aca="false">IF($A473="","",IF($AB473&amp;""=設定!$C$4,1,0))</f>
        <v>1</v>
      </c>
    </row>
    <row r="474" customFormat="false" ht="15" hidden="false" customHeight="false" outlineLevel="0" collapsed="false">
      <c r="A474" s="0" t="n">
        <v>21</v>
      </c>
      <c r="AA474" s="0" t="n">
        <v>21</v>
      </c>
      <c r="AB474" s="0" t="s">
        <v>96</v>
      </c>
      <c r="AD474" s="0" t="n">
        <v>0</v>
      </c>
      <c r="AE474" s="0" t="s">
        <v>295</v>
      </c>
      <c r="AH474" s="0" t="n">
        <v>20</v>
      </c>
      <c r="AJ474" s="0" t="n">
        <v>10</v>
      </c>
      <c r="AP474" s="0" t="n">
        <v>280000</v>
      </c>
      <c r="DB474" s="0" t="str">
        <f aca="false">IF($A474="","",IF($AH474=20,IF(AND(OR($A474=21,$A474=215),$AJ474=10),"①病院一般",IF(AND($A474=31,$AJ474=41),"②病院短期","対象外")),IF($AJ474=30,"③特定消防",IF(AND(OR($A474=21,$A474=215),$AJ474=10),"④一般",IF(AND($A474=31,$AJ474=41),"⑤短期","対象外")))))</f>
        <v>①病院一般</v>
      </c>
      <c r="DC474" s="0" t="n">
        <f aca="false">IF($A474="","",IF($AB474&amp;""=設定!$C$4,1,0))</f>
        <v>1</v>
      </c>
    </row>
    <row r="475" customFormat="false" ht="15" hidden="false" customHeight="false" outlineLevel="0" collapsed="false">
      <c r="A475" s="0" t="n">
        <v>21</v>
      </c>
      <c r="AA475" s="0" t="n">
        <v>21</v>
      </c>
      <c r="AB475" s="0" t="s">
        <v>96</v>
      </c>
      <c r="AD475" s="0" t="n">
        <v>0</v>
      </c>
      <c r="AE475" s="0" t="s">
        <v>295</v>
      </c>
      <c r="AH475" s="0" t="n">
        <v>20</v>
      </c>
      <c r="AJ475" s="0" t="n">
        <v>10</v>
      </c>
      <c r="AP475" s="0" t="n">
        <v>280000</v>
      </c>
      <c r="DB475" s="0" t="str">
        <f aca="false">IF($A475="","",IF($AH475=20,IF(AND(OR($A475=21,$A475=215),$AJ475=10),"①病院一般",IF(AND($A475=31,$AJ475=41),"②病院短期","対象外")),IF($AJ475=30,"③特定消防",IF(AND(OR($A475=21,$A475=215),$AJ475=10),"④一般",IF(AND($A475=31,$AJ475=41),"⑤短期","対象外")))))</f>
        <v>①病院一般</v>
      </c>
      <c r="DC475" s="0" t="n">
        <f aca="false">IF($A475="","",IF($AB475&amp;""=設定!$C$4,1,0))</f>
        <v>1</v>
      </c>
    </row>
    <row r="476" customFormat="false" ht="15" hidden="false" customHeight="false" outlineLevel="0" collapsed="false">
      <c r="A476" s="0" t="n">
        <v>21</v>
      </c>
      <c r="AA476" s="0" t="n">
        <v>21</v>
      </c>
      <c r="AB476" s="0" t="s">
        <v>96</v>
      </c>
      <c r="AD476" s="0" t="n">
        <v>0</v>
      </c>
      <c r="AE476" s="0" t="s">
        <v>295</v>
      </c>
      <c r="AH476" s="0" t="n">
        <v>20</v>
      </c>
      <c r="AJ476" s="0" t="n">
        <v>10</v>
      </c>
      <c r="AP476" s="0" t="n">
        <v>280000</v>
      </c>
      <c r="DB476" s="0" t="str">
        <f aca="false">IF($A476="","",IF($AH476=20,IF(AND(OR($A476=21,$A476=215),$AJ476=10),"①病院一般",IF(AND($A476=31,$AJ476=41),"②病院短期","対象外")),IF($AJ476=30,"③特定消防",IF(AND(OR($A476=21,$A476=215),$AJ476=10),"④一般",IF(AND($A476=31,$AJ476=41),"⑤短期","対象外")))))</f>
        <v>①病院一般</v>
      </c>
      <c r="DC476" s="0" t="n">
        <f aca="false">IF($A476="","",IF($AB476&amp;""=設定!$C$4,1,0))</f>
        <v>1</v>
      </c>
    </row>
    <row r="477" customFormat="false" ht="15" hidden="false" customHeight="false" outlineLevel="0" collapsed="false">
      <c r="A477" s="0" t="n">
        <v>21</v>
      </c>
      <c r="AA477" s="0" t="n">
        <v>21</v>
      </c>
      <c r="AB477" s="0" t="s">
        <v>96</v>
      </c>
      <c r="AD477" s="0" t="n">
        <v>0</v>
      </c>
      <c r="AE477" s="0" t="s">
        <v>295</v>
      </c>
      <c r="AH477" s="0" t="n">
        <v>20</v>
      </c>
      <c r="AJ477" s="0" t="n">
        <v>10</v>
      </c>
      <c r="AP477" s="0" t="n">
        <v>280000</v>
      </c>
      <c r="DB477" s="0" t="str">
        <f aca="false">IF($A477="","",IF($AH477=20,IF(AND(OR($A477=21,$A477=215),$AJ477=10),"①病院一般",IF(AND($A477=31,$AJ477=41),"②病院短期","対象外")),IF($AJ477=30,"③特定消防",IF(AND(OR($A477=21,$A477=215),$AJ477=10),"④一般",IF(AND($A477=31,$AJ477=41),"⑤短期","対象外")))))</f>
        <v>①病院一般</v>
      </c>
      <c r="DC477" s="0" t="n">
        <f aca="false">IF($A477="","",IF($AB477&amp;""=設定!$C$4,1,0))</f>
        <v>1</v>
      </c>
    </row>
    <row r="478" customFormat="false" ht="15" hidden="false" customHeight="false" outlineLevel="0" collapsed="false">
      <c r="A478" s="0" t="n">
        <v>21</v>
      </c>
      <c r="AA478" s="0" t="n">
        <v>21</v>
      </c>
      <c r="AB478" s="0" t="s">
        <v>96</v>
      </c>
      <c r="AD478" s="0" t="n">
        <v>0</v>
      </c>
      <c r="AE478" s="0" t="s">
        <v>295</v>
      </c>
      <c r="AH478" s="0" t="n">
        <v>20</v>
      </c>
      <c r="AJ478" s="0" t="n">
        <v>10</v>
      </c>
      <c r="AP478" s="0" t="n">
        <v>280000</v>
      </c>
      <c r="DB478" s="0" t="str">
        <f aca="false">IF($A478="","",IF($AH478=20,IF(AND(OR($A478=21,$A478=215),$AJ478=10),"①病院一般",IF(AND($A478=31,$AJ478=41),"②病院短期","対象外")),IF($AJ478=30,"③特定消防",IF(AND(OR($A478=21,$A478=215),$AJ478=10),"④一般",IF(AND($A478=31,$AJ478=41),"⑤短期","対象外")))))</f>
        <v>①病院一般</v>
      </c>
      <c r="DC478" s="0" t="n">
        <f aca="false">IF($A478="","",IF($AB478&amp;""=設定!$C$4,1,0))</f>
        <v>1</v>
      </c>
    </row>
    <row r="479" customFormat="false" ht="15" hidden="false" customHeight="false" outlineLevel="0" collapsed="false">
      <c r="A479" s="0" t="n">
        <v>21</v>
      </c>
      <c r="AA479" s="0" t="n">
        <v>21</v>
      </c>
      <c r="AB479" s="0" t="s">
        <v>96</v>
      </c>
      <c r="AD479" s="0" t="n">
        <v>0</v>
      </c>
      <c r="AE479" s="0" t="s">
        <v>295</v>
      </c>
      <c r="AH479" s="0" t="n">
        <v>20</v>
      </c>
      <c r="AJ479" s="0" t="n">
        <v>10</v>
      </c>
      <c r="AP479" s="0" t="n">
        <v>300000</v>
      </c>
      <c r="DB479" s="0" t="str">
        <f aca="false">IF($A479="","",IF($AH479=20,IF(AND(OR($A479=21,$A479=215),$AJ479=10),"①病院一般",IF(AND($A479=31,$AJ479=41),"②病院短期","対象外")),IF($AJ479=30,"③特定消防",IF(AND(OR($A479=21,$A479=215),$AJ479=10),"④一般",IF(AND($A479=31,$AJ479=41),"⑤短期","対象外")))))</f>
        <v>①病院一般</v>
      </c>
      <c r="DC479" s="0" t="n">
        <f aca="false">IF($A479="","",IF($AB479&amp;""=設定!$C$4,1,0))</f>
        <v>1</v>
      </c>
    </row>
    <row r="480" customFormat="false" ht="15" hidden="false" customHeight="false" outlineLevel="0" collapsed="false">
      <c r="A480" s="0" t="n">
        <v>21</v>
      </c>
      <c r="AA480" s="0" t="n">
        <v>21</v>
      </c>
      <c r="AB480" s="0" t="s">
        <v>96</v>
      </c>
      <c r="AD480" s="0" t="n">
        <v>0</v>
      </c>
      <c r="AE480" s="0" t="s">
        <v>295</v>
      </c>
      <c r="AH480" s="0" t="n">
        <v>20</v>
      </c>
      <c r="AJ480" s="0" t="n">
        <v>10</v>
      </c>
      <c r="AP480" s="0" t="n">
        <v>300000</v>
      </c>
      <c r="DB480" s="0" t="str">
        <f aca="false">IF($A480="","",IF($AH480=20,IF(AND(OR($A480=21,$A480=215),$AJ480=10),"①病院一般",IF(AND($A480=31,$AJ480=41),"②病院短期","対象外")),IF($AJ480=30,"③特定消防",IF(AND(OR($A480=21,$A480=215),$AJ480=10),"④一般",IF(AND($A480=31,$AJ480=41),"⑤短期","対象外")))))</f>
        <v>①病院一般</v>
      </c>
      <c r="DC480" s="0" t="n">
        <f aca="false">IF($A480="","",IF($AB480&amp;""=設定!$C$4,1,0))</f>
        <v>1</v>
      </c>
    </row>
    <row r="481" customFormat="false" ht="15" hidden="false" customHeight="false" outlineLevel="0" collapsed="false">
      <c r="A481" s="0" t="n">
        <v>21</v>
      </c>
      <c r="AA481" s="0" t="n">
        <v>21</v>
      </c>
      <c r="AB481" s="0" t="s">
        <v>96</v>
      </c>
      <c r="AD481" s="0" t="n">
        <v>0</v>
      </c>
      <c r="AE481" s="0" t="s">
        <v>295</v>
      </c>
      <c r="AH481" s="0" t="n">
        <v>20</v>
      </c>
      <c r="AJ481" s="0" t="n">
        <v>10</v>
      </c>
      <c r="AP481" s="0" t="n">
        <v>300000</v>
      </c>
      <c r="DB481" s="0" t="str">
        <f aca="false">IF($A481="","",IF($AH481=20,IF(AND(OR($A481=21,$A481=215),$AJ481=10),"①病院一般",IF(AND($A481=31,$AJ481=41),"②病院短期","対象外")),IF($AJ481=30,"③特定消防",IF(AND(OR($A481=21,$A481=215),$AJ481=10),"④一般",IF(AND($A481=31,$AJ481=41),"⑤短期","対象外")))))</f>
        <v>①病院一般</v>
      </c>
      <c r="DC481" s="0" t="n">
        <f aca="false">IF($A481="","",IF($AB481&amp;""=設定!$C$4,1,0))</f>
        <v>1</v>
      </c>
    </row>
    <row r="482" customFormat="false" ht="15" hidden="false" customHeight="false" outlineLevel="0" collapsed="false">
      <c r="A482" s="0" t="n">
        <v>21</v>
      </c>
      <c r="AA482" s="0" t="n">
        <v>21</v>
      </c>
      <c r="AB482" s="0" t="s">
        <v>96</v>
      </c>
      <c r="AD482" s="0" t="n">
        <v>0</v>
      </c>
      <c r="AE482" s="0" t="s">
        <v>295</v>
      </c>
      <c r="AH482" s="0" t="n">
        <v>20</v>
      </c>
      <c r="AJ482" s="0" t="n">
        <v>10</v>
      </c>
      <c r="AP482" s="0" t="n">
        <v>260000</v>
      </c>
      <c r="DB482" s="0" t="str">
        <f aca="false">IF($A482="","",IF($AH482=20,IF(AND(OR($A482=21,$A482=215),$AJ482=10),"①病院一般",IF(AND($A482=31,$AJ482=41),"②病院短期","対象外")),IF($AJ482=30,"③特定消防",IF(AND(OR($A482=21,$A482=215),$AJ482=10),"④一般",IF(AND($A482=31,$AJ482=41),"⑤短期","対象外")))))</f>
        <v>①病院一般</v>
      </c>
      <c r="DC482" s="0" t="n">
        <f aca="false">IF($A482="","",IF($AB482&amp;""=設定!$C$4,1,0))</f>
        <v>1</v>
      </c>
    </row>
    <row r="483" customFormat="false" ht="15" hidden="false" customHeight="false" outlineLevel="0" collapsed="false">
      <c r="A483" s="0" t="n">
        <v>21</v>
      </c>
      <c r="AA483" s="0" t="n">
        <v>21</v>
      </c>
      <c r="AB483" s="0" t="s">
        <v>96</v>
      </c>
      <c r="AD483" s="0" t="n">
        <v>0</v>
      </c>
      <c r="AE483" s="0" t="s">
        <v>295</v>
      </c>
      <c r="AH483" s="0" t="n">
        <v>20</v>
      </c>
      <c r="AJ483" s="0" t="n">
        <v>10</v>
      </c>
      <c r="AP483" s="0" t="n">
        <v>280000</v>
      </c>
      <c r="DB483" s="0" t="str">
        <f aca="false">IF($A483="","",IF($AH483=20,IF(AND(OR($A483=21,$A483=215),$AJ483=10),"①病院一般",IF(AND($A483=31,$AJ483=41),"②病院短期","対象外")),IF($AJ483=30,"③特定消防",IF(AND(OR($A483=21,$A483=215),$AJ483=10),"④一般",IF(AND($A483=31,$AJ483=41),"⑤短期","対象外")))))</f>
        <v>①病院一般</v>
      </c>
      <c r="DC483" s="0" t="n">
        <f aca="false">IF($A483="","",IF($AB483&amp;""=設定!$C$4,1,0))</f>
        <v>1</v>
      </c>
    </row>
    <row r="484" customFormat="false" ht="15" hidden="false" customHeight="false" outlineLevel="0" collapsed="false">
      <c r="A484" s="0" t="n">
        <v>21</v>
      </c>
      <c r="AA484" s="0" t="n">
        <v>21</v>
      </c>
      <c r="AB484" s="0" t="s">
        <v>96</v>
      </c>
      <c r="AD484" s="0" t="n">
        <v>0</v>
      </c>
      <c r="AE484" s="0" t="s">
        <v>295</v>
      </c>
      <c r="AH484" s="0" t="n">
        <v>20</v>
      </c>
      <c r="AJ484" s="0" t="n">
        <v>10</v>
      </c>
      <c r="AP484" s="0" t="n">
        <v>280000</v>
      </c>
      <c r="DB484" s="0" t="str">
        <f aca="false">IF($A484="","",IF($AH484=20,IF(AND(OR($A484=21,$A484=215),$AJ484=10),"①病院一般",IF(AND($A484=31,$AJ484=41),"②病院短期","対象外")),IF($AJ484=30,"③特定消防",IF(AND(OR($A484=21,$A484=215),$AJ484=10),"④一般",IF(AND($A484=31,$AJ484=41),"⑤短期","対象外")))))</f>
        <v>①病院一般</v>
      </c>
      <c r="DC484" s="0" t="n">
        <f aca="false">IF($A484="","",IF($AB484&amp;""=設定!$C$4,1,0))</f>
        <v>1</v>
      </c>
    </row>
    <row r="485" customFormat="false" ht="15" hidden="false" customHeight="false" outlineLevel="0" collapsed="false">
      <c r="A485" s="0" t="n">
        <v>21</v>
      </c>
      <c r="AA485" s="0" t="n">
        <v>21</v>
      </c>
      <c r="AB485" s="0" t="s">
        <v>96</v>
      </c>
      <c r="AD485" s="0" t="n">
        <v>0</v>
      </c>
      <c r="AE485" s="0" t="s">
        <v>295</v>
      </c>
      <c r="AH485" s="0" t="n">
        <v>20</v>
      </c>
      <c r="AJ485" s="0" t="n">
        <v>10</v>
      </c>
      <c r="AP485" s="0" t="n">
        <v>280000</v>
      </c>
      <c r="DB485" s="0" t="str">
        <f aca="false">IF($A485="","",IF($AH485=20,IF(AND(OR($A485=21,$A485=215),$AJ485=10),"①病院一般",IF(AND($A485=31,$AJ485=41),"②病院短期","対象外")),IF($AJ485=30,"③特定消防",IF(AND(OR($A485=21,$A485=215),$AJ485=10),"④一般",IF(AND($A485=31,$AJ485=41),"⑤短期","対象外")))))</f>
        <v>①病院一般</v>
      </c>
      <c r="DC485" s="0" t="n">
        <f aca="false">IF($A485="","",IF($AB485&amp;""=設定!$C$4,1,0))</f>
        <v>1</v>
      </c>
    </row>
    <row r="486" customFormat="false" ht="15" hidden="false" customHeight="false" outlineLevel="0" collapsed="false">
      <c r="A486" s="0" t="n">
        <v>21</v>
      </c>
      <c r="AA486" s="0" t="n">
        <v>21</v>
      </c>
      <c r="AB486" s="0" t="s">
        <v>96</v>
      </c>
      <c r="AD486" s="0" t="n">
        <v>0</v>
      </c>
      <c r="AE486" s="0" t="s">
        <v>295</v>
      </c>
      <c r="AH486" s="0" t="n">
        <v>20</v>
      </c>
      <c r="AJ486" s="0" t="n">
        <v>10</v>
      </c>
      <c r="AP486" s="0" t="n">
        <v>280000</v>
      </c>
      <c r="DB486" s="0" t="str">
        <f aca="false">IF($A486="","",IF($AH486=20,IF(AND(OR($A486=21,$A486=215),$AJ486=10),"①病院一般",IF(AND($A486=31,$AJ486=41),"②病院短期","対象外")),IF($AJ486=30,"③特定消防",IF(AND(OR($A486=21,$A486=215),$AJ486=10),"④一般",IF(AND($A486=31,$AJ486=41),"⑤短期","対象外")))))</f>
        <v>①病院一般</v>
      </c>
      <c r="DC486" s="0" t="n">
        <f aca="false">IF($A486="","",IF($AB486&amp;""=設定!$C$4,1,0))</f>
        <v>1</v>
      </c>
    </row>
    <row r="487" customFormat="false" ht="15" hidden="false" customHeight="false" outlineLevel="0" collapsed="false">
      <c r="A487" s="0" t="n">
        <v>21</v>
      </c>
      <c r="AA487" s="0" t="n">
        <v>21</v>
      </c>
      <c r="AB487" s="0" t="s">
        <v>96</v>
      </c>
      <c r="AD487" s="0" t="n">
        <v>0</v>
      </c>
      <c r="AE487" s="0" t="s">
        <v>295</v>
      </c>
      <c r="AH487" s="0" t="n">
        <v>20</v>
      </c>
      <c r="AJ487" s="0" t="n">
        <v>10</v>
      </c>
      <c r="AP487" s="0" t="n">
        <v>280000</v>
      </c>
      <c r="DB487" s="0" t="str">
        <f aca="false">IF($A487="","",IF($AH487=20,IF(AND(OR($A487=21,$A487=215),$AJ487=10),"①病院一般",IF(AND($A487=31,$AJ487=41),"②病院短期","対象外")),IF($AJ487=30,"③特定消防",IF(AND(OR($A487=21,$A487=215),$AJ487=10),"④一般",IF(AND($A487=31,$AJ487=41),"⑤短期","対象外")))))</f>
        <v>①病院一般</v>
      </c>
      <c r="DC487" s="0" t="n">
        <f aca="false">IF($A487="","",IF($AB487&amp;""=設定!$C$4,1,0))</f>
        <v>1</v>
      </c>
    </row>
    <row r="488" customFormat="false" ht="15" hidden="false" customHeight="false" outlineLevel="0" collapsed="false">
      <c r="A488" s="0" t="n">
        <v>21</v>
      </c>
      <c r="AA488" s="0" t="n">
        <v>21</v>
      </c>
      <c r="AB488" s="0" t="s">
        <v>96</v>
      </c>
      <c r="AD488" s="0" t="n">
        <v>0</v>
      </c>
      <c r="AE488" s="0" t="s">
        <v>295</v>
      </c>
      <c r="AH488" s="0" t="n">
        <v>20</v>
      </c>
      <c r="AJ488" s="0" t="n">
        <v>10</v>
      </c>
      <c r="AP488" s="0" t="n">
        <v>300000</v>
      </c>
      <c r="DB488" s="0" t="str">
        <f aca="false">IF($A488="","",IF($AH488=20,IF(AND(OR($A488=21,$A488=215),$AJ488=10),"①病院一般",IF(AND($A488=31,$AJ488=41),"②病院短期","対象外")),IF($AJ488=30,"③特定消防",IF(AND(OR($A488=21,$A488=215),$AJ488=10),"④一般",IF(AND($A488=31,$AJ488=41),"⑤短期","対象外")))))</f>
        <v>①病院一般</v>
      </c>
      <c r="DC488" s="0" t="n">
        <f aca="false">IF($A488="","",IF($AB488&amp;""=設定!$C$4,1,0))</f>
        <v>1</v>
      </c>
    </row>
    <row r="489" customFormat="false" ht="15" hidden="false" customHeight="false" outlineLevel="0" collapsed="false">
      <c r="A489" s="0" t="n">
        <v>21</v>
      </c>
      <c r="AA489" s="0" t="n">
        <v>21</v>
      </c>
      <c r="AB489" s="0" t="s">
        <v>96</v>
      </c>
      <c r="AD489" s="0" t="n">
        <v>0</v>
      </c>
      <c r="AE489" s="0" t="s">
        <v>295</v>
      </c>
      <c r="AH489" s="0" t="n">
        <v>20</v>
      </c>
      <c r="AJ489" s="0" t="n">
        <v>10</v>
      </c>
      <c r="AP489" s="0" t="n">
        <v>320000</v>
      </c>
      <c r="DB489" s="0" t="str">
        <f aca="false">IF($A489="","",IF($AH489=20,IF(AND(OR($A489=21,$A489=215),$AJ489=10),"①病院一般",IF(AND($A489=31,$AJ489=41),"②病院短期","対象外")),IF($AJ489=30,"③特定消防",IF(AND(OR($A489=21,$A489=215),$AJ489=10),"④一般",IF(AND($A489=31,$AJ489=41),"⑤短期","対象外")))))</f>
        <v>①病院一般</v>
      </c>
      <c r="DC489" s="0" t="n">
        <f aca="false">IF($A489="","",IF($AB489&amp;""=設定!$C$4,1,0))</f>
        <v>1</v>
      </c>
    </row>
    <row r="490" customFormat="false" ht="15" hidden="false" customHeight="false" outlineLevel="0" collapsed="false">
      <c r="A490" s="0" t="n">
        <v>21</v>
      </c>
      <c r="AA490" s="0" t="n">
        <v>21</v>
      </c>
      <c r="AB490" s="0" t="s">
        <v>96</v>
      </c>
      <c r="AD490" s="0" t="n">
        <v>0</v>
      </c>
      <c r="AE490" s="0" t="s">
        <v>295</v>
      </c>
      <c r="AH490" s="0" t="n">
        <v>20</v>
      </c>
      <c r="AJ490" s="0" t="n">
        <v>10</v>
      </c>
      <c r="AP490" s="0" t="n">
        <v>300000</v>
      </c>
      <c r="DB490" s="0" t="str">
        <f aca="false">IF($A490="","",IF($AH490=20,IF(AND(OR($A490=21,$A490=215),$AJ490=10),"①病院一般",IF(AND($A490=31,$AJ490=41),"②病院短期","対象外")),IF($AJ490=30,"③特定消防",IF(AND(OR($A490=21,$A490=215),$AJ490=10),"④一般",IF(AND($A490=31,$AJ490=41),"⑤短期","対象外")))))</f>
        <v>①病院一般</v>
      </c>
      <c r="DC490" s="0" t="n">
        <f aca="false">IF($A490="","",IF($AB490&amp;""=設定!$C$4,1,0))</f>
        <v>1</v>
      </c>
    </row>
    <row r="491" customFormat="false" ht="15" hidden="false" customHeight="false" outlineLevel="0" collapsed="false">
      <c r="A491" s="0" t="n">
        <v>21</v>
      </c>
      <c r="AA491" s="0" t="n">
        <v>21</v>
      </c>
      <c r="AB491" s="0" t="s">
        <v>96</v>
      </c>
      <c r="AD491" s="0" t="n">
        <v>0</v>
      </c>
      <c r="AE491" s="0" t="s">
        <v>295</v>
      </c>
      <c r="AH491" s="0" t="n">
        <v>20</v>
      </c>
      <c r="AJ491" s="0" t="n">
        <v>10</v>
      </c>
      <c r="AP491" s="0" t="n">
        <v>300000</v>
      </c>
      <c r="DB491" s="0" t="str">
        <f aca="false">IF($A491="","",IF($AH491=20,IF(AND(OR($A491=21,$A491=215),$AJ491=10),"①病院一般",IF(AND($A491=31,$AJ491=41),"②病院短期","対象外")),IF($AJ491=30,"③特定消防",IF(AND(OR($A491=21,$A491=215),$AJ491=10),"④一般",IF(AND($A491=31,$AJ491=41),"⑤短期","対象外")))))</f>
        <v>①病院一般</v>
      </c>
      <c r="DC491" s="0" t="n">
        <f aca="false">IF($A491="","",IF($AB491&amp;""=設定!$C$4,1,0))</f>
        <v>1</v>
      </c>
    </row>
    <row r="492" customFormat="false" ht="15" hidden="false" customHeight="false" outlineLevel="0" collapsed="false">
      <c r="A492" s="0" t="n">
        <v>21</v>
      </c>
      <c r="AA492" s="0" t="n">
        <v>21</v>
      </c>
      <c r="AB492" s="0" t="s">
        <v>96</v>
      </c>
      <c r="AD492" s="0" t="n">
        <v>0</v>
      </c>
      <c r="AE492" s="0" t="s">
        <v>295</v>
      </c>
      <c r="AH492" s="0" t="n">
        <v>20</v>
      </c>
      <c r="AJ492" s="0" t="n">
        <v>10</v>
      </c>
      <c r="AP492" s="0" t="n">
        <v>280000</v>
      </c>
      <c r="DB492" s="0" t="str">
        <f aca="false">IF($A492="","",IF($AH492=20,IF(AND(OR($A492=21,$A492=215),$AJ492=10),"①病院一般",IF(AND($A492=31,$AJ492=41),"②病院短期","対象外")),IF($AJ492=30,"③特定消防",IF(AND(OR($A492=21,$A492=215),$AJ492=10),"④一般",IF(AND($A492=31,$AJ492=41),"⑤短期","対象外")))))</f>
        <v>①病院一般</v>
      </c>
      <c r="DC492" s="0" t="n">
        <f aca="false">IF($A492="","",IF($AB492&amp;""=設定!$C$4,1,0))</f>
        <v>1</v>
      </c>
    </row>
    <row r="493" customFormat="false" ht="15" hidden="false" customHeight="false" outlineLevel="0" collapsed="false">
      <c r="A493" s="0" t="n">
        <v>21</v>
      </c>
      <c r="AA493" s="0" t="n">
        <v>21</v>
      </c>
      <c r="AB493" s="0" t="s">
        <v>96</v>
      </c>
      <c r="AD493" s="0" t="n">
        <v>0</v>
      </c>
      <c r="AE493" s="0" t="s">
        <v>295</v>
      </c>
      <c r="AH493" s="0" t="n">
        <v>20</v>
      </c>
      <c r="AJ493" s="0" t="n">
        <v>10</v>
      </c>
      <c r="AP493" s="0" t="n">
        <v>300000</v>
      </c>
      <c r="DB493" s="0" t="str">
        <f aca="false">IF($A493="","",IF($AH493=20,IF(AND(OR($A493=21,$A493=215),$AJ493=10),"①病院一般",IF(AND($A493=31,$AJ493=41),"②病院短期","対象外")),IF($AJ493=30,"③特定消防",IF(AND(OR($A493=21,$A493=215),$AJ493=10),"④一般",IF(AND($A493=31,$AJ493=41),"⑤短期","対象外")))))</f>
        <v>①病院一般</v>
      </c>
      <c r="DC493" s="0" t="n">
        <f aca="false">IF($A493="","",IF($AB493&amp;""=設定!$C$4,1,0))</f>
        <v>1</v>
      </c>
    </row>
    <row r="494" customFormat="false" ht="15" hidden="false" customHeight="false" outlineLevel="0" collapsed="false">
      <c r="A494" s="0" t="n">
        <v>21</v>
      </c>
      <c r="AA494" s="0" t="n">
        <v>21</v>
      </c>
      <c r="AB494" s="0" t="s">
        <v>96</v>
      </c>
      <c r="AD494" s="0" t="n">
        <v>0</v>
      </c>
      <c r="AE494" s="0" t="s">
        <v>295</v>
      </c>
      <c r="AH494" s="0" t="n">
        <v>20</v>
      </c>
      <c r="AJ494" s="0" t="n">
        <v>10</v>
      </c>
      <c r="AP494" s="0" t="n">
        <v>300000</v>
      </c>
      <c r="DB494" s="0" t="str">
        <f aca="false">IF($A494="","",IF($AH494=20,IF(AND(OR($A494=21,$A494=215),$AJ494=10),"①病院一般",IF(AND($A494=31,$AJ494=41),"②病院短期","対象外")),IF($AJ494=30,"③特定消防",IF(AND(OR($A494=21,$A494=215),$AJ494=10),"④一般",IF(AND($A494=31,$AJ494=41),"⑤短期","対象外")))))</f>
        <v>①病院一般</v>
      </c>
      <c r="DC494" s="0" t="n">
        <f aca="false">IF($A494="","",IF($AB494&amp;""=設定!$C$4,1,0))</f>
        <v>1</v>
      </c>
    </row>
    <row r="495" customFormat="false" ht="15" hidden="false" customHeight="false" outlineLevel="0" collapsed="false">
      <c r="A495" s="0" t="n">
        <v>21</v>
      </c>
      <c r="AA495" s="0" t="n">
        <v>21</v>
      </c>
      <c r="AB495" s="0" t="s">
        <v>96</v>
      </c>
      <c r="AD495" s="0" t="n">
        <v>0</v>
      </c>
      <c r="AE495" s="0" t="s">
        <v>295</v>
      </c>
      <c r="AH495" s="0" t="n">
        <v>20</v>
      </c>
      <c r="AJ495" s="0" t="n">
        <v>10</v>
      </c>
      <c r="AP495" s="0" t="n">
        <v>300000</v>
      </c>
      <c r="DB495" s="0" t="str">
        <f aca="false">IF($A495="","",IF($AH495=20,IF(AND(OR($A495=21,$A495=215),$AJ495=10),"①病院一般",IF(AND($A495=31,$AJ495=41),"②病院短期","対象外")),IF($AJ495=30,"③特定消防",IF(AND(OR($A495=21,$A495=215),$AJ495=10),"④一般",IF(AND($A495=31,$AJ495=41),"⑤短期","対象外")))))</f>
        <v>①病院一般</v>
      </c>
      <c r="DC495" s="0" t="n">
        <f aca="false">IF($A495="","",IF($AB495&amp;""=設定!$C$4,1,0))</f>
        <v>1</v>
      </c>
    </row>
    <row r="496" customFormat="false" ht="15" hidden="false" customHeight="false" outlineLevel="0" collapsed="false">
      <c r="A496" s="0" t="n">
        <v>21</v>
      </c>
      <c r="AA496" s="0" t="n">
        <v>21</v>
      </c>
      <c r="AB496" s="0" t="s">
        <v>96</v>
      </c>
      <c r="AD496" s="0" t="n">
        <v>0</v>
      </c>
      <c r="AE496" s="0" t="s">
        <v>295</v>
      </c>
      <c r="AH496" s="0" t="n">
        <v>20</v>
      </c>
      <c r="AJ496" s="0" t="n">
        <v>10</v>
      </c>
      <c r="AP496" s="0" t="n">
        <v>300000</v>
      </c>
      <c r="DB496" s="0" t="str">
        <f aca="false">IF($A496="","",IF($AH496=20,IF(AND(OR($A496=21,$A496=215),$AJ496=10),"①病院一般",IF(AND($A496=31,$AJ496=41),"②病院短期","対象外")),IF($AJ496=30,"③特定消防",IF(AND(OR($A496=21,$A496=215),$AJ496=10),"④一般",IF(AND($A496=31,$AJ496=41),"⑤短期","対象外")))))</f>
        <v>①病院一般</v>
      </c>
      <c r="DC496" s="0" t="n">
        <f aca="false">IF($A496="","",IF($AB496&amp;""=設定!$C$4,1,0))</f>
        <v>1</v>
      </c>
    </row>
    <row r="497" customFormat="false" ht="15" hidden="false" customHeight="false" outlineLevel="0" collapsed="false">
      <c r="A497" s="0" t="n">
        <v>21</v>
      </c>
      <c r="AA497" s="0" t="n">
        <v>21</v>
      </c>
      <c r="AB497" s="0" t="s">
        <v>96</v>
      </c>
      <c r="AD497" s="0" t="n">
        <v>0</v>
      </c>
      <c r="AE497" s="0" t="s">
        <v>295</v>
      </c>
      <c r="AH497" s="0" t="n">
        <v>20</v>
      </c>
      <c r="AJ497" s="0" t="n">
        <v>10</v>
      </c>
      <c r="AP497" s="0" t="n">
        <v>300000</v>
      </c>
      <c r="DB497" s="0" t="str">
        <f aca="false">IF($A497="","",IF($AH497=20,IF(AND(OR($A497=21,$A497=215),$AJ497=10),"①病院一般",IF(AND($A497=31,$AJ497=41),"②病院短期","対象外")),IF($AJ497=30,"③特定消防",IF(AND(OR($A497=21,$A497=215),$AJ497=10),"④一般",IF(AND($A497=31,$AJ497=41),"⑤短期","対象外")))))</f>
        <v>①病院一般</v>
      </c>
      <c r="DC497" s="0" t="n">
        <f aca="false">IF($A497="","",IF($AB497&amp;""=設定!$C$4,1,0))</f>
        <v>1</v>
      </c>
    </row>
    <row r="498" customFormat="false" ht="15" hidden="false" customHeight="false" outlineLevel="0" collapsed="false">
      <c r="A498" s="0" t="n">
        <v>21</v>
      </c>
      <c r="AA498" s="0" t="n">
        <v>21</v>
      </c>
      <c r="AB498" s="0" t="s">
        <v>96</v>
      </c>
      <c r="AD498" s="0" t="n">
        <v>0</v>
      </c>
      <c r="AE498" s="0" t="s">
        <v>295</v>
      </c>
      <c r="AH498" s="0" t="n">
        <v>20</v>
      </c>
      <c r="AJ498" s="0" t="n">
        <v>10</v>
      </c>
      <c r="AP498" s="0" t="n">
        <v>320000</v>
      </c>
      <c r="DB498" s="0" t="str">
        <f aca="false">IF($A498="","",IF($AH498=20,IF(AND(OR($A498=21,$A498=215),$AJ498=10),"①病院一般",IF(AND($A498=31,$AJ498=41),"②病院短期","対象外")),IF($AJ498=30,"③特定消防",IF(AND(OR($A498=21,$A498=215),$AJ498=10),"④一般",IF(AND($A498=31,$AJ498=41),"⑤短期","対象外")))))</f>
        <v>①病院一般</v>
      </c>
      <c r="DC498" s="0" t="n">
        <f aca="false">IF($A498="","",IF($AB498&amp;""=設定!$C$4,1,0))</f>
        <v>1</v>
      </c>
    </row>
    <row r="499" customFormat="false" ht="15" hidden="false" customHeight="false" outlineLevel="0" collapsed="false">
      <c r="A499" s="0" t="n">
        <v>21</v>
      </c>
      <c r="AA499" s="0" t="n">
        <v>21</v>
      </c>
      <c r="AB499" s="0" t="s">
        <v>96</v>
      </c>
      <c r="AD499" s="0" t="n">
        <v>0</v>
      </c>
      <c r="AE499" s="0" t="s">
        <v>295</v>
      </c>
      <c r="AH499" s="0" t="n">
        <v>20</v>
      </c>
      <c r="AJ499" s="0" t="n">
        <v>10</v>
      </c>
      <c r="AP499" s="0" t="n">
        <v>280000</v>
      </c>
      <c r="DB499" s="0" t="str">
        <f aca="false">IF($A499="","",IF($AH499=20,IF(AND(OR($A499=21,$A499=215),$AJ499=10),"①病院一般",IF(AND($A499=31,$AJ499=41),"②病院短期","対象外")),IF($AJ499=30,"③特定消防",IF(AND(OR($A499=21,$A499=215),$AJ499=10),"④一般",IF(AND($A499=31,$AJ499=41),"⑤短期","対象外")))))</f>
        <v>①病院一般</v>
      </c>
      <c r="DC499" s="0" t="n">
        <f aca="false">IF($A499="","",IF($AB499&amp;""=設定!$C$4,1,0))</f>
        <v>1</v>
      </c>
    </row>
    <row r="500" customFormat="false" ht="15" hidden="false" customHeight="false" outlineLevel="0" collapsed="false">
      <c r="A500" s="0" t="n">
        <v>21</v>
      </c>
      <c r="AA500" s="0" t="n">
        <v>21</v>
      </c>
      <c r="AB500" s="0" t="s">
        <v>96</v>
      </c>
      <c r="AD500" s="0" t="n">
        <v>0</v>
      </c>
      <c r="AE500" s="0" t="s">
        <v>295</v>
      </c>
      <c r="AH500" s="0" t="n">
        <v>20</v>
      </c>
      <c r="AJ500" s="0" t="n">
        <v>10</v>
      </c>
      <c r="AP500" s="0" t="n">
        <v>280000</v>
      </c>
      <c r="DB500" s="0" t="str">
        <f aca="false">IF($A500="","",IF($AH500=20,IF(AND(OR($A500=21,$A500=215),$AJ500=10),"①病院一般",IF(AND($A500=31,$AJ500=41),"②病院短期","対象外")),IF($AJ500=30,"③特定消防",IF(AND(OR($A500=21,$A500=215),$AJ500=10),"④一般",IF(AND($A500=31,$AJ500=41),"⑤短期","対象外")))))</f>
        <v>①病院一般</v>
      </c>
      <c r="DC500" s="0" t="n">
        <f aca="false">IF($A500="","",IF($AB500&amp;""=設定!$C$4,1,0))</f>
        <v>1</v>
      </c>
    </row>
    <row r="501" customFormat="false" ht="15" hidden="false" customHeight="false" outlineLevel="0" collapsed="false">
      <c r="A501" s="0" t="n">
        <v>21</v>
      </c>
      <c r="AA501" s="0" t="n">
        <v>21</v>
      </c>
      <c r="AB501" s="0" t="s">
        <v>96</v>
      </c>
      <c r="AD501" s="0" t="n">
        <v>0</v>
      </c>
      <c r="AE501" s="0" t="s">
        <v>295</v>
      </c>
      <c r="AH501" s="0" t="n">
        <v>20</v>
      </c>
      <c r="AJ501" s="0" t="n">
        <v>10</v>
      </c>
      <c r="AP501" s="0" t="n">
        <v>280000</v>
      </c>
      <c r="DB501" s="0" t="str">
        <f aca="false">IF($A501="","",IF($AH501=20,IF(AND(OR($A501=21,$A501=215),$AJ501=10),"①病院一般",IF(AND($A501=31,$AJ501=41),"②病院短期","対象外")),IF($AJ501=30,"③特定消防",IF(AND(OR($A501=21,$A501=215),$AJ501=10),"④一般",IF(AND($A501=31,$AJ501=41),"⑤短期","対象外")))))</f>
        <v>①病院一般</v>
      </c>
      <c r="DC501" s="0" t="n">
        <f aca="false">IF($A501="","",IF($AB501&amp;""=設定!$C$4,1,0))</f>
        <v>1</v>
      </c>
    </row>
    <row r="502" customFormat="false" ht="15" hidden="false" customHeight="false" outlineLevel="0" collapsed="false">
      <c r="A502" s="0" t="n">
        <v>21</v>
      </c>
      <c r="AA502" s="0" t="n">
        <v>21</v>
      </c>
      <c r="AB502" s="0" t="s">
        <v>96</v>
      </c>
      <c r="AD502" s="0" t="n">
        <v>0</v>
      </c>
      <c r="AE502" s="0" t="s">
        <v>295</v>
      </c>
      <c r="AH502" s="0" t="n">
        <v>20</v>
      </c>
      <c r="AJ502" s="0" t="n">
        <v>10</v>
      </c>
      <c r="AP502" s="0" t="n">
        <v>280000</v>
      </c>
      <c r="DB502" s="0" t="str">
        <f aca="false">IF($A502="","",IF($AH502=20,IF(AND(OR($A502=21,$A502=215),$AJ502=10),"①病院一般",IF(AND($A502=31,$AJ502=41),"②病院短期","対象外")),IF($AJ502=30,"③特定消防",IF(AND(OR($A502=21,$A502=215),$AJ502=10),"④一般",IF(AND($A502=31,$AJ502=41),"⑤短期","対象外")))))</f>
        <v>①病院一般</v>
      </c>
      <c r="DC502" s="0" t="n">
        <f aca="false">IF($A502="","",IF($AB502&amp;""=設定!$C$4,1,0))</f>
        <v>1</v>
      </c>
    </row>
    <row r="503" customFormat="false" ht="15" hidden="false" customHeight="false" outlineLevel="0" collapsed="false">
      <c r="A503" s="0" t="n">
        <v>21</v>
      </c>
      <c r="AA503" s="0" t="n">
        <v>21</v>
      </c>
      <c r="AB503" s="0" t="s">
        <v>96</v>
      </c>
      <c r="AD503" s="0" t="n">
        <v>0</v>
      </c>
      <c r="AE503" s="0" t="s">
        <v>295</v>
      </c>
      <c r="AH503" s="0" t="n">
        <v>20</v>
      </c>
      <c r="AJ503" s="0" t="n">
        <v>10</v>
      </c>
      <c r="AP503" s="0" t="n">
        <v>280000</v>
      </c>
      <c r="DB503" s="0" t="str">
        <f aca="false">IF($A503="","",IF($AH503=20,IF(AND(OR($A503=21,$A503=215),$AJ503=10),"①病院一般",IF(AND($A503=31,$AJ503=41),"②病院短期","対象外")),IF($AJ503=30,"③特定消防",IF(AND(OR($A503=21,$A503=215),$AJ503=10),"④一般",IF(AND($A503=31,$AJ503=41),"⑤短期","対象外")))))</f>
        <v>①病院一般</v>
      </c>
      <c r="DC503" s="0" t="n">
        <f aca="false">IF($A503="","",IF($AB503&amp;""=設定!$C$4,1,0))</f>
        <v>1</v>
      </c>
    </row>
    <row r="504" customFormat="false" ht="15" hidden="false" customHeight="false" outlineLevel="0" collapsed="false">
      <c r="A504" s="0" t="n">
        <v>21</v>
      </c>
      <c r="AA504" s="0" t="n">
        <v>21</v>
      </c>
      <c r="AB504" s="0" t="s">
        <v>96</v>
      </c>
      <c r="AD504" s="0" t="n">
        <v>0</v>
      </c>
      <c r="AE504" s="0" t="s">
        <v>295</v>
      </c>
      <c r="AH504" s="0" t="n">
        <v>20</v>
      </c>
      <c r="AJ504" s="0" t="n">
        <v>10</v>
      </c>
      <c r="AP504" s="0" t="n">
        <v>300000</v>
      </c>
      <c r="DB504" s="0" t="str">
        <f aca="false">IF($A504="","",IF($AH504=20,IF(AND(OR($A504=21,$A504=215),$AJ504=10),"①病院一般",IF(AND($A504=31,$AJ504=41),"②病院短期","対象外")),IF($AJ504=30,"③特定消防",IF(AND(OR($A504=21,$A504=215),$AJ504=10),"④一般",IF(AND($A504=31,$AJ504=41),"⑤短期","対象外")))))</f>
        <v>①病院一般</v>
      </c>
      <c r="DC504" s="0" t="n">
        <f aca="false">IF($A504="","",IF($AB504&amp;""=設定!$C$4,1,0))</f>
        <v>1</v>
      </c>
    </row>
    <row r="505" customFormat="false" ht="15" hidden="false" customHeight="false" outlineLevel="0" collapsed="false">
      <c r="A505" s="0" t="n">
        <v>21</v>
      </c>
      <c r="AA505" s="0" t="n">
        <v>21</v>
      </c>
      <c r="AB505" s="0" t="s">
        <v>96</v>
      </c>
      <c r="AD505" s="0" t="n">
        <v>0</v>
      </c>
      <c r="AE505" s="0" t="s">
        <v>295</v>
      </c>
      <c r="AH505" s="0" t="n">
        <v>20</v>
      </c>
      <c r="AJ505" s="0" t="n">
        <v>10</v>
      </c>
      <c r="AP505" s="0" t="n">
        <v>320000</v>
      </c>
      <c r="DB505" s="0" t="str">
        <f aca="false">IF($A505="","",IF($AH505=20,IF(AND(OR($A505=21,$A505=215),$AJ505=10),"①病院一般",IF(AND($A505=31,$AJ505=41),"②病院短期","対象外")),IF($AJ505=30,"③特定消防",IF(AND(OR($A505=21,$A505=215),$AJ505=10),"④一般",IF(AND($A505=31,$AJ505=41),"⑤短期","対象外")))))</f>
        <v>①病院一般</v>
      </c>
      <c r="DC505" s="0" t="n">
        <f aca="false">IF($A505="","",IF($AB505&amp;""=設定!$C$4,1,0))</f>
        <v>1</v>
      </c>
    </row>
    <row r="506" customFormat="false" ht="15" hidden="false" customHeight="false" outlineLevel="0" collapsed="false">
      <c r="A506" s="0" t="n">
        <v>21</v>
      </c>
      <c r="AA506" s="0" t="n">
        <v>21</v>
      </c>
      <c r="AB506" s="0" t="s">
        <v>96</v>
      </c>
      <c r="AD506" s="0" t="n">
        <v>0</v>
      </c>
      <c r="AE506" s="0" t="s">
        <v>295</v>
      </c>
      <c r="AH506" s="0" t="n">
        <v>20</v>
      </c>
      <c r="AJ506" s="0" t="n">
        <v>10</v>
      </c>
      <c r="AP506" s="0" t="n">
        <v>320000</v>
      </c>
      <c r="DB506" s="0" t="str">
        <f aca="false">IF($A506="","",IF($AH506=20,IF(AND(OR($A506=21,$A506=215),$AJ506=10),"①病院一般",IF(AND($A506=31,$AJ506=41),"②病院短期","対象外")),IF($AJ506=30,"③特定消防",IF(AND(OR($A506=21,$A506=215),$AJ506=10),"④一般",IF(AND($A506=31,$AJ506=41),"⑤短期","対象外")))))</f>
        <v>①病院一般</v>
      </c>
      <c r="DC506" s="0" t="n">
        <f aca="false">IF($A506="","",IF($AB506&amp;""=設定!$C$4,1,0))</f>
        <v>1</v>
      </c>
    </row>
    <row r="507" customFormat="false" ht="15" hidden="false" customHeight="false" outlineLevel="0" collapsed="false">
      <c r="A507" s="0" t="n">
        <v>21</v>
      </c>
      <c r="AA507" s="0" t="n">
        <v>21</v>
      </c>
      <c r="AB507" s="0" t="s">
        <v>96</v>
      </c>
      <c r="AD507" s="0" t="n">
        <v>0</v>
      </c>
      <c r="AE507" s="0" t="s">
        <v>295</v>
      </c>
      <c r="AH507" s="0" t="n">
        <v>20</v>
      </c>
      <c r="AJ507" s="0" t="n">
        <v>10</v>
      </c>
      <c r="AP507" s="0" t="n">
        <v>300000</v>
      </c>
      <c r="DB507" s="0" t="str">
        <f aca="false">IF($A507="","",IF($AH507=20,IF(AND(OR($A507=21,$A507=215),$AJ507=10),"①病院一般",IF(AND($A507=31,$AJ507=41),"②病院短期","対象外")),IF($AJ507=30,"③特定消防",IF(AND(OR($A507=21,$A507=215),$AJ507=10),"④一般",IF(AND($A507=31,$AJ507=41),"⑤短期","対象外")))))</f>
        <v>①病院一般</v>
      </c>
      <c r="DC507" s="0" t="n">
        <f aca="false">IF($A507="","",IF($AB507&amp;""=設定!$C$4,1,0))</f>
        <v>1</v>
      </c>
    </row>
    <row r="508" customFormat="false" ht="15" hidden="false" customHeight="false" outlineLevel="0" collapsed="false">
      <c r="A508" s="0" t="n">
        <v>21</v>
      </c>
      <c r="AA508" s="0" t="n">
        <v>21</v>
      </c>
      <c r="AB508" s="0" t="s">
        <v>96</v>
      </c>
      <c r="AD508" s="0" t="n">
        <v>0</v>
      </c>
      <c r="AE508" s="0" t="s">
        <v>295</v>
      </c>
      <c r="AH508" s="0" t="n">
        <v>20</v>
      </c>
      <c r="AJ508" s="0" t="n">
        <v>10</v>
      </c>
      <c r="AP508" s="0" t="n">
        <v>280000</v>
      </c>
      <c r="DB508" s="0" t="str">
        <f aca="false">IF($A508="","",IF($AH508=20,IF(AND(OR($A508=21,$A508=215),$AJ508=10),"①病院一般",IF(AND($A508=31,$AJ508=41),"②病院短期","対象外")),IF($AJ508=30,"③特定消防",IF(AND(OR($A508=21,$A508=215),$AJ508=10),"④一般",IF(AND($A508=31,$AJ508=41),"⑤短期","対象外")))))</f>
        <v>①病院一般</v>
      </c>
      <c r="DC508" s="0" t="n">
        <f aca="false">IF($A508="","",IF($AB508&amp;""=設定!$C$4,1,0))</f>
        <v>1</v>
      </c>
    </row>
    <row r="509" customFormat="false" ht="15" hidden="false" customHeight="false" outlineLevel="0" collapsed="false">
      <c r="A509" s="0" t="n">
        <v>21</v>
      </c>
      <c r="AA509" s="0" t="n">
        <v>21</v>
      </c>
      <c r="AB509" s="0" t="s">
        <v>96</v>
      </c>
      <c r="AD509" s="0" t="n">
        <v>0</v>
      </c>
      <c r="AE509" s="0" t="s">
        <v>295</v>
      </c>
      <c r="AH509" s="0" t="n">
        <v>20</v>
      </c>
      <c r="AJ509" s="0" t="n">
        <v>10</v>
      </c>
      <c r="AP509" s="0" t="n">
        <v>300000</v>
      </c>
      <c r="DB509" s="0" t="str">
        <f aca="false">IF($A509="","",IF($AH509=20,IF(AND(OR($A509=21,$A509=215),$AJ509=10),"①病院一般",IF(AND($A509=31,$AJ509=41),"②病院短期","対象外")),IF($AJ509=30,"③特定消防",IF(AND(OR($A509=21,$A509=215),$AJ509=10),"④一般",IF(AND($A509=31,$AJ509=41),"⑤短期","対象外")))))</f>
        <v>①病院一般</v>
      </c>
      <c r="DC509" s="0" t="n">
        <f aca="false">IF($A509="","",IF($AB509&amp;""=設定!$C$4,1,0))</f>
        <v>1</v>
      </c>
    </row>
    <row r="510" customFormat="false" ht="15" hidden="false" customHeight="false" outlineLevel="0" collapsed="false">
      <c r="A510" s="0" t="n">
        <v>21</v>
      </c>
      <c r="AA510" s="0" t="n">
        <v>21</v>
      </c>
      <c r="AB510" s="0" t="s">
        <v>96</v>
      </c>
      <c r="AD510" s="0" t="n">
        <v>0</v>
      </c>
      <c r="AE510" s="0" t="s">
        <v>295</v>
      </c>
      <c r="AH510" s="0" t="n">
        <v>20</v>
      </c>
      <c r="AJ510" s="0" t="n">
        <v>10</v>
      </c>
      <c r="AP510" s="0" t="n">
        <v>260000</v>
      </c>
      <c r="DB510" s="0" t="str">
        <f aca="false">IF($A510="","",IF($AH510=20,IF(AND(OR($A510=21,$A510=215),$AJ510=10),"①病院一般",IF(AND($A510=31,$AJ510=41),"②病院短期","対象外")),IF($AJ510=30,"③特定消防",IF(AND(OR($A510=21,$A510=215),$AJ510=10),"④一般",IF(AND($A510=31,$AJ510=41),"⑤短期","対象外")))))</f>
        <v>①病院一般</v>
      </c>
      <c r="DC510" s="0" t="n">
        <f aca="false">IF($A510="","",IF($AB510&amp;""=設定!$C$4,1,0))</f>
        <v>1</v>
      </c>
    </row>
    <row r="511" customFormat="false" ht="15" hidden="false" customHeight="false" outlineLevel="0" collapsed="false">
      <c r="A511" s="0" t="n">
        <v>21</v>
      </c>
      <c r="AA511" s="0" t="n">
        <v>21</v>
      </c>
      <c r="AB511" s="0" t="s">
        <v>96</v>
      </c>
      <c r="AD511" s="0" t="n">
        <v>0</v>
      </c>
      <c r="AE511" s="0" t="s">
        <v>295</v>
      </c>
      <c r="AH511" s="0" t="n">
        <v>20</v>
      </c>
      <c r="AJ511" s="0" t="n">
        <v>10</v>
      </c>
      <c r="AP511" s="0" t="n">
        <v>320000</v>
      </c>
      <c r="DB511" s="0" t="str">
        <f aca="false">IF($A511="","",IF($AH511=20,IF(AND(OR($A511=21,$A511=215),$AJ511=10),"①病院一般",IF(AND($A511=31,$AJ511=41),"②病院短期","対象外")),IF($AJ511=30,"③特定消防",IF(AND(OR($A511=21,$A511=215),$AJ511=10),"④一般",IF(AND($A511=31,$AJ511=41),"⑤短期","対象外")))))</f>
        <v>①病院一般</v>
      </c>
      <c r="DC511" s="0" t="n">
        <f aca="false">IF($A511="","",IF($AB511&amp;""=設定!$C$4,1,0))</f>
        <v>1</v>
      </c>
    </row>
    <row r="512" customFormat="false" ht="15" hidden="false" customHeight="false" outlineLevel="0" collapsed="false">
      <c r="A512" s="0" t="n">
        <v>21</v>
      </c>
      <c r="AA512" s="0" t="n">
        <v>21</v>
      </c>
      <c r="AB512" s="0" t="s">
        <v>96</v>
      </c>
      <c r="AD512" s="0" t="n">
        <v>0</v>
      </c>
      <c r="AE512" s="0" t="s">
        <v>295</v>
      </c>
      <c r="AH512" s="0" t="n">
        <v>20</v>
      </c>
      <c r="AJ512" s="0" t="n">
        <v>10</v>
      </c>
      <c r="AP512" s="0" t="n">
        <v>280000</v>
      </c>
      <c r="DB512" s="0" t="str">
        <f aca="false">IF($A512="","",IF($AH512=20,IF(AND(OR($A512=21,$A512=215),$AJ512=10),"①病院一般",IF(AND($A512=31,$AJ512=41),"②病院短期","対象外")),IF($AJ512=30,"③特定消防",IF(AND(OR($A512=21,$A512=215),$AJ512=10),"④一般",IF(AND($A512=31,$AJ512=41),"⑤短期","対象外")))))</f>
        <v>①病院一般</v>
      </c>
      <c r="DC512" s="0" t="n">
        <f aca="false">IF($A512="","",IF($AB512&amp;""=設定!$C$4,1,0))</f>
        <v>1</v>
      </c>
    </row>
    <row r="513" customFormat="false" ht="15" hidden="false" customHeight="false" outlineLevel="0" collapsed="false">
      <c r="A513" s="0" t="n">
        <v>21</v>
      </c>
      <c r="AA513" s="0" t="n">
        <v>21</v>
      </c>
      <c r="AB513" s="0" t="s">
        <v>96</v>
      </c>
      <c r="AD513" s="0" t="n">
        <v>0</v>
      </c>
      <c r="AE513" s="0" t="s">
        <v>295</v>
      </c>
      <c r="AH513" s="0" t="n">
        <v>20</v>
      </c>
      <c r="AJ513" s="0" t="n">
        <v>10</v>
      </c>
      <c r="AP513" s="0" t="n">
        <v>320000</v>
      </c>
      <c r="DB513" s="0" t="str">
        <f aca="false">IF($A513="","",IF($AH513=20,IF(AND(OR($A513=21,$A513=215),$AJ513=10),"①病院一般",IF(AND($A513=31,$AJ513=41),"②病院短期","対象外")),IF($AJ513=30,"③特定消防",IF(AND(OR($A513=21,$A513=215),$AJ513=10),"④一般",IF(AND($A513=31,$AJ513=41),"⑤短期","対象外")))))</f>
        <v>①病院一般</v>
      </c>
      <c r="DC513" s="0" t="n">
        <f aca="false">IF($A513="","",IF($AB513&amp;""=設定!$C$4,1,0))</f>
        <v>1</v>
      </c>
    </row>
    <row r="514" customFormat="false" ht="15" hidden="false" customHeight="false" outlineLevel="0" collapsed="false">
      <c r="A514" s="0" t="n">
        <v>21</v>
      </c>
      <c r="AA514" s="0" t="n">
        <v>21</v>
      </c>
      <c r="AB514" s="0" t="s">
        <v>96</v>
      </c>
      <c r="AD514" s="0" t="n">
        <v>0</v>
      </c>
      <c r="AE514" s="0" t="s">
        <v>295</v>
      </c>
      <c r="AH514" s="0" t="n">
        <v>20</v>
      </c>
      <c r="AJ514" s="0" t="n">
        <v>10</v>
      </c>
      <c r="AP514" s="0" t="n">
        <v>280000</v>
      </c>
      <c r="DB514" s="0" t="str">
        <f aca="false">IF($A514="","",IF($AH514=20,IF(AND(OR($A514=21,$A514=215),$AJ514=10),"①病院一般",IF(AND($A514=31,$AJ514=41),"②病院短期","対象外")),IF($AJ514=30,"③特定消防",IF(AND(OR($A514=21,$A514=215),$AJ514=10),"④一般",IF(AND($A514=31,$AJ514=41),"⑤短期","対象外")))))</f>
        <v>①病院一般</v>
      </c>
      <c r="DC514" s="0" t="n">
        <f aca="false">IF($A514="","",IF($AB514&amp;""=設定!$C$4,1,0))</f>
        <v>1</v>
      </c>
    </row>
    <row r="515" customFormat="false" ht="15" hidden="false" customHeight="false" outlineLevel="0" collapsed="false">
      <c r="A515" s="0" t="n">
        <v>21</v>
      </c>
      <c r="AA515" s="0" t="n">
        <v>21</v>
      </c>
      <c r="AB515" s="0" t="s">
        <v>96</v>
      </c>
      <c r="AD515" s="0" t="n">
        <v>0</v>
      </c>
      <c r="AE515" s="0" t="s">
        <v>295</v>
      </c>
      <c r="AH515" s="0" t="n">
        <v>20</v>
      </c>
      <c r="AJ515" s="0" t="n">
        <v>10</v>
      </c>
      <c r="AP515" s="0" t="n">
        <v>280000</v>
      </c>
      <c r="DB515" s="0" t="str">
        <f aca="false">IF($A515="","",IF($AH515=20,IF(AND(OR($A515=21,$A515=215),$AJ515=10),"①病院一般",IF(AND($A515=31,$AJ515=41),"②病院短期","対象外")),IF($AJ515=30,"③特定消防",IF(AND(OR($A515=21,$A515=215),$AJ515=10),"④一般",IF(AND($A515=31,$AJ515=41),"⑤短期","対象外")))))</f>
        <v>①病院一般</v>
      </c>
      <c r="DC515" s="0" t="n">
        <f aca="false">IF($A515="","",IF($AB515&amp;""=設定!$C$4,1,0))</f>
        <v>1</v>
      </c>
    </row>
    <row r="516" customFormat="false" ht="15" hidden="false" customHeight="false" outlineLevel="0" collapsed="false">
      <c r="A516" s="0" t="n">
        <v>21</v>
      </c>
      <c r="AA516" s="0" t="n">
        <v>21</v>
      </c>
      <c r="AB516" s="0" t="s">
        <v>96</v>
      </c>
      <c r="AD516" s="0" t="n">
        <v>0</v>
      </c>
      <c r="AE516" s="0" t="s">
        <v>295</v>
      </c>
      <c r="AH516" s="0" t="n">
        <v>20</v>
      </c>
      <c r="AJ516" s="0" t="n">
        <v>10</v>
      </c>
      <c r="AP516" s="0" t="n">
        <v>260000</v>
      </c>
      <c r="DB516" s="0" t="str">
        <f aca="false">IF($A516="","",IF($AH516=20,IF(AND(OR($A516=21,$A516=215),$AJ516=10),"①病院一般",IF(AND($A516=31,$AJ516=41),"②病院短期","対象外")),IF($AJ516=30,"③特定消防",IF(AND(OR($A516=21,$A516=215),$AJ516=10),"④一般",IF(AND($A516=31,$AJ516=41),"⑤短期","対象外")))))</f>
        <v>①病院一般</v>
      </c>
      <c r="DC516" s="0" t="n">
        <f aca="false">IF($A516="","",IF($AB516&amp;""=設定!$C$4,1,0))</f>
        <v>1</v>
      </c>
    </row>
    <row r="517" customFormat="false" ht="15" hidden="false" customHeight="false" outlineLevel="0" collapsed="false">
      <c r="A517" s="0" t="n">
        <v>21</v>
      </c>
      <c r="AA517" s="0" t="n">
        <v>21</v>
      </c>
      <c r="AB517" s="0" t="s">
        <v>96</v>
      </c>
      <c r="AD517" s="0" t="n">
        <v>0</v>
      </c>
      <c r="AE517" s="0" t="s">
        <v>295</v>
      </c>
      <c r="AH517" s="0" t="n">
        <v>20</v>
      </c>
      <c r="AJ517" s="0" t="n">
        <v>10</v>
      </c>
      <c r="AP517" s="0" t="n">
        <v>280000</v>
      </c>
      <c r="DB517" s="0" t="str">
        <f aca="false">IF($A517="","",IF($AH517=20,IF(AND(OR($A517=21,$A517=215),$AJ517=10),"①病院一般",IF(AND($A517=31,$AJ517=41),"②病院短期","対象外")),IF($AJ517=30,"③特定消防",IF(AND(OR($A517=21,$A517=215),$AJ517=10),"④一般",IF(AND($A517=31,$AJ517=41),"⑤短期","対象外")))))</f>
        <v>①病院一般</v>
      </c>
      <c r="DC517" s="0" t="n">
        <f aca="false">IF($A517="","",IF($AB517&amp;""=設定!$C$4,1,0))</f>
        <v>1</v>
      </c>
    </row>
    <row r="518" customFormat="false" ht="15" hidden="false" customHeight="false" outlineLevel="0" collapsed="false">
      <c r="A518" s="0" t="n">
        <v>21</v>
      </c>
      <c r="AA518" s="0" t="n">
        <v>21</v>
      </c>
      <c r="AB518" s="0" t="s">
        <v>96</v>
      </c>
      <c r="AD518" s="0" t="n">
        <v>0</v>
      </c>
      <c r="AE518" s="0" t="s">
        <v>295</v>
      </c>
      <c r="AH518" s="0" t="n">
        <v>20</v>
      </c>
      <c r="AJ518" s="0" t="n">
        <v>10</v>
      </c>
      <c r="AP518" s="0" t="n">
        <v>280000</v>
      </c>
      <c r="DB518" s="0" t="str">
        <f aca="false">IF($A518="","",IF($AH518=20,IF(AND(OR($A518=21,$A518=215),$AJ518=10),"①病院一般",IF(AND($A518=31,$AJ518=41),"②病院短期","対象外")),IF($AJ518=30,"③特定消防",IF(AND(OR($A518=21,$A518=215),$AJ518=10),"④一般",IF(AND($A518=31,$AJ518=41),"⑤短期","対象外")))))</f>
        <v>①病院一般</v>
      </c>
      <c r="DC518" s="0" t="n">
        <f aca="false">IF($A518="","",IF($AB518&amp;""=設定!$C$4,1,0))</f>
        <v>1</v>
      </c>
    </row>
    <row r="519" customFormat="false" ht="15" hidden="false" customHeight="false" outlineLevel="0" collapsed="false">
      <c r="A519" s="0" t="n">
        <v>21</v>
      </c>
      <c r="AA519" s="0" t="n">
        <v>21</v>
      </c>
      <c r="AB519" s="0" t="s">
        <v>96</v>
      </c>
      <c r="AD519" s="0" t="n">
        <v>0</v>
      </c>
      <c r="AE519" s="0" t="s">
        <v>295</v>
      </c>
      <c r="AH519" s="0" t="n">
        <v>20</v>
      </c>
      <c r="AJ519" s="0" t="n">
        <v>10</v>
      </c>
      <c r="AP519" s="0" t="n">
        <v>300000</v>
      </c>
      <c r="DB519" s="0" t="str">
        <f aca="false">IF($A519="","",IF($AH519=20,IF(AND(OR($A519=21,$A519=215),$AJ519=10),"①病院一般",IF(AND($A519=31,$AJ519=41),"②病院短期","対象外")),IF($AJ519=30,"③特定消防",IF(AND(OR($A519=21,$A519=215),$AJ519=10),"④一般",IF(AND($A519=31,$AJ519=41),"⑤短期","対象外")))))</f>
        <v>①病院一般</v>
      </c>
      <c r="DC519" s="0" t="n">
        <f aca="false">IF($A519="","",IF($AB519&amp;""=設定!$C$4,1,0))</f>
        <v>1</v>
      </c>
    </row>
    <row r="520" customFormat="false" ht="15" hidden="false" customHeight="false" outlineLevel="0" collapsed="false">
      <c r="A520" s="0" t="n">
        <v>21</v>
      </c>
      <c r="AA520" s="0" t="n">
        <v>21</v>
      </c>
      <c r="AB520" s="0" t="s">
        <v>96</v>
      </c>
      <c r="AD520" s="0" t="n">
        <v>0</v>
      </c>
      <c r="AE520" s="0" t="s">
        <v>295</v>
      </c>
      <c r="AH520" s="0" t="n">
        <v>20</v>
      </c>
      <c r="AJ520" s="0" t="n">
        <v>10</v>
      </c>
      <c r="AP520" s="0" t="n">
        <v>280000</v>
      </c>
      <c r="DB520" s="0" t="str">
        <f aca="false">IF($A520="","",IF($AH520=20,IF(AND(OR($A520=21,$A520=215),$AJ520=10),"①病院一般",IF(AND($A520=31,$AJ520=41),"②病院短期","対象外")),IF($AJ520=30,"③特定消防",IF(AND(OR($A520=21,$A520=215),$AJ520=10),"④一般",IF(AND($A520=31,$AJ520=41),"⑤短期","対象外")))))</f>
        <v>①病院一般</v>
      </c>
      <c r="DC520" s="0" t="n">
        <f aca="false">IF($A520="","",IF($AB520&amp;""=設定!$C$4,1,0))</f>
        <v>1</v>
      </c>
    </row>
    <row r="521" customFormat="false" ht="15" hidden="false" customHeight="false" outlineLevel="0" collapsed="false">
      <c r="A521" s="0" t="n">
        <v>21</v>
      </c>
      <c r="AA521" s="0" t="n">
        <v>21</v>
      </c>
      <c r="AB521" s="0" t="s">
        <v>96</v>
      </c>
      <c r="AD521" s="0" t="n">
        <v>0</v>
      </c>
      <c r="AE521" s="0" t="s">
        <v>295</v>
      </c>
      <c r="AH521" s="0" t="n">
        <v>20</v>
      </c>
      <c r="AJ521" s="0" t="n">
        <v>10</v>
      </c>
      <c r="AP521" s="0" t="n">
        <v>280000</v>
      </c>
      <c r="DB521" s="0" t="str">
        <f aca="false">IF($A521="","",IF($AH521=20,IF(AND(OR($A521=21,$A521=215),$AJ521=10),"①病院一般",IF(AND($A521=31,$AJ521=41),"②病院短期","対象外")),IF($AJ521=30,"③特定消防",IF(AND(OR($A521=21,$A521=215),$AJ521=10),"④一般",IF(AND($A521=31,$AJ521=41),"⑤短期","対象外")))))</f>
        <v>①病院一般</v>
      </c>
      <c r="DC521" s="0" t="n">
        <f aca="false">IF($A521="","",IF($AB521&amp;""=設定!$C$4,1,0))</f>
        <v>1</v>
      </c>
    </row>
    <row r="522" customFormat="false" ht="15" hidden="false" customHeight="false" outlineLevel="0" collapsed="false">
      <c r="A522" s="0" t="n">
        <v>21</v>
      </c>
      <c r="AA522" s="0" t="n">
        <v>21</v>
      </c>
      <c r="AB522" s="0" t="s">
        <v>96</v>
      </c>
      <c r="AD522" s="0" t="n">
        <v>0</v>
      </c>
      <c r="AE522" s="0" t="s">
        <v>295</v>
      </c>
      <c r="AH522" s="0" t="n">
        <v>20</v>
      </c>
      <c r="AJ522" s="0" t="n">
        <v>10</v>
      </c>
      <c r="AP522" s="0" t="n">
        <v>300000</v>
      </c>
      <c r="DB522" s="0" t="str">
        <f aca="false">IF($A522="","",IF($AH522=20,IF(AND(OR($A522=21,$A522=215),$AJ522=10),"①病院一般",IF(AND($A522=31,$AJ522=41),"②病院短期","対象外")),IF($AJ522=30,"③特定消防",IF(AND(OR($A522=21,$A522=215),$AJ522=10),"④一般",IF(AND($A522=31,$AJ522=41),"⑤短期","対象外")))))</f>
        <v>①病院一般</v>
      </c>
      <c r="DC522" s="0" t="n">
        <f aca="false">IF($A522="","",IF($AB522&amp;""=設定!$C$4,1,0))</f>
        <v>1</v>
      </c>
    </row>
    <row r="523" customFormat="false" ht="15" hidden="false" customHeight="false" outlineLevel="0" collapsed="false">
      <c r="A523" s="0" t="n">
        <v>21</v>
      </c>
      <c r="AA523" s="0" t="n">
        <v>21</v>
      </c>
      <c r="AB523" s="0" t="s">
        <v>96</v>
      </c>
      <c r="AD523" s="0" t="n">
        <v>0</v>
      </c>
      <c r="AE523" s="0" t="s">
        <v>295</v>
      </c>
      <c r="AH523" s="0" t="n">
        <v>20</v>
      </c>
      <c r="AJ523" s="0" t="n">
        <v>10</v>
      </c>
      <c r="AP523" s="0" t="n">
        <v>260000</v>
      </c>
      <c r="DB523" s="0" t="str">
        <f aca="false">IF($A523="","",IF($AH523=20,IF(AND(OR($A523=21,$A523=215),$AJ523=10),"①病院一般",IF(AND($A523=31,$AJ523=41),"②病院短期","対象外")),IF($AJ523=30,"③特定消防",IF(AND(OR($A523=21,$A523=215),$AJ523=10),"④一般",IF(AND($A523=31,$AJ523=41),"⑤短期","対象外")))))</f>
        <v>①病院一般</v>
      </c>
      <c r="DC523" s="0" t="n">
        <f aca="false">IF($A523="","",IF($AB523&amp;""=設定!$C$4,1,0))</f>
        <v>1</v>
      </c>
    </row>
    <row r="524" customFormat="false" ht="15" hidden="false" customHeight="false" outlineLevel="0" collapsed="false">
      <c r="A524" s="0" t="n">
        <v>21</v>
      </c>
      <c r="AA524" s="0" t="n">
        <v>21</v>
      </c>
      <c r="AB524" s="0" t="s">
        <v>96</v>
      </c>
      <c r="AD524" s="0" t="n">
        <v>0</v>
      </c>
      <c r="AE524" s="0" t="s">
        <v>295</v>
      </c>
      <c r="AH524" s="0" t="n">
        <v>20</v>
      </c>
      <c r="AJ524" s="0" t="n">
        <v>10</v>
      </c>
      <c r="AP524" s="0" t="n">
        <v>320000</v>
      </c>
      <c r="DB524" s="0" t="str">
        <f aca="false">IF($A524="","",IF($AH524=20,IF(AND(OR($A524=21,$A524=215),$AJ524=10),"①病院一般",IF(AND($A524=31,$AJ524=41),"②病院短期","対象外")),IF($AJ524=30,"③特定消防",IF(AND(OR($A524=21,$A524=215),$AJ524=10),"④一般",IF(AND($A524=31,$AJ524=41),"⑤短期","対象外")))))</f>
        <v>①病院一般</v>
      </c>
      <c r="DC524" s="0" t="n">
        <f aca="false">IF($A524="","",IF($AB524&amp;""=設定!$C$4,1,0))</f>
        <v>1</v>
      </c>
    </row>
    <row r="525" customFormat="false" ht="15" hidden="false" customHeight="false" outlineLevel="0" collapsed="false">
      <c r="A525" s="0" t="n">
        <v>21</v>
      </c>
      <c r="AA525" s="0" t="n">
        <v>21</v>
      </c>
      <c r="AB525" s="0" t="s">
        <v>96</v>
      </c>
      <c r="AD525" s="0" t="n">
        <v>0</v>
      </c>
      <c r="AE525" s="0" t="s">
        <v>295</v>
      </c>
      <c r="AH525" s="0" t="n">
        <v>20</v>
      </c>
      <c r="AJ525" s="0" t="n">
        <v>10</v>
      </c>
      <c r="AP525" s="0" t="n">
        <v>320000</v>
      </c>
      <c r="DB525" s="0" t="str">
        <f aca="false">IF($A525="","",IF($AH525=20,IF(AND(OR($A525=21,$A525=215),$AJ525=10),"①病院一般",IF(AND($A525=31,$AJ525=41),"②病院短期","対象外")),IF($AJ525=30,"③特定消防",IF(AND(OR($A525=21,$A525=215),$AJ525=10),"④一般",IF(AND($A525=31,$AJ525=41),"⑤短期","対象外")))))</f>
        <v>①病院一般</v>
      </c>
      <c r="DC525" s="0" t="n">
        <f aca="false">IF($A525="","",IF($AB525&amp;""=設定!$C$4,1,0))</f>
        <v>1</v>
      </c>
    </row>
    <row r="526" customFormat="false" ht="15" hidden="false" customHeight="false" outlineLevel="0" collapsed="false">
      <c r="A526" s="0" t="n">
        <v>21</v>
      </c>
      <c r="AA526" s="0" t="n">
        <v>21</v>
      </c>
      <c r="AB526" s="0" t="s">
        <v>96</v>
      </c>
      <c r="AD526" s="0" t="n">
        <v>0</v>
      </c>
      <c r="AE526" s="0" t="s">
        <v>295</v>
      </c>
      <c r="AH526" s="0" t="n">
        <v>20</v>
      </c>
      <c r="AJ526" s="0" t="n">
        <v>10</v>
      </c>
      <c r="AP526" s="0" t="n">
        <v>280000</v>
      </c>
      <c r="DB526" s="0" t="str">
        <f aca="false">IF($A526="","",IF($AH526=20,IF(AND(OR($A526=21,$A526=215),$AJ526=10),"①病院一般",IF(AND($A526=31,$AJ526=41),"②病院短期","対象外")),IF($AJ526=30,"③特定消防",IF(AND(OR($A526=21,$A526=215),$AJ526=10),"④一般",IF(AND($A526=31,$AJ526=41),"⑤短期","対象外")))))</f>
        <v>①病院一般</v>
      </c>
      <c r="DC526" s="0" t="n">
        <f aca="false">IF($A526="","",IF($AB526&amp;""=設定!$C$4,1,0))</f>
        <v>1</v>
      </c>
    </row>
    <row r="527" customFormat="false" ht="15" hidden="false" customHeight="false" outlineLevel="0" collapsed="false">
      <c r="A527" s="0" t="n">
        <v>21</v>
      </c>
      <c r="AA527" s="0" t="n">
        <v>21</v>
      </c>
      <c r="AB527" s="0" t="s">
        <v>96</v>
      </c>
      <c r="AD527" s="0" t="n">
        <v>0</v>
      </c>
      <c r="AE527" s="0" t="s">
        <v>295</v>
      </c>
      <c r="AH527" s="0" t="n">
        <v>20</v>
      </c>
      <c r="AJ527" s="0" t="n">
        <v>10</v>
      </c>
      <c r="AP527" s="0" t="n">
        <v>280000</v>
      </c>
      <c r="DB527" s="0" t="str">
        <f aca="false">IF($A527="","",IF($AH527=20,IF(AND(OR($A527=21,$A527=215),$AJ527=10),"①病院一般",IF(AND($A527=31,$AJ527=41),"②病院短期","対象外")),IF($AJ527=30,"③特定消防",IF(AND(OR($A527=21,$A527=215),$AJ527=10),"④一般",IF(AND($A527=31,$AJ527=41),"⑤短期","対象外")))))</f>
        <v>①病院一般</v>
      </c>
      <c r="DC527" s="0" t="n">
        <f aca="false">IF($A527="","",IF($AB527&amp;""=設定!$C$4,1,0))</f>
        <v>1</v>
      </c>
    </row>
    <row r="528" customFormat="false" ht="15" hidden="false" customHeight="false" outlineLevel="0" collapsed="false">
      <c r="A528" s="0" t="n">
        <v>21</v>
      </c>
      <c r="AA528" s="0" t="n">
        <v>21</v>
      </c>
      <c r="AB528" s="0" t="s">
        <v>96</v>
      </c>
      <c r="AD528" s="0" t="n">
        <v>0</v>
      </c>
      <c r="AE528" s="0" t="s">
        <v>295</v>
      </c>
      <c r="AH528" s="0" t="n">
        <v>20</v>
      </c>
      <c r="AJ528" s="0" t="n">
        <v>10</v>
      </c>
      <c r="AP528" s="0" t="n">
        <v>260000</v>
      </c>
      <c r="DB528" s="0" t="str">
        <f aca="false">IF($A528="","",IF($AH528=20,IF(AND(OR($A528=21,$A528=215),$AJ528=10),"①病院一般",IF(AND($A528=31,$AJ528=41),"②病院短期","対象外")),IF($AJ528=30,"③特定消防",IF(AND(OR($A528=21,$A528=215),$AJ528=10),"④一般",IF(AND($A528=31,$AJ528=41),"⑤短期","対象外")))))</f>
        <v>①病院一般</v>
      </c>
      <c r="DC528" s="0" t="n">
        <f aca="false">IF($A528="","",IF($AB528&amp;""=設定!$C$4,1,0))</f>
        <v>1</v>
      </c>
    </row>
    <row r="529" customFormat="false" ht="15" hidden="false" customHeight="false" outlineLevel="0" collapsed="false">
      <c r="A529" s="0" t="n">
        <v>21</v>
      </c>
      <c r="AA529" s="0" t="n">
        <v>21</v>
      </c>
      <c r="AB529" s="0" t="s">
        <v>96</v>
      </c>
      <c r="AD529" s="0" t="n">
        <v>0</v>
      </c>
      <c r="AE529" s="0" t="s">
        <v>295</v>
      </c>
      <c r="AH529" s="0" t="n">
        <v>20</v>
      </c>
      <c r="AJ529" s="0" t="n">
        <v>10</v>
      </c>
      <c r="AP529" s="0" t="n">
        <v>280000</v>
      </c>
      <c r="DB529" s="0" t="str">
        <f aca="false">IF($A529="","",IF($AH529=20,IF(AND(OR($A529=21,$A529=215),$AJ529=10),"①病院一般",IF(AND($A529=31,$AJ529=41),"②病院短期","対象外")),IF($AJ529=30,"③特定消防",IF(AND(OR($A529=21,$A529=215),$AJ529=10),"④一般",IF(AND($A529=31,$AJ529=41),"⑤短期","対象外")))))</f>
        <v>①病院一般</v>
      </c>
      <c r="DC529" s="0" t="n">
        <f aca="false">IF($A529="","",IF($AB529&amp;""=設定!$C$4,1,0))</f>
        <v>1</v>
      </c>
    </row>
    <row r="530" customFormat="false" ht="15" hidden="false" customHeight="false" outlineLevel="0" collapsed="false">
      <c r="A530" s="0" t="n">
        <v>21</v>
      </c>
      <c r="AA530" s="0" t="n">
        <v>21</v>
      </c>
      <c r="AB530" s="0" t="s">
        <v>96</v>
      </c>
      <c r="AD530" s="0" t="n">
        <v>0</v>
      </c>
      <c r="AE530" s="0" t="s">
        <v>295</v>
      </c>
      <c r="AH530" s="0" t="n">
        <v>20</v>
      </c>
      <c r="AJ530" s="0" t="n">
        <v>10</v>
      </c>
      <c r="AP530" s="0" t="n">
        <v>300000</v>
      </c>
      <c r="DB530" s="0" t="str">
        <f aca="false">IF($A530="","",IF($AH530=20,IF(AND(OR($A530=21,$A530=215),$AJ530=10),"①病院一般",IF(AND($A530=31,$AJ530=41),"②病院短期","対象外")),IF($AJ530=30,"③特定消防",IF(AND(OR($A530=21,$A530=215),$AJ530=10),"④一般",IF(AND($A530=31,$AJ530=41),"⑤短期","対象外")))))</f>
        <v>①病院一般</v>
      </c>
      <c r="DC530" s="0" t="n">
        <f aca="false">IF($A530="","",IF($AB530&amp;""=設定!$C$4,1,0))</f>
        <v>1</v>
      </c>
    </row>
    <row r="531" customFormat="false" ht="15" hidden="false" customHeight="false" outlineLevel="0" collapsed="false">
      <c r="A531" s="0" t="n">
        <v>21</v>
      </c>
      <c r="AA531" s="0" t="n">
        <v>21</v>
      </c>
      <c r="AB531" s="0" t="s">
        <v>96</v>
      </c>
      <c r="AD531" s="0" t="n">
        <v>0</v>
      </c>
      <c r="AE531" s="0" t="s">
        <v>295</v>
      </c>
      <c r="AH531" s="0" t="n">
        <v>20</v>
      </c>
      <c r="AJ531" s="0" t="n">
        <v>10</v>
      </c>
      <c r="AP531" s="0" t="n">
        <v>300000</v>
      </c>
      <c r="DB531" s="0" t="str">
        <f aca="false">IF($A531="","",IF($AH531=20,IF(AND(OR($A531=21,$A531=215),$AJ531=10),"①病院一般",IF(AND($A531=31,$AJ531=41),"②病院短期","対象外")),IF($AJ531=30,"③特定消防",IF(AND(OR($A531=21,$A531=215),$AJ531=10),"④一般",IF(AND($A531=31,$AJ531=41),"⑤短期","対象外")))))</f>
        <v>①病院一般</v>
      </c>
      <c r="DC531" s="0" t="n">
        <f aca="false">IF($A531="","",IF($AB531&amp;""=設定!$C$4,1,0))</f>
        <v>1</v>
      </c>
    </row>
    <row r="532" customFormat="false" ht="15" hidden="false" customHeight="false" outlineLevel="0" collapsed="false">
      <c r="A532" s="0" t="n">
        <v>21</v>
      </c>
      <c r="AA532" s="0" t="n">
        <v>21</v>
      </c>
      <c r="AB532" s="0" t="s">
        <v>96</v>
      </c>
      <c r="AD532" s="0" t="n">
        <v>0</v>
      </c>
      <c r="AE532" s="0" t="s">
        <v>295</v>
      </c>
      <c r="AH532" s="0" t="n">
        <v>20</v>
      </c>
      <c r="AJ532" s="0" t="n">
        <v>10</v>
      </c>
      <c r="AP532" s="0" t="n">
        <v>300000</v>
      </c>
      <c r="DB532" s="0" t="str">
        <f aca="false">IF($A532="","",IF($AH532=20,IF(AND(OR($A532=21,$A532=215),$AJ532=10),"①病院一般",IF(AND($A532=31,$AJ532=41),"②病院短期","対象外")),IF($AJ532=30,"③特定消防",IF(AND(OR($A532=21,$A532=215),$AJ532=10),"④一般",IF(AND($A532=31,$AJ532=41),"⑤短期","対象外")))))</f>
        <v>①病院一般</v>
      </c>
      <c r="DC532" s="0" t="n">
        <f aca="false">IF($A532="","",IF($AB532&amp;""=設定!$C$4,1,0))</f>
        <v>1</v>
      </c>
    </row>
    <row r="533" customFormat="false" ht="15" hidden="false" customHeight="false" outlineLevel="0" collapsed="false">
      <c r="A533" s="0" t="n">
        <v>21</v>
      </c>
      <c r="AA533" s="0" t="n">
        <v>21</v>
      </c>
      <c r="AB533" s="0" t="s">
        <v>96</v>
      </c>
      <c r="AD533" s="0" t="n">
        <v>0</v>
      </c>
      <c r="AE533" s="0" t="s">
        <v>295</v>
      </c>
      <c r="AH533" s="0" t="n">
        <v>20</v>
      </c>
      <c r="AJ533" s="0" t="n">
        <v>10</v>
      </c>
      <c r="AP533" s="0" t="n">
        <v>280000</v>
      </c>
      <c r="DB533" s="0" t="str">
        <f aca="false">IF($A533="","",IF($AH533=20,IF(AND(OR($A533=21,$A533=215),$AJ533=10),"①病院一般",IF(AND($A533=31,$AJ533=41),"②病院短期","対象外")),IF($AJ533=30,"③特定消防",IF(AND(OR($A533=21,$A533=215),$AJ533=10),"④一般",IF(AND($A533=31,$AJ533=41),"⑤短期","対象外")))))</f>
        <v>①病院一般</v>
      </c>
      <c r="DC533" s="0" t="n">
        <f aca="false">IF($A533="","",IF($AB533&amp;""=設定!$C$4,1,0))</f>
        <v>1</v>
      </c>
    </row>
    <row r="534" customFormat="false" ht="15" hidden="false" customHeight="false" outlineLevel="0" collapsed="false">
      <c r="A534" s="0" t="n">
        <v>21</v>
      </c>
      <c r="AA534" s="0" t="n">
        <v>21</v>
      </c>
      <c r="AB534" s="0" t="s">
        <v>96</v>
      </c>
      <c r="AD534" s="0" t="n">
        <v>0</v>
      </c>
      <c r="AE534" s="0" t="s">
        <v>295</v>
      </c>
      <c r="AH534" s="0" t="n">
        <v>20</v>
      </c>
      <c r="AJ534" s="0" t="n">
        <v>10</v>
      </c>
      <c r="AP534" s="0" t="n">
        <v>240000</v>
      </c>
      <c r="DB534" s="0" t="str">
        <f aca="false">IF($A534="","",IF($AH534=20,IF(AND(OR($A534=21,$A534=215),$AJ534=10),"①病院一般",IF(AND($A534=31,$AJ534=41),"②病院短期","対象外")),IF($AJ534=30,"③特定消防",IF(AND(OR($A534=21,$A534=215),$AJ534=10),"④一般",IF(AND($A534=31,$AJ534=41),"⑤短期","対象外")))))</f>
        <v>①病院一般</v>
      </c>
      <c r="DC534" s="0" t="n">
        <f aca="false">IF($A534="","",IF($AB534&amp;""=設定!$C$4,1,0))</f>
        <v>1</v>
      </c>
    </row>
    <row r="535" customFormat="false" ht="15" hidden="false" customHeight="false" outlineLevel="0" collapsed="false">
      <c r="A535" s="0" t="n">
        <v>21</v>
      </c>
      <c r="AA535" s="0" t="n">
        <v>21</v>
      </c>
      <c r="AB535" s="0" t="s">
        <v>96</v>
      </c>
      <c r="AD535" s="0" t="n">
        <v>0</v>
      </c>
      <c r="AE535" s="0" t="s">
        <v>295</v>
      </c>
      <c r="AH535" s="0" t="n">
        <v>20</v>
      </c>
      <c r="AJ535" s="0" t="n">
        <v>10</v>
      </c>
      <c r="AP535" s="0" t="n">
        <v>280000</v>
      </c>
      <c r="DB535" s="0" t="str">
        <f aca="false">IF($A535="","",IF($AH535=20,IF(AND(OR($A535=21,$A535=215),$AJ535=10),"①病院一般",IF(AND($A535=31,$AJ535=41),"②病院短期","対象外")),IF($AJ535=30,"③特定消防",IF(AND(OR($A535=21,$A535=215),$AJ535=10),"④一般",IF(AND($A535=31,$AJ535=41),"⑤短期","対象外")))))</f>
        <v>①病院一般</v>
      </c>
      <c r="DC535" s="0" t="n">
        <f aca="false">IF($A535="","",IF($AB535&amp;""=設定!$C$4,1,0))</f>
        <v>1</v>
      </c>
    </row>
    <row r="536" customFormat="false" ht="15" hidden="false" customHeight="false" outlineLevel="0" collapsed="false">
      <c r="A536" s="0" t="n">
        <v>21</v>
      </c>
      <c r="AA536" s="0" t="n">
        <v>21</v>
      </c>
      <c r="AB536" s="0" t="s">
        <v>96</v>
      </c>
      <c r="AD536" s="0" t="n">
        <v>0</v>
      </c>
      <c r="AE536" s="0" t="s">
        <v>295</v>
      </c>
      <c r="AH536" s="0" t="n">
        <v>20</v>
      </c>
      <c r="AJ536" s="0" t="n">
        <v>10</v>
      </c>
      <c r="AP536" s="0" t="n">
        <v>260000</v>
      </c>
      <c r="DB536" s="0" t="str">
        <f aca="false">IF($A536="","",IF($AH536=20,IF(AND(OR($A536=21,$A536=215),$AJ536=10),"①病院一般",IF(AND($A536=31,$AJ536=41),"②病院短期","対象外")),IF($AJ536=30,"③特定消防",IF(AND(OR($A536=21,$A536=215),$AJ536=10),"④一般",IF(AND($A536=31,$AJ536=41),"⑤短期","対象外")))))</f>
        <v>①病院一般</v>
      </c>
      <c r="DC536" s="0" t="n">
        <f aca="false">IF($A536="","",IF($AB536&amp;""=設定!$C$4,1,0))</f>
        <v>1</v>
      </c>
    </row>
    <row r="537" customFormat="false" ht="15" hidden="false" customHeight="false" outlineLevel="0" collapsed="false">
      <c r="A537" s="0" t="n">
        <v>21</v>
      </c>
      <c r="AA537" s="0" t="n">
        <v>21</v>
      </c>
      <c r="AB537" s="0" t="s">
        <v>96</v>
      </c>
      <c r="AD537" s="0" t="n">
        <v>0</v>
      </c>
      <c r="AE537" s="0" t="s">
        <v>295</v>
      </c>
      <c r="AH537" s="0" t="n">
        <v>20</v>
      </c>
      <c r="AJ537" s="0" t="n">
        <v>10</v>
      </c>
      <c r="AP537" s="0" t="n">
        <v>260000</v>
      </c>
      <c r="DB537" s="0" t="str">
        <f aca="false">IF($A537="","",IF($AH537=20,IF(AND(OR($A537=21,$A537=215),$AJ537=10),"①病院一般",IF(AND($A537=31,$AJ537=41),"②病院短期","対象外")),IF($AJ537=30,"③特定消防",IF(AND(OR($A537=21,$A537=215),$AJ537=10),"④一般",IF(AND($A537=31,$AJ537=41),"⑤短期","対象外")))))</f>
        <v>①病院一般</v>
      </c>
      <c r="DC537" s="0" t="n">
        <f aca="false">IF($A537="","",IF($AB537&amp;""=設定!$C$4,1,0))</f>
        <v>1</v>
      </c>
    </row>
    <row r="538" customFormat="false" ht="15" hidden="false" customHeight="false" outlineLevel="0" collapsed="false">
      <c r="A538" s="0" t="n">
        <v>21</v>
      </c>
      <c r="AA538" s="0" t="n">
        <v>21</v>
      </c>
      <c r="AB538" s="0" t="s">
        <v>96</v>
      </c>
      <c r="AD538" s="0" t="n">
        <v>0</v>
      </c>
      <c r="AE538" s="0" t="s">
        <v>295</v>
      </c>
      <c r="AH538" s="0" t="n">
        <v>20</v>
      </c>
      <c r="AJ538" s="0" t="n">
        <v>10</v>
      </c>
      <c r="AP538" s="0" t="n">
        <v>240000</v>
      </c>
      <c r="DB538" s="0" t="str">
        <f aca="false">IF($A538="","",IF($AH538=20,IF(AND(OR($A538=21,$A538=215),$AJ538=10),"①病院一般",IF(AND($A538=31,$AJ538=41),"②病院短期","対象外")),IF($AJ538=30,"③特定消防",IF(AND(OR($A538=21,$A538=215),$AJ538=10),"④一般",IF(AND($A538=31,$AJ538=41),"⑤短期","対象外")))))</f>
        <v>①病院一般</v>
      </c>
      <c r="DC538" s="0" t="n">
        <f aca="false">IF($A538="","",IF($AB538&amp;""=設定!$C$4,1,0))</f>
        <v>1</v>
      </c>
    </row>
    <row r="539" customFormat="false" ht="15" hidden="false" customHeight="false" outlineLevel="0" collapsed="false">
      <c r="A539" s="0" t="n">
        <v>21</v>
      </c>
      <c r="AA539" s="0" t="n">
        <v>21</v>
      </c>
      <c r="AB539" s="0" t="s">
        <v>96</v>
      </c>
      <c r="AD539" s="0" t="n">
        <v>0</v>
      </c>
      <c r="AE539" s="0" t="s">
        <v>295</v>
      </c>
      <c r="AH539" s="0" t="n">
        <v>20</v>
      </c>
      <c r="AJ539" s="0" t="n">
        <v>10</v>
      </c>
      <c r="AP539" s="0" t="n">
        <v>260000</v>
      </c>
      <c r="DB539" s="0" t="str">
        <f aca="false">IF($A539="","",IF($AH539=20,IF(AND(OR($A539=21,$A539=215),$AJ539=10),"①病院一般",IF(AND($A539=31,$AJ539=41),"②病院短期","対象外")),IF($AJ539=30,"③特定消防",IF(AND(OR($A539=21,$A539=215),$AJ539=10),"④一般",IF(AND($A539=31,$AJ539=41),"⑤短期","対象外")))))</f>
        <v>①病院一般</v>
      </c>
      <c r="DC539" s="0" t="n">
        <f aca="false">IF($A539="","",IF($AB539&amp;""=設定!$C$4,1,0))</f>
        <v>1</v>
      </c>
    </row>
    <row r="540" customFormat="false" ht="15" hidden="false" customHeight="false" outlineLevel="0" collapsed="false">
      <c r="A540" s="0" t="n">
        <v>21</v>
      </c>
      <c r="AA540" s="0" t="n">
        <v>21</v>
      </c>
      <c r="AB540" s="0" t="s">
        <v>96</v>
      </c>
      <c r="AD540" s="0" t="n">
        <v>0</v>
      </c>
      <c r="AE540" s="0" t="s">
        <v>295</v>
      </c>
      <c r="AH540" s="0" t="n">
        <v>20</v>
      </c>
      <c r="AJ540" s="0" t="n">
        <v>10</v>
      </c>
      <c r="AP540" s="0" t="n">
        <v>260000</v>
      </c>
      <c r="DB540" s="0" t="str">
        <f aca="false">IF($A540="","",IF($AH540=20,IF(AND(OR($A540=21,$A540=215),$AJ540=10),"①病院一般",IF(AND($A540=31,$AJ540=41),"②病院短期","対象外")),IF($AJ540=30,"③特定消防",IF(AND(OR($A540=21,$A540=215),$AJ540=10),"④一般",IF(AND($A540=31,$AJ540=41),"⑤短期","対象外")))))</f>
        <v>①病院一般</v>
      </c>
      <c r="DC540" s="0" t="n">
        <f aca="false">IF($A540="","",IF($AB540&amp;""=設定!$C$4,1,0))</f>
        <v>1</v>
      </c>
    </row>
    <row r="541" customFormat="false" ht="15" hidden="false" customHeight="false" outlineLevel="0" collapsed="false">
      <c r="A541" s="0" t="n">
        <v>21</v>
      </c>
      <c r="AA541" s="0" t="n">
        <v>21</v>
      </c>
      <c r="AB541" s="0" t="s">
        <v>96</v>
      </c>
      <c r="AD541" s="0" t="n">
        <v>0</v>
      </c>
      <c r="AE541" s="0" t="s">
        <v>295</v>
      </c>
      <c r="AH541" s="0" t="n">
        <v>20</v>
      </c>
      <c r="AJ541" s="0" t="n">
        <v>10</v>
      </c>
      <c r="AP541" s="0" t="n">
        <v>280000</v>
      </c>
      <c r="DB541" s="0" t="str">
        <f aca="false">IF($A541="","",IF($AH541=20,IF(AND(OR($A541=21,$A541=215),$AJ541=10),"①病院一般",IF(AND($A541=31,$AJ541=41),"②病院短期","対象外")),IF($AJ541=30,"③特定消防",IF(AND(OR($A541=21,$A541=215),$AJ541=10),"④一般",IF(AND($A541=31,$AJ541=41),"⑤短期","対象外")))))</f>
        <v>①病院一般</v>
      </c>
      <c r="DC541" s="0" t="n">
        <f aca="false">IF($A541="","",IF($AB541&amp;""=設定!$C$4,1,0))</f>
        <v>1</v>
      </c>
    </row>
    <row r="542" customFormat="false" ht="15" hidden="false" customHeight="false" outlineLevel="0" collapsed="false">
      <c r="A542" s="0" t="n">
        <v>21</v>
      </c>
      <c r="AA542" s="0" t="n">
        <v>21</v>
      </c>
      <c r="AB542" s="0" t="s">
        <v>96</v>
      </c>
      <c r="AD542" s="0" t="n">
        <v>0</v>
      </c>
      <c r="AE542" s="0" t="s">
        <v>295</v>
      </c>
      <c r="AH542" s="0" t="n">
        <v>20</v>
      </c>
      <c r="AJ542" s="0" t="n">
        <v>10</v>
      </c>
      <c r="AP542" s="0" t="n">
        <v>280000</v>
      </c>
      <c r="DB542" s="0" t="str">
        <f aca="false">IF($A542="","",IF($AH542=20,IF(AND(OR($A542=21,$A542=215),$AJ542=10),"①病院一般",IF(AND($A542=31,$AJ542=41),"②病院短期","対象外")),IF($AJ542=30,"③特定消防",IF(AND(OR($A542=21,$A542=215),$AJ542=10),"④一般",IF(AND($A542=31,$AJ542=41),"⑤短期","対象外")))))</f>
        <v>①病院一般</v>
      </c>
      <c r="DC542" s="0" t="n">
        <f aca="false">IF($A542="","",IF($AB542&amp;""=設定!$C$4,1,0))</f>
        <v>1</v>
      </c>
    </row>
    <row r="543" customFormat="false" ht="15" hidden="false" customHeight="false" outlineLevel="0" collapsed="false">
      <c r="A543" s="0" t="n">
        <v>21</v>
      </c>
      <c r="AA543" s="0" t="n">
        <v>21</v>
      </c>
      <c r="AB543" s="0" t="s">
        <v>96</v>
      </c>
      <c r="AD543" s="0" t="n">
        <v>0</v>
      </c>
      <c r="AE543" s="0" t="s">
        <v>295</v>
      </c>
      <c r="AH543" s="0" t="n">
        <v>20</v>
      </c>
      <c r="AJ543" s="0" t="n">
        <v>10</v>
      </c>
      <c r="AP543" s="0" t="n">
        <v>260000</v>
      </c>
      <c r="DB543" s="0" t="str">
        <f aca="false">IF($A543="","",IF($AH543=20,IF(AND(OR($A543=21,$A543=215),$AJ543=10),"①病院一般",IF(AND($A543=31,$AJ543=41),"②病院短期","対象外")),IF($AJ543=30,"③特定消防",IF(AND(OR($A543=21,$A543=215),$AJ543=10),"④一般",IF(AND($A543=31,$AJ543=41),"⑤短期","対象外")))))</f>
        <v>①病院一般</v>
      </c>
      <c r="DC543" s="0" t="n">
        <f aca="false">IF($A543="","",IF($AB543&amp;""=設定!$C$4,1,0))</f>
        <v>1</v>
      </c>
    </row>
    <row r="544" customFormat="false" ht="15" hidden="false" customHeight="false" outlineLevel="0" collapsed="false">
      <c r="A544" s="0" t="n">
        <v>21</v>
      </c>
      <c r="AA544" s="0" t="n">
        <v>21</v>
      </c>
      <c r="AB544" s="0" t="s">
        <v>96</v>
      </c>
      <c r="AD544" s="0" t="n">
        <v>0</v>
      </c>
      <c r="AE544" s="0" t="s">
        <v>295</v>
      </c>
      <c r="AH544" s="0" t="n">
        <v>20</v>
      </c>
      <c r="AJ544" s="0" t="n">
        <v>10</v>
      </c>
      <c r="AP544" s="0" t="n">
        <v>260000</v>
      </c>
      <c r="DB544" s="0" t="str">
        <f aca="false">IF($A544="","",IF($AH544=20,IF(AND(OR($A544=21,$A544=215),$AJ544=10),"①病院一般",IF(AND($A544=31,$AJ544=41),"②病院短期","対象外")),IF($AJ544=30,"③特定消防",IF(AND(OR($A544=21,$A544=215),$AJ544=10),"④一般",IF(AND($A544=31,$AJ544=41),"⑤短期","対象外")))))</f>
        <v>①病院一般</v>
      </c>
      <c r="DC544" s="0" t="n">
        <f aca="false">IF($A544="","",IF($AB544&amp;""=設定!$C$4,1,0))</f>
        <v>1</v>
      </c>
    </row>
    <row r="545" customFormat="false" ht="15" hidden="false" customHeight="false" outlineLevel="0" collapsed="false">
      <c r="A545" s="0" t="n">
        <v>21</v>
      </c>
      <c r="AA545" s="0" t="n">
        <v>21</v>
      </c>
      <c r="AB545" s="0" t="s">
        <v>96</v>
      </c>
      <c r="AD545" s="0" t="n">
        <v>0</v>
      </c>
      <c r="AE545" s="0" t="s">
        <v>295</v>
      </c>
      <c r="AH545" s="0" t="n">
        <v>20</v>
      </c>
      <c r="AJ545" s="0" t="n">
        <v>10</v>
      </c>
      <c r="AP545" s="0" t="n">
        <v>300000</v>
      </c>
      <c r="DB545" s="0" t="str">
        <f aca="false">IF($A545="","",IF($AH545=20,IF(AND(OR($A545=21,$A545=215),$AJ545=10),"①病院一般",IF(AND($A545=31,$AJ545=41),"②病院短期","対象外")),IF($AJ545=30,"③特定消防",IF(AND(OR($A545=21,$A545=215),$AJ545=10),"④一般",IF(AND($A545=31,$AJ545=41),"⑤短期","対象外")))))</f>
        <v>①病院一般</v>
      </c>
      <c r="DC545" s="0" t="n">
        <f aca="false">IF($A545="","",IF($AB545&amp;""=設定!$C$4,1,0))</f>
        <v>1</v>
      </c>
    </row>
    <row r="546" customFormat="false" ht="15" hidden="false" customHeight="false" outlineLevel="0" collapsed="false">
      <c r="A546" s="0" t="n">
        <v>21</v>
      </c>
      <c r="AA546" s="0" t="n">
        <v>21</v>
      </c>
      <c r="AB546" s="0" t="s">
        <v>96</v>
      </c>
      <c r="AD546" s="0" t="n">
        <v>0</v>
      </c>
      <c r="AE546" s="0" t="s">
        <v>295</v>
      </c>
      <c r="AH546" s="0" t="n">
        <v>20</v>
      </c>
      <c r="AJ546" s="0" t="n">
        <v>10</v>
      </c>
      <c r="AP546" s="0" t="n">
        <v>260000</v>
      </c>
      <c r="DB546" s="0" t="str">
        <f aca="false">IF($A546="","",IF($AH546=20,IF(AND(OR($A546=21,$A546=215),$AJ546=10),"①病院一般",IF(AND($A546=31,$AJ546=41),"②病院短期","対象外")),IF($AJ546=30,"③特定消防",IF(AND(OR($A546=21,$A546=215),$AJ546=10),"④一般",IF(AND($A546=31,$AJ546=41),"⑤短期","対象外")))))</f>
        <v>①病院一般</v>
      </c>
      <c r="DC546" s="0" t="n">
        <f aca="false">IF($A546="","",IF($AB546&amp;""=設定!$C$4,1,0))</f>
        <v>1</v>
      </c>
    </row>
    <row r="547" customFormat="false" ht="15" hidden="false" customHeight="false" outlineLevel="0" collapsed="false">
      <c r="A547" s="0" t="n">
        <v>21</v>
      </c>
      <c r="AA547" s="0" t="n">
        <v>21</v>
      </c>
      <c r="AB547" s="0" t="s">
        <v>96</v>
      </c>
      <c r="AD547" s="0" t="n">
        <v>0</v>
      </c>
      <c r="AE547" s="0" t="s">
        <v>295</v>
      </c>
      <c r="AH547" s="0" t="n">
        <v>20</v>
      </c>
      <c r="AJ547" s="0" t="n">
        <v>10</v>
      </c>
      <c r="AP547" s="0" t="n">
        <v>340000</v>
      </c>
      <c r="DB547" s="0" t="str">
        <f aca="false">IF($A547="","",IF($AH547=20,IF(AND(OR($A547=21,$A547=215),$AJ547=10),"①病院一般",IF(AND($A547=31,$AJ547=41),"②病院短期","対象外")),IF($AJ547=30,"③特定消防",IF(AND(OR($A547=21,$A547=215),$AJ547=10),"④一般",IF(AND($A547=31,$AJ547=41),"⑤短期","対象外")))))</f>
        <v>①病院一般</v>
      </c>
      <c r="DC547" s="0" t="n">
        <f aca="false">IF($A547="","",IF($AB547&amp;""=設定!$C$4,1,0))</f>
        <v>1</v>
      </c>
    </row>
    <row r="548" customFormat="false" ht="15" hidden="false" customHeight="false" outlineLevel="0" collapsed="false">
      <c r="A548" s="0" t="n">
        <v>21</v>
      </c>
      <c r="AA548" s="0" t="n">
        <v>21</v>
      </c>
      <c r="AB548" s="0" t="s">
        <v>96</v>
      </c>
      <c r="AD548" s="0" t="n">
        <v>0</v>
      </c>
      <c r="AE548" s="0" t="s">
        <v>295</v>
      </c>
      <c r="AH548" s="0" t="n">
        <v>20</v>
      </c>
      <c r="AJ548" s="0" t="n">
        <v>10</v>
      </c>
      <c r="AP548" s="0" t="n">
        <v>260000</v>
      </c>
      <c r="DB548" s="0" t="str">
        <f aca="false">IF($A548="","",IF($AH548=20,IF(AND(OR($A548=21,$A548=215),$AJ548=10),"①病院一般",IF(AND($A548=31,$AJ548=41),"②病院短期","対象外")),IF($AJ548=30,"③特定消防",IF(AND(OR($A548=21,$A548=215),$AJ548=10),"④一般",IF(AND($A548=31,$AJ548=41),"⑤短期","対象外")))))</f>
        <v>①病院一般</v>
      </c>
      <c r="DC548" s="0" t="n">
        <f aca="false">IF($A548="","",IF($AB548&amp;""=設定!$C$4,1,0))</f>
        <v>1</v>
      </c>
    </row>
    <row r="549" customFormat="false" ht="15" hidden="false" customHeight="false" outlineLevel="0" collapsed="false">
      <c r="A549" s="0" t="n">
        <v>21</v>
      </c>
      <c r="AA549" s="0" t="n">
        <v>21</v>
      </c>
      <c r="AB549" s="0" t="s">
        <v>96</v>
      </c>
      <c r="AD549" s="0" t="n">
        <v>0</v>
      </c>
      <c r="AE549" s="0" t="s">
        <v>295</v>
      </c>
      <c r="AH549" s="0" t="n">
        <v>20</v>
      </c>
      <c r="AJ549" s="0" t="n">
        <v>10</v>
      </c>
      <c r="AP549" s="0" t="n">
        <v>300000</v>
      </c>
      <c r="DB549" s="0" t="str">
        <f aca="false">IF($A549="","",IF($AH549=20,IF(AND(OR($A549=21,$A549=215),$AJ549=10),"①病院一般",IF(AND($A549=31,$AJ549=41),"②病院短期","対象外")),IF($AJ549=30,"③特定消防",IF(AND(OR($A549=21,$A549=215),$AJ549=10),"④一般",IF(AND($A549=31,$AJ549=41),"⑤短期","対象外")))))</f>
        <v>①病院一般</v>
      </c>
      <c r="DC549" s="0" t="n">
        <f aca="false">IF($A549="","",IF($AB549&amp;""=設定!$C$4,1,0))</f>
        <v>1</v>
      </c>
    </row>
    <row r="550" customFormat="false" ht="15" hidden="false" customHeight="false" outlineLevel="0" collapsed="false">
      <c r="A550" s="0" t="n">
        <v>21</v>
      </c>
      <c r="AA550" s="0" t="n">
        <v>21</v>
      </c>
      <c r="AB550" s="0" t="s">
        <v>96</v>
      </c>
      <c r="AD550" s="0" t="n">
        <v>0</v>
      </c>
      <c r="AE550" s="0" t="s">
        <v>295</v>
      </c>
      <c r="AH550" s="0" t="n">
        <v>20</v>
      </c>
      <c r="AJ550" s="0" t="n">
        <v>10</v>
      </c>
      <c r="AP550" s="0" t="n">
        <v>280000</v>
      </c>
      <c r="DB550" s="0" t="str">
        <f aca="false">IF($A550="","",IF($AH550=20,IF(AND(OR($A550=21,$A550=215),$AJ550=10),"①病院一般",IF(AND($A550=31,$AJ550=41),"②病院短期","対象外")),IF($AJ550=30,"③特定消防",IF(AND(OR($A550=21,$A550=215),$AJ550=10),"④一般",IF(AND($A550=31,$AJ550=41),"⑤短期","対象外")))))</f>
        <v>①病院一般</v>
      </c>
      <c r="DC550" s="0" t="n">
        <f aca="false">IF($A550="","",IF($AB550&amp;""=設定!$C$4,1,0))</f>
        <v>1</v>
      </c>
    </row>
    <row r="551" customFormat="false" ht="15" hidden="false" customHeight="false" outlineLevel="0" collapsed="false">
      <c r="A551" s="0" t="n">
        <v>21</v>
      </c>
      <c r="AA551" s="0" t="n">
        <v>21</v>
      </c>
      <c r="AB551" s="0" t="s">
        <v>96</v>
      </c>
      <c r="AD551" s="0" t="n">
        <v>0</v>
      </c>
      <c r="AE551" s="0" t="s">
        <v>295</v>
      </c>
      <c r="AH551" s="0" t="n">
        <v>20</v>
      </c>
      <c r="AJ551" s="0" t="n">
        <v>10</v>
      </c>
      <c r="AP551" s="0" t="n">
        <v>360000</v>
      </c>
      <c r="DB551" s="0" t="str">
        <f aca="false">IF($A551="","",IF($AH551=20,IF(AND(OR($A551=21,$A551=215),$AJ551=10),"①病院一般",IF(AND($A551=31,$AJ551=41),"②病院短期","対象外")),IF($AJ551=30,"③特定消防",IF(AND(OR($A551=21,$A551=215),$AJ551=10),"④一般",IF(AND($A551=31,$AJ551=41),"⑤短期","対象外")))))</f>
        <v>①病院一般</v>
      </c>
      <c r="DC551" s="0" t="n">
        <f aca="false">IF($A551="","",IF($AB551&amp;""=設定!$C$4,1,0))</f>
        <v>1</v>
      </c>
    </row>
    <row r="552" customFormat="false" ht="15" hidden="false" customHeight="false" outlineLevel="0" collapsed="false">
      <c r="A552" s="0" t="n">
        <v>21</v>
      </c>
      <c r="AA552" s="0" t="n">
        <v>21</v>
      </c>
      <c r="AB552" s="0" t="s">
        <v>96</v>
      </c>
      <c r="AD552" s="0" t="n">
        <v>0</v>
      </c>
      <c r="AE552" s="0" t="s">
        <v>295</v>
      </c>
      <c r="AH552" s="0" t="n">
        <v>20</v>
      </c>
      <c r="AJ552" s="0" t="n">
        <v>10</v>
      </c>
      <c r="AP552" s="0" t="n">
        <v>300000</v>
      </c>
      <c r="DB552" s="0" t="str">
        <f aca="false">IF($A552="","",IF($AH552=20,IF(AND(OR($A552=21,$A552=215),$AJ552=10),"①病院一般",IF(AND($A552=31,$AJ552=41),"②病院短期","対象外")),IF($AJ552=30,"③特定消防",IF(AND(OR($A552=21,$A552=215),$AJ552=10),"④一般",IF(AND($A552=31,$AJ552=41),"⑤短期","対象外")))))</f>
        <v>①病院一般</v>
      </c>
      <c r="DC552" s="0" t="n">
        <f aca="false">IF($A552="","",IF($AB552&amp;""=設定!$C$4,1,0))</f>
        <v>1</v>
      </c>
    </row>
    <row r="553" customFormat="false" ht="15" hidden="false" customHeight="false" outlineLevel="0" collapsed="false">
      <c r="A553" s="0" t="n">
        <v>21</v>
      </c>
      <c r="AA553" s="0" t="n">
        <v>21</v>
      </c>
      <c r="AB553" s="0" t="s">
        <v>96</v>
      </c>
      <c r="AD553" s="0" t="n">
        <v>0</v>
      </c>
      <c r="AE553" s="0" t="s">
        <v>295</v>
      </c>
      <c r="AH553" s="0" t="n">
        <v>20</v>
      </c>
      <c r="AJ553" s="0" t="n">
        <v>10</v>
      </c>
      <c r="AP553" s="0" t="n">
        <v>280000</v>
      </c>
      <c r="DB553" s="0" t="str">
        <f aca="false">IF($A553="","",IF($AH553=20,IF(AND(OR($A553=21,$A553=215),$AJ553=10),"①病院一般",IF(AND($A553=31,$AJ553=41),"②病院短期","対象外")),IF($AJ553=30,"③特定消防",IF(AND(OR($A553=21,$A553=215),$AJ553=10),"④一般",IF(AND($A553=31,$AJ553=41),"⑤短期","対象外")))))</f>
        <v>①病院一般</v>
      </c>
      <c r="DC553" s="0" t="n">
        <f aca="false">IF($A553="","",IF($AB553&amp;""=設定!$C$4,1,0))</f>
        <v>1</v>
      </c>
    </row>
    <row r="554" customFormat="false" ht="15" hidden="false" customHeight="false" outlineLevel="0" collapsed="false">
      <c r="A554" s="0" t="n">
        <v>21</v>
      </c>
      <c r="AA554" s="0" t="n">
        <v>21</v>
      </c>
      <c r="AB554" s="0" t="s">
        <v>96</v>
      </c>
      <c r="AD554" s="0" t="n">
        <v>0</v>
      </c>
      <c r="AE554" s="0" t="s">
        <v>295</v>
      </c>
      <c r="AH554" s="0" t="n">
        <v>20</v>
      </c>
      <c r="AJ554" s="0" t="n">
        <v>10</v>
      </c>
      <c r="AP554" s="0" t="n">
        <v>280000</v>
      </c>
      <c r="DB554" s="0" t="str">
        <f aca="false">IF($A554="","",IF($AH554=20,IF(AND(OR($A554=21,$A554=215),$AJ554=10),"①病院一般",IF(AND($A554=31,$AJ554=41),"②病院短期","対象外")),IF($AJ554=30,"③特定消防",IF(AND(OR($A554=21,$A554=215),$AJ554=10),"④一般",IF(AND($A554=31,$AJ554=41),"⑤短期","対象外")))))</f>
        <v>①病院一般</v>
      </c>
      <c r="DC554" s="0" t="n">
        <f aca="false">IF($A554="","",IF($AB554&amp;""=設定!$C$4,1,0))</f>
        <v>1</v>
      </c>
    </row>
    <row r="555" customFormat="false" ht="15" hidden="false" customHeight="false" outlineLevel="0" collapsed="false">
      <c r="A555" s="0" t="n">
        <v>21</v>
      </c>
      <c r="AA555" s="0" t="n">
        <v>21</v>
      </c>
      <c r="AB555" s="0" t="s">
        <v>96</v>
      </c>
      <c r="AD555" s="0" t="n">
        <v>0</v>
      </c>
      <c r="AE555" s="0" t="s">
        <v>295</v>
      </c>
      <c r="AH555" s="0" t="n">
        <v>20</v>
      </c>
      <c r="AJ555" s="0" t="n">
        <v>10</v>
      </c>
      <c r="AP555" s="0" t="n">
        <v>440000</v>
      </c>
      <c r="DB555" s="0" t="str">
        <f aca="false">IF($A555="","",IF($AH555=20,IF(AND(OR($A555=21,$A555=215),$AJ555=10),"①病院一般",IF(AND($A555=31,$AJ555=41),"②病院短期","対象外")),IF($AJ555=30,"③特定消防",IF(AND(OR($A555=21,$A555=215),$AJ555=10),"④一般",IF(AND($A555=31,$AJ555=41),"⑤短期","対象外")))))</f>
        <v>①病院一般</v>
      </c>
      <c r="DC555" s="0" t="n">
        <f aca="false">IF($A555="","",IF($AB555&amp;""=設定!$C$4,1,0))</f>
        <v>1</v>
      </c>
    </row>
    <row r="556" customFormat="false" ht="15" hidden="false" customHeight="false" outlineLevel="0" collapsed="false">
      <c r="A556" s="0" t="n">
        <v>21</v>
      </c>
      <c r="AA556" s="0" t="n">
        <v>21</v>
      </c>
      <c r="AB556" s="0" t="s">
        <v>96</v>
      </c>
      <c r="AD556" s="0" t="n">
        <v>0</v>
      </c>
      <c r="AE556" s="0" t="s">
        <v>295</v>
      </c>
      <c r="AH556" s="0" t="n">
        <v>20</v>
      </c>
      <c r="AJ556" s="0" t="n">
        <v>10</v>
      </c>
      <c r="AP556" s="0" t="n">
        <v>240000</v>
      </c>
      <c r="DB556" s="0" t="str">
        <f aca="false">IF($A556="","",IF($AH556=20,IF(AND(OR($A556=21,$A556=215),$AJ556=10),"①病院一般",IF(AND($A556=31,$AJ556=41),"②病院短期","対象外")),IF($AJ556=30,"③特定消防",IF(AND(OR($A556=21,$A556=215),$AJ556=10),"④一般",IF(AND($A556=31,$AJ556=41),"⑤短期","対象外")))))</f>
        <v>①病院一般</v>
      </c>
      <c r="DC556" s="0" t="n">
        <f aca="false">IF($A556="","",IF($AB556&amp;""=設定!$C$4,1,0))</f>
        <v>1</v>
      </c>
    </row>
    <row r="557" customFormat="false" ht="15" hidden="false" customHeight="false" outlineLevel="0" collapsed="false">
      <c r="A557" s="0" t="n">
        <v>21</v>
      </c>
      <c r="AA557" s="0" t="n">
        <v>21</v>
      </c>
      <c r="AB557" s="0" t="s">
        <v>96</v>
      </c>
      <c r="AD557" s="0" t="n">
        <v>0</v>
      </c>
      <c r="AE557" s="0" t="s">
        <v>295</v>
      </c>
      <c r="AH557" s="0" t="n">
        <v>20</v>
      </c>
      <c r="AJ557" s="0" t="n">
        <v>10</v>
      </c>
      <c r="AP557" s="0" t="n">
        <v>280000</v>
      </c>
      <c r="DB557" s="0" t="str">
        <f aca="false">IF($A557="","",IF($AH557=20,IF(AND(OR($A557=21,$A557=215),$AJ557=10),"①病院一般",IF(AND($A557=31,$AJ557=41),"②病院短期","対象外")),IF($AJ557=30,"③特定消防",IF(AND(OR($A557=21,$A557=215),$AJ557=10),"④一般",IF(AND($A557=31,$AJ557=41),"⑤短期","対象外")))))</f>
        <v>①病院一般</v>
      </c>
      <c r="DC557" s="0" t="n">
        <f aca="false">IF($A557="","",IF($AB557&amp;""=設定!$C$4,1,0))</f>
        <v>1</v>
      </c>
    </row>
    <row r="558" customFormat="false" ht="15" hidden="false" customHeight="false" outlineLevel="0" collapsed="false">
      <c r="A558" s="0" t="n">
        <v>21</v>
      </c>
      <c r="AA558" s="0" t="n">
        <v>21</v>
      </c>
      <c r="AB558" s="0" t="s">
        <v>96</v>
      </c>
      <c r="AD558" s="0" t="n">
        <v>0</v>
      </c>
      <c r="AE558" s="0" t="s">
        <v>295</v>
      </c>
      <c r="AH558" s="0" t="n">
        <v>20</v>
      </c>
      <c r="AJ558" s="0" t="n">
        <v>10</v>
      </c>
      <c r="AP558" s="0" t="n">
        <v>280000</v>
      </c>
      <c r="DB558" s="0" t="str">
        <f aca="false">IF($A558="","",IF($AH558=20,IF(AND(OR($A558=21,$A558=215),$AJ558=10),"①病院一般",IF(AND($A558=31,$AJ558=41),"②病院短期","対象外")),IF($AJ558=30,"③特定消防",IF(AND(OR($A558=21,$A558=215),$AJ558=10),"④一般",IF(AND($A558=31,$AJ558=41),"⑤短期","対象外")))))</f>
        <v>①病院一般</v>
      </c>
      <c r="DC558" s="0" t="n">
        <f aca="false">IF($A558="","",IF($AB558&amp;""=設定!$C$4,1,0))</f>
        <v>1</v>
      </c>
    </row>
    <row r="559" customFormat="false" ht="15" hidden="false" customHeight="false" outlineLevel="0" collapsed="false">
      <c r="A559" s="0" t="n">
        <v>21</v>
      </c>
      <c r="AA559" s="0" t="n">
        <v>21</v>
      </c>
      <c r="AB559" s="0" t="s">
        <v>96</v>
      </c>
      <c r="AD559" s="0" t="n">
        <v>0</v>
      </c>
      <c r="AE559" s="0" t="s">
        <v>295</v>
      </c>
      <c r="AH559" s="0" t="n">
        <v>20</v>
      </c>
      <c r="AJ559" s="0" t="n">
        <v>10</v>
      </c>
      <c r="AP559" s="0" t="n">
        <v>320000</v>
      </c>
      <c r="DB559" s="0" t="str">
        <f aca="false">IF($A559="","",IF($AH559=20,IF(AND(OR($A559=21,$A559=215),$AJ559=10),"①病院一般",IF(AND($A559=31,$AJ559=41),"②病院短期","対象外")),IF($AJ559=30,"③特定消防",IF(AND(OR($A559=21,$A559=215),$AJ559=10),"④一般",IF(AND($A559=31,$AJ559=41),"⑤短期","対象外")))))</f>
        <v>①病院一般</v>
      </c>
      <c r="DC559" s="0" t="n">
        <f aca="false">IF($A559="","",IF($AB559&amp;""=設定!$C$4,1,0))</f>
        <v>1</v>
      </c>
    </row>
    <row r="560" customFormat="false" ht="15" hidden="false" customHeight="false" outlineLevel="0" collapsed="false">
      <c r="A560" s="0" t="n">
        <v>21</v>
      </c>
      <c r="AA560" s="0" t="n">
        <v>21</v>
      </c>
      <c r="AB560" s="0" t="s">
        <v>96</v>
      </c>
      <c r="AD560" s="0" t="n">
        <v>0</v>
      </c>
      <c r="AE560" s="0" t="s">
        <v>295</v>
      </c>
      <c r="AH560" s="0" t="n">
        <v>20</v>
      </c>
      <c r="AJ560" s="0" t="n">
        <v>10</v>
      </c>
      <c r="AP560" s="0" t="n">
        <v>320000</v>
      </c>
      <c r="DB560" s="0" t="str">
        <f aca="false">IF($A560="","",IF($AH560=20,IF(AND(OR($A560=21,$A560=215),$AJ560=10),"①病院一般",IF(AND($A560=31,$AJ560=41),"②病院短期","対象外")),IF($AJ560=30,"③特定消防",IF(AND(OR($A560=21,$A560=215),$AJ560=10),"④一般",IF(AND($A560=31,$AJ560=41),"⑤短期","対象外")))))</f>
        <v>①病院一般</v>
      </c>
      <c r="DC560" s="0" t="n">
        <f aca="false">IF($A560="","",IF($AB560&amp;""=設定!$C$4,1,0))</f>
        <v>1</v>
      </c>
    </row>
    <row r="561" customFormat="false" ht="15" hidden="false" customHeight="false" outlineLevel="0" collapsed="false">
      <c r="A561" s="0" t="n">
        <v>21</v>
      </c>
      <c r="AA561" s="0" t="n">
        <v>21</v>
      </c>
      <c r="AB561" s="0" t="s">
        <v>96</v>
      </c>
      <c r="AD561" s="0" t="n">
        <v>0</v>
      </c>
      <c r="AE561" s="0" t="s">
        <v>295</v>
      </c>
      <c r="AH561" s="0" t="n">
        <v>20</v>
      </c>
      <c r="AJ561" s="0" t="n">
        <v>10</v>
      </c>
      <c r="AP561" s="0" t="n">
        <v>280000</v>
      </c>
      <c r="DB561" s="0" t="str">
        <f aca="false">IF($A561="","",IF($AH561=20,IF(AND(OR($A561=21,$A561=215),$AJ561=10),"①病院一般",IF(AND($A561=31,$AJ561=41),"②病院短期","対象外")),IF($AJ561=30,"③特定消防",IF(AND(OR($A561=21,$A561=215),$AJ561=10),"④一般",IF(AND($A561=31,$AJ561=41),"⑤短期","対象外")))))</f>
        <v>①病院一般</v>
      </c>
      <c r="DC561" s="0" t="n">
        <f aca="false">IF($A561="","",IF($AB561&amp;""=設定!$C$4,1,0))</f>
        <v>1</v>
      </c>
    </row>
    <row r="562" customFormat="false" ht="15" hidden="false" customHeight="false" outlineLevel="0" collapsed="false">
      <c r="A562" s="0" t="n">
        <v>21</v>
      </c>
      <c r="AA562" s="0" t="n">
        <v>21</v>
      </c>
      <c r="AB562" s="0" t="s">
        <v>96</v>
      </c>
      <c r="AD562" s="0" t="n">
        <v>0</v>
      </c>
      <c r="AE562" s="0" t="s">
        <v>295</v>
      </c>
      <c r="AH562" s="0" t="n">
        <v>20</v>
      </c>
      <c r="AJ562" s="0" t="n">
        <v>10</v>
      </c>
      <c r="AP562" s="0" t="n">
        <v>340000</v>
      </c>
      <c r="DB562" s="0" t="str">
        <f aca="false">IF($A562="","",IF($AH562=20,IF(AND(OR($A562=21,$A562=215),$AJ562=10),"①病院一般",IF(AND($A562=31,$AJ562=41),"②病院短期","対象外")),IF($AJ562=30,"③特定消防",IF(AND(OR($A562=21,$A562=215),$AJ562=10),"④一般",IF(AND($A562=31,$AJ562=41),"⑤短期","対象外")))))</f>
        <v>①病院一般</v>
      </c>
      <c r="DC562" s="0" t="n">
        <f aca="false">IF($A562="","",IF($AB562&amp;""=設定!$C$4,1,0))</f>
        <v>1</v>
      </c>
    </row>
    <row r="563" customFormat="false" ht="15" hidden="false" customHeight="false" outlineLevel="0" collapsed="false">
      <c r="A563" s="0" t="n">
        <v>21</v>
      </c>
      <c r="AA563" s="0" t="n">
        <v>21</v>
      </c>
      <c r="AB563" s="0" t="s">
        <v>96</v>
      </c>
      <c r="AD563" s="0" t="n">
        <v>0</v>
      </c>
      <c r="AE563" s="0" t="s">
        <v>295</v>
      </c>
      <c r="AH563" s="0" t="n">
        <v>20</v>
      </c>
      <c r="AJ563" s="0" t="n">
        <v>10</v>
      </c>
      <c r="AP563" s="0" t="n">
        <v>1150000</v>
      </c>
      <c r="DB563" s="0" t="str">
        <f aca="false">IF($A563="","",IF($AH563=20,IF(AND(OR($A563=21,$A563=215),$AJ563=10),"①病院一般",IF(AND($A563=31,$AJ563=41),"②病院短期","対象外")),IF($AJ563=30,"③特定消防",IF(AND(OR($A563=21,$A563=215),$AJ563=10),"④一般",IF(AND($A563=31,$AJ563=41),"⑤短期","対象外")))))</f>
        <v>①病院一般</v>
      </c>
      <c r="DC563" s="0" t="n">
        <f aca="false">IF($A563="","",IF($AB563&amp;""=設定!$C$4,1,0))</f>
        <v>1</v>
      </c>
    </row>
    <row r="564" customFormat="false" ht="15" hidden="false" customHeight="false" outlineLevel="0" collapsed="false">
      <c r="A564" s="0" t="n">
        <v>21</v>
      </c>
      <c r="AA564" s="0" t="n">
        <v>21</v>
      </c>
      <c r="AB564" s="0" t="s">
        <v>96</v>
      </c>
      <c r="AD564" s="0" t="n">
        <v>0</v>
      </c>
      <c r="AE564" s="0" t="s">
        <v>295</v>
      </c>
      <c r="AH564" s="0" t="n">
        <v>20</v>
      </c>
      <c r="AJ564" s="0" t="n">
        <v>10</v>
      </c>
      <c r="AP564" s="0" t="n">
        <v>930000</v>
      </c>
      <c r="DB564" s="0" t="str">
        <f aca="false">IF($A564="","",IF($AH564=20,IF(AND(OR($A564=21,$A564=215),$AJ564=10),"①病院一般",IF(AND($A564=31,$AJ564=41),"②病院短期","対象外")),IF($AJ564=30,"③特定消防",IF(AND(OR($A564=21,$A564=215),$AJ564=10),"④一般",IF(AND($A564=31,$AJ564=41),"⑤短期","対象外")))))</f>
        <v>①病院一般</v>
      </c>
      <c r="DC564" s="0" t="n">
        <f aca="false">IF($A564="","",IF($AB564&amp;""=設定!$C$4,1,0))</f>
        <v>1</v>
      </c>
    </row>
    <row r="565" customFormat="false" ht="15" hidden="false" customHeight="false" outlineLevel="0" collapsed="false">
      <c r="A565" s="0" t="n">
        <v>21</v>
      </c>
      <c r="AA565" s="0" t="n">
        <v>21</v>
      </c>
      <c r="AB565" s="0" t="s">
        <v>96</v>
      </c>
      <c r="AD565" s="0" t="n">
        <v>0</v>
      </c>
      <c r="AE565" s="0" t="s">
        <v>295</v>
      </c>
      <c r="AH565" s="0" t="n">
        <v>20</v>
      </c>
      <c r="AJ565" s="0" t="n">
        <v>10</v>
      </c>
      <c r="AP565" s="0" t="n">
        <v>1030000</v>
      </c>
      <c r="DB565" s="0" t="str">
        <f aca="false">IF($A565="","",IF($AH565=20,IF(AND(OR($A565=21,$A565=215),$AJ565=10),"①病院一般",IF(AND($A565=31,$AJ565=41),"②病院短期","対象外")),IF($AJ565=30,"③特定消防",IF(AND(OR($A565=21,$A565=215),$AJ565=10),"④一般",IF(AND($A565=31,$AJ565=41),"⑤短期","対象外")))))</f>
        <v>①病院一般</v>
      </c>
      <c r="DC565" s="0" t="n">
        <f aca="false">IF($A565="","",IF($AB565&amp;""=設定!$C$4,1,0))</f>
        <v>1</v>
      </c>
    </row>
    <row r="566" customFormat="false" ht="15" hidden="false" customHeight="false" outlineLevel="0" collapsed="false">
      <c r="A566" s="0" t="n">
        <v>21</v>
      </c>
      <c r="AA566" s="0" t="n">
        <v>21</v>
      </c>
      <c r="AB566" s="0" t="s">
        <v>96</v>
      </c>
      <c r="AD566" s="0" t="n">
        <v>0</v>
      </c>
      <c r="AE566" s="0" t="s">
        <v>295</v>
      </c>
      <c r="AH566" s="0" t="n">
        <v>20</v>
      </c>
      <c r="AJ566" s="0" t="n">
        <v>10</v>
      </c>
      <c r="AP566" s="0" t="n">
        <v>830000</v>
      </c>
      <c r="DB566" s="0" t="str">
        <f aca="false">IF($A566="","",IF($AH566=20,IF(AND(OR($A566=21,$A566=215),$AJ566=10),"①病院一般",IF(AND($A566=31,$AJ566=41),"②病院短期","対象外")),IF($AJ566=30,"③特定消防",IF(AND(OR($A566=21,$A566=215),$AJ566=10),"④一般",IF(AND($A566=31,$AJ566=41),"⑤短期","対象外")))))</f>
        <v>①病院一般</v>
      </c>
      <c r="DC566" s="0" t="n">
        <f aca="false">IF($A566="","",IF($AB566&amp;""=設定!$C$4,1,0))</f>
        <v>1</v>
      </c>
    </row>
    <row r="567" customFormat="false" ht="15" hidden="false" customHeight="false" outlineLevel="0" collapsed="false">
      <c r="A567" s="0" t="n">
        <v>21</v>
      </c>
      <c r="AA567" s="0" t="n">
        <v>21</v>
      </c>
      <c r="AB567" s="0" t="s">
        <v>96</v>
      </c>
      <c r="AD567" s="0" t="n">
        <v>0</v>
      </c>
      <c r="AE567" s="0" t="s">
        <v>295</v>
      </c>
      <c r="AH567" s="0" t="n">
        <v>20</v>
      </c>
      <c r="AJ567" s="0" t="n">
        <v>10</v>
      </c>
      <c r="AP567" s="0" t="n">
        <v>1210000</v>
      </c>
      <c r="DB567" s="0" t="str">
        <f aca="false">IF($A567="","",IF($AH567=20,IF(AND(OR($A567=21,$A567=215),$AJ567=10),"①病院一般",IF(AND($A567=31,$AJ567=41),"②病院短期","対象外")),IF($AJ567=30,"③特定消防",IF(AND(OR($A567=21,$A567=215),$AJ567=10),"④一般",IF(AND($A567=31,$AJ567=41),"⑤短期","対象外")))))</f>
        <v>①病院一般</v>
      </c>
      <c r="DC567" s="0" t="n">
        <f aca="false">IF($A567="","",IF($AB567&amp;""=設定!$C$4,1,0))</f>
        <v>1</v>
      </c>
    </row>
    <row r="568" customFormat="false" ht="15" hidden="false" customHeight="false" outlineLevel="0" collapsed="false">
      <c r="A568" s="0" t="n">
        <v>21</v>
      </c>
      <c r="AA568" s="0" t="n">
        <v>21</v>
      </c>
      <c r="AB568" s="0" t="s">
        <v>96</v>
      </c>
      <c r="AD568" s="0" t="n">
        <v>0</v>
      </c>
      <c r="AE568" s="0" t="s">
        <v>295</v>
      </c>
      <c r="AH568" s="0" t="n">
        <v>20</v>
      </c>
      <c r="AJ568" s="0" t="n">
        <v>10</v>
      </c>
      <c r="AP568" s="0" t="n">
        <v>930000</v>
      </c>
      <c r="DB568" s="0" t="str">
        <f aca="false">IF($A568="","",IF($AH568=20,IF(AND(OR($A568=21,$A568=215),$AJ568=10),"①病院一般",IF(AND($A568=31,$AJ568=41),"②病院短期","対象外")),IF($AJ568=30,"③特定消防",IF(AND(OR($A568=21,$A568=215),$AJ568=10),"④一般",IF(AND($A568=31,$AJ568=41),"⑤短期","対象外")))))</f>
        <v>①病院一般</v>
      </c>
      <c r="DC568" s="0" t="n">
        <f aca="false">IF($A568="","",IF($AB568&amp;""=設定!$C$4,1,0))</f>
        <v>1</v>
      </c>
    </row>
    <row r="569" customFormat="false" ht="15" hidden="false" customHeight="false" outlineLevel="0" collapsed="false">
      <c r="A569" s="0" t="n">
        <v>21</v>
      </c>
      <c r="AA569" s="0" t="n">
        <v>21</v>
      </c>
      <c r="AB569" s="0" t="s">
        <v>96</v>
      </c>
      <c r="AD569" s="0" t="n">
        <v>0</v>
      </c>
      <c r="AE569" s="0" t="s">
        <v>295</v>
      </c>
      <c r="AH569" s="0" t="n">
        <v>20</v>
      </c>
      <c r="AJ569" s="0" t="n">
        <v>10</v>
      </c>
      <c r="AP569" s="0" t="n">
        <v>1330000</v>
      </c>
      <c r="DB569" s="0" t="str">
        <f aca="false">IF($A569="","",IF($AH569=20,IF(AND(OR($A569=21,$A569=215),$AJ569=10),"①病院一般",IF(AND($A569=31,$AJ569=41),"②病院短期","対象外")),IF($AJ569=30,"③特定消防",IF(AND(OR($A569=21,$A569=215),$AJ569=10),"④一般",IF(AND($A569=31,$AJ569=41),"⑤短期","対象外")))))</f>
        <v>①病院一般</v>
      </c>
      <c r="DC569" s="0" t="n">
        <f aca="false">IF($A569="","",IF($AB569&amp;""=設定!$C$4,1,0))</f>
        <v>1</v>
      </c>
    </row>
    <row r="570" customFormat="false" ht="15" hidden="false" customHeight="false" outlineLevel="0" collapsed="false">
      <c r="A570" s="0" t="n">
        <v>21</v>
      </c>
      <c r="AA570" s="0" t="n">
        <v>21</v>
      </c>
      <c r="AB570" s="0" t="s">
        <v>96</v>
      </c>
      <c r="AD570" s="0" t="n">
        <v>0</v>
      </c>
      <c r="AE570" s="0" t="s">
        <v>295</v>
      </c>
      <c r="AH570" s="0" t="n">
        <v>20</v>
      </c>
      <c r="AJ570" s="0" t="n">
        <v>10</v>
      </c>
      <c r="AP570" s="0" t="n">
        <v>930000</v>
      </c>
      <c r="DB570" s="0" t="str">
        <f aca="false">IF($A570="","",IF($AH570=20,IF(AND(OR($A570=21,$A570=215),$AJ570=10),"①病院一般",IF(AND($A570=31,$AJ570=41),"②病院短期","対象外")),IF($AJ570=30,"③特定消防",IF(AND(OR($A570=21,$A570=215),$AJ570=10),"④一般",IF(AND($A570=31,$AJ570=41),"⑤短期","対象外")))))</f>
        <v>①病院一般</v>
      </c>
      <c r="DC570" s="0" t="n">
        <f aca="false">IF($A570="","",IF($AB570&amp;""=設定!$C$4,1,0))</f>
        <v>1</v>
      </c>
    </row>
    <row r="571" customFormat="false" ht="15" hidden="false" customHeight="false" outlineLevel="0" collapsed="false">
      <c r="A571" s="0" t="n">
        <v>21</v>
      </c>
      <c r="AA571" s="0" t="n">
        <v>21</v>
      </c>
      <c r="AB571" s="0" t="s">
        <v>96</v>
      </c>
      <c r="AD571" s="0" t="n">
        <v>0</v>
      </c>
      <c r="AE571" s="0" t="s">
        <v>295</v>
      </c>
      <c r="AH571" s="0" t="n">
        <v>20</v>
      </c>
      <c r="AJ571" s="0" t="n">
        <v>10</v>
      </c>
      <c r="AP571" s="0" t="n">
        <v>1030000</v>
      </c>
      <c r="DB571" s="0" t="str">
        <f aca="false">IF($A571="","",IF($AH571=20,IF(AND(OR($A571=21,$A571=215),$AJ571=10),"①病院一般",IF(AND($A571=31,$AJ571=41),"②病院短期","対象外")),IF($AJ571=30,"③特定消防",IF(AND(OR($A571=21,$A571=215),$AJ571=10),"④一般",IF(AND($A571=31,$AJ571=41),"⑤短期","対象外")))))</f>
        <v>①病院一般</v>
      </c>
      <c r="DC571" s="0" t="n">
        <f aca="false">IF($A571="","",IF($AB571&amp;""=設定!$C$4,1,0))</f>
        <v>1</v>
      </c>
    </row>
    <row r="572" customFormat="false" ht="15" hidden="false" customHeight="false" outlineLevel="0" collapsed="false">
      <c r="A572" s="0" t="n">
        <v>21</v>
      </c>
      <c r="AA572" s="0" t="n">
        <v>21</v>
      </c>
      <c r="AB572" s="0" t="s">
        <v>96</v>
      </c>
      <c r="AD572" s="0" t="n">
        <v>0</v>
      </c>
      <c r="AE572" s="0" t="s">
        <v>295</v>
      </c>
      <c r="AH572" s="0" t="n">
        <v>20</v>
      </c>
      <c r="AJ572" s="0" t="n">
        <v>10</v>
      </c>
      <c r="AP572" s="0" t="n">
        <v>1270000</v>
      </c>
      <c r="DB572" s="0" t="str">
        <f aca="false">IF($A572="","",IF($AH572=20,IF(AND(OR($A572=21,$A572=215),$AJ572=10),"①病院一般",IF(AND($A572=31,$AJ572=41),"②病院短期","対象外")),IF($AJ572=30,"③特定消防",IF(AND(OR($A572=21,$A572=215),$AJ572=10),"④一般",IF(AND($A572=31,$AJ572=41),"⑤短期","対象外")))))</f>
        <v>①病院一般</v>
      </c>
      <c r="DC572" s="0" t="n">
        <f aca="false">IF($A572="","",IF($AB572&amp;""=設定!$C$4,1,0))</f>
        <v>1</v>
      </c>
    </row>
    <row r="573" customFormat="false" ht="15" hidden="false" customHeight="false" outlineLevel="0" collapsed="false">
      <c r="A573" s="0" t="n">
        <v>21</v>
      </c>
      <c r="AA573" s="0" t="n">
        <v>21</v>
      </c>
      <c r="AB573" s="0" t="s">
        <v>96</v>
      </c>
      <c r="AD573" s="0" t="n">
        <v>0</v>
      </c>
      <c r="AE573" s="0" t="s">
        <v>295</v>
      </c>
      <c r="AH573" s="0" t="n">
        <v>20</v>
      </c>
      <c r="AJ573" s="0" t="n">
        <v>10</v>
      </c>
      <c r="AP573" s="0" t="n">
        <v>980000</v>
      </c>
      <c r="DB573" s="0" t="str">
        <f aca="false">IF($A573="","",IF($AH573=20,IF(AND(OR($A573=21,$A573=215),$AJ573=10),"①病院一般",IF(AND($A573=31,$AJ573=41),"②病院短期","対象外")),IF($AJ573=30,"③特定消防",IF(AND(OR($A573=21,$A573=215),$AJ573=10),"④一般",IF(AND($A573=31,$AJ573=41),"⑤短期","対象外")))))</f>
        <v>①病院一般</v>
      </c>
      <c r="DC573" s="0" t="n">
        <f aca="false">IF($A573="","",IF($AB573&amp;""=設定!$C$4,1,0))</f>
        <v>1</v>
      </c>
    </row>
    <row r="574" customFormat="false" ht="15" hidden="false" customHeight="false" outlineLevel="0" collapsed="false">
      <c r="A574" s="0" t="n">
        <v>21</v>
      </c>
      <c r="AA574" s="0" t="n">
        <v>21</v>
      </c>
      <c r="AB574" s="0" t="s">
        <v>96</v>
      </c>
      <c r="AD574" s="0" t="n">
        <v>0</v>
      </c>
      <c r="AE574" s="0" t="s">
        <v>295</v>
      </c>
      <c r="AH574" s="0" t="n">
        <v>20</v>
      </c>
      <c r="AJ574" s="0" t="n">
        <v>10</v>
      </c>
      <c r="AP574" s="0" t="n">
        <v>1150000</v>
      </c>
      <c r="DB574" s="0" t="str">
        <f aca="false">IF($A574="","",IF($AH574=20,IF(AND(OR($A574=21,$A574=215),$AJ574=10),"①病院一般",IF(AND($A574=31,$AJ574=41),"②病院短期","対象外")),IF($AJ574=30,"③特定消防",IF(AND(OR($A574=21,$A574=215),$AJ574=10),"④一般",IF(AND($A574=31,$AJ574=41),"⑤短期","対象外")))))</f>
        <v>①病院一般</v>
      </c>
      <c r="DC574" s="0" t="n">
        <f aca="false">IF($A574="","",IF($AB574&amp;""=設定!$C$4,1,0))</f>
        <v>1</v>
      </c>
    </row>
    <row r="575" customFormat="false" ht="15" hidden="false" customHeight="false" outlineLevel="0" collapsed="false">
      <c r="A575" s="0" t="n">
        <v>21</v>
      </c>
      <c r="AA575" s="0" t="n">
        <v>21</v>
      </c>
      <c r="AB575" s="0" t="s">
        <v>96</v>
      </c>
      <c r="AD575" s="0" t="n">
        <v>0</v>
      </c>
      <c r="AE575" s="0" t="s">
        <v>295</v>
      </c>
      <c r="AH575" s="0" t="n">
        <v>20</v>
      </c>
      <c r="AJ575" s="0" t="n">
        <v>10</v>
      </c>
      <c r="AP575" s="0" t="n">
        <v>980000</v>
      </c>
      <c r="DB575" s="0" t="str">
        <f aca="false">IF($A575="","",IF($AH575=20,IF(AND(OR($A575=21,$A575=215),$AJ575=10),"①病院一般",IF(AND($A575=31,$AJ575=41),"②病院短期","対象外")),IF($AJ575=30,"③特定消防",IF(AND(OR($A575=21,$A575=215),$AJ575=10),"④一般",IF(AND($A575=31,$AJ575=41),"⑤短期","対象外")))))</f>
        <v>①病院一般</v>
      </c>
      <c r="DC575" s="0" t="n">
        <f aca="false">IF($A575="","",IF($AB575&amp;""=設定!$C$4,1,0))</f>
        <v>1</v>
      </c>
    </row>
    <row r="576" customFormat="false" ht="15" hidden="false" customHeight="false" outlineLevel="0" collapsed="false">
      <c r="A576" s="0" t="n">
        <v>21</v>
      </c>
      <c r="AA576" s="0" t="n">
        <v>21</v>
      </c>
      <c r="AB576" s="0" t="s">
        <v>96</v>
      </c>
      <c r="AD576" s="0" t="n">
        <v>0</v>
      </c>
      <c r="AE576" s="0" t="s">
        <v>295</v>
      </c>
      <c r="AH576" s="0" t="n">
        <v>20</v>
      </c>
      <c r="AJ576" s="0" t="n">
        <v>10</v>
      </c>
      <c r="AP576" s="0" t="n">
        <v>880000</v>
      </c>
      <c r="DB576" s="0" t="str">
        <f aca="false">IF($A576="","",IF($AH576=20,IF(AND(OR($A576=21,$A576=215),$AJ576=10),"①病院一般",IF(AND($A576=31,$AJ576=41),"②病院短期","対象外")),IF($AJ576=30,"③特定消防",IF(AND(OR($A576=21,$A576=215),$AJ576=10),"④一般",IF(AND($A576=31,$AJ576=41),"⑤短期","対象外")))))</f>
        <v>①病院一般</v>
      </c>
      <c r="DC576" s="0" t="n">
        <f aca="false">IF($A576="","",IF($AB576&amp;""=設定!$C$4,1,0))</f>
        <v>1</v>
      </c>
    </row>
    <row r="577" customFormat="false" ht="15" hidden="false" customHeight="false" outlineLevel="0" collapsed="false">
      <c r="A577" s="0" t="n">
        <v>21</v>
      </c>
      <c r="AA577" s="0" t="n">
        <v>21</v>
      </c>
      <c r="AB577" s="0" t="s">
        <v>96</v>
      </c>
      <c r="AD577" s="0" t="n">
        <v>0</v>
      </c>
      <c r="AE577" s="0" t="s">
        <v>295</v>
      </c>
      <c r="AH577" s="0" t="n">
        <v>20</v>
      </c>
      <c r="AJ577" s="0" t="n">
        <v>10</v>
      </c>
      <c r="AP577" s="0" t="n">
        <v>880000</v>
      </c>
      <c r="DB577" s="0" t="str">
        <f aca="false">IF($A577="","",IF($AH577=20,IF(AND(OR($A577=21,$A577=215),$AJ577=10),"①病院一般",IF(AND($A577=31,$AJ577=41),"②病院短期","対象外")),IF($AJ577=30,"③特定消防",IF(AND(OR($A577=21,$A577=215),$AJ577=10),"④一般",IF(AND($A577=31,$AJ577=41),"⑤短期","対象外")))))</f>
        <v>①病院一般</v>
      </c>
      <c r="DC577" s="0" t="n">
        <f aca="false">IF($A577="","",IF($AB577&amp;""=設定!$C$4,1,0))</f>
        <v>1</v>
      </c>
    </row>
    <row r="578" customFormat="false" ht="15" hidden="false" customHeight="false" outlineLevel="0" collapsed="false">
      <c r="A578" s="0" t="n">
        <v>21</v>
      </c>
      <c r="AA578" s="0" t="n">
        <v>21</v>
      </c>
      <c r="AB578" s="0" t="s">
        <v>96</v>
      </c>
      <c r="AD578" s="0" t="n">
        <v>0</v>
      </c>
      <c r="AE578" s="0" t="s">
        <v>295</v>
      </c>
      <c r="AH578" s="0" t="n">
        <v>20</v>
      </c>
      <c r="AJ578" s="0" t="n">
        <v>10</v>
      </c>
      <c r="AP578" s="0" t="n">
        <v>1150000</v>
      </c>
      <c r="DB578" s="0" t="str">
        <f aca="false">IF($A578="","",IF($AH578=20,IF(AND(OR($A578=21,$A578=215),$AJ578=10),"①病院一般",IF(AND($A578=31,$AJ578=41),"②病院短期","対象外")),IF($AJ578=30,"③特定消防",IF(AND(OR($A578=21,$A578=215),$AJ578=10),"④一般",IF(AND($A578=31,$AJ578=41),"⑤短期","対象外")))))</f>
        <v>①病院一般</v>
      </c>
      <c r="DC578" s="0" t="n">
        <f aca="false">IF($A578="","",IF($AB578&amp;""=設定!$C$4,1,0))</f>
        <v>1</v>
      </c>
    </row>
    <row r="579" customFormat="false" ht="15" hidden="false" customHeight="false" outlineLevel="0" collapsed="false">
      <c r="A579" s="0" t="n">
        <v>21</v>
      </c>
      <c r="AA579" s="0" t="n">
        <v>21</v>
      </c>
      <c r="AB579" s="0" t="s">
        <v>96</v>
      </c>
      <c r="AD579" s="0" t="n">
        <v>0</v>
      </c>
      <c r="AE579" s="0" t="s">
        <v>295</v>
      </c>
      <c r="AH579" s="0" t="n">
        <v>20</v>
      </c>
      <c r="AJ579" s="0" t="n">
        <v>10</v>
      </c>
      <c r="AP579" s="0" t="n">
        <v>1210000</v>
      </c>
      <c r="DB579" s="0" t="str">
        <f aca="false">IF($A579="","",IF($AH579=20,IF(AND(OR($A579=21,$A579=215),$AJ579=10),"①病院一般",IF(AND($A579=31,$AJ579=41),"②病院短期","対象外")),IF($AJ579=30,"③特定消防",IF(AND(OR($A579=21,$A579=215),$AJ579=10),"④一般",IF(AND($A579=31,$AJ579=41),"⑤短期","対象外")))))</f>
        <v>①病院一般</v>
      </c>
      <c r="DC579" s="0" t="n">
        <f aca="false">IF($A579="","",IF($AB579&amp;""=設定!$C$4,1,0))</f>
        <v>1</v>
      </c>
    </row>
    <row r="580" customFormat="false" ht="15" hidden="false" customHeight="false" outlineLevel="0" collapsed="false">
      <c r="A580" s="0" t="n">
        <v>21</v>
      </c>
      <c r="AA580" s="0" t="n">
        <v>21</v>
      </c>
      <c r="AB580" s="0" t="s">
        <v>96</v>
      </c>
      <c r="AD580" s="0" t="n">
        <v>0</v>
      </c>
      <c r="AE580" s="0" t="s">
        <v>295</v>
      </c>
      <c r="AH580" s="0" t="n">
        <v>20</v>
      </c>
      <c r="AJ580" s="0" t="n">
        <v>10</v>
      </c>
      <c r="AP580" s="0" t="n">
        <v>1150000</v>
      </c>
      <c r="DB580" s="0" t="str">
        <f aca="false">IF($A580="","",IF($AH580=20,IF(AND(OR($A580=21,$A580=215),$AJ580=10),"①病院一般",IF(AND($A580=31,$AJ580=41),"②病院短期","対象外")),IF($AJ580=30,"③特定消防",IF(AND(OR($A580=21,$A580=215),$AJ580=10),"④一般",IF(AND($A580=31,$AJ580=41),"⑤短期","対象外")))))</f>
        <v>①病院一般</v>
      </c>
      <c r="DC580" s="0" t="n">
        <f aca="false">IF($A580="","",IF($AB580&amp;""=設定!$C$4,1,0))</f>
        <v>1</v>
      </c>
    </row>
    <row r="581" customFormat="false" ht="15" hidden="false" customHeight="false" outlineLevel="0" collapsed="false">
      <c r="A581" s="0" t="n">
        <v>21</v>
      </c>
      <c r="AA581" s="0" t="n">
        <v>21</v>
      </c>
      <c r="AB581" s="0" t="s">
        <v>96</v>
      </c>
      <c r="AD581" s="0" t="n">
        <v>0</v>
      </c>
      <c r="AE581" s="0" t="s">
        <v>295</v>
      </c>
      <c r="AH581" s="0" t="n">
        <v>20</v>
      </c>
      <c r="AJ581" s="0" t="n">
        <v>10</v>
      </c>
      <c r="AP581" s="0" t="n">
        <v>1150000</v>
      </c>
      <c r="DB581" s="0" t="str">
        <f aca="false">IF($A581="","",IF($AH581=20,IF(AND(OR($A581=21,$A581=215),$AJ581=10),"①病院一般",IF(AND($A581=31,$AJ581=41),"②病院短期","対象外")),IF($AJ581=30,"③特定消防",IF(AND(OR($A581=21,$A581=215),$AJ581=10),"④一般",IF(AND($A581=31,$AJ581=41),"⑤短期","対象外")))))</f>
        <v>①病院一般</v>
      </c>
      <c r="DC581" s="0" t="n">
        <f aca="false">IF($A581="","",IF($AB581&amp;""=設定!$C$4,1,0))</f>
        <v>1</v>
      </c>
    </row>
    <row r="582" customFormat="false" ht="15" hidden="false" customHeight="false" outlineLevel="0" collapsed="false">
      <c r="A582" s="0" t="n">
        <v>21</v>
      </c>
      <c r="AA582" s="0" t="n">
        <v>21</v>
      </c>
      <c r="AB582" s="0" t="s">
        <v>96</v>
      </c>
      <c r="AD582" s="0" t="n">
        <v>0</v>
      </c>
      <c r="AE582" s="0" t="s">
        <v>295</v>
      </c>
      <c r="AH582" s="0" t="n">
        <v>20</v>
      </c>
      <c r="AJ582" s="0" t="n">
        <v>10</v>
      </c>
      <c r="AP582" s="0" t="n">
        <v>1150000</v>
      </c>
      <c r="DB582" s="0" t="str">
        <f aca="false">IF($A582="","",IF($AH582=20,IF(AND(OR($A582=21,$A582=215),$AJ582=10),"①病院一般",IF(AND($A582=31,$AJ582=41),"②病院短期","対象外")),IF($AJ582=30,"③特定消防",IF(AND(OR($A582=21,$A582=215),$AJ582=10),"④一般",IF(AND($A582=31,$AJ582=41),"⑤短期","対象外")))))</f>
        <v>①病院一般</v>
      </c>
      <c r="DC582" s="0" t="n">
        <f aca="false">IF($A582="","",IF($AB582&amp;""=設定!$C$4,1,0))</f>
        <v>1</v>
      </c>
    </row>
    <row r="583" customFormat="false" ht="15" hidden="false" customHeight="false" outlineLevel="0" collapsed="false">
      <c r="A583" s="0" t="n">
        <v>21</v>
      </c>
      <c r="AA583" s="0" t="n">
        <v>21</v>
      </c>
      <c r="AB583" s="0" t="s">
        <v>96</v>
      </c>
      <c r="AD583" s="0" t="n">
        <v>0</v>
      </c>
      <c r="AE583" s="0" t="s">
        <v>295</v>
      </c>
      <c r="AH583" s="0" t="n">
        <v>20</v>
      </c>
      <c r="AJ583" s="0" t="n">
        <v>10</v>
      </c>
      <c r="AP583" s="0" t="n">
        <v>1030000</v>
      </c>
      <c r="DB583" s="0" t="str">
        <f aca="false">IF($A583="","",IF($AH583=20,IF(AND(OR($A583=21,$A583=215),$AJ583=10),"①病院一般",IF(AND($A583=31,$AJ583=41),"②病院短期","対象外")),IF($AJ583=30,"③特定消防",IF(AND(OR($A583=21,$A583=215),$AJ583=10),"④一般",IF(AND($A583=31,$AJ583=41),"⑤短期","対象外")))))</f>
        <v>①病院一般</v>
      </c>
      <c r="DC583" s="0" t="n">
        <f aca="false">IF($A583="","",IF($AB583&amp;""=設定!$C$4,1,0))</f>
        <v>1</v>
      </c>
    </row>
    <row r="584" customFormat="false" ht="15" hidden="false" customHeight="false" outlineLevel="0" collapsed="false">
      <c r="A584" s="0" t="n">
        <v>21</v>
      </c>
      <c r="AA584" s="0" t="n">
        <v>21</v>
      </c>
      <c r="AB584" s="0" t="s">
        <v>96</v>
      </c>
      <c r="AD584" s="0" t="n">
        <v>0</v>
      </c>
      <c r="AE584" s="0" t="s">
        <v>295</v>
      </c>
      <c r="AH584" s="0" t="n">
        <v>20</v>
      </c>
      <c r="AJ584" s="0" t="n">
        <v>10</v>
      </c>
      <c r="AP584" s="0" t="n">
        <v>1150000</v>
      </c>
      <c r="DB584" s="0" t="str">
        <f aca="false">IF($A584="","",IF($AH584=20,IF(AND(OR($A584=21,$A584=215),$AJ584=10),"①病院一般",IF(AND($A584=31,$AJ584=41),"②病院短期","対象外")),IF($AJ584=30,"③特定消防",IF(AND(OR($A584=21,$A584=215),$AJ584=10),"④一般",IF(AND($A584=31,$AJ584=41),"⑤短期","対象外")))))</f>
        <v>①病院一般</v>
      </c>
      <c r="DC584" s="0" t="n">
        <f aca="false">IF($A584="","",IF($AB584&amp;""=設定!$C$4,1,0))</f>
        <v>1</v>
      </c>
    </row>
    <row r="585" customFormat="false" ht="15" hidden="false" customHeight="false" outlineLevel="0" collapsed="false">
      <c r="A585" s="0" t="n">
        <v>21</v>
      </c>
      <c r="AA585" s="0" t="n">
        <v>21</v>
      </c>
      <c r="AB585" s="0" t="s">
        <v>96</v>
      </c>
      <c r="AD585" s="0" t="n">
        <v>0</v>
      </c>
      <c r="AE585" s="0" t="s">
        <v>295</v>
      </c>
      <c r="AH585" s="0" t="n">
        <v>20</v>
      </c>
      <c r="AJ585" s="0" t="n">
        <v>10</v>
      </c>
      <c r="AP585" s="0" t="n">
        <v>1270000</v>
      </c>
      <c r="DB585" s="0" t="str">
        <f aca="false">IF($A585="","",IF($AH585=20,IF(AND(OR($A585=21,$A585=215),$AJ585=10),"①病院一般",IF(AND($A585=31,$AJ585=41),"②病院短期","対象外")),IF($AJ585=30,"③特定消防",IF(AND(OR($A585=21,$A585=215),$AJ585=10),"④一般",IF(AND($A585=31,$AJ585=41),"⑤短期","対象外")))))</f>
        <v>①病院一般</v>
      </c>
      <c r="DC585" s="0" t="n">
        <f aca="false">IF($A585="","",IF($AB585&amp;""=設定!$C$4,1,0))</f>
        <v>1</v>
      </c>
    </row>
    <row r="586" customFormat="false" ht="15" hidden="false" customHeight="false" outlineLevel="0" collapsed="false">
      <c r="A586" s="0" t="n">
        <v>21</v>
      </c>
      <c r="AA586" s="0" t="n">
        <v>21</v>
      </c>
      <c r="AB586" s="0" t="s">
        <v>96</v>
      </c>
      <c r="AD586" s="0" t="n">
        <v>0</v>
      </c>
      <c r="AE586" s="0" t="s">
        <v>295</v>
      </c>
      <c r="AH586" s="0" t="n">
        <v>20</v>
      </c>
      <c r="AJ586" s="0" t="n">
        <v>10</v>
      </c>
      <c r="AP586" s="0" t="n">
        <v>1270000</v>
      </c>
      <c r="DB586" s="0" t="str">
        <f aca="false">IF($A586="","",IF($AH586=20,IF(AND(OR($A586=21,$A586=215),$AJ586=10),"①病院一般",IF(AND($A586=31,$AJ586=41),"②病院短期","対象外")),IF($AJ586=30,"③特定消防",IF(AND(OR($A586=21,$A586=215),$AJ586=10),"④一般",IF(AND($A586=31,$AJ586=41),"⑤短期","対象外")))))</f>
        <v>①病院一般</v>
      </c>
      <c r="DC586" s="0" t="n">
        <f aca="false">IF($A586="","",IF($AB586&amp;""=設定!$C$4,1,0))</f>
        <v>1</v>
      </c>
    </row>
    <row r="587" customFormat="false" ht="15" hidden="false" customHeight="false" outlineLevel="0" collapsed="false">
      <c r="A587" s="0" t="n">
        <v>21</v>
      </c>
      <c r="AA587" s="0" t="n">
        <v>21</v>
      </c>
      <c r="AB587" s="0" t="s">
        <v>96</v>
      </c>
      <c r="AD587" s="0" t="n">
        <v>0</v>
      </c>
      <c r="AE587" s="0" t="s">
        <v>295</v>
      </c>
      <c r="AH587" s="0" t="n">
        <v>20</v>
      </c>
      <c r="AJ587" s="0" t="n">
        <v>10</v>
      </c>
      <c r="AP587" s="0" t="n">
        <v>1390000</v>
      </c>
      <c r="DB587" s="0" t="str">
        <f aca="false">IF($A587="","",IF($AH587=20,IF(AND(OR($A587=21,$A587=215),$AJ587=10),"①病院一般",IF(AND($A587=31,$AJ587=41),"②病院短期","対象外")),IF($AJ587=30,"③特定消防",IF(AND(OR($A587=21,$A587=215),$AJ587=10),"④一般",IF(AND($A587=31,$AJ587=41),"⑤短期","対象外")))))</f>
        <v>①病院一般</v>
      </c>
      <c r="DC587" s="0" t="n">
        <f aca="false">IF($A587="","",IF($AB587&amp;""=設定!$C$4,1,0))</f>
        <v>1</v>
      </c>
    </row>
    <row r="588" customFormat="false" ht="15" hidden="false" customHeight="false" outlineLevel="0" collapsed="false">
      <c r="A588" s="0" t="n">
        <v>21</v>
      </c>
      <c r="AA588" s="0" t="n">
        <v>21</v>
      </c>
      <c r="AB588" s="0" t="s">
        <v>96</v>
      </c>
      <c r="AD588" s="0" t="n">
        <v>0</v>
      </c>
      <c r="AE588" s="0" t="s">
        <v>295</v>
      </c>
      <c r="AH588" s="0" t="n">
        <v>20</v>
      </c>
      <c r="AJ588" s="0" t="n">
        <v>10</v>
      </c>
      <c r="AP588" s="0" t="n">
        <v>930000</v>
      </c>
      <c r="DB588" s="0" t="str">
        <f aca="false">IF($A588="","",IF($AH588=20,IF(AND(OR($A588=21,$A588=215),$AJ588=10),"①病院一般",IF(AND($A588=31,$AJ588=41),"②病院短期","対象外")),IF($AJ588=30,"③特定消防",IF(AND(OR($A588=21,$A588=215),$AJ588=10),"④一般",IF(AND($A588=31,$AJ588=41),"⑤短期","対象外")))))</f>
        <v>①病院一般</v>
      </c>
      <c r="DC588" s="0" t="n">
        <f aca="false">IF($A588="","",IF($AB588&amp;""=設定!$C$4,1,0))</f>
        <v>1</v>
      </c>
    </row>
    <row r="589" customFormat="false" ht="15" hidden="false" customHeight="false" outlineLevel="0" collapsed="false">
      <c r="A589" s="0" t="n">
        <v>21</v>
      </c>
      <c r="AA589" s="0" t="n">
        <v>21</v>
      </c>
      <c r="AB589" s="0" t="s">
        <v>96</v>
      </c>
      <c r="AD589" s="0" t="n">
        <v>0</v>
      </c>
      <c r="AE589" s="0" t="s">
        <v>295</v>
      </c>
      <c r="AH589" s="0" t="n">
        <v>20</v>
      </c>
      <c r="AJ589" s="0" t="n">
        <v>10</v>
      </c>
      <c r="AP589" s="0" t="n">
        <v>880000</v>
      </c>
      <c r="DB589" s="0" t="str">
        <f aca="false">IF($A589="","",IF($AH589=20,IF(AND(OR($A589=21,$A589=215),$AJ589=10),"①病院一般",IF(AND($A589=31,$AJ589=41),"②病院短期","対象外")),IF($AJ589=30,"③特定消防",IF(AND(OR($A589=21,$A589=215),$AJ589=10),"④一般",IF(AND($A589=31,$AJ589=41),"⑤短期","対象外")))))</f>
        <v>①病院一般</v>
      </c>
      <c r="DC589" s="0" t="n">
        <f aca="false">IF($A589="","",IF($AB589&amp;""=設定!$C$4,1,0))</f>
        <v>1</v>
      </c>
    </row>
    <row r="590" customFormat="false" ht="15" hidden="false" customHeight="false" outlineLevel="0" collapsed="false">
      <c r="A590" s="0" t="n">
        <v>21</v>
      </c>
      <c r="AA590" s="0" t="n">
        <v>21</v>
      </c>
      <c r="AB590" s="0" t="s">
        <v>96</v>
      </c>
      <c r="AD590" s="0" t="n">
        <v>0</v>
      </c>
      <c r="AE590" s="0" t="s">
        <v>295</v>
      </c>
      <c r="AH590" s="0" t="n">
        <v>20</v>
      </c>
      <c r="AJ590" s="0" t="n">
        <v>10</v>
      </c>
      <c r="AP590" s="0" t="n">
        <v>880000</v>
      </c>
      <c r="DB590" s="0" t="str">
        <f aca="false">IF($A590="","",IF($AH590=20,IF(AND(OR($A590=21,$A590=215),$AJ590=10),"①病院一般",IF(AND($A590=31,$AJ590=41),"②病院短期","対象外")),IF($AJ590=30,"③特定消防",IF(AND(OR($A590=21,$A590=215),$AJ590=10),"④一般",IF(AND($A590=31,$AJ590=41),"⑤短期","対象外")))))</f>
        <v>①病院一般</v>
      </c>
      <c r="DC590" s="0" t="n">
        <f aca="false">IF($A590="","",IF($AB590&amp;""=設定!$C$4,1,0))</f>
        <v>1</v>
      </c>
    </row>
    <row r="591" customFormat="false" ht="15" hidden="false" customHeight="false" outlineLevel="0" collapsed="false">
      <c r="A591" s="0" t="n">
        <v>21</v>
      </c>
      <c r="AA591" s="0" t="n">
        <v>21</v>
      </c>
      <c r="AB591" s="0" t="s">
        <v>96</v>
      </c>
      <c r="AD591" s="0" t="n">
        <v>0</v>
      </c>
      <c r="AE591" s="0" t="s">
        <v>295</v>
      </c>
      <c r="AH591" s="0" t="n">
        <v>20</v>
      </c>
      <c r="AJ591" s="0" t="n">
        <v>10</v>
      </c>
      <c r="AP591" s="0" t="n">
        <v>790000</v>
      </c>
      <c r="DB591" s="0" t="str">
        <f aca="false">IF($A591="","",IF($AH591=20,IF(AND(OR($A591=21,$A591=215),$AJ591=10),"①病院一般",IF(AND($A591=31,$AJ591=41),"②病院短期","対象外")),IF($AJ591=30,"③特定消防",IF(AND(OR($A591=21,$A591=215),$AJ591=10),"④一般",IF(AND($A591=31,$AJ591=41),"⑤短期","対象外")))))</f>
        <v>①病院一般</v>
      </c>
      <c r="DC591" s="0" t="n">
        <f aca="false">IF($A591="","",IF($AB591&amp;""=設定!$C$4,1,0))</f>
        <v>1</v>
      </c>
    </row>
    <row r="592" customFormat="false" ht="15" hidden="false" customHeight="false" outlineLevel="0" collapsed="false">
      <c r="A592" s="0" t="n">
        <v>21</v>
      </c>
      <c r="AA592" s="0" t="n">
        <v>21</v>
      </c>
      <c r="AB592" s="0" t="s">
        <v>96</v>
      </c>
      <c r="AD592" s="0" t="n">
        <v>0</v>
      </c>
      <c r="AE592" s="0" t="s">
        <v>295</v>
      </c>
      <c r="AH592" s="0" t="n">
        <v>20</v>
      </c>
      <c r="AJ592" s="0" t="n">
        <v>10</v>
      </c>
      <c r="AP592" s="0" t="n">
        <v>880000</v>
      </c>
      <c r="DB592" s="0" t="str">
        <f aca="false">IF($A592="","",IF($AH592=20,IF(AND(OR($A592=21,$A592=215),$AJ592=10),"①病院一般",IF(AND($A592=31,$AJ592=41),"②病院短期","対象外")),IF($AJ592=30,"③特定消防",IF(AND(OR($A592=21,$A592=215),$AJ592=10),"④一般",IF(AND($A592=31,$AJ592=41),"⑤短期","対象外")))))</f>
        <v>①病院一般</v>
      </c>
      <c r="DC592" s="0" t="n">
        <f aca="false">IF($A592="","",IF($AB592&amp;""=設定!$C$4,1,0))</f>
        <v>1</v>
      </c>
    </row>
    <row r="593" customFormat="false" ht="15" hidden="false" customHeight="false" outlineLevel="0" collapsed="false">
      <c r="A593" s="0" t="n">
        <v>21</v>
      </c>
      <c r="AA593" s="0" t="n">
        <v>21</v>
      </c>
      <c r="AB593" s="0" t="s">
        <v>96</v>
      </c>
      <c r="AD593" s="0" t="n">
        <v>0</v>
      </c>
      <c r="AE593" s="0" t="s">
        <v>295</v>
      </c>
      <c r="AH593" s="0" t="n">
        <v>20</v>
      </c>
      <c r="AJ593" s="0" t="n">
        <v>10</v>
      </c>
      <c r="AP593" s="0" t="n">
        <v>240000</v>
      </c>
      <c r="DB593" s="0" t="str">
        <f aca="false">IF($A593="","",IF($AH593=20,IF(AND(OR($A593=21,$A593=215),$AJ593=10),"①病院一般",IF(AND($A593=31,$AJ593=41),"②病院短期","対象外")),IF($AJ593=30,"③特定消防",IF(AND(OR($A593=21,$A593=215),$AJ593=10),"④一般",IF(AND($A593=31,$AJ593=41),"⑤短期","対象外")))))</f>
        <v>①病院一般</v>
      </c>
      <c r="DC593" s="0" t="n">
        <f aca="false">IF($A593="","",IF($AB593&amp;""=設定!$C$4,1,0))</f>
        <v>1</v>
      </c>
    </row>
    <row r="594" customFormat="false" ht="15" hidden="false" customHeight="false" outlineLevel="0" collapsed="false">
      <c r="A594" s="0" t="n">
        <v>21</v>
      </c>
      <c r="AA594" s="0" t="n">
        <v>21</v>
      </c>
      <c r="AB594" s="0" t="s">
        <v>96</v>
      </c>
      <c r="AD594" s="0" t="n">
        <v>0</v>
      </c>
      <c r="AE594" s="0" t="s">
        <v>295</v>
      </c>
      <c r="AH594" s="0" t="n">
        <v>20</v>
      </c>
      <c r="AJ594" s="0" t="n">
        <v>10</v>
      </c>
      <c r="AP594" s="0" t="n">
        <v>320000</v>
      </c>
      <c r="DB594" s="0" t="str">
        <f aca="false">IF($A594="","",IF($AH594=20,IF(AND(OR($A594=21,$A594=215),$AJ594=10),"①病院一般",IF(AND($A594=31,$AJ594=41),"②病院短期","対象外")),IF($AJ594=30,"③特定消防",IF(AND(OR($A594=21,$A594=215),$AJ594=10),"④一般",IF(AND($A594=31,$AJ594=41),"⑤短期","対象外")))))</f>
        <v>①病院一般</v>
      </c>
      <c r="DC594" s="0" t="n">
        <f aca="false">IF($A594="","",IF($AB594&amp;""=設定!$C$4,1,0))</f>
        <v>1</v>
      </c>
    </row>
    <row r="595" customFormat="false" ht="15" hidden="false" customHeight="false" outlineLevel="0" collapsed="false">
      <c r="A595" s="0" t="n">
        <v>21</v>
      </c>
      <c r="AA595" s="0" t="n">
        <v>21</v>
      </c>
      <c r="AB595" s="0" t="s">
        <v>96</v>
      </c>
      <c r="AD595" s="0" t="n">
        <v>0</v>
      </c>
      <c r="AE595" s="0" t="s">
        <v>295</v>
      </c>
      <c r="AH595" s="0" t="n">
        <v>20</v>
      </c>
      <c r="AJ595" s="0" t="n">
        <v>10</v>
      </c>
      <c r="AP595" s="0" t="n">
        <v>300000</v>
      </c>
      <c r="DB595" s="0" t="str">
        <f aca="false">IF($A595="","",IF($AH595=20,IF(AND(OR($A595=21,$A595=215),$AJ595=10),"①病院一般",IF(AND($A595=31,$AJ595=41),"②病院短期","対象外")),IF($AJ595=30,"③特定消防",IF(AND(OR($A595=21,$A595=215),$AJ595=10),"④一般",IF(AND($A595=31,$AJ595=41),"⑤短期","対象外")))))</f>
        <v>①病院一般</v>
      </c>
      <c r="DC595" s="0" t="n">
        <f aca="false">IF($A595="","",IF($AB595&amp;""=設定!$C$4,1,0))</f>
        <v>1</v>
      </c>
    </row>
    <row r="596" customFormat="false" ht="15" hidden="false" customHeight="false" outlineLevel="0" collapsed="false">
      <c r="A596" s="0" t="n">
        <v>21</v>
      </c>
      <c r="AA596" s="0" t="n">
        <v>21</v>
      </c>
      <c r="AB596" s="0" t="s">
        <v>96</v>
      </c>
      <c r="AD596" s="0" t="n">
        <v>0</v>
      </c>
      <c r="AE596" s="0" t="s">
        <v>295</v>
      </c>
      <c r="AH596" s="0" t="n">
        <v>20</v>
      </c>
      <c r="AJ596" s="0" t="n">
        <v>10</v>
      </c>
      <c r="AP596" s="0" t="n">
        <v>260000</v>
      </c>
      <c r="DB596" s="0" t="str">
        <f aca="false">IF($A596="","",IF($AH596=20,IF(AND(OR($A596=21,$A596=215),$AJ596=10),"①病院一般",IF(AND($A596=31,$AJ596=41),"②病院短期","対象外")),IF($AJ596=30,"③特定消防",IF(AND(OR($A596=21,$A596=215),$AJ596=10),"④一般",IF(AND($A596=31,$AJ596=41),"⑤短期","対象外")))))</f>
        <v>①病院一般</v>
      </c>
      <c r="DC596" s="0" t="n">
        <f aca="false">IF($A596="","",IF($AB596&amp;""=設定!$C$4,1,0))</f>
        <v>1</v>
      </c>
    </row>
    <row r="597" customFormat="false" ht="15" hidden="false" customHeight="false" outlineLevel="0" collapsed="false">
      <c r="A597" s="0" t="n">
        <v>21</v>
      </c>
      <c r="AA597" s="0" t="n">
        <v>21</v>
      </c>
      <c r="AB597" s="0" t="s">
        <v>96</v>
      </c>
      <c r="AD597" s="0" t="n">
        <v>0</v>
      </c>
      <c r="AE597" s="0" t="s">
        <v>295</v>
      </c>
      <c r="AH597" s="0" t="n">
        <v>20</v>
      </c>
      <c r="AJ597" s="0" t="n">
        <v>10</v>
      </c>
      <c r="AP597" s="0" t="n">
        <v>240000</v>
      </c>
      <c r="DB597" s="0" t="str">
        <f aca="false">IF($A597="","",IF($AH597=20,IF(AND(OR($A597=21,$A597=215),$AJ597=10),"①病院一般",IF(AND($A597=31,$AJ597=41),"②病院短期","対象外")),IF($AJ597=30,"③特定消防",IF(AND(OR($A597=21,$A597=215),$AJ597=10),"④一般",IF(AND($A597=31,$AJ597=41),"⑤短期","対象外")))))</f>
        <v>①病院一般</v>
      </c>
      <c r="DC597" s="0" t="n">
        <f aca="false">IF($A597="","",IF($AB597&amp;""=設定!$C$4,1,0))</f>
        <v>1</v>
      </c>
    </row>
    <row r="598" customFormat="false" ht="15" hidden="false" customHeight="false" outlineLevel="0" collapsed="false">
      <c r="A598" s="0" t="n">
        <v>21</v>
      </c>
      <c r="AA598" s="0" t="n">
        <v>21</v>
      </c>
      <c r="AB598" s="0" t="s">
        <v>96</v>
      </c>
      <c r="AD598" s="0" t="n">
        <v>0</v>
      </c>
      <c r="AE598" s="0" t="s">
        <v>295</v>
      </c>
      <c r="AH598" s="0" t="n">
        <v>20</v>
      </c>
      <c r="AJ598" s="0" t="n">
        <v>10</v>
      </c>
      <c r="AP598" s="0" t="n">
        <v>240000</v>
      </c>
      <c r="DB598" s="0" t="str">
        <f aca="false">IF($A598="","",IF($AH598=20,IF(AND(OR($A598=21,$A598=215),$AJ598=10),"①病院一般",IF(AND($A598=31,$AJ598=41),"②病院短期","対象外")),IF($AJ598=30,"③特定消防",IF(AND(OR($A598=21,$A598=215),$AJ598=10),"④一般",IF(AND($A598=31,$AJ598=41),"⑤短期","対象外")))))</f>
        <v>①病院一般</v>
      </c>
      <c r="DC598" s="0" t="n">
        <f aca="false">IF($A598="","",IF($AB598&amp;""=設定!$C$4,1,0))</f>
        <v>1</v>
      </c>
    </row>
    <row r="599" customFormat="false" ht="15" hidden="false" customHeight="false" outlineLevel="0" collapsed="false">
      <c r="A599" s="0" t="n">
        <v>21</v>
      </c>
      <c r="AA599" s="0" t="n">
        <v>21</v>
      </c>
      <c r="AB599" s="0" t="s">
        <v>302</v>
      </c>
      <c r="AD599" s="0" t="n">
        <v>0</v>
      </c>
      <c r="AE599" s="0" t="s">
        <v>295</v>
      </c>
      <c r="AH599" s="0" t="n">
        <v>20</v>
      </c>
      <c r="AJ599" s="0" t="n">
        <v>10</v>
      </c>
      <c r="AP599" s="0" t="n">
        <v>380000</v>
      </c>
      <c r="DB599" s="0" t="str">
        <f aca="false">IF($A599="","",IF($AH599=20,IF(AND(OR($A599=21,$A599=215),$AJ599=10),"①病院一般",IF(AND($A599=31,$AJ599=41),"②病院短期","対象外")),IF($AJ599=30,"③特定消防",IF(AND(OR($A599=21,$A599=215),$AJ599=10),"④一般",IF(AND($A599=31,$AJ599=41),"⑤短期","対象外")))))</f>
        <v>①病院一般</v>
      </c>
      <c r="DC599" s="0" t="n">
        <f aca="false">IF($A599="","",IF($AB599&amp;""=設定!$C$4,1,0))</f>
        <v>0</v>
      </c>
    </row>
    <row r="600" customFormat="false" ht="15" hidden="false" customHeight="false" outlineLevel="0" collapsed="false">
      <c r="A600" s="0" t="n">
        <v>21</v>
      </c>
      <c r="AA600" s="0" t="n">
        <v>21</v>
      </c>
      <c r="AB600" s="0" t="s">
        <v>299</v>
      </c>
      <c r="AD600" s="0" t="n">
        <v>0</v>
      </c>
      <c r="AE600" s="0" t="s">
        <v>295</v>
      </c>
      <c r="AH600" s="0" t="n">
        <v>20</v>
      </c>
      <c r="AJ600" s="0" t="n">
        <v>10</v>
      </c>
      <c r="AP600" s="0" t="n">
        <v>1270000</v>
      </c>
      <c r="DB600" s="0" t="str">
        <f aca="false">IF($A600="","",IF($AH600=20,IF(AND(OR($A600=21,$A600=215),$AJ600=10),"①病院一般",IF(AND($A600=31,$AJ600=41),"②病院短期","対象外")),IF($AJ600=30,"③特定消防",IF(AND(OR($A600=21,$A600=215),$AJ600=10),"④一般",IF(AND($A600=31,$AJ600=41),"⑤短期","対象外")))))</f>
        <v>①病院一般</v>
      </c>
      <c r="DC600" s="0" t="n">
        <f aca="false">IF($A600="","",IF($AB600&amp;""=設定!$C$4,1,0))</f>
        <v>0</v>
      </c>
    </row>
    <row r="601" customFormat="false" ht="15" hidden="false" customHeight="false" outlineLevel="0" collapsed="false">
      <c r="A601" s="0" t="n">
        <v>21</v>
      </c>
      <c r="AA601" s="0" t="n">
        <v>21</v>
      </c>
      <c r="AB601" s="0" t="s">
        <v>299</v>
      </c>
      <c r="AD601" s="0" t="n">
        <v>0</v>
      </c>
      <c r="AE601" s="0" t="s">
        <v>295</v>
      </c>
      <c r="AH601" s="0" t="n">
        <v>20</v>
      </c>
      <c r="AJ601" s="0" t="n">
        <v>10</v>
      </c>
      <c r="AP601" s="0" t="n">
        <v>1330000</v>
      </c>
      <c r="DB601" s="0" t="str">
        <f aca="false">IF($A601="","",IF($AH601=20,IF(AND(OR($A601=21,$A601=215),$AJ601=10),"①病院一般",IF(AND($A601=31,$AJ601=41),"②病院短期","対象外")),IF($AJ601=30,"③特定消防",IF(AND(OR($A601=21,$A601=215),$AJ601=10),"④一般",IF(AND($A601=31,$AJ601=41),"⑤短期","対象外")))))</f>
        <v>①病院一般</v>
      </c>
      <c r="DC601" s="0" t="n">
        <f aca="false">IF($A601="","",IF($AB601&amp;""=設定!$C$4,1,0))</f>
        <v>0</v>
      </c>
    </row>
    <row r="602" customFormat="false" ht="15" hidden="false" customHeight="false" outlineLevel="0" collapsed="false">
      <c r="A602" s="0" t="n">
        <v>21</v>
      </c>
      <c r="AA602" s="0" t="n">
        <v>21</v>
      </c>
      <c r="AB602" s="0" t="s">
        <v>299</v>
      </c>
      <c r="AD602" s="0" t="n">
        <v>0</v>
      </c>
      <c r="AE602" s="0" t="s">
        <v>295</v>
      </c>
      <c r="AH602" s="0" t="n">
        <v>20</v>
      </c>
      <c r="AJ602" s="0" t="n">
        <v>10</v>
      </c>
      <c r="AP602" s="0" t="n">
        <v>260000</v>
      </c>
      <c r="DB602" s="0" t="str">
        <f aca="false">IF($A602="","",IF($AH602=20,IF(AND(OR($A602=21,$A602=215),$AJ602=10),"①病院一般",IF(AND($A602=31,$AJ602=41),"②病院短期","対象外")),IF($AJ602=30,"③特定消防",IF(AND(OR($A602=21,$A602=215),$AJ602=10),"④一般",IF(AND($A602=31,$AJ602=41),"⑤短期","対象外")))))</f>
        <v>①病院一般</v>
      </c>
      <c r="DC602" s="0" t="n">
        <f aca="false">IF($A602="","",IF($AB602&amp;""=設定!$C$4,1,0))</f>
        <v>0</v>
      </c>
    </row>
    <row r="603" customFormat="false" ht="15" hidden="false" customHeight="false" outlineLevel="0" collapsed="false">
      <c r="A603" s="0" t="n">
        <v>21</v>
      </c>
      <c r="AA603" s="0" t="n">
        <v>21</v>
      </c>
      <c r="AB603" s="0" t="s">
        <v>299</v>
      </c>
      <c r="AD603" s="0" t="n">
        <v>0</v>
      </c>
      <c r="AE603" s="0" t="s">
        <v>295</v>
      </c>
      <c r="AH603" s="0" t="n">
        <v>20</v>
      </c>
      <c r="AJ603" s="0" t="n">
        <v>10</v>
      </c>
      <c r="AP603" s="0" t="n">
        <v>260000</v>
      </c>
      <c r="DB603" s="0" t="str">
        <f aca="false">IF($A603="","",IF($AH603=20,IF(AND(OR($A603=21,$A603=215),$AJ603=10),"①病院一般",IF(AND($A603=31,$AJ603=41),"②病院短期","対象外")),IF($AJ603=30,"③特定消防",IF(AND(OR($A603=21,$A603=215),$AJ603=10),"④一般",IF(AND($A603=31,$AJ603=41),"⑤短期","対象外")))))</f>
        <v>①病院一般</v>
      </c>
      <c r="DC603" s="0" t="n">
        <f aca="false">IF($A603="","",IF($AB603&amp;""=設定!$C$4,1,0))</f>
        <v>0</v>
      </c>
    </row>
    <row r="604" customFormat="false" ht="15" hidden="false" customHeight="false" outlineLevel="0" collapsed="false">
      <c r="A604" s="0" t="n">
        <v>21</v>
      </c>
      <c r="AA604" s="0" t="n">
        <v>21</v>
      </c>
      <c r="AB604" s="0" t="s">
        <v>299</v>
      </c>
      <c r="AD604" s="0" t="n">
        <v>0</v>
      </c>
      <c r="AE604" s="0" t="s">
        <v>295</v>
      </c>
      <c r="AH604" s="0" t="n">
        <v>20</v>
      </c>
      <c r="AJ604" s="0" t="n">
        <v>10</v>
      </c>
      <c r="AP604" s="0" t="n">
        <v>260000</v>
      </c>
      <c r="DB604" s="0" t="str">
        <f aca="false">IF($A604="","",IF($AH604=20,IF(AND(OR($A604=21,$A604=215),$AJ604=10),"①病院一般",IF(AND($A604=31,$AJ604=41),"②病院短期","対象外")),IF($AJ604=30,"③特定消防",IF(AND(OR($A604=21,$A604=215),$AJ604=10),"④一般",IF(AND($A604=31,$AJ604=41),"⑤短期","対象外")))))</f>
        <v>①病院一般</v>
      </c>
      <c r="DC604" s="0" t="n">
        <f aca="false">IF($A604="","",IF($AB604&amp;""=設定!$C$4,1,0))</f>
        <v>0</v>
      </c>
    </row>
    <row r="605" customFormat="false" ht="15" hidden="false" customHeight="false" outlineLevel="0" collapsed="false">
      <c r="A605" s="0" t="n">
        <v>21</v>
      </c>
      <c r="AA605" s="0" t="n">
        <v>21</v>
      </c>
      <c r="AB605" s="0" t="s">
        <v>299</v>
      </c>
      <c r="AD605" s="0" t="n">
        <v>0</v>
      </c>
      <c r="AE605" s="0" t="s">
        <v>295</v>
      </c>
      <c r="AH605" s="0" t="n">
        <v>20</v>
      </c>
      <c r="AJ605" s="0" t="n">
        <v>10</v>
      </c>
      <c r="AP605" s="0" t="n">
        <v>260000</v>
      </c>
      <c r="DB605" s="0" t="str">
        <f aca="false">IF($A605="","",IF($AH605=20,IF(AND(OR($A605=21,$A605=215),$AJ605=10),"①病院一般",IF(AND($A605=31,$AJ605=41),"②病院短期","対象外")),IF($AJ605=30,"③特定消防",IF(AND(OR($A605=21,$A605=215),$AJ605=10),"④一般",IF(AND($A605=31,$AJ605=41),"⑤短期","対象外")))))</f>
        <v>①病院一般</v>
      </c>
      <c r="DC605" s="0" t="n">
        <f aca="false">IF($A605="","",IF($AB605&amp;""=設定!$C$4,1,0))</f>
        <v>0</v>
      </c>
    </row>
    <row r="606" customFormat="false" ht="15" hidden="false" customHeight="false" outlineLevel="0" collapsed="false">
      <c r="A606" s="0" t="n">
        <v>21</v>
      </c>
      <c r="AA606" s="0" t="n">
        <v>21</v>
      </c>
      <c r="AB606" s="0" t="s">
        <v>299</v>
      </c>
      <c r="AD606" s="0" t="n">
        <v>0</v>
      </c>
      <c r="AE606" s="0" t="s">
        <v>295</v>
      </c>
      <c r="AH606" s="0" t="n">
        <v>20</v>
      </c>
      <c r="AJ606" s="0" t="n">
        <v>10</v>
      </c>
      <c r="AP606" s="0" t="n">
        <v>260000</v>
      </c>
      <c r="DB606" s="0" t="str">
        <f aca="false">IF($A606="","",IF($AH606=20,IF(AND(OR($A606=21,$A606=215),$AJ606=10),"①病院一般",IF(AND($A606=31,$AJ606=41),"②病院短期","対象外")),IF($AJ606=30,"③特定消防",IF(AND(OR($A606=21,$A606=215),$AJ606=10),"④一般",IF(AND($A606=31,$AJ606=41),"⑤短期","対象外")))))</f>
        <v>①病院一般</v>
      </c>
      <c r="DC606" s="0" t="n">
        <f aca="false">IF($A606="","",IF($AB606&amp;""=設定!$C$4,1,0))</f>
        <v>0</v>
      </c>
    </row>
    <row r="607" customFormat="false" ht="15" hidden="false" customHeight="false" outlineLevel="0" collapsed="false">
      <c r="A607" s="0" t="n">
        <v>21</v>
      </c>
      <c r="AA607" s="0" t="n">
        <v>21</v>
      </c>
      <c r="AB607" s="0" t="s">
        <v>303</v>
      </c>
      <c r="AD607" s="0" t="n">
        <v>0</v>
      </c>
      <c r="AE607" s="0" t="s">
        <v>295</v>
      </c>
      <c r="AH607" s="0" t="n">
        <v>20</v>
      </c>
      <c r="AJ607" s="0" t="n">
        <v>10</v>
      </c>
      <c r="AP607" s="0" t="n">
        <v>340000</v>
      </c>
      <c r="DB607" s="0" t="str">
        <f aca="false">IF($A607="","",IF($AH607=20,IF(AND(OR($A607=21,$A607=215),$AJ607=10),"①病院一般",IF(AND($A607=31,$AJ607=41),"②病院短期","対象外")),IF($AJ607=30,"③特定消防",IF(AND(OR($A607=21,$A607=215),$AJ607=10),"④一般",IF(AND($A607=31,$AJ607=41),"⑤短期","対象外")))))</f>
        <v>①病院一般</v>
      </c>
      <c r="DC607" s="0" t="n">
        <f aca="false">IF($A607="","",IF($AB607&amp;""=設定!$C$4,1,0))</f>
        <v>0</v>
      </c>
    </row>
    <row r="608" customFormat="false" ht="15" hidden="false" customHeight="false" outlineLevel="0" collapsed="false">
      <c r="A608" s="0" t="n">
        <v>21</v>
      </c>
      <c r="AA608" s="0" t="n">
        <v>21</v>
      </c>
      <c r="AB608" s="0" t="s">
        <v>303</v>
      </c>
      <c r="AD608" s="0" t="n">
        <v>0</v>
      </c>
      <c r="AE608" s="0" t="s">
        <v>295</v>
      </c>
      <c r="AH608" s="0" t="n">
        <v>20</v>
      </c>
      <c r="AJ608" s="0" t="n">
        <v>10</v>
      </c>
      <c r="AP608" s="0" t="n">
        <v>320000</v>
      </c>
      <c r="DB608" s="0" t="str">
        <f aca="false">IF($A608="","",IF($AH608=20,IF(AND(OR($A608=21,$A608=215),$AJ608=10),"①病院一般",IF(AND($A608=31,$AJ608=41),"②病院短期","対象外")),IF($AJ608=30,"③特定消防",IF(AND(OR($A608=21,$A608=215),$AJ608=10),"④一般",IF(AND($A608=31,$AJ608=41),"⑤短期","対象外")))))</f>
        <v>①病院一般</v>
      </c>
      <c r="DC608" s="0" t="n">
        <f aca="false">IF($A608="","",IF($AB608&amp;""=設定!$C$4,1,0))</f>
        <v>0</v>
      </c>
    </row>
    <row r="609" customFormat="false" ht="15" hidden="false" customHeight="false" outlineLevel="0" collapsed="false">
      <c r="A609" s="0" t="n">
        <v>21</v>
      </c>
      <c r="AA609" s="0" t="n">
        <v>21</v>
      </c>
      <c r="AB609" s="0" t="s">
        <v>301</v>
      </c>
      <c r="AD609" s="0" t="n">
        <v>0</v>
      </c>
      <c r="AE609" s="0" t="s">
        <v>295</v>
      </c>
      <c r="AH609" s="0" t="n">
        <v>20</v>
      </c>
      <c r="AJ609" s="0" t="n">
        <v>10</v>
      </c>
      <c r="AP609" s="0" t="n">
        <v>320000</v>
      </c>
      <c r="DB609" s="0" t="str">
        <f aca="false">IF($A609="","",IF($AH609=20,IF(AND(OR($A609=21,$A609=215),$AJ609=10),"①病院一般",IF(AND($A609=31,$AJ609=41),"②病院短期","対象外")),IF($AJ609=30,"③特定消防",IF(AND(OR($A609=21,$A609=215),$AJ609=10),"④一般",IF(AND($A609=31,$AJ609=41),"⑤短期","対象外")))))</f>
        <v>①病院一般</v>
      </c>
      <c r="DC609" s="0" t="n">
        <f aca="false">IF($A609="","",IF($AB609&amp;""=設定!$C$4,1,0))</f>
        <v>0</v>
      </c>
    </row>
    <row r="610" customFormat="false" ht="15" hidden="false" customHeight="false" outlineLevel="0" collapsed="false">
      <c r="A610" s="0" t="n">
        <v>21</v>
      </c>
      <c r="AA610" s="0" t="n">
        <v>21</v>
      </c>
      <c r="AB610" s="0" t="s">
        <v>301</v>
      </c>
      <c r="AD610" s="0" t="n">
        <v>0</v>
      </c>
      <c r="AE610" s="0" t="s">
        <v>295</v>
      </c>
      <c r="AH610" s="0" t="n">
        <v>20</v>
      </c>
      <c r="AJ610" s="0" t="n">
        <v>10</v>
      </c>
      <c r="AP610" s="0" t="n">
        <v>320000</v>
      </c>
      <c r="DB610" s="0" t="str">
        <f aca="false">IF($A610="","",IF($AH610=20,IF(AND(OR($A610=21,$A610=215),$AJ610=10),"①病院一般",IF(AND($A610=31,$AJ610=41),"②病院短期","対象外")),IF($AJ610=30,"③特定消防",IF(AND(OR($A610=21,$A610=215),$AJ610=10),"④一般",IF(AND($A610=31,$AJ610=41),"⑤短期","対象外")))))</f>
        <v>①病院一般</v>
      </c>
      <c r="DC610" s="0" t="n">
        <f aca="false">IF($A610="","",IF($AB610&amp;""=設定!$C$4,1,0))</f>
        <v>0</v>
      </c>
    </row>
    <row r="611" customFormat="false" ht="15" hidden="false" customHeight="false" outlineLevel="0" collapsed="false">
      <c r="A611" s="0" t="n">
        <v>21</v>
      </c>
      <c r="AA611" s="0" t="n">
        <v>21</v>
      </c>
      <c r="AB611" s="0" t="s">
        <v>301</v>
      </c>
      <c r="AD611" s="0" t="n">
        <v>0</v>
      </c>
      <c r="AE611" s="0" t="s">
        <v>295</v>
      </c>
      <c r="AH611" s="0" t="n">
        <v>20</v>
      </c>
      <c r="AJ611" s="0" t="n">
        <v>10</v>
      </c>
      <c r="AP611" s="0" t="n">
        <v>320000</v>
      </c>
      <c r="DB611" s="0" t="str">
        <f aca="false">IF($A611="","",IF($AH611=20,IF(AND(OR($A611=21,$A611=215),$AJ611=10),"①病院一般",IF(AND($A611=31,$AJ611=41),"②病院短期","対象外")),IF($AJ611=30,"③特定消防",IF(AND(OR($A611=21,$A611=215),$AJ611=10),"④一般",IF(AND($A611=31,$AJ611=41),"⑤短期","対象外")))))</f>
        <v>①病院一般</v>
      </c>
      <c r="DC611" s="0" t="n">
        <f aca="false">IF($A611="","",IF($AB611&amp;""=設定!$C$4,1,0))</f>
        <v>0</v>
      </c>
    </row>
    <row r="612" customFormat="false" ht="15" hidden="false" customHeight="false" outlineLevel="0" collapsed="false">
      <c r="A612" s="0" t="n">
        <v>21</v>
      </c>
      <c r="AA612" s="0" t="n">
        <v>21</v>
      </c>
      <c r="AB612" s="0" t="s">
        <v>301</v>
      </c>
      <c r="AD612" s="0" t="n">
        <v>0</v>
      </c>
      <c r="AE612" s="0" t="s">
        <v>295</v>
      </c>
      <c r="AH612" s="0" t="n">
        <v>20</v>
      </c>
      <c r="AJ612" s="0" t="n">
        <v>10</v>
      </c>
      <c r="AP612" s="0" t="n">
        <v>1330000</v>
      </c>
      <c r="DB612" s="0" t="str">
        <f aca="false">IF($A612="","",IF($AH612=20,IF(AND(OR($A612=21,$A612=215),$AJ612=10),"①病院一般",IF(AND($A612=31,$AJ612=41),"②病院短期","対象外")),IF($AJ612=30,"③特定消防",IF(AND(OR($A612=21,$A612=215),$AJ612=10),"④一般",IF(AND($A612=31,$AJ612=41),"⑤短期","対象外")))))</f>
        <v>①病院一般</v>
      </c>
      <c r="DC612" s="0" t="n">
        <f aca="false">IF($A612="","",IF($AB612&amp;""=設定!$C$4,1,0))</f>
        <v>0</v>
      </c>
    </row>
    <row r="613" customFormat="false" ht="15" hidden="false" customHeight="false" outlineLevel="0" collapsed="false">
      <c r="A613" s="0" t="n">
        <v>21</v>
      </c>
      <c r="AA613" s="0" t="n">
        <v>21</v>
      </c>
      <c r="AB613" s="0" t="s">
        <v>301</v>
      </c>
      <c r="AD613" s="0" t="n">
        <v>0</v>
      </c>
      <c r="AE613" s="0" t="s">
        <v>295</v>
      </c>
      <c r="AH613" s="0" t="n">
        <v>20</v>
      </c>
      <c r="AJ613" s="0" t="n">
        <v>10</v>
      </c>
      <c r="AP613" s="0" t="n">
        <v>1030000</v>
      </c>
      <c r="DB613" s="0" t="str">
        <f aca="false">IF($A613="","",IF($AH613=20,IF(AND(OR($A613=21,$A613=215),$AJ613=10),"①病院一般",IF(AND($A613=31,$AJ613=41),"②病院短期","対象外")),IF($AJ613=30,"③特定消防",IF(AND(OR($A613=21,$A613=215),$AJ613=10),"④一般",IF(AND($A613=31,$AJ613=41),"⑤短期","対象外")))))</f>
        <v>①病院一般</v>
      </c>
      <c r="DC613" s="0" t="n">
        <f aca="false">IF($A613="","",IF($AB613&amp;""=設定!$C$4,1,0))</f>
        <v>0</v>
      </c>
    </row>
    <row r="614" customFormat="false" ht="15" hidden="false" customHeight="false" outlineLevel="0" collapsed="false">
      <c r="A614" s="0" t="n">
        <v>21</v>
      </c>
      <c r="AA614" s="0" t="n">
        <v>21</v>
      </c>
      <c r="AB614" s="0" t="s">
        <v>301</v>
      </c>
      <c r="AD614" s="0" t="n">
        <v>0</v>
      </c>
      <c r="AE614" s="0" t="s">
        <v>295</v>
      </c>
      <c r="AH614" s="0" t="n">
        <v>20</v>
      </c>
      <c r="AJ614" s="0" t="n">
        <v>10</v>
      </c>
      <c r="AP614" s="0" t="n">
        <v>980000</v>
      </c>
      <c r="DB614" s="0" t="str">
        <f aca="false">IF($A614="","",IF($AH614=20,IF(AND(OR($A614=21,$A614=215),$AJ614=10),"①病院一般",IF(AND($A614=31,$AJ614=41),"②病院短期","対象外")),IF($AJ614=30,"③特定消防",IF(AND(OR($A614=21,$A614=215),$AJ614=10),"④一般",IF(AND($A614=31,$AJ614=41),"⑤短期","対象外")))))</f>
        <v>①病院一般</v>
      </c>
      <c r="DC614" s="0" t="n">
        <f aca="false">IF($A614="","",IF($AB614&amp;""=設定!$C$4,1,0))</f>
        <v>0</v>
      </c>
    </row>
    <row r="615" customFormat="false" ht="15" hidden="false" customHeight="false" outlineLevel="0" collapsed="false">
      <c r="A615" s="0" t="n">
        <v>21</v>
      </c>
      <c r="AA615" s="0" t="n">
        <v>21</v>
      </c>
      <c r="AB615" s="0" t="s">
        <v>301</v>
      </c>
      <c r="AD615" s="0" t="n">
        <v>0</v>
      </c>
      <c r="AE615" s="0" t="s">
        <v>295</v>
      </c>
      <c r="AH615" s="0" t="n">
        <v>20</v>
      </c>
      <c r="AJ615" s="0" t="n">
        <v>10</v>
      </c>
      <c r="AP615" s="0" t="n">
        <v>1270000</v>
      </c>
      <c r="DB615" s="0" t="str">
        <f aca="false">IF($A615="","",IF($AH615=20,IF(AND(OR($A615=21,$A615=215),$AJ615=10),"①病院一般",IF(AND($A615=31,$AJ615=41),"②病院短期","対象外")),IF($AJ615=30,"③特定消防",IF(AND(OR($A615=21,$A615=215),$AJ615=10),"④一般",IF(AND($A615=31,$AJ615=41),"⑤短期","対象外")))))</f>
        <v>①病院一般</v>
      </c>
      <c r="DC615" s="0" t="n">
        <f aca="false">IF($A615="","",IF($AB615&amp;""=設定!$C$4,1,0))</f>
        <v>0</v>
      </c>
    </row>
    <row r="616" customFormat="false" ht="15" hidden="false" customHeight="false" outlineLevel="0" collapsed="false">
      <c r="A616" s="0" t="n">
        <v>21</v>
      </c>
      <c r="AA616" s="0" t="n">
        <v>21</v>
      </c>
      <c r="AB616" s="0" t="s">
        <v>301</v>
      </c>
      <c r="AD616" s="0" t="n">
        <v>0</v>
      </c>
      <c r="AE616" s="0" t="s">
        <v>295</v>
      </c>
      <c r="AH616" s="0" t="n">
        <v>20</v>
      </c>
      <c r="AJ616" s="0" t="n">
        <v>10</v>
      </c>
      <c r="AP616" s="0" t="n">
        <v>1210000</v>
      </c>
      <c r="DB616" s="0" t="str">
        <f aca="false">IF($A616="","",IF($AH616=20,IF(AND(OR($A616=21,$A616=215),$AJ616=10),"①病院一般",IF(AND($A616=31,$AJ616=41),"②病院短期","対象外")),IF($AJ616=30,"③特定消防",IF(AND(OR($A616=21,$A616=215),$AJ616=10),"④一般",IF(AND($A616=31,$AJ616=41),"⑤短期","対象外")))))</f>
        <v>①病院一般</v>
      </c>
      <c r="DC616" s="0" t="n">
        <f aca="false">IF($A616="","",IF($AB616&amp;""=設定!$C$4,1,0))</f>
        <v>0</v>
      </c>
    </row>
    <row r="617" customFormat="false" ht="15" hidden="false" customHeight="false" outlineLevel="0" collapsed="false">
      <c r="A617" s="0" t="n">
        <v>21</v>
      </c>
      <c r="AA617" s="0" t="n">
        <v>21</v>
      </c>
      <c r="AB617" s="0" t="s">
        <v>301</v>
      </c>
      <c r="AD617" s="0" t="n">
        <v>0</v>
      </c>
      <c r="AE617" s="0" t="s">
        <v>295</v>
      </c>
      <c r="AH617" s="0" t="n">
        <v>20</v>
      </c>
      <c r="AJ617" s="0" t="n">
        <v>10</v>
      </c>
      <c r="AP617" s="0" t="n">
        <v>280000</v>
      </c>
      <c r="DB617" s="0" t="str">
        <f aca="false">IF($A617="","",IF($AH617=20,IF(AND(OR($A617=21,$A617=215),$AJ617=10),"①病院一般",IF(AND($A617=31,$AJ617=41),"②病院短期","対象外")),IF($AJ617=30,"③特定消防",IF(AND(OR($A617=21,$A617=215),$AJ617=10),"④一般",IF(AND($A617=31,$AJ617=41),"⑤短期","対象外")))))</f>
        <v>①病院一般</v>
      </c>
      <c r="DC617" s="0" t="n">
        <f aca="false">IF($A617="","",IF($AB617&amp;""=設定!$C$4,1,0))</f>
        <v>0</v>
      </c>
    </row>
    <row r="618" customFormat="false" ht="15" hidden="false" customHeight="false" outlineLevel="0" collapsed="false">
      <c r="A618" s="0" t="n">
        <v>21</v>
      </c>
      <c r="AA618" s="0" t="n">
        <v>21</v>
      </c>
      <c r="AB618" s="0" t="s">
        <v>301</v>
      </c>
      <c r="AD618" s="0" t="n">
        <v>0</v>
      </c>
      <c r="AE618" s="0" t="s">
        <v>295</v>
      </c>
      <c r="AH618" s="0" t="n">
        <v>20</v>
      </c>
      <c r="AJ618" s="0" t="n">
        <v>10</v>
      </c>
      <c r="AP618" s="0" t="n">
        <v>360000</v>
      </c>
      <c r="DB618" s="0" t="str">
        <f aca="false">IF($A618="","",IF($AH618=20,IF(AND(OR($A618=21,$A618=215),$AJ618=10),"①病院一般",IF(AND($A618=31,$AJ618=41),"②病院短期","対象外")),IF($AJ618=30,"③特定消防",IF(AND(OR($A618=21,$A618=215),$AJ618=10),"④一般",IF(AND($A618=31,$AJ618=41),"⑤短期","対象外")))))</f>
        <v>①病院一般</v>
      </c>
      <c r="DC618" s="0" t="n">
        <f aca="false">IF($A618="","",IF($AB618&amp;""=設定!$C$4,1,0))</f>
        <v>0</v>
      </c>
    </row>
    <row r="619" customFormat="false" ht="15" hidden="false" customHeight="false" outlineLevel="0" collapsed="false">
      <c r="A619" s="0" t="n">
        <v>21</v>
      </c>
      <c r="AA619" s="0" t="n">
        <v>21</v>
      </c>
      <c r="AB619" s="0" t="s">
        <v>301</v>
      </c>
      <c r="AD619" s="0" t="n">
        <v>0</v>
      </c>
      <c r="AE619" s="0" t="s">
        <v>295</v>
      </c>
      <c r="AH619" s="0" t="n">
        <v>20</v>
      </c>
      <c r="AJ619" s="0" t="n">
        <v>10</v>
      </c>
      <c r="AP619" s="0" t="n">
        <v>320000</v>
      </c>
      <c r="DB619" s="0" t="str">
        <f aca="false">IF($A619="","",IF($AH619=20,IF(AND(OR($A619=21,$A619=215),$AJ619=10),"①病院一般",IF(AND($A619=31,$AJ619=41),"②病院短期","対象外")),IF($AJ619=30,"③特定消防",IF(AND(OR($A619=21,$A619=215),$AJ619=10),"④一般",IF(AND($A619=31,$AJ619=41),"⑤短期","対象外")))))</f>
        <v>①病院一般</v>
      </c>
      <c r="DC619" s="0" t="n">
        <f aca="false">IF($A619="","",IF($AB619&amp;""=設定!$C$4,1,0))</f>
        <v>0</v>
      </c>
    </row>
    <row r="620" customFormat="false" ht="15" hidden="false" customHeight="false" outlineLevel="0" collapsed="false">
      <c r="A620" s="0" t="n">
        <v>21</v>
      </c>
      <c r="AA620" s="0" t="n">
        <v>21</v>
      </c>
      <c r="AB620" s="0" t="s">
        <v>301</v>
      </c>
      <c r="AD620" s="0" t="n">
        <v>0</v>
      </c>
      <c r="AE620" s="0" t="s">
        <v>295</v>
      </c>
      <c r="AH620" s="0" t="n">
        <v>20</v>
      </c>
      <c r="AJ620" s="0" t="n">
        <v>10</v>
      </c>
      <c r="AP620" s="0" t="n">
        <v>260000</v>
      </c>
      <c r="DB620" s="0" t="str">
        <f aca="false">IF($A620="","",IF($AH620=20,IF(AND(OR($A620=21,$A620=215),$AJ620=10),"①病院一般",IF(AND($A620=31,$AJ620=41),"②病院短期","対象外")),IF($AJ620=30,"③特定消防",IF(AND(OR($A620=21,$A620=215),$AJ620=10),"④一般",IF(AND($A620=31,$AJ620=41),"⑤短期","対象外")))))</f>
        <v>①病院一般</v>
      </c>
      <c r="DC620" s="0" t="n">
        <f aca="false">IF($A620="","",IF($AB620&amp;""=設定!$C$4,1,0))</f>
        <v>0</v>
      </c>
    </row>
    <row r="621" customFormat="false" ht="15" hidden="false" customHeight="false" outlineLevel="0" collapsed="false">
      <c r="A621" s="0" t="n">
        <v>21</v>
      </c>
      <c r="AA621" s="0" t="n">
        <v>21</v>
      </c>
      <c r="AB621" s="0" t="s">
        <v>301</v>
      </c>
      <c r="AD621" s="0" t="n">
        <v>0</v>
      </c>
      <c r="AE621" s="0" t="s">
        <v>295</v>
      </c>
      <c r="AH621" s="0" t="n">
        <v>20</v>
      </c>
      <c r="AJ621" s="0" t="n">
        <v>10</v>
      </c>
      <c r="AP621" s="0" t="n">
        <v>260000</v>
      </c>
      <c r="DB621" s="0" t="str">
        <f aca="false">IF($A621="","",IF($AH621=20,IF(AND(OR($A621=21,$A621=215),$AJ621=10),"①病院一般",IF(AND($A621=31,$AJ621=41),"②病院短期","対象外")),IF($AJ621=30,"③特定消防",IF(AND(OR($A621=21,$A621=215),$AJ621=10),"④一般",IF(AND($A621=31,$AJ621=41),"⑤短期","対象外")))))</f>
        <v>①病院一般</v>
      </c>
      <c r="DC621" s="0" t="n">
        <f aca="false">IF($A621="","",IF($AB621&amp;""=設定!$C$4,1,0))</f>
        <v>0</v>
      </c>
    </row>
    <row r="622" customFormat="false" ht="15" hidden="false" customHeight="false" outlineLevel="0" collapsed="false">
      <c r="A622" s="0" t="n">
        <v>21</v>
      </c>
      <c r="AA622" s="0" t="n">
        <v>21</v>
      </c>
      <c r="AB622" s="0" t="s">
        <v>301</v>
      </c>
      <c r="AD622" s="0" t="n">
        <v>0</v>
      </c>
      <c r="AE622" s="0" t="s">
        <v>295</v>
      </c>
      <c r="AH622" s="0" t="n">
        <v>20</v>
      </c>
      <c r="AJ622" s="0" t="n">
        <v>10</v>
      </c>
      <c r="AP622" s="0" t="n">
        <v>300000</v>
      </c>
      <c r="DB622" s="0" t="str">
        <f aca="false">IF($A622="","",IF($AH622=20,IF(AND(OR($A622=21,$A622=215),$AJ622=10),"①病院一般",IF(AND($A622=31,$AJ622=41),"②病院短期","対象外")),IF($AJ622=30,"③特定消防",IF(AND(OR($A622=21,$A622=215),$AJ622=10),"④一般",IF(AND($A622=31,$AJ622=41),"⑤短期","対象外")))))</f>
        <v>①病院一般</v>
      </c>
      <c r="DC622" s="0" t="n">
        <f aca="false">IF($A622="","",IF($AB622&amp;""=設定!$C$4,1,0))</f>
        <v>0</v>
      </c>
    </row>
    <row r="623" customFormat="false" ht="15" hidden="false" customHeight="false" outlineLevel="0" collapsed="false">
      <c r="A623" s="0" t="n">
        <v>21</v>
      </c>
      <c r="AA623" s="0" t="n">
        <v>21</v>
      </c>
      <c r="AB623" s="0" t="s">
        <v>301</v>
      </c>
      <c r="AD623" s="0" t="n">
        <v>0</v>
      </c>
      <c r="AE623" s="0" t="s">
        <v>295</v>
      </c>
      <c r="AH623" s="0" t="n">
        <v>20</v>
      </c>
      <c r="AJ623" s="0" t="n">
        <v>10</v>
      </c>
      <c r="AP623" s="0" t="n">
        <v>260000</v>
      </c>
      <c r="DB623" s="0" t="str">
        <f aca="false">IF($A623="","",IF($AH623=20,IF(AND(OR($A623=21,$A623=215),$AJ623=10),"①病院一般",IF(AND($A623=31,$AJ623=41),"②病院短期","対象外")),IF($AJ623=30,"③特定消防",IF(AND(OR($A623=21,$A623=215),$AJ623=10),"④一般",IF(AND($A623=31,$AJ623=41),"⑤短期","対象外")))))</f>
        <v>①病院一般</v>
      </c>
      <c r="DC623" s="0" t="n">
        <f aca="false">IF($A623="","",IF($AB623&amp;""=設定!$C$4,1,0))</f>
        <v>0</v>
      </c>
    </row>
    <row r="624" customFormat="false" ht="15" hidden="false" customHeight="false" outlineLevel="0" collapsed="false">
      <c r="A624" s="0" t="n">
        <v>31</v>
      </c>
      <c r="AA624" s="0" t="n">
        <v>24</v>
      </c>
      <c r="AB624" s="0" t="s">
        <v>304</v>
      </c>
      <c r="AD624" s="0" t="n">
        <v>0</v>
      </c>
      <c r="AE624" s="0" t="s">
        <v>295</v>
      </c>
      <c r="AH624" s="0" t="n">
        <v>1</v>
      </c>
      <c r="AJ624" s="0" t="n">
        <v>41</v>
      </c>
      <c r="AP624" s="0" t="n">
        <v>150000</v>
      </c>
      <c r="DB624" s="0" t="str">
        <f aca="false">IF($A624="","",IF($AH624=20,IF(AND(OR($A624=21,$A624=215),$AJ624=10),"①病院一般",IF(AND($A624=31,$AJ624=41),"②病院短期","対象外")),IF($AJ624=30,"③特定消防",IF(AND(OR($A624=21,$A624=215),$AJ624=10),"④一般",IF(AND($A624=31,$AJ624=41),"⑤短期","対象外")))))</f>
        <v>⑤短期</v>
      </c>
      <c r="DC624" s="0" t="n">
        <f aca="false">IF($A624="","",IF($AB624&amp;""=設定!$C$4,1,0))</f>
        <v>0</v>
      </c>
    </row>
    <row r="625" customFormat="false" ht="15" hidden="false" customHeight="false" outlineLevel="0" collapsed="false">
      <c r="A625" s="0" t="n">
        <v>31</v>
      </c>
      <c r="AA625" s="0" t="n">
        <v>24</v>
      </c>
      <c r="AB625" s="0" t="s">
        <v>301</v>
      </c>
      <c r="AD625" s="0" t="n">
        <v>0</v>
      </c>
      <c r="AE625" s="0" t="s">
        <v>295</v>
      </c>
      <c r="AH625" s="0" t="n">
        <v>1</v>
      </c>
      <c r="AJ625" s="0" t="n">
        <v>41</v>
      </c>
      <c r="AP625" s="0" t="n">
        <v>134000</v>
      </c>
      <c r="DB625" s="0" t="str">
        <f aca="false">IF($A625="","",IF($AH625=20,IF(AND(OR($A625=21,$A625=215),$AJ625=10),"①病院一般",IF(AND($A625=31,$AJ625=41),"②病院短期","対象外")),IF($AJ625=30,"③特定消防",IF(AND(OR($A625=21,$A625=215),$AJ625=10),"④一般",IF(AND($A625=31,$AJ625=41),"⑤短期","対象外")))))</f>
        <v>⑤短期</v>
      </c>
      <c r="DC625" s="0" t="n">
        <f aca="false">IF($A625="","",IF($AB625&amp;""=設定!$C$4,1,0))</f>
        <v>0</v>
      </c>
    </row>
    <row r="626" customFormat="false" ht="15" hidden="false" customHeight="false" outlineLevel="0" collapsed="false">
      <c r="A626" s="0" t="n">
        <v>31</v>
      </c>
      <c r="AA626" s="0" t="n">
        <v>24</v>
      </c>
      <c r="AB626" s="0" t="s">
        <v>305</v>
      </c>
      <c r="AD626" s="0" t="n">
        <v>0</v>
      </c>
      <c r="AE626" s="0" t="s">
        <v>295</v>
      </c>
      <c r="AH626" s="0" t="n">
        <v>1</v>
      </c>
      <c r="AJ626" s="0" t="n">
        <v>41</v>
      </c>
      <c r="AP626" s="0" t="n">
        <v>220000</v>
      </c>
      <c r="DB626" s="0" t="str">
        <f aca="false">IF($A626="","",IF($AH626=20,IF(AND(OR($A626=21,$A626=215),$AJ626=10),"①病院一般",IF(AND($A626=31,$AJ626=41),"②病院短期","対象外")),IF($AJ626=30,"③特定消防",IF(AND(OR($A626=21,$A626=215),$AJ626=10),"④一般",IF(AND($A626=31,$AJ626=41),"⑤短期","対象外")))))</f>
        <v>⑤短期</v>
      </c>
      <c r="DC626" s="0" t="n">
        <f aca="false">IF($A626="","",IF($AB626&amp;""=設定!$C$4,1,0))</f>
        <v>0</v>
      </c>
    </row>
    <row r="627" customFormat="false" ht="15" hidden="false" customHeight="false" outlineLevel="0" collapsed="false">
      <c r="A627" s="0" t="n">
        <v>31</v>
      </c>
      <c r="AA627" s="0" t="n">
        <v>24</v>
      </c>
      <c r="AB627" s="0" t="s">
        <v>306</v>
      </c>
      <c r="AD627" s="0" t="n">
        <v>0</v>
      </c>
      <c r="AE627" s="0" t="s">
        <v>295</v>
      </c>
      <c r="AH627" s="0" t="n">
        <v>1</v>
      </c>
      <c r="AJ627" s="0" t="n">
        <v>41</v>
      </c>
      <c r="AP627" s="0" t="n">
        <v>134000</v>
      </c>
      <c r="DB627" s="0" t="str">
        <f aca="false">IF($A627="","",IF($AH627=20,IF(AND(OR($A627=21,$A627=215),$AJ627=10),"①病院一般",IF(AND($A627=31,$AJ627=41),"②病院短期","対象外")),IF($AJ627=30,"③特定消防",IF(AND(OR($A627=21,$A627=215),$AJ627=10),"④一般",IF(AND($A627=31,$AJ627=41),"⑤短期","対象外")))))</f>
        <v>⑤短期</v>
      </c>
      <c r="DC627" s="0" t="n">
        <f aca="false">IF($A627="","",IF($AB627&amp;""=設定!$C$4,1,0))</f>
        <v>0</v>
      </c>
    </row>
    <row r="628" customFormat="false" ht="15" hidden="false" customHeight="false" outlineLevel="0" collapsed="false">
      <c r="A628" s="0" t="n">
        <v>31</v>
      </c>
      <c r="AA628" s="0" t="n">
        <v>24</v>
      </c>
      <c r="AB628" s="0" t="s">
        <v>301</v>
      </c>
      <c r="AD628" s="0" t="n">
        <v>0</v>
      </c>
      <c r="AE628" s="0" t="s">
        <v>295</v>
      </c>
      <c r="AH628" s="0" t="n">
        <v>1</v>
      </c>
      <c r="AJ628" s="0" t="n">
        <v>41</v>
      </c>
      <c r="AP628" s="0" t="n">
        <v>134000</v>
      </c>
      <c r="DB628" s="0" t="str">
        <f aca="false">IF($A628="","",IF($AH628=20,IF(AND(OR($A628=21,$A628=215),$AJ628=10),"①病院一般",IF(AND($A628=31,$AJ628=41),"②病院短期","対象外")),IF($AJ628=30,"③特定消防",IF(AND(OR($A628=21,$A628=215),$AJ628=10),"④一般",IF(AND($A628=31,$AJ628=41),"⑤短期","対象外")))))</f>
        <v>⑤短期</v>
      </c>
      <c r="DC628" s="0" t="n">
        <f aca="false">IF($A628="","",IF($AB628&amp;""=設定!$C$4,1,0))</f>
        <v>0</v>
      </c>
    </row>
    <row r="629" customFormat="false" ht="15" hidden="false" customHeight="false" outlineLevel="0" collapsed="false">
      <c r="A629" s="0" t="n">
        <v>31</v>
      </c>
      <c r="AA629" s="0" t="n">
        <v>24</v>
      </c>
      <c r="AB629" s="0" t="s">
        <v>298</v>
      </c>
      <c r="AD629" s="0" t="n">
        <v>0</v>
      </c>
      <c r="AE629" s="0" t="s">
        <v>295</v>
      </c>
      <c r="AH629" s="0" t="n">
        <v>11</v>
      </c>
      <c r="AJ629" s="0" t="n">
        <v>47</v>
      </c>
      <c r="AP629" s="0" t="n">
        <v>126000</v>
      </c>
      <c r="DB629" s="0" t="str">
        <f aca="false">IF($A629="","",IF($AH629=20,IF(AND(OR($A629=21,$A629=215),$AJ629=10),"①病院一般",IF(AND($A629=31,$AJ629=41),"②病院短期","対象外")),IF($AJ629=30,"③特定消防",IF(AND(OR($A629=21,$A629=215),$AJ629=10),"④一般",IF(AND($A629=31,$AJ629=41),"⑤短期","対象外")))))</f>
        <v>対象外</v>
      </c>
      <c r="DC629" s="0" t="n">
        <f aca="false">IF($A629="","",IF($AB629&amp;""=設定!$C$4,1,0))</f>
        <v>0</v>
      </c>
    </row>
    <row r="630" customFormat="false" ht="15" hidden="false" customHeight="false" outlineLevel="0" collapsed="false">
      <c r="A630" s="0" t="n">
        <v>31</v>
      </c>
      <c r="AA630" s="0" t="n">
        <v>21</v>
      </c>
      <c r="AB630" s="0" t="s">
        <v>96</v>
      </c>
      <c r="AD630" s="0" t="n">
        <v>0</v>
      </c>
      <c r="AE630" s="0" t="s">
        <v>295</v>
      </c>
      <c r="AH630" s="0" t="n">
        <v>1</v>
      </c>
      <c r="AJ630" s="0" t="n">
        <v>41</v>
      </c>
      <c r="AP630" s="0" t="n">
        <v>280000</v>
      </c>
      <c r="DB630" s="0" t="str">
        <f aca="false">IF($A630="","",IF($AH630=20,IF(AND(OR($A630=21,$A630=215),$AJ630=10),"①病院一般",IF(AND($A630=31,$AJ630=41),"②病院短期","対象外")),IF($AJ630=30,"③特定消防",IF(AND(OR($A630=21,$A630=215),$AJ630=10),"④一般",IF(AND($A630=31,$AJ630=41),"⑤短期","対象外")))))</f>
        <v>⑤短期</v>
      </c>
      <c r="DC630" s="0" t="n">
        <f aca="false">IF($A630="","",IF($AB630&amp;""=設定!$C$4,1,0))</f>
        <v>1</v>
      </c>
    </row>
    <row r="631" customFormat="false" ht="15" hidden="false" customHeight="false" outlineLevel="0" collapsed="false">
      <c r="A631" s="0" t="n">
        <v>31</v>
      </c>
      <c r="AA631" s="0" t="n">
        <v>21</v>
      </c>
      <c r="AB631" s="0" t="s">
        <v>96</v>
      </c>
      <c r="AD631" s="0" t="n">
        <v>0</v>
      </c>
      <c r="AE631" s="0" t="s">
        <v>295</v>
      </c>
      <c r="AH631" s="0" t="n">
        <v>1</v>
      </c>
      <c r="AJ631" s="0" t="n">
        <v>41</v>
      </c>
      <c r="AP631" s="0" t="n">
        <v>190000</v>
      </c>
      <c r="DB631" s="0" t="str">
        <f aca="false">IF($A631="","",IF($AH631=20,IF(AND(OR($A631=21,$A631=215),$AJ631=10),"①病院一般",IF(AND($A631=31,$AJ631=41),"②病院短期","対象外")),IF($AJ631=30,"③特定消防",IF(AND(OR($A631=21,$A631=215),$AJ631=10),"④一般",IF(AND($A631=31,$AJ631=41),"⑤短期","対象外")))))</f>
        <v>⑤短期</v>
      </c>
      <c r="DC631" s="0" t="n">
        <f aca="false">IF($A631="","",IF($AB631&amp;""=設定!$C$4,1,0))</f>
        <v>1</v>
      </c>
    </row>
    <row r="632" customFormat="false" ht="15" hidden="false" customHeight="false" outlineLevel="0" collapsed="false">
      <c r="A632" s="0" t="n">
        <v>31</v>
      </c>
      <c r="AA632" s="0" t="n">
        <v>21</v>
      </c>
      <c r="AB632" s="0" t="s">
        <v>307</v>
      </c>
      <c r="AD632" s="0" t="n">
        <v>0</v>
      </c>
      <c r="AE632" s="0" t="s">
        <v>295</v>
      </c>
      <c r="AH632" s="0" t="n">
        <v>1</v>
      </c>
      <c r="AJ632" s="0" t="n">
        <v>41</v>
      </c>
      <c r="AP632" s="0" t="n">
        <v>200000</v>
      </c>
      <c r="DB632" s="0" t="str">
        <f aca="false">IF($A632="","",IF($AH632=20,IF(AND(OR($A632=21,$A632=215),$AJ632=10),"①病院一般",IF(AND($A632=31,$AJ632=41),"②病院短期","対象外")),IF($AJ632=30,"③特定消防",IF(AND(OR($A632=21,$A632=215),$AJ632=10),"④一般",IF(AND($A632=31,$AJ632=41),"⑤短期","対象外")))))</f>
        <v>⑤短期</v>
      </c>
      <c r="DC632" s="0" t="n">
        <f aca="false">IF($A632="","",IF($AB632&amp;""=設定!$C$4,1,0))</f>
        <v>0</v>
      </c>
    </row>
    <row r="633" customFormat="false" ht="15" hidden="false" customHeight="false" outlineLevel="0" collapsed="false">
      <c r="A633" s="0" t="n">
        <v>31</v>
      </c>
      <c r="AA633" s="0" t="n">
        <v>21</v>
      </c>
      <c r="AB633" s="0" t="s">
        <v>96</v>
      </c>
      <c r="AD633" s="0" t="n">
        <v>0</v>
      </c>
      <c r="AE633" s="0" t="s">
        <v>295</v>
      </c>
      <c r="AH633" s="0" t="n">
        <v>4</v>
      </c>
      <c r="AJ633" s="0" t="n">
        <v>41</v>
      </c>
      <c r="AP633" s="0" t="n">
        <v>220000</v>
      </c>
      <c r="DB633" s="0" t="str">
        <f aca="false">IF($A633="","",IF($AH633=20,IF(AND(OR($A633=21,$A633=215),$AJ633=10),"①病院一般",IF(AND($A633=31,$AJ633=41),"②病院短期","対象外")),IF($AJ633=30,"③特定消防",IF(AND(OR($A633=21,$A633=215),$AJ633=10),"④一般",IF(AND($A633=31,$AJ633=41),"⑤短期","対象外")))))</f>
        <v>⑤短期</v>
      </c>
      <c r="DC633" s="0" t="n">
        <f aca="false">IF($A633="","",IF($AB633&amp;""=設定!$C$4,1,0))</f>
        <v>1</v>
      </c>
    </row>
    <row r="634" customFormat="false" ht="15" hidden="false" customHeight="false" outlineLevel="0" collapsed="false">
      <c r="A634" s="0" t="n">
        <v>31</v>
      </c>
      <c r="AA634" s="0" t="n">
        <v>21</v>
      </c>
      <c r="AB634" s="0" t="s">
        <v>96</v>
      </c>
      <c r="AD634" s="0" t="n">
        <v>0</v>
      </c>
      <c r="AE634" s="0" t="s">
        <v>295</v>
      </c>
      <c r="AH634" s="0" t="n">
        <v>4</v>
      </c>
      <c r="AJ634" s="0" t="n">
        <v>41</v>
      </c>
      <c r="AP634" s="0" t="n">
        <v>240000</v>
      </c>
      <c r="DB634" s="0" t="str">
        <f aca="false">IF($A634="","",IF($AH634=20,IF(AND(OR($A634=21,$A634=215),$AJ634=10),"①病院一般",IF(AND($A634=31,$AJ634=41),"②病院短期","対象外")),IF($AJ634=30,"③特定消防",IF(AND(OR($A634=21,$A634=215),$AJ634=10),"④一般",IF(AND($A634=31,$AJ634=41),"⑤短期","対象外")))))</f>
        <v>⑤短期</v>
      </c>
      <c r="DC634" s="0" t="n">
        <f aca="false">IF($A634="","",IF($AB634&amp;""=設定!$C$4,1,0))</f>
        <v>1</v>
      </c>
    </row>
    <row r="635" customFormat="false" ht="15" hidden="false" customHeight="false" outlineLevel="0" collapsed="false">
      <c r="A635" s="0" t="n">
        <v>31</v>
      </c>
      <c r="AA635" s="0" t="n">
        <v>21</v>
      </c>
      <c r="AB635" s="0" t="s">
        <v>96</v>
      </c>
      <c r="AD635" s="0" t="n">
        <v>0</v>
      </c>
      <c r="AE635" s="0" t="s">
        <v>295</v>
      </c>
      <c r="AH635" s="0" t="n">
        <v>4</v>
      </c>
      <c r="AJ635" s="0" t="n">
        <v>41</v>
      </c>
      <c r="AP635" s="0" t="n">
        <v>220000</v>
      </c>
      <c r="DB635" s="0" t="str">
        <f aca="false">IF($A635="","",IF($AH635=20,IF(AND(OR($A635=21,$A635=215),$AJ635=10),"①病院一般",IF(AND($A635=31,$AJ635=41),"②病院短期","対象外")),IF($AJ635=30,"③特定消防",IF(AND(OR($A635=21,$A635=215),$AJ635=10),"④一般",IF(AND($A635=31,$AJ635=41),"⑤短期","対象外")))))</f>
        <v>⑤短期</v>
      </c>
      <c r="DC635" s="0" t="n">
        <f aca="false">IF($A635="","",IF($AB635&amp;""=設定!$C$4,1,0))</f>
        <v>1</v>
      </c>
    </row>
    <row r="636" customFormat="false" ht="15" hidden="false" customHeight="false" outlineLevel="0" collapsed="false">
      <c r="A636" s="0" t="n">
        <v>31</v>
      </c>
      <c r="AA636" s="0" t="n">
        <v>21</v>
      </c>
      <c r="AB636" s="0" t="s">
        <v>96</v>
      </c>
      <c r="AD636" s="0" t="n">
        <v>0</v>
      </c>
      <c r="AE636" s="0" t="s">
        <v>295</v>
      </c>
      <c r="AH636" s="0" t="n">
        <v>4</v>
      </c>
      <c r="AJ636" s="0" t="n">
        <v>41</v>
      </c>
      <c r="AP636" s="0" t="n">
        <v>220000</v>
      </c>
      <c r="DB636" s="0" t="str">
        <f aca="false">IF($A636="","",IF($AH636=20,IF(AND(OR($A636=21,$A636=215),$AJ636=10),"①病院一般",IF(AND($A636=31,$AJ636=41),"②病院短期","対象外")),IF($AJ636=30,"③特定消防",IF(AND(OR($A636=21,$A636=215),$AJ636=10),"④一般",IF(AND($A636=31,$AJ636=41),"⑤短期","対象外")))))</f>
        <v>⑤短期</v>
      </c>
      <c r="DC636" s="0" t="n">
        <f aca="false">IF($A636="","",IF($AB636&amp;""=設定!$C$4,1,0))</f>
        <v>1</v>
      </c>
    </row>
    <row r="637" customFormat="false" ht="15" hidden="false" customHeight="false" outlineLevel="0" collapsed="false">
      <c r="A637" s="0" t="n">
        <v>31</v>
      </c>
      <c r="AA637" s="0" t="n">
        <v>21</v>
      </c>
      <c r="AB637" s="0" t="s">
        <v>96</v>
      </c>
      <c r="AD637" s="0" t="n">
        <v>0</v>
      </c>
      <c r="AE637" s="0" t="s">
        <v>295</v>
      </c>
      <c r="AH637" s="0" t="n">
        <v>4</v>
      </c>
      <c r="AJ637" s="0" t="n">
        <v>41</v>
      </c>
      <c r="AP637" s="0" t="n">
        <v>200000</v>
      </c>
      <c r="DB637" s="0" t="str">
        <f aca="false">IF($A637="","",IF($AH637=20,IF(AND(OR($A637=21,$A637=215),$AJ637=10),"①病院一般",IF(AND($A637=31,$AJ637=41),"②病院短期","対象外")),IF($AJ637=30,"③特定消防",IF(AND(OR($A637=21,$A637=215),$AJ637=10),"④一般",IF(AND($A637=31,$AJ637=41),"⑤短期","対象外")))))</f>
        <v>⑤短期</v>
      </c>
      <c r="DC637" s="0" t="n">
        <f aca="false">IF($A637="","",IF($AB637&amp;""=設定!$C$4,1,0))</f>
        <v>1</v>
      </c>
    </row>
    <row r="638" customFormat="false" ht="15" hidden="false" customHeight="false" outlineLevel="0" collapsed="false">
      <c r="A638" s="0" t="n">
        <v>31</v>
      </c>
      <c r="AA638" s="0" t="n">
        <v>21</v>
      </c>
      <c r="AB638" s="0" t="s">
        <v>96</v>
      </c>
      <c r="AD638" s="0" t="n">
        <v>0</v>
      </c>
      <c r="AE638" s="0" t="s">
        <v>295</v>
      </c>
      <c r="AH638" s="0" t="n">
        <v>4</v>
      </c>
      <c r="AJ638" s="0" t="n">
        <v>41</v>
      </c>
      <c r="AP638" s="0" t="n">
        <v>240000</v>
      </c>
      <c r="DB638" s="0" t="str">
        <f aca="false">IF($A638="","",IF($AH638=20,IF(AND(OR($A638=21,$A638=215),$AJ638=10),"①病院一般",IF(AND($A638=31,$AJ638=41),"②病院短期","対象外")),IF($AJ638=30,"③特定消防",IF(AND(OR($A638=21,$A638=215),$AJ638=10),"④一般",IF(AND($A638=31,$AJ638=41),"⑤短期","対象外")))))</f>
        <v>⑤短期</v>
      </c>
      <c r="DC638" s="0" t="n">
        <f aca="false">IF($A638="","",IF($AB638&amp;""=設定!$C$4,1,0))</f>
        <v>1</v>
      </c>
    </row>
    <row r="639" customFormat="false" ht="15" hidden="false" customHeight="false" outlineLevel="0" collapsed="false">
      <c r="A639" s="0" t="n">
        <v>31</v>
      </c>
      <c r="AA639" s="0" t="n">
        <v>21</v>
      </c>
      <c r="AB639" s="0" t="s">
        <v>96</v>
      </c>
      <c r="AD639" s="0" t="n">
        <v>0</v>
      </c>
      <c r="AE639" s="0" t="s">
        <v>295</v>
      </c>
      <c r="AH639" s="0" t="n">
        <v>4</v>
      </c>
      <c r="AJ639" s="0" t="n">
        <v>41</v>
      </c>
      <c r="AP639" s="0" t="n">
        <v>260000</v>
      </c>
      <c r="DB639" s="0" t="str">
        <f aca="false">IF($A639="","",IF($AH639=20,IF(AND(OR($A639=21,$A639=215),$AJ639=10),"①病院一般",IF(AND($A639=31,$AJ639=41),"②病院短期","対象外")),IF($AJ639=30,"③特定消防",IF(AND(OR($A639=21,$A639=215),$AJ639=10),"④一般",IF(AND($A639=31,$AJ639=41),"⑤短期","対象外")))))</f>
        <v>⑤短期</v>
      </c>
      <c r="DC639" s="0" t="n">
        <f aca="false">IF($A639="","",IF($AB639&amp;""=設定!$C$4,1,0))</f>
        <v>1</v>
      </c>
    </row>
    <row r="640" customFormat="false" ht="15" hidden="false" customHeight="false" outlineLevel="0" collapsed="false">
      <c r="A640" s="0" t="n">
        <v>31</v>
      </c>
      <c r="AA640" s="0" t="n">
        <v>21</v>
      </c>
      <c r="AB640" s="0" t="s">
        <v>96</v>
      </c>
      <c r="AD640" s="0" t="n">
        <v>0</v>
      </c>
      <c r="AE640" s="0" t="s">
        <v>295</v>
      </c>
      <c r="AH640" s="0" t="n">
        <v>1</v>
      </c>
      <c r="AJ640" s="0" t="n">
        <v>41</v>
      </c>
      <c r="AP640" s="0" t="n">
        <v>220000</v>
      </c>
      <c r="DB640" s="0" t="str">
        <f aca="false">IF($A640="","",IF($AH640=20,IF(AND(OR($A640=21,$A640=215),$AJ640=10),"①病院一般",IF(AND($A640=31,$AJ640=41),"②病院短期","対象外")),IF($AJ640=30,"③特定消防",IF(AND(OR($A640=21,$A640=215),$AJ640=10),"④一般",IF(AND($A640=31,$AJ640=41),"⑤短期","対象外")))))</f>
        <v>⑤短期</v>
      </c>
      <c r="DC640" s="0" t="n">
        <f aca="false">IF($A640="","",IF($AB640&amp;""=設定!$C$4,1,0))</f>
        <v>1</v>
      </c>
    </row>
    <row r="641" customFormat="false" ht="15" hidden="false" customHeight="false" outlineLevel="0" collapsed="false">
      <c r="A641" s="0" t="n">
        <v>31</v>
      </c>
      <c r="AA641" s="0" t="n">
        <v>24</v>
      </c>
      <c r="AB641" s="0" t="s">
        <v>308</v>
      </c>
      <c r="AD641" s="0" t="n">
        <v>12</v>
      </c>
      <c r="AE641" s="0" t="s">
        <v>303</v>
      </c>
      <c r="AH641" s="0" t="n">
        <v>1</v>
      </c>
      <c r="AJ641" s="0" t="n">
        <v>41</v>
      </c>
      <c r="AP641" s="0" t="n">
        <v>150000</v>
      </c>
      <c r="DB641" s="0" t="str">
        <f aca="false">IF($A641="","",IF($AH641=20,IF(AND(OR($A641=21,$A641=215),$AJ641=10),"①病院一般",IF(AND($A641=31,$AJ641=41),"②病院短期","対象外")),IF($AJ641=30,"③特定消防",IF(AND(OR($A641=21,$A641=215),$AJ641=10),"④一般",IF(AND($A641=31,$AJ641=41),"⑤短期","対象外")))))</f>
        <v>⑤短期</v>
      </c>
      <c r="DC641" s="0" t="n">
        <f aca="false">IF($A641="","",IF($AB641&amp;""=設定!$C$4,1,0))</f>
        <v>0</v>
      </c>
    </row>
    <row r="642" customFormat="false" ht="15" hidden="false" customHeight="false" outlineLevel="0" collapsed="false">
      <c r="A642" s="0" t="n">
        <v>31</v>
      </c>
      <c r="AA642" s="0" t="n">
        <v>24</v>
      </c>
      <c r="AB642" s="0" t="s">
        <v>299</v>
      </c>
      <c r="AD642" s="0" t="n">
        <v>0</v>
      </c>
      <c r="AE642" s="0" t="s">
        <v>295</v>
      </c>
      <c r="AH642" s="0" t="n">
        <v>1</v>
      </c>
      <c r="AJ642" s="0" t="n">
        <v>41</v>
      </c>
      <c r="AP642" s="0" t="n">
        <v>150000</v>
      </c>
      <c r="DB642" s="0" t="str">
        <f aca="false">IF($A642="","",IF($AH642=20,IF(AND(OR($A642=21,$A642=215),$AJ642=10),"①病院一般",IF(AND($A642=31,$AJ642=41),"②病院短期","対象外")),IF($AJ642=30,"③特定消防",IF(AND(OR($A642=21,$A642=215),$AJ642=10),"④一般",IF(AND($A642=31,$AJ642=41),"⑤短期","対象外")))))</f>
        <v>⑤短期</v>
      </c>
      <c r="DC642" s="0" t="n">
        <f aca="false">IF($A642="","",IF($AB642&amp;""=設定!$C$4,1,0))</f>
        <v>0</v>
      </c>
    </row>
    <row r="643" customFormat="false" ht="15" hidden="false" customHeight="false" outlineLevel="0" collapsed="false">
      <c r="A643" s="0" t="n">
        <v>31</v>
      </c>
      <c r="AA643" s="0" t="n">
        <v>21</v>
      </c>
      <c r="AB643" s="0" t="s">
        <v>301</v>
      </c>
      <c r="AD643" s="0" t="n">
        <v>0</v>
      </c>
      <c r="AE643" s="0" t="s">
        <v>295</v>
      </c>
      <c r="AH643" s="0" t="n">
        <v>3</v>
      </c>
      <c r="AJ643" s="0" t="n">
        <v>41</v>
      </c>
      <c r="AP643" s="0" t="n">
        <v>190000</v>
      </c>
      <c r="DB643" s="0" t="str">
        <f aca="false">IF($A643="","",IF($AH643=20,IF(AND(OR($A643=21,$A643=215),$AJ643=10),"①病院一般",IF(AND($A643=31,$AJ643=41),"②病院短期","対象外")),IF($AJ643=30,"③特定消防",IF(AND(OR($A643=21,$A643=215),$AJ643=10),"④一般",IF(AND($A643=31,$AJ643=41),"⑤短期","対象外")))))</f>
        <v>⑤短期</v>
      </c>
      <c r="DC643" s="0" t="n">
        <f aca="false">IF($A643="","",IF($AB643&amp;""=設定!$C$4,1,0))</f>
        <v>0</v>
      </c>
    </row>
    <row r="644" customFormat="false" ht="15" hidden="false" customHeight="false" outlineLevel="0" collapsed="false">
      <c r="A644" s="0" t="n">
        <v>31</v>
      </c>
      <c r="AA644" s="0" t="n">
        <v>21</v>
      </c>
      <c r="AB644" s="0" t="s">
        <v>96</v>
      </c>
      <c r="AD644" s="0" t="n">
        <v>0</v>
      </c>
      <c r="AE644" s="0" t="s">
        <v>295</v>
      </c>
      <c r="AH644" s="0" t="n">
        <v>1</v>
      </c>
      <c r="AJ644" s="0" t="n">
        <v>41</v>
      </c>
      <c r="AP644" s="0" t="n">
        <v>200000</v>
      </c>
      <c r="DB644" s="0" t="str">
        <f aca="false">IF($A644="","",IF($AH644=20,IF(AND(OR($A644=21,$A644=215),$AJ644=10),"①病院一般",IF(AND($A644=31,$AJ644=41),"②病院短期","対象外")),IF($AJ644=30,"③特定消防",IF(AND(OR($A644=21,$A644=215),$AJ644=10),"④一般",IF(AND($A644=31,$AJ644=41),"⑤短期","対象外")))))</f>
        <v>⑤短期</v>
      </c>
      <c r="DC644" s="0" t="n">
        <f aca="false">IF($A644="","",IF($AB644&amp;""=設定!$C$4,1,0))</f>
        <v>1</v>
      </c>
    </row>
    <row r="645" customFormat="false" ht="15" hidden="false" customHeight="false" outlineLevel="0" collapsed="false">
      <c r="A645" s="0" t="n">
        <v>31</v>
      </c>
      <c r="AA645" s="0" t="n">
        <v>21</v>
      </c>
      <c r="AB645" s="0" t="s">
        <v>96</v>
      </c>
      <c r="AD645" s="0" t="n">
        <v>0</v>
      </c>
      <c r="AE645" s="0" t="s">
        <v>295</v>
      </c>
      <c r="AH645" s="0" t="n">
        <v>1</v>
      </c>
      <c r="AJ645" s="0" t="n">
        <v>41</v>
      </c>
      <c r="AP645" s="0" t="n">
        <v>220000</v>
      </c>
      <c r="DB645" s="0" t="str">
        <f aca="false">IF($A645="","",IF($AH645=20,IF(AND(OR($A645=21,$A645=215),$AJ645=10),"①病院一般",IF(AND($A645=31,$AJ645=41),"②病院短期","対象外")),IF($AJ645=30,"③特定消防",IF(AND(OR($A645=21,$A645=215),$AJ645=10),"④一般",IF(AND($A645=31,$AJ645=41),"⑤短期","対象外")))))</f>
        <v>⑤短期</v>
      </c>
      <c r="DC645" s="0" t="n">
        <f aca="false">IF($A645="","",IF($AB645&amp;""=設定!$C$4,1,0))</f>
        <v>1</v>
      </c>
    </row>
    <row r="646" customFormat="false" ht="15" hidden="false" customHeight="false" outlineLevel="0" collapsed="false">
      <c r="A646" s="0" t="n">
        <v>31</v>
      </c>
      <c r="AA646" s="0" t="n">
        <v>21</v>
      </c>
      <c r="AB646" s="0" t="s">
        <v>96</v>
      </c>
      <c r="AD646" s="0" t="n">
        <v>0</v>
      </c>
      <c r="AE646" s="0" t="s">
        <v>295</v>
      </c>
      <c r="AH646" s="0" t="n">
        <v>1</v>
      </c>
      <c r="AJ646" s="0" t="n">
        <v>41</v>
      </c>
      <c r="AP646" s="0" t="n">
        <v>200000</v>
      </c>
      <c r="DB646" s="0" t="str">
        <f aca="false">IF($A646="","",IF($AH646=20,IF(AND(OR($A646=21,$A646=215),$AJ646=10),"①病院一般",IF(AND($A646=31,$AJ646=41),"②病院短期","対象外")),IF($AJ646=30,"③特定消防",IF(AND(OR($A646=21,$A646=215),$AJ646=10),"④一般",IF(AND($A646=31,$AJ646=41),"⑤短期","対象外")))))</f>
        <v>⑤短期</v>
      </c>
      <c r="DC646" s="0" t="n">
        <f aca="false">IF($A646="","",IF($AB646&amp;""=設定!$C$4,1,0))</f>
        <v>1</v>
      </c>
    </row>
    <row r="647" customFormat="false" ht="15" hidden="false" customHeight="false" outlineLevel="0" collapsed="false">
      <c r="A647" s="0" t="n">
        <v>31</v>
      </c>
      <c r="AA647" s="0" t="n">
        <v>21</v>
      </c>
      <c r="AB647" s="0" t="s">
        <v>96</v>
      </c>
      <c r="AD647" s="0" t="n">
        <v>0</v>
      </c>
      <c r="AE647" s="0" t="s">
        <v>295</v>
      </c>
      <c r="AH647" s="0" t="n">
        <v>1</v>
      </c>
      <c r="AJ647" s="0" t="n">
        <v>41</v>
      </c>
      <c r="AP647" s="0" t="n">
        <v>190000</v>
      </c>
      <c r="DB647" s="0" t="str">
        <f aca="false">IF($A647="","",IF($AH647=20,IF(AND(OR($A647=21,$A647=215),$AJ647=10),"①病院一般",IF(AND($A647=31,$AJ647=41),"②病院短期","対象外")),IF($AJ647=30,"③特定消防",IF(AND(OR($A647=21,$A647=215),$AJ647=10),"④一般",IF(AND($A647=31,$AJ647=41),"⑤短期","対象外")))))</f>
        <v>⑤短期</v>
      </c>
      <c r="DC647" s="0" t="n">
        <f aca="false">IF($A647="","",IF($AB647&amp;""=設定!$C$4,1,0))</f>
        <v>1</v>
      </c>
    </row>
    <row r="648" customFormat="false" ht="15" hidden="false" customHeight="false" outlineLevel="0" collapsed="false">
      <c r="A648" s="0" t="n">
        <v>31</v>
      </c>
      <c r="AA648" s="0" t="n">
        <v>21</v>
      </c>
      <c r="AB648" s="0" t="s">
        <v>96</v>
      </c>
      <c r="AD648" s="0" t="n">
        <v>0</v>
      </c>
      <c r="AE648" s="0" t="s">
        <v>295</v>
      </c>
      <c r="AH648" s="0" t="n">
        <v>1</v>
      </c>
      <c r="AJ648" s="0" t="n">
        <v>41</v>
      </c>
      <c r="AP648" s="0" t="n">
        <v>200000</v>
      </c>
      <c r="DB648" s="0" t="str">
        <f aca="false">IF($A648="","",IF($AH648=20,IF(AND(OR($A648=21,$A648=215),$AJ648=10),"①病院一般",IF(AND($A648=31,$AJ648=41),"②病院短期","対象外")),IF($AJ648=30,"③特定消防",IF(AND(OR($A648=21,$A648=215),$AJ648=10),"④一般",IF(AND($A648=31,$AJ648=41),"⑤短期","対象外")))))</f>
        <v>⑤短期</v>
      </c>
      <c r="DC648" s="0" t="n">
        <f aca="false">IF($A648="","",IF($AB648&amp;""=設定!$C$4,1,0))</f>
        <v>1</v>
      </c>
    </row>
    <row r="649" customFormat="false" ht="15" hidden="false" customHeight="false" outlineLevel="0" collapsed="false">
      <c r="A649" s="0" t="n">
        <v>31</v>
      </c>
      <c r="AA649" s="0" t="n">
        <v>21</v>
      </c>
      <c r="AB649" s="0" t="s">
        <v>96</v>
      </c>
      <c r="AD649" s="0" t="n">
        <v>0</v>
      </c>
      <c r="AE649" s="0" t="s">
        <v>295</v>
      </c>
      <c r="AH649" s="0" t="n">
        <v>1</v>
      </c>
      <c r="AJ649" s="0" t="n">
        <v>41</v>
      </c>
      <c r="AP649" s="0" t="n">
        <v>280000</v>
      </c>
      <c r="DB649" s="0" t="str">
        <f aca="false">IF($A649="","",IF($AH649=20,IF(AND(OR($A649=21,$A649=215),$AJ649=10),"①病院一般",IF(AND($A649=31,$AJ649=41),"②病院短期","対象外")),IF($AJ649=30,"③特定消防",IF(AND(OR($A649=21,$A649=215),$AJ649=10),"④一般",IF(AND($A649=31,$AJ649=41),"⑤短期","対象外")))))</f>
        <v>⑤短期</v>
      </c>
      <c r="DC649" s="0" t="n">
        <f aca="false">IF($A649="","",IF($AB649&amp;""=設定!$C$4,1,0))</f>
        <v>1</v>
      </c>
    </row>
    <row r="650" customFormat="false" ht="15" hidden="false" customHeight="false" outlineLevel="0" collapsed="false">
      <c r="A650" s="0" t="n">
        <v>31</v>
      </c>
      <c r="AA650" s="0" t="n">
        <v>21</v>
      </c>
      <c r="AB650" s="0" t="s">
        <v>96</v>
      </c>
      <c r="AD650" s="0" t="n">
        <v>0</v>
      </c>
      <c r="AE650" s="0" t="s">
        <v>295</v>
      </c>
      <c r="AH650" s="0" t="n">
        <v>1</v>
      </c>
      <c r="AJ650" s="0" t="n">
        <v>41</v>
      </c>
      <c r="AP650" s="0" t="n">
        <v>200000</v>
      </c>
      <c r="DB650" s="0" t="str">
        <f aca="false">IF($A650="","",IF($AH650=20,IF(AND(OR($A650=21,$A650=215),$AJ650=10),"①病院一般",IF(AND($A650=31,$AJ650=41),"②病院短期","対象外")),IF($AJ650=30,"③特定消防",IF(AND(OR($A650=21,$A650=215),$AJ650=10),"④一般",IF(AND($A650=31,$AJ650=41),"⑤短期","対象外")))))</f>
        <v>⑤短期</v>
      </c>
      <c r="DC650" s="0" t="n">
        <f aca="false">IF($A650="","",IF($AB650&amp;""=設定!$C$4,1,0))</f>
        <v>1</v>
      </c>
    </row>
    <row r="651" customFormat="false" ht="15" hidden="false" customHeight="false" outlineLevel="0" collapsed="false">
      <c r="A651" s="0" t="n">
        <v>31</v>
      </c>
      <c r="AA651" s="0" t="n">
        <v>21</v>
      </c>
      <c r="AB651" s="0" t="s">
        <v>96</v>
      </c>
      <c r="AD651" s="0" t="n">
        <v>0</v>
      </c>
      <c r="AE651" s="0" t="s">
        <v>295</v>
      </c>
      <c r="AH651" s="0" t="n">
        <v>1</v>
      </c>
      <c r="AJ651" s="0" t="n">
        <v>41</v>
      </c>
      <c r="AP651" s="0" t="n">
        <v>240000</v>
      </c>
      <c r="DB651" s="0" t="str">
        <f aca="false">IF($A651="","",IF($AH651=20,IF(AND(OR($A651=21,$A651=215),$AJ651=10),"①病院一般",IF(AND($A651=31,$AJ651=41),"②病院短期","対象外")),IF($AJ651=30,"③特定消防",IF(AND(OR($A651=21,$A651=215),$AJ651=10),"④一般",IF(AND($A651=31,$AJ651=41),"⑤短期","対象外")))))</f>
        <v>⑤短期</v>
      </c>
      <c r="DC651" s="0" t="n">
        <f aca="false">IF($A651="","",IF($AB651&amp;""=設定!$C$4,1,0))</f>
        <v>1</v>
      </c>
    </row>
    <row r="652" customFormat="false" ht="15" hidden="false" customHeight="false" outlineLevel="0" collapsed="false">
      <c r="A652" s="0" t="n">
        <v>31</v>
      </c>
      <c r="AA652" s="0" t="n">
        <v>24</v>
      </c>
      <c r="AB652" s="0" t="s">
        <v>299</v>
      </c>
      <c r="AD652" s="0" t="n">
        <v>0</v>
      </c>
      <c r="AE652" s="0" t="s">
        <v>295</v>
      </c>
      <c r="AH652" s="0" t="n">
        <v>1</v>
      </c>
      <c r="AJ652" s="0" t="n">
        <v>41</v>
      </c>
      <c r="AP652" s="0" t="n">
        <v>134000</v>
      </c>
      <c r="DB652" s="0" t="str">
        <f aca="false">IF($A652="","",IF($AH652=20,IF(AND(OR($A652=21,$A652=215),$AJ652=10),"①病院一般",IF(AND($A652=31,$AJ652=41),"②病院短期","対象外")),IF($AJ652=30,"③特定消防",IF(AND(OR($A652=21,$A652=215),$AJ652=10),"④一般",IF(AND($A652=31,$AJ652=41),"⑤短期","対象外")))))</f>
        <v>⑤短期</v>
      </c>
      <c r="DC652" s="0" t="n">
        <f aca="false">IF($A652="","",IF($AB652&amp;""=設定!$C$4,1,0))</f>
        <v>0</v>
      </c>
    </row>
    <row r="653" customFormat="false" ht="15" hidden="false" customHeight="false" outlineLevel="0" collapsed="false">
      <c r="A653" s="0" t="n">
        <v>31</v>
      </c>
      <c r="AA653" s="0" t="n">
        <v>21</v>
      </c>
      <c r="AB653" s="0" t="s">
        <v>96</v>
      </c>
      <c r="AD653" s="0" t="n">
        <v>0</v>
      </c>
      <c r="AE653" s="0" t="s">
        <v>295</v>
      </c>
      <c r="AH653" s="0" t="n">
        <v>1</v>
      </c>
      <c r="AJ653" s="0" t="n">
        <v>41</v>
      </c>
      <c r="AP653" s="0" t="n">
        <v>220000</v>
      </c>
      <c r="DB653" s="0" t="str">
        <f aca="false">IF($A653="","",IF($AH653=20,IF(AND(OR($A653=21,$A653=215),$AJ653=10),"①病院一般",IF(AND($A653=31,$AJ653=41),"②病院短期","対象外")),IF($AJ653=30,"③特定消防",IF(AND(OR($A653=21,$A653=215),$AJ653=10),"④一般",IF(AND($A653=31,$AJ653=41),"⑤短期","対象外")))))</f>
        <v>⑤短期</v>
      </c>
      <c r="DC653" s="0" t="n">
        <f aca="false">IF($A653="","",IF($AB653&amp;""=設定!$C$4,1,0))</f>
        <v>1</v>
      </c>
    </row>
    <row r="654" customFormat="false" ht="15" hidden="false" customHeight="false" outlineLevel="0" collapsed="false">
      <c r="A654" s="0" t="n">
        <v>31</v>
      </c>
      <c r="AA654" s="0" t="n">
        <v>21</v>
      </c>
      <c r="AB654" s="0" t="s">
        <v>96</v>
      </c>
      <c r="AD654" s="0" t="n">
        <v>0</v>
      </c>
      <c r="AE654" s="0" t="s">
        <v>295</v>
      </c>
      <c r="AH654" s="0" t="n">
        <v>4</v>
      </c>
      <c r="AJ654" s="0" t="n">
        <v>41</v>
      </c>
      <c r="AP654" s="0" t="n">
        <v>240000</v>
      </c>
      <c r="DB654" s="0" t="str">
        <f aca="false">IF($A654="","",IF($AH654=20,IF(AND(OR($A654=21,$A654=215),$AJ654=10),"①病院一般",IF(AND($A654=31,$AJ654=41),"②病院短期","対象外")),IF($AJ654=30,"③特定消防",IF(AND(OR($A654=21,$A654=215),$AJ654=10),"④一般",IF(AND($A654=31,$AJ654=41),"⑤短期","対象外")))))</f>
        <v>⑤短期</v>
      </c>
      <c r="DC654" s="0" t="n">
        <f aca="false">IF($A654="","",IF($AB654&amp;""=設定!$C$4,1,0))</f>
        <v>1</v>
      </c>
    </row>
    <row r="655" customFormat="false" ht="15" hidden="false" customHeight="false" outlineLevel="0" collapsed="false">
      <c r="A655" s="0" t="n">
        <v>31</v>
      </c>
      <c r="AA655" s="0" t="n">
        <v>21</v>
      </c>
      <c r="AB655" s="0" t="s">
        <v>96</v>
      </c>
      <c r="AD655" s="0" t="n">
        <v>0</v>
      </c>
      <c r="AE655" s="0" t="s">
        <v>295</v>
      </c>
      <c r="AH655" s="0" t="n">
        <v>4</v>
      </c>
      <c r="AJ655" s="0" t="n">
        <v>41</v>
      </c>
      <c r="AP655" s="0" t="n">
        <v>240000</v>
      </c>
      <c r="DB655" s="0" t="str">
        <f aca="false">IF($A655="","",IF($AH655=20,IF(AND(OR($A655=21,$A655=215),$AJ655=10),"①病院一般",IF(AND($A655=31,$AJ655=41),"②病院短期","対象外")),IF($AJ655=30,"③特定消防",IF(AND(OR($A655=21,$A655=215),$AJ655=10),"④一般",IF(AND($A655=31,$AJ655=41),"⑤短期","対象外")))))</f>
        <v>⑤短期</v>
      </c>
      <c r="DC655" s="0" t="n">
        <f aca="false">IF($A655="","",IF($AB655&amp;""=設定!$C$4,1,0))</f>
        <v>1</v>
      </c>
    </row>
    <row r="656" customFormat="false" ht="15" hidden="false" customHeight="false" outlineLevel="0" collapsed="false">
      <c r="A656" s="0" t="n">
        <v>31</v>
      </c>
      <c r="AA656" s="0" t="n">
        <v>21</v>
      </c>
      <c r="AB656" s="0" t="s">
        <v>96</v>
      </c>
      <c r="AD656" s="0" t="n">
        <v>0</v>
      </c>
      <c r="AE656" s="0" t="s">
        <v>295</v>
      </c>
      <c r="AH656" s="0" t="n">
        <v>20</v>
      </c>
      <c r="AJ656" s="0" t="n">
        <v>41</v>
      </c>
      <c r="AP656" s="0" t="n">
        <v>260000</v>
      </c>
      <c r="DB656" s="0" t="str">
        <f aca="false">IF($A656="","",IF($AH656=20,IF(AND(OR($A656=21,$A656=215),$AJ656=10),"①病院一般",IF(AND($A656=31,$AJ656=41),"②病院短期","対象外")),IF($AJ656=30,"③特定消防",IF(AND(OR($A656=21,$A656=215),$AJ656=10),"④一般",IF(AND($A656=31,$AJ656=41),"⑤短期","対象外")))))</f>
        <v>②病院短期</v>
      </c>
      <c r="DC656" s="0" t="n">
        <f aca="false">IF($A656="","",IF($AB656&amp;""=設定!$C$4,1,0))</f>
        <v>1</v>
      </c>
    </row>
    <row r="657" customFormat="false" ht="15" hidden="false" customHeight="false" outlineLevel="0" collapsed="false">
      <c r="A657" s="0" t="n">
        <v>31</v>
      </c>
      <c r="AA657" s="0" t="n">
        <v>21</v>
      </c>
      <c r="AB657" s="0" t="s">
        <v>96</v>
      </c>
      <c r="AD657" s="0" t="n">
        <v>0</v>
      </c>
      <c r="AE657" s="0" t="s">
        <v>295</v>
      </c>
      <c r="AH657" s="0" t="n">
        <v>20</v>
      </c>
      <c r="AJ657" s="0" t="n">
        <v>41</v>
      </c>
      <c r="AP657" s="0" t="n">
        <v>260000</v>
      </c>
      <c r="DB657" s="0" t="str">
        <f aca="false">IF($A657="","",IF($AH657=20,IF(AND(OR($A657=21,$A657=215),$AJ657=10),"①病院一般",IF(AND($A657=31,$AJ657=41),"②病院短期","対象外")),IF($AJ657=30,"③特定消防",IF(AND(OR($A657=21,$A657=215),$AJ657=10),"④一般",IF(AND($A657=31,$AJ657=41),"⑤短期","対象外")))))</f>
        <v>②病院短期</v>
      </c>
      <c r="DC657" s="0" t="n">
        <f aca="false">IF($A657="","",IF($AB657&amp;""=設定!$C$4,1,0))</f>
        <v>1</v>
      </c>
    </row>
    <row r="658" customFormat="false" ht="15" hidden="false" customHeight="false" outlineLevel="0" collapsed="false">
      <c r="A658" s="0" t="n">
        <v>31</v>
      </c>
      <c r="AA658" s="0" t="n">
        <v>21</v>
      </c>
      <c r="AB658" s="0" t="s">
        <v>96</v>
      </c>
      <c r="AD658" s="0" t="n">
        <v>0</v>
      </c>
      <c r="AE658" s="0" t="s">
        <v>295</v>
      </c>
      <c r="AH658" s="0" t="n">
        <v>11</v>
      </c>
      <c r="AJ658" s="0" t="n">
        <v>41</v>
      </c>
      <c r="AP658" s="0" t="n">
        <v>240000</v>
      </c>
      <c r="DB658" s="0" t="str">
        <f aca="false">IF($A658="","",IF($AH658=20,IF(AND(OR($A658=21,$A658=215),$AJ658=10),"①病院一般",IF(AND($A658=31,$AJ658=41),"②病院短期","対象外")),IF($AJ658=30,"③特定消防",IF(AND(OR($A658=21,$A658=215),$AJ658=10),"④一般",IF(AND($A658=31,$AJ658=41),"⑤短期","対象外")))))</f>
        <v>⑤短期</v>
      </c>
      <c r="DC658" s="0" t="n">
        <f aca="false">IF($A658="","",IF($AB658&amp;""=設定!$C$4,1,0))</f>
        <v>1</v>
      </c>
    </row>
    <row r="659" customFormat="false" ht="15" hidden="false" customHeight="false" outlineLevel="0" collapsed="false">
      <c r="A659" s="0" t="n">
        <v>31</v>
      </c>
      <c r="AA659" s="0" t="n">
        <v>21</v>
      </c>
      <c r="AB659" s="0" t="s">
        <v>96</v>
      </c>
      <c r="AD659" s="0" t="n">
        <v>0</v>
      </c>
      <c r="AE659" s="0" t="s">
        <v>295</v>
      </c>
      <c r="AH659" s="0" t="n">
        <v>5</v>
      </c>
      <c r="AJ659" s="0" t="n">
        <v>41</v>
      </c>
      <c r="AP659" s="0" t="n">
        <v>220000</v>
      </c>
      <c r="DB659" s="0" t="str">
        <f aca="false">IF($A659="","",IF($AH659=20,IF(AND(OR($A659=21,$A659=215),$AJ659=10),"①病院一般",IF(AND($A659=31,$AJ659=41),"②病院短期","対象外")),IF($AJ659=30,"③特定消防",IF(AND(OR($A659=21,$A659=215),$AJ659=10),"④一般",IF(AND($A659=31,$AJ659=41),"⑤短期","対象外")))))</f>
        <v>⑤短期</v>
      </c>
      <c r="DC659" s="0" t="n">
        <f aca="false">IF($A659="","",IF($AB659&amp;""=設定!$C$4,1,0))</f>
        <v>1</v>
      </c>
    </row>
    <row r="660" customFormat="false" ht="15" hidden="false" customHeight="false" outlineLevel="0" collapsed="false">
      <c r="A660" s="0" t="n">
        <v>31</v>
      </c>
      <c r="AA660" s="0" t="n">
        <v>21</v>
      </c>
      <c r="AB660" s="0" t="s">
        <v>96</v>
      </c>
      <c r="AD660" s="0" t="n">
        <v>0</v>
      </c>
      <c r="AE660" s="0" t="s">
        <v>295</v>
      </c>
      <c r="AH660" s="0" t="n">
        <v>12</v>
      </c>
      <c r="AJ660" s="0" t="n">
        <v>41</v>
      </c>
      <c r="AP660" s="0" t="n">
        <v>220000</v>
      </c>
      <c r="DB660" s="0" t="str">
        <f aca="false">IF($A660="","",IF($AH660=20,IF(AND(OR($A660=21,$A660=215),$AJ660=10),"①病院一般",IF(AND($A660=31,$AJ660=41),"②病院短期","対象外")),IF($AJ660=30,"③特定消防",IF(AND(OR($A660=21,$A660=215),$AJ660=10),"④一般",IF(AND($A660=31,$AJ660=41),"⑤短期","対象外")))))</f>
        <v>⑤短期</v>
      </c>
      <c r="DC660" s="0" t="n">
        <f aca="false">IF($A660="","",IF($AB660&amp;""=設定!$C$4,1,0))</f>
        <v>1</v>
      </c>
    </row>
    <row r="661" customFormat="false" ht="15" hidden="false" customHeight="false" outlineLevel="0" collapsed="false">
      <c r="A661" s="0" t="n">
        <v>31</v>
      </c>
      <c r="AA661" s="0" t="n">
        <v>21</v>
      </c>
      <c r="AB661" s="0" t="s">
        <v>96</v>
      </c>
      <c r="AD661" s="0" t="n">
        <v>0</v>
      </c>
      <c r="AE661" s="0" t="s">
        <v>295</v>
      </c>
      <c r="AH661" s="0" t="n">
        <v>1</v>
      </c>
      <c r="AJ661" s="0" t="n">
        <v>41</v>
      </c>
      <c r="AP661" s="0" t="n">
        <v>240000</v>
      </c>
      <c r="DB661" s="0" t="str">
        <f aca="false">IF($A661="","",IF($AH661=20,IF(AND(OR($A661=21,$A661=215),$AJ661=10),"①病院一般",IF(AND($A661=31,$AJ661=41),"②病院短期","対象外")),IF($AJ661=30,"③特定消防",IF(AND(OR($A661=21,$A661=215),$AJ661=10),"④一般",IF(AND($A661=31,$AJ661=41),"⑤短期","対象外")))))</f>
        <v>⑤短期</v>
      </c>
      <c r="DC661" s="0" t="n">
        <f aca="false">IF($A661="","",IF($AB661&amp;""=設定!$C$4,1,0))</f>
        <v>1</v>
      </c>
    </row>
    <row r="662" customFormat="false" ht="15" hidden="false" customHeight="false" outlineLevel="0" collapsed="false">
      <c r="A662" s="0" t="n">
        <v>31</v>
      </c>
      <c r="AA662" s="0" t="n">
        <v>21</v>
      </c>
      <c r="AB662" s="0" t="s">
        <v>96</v>
      </c>
      <c r="AD662" s="0" t="n">
        <v>0</v>
      </c>
      <c r="AE662" s="0" t="s">
        <v>295</v>
      </c>
      <c r="AH662" s="0" t="n">
        <v>1</v>
      </c>
      <c r="AJ662" s="0" t="n">
        <v>41</v>
      </c>
      <c r="AP662" s="0" t="n">
        <v>220000</v>
      </c>
      <c r="DB662" s="0" t="str">
        <f aca="false">IF($A662="","",IF($AH662=20,IF(AND(OR($A662=21,$A662=215),$AJ662=10),"①病院一般",IF(AND($A662=31,$AJ662=41),"②病院短期","対象外")),IF($AJ662=30,"③特定消防",IF(AND(OR($A662=21,$A662=215),$AJ662=10),"④一般",IF(AND($A662=31,$AJ662=41),"⑤短期","対象外")))))</f>
        <v>⑤短期</v>
      </c>
      <c r="DC662" s="0" t="n">
        <f aca="false">IF($A662="","",IF($AB662&amp;""=設定!$C$4,1,0))</f>
        <v>1</v>
      </c>
    </row>
    <row r="663" customFormat="false" ht="15" hidden="false" customHeight="false" outlineLevel="0" collapsed="false">
      <c r="A663" s="0" t="n">
        <v>31</v>
      </c>
      <c r="AA663" s="0" t="n">
        <v>21</v>
      </c>
      <c r="AB663" s="0" t="s">
        <v>96</v>
      </c>
      <c r="AD663" s="0" t="n">
        <v>12</v>
      </c>
      <c r="AE663" s="0" t="s">
        <v>294</v>
      </c>
      <c r="AH663" s="0" t="n">
        <v>1</v>
      </c>
      <c r="AJ663" s="0" t="n">
        <v>41</v>
      </c>
      <c r="AP663" s="0" t="n">
        <v>260000</v>
      </c>
      <c r="DB663" s="0" t="str">
        <f aca="false">IF($A663="","",IF($AH663=20,IF(AND(OR($A663=21,$A663=215),$AJ663=10),"①病院一般",IF(AND($A663=31,$AJ663=41),"②病院短期","対象外")),IF($AJ663=30,"③特定消防",IF(AND(OR($A663=21,$A663=215),$AJ663=10),"④一般",IF(AND($A663=31,$AJ663=41),"⑤短期","対象外")))))</f>
        <v>⑤短期</v>
      </c>
      <c r="DC663" s="0" t="n">
        <f aca="false">IF($A663="","",IF($AB663&amp;""=設定!$C$4,1,0))</f>
        <v>1</v>
      </c>
    </row>
    <row r="664" customFormat="false" ht="15" hidden="false" customHeight="false" outlineLevel="0" collapsed="false">
      <c r="A664" s="0" t="n">
        <v>31</v>
      </c>
      <c r="AA664" s="0" t="n">
        <v>21</v>
      </c>
      <c r="AB664" s="0" t="s">
        <v>96</v>
      </c>
      <c r="AD664" s="0" t="n">
        <v>0</v>
      </c>
      <c r="AE664" s="0" t="s">
        <v>295</v>
      </c>
      <c r="AH664" s="0" t="n">
        <v>11</v>
      </c>
      <c r="AJ664" s="0" t="n">
        <v>41</v>
      </c>
      <c r="AP664" s="0" t="n">
        <v>220000</v>
      </c>
      <c r="DB664" s="0" t="str">
        <f aca="false">IF($A664="","",IF($AH664=20,IF(AND(OR($A664=21,$A664=215),$AJ664=10),"①病院一般",IF(AND($A664=31,$AJ664=41),"②病院短期","対象外")),IF($AJ664=30,"③特定消防",IF(AND(OR($A664=21,$A664=215),$AJ664=10),"④一般",IF(AND($A664=31,$AJ664=41),"⑤短期","対象外")))))</f>
        <v>⑤短期</v>
      </c>
      <c r="DC664" s="0" t="n">
        <f aca="false">IF($A664="","",IF($AB664&amp;""=設定!$C$4,1,0))</f>
        <v>1</v>
      </c>
    </row>
    <row r="665" customFormat="false" ht="15" hidden="false" customHeight="false" outlineLevel="0" collapsed="false">
      <c r="A665" s="0" t="n">
        <v>31</v>
      </c>
      <c r="AA665" s="0" t="n">
        <v>21</v>
      </c>
      <c r="AB665" s="0" t="s">
        <v>96</v>
      </c>
      <c r="AD665" s="0" t="n">
        <v>0</v>
      </c>
      <c r="AE665" s="0" t="s">
        <v>295</v>
      </c>
      <c r="AH665" s="0" t="n">
        <v>1</v>
      </c>
      <c r="AJ665" s="0" t="n">
        <v>41</v>
      </c>
      <c r="AP665" s="0" t="n">
        <v>220000</v>
      </c>
      <c r="DB665" s="0" t="str">
        <f aca="false">IF($A665="","",IF($AH665=20,IF(AND(OR($A665=21,$A665=215),$AJ665=10),"①病院一般",IF(AND($A665=31,$AJ665=41),"②病院短期","対象外")),IF($AJ665=30,"③特定消防",IF(AND(OR($A665=21,$A665=215),$AJ665=10),"④一般",IF(AND($A665=31,$AJ665=41),"⑤短期","対象外")))))</f>
        <v>⑤短期</v>
      </c>
      <c r="DC665" s="0" t="n">
        <f aca="false">IF($A665="","",IF($AB665&amp;""=設定!$C$4,1,0))</f>
        <v>1</v>
      </c>
    </row>
    <row r="666" customFormat="false" ht="15" hidden="false" customHeight="false" outlineLevel="0" collapsed="false">
      <c r="A666" s="0" t="n">
        <v>31</v>
      </c>
      <c r="AA666" s="0" t="n">
        <v>24</v>
      </c>
      <c r="AB666" s="0" t="s">
        <v>96</v>
      </c>
      <c r="AD666" s="0" t="n">
        <v>0</v>
      </c>
      <c r="AE666" s="0" t="s">
        <v>295</v>
      </c>
      <c r="AH666" s="0" t="n">
        <v>1</v>
      </c>
      <c r="AJ666" s="0" t="n">
        <v>41</v>
      </c>
      <c r="AP666" s="0" t="n">
        <v>134000</v>
      </c>
      <c r="DB666" s="0" t="str">
        <f aca="false">IF($A666="","",IF($AH666=20,IF(AND(OR($A666=21,$A666=215),$AJ666=10),"①病院一般",IF(AND($A666=31,$AJ666=41),"②病院短期","対象外")),IF($AJ666=30,"③特定消防",IF(AND(OR($A666=21,$A666=215),$AJ666=10),"④一般",IF(AND($A666=31,$AJ666=41),"⑤短期","対象外")))))</f>
        <v>⑤短期</v>
      </c>
      <c r="DC666" s="0" t="n">
        <f aca="false">IF($A666="","",IF($AB666&amp;""=設定!$C$4,1,0))</f>
        <v>1</v>
      </c>
    </row>
    <row r="667" customFormat="false" ht="15" hidden="false" customHeight="false" outlineLevel="0" collapsed="false">
      <c r="A667" s="0" t="n">
        <v>31</v>
      </c>
      <c r="AA667" s="0" t="n">
        <v>21</v>
      </c>
      <c r="AB667" s="0" t="s">
        <v>96</v>
      </c>
      <c r="AD667" s="0" t="n">
        <v>0</v>
      </c>
      <c r="AE667" s="0" t="s">
        <v>295</v>
      </c>
      <c r="AH667" s="0" t="n">
        <v>20</v>
      </c>
      <c r="AJ667" s="0" t="n">
        <v>41</v>
      </c>
      <c r="AP667" s="0" t="n">
        <v>260000</v>
      </c>
      <c r="DB667" s="0" t="str">
        <f aca="false">IF($A667="","",IF($AH667=20,IF(AND(OR($A667=21,$A667=215),$AJ667=10),"①病院一般",IF(AND($A667=31,$AJ667=41),"②病院短期","対象外")),IF($AJ667=30,"③特定消防",IF(AND(OR($A667=21,$A667=215),$AJ667=10),"④一般",IF(AND($A667=31,$AJ667=41),"⑤短期","対象外")))))</f>
        <v>②病院短期</v>
      </c>
      <c r="DC667" s="0" t="n">
        <f aca="false">IF($A667="","",IF($AB667&amp;""=設定!$C$4,1,0))</f>
        <v>1</v>
      </c>
    </row>
    <row r="668" customFormat="false" ht="15" hidden="false" customHeight="false" outlineLevel="0" collapsed="false">
      <c r="A668" s="0" t="n">
        <v>31</v>
      </c>
      <c r="AA668" s="0" t="n">
        <v>24</v>
      </c>
      <c r="AB668" s="0" t="s">
        <v>299</v>
      </c>
      <c r="AD668" s="0" t="n">
        <v>12</v>
      </c>
      <c r="AE668" s="0" t="s">
        <v>301</v>
      </c>
      <c r="AH668" s="0" t="n">
        <v>1</v>
      </c>
      <c r="AJ668" s="0" t="n">
        <v>41</v>
      </c>
      <c r="AP668" s="0" t="n">
        <v>240000</v>
      </c>
      <c r="DB668" s="0" t="str">
        <f aca="false">IF($A668="","",IF($AH668=20,IF(AND(OR($A668=21,$A668=215),$AJ668=10),"①病院一般",IF(AND($A668=31,$AJ668=41),"②病院短期","対象外")),IF($AJ668=30,"③特定消防",IF(AND(OR($A668=21,$A668=215),$AJ668=10),"④一般",IF(AND($A668=31,$AJ668=41),"⑤短期","対象外")))))</f>
        <v>⑤短期</v>
      </c>
      <c r="DC668" s="0" t="n">
        <f aca="false">IF($A668="","",IF($AB668&amp;""=設定!$C$4,1,0))</f>
        <v>0</v>
      </c>
    </row>
    <row r="669" customFormat="false" ht="15" hidden="false" customHeight="false" outlineLevel="0" collapsed="false">
      <c r="A669" s="0" t="n">
        <v>31</v>
      </c>
      <c r="AA669" s="0" t="n">
        <v>21</v>
      </c>
      <c r="AB669" s="0" t="s">
        <v>96</v>
      </c>
      <c r="AD669" s="0" t="n">
        <v>0</v>
      </c>
      <c r="AE669" s="0" t="s">
        <v>295</v>
      </c>
      <c r="AH669" s="0" t="n">
        <v>20</v>
      </c>
      <c r="AJ669" s="0" t="n">
        <v>41</v>
      </c>
      <c r="AP669" s="0" t="n">
        <v>240000</v>
      </c>
      <c r="DB669" s="0" t="str">
        <f aca="false">IF($A669="","",IF($AH669=20,IF(AND(OR($A669=21,$A669=215),$AJ669=10),"①病院一般",IF(AND($A669=31,$AJ669=41),"②病院短期","対象外")),IF($AJ669=30,"③特定消防",IF(AND(OR($A669=21,$A669=215),$AJ669=10),"④一般",IF(AND($A669=31,$AJ669=41),"⑤短期","対象外")))))</f>
        <v>②病院短期</v>
      </c>
      <c r="DC669" s="0" t="n">
        <f aca="false">IF($A669="","",IF($AB669&amp;""=設定!$C$4,1,0))</f>
        <v>1</v>
      </c>
    </row>
    <row r="670" customFormat="false" ht="15" hidden="false" customHeight="false" outlineLevel="0" collapsed="false">
      <c r="A670" s="0" t="n">
        <v>31</v>
      </c>
      <c r="AA670" s="0" t="n">
        <v>21</v>
      </c>
      <c r="AB670" s="0" t="s">
        <v>96</v>
      </c>
      <c r="AD670" s="0" t="n">
        <v>0</v>
      </c>
      <c r="AE670" s="0" t="s">
        <v>295</v>
      </c>
      <c r="AH670" s="0" t="n">
        <v>11</v>
      </c>
      <c r="AJ670" s="0" t="n">
        <v>41</v>
      </c>
      <c r="AP670" s="0" t="n">
        <v>240000</v>
      </c>
      <c r="DB670" s="0" t="str">
        <f aca="false">IF($A670="","",IF($AH670=20,IF(AND(OR($A670=21,$A670=215),$AJ670=10),"①病院一般",IF(AND($A670=31,$AJ670=41),"②病院短期","対象外")),IF($AJ670=30,"③特定消防",IF(AND(OR($A670=21,$A670=215),$AJ670=10),"④一般",IF(AND($A670=31,$AJ670=41),"⑤短期","対象外")))))</f>
        <v>⑤短期</v>
      </c>
      <c r="DC670" s="0" t="n">
        <f aca="false">IF($A670="","",IF($AB670&amp;""=設定!$C$4,1,0))</f>
        <v>1</v>
      </c>
    </row>
    <row r="671" customFormat="false" ht="15" hidden="false" customHeight="false" outlineLevel="0" collapsed="false">
      <c r="A671" s="0" t="n">
        <v>31</v>
      </c>
      <c r="AA671" s="0" t="n">
        <v>21</v>
      </c>
      <c r="AB671" s="0" t="s">
        <v>96</v>
      </c>
      <c r="AD671" s="0" t="n">
        <v>0</v>
      </c>
      <c r="AE671" s="0" t="s">
        <v>295</v>
      </c>
      <c r="AH671" s="0" t="n">
        <v>1</v>
      </c>
      <c r="AJ671" s="0" t="n">
        <v>41</v>
      </c>
      <c r="AP671" s="0" t="n">
        <v>200000</v>
      </c>
      <c r="DB671" s="0" t="str">
        <f aca="false">IF($A671="","",IF($AH671=20,IF(AND(OR($A671=21,$A671=215),$AJ671=10),"①病院一般",IF(AND($A671=31,$AJ671=41),"②病院短期","対象外")),IF($AJ671=30,"③特定消防",IF(AND(OR($A671=21,$A671=215),$AJ671=10),"④一般",IF(AND($A671=31,$AJ671=41),"⑤短期","対象外")))))</f>
        <v>⑤短期</v>
      </c>
      <c r="DC671" s="0" t="n">
        <f aca="false">IF($A671="","",IF($AB671&amp;""=設定!$C$4,1,0))</f>
        <v>1</v>
      </c>
    </row>
    <row r="672" customFormat="false" ht="15" hidden="false" customHeight="false" outlineLevel="0" collapsed="false">
      <c r="A672" s="0" t="n">
        <v>31</v>
      </c>
      <c r="AA672" s="0" t="n">
        <v>21</v>
      </c>
      <c r="AB672" s="0" t="s">
        <v>96</v>
      </c>
      <c r="AD672" s="0" t="n">
        <v>0</v>
      </c>
      <c r="AE672" s="0" t="s">
        <v>295</v>
      </c>
      <c r="AH672" s="0" t="n">
        <v>1</v>
      </c>
      <c r="AJ672" s="0" t="n">
        <v>41</v>
      </c>
      <c r="AP672" s="0" t="n">
        <v>200000</v>
      </c>
      <c r="DB672" s="0" t="str">
        <f aca="false">IF($A672="","",IF($AH672=20,IF(AND(OR($A672=21,$A672=215),$AJ672=10),"①病院一般",IF(AND($A672=31,$AJ672=41),"②病院短期","対象外")),IF($AJ672=30,"③特定消防",IF(AND(OR($A672=21,$A672=215),$AJ672=10),"④一般",IF(AND($A672=31,$AJ672=41),"⑤短期","対象外")))))</f>
        <v>⑤短期</v>
      </c>
      <c r="DC672" s="0" t="n">
        <f aca="false">IF($A672="","",IF($AB672&amp;""=設定!$C$4,1,0))</f>
        <v>1</v>
      </c>
    </row>
    <row r="673" customFormat="false" ht="15" hidden="false" customHeight="false" outlineLevel="0" collapsed="false">
      <c r="A673" s="0" t="n">
        <v>31</v>
      </c>
      <c r="AA673" s="0" t="n">
        <v>21</v>
      </c>
      <c r="AB673" s="0" t="s">
        <v>96</v>
      </c>
      <c r="AD673" s="0" t="n">
        <v>0</v>
      </c>
      <c r="AE673" s="0" t="s">
        <v>295</v>
      </c>
      <c r="AH673" s="0" t="n">
        <v>1</v>
      </c>
      <c r="AJ673" s="0" t="n">
        <v>41</v>
      </c>
      <c r="AP673" s="0" t="n">
        <v>220000</v>
      </c>
      <c r="DB673" s="0" t="str">
        <f aca="false">IF($A673="","",IF($AH673=20,IF(AND(OR($A673=21,$A673=215),$AJ673=10),"①病院一般",IF(AND($A673=31,$AJ673=41),"②病院短期","対象外")),IF($AJ673=30,"③特定消防",IF(AND(OR($A673=21,$A673=215),$AJ673=10),"④一般",IF(AND($A673=31,$AJ673=41),"⑤短期","対象外")))))</f>
        <v>⑤短期</v>
      </c>
      <c r="DC673" s="0" t="n">
        <f aca="false">IF($A673="","",IF($AB673&amp;""=設定!$C$4,1,0))</f>
        <v>1</v>
      </c>
    </row>
    <row r="674" customFormat="false" ht="15" hidden="false" customHeight="false" outlineLevel="0" collapsed="false">
      <c r="A674" s="0" t="n">
        <v>31</v>
      </c>
      <c r="AA674" s="0" t="n">
        <v>21</v>
      </c>
      <c r="AB674" s="0" t="s">
        <v>96</v>
      </c>
      <c r="AD674" s="0" t="n">
        <v>0</v>
      </c>
      <c r="AE674" s="0" t="s">
        <v>295</v>
      </c>
      <c r="AH674" s="0" t="n">
        <v>1</v>
      </c>
      <c r="AJ674" s="0" t="n">
        <v>41</v>
      </c>
      <c r="AP674" s="0" t="n">
        <v>200000</v>
      </c>
      <c r="DB674" s="0" t="str">
        <f aca="false">IF($A674="","",IF($AH674=20,IF(AND(OR($A674=21,$A674=215),$AJ674=10),"①病院一般",IF(AND($A674=31,$AJ674=41),"②病院短期","対象外")),IF($AJ674=30,"③特定消防",IF(AND(OR($A674=21,$A674=215),$AJ674=10),"④一般",IF(AND($A674=31,$AJ674=41),"⑤短期","対象外")))))</f>
        <v>⑤短期</v>
      </c>
      <c r="DC674" s="0" t="n">
        <f aca="false">IF($A674="","",IF($AB674&amp;""=設定!$C$4,1,0))</f>
        <v>1</v>
      </c>
    </row>
    <row r="675" customFormat="false" ht="15" hidden="false" customHeight="false" outlineLevel="0" collapsed="false">
      <c r="A675" s="0" t="n">
        <v>31</v>
      </c>
      <c r="AA675" s="0" t="n">
        <v>21</v>
      </c>
      <c r="AB675" s="0" t="s">
        <v>96</v>
      </c>
      <c r="AD675" s="0" t="n">
        <v>0</v>
      </c>
      <c r="AE675" s="0" t="s">
        <v>295</v>
      </c>
      <c r="AH675" s="0" t="n">
        <v>1</v>
      </c>
      <c r="AJ675" s="0" t="n">
        <v>41</v>
      </c>
      <c r="AP675" s="0" t="n">
        <v>240000</v>
      </c>
      <c r="DB675" s="0" t="str">
        <f aca="false">IF($A675="","",IF($AH675=20,IF(AND(OR($A675=21,$A675=215),$AJ675=10),"①病院一般",IF(AND($A675=31,$AJ675=41),"②病院短期","対象外")),IF($AJ675=30,"③特定消防",IF(AND(OR($A675=21,$A675=215),$AJ675=10),"④一般",IF(AND($A675=31,$AJ675=41),"⑤短期","対象外")))))</f>
        <v>⑤短期</v>
      </c>
      <c r="DC675" s="0" t="n">
        <f aca="false">IF($A675="","",IF($AB675&amp;""=設定!$C$4,1,0))</f>
        <v>1</v>
      </c>
    </row>
    <row r="676" customFormat="false" ht="15" hidden="false" customHeight="false" outlineLevel="0" collapsed="false">
      <c r="A676" s="0" t="n">
        <v>31</v>
      </c>
      <c r="AA676" s="0" t="n">
        <v>21</v>
      </c>
      <c r="AB676" s="0" t="s">
        <v>96</v>
      </c>
      <c r="AD676" s="0" t="n">
        <v>0</v>
      </c>
      <c r="AE676" s="0" t="s">
        <v>295</v>
      </c>
      <c r="AH676" s="0" t="n">
        <v>1</v>
      </c>
      <c r="AJ676" s="0" t="n">
        <v>41</v>
      </c>
      <c r="AP676" s="0" t="n">
        <v>220000</v>
      </c>
      <c r="DB676" s="0" t="str">
        <f aca="false">IF($A676="","",IF($AH676=20,IF(AND(OR($A676=21,$A676=215),$AJ676=10),"①病院一般",IF(AND($A676=31,$AJ676=41),"②病院短期","対象外")),IF($AJ676=30,"③特定消防",IF(AND(OR($A676=21,$A676=215),$AJ676=10),"④一般",IF(AND($A676=31,$AJ676=41),"⑤短期","対象外")))))</f>
        <v>⑤短期</v>
      </c>
      <c r="DC676" s="0" t="n">
        <f aca="false">IF($A676="","",IF($AB676&amp;""=設定!$C$4,1,0))</f>
        <v>1</v>
      </c>
    </row>
    <row r="677" customFormat="false" ht="15" hidden="false" customHeight="false" outlineLevel="0" collapsed="false">
      <c r="A677" s="0" t="n">
        <v>31</v>
      </c>
      <c r="AA677" s="0" t="n">
        <v>24</v>
      </c>
      <c r="AB677" s="0" t="s">
        <v>301</v>
      </c>
      <c r="AD677" s="0" t="n">
        <v>0</v>
      </c>
      <c r="AE677" s="0" t="s">
        <v>295</v>
      </c>
      <c r="AH677" s="0" t="n">
        <v>4</v>
      </c>
      <c r="AJ677" s="0" t="n">
        <v>41</v>
      </c>
      <c r="AP677" s="0" t="n">
        <v>150000</v>
      </c>
      <c r="DB677" s="0" t="str">
        <f aca="false">IF($A677="","",IF($AH677=20,IF(AND(OR($A677=21,$A677=215),$AJ677=10),"①病院一般",IF(AND($A677=31,$AJ677=41),"②病院短期","対象外")),IF($AJ677=30,"③特定消防",IF(AND(OR($A677=21,$A677=215),$AJ677=10),"④一般",IF(AND($A677=31,$AJ677=41),"⑤短期","対象外")))))</f>
        <v>⑤短期</v>
      </c>
      <c r="DC677" s="0" t="n">
        <f aca="false">IF($A677="","",IF($AB677&amp;""=設定!$C$4,1,0))</f>
        <v>0</v>
      </c>
    </row>
    <row r="678" customFormat="false" ht="15" hidden="false" customHeight="false" outlineLevel="0" collapsed="false">
      <c r="A678" s="0" t="n">
        <v>31</v>
      </c>
      <c r="AA678" s="0" t="n">
        <v>21</v>
      </c>
      <c r="AB678" s="0" t="s">
        <v>96</v>
      </c>
      <c r="AD678" s="0" t="n">
        <v>0</v>
      </c>
      <c r="AE678" s="0" t="s">
        <v>295</v>
      </c>
      <c r="AH678" s="0" t="n">
        <v>4</v>
      </c>
      <c r="AJ678" s="0" t="n">
        <v>41</v>
      </c>
      <c r="AP678" s="0" t="n">
        <v>240000</v>
      </c>
      <c r="DB678" s="0" t="str">
        <f aca="false">IF($A678="","",IF($AH678=20,IF(AND(OR($A678=21,$A678=215),$AJ678=10),"①病院一般",IF(AND($A678=31,$AJ678=41),"②病院短期","対象外")),IF($AJ678=30,"③特定消防",IF(AND(OR($A678=21,$A678=215),$AJ678=10),"④一般",IF(AND($A678=31,$AJ678=41),"⑤短期","対象外")))))</f>
        <v>⑤短期</v>
      </c>
      <c r="DC678" s="0" t="n">
        <f aca="false">IF($A678="","",IF($AB678&amp;""=設定!$C$4,1,0))</f>
        <v>1</v>
      </c>
    </row>
    <row r="679" customFormat="false" ht="15" hidden="false" customHeight="false" outlineLevel="0" collapsed="false">
      <c r="A679" s="0" t="n">
        <v>31</v>
      </c>
      <c r="AA679" s="0" t="n">
        <v>21</v>
      </c>
      <c r="AB679" s="0" t="s">
        <v>96</v>
      </c>
      <c r="AD679" s="0" t="n">
        <v>0</v>
      </c>
      <c r="AE679" s="0" t="s">
        <v>295</v>
      </c>
      <c r="AH679" s="0" t="n">
        <v>4</v>
      </c>
      <c r="AJ679" s="0" t="n">
        <v>41</v>
      </c>
      <c r="AP679" s="0" t="n">
        <v>260000</v>
      </c>
      <c r="DB679" s="0" t="str">
        <f aca="false">IF($A679="","",IF($AH679=20,IF(AND(OR($A679=21,$A679=215),$AJ679=10),"①病院一般",IF(AND($A679=31,$AJ679=41),"②病院短期","対象外")),IF($AJ679=30,"③特定消防",IF(AND(OR($A679=21,$A679=215),$AJ679=10),"④一般",IF(AND($A679=31,$AJ679=41),"⑤短期","対象外")))))</f>
        <v>⑤短期</v>
      </c>
      <c r="DC679" s="0" t="n">
        <f aca="false">IF($A679="","",IF($AB679&amp;""=設定!$C$4,1,0))</f>
        <v>1</v>
      </c>
    </row>
    <row r="680" customFormat="false" ht="15" hidden="false" customHeight="false" outlineLevel="0" collapsed="false">
      <c r="A680" s="0" t="n">
        <v>31</v>
      </c>
      <c r="AA680" s="0" t="n">
        <v>21</v>
      </c>
      <c r="AB680" s="0" t="s">
        <v>96</v>
      </c>
      <c r="AD680" s="0" t="n">
        <v>0</v>
      </c>
      <c r="AE680" s="0" t="s">
        <v>295</v>
      </c>
      <c r="AH680" s="0" t="n">
        <v>4</v>
      </c>
      <c r="AJ680" s="0" t="n">
        <v>41</v>
      </c>
      <c r="AP680" s="0" t="n">
        <v>240000</v>
      </c>
      <c r="DB680" s="0" t="str">
        <f aca="false">IF($A680="","",IF($AH680=20,IF(AND(OR($A680=21,$A680=215),$AJ680=10),"①病院一般",IF(AND($A680=31,$AJ680=41),"②病院短期","対象外")),IF($AJ680=30,"③特定消防",IF(AND(OR($A680=21,$A680=215),$AJ680=10),"④一般",IF(AND($A680=31,$AJ680=41),"⑤短期","対象外")))))</f>
        <v>⑤短期</v>
      </c>
      <c r="DC680" s="0" t="n">
        <f aca="false">IF($A680="","",IF($AB680&amp;""=設定!$C$4,1,0))</f>
        <v>1</v>
      </c>
    </row>
    <row r="681" customFormat="false" ht="15" hidden="false" customHeight="false" outlineLevel="0" collapsed="false">
      <c r="A681" s="0" t="n">
        <v>31</v>
      </c>
      <c r="AA681" s="0" t="n">
        <v>21</v>
      </c>
      <c r="AB681" s="0" t="s">
        <v>96</v>
      </c>
      <c r="AD681" s="0" t="n">
        <v>0</v>
      </c>
      <c r="AE681" s="0" t="s">
        <v>295</v>
      </c>
      <c r="AH681" s="0" t="n">
        <v>20</v>
      </c>
      <c r="AJ681" s="0" t="n">
        <v>41</v>
      </c>
      <c r="AP681" s="0" t="n">
        <v>280000</v>
      </c>
      <c r="DB681" s="0" t="str">
        <f aca="false">IF($A681="","",IF($AH681=20,IF(AND(OR($A681=21,$A681=215),$AJ681=10),"①病院一般",IF(AND($A681=31,$AJ681=41),"②病院短期","対象外")),IF($AJ681=30,"③特定消防",IF(AND(OR($A681=21,$A681=215),$AJ681=10),"④一般",IF(AND($A681=31,$AJ681=41),"⑤短期","対象外")))))</f>
        <v>②病院短期</v>
      </c>
      <c r="DC681" s="0" t="n">
        <f aca="false">IF($A681="","",IF($AB681&amp;""=設定!$C$4,1,0))</f>
        <v>1</v>
      </c>
    </row>
    <row r="682" customFormat="false" ht="15" hidden="false" customHeight="false" outlineLevel="0" collapsed="false">
      <c r="A682" s="0" t="n">
        <v>31</v>
      </c>
      <c r="AA682" s="0" t="n">
        <v>21</v>
      </c>
      <c r="AB682" s="0" t="s">
        <v>96</v>
      </c>
      <c r="AD682" s="0" t="n">
        <v>0</v>
      </c>
      <c r="AE682" s="0" t="s">
        <v>295</v>
      </c>
      <c r="AH682" s="0" t="n">
        <v>20</v>
      </c>
      <c r="AJ682" s="0" t="n">
        <v>41</v>
      </c>
      <c r="AP682" s="0" t="n">
        <v>260000</v>
      </c>
      <c r="DB682" s="0" t="str">
        <f aca="false">IF($A682="","",IF($AH682=20,IF(AND(OR($A682=21,$A682=215),$AJ682=10),"①病院一般",IF(AND($A682=31,$AJ682=41),"②病院短期","対象外")),IF($AJ682=30,"③特定消防",IF(AND(OR($A682=21,$A682=215),$AJ682=10),"④一般",IF(AND($A682=31,$AJ682=41),"⑤短期","対象外")))))</f>
        <v>②病院短期</v>
      </c>
      <c r="DC682" s="0" t="n">
        <f aca="false">IF($A682="","",IF($AB682&amp;""=設定!$C$4,1,0))</f>
        <v>1</v>
      </c>
    </row>
    <row r="683" customFormat="false" ht="15" hidden="false" customHeight="false" outlineLevel="0" collapsed="false">
      <c r="A683" s="0" t="n">
        <v>31</v>
      </c>
      <c r="AA683" s="0" t="n">
        <v>21</v>
      </c>
      <c r="AB683" s="0" t="s">
        <v>96</v>
      </c>
      <c r="AD683" s="0" t="n">
        <v>0</v>
      </c>
      <c r="AE683" s="0" t="s">
        <v>295</v>
      </c>
      <c r="AH683" s="0" t="n">
        <v>20</v>
      </c>
      <c r="AJ683" s="0" t="n">
        <v>41</v>
      </c>
      <c r="AP683" s="0" t="n">
        <v>260000</v>
      </c>
      <c r="DB683" s="0" t="str">
        <f aca="false">IF($A683="","",IF($AH683=20,IF(AND(OR($A683=21,$A683=215),$AJ683=10),"①病院一般",IF(AND($A683=31,$AJ683=41),"②病院短期","対象外")),IF($AJ683=30,"③特定消防",IF(AND(OR($A683=21,$A683=215),$AJ683=10),"④一般",IF(AND($A683=31,$AJ683=41),"⑤短期","対象外")))))</f>
        <v>②病院短期</v>
      </c>
      <c r="DC683" s="0" t="n">
        <f aca="false">IF($A683="","",IF($AB683&amp;""=設定!$C$4,1,0))</f>
        <v>1</v>
      </c>
    </row>
    <row r="684" customFormat="false" ht="15" hidden="false" customHeight="false" outlineLevel="0" collapsed="false">
      <c r="A684" s="0" t="n">
        <v>31</v>
      </c>
      <c r="AA684" s="0" t="n">
        <v>21</v>
      </c>
      <c r="AB684" s="0" t="s">
        <v>96</v>
      </c>
      <c r="AD684" s="0" t="n">
        <v>0</v>
      </c>
      <c r="AE684" s="0" t="s">
        <v>295</v>
      </c>
      <c r="AH684" s="0" t="n">
        <v>1</v>
      </c>
      <c r="AJ684" s="0" t="n">
        <v>41</v>
      </c>
      <c r="AP684" s="0" t="n">
        <v>220000</v>
      </c>
      <c r="DB684" s="0" t="str">
        <f aca="false">IF($A684="","",IF($AH684=20,IF(AND(OR($A684=21,$A684=215),$AJ684=10),"①病院一般",IF(AND($A684=31,$AJ684=41),"②病院短期","対象外")),IF($AJ684=30,"③特定消防",IF(AND(OR($A684=21,$A684=215),$AJ684=10),"④一般",IF(AND($A684=31,$AJ684=41),"⑤短期","対象外")))))</f>
        <v>⑤短期</v>
      </c>
      <c r="DC684" s="0" t="n">
        <f aca="false">IF($A684="","",IF($AB684&amp;""=設定!$C$4,1,0))</f>
        <v>1</v>
      </c>
    </row>
    <row r="685" customFormat="false" ht="15" hidden="false" customHeight="false" outlineLevel="0" collapsed="false">
      <c r="A685" s="0" t="n">
        <v>31</v>
      </c>
      <c r="AA685" s="0" t="n">
        <v>21</v>
      </c>
      <c r="AB685" s="0" t="s">
        <v>96</v>
      </c>
      <c r="AD685" s="0" t="n">
        <v>0</v>
      </c>
      <c r="AE685" s="0" t="s">
        <v>295</v>
      </c>
      <c r="AH685" s="0" t="n">
        <v>1</v>
      </c>
      <c r="AJ685" s="0" t="n">
        <v>41</v>
      </c>
      <c r="AP685" s="0" t="n">
        <v>240000</v>
      </c>
      <c r="DB685" s="0" t="str">
        <f aca="false">IF($A685="","",IF($AH685=20,IF(AND(OR($A685=21,$A685=215),$AJ685=10),"①病院一般",IF(AND($A685=31,$AJ685=41),"②病院短期","対象外")),IF($AJ685=30,"③特定消防",IF(AND(OR($A685=21,$A685=215),$AJ685=10),"④一般",IF(AND($A685=31,$AJ685=41),"⑤短期","対象外")))))</f>
        <v>⑤短期</v>
      </c>
      <c r="DC685" s="0" t="n">
        <f aca="false">IF($A685="","",IF($AB685&amp;""=設定!$C$4,1,0))</f>
        <v>1</v>
      </c>
    </row>
    <row r="686" customFormat="false" ht="15" hidden="false" customHeight="false" outlineLevel="0" collapsed="false">
      <c r="A686" s="0" t="n">
        <v>31</v>
      </c>
      <c r="AA686" s="0" t="n">
        <v>21</v>
      </c>
      <c r="AB686" s="0" t="s">
        <v>96</v>
      </c>
      <c r="AD686" s="0" t="n">
        <v>0</v>
      </c>
      <c r="AE686" s="0" t="s">
        <v>295</v>
      </c>
      <c r="AH686" s="0" t="n">
        <v>1</v>
      </c>
      <c r="AJ686" s="0" t="n">
        <v>41</v>
      </c>
      <c r="AP686" s="0" t="n">
        <v>220000</v>
      </c>
      <c r="DB686" s="0" t="str">
        <f aca="false">IF($A686="","",IF($AH686=20,IF(AND(OR($A686=21,$A686=215),$AJ686=10),"①病院一般",IF(AND($A686=31,$AJ686=41),"②病院短期","対象外")),IF($AJ686=30,"③特定消防",IF(AND(OR($A686=21,$A686=215),$AJ686=10),"④一般",IF(AND($A686=31,$AJ686=41),"⑤短期","対象外")))))</f>
        <v>⑤短期</v>
      </c>
      <c r="DC686" s="0" t="n">
        <f aca="false">IF($A686="","",IF($AB686&amp;""=設定!$C$4,1,0))</f>
        <v>1</v>
      </c>
    </row>
    <row r="687" customFormat="false" ht="15" hidden="false" customHeight="false" outlineLevel="0" collapsed="false">
      <c r="A687" s="0" t="n">
        <v>31</v>
      </c>
      <c r="AA687" s="0" t="n">
        <v>21</v>
      </c>
      <c r="AB687" s="0" t="s">
        <v>96</v>
      </c>
      <c r="AD687" s="0" t="n">
        <v>0</v>
      </c>
      <c r="AE687" s="0" t="s">
        <v>295</v>
      </c>
      <c r="AH687" s="0" t="n">
        <v>1</v>
      </c>
      <c r="AJ687" s="0" t="n">
        <v>41</v>
      </c>
      <c r="AP687" s="0" t="n">
        <v>240000</v>
      </c>
      <c r="DB687" s="0" t="str">
        <f aca="false">IF($A687="","",IF($AH687=20,IF(AND(OR($A687=21,$A687=215),$AJ687=10),"①病院一般",IF(AND($A687=31,$AJ687=41),"②病院短期","対象外")),IF($AJ687=30,"③特定消防",IF(AND(OR($A687=21,$A687=215),$AJ687=10),"④一般",IF(AND($A687=31,$AJ687=41),"⑤短期","対象外")))))</f>
        <v>⑤短期</v>
      </c>
      <c r="DC687" s="0" t="n">
        <f aca="false">IF($A687="","",IF($AB687&amp;""=設定!$C$4,1,0))</f>
        <v>1</v>
      </c>
    </row>
    <row r="688" customFormat="false" ht="15" hidden="false" customHeight="false" outlineLevel="0" collapsed="false">
      <c r="A688" s="0" t="n">
        <v>31</v>
      </c>
      <c r="AA688" s="0" t="n">
        <v>21</v>
      </c>
      <c r="AB688" s="0" t="s">
        <v>96</v>
      </c>
      <c r="AD688" s="0" t="n">
        <v>0</v>
      </c>
      <c r="AE688" s="0" t="s">
        <v>295</v>
      </c>
      <c r="AH688" s="0" t="n">
        <v>1</v>
      </c>
      <c r="AJ688" s="0" t="n">
        <v>41</v>
      </c>
      <c r="AP688" s="0" t="n">
        <v>220000</v>
      </c>
      <c r="DB688" s="0" t="str">
        <f aca="false">IF($A688="","",IF($AH688=20,IF(AND(OR($A688=21,$A688=215),$AJ688=10),"①病院一般",IF(AND($A688=31,$AJ688=41),"②病院短期","対象外")),IF($AJ688=30,"③特定消防",IF(AND(OR($A688=21,$A688=215),$AJ688=10),"④一般",IF(AND($A688=31,$AJ688=41),"⑤短期","対象外")))))</f>
        <v>⑤短期</v>
      </c>
      <c r="DC688" s="0" t="n">
        <f aca="false">IF($A688="","",IF($AB688&amp;""=設定!$C$4,1,0))</f>
        <v>1</v>
      </c>
    </row>
    <row r="689" customFormat="false" ht="15" hidden="false" customHeight="false" outlineLevel="0" collapsed="false">
      <c r="A689" s="0" t="n">
        <v>31</v>
      </c>
      <c r="AA689" s="0" t="n">
        <v>21</v>
      </c>
      <c r="AB689" s="0" t="s">
        <v>96</v>
      </c>
      <c r="AD689" s="0" t="n">
        <v>0</v>
      </c>
      <c r="AE689" s="0" t="s">
        <v>295</v>
      </c>
      <c r="AH689" s="0" t="n">
        <v>1</v>
      </c>
      <c r="AJ689" s="0" t="n">
        <v>41</v>
      </c>
      <c r="AP689" s="0" t="n">
        <v>134000</v>
      </c>
      <c r="DB689" s="0" t="str">
        <f aca="false">IF($A689="","",IF($AH689=20,IF(AND(OR($A689=21,$A689=215),$AJ689=10),"①病院一般",IF(AND($A689=31,$AJ689=41),"②病院短期","対象外")),IF($AJ689=30,"③特定消防",IF(AND(OR($A689=21,$A689=215),$AJ689=10),"④一般",IF(AND($A689=31,$AJ689=41),"⑤短期","対象外")))))</f>
        <v>⑤短期</v>
      </c>
      <c r="DC689" s="0" t="n">
        <f aca="false">IF($A689="","",IF($AB689&amp;""=設定!$C$4,1,0))</f>
        <v>1</v>
      </c>
    </row>
    <row r="690" customFormat="false" ht="15" hidden="false" customHeight="false" outlineLevel="0" collapsed="false">
      <c r="A690" s="0" t="n">
        <v>31</v>
      </c>
      <c r="AA690" s="0" t="n">
        <v>21</v>
      </c>
      <c r="AB690" s="0" t="s">
        <v>96</v>
      </c>
      <c r="AD690" s="0" t="n">
        <v>0</v>
      </c>
      <c r="AE690" s="0" t="s">
        <v>295</v>
      </c>
      <c r="AH690" s="0" t="n">
        <v>1</v>
      </c>
      <c r="AJ690" s="0" t="n">
        <v>41</v>
      </c>
      <c r="AP690" s="0" t="n">
        <v>220000</v>
      </c>
      <c r="DB690" s="0" t="str">
        <f aca="false">IF($A690="","",IF($AH690=20,IF(AND(OR($A690=21,$A690=215),$AJ690=10),"①病院一般",IF(AND($A690=31,$AJ690=41),"②病院短期","対象外")),IF($AJ690=30,"③特定消防",IF(AND(OR($A690=21,$A690=215),$AJ690=10),"④一般",IF(AND($A690=31,$AJ690=41),"⑤短期","対象外")))))</f>
        <v>⑤短期</v>
      </c>
      <c r="DC690" s="0" t="n">
        <f aca="false">IF($A690="","",IF($AB690&amp;""=設定!$C$4,1,0))</f>
        <v>1</v>
      </c>
    </row>
    <row r="691" customFormat="false" ht="15" hidden="false" customHeight="false" outlineLevel="0" collapsed="false">
      <c r="A691" s="0" t="n">
        <v>31</v>
      </c>
      <c r="AA691" s="0" t="n">
        <v>21</v>
      </c>
      <c r="AB691" s="0" t="s">
        <v>309</v>
      </c>
      <c r="AD691" s="0" t="n">
        <v>0</v>
      </c>
      <c r="AE691" s="0" t="s">
        <v>295</v>
      </c>
      <c r="AH691" s="0" t="n">
        <v>11</v>
      </c>
      <c r="AJ691" s="0" t="n">
        <v>41</v>
      </c>
      <c r="AP691" s="0" t="n">
        <v>260000</v>
      </c>
      <c r="DB691" s="0" t="str">
        <f aca="false">IF($A691="","",IF($AH691=20,IF(AND(OR($A691=21,$A691=215),$AJ691=10),"①病院一般",IF(AND($A691=31,$AJ691=41),"②病院短期","対象外")),IF($AJ691=30,"③特定消防",IF(AND(OR($A691=21,$A691=215),$AJ691=10),"④一般",IF(AND($A691=31,$AJ691=41),"⑤短期","対象外")))))</f>
        <v>⑤短期</v>
      </c>
      <c r="DC691" s="0" t="n">
        <f aca="false">IF($A691="","",IF($AB691&amp;""=設定!$C$4,1,0))</f>
        <v>0</v>
      </c>
    </row>
    <row r="692" customFormat="false" ht="15" hidden="false" customHeight="false" outlineLevel="0" collapsed="false">
      <c r="A692" s="0" t="n">
        <v>31</v>
      </c>
      <c r="AA692" s="0" t="n">
        <v>21</v>
      </c>
      <c r="AB692" s="0" t="s">
        <v>310</v>
      </c>
      <c r="AD692" s="0" t="n">
        <v>0</v>
      </c>
      <c r="AE692" s="0" t="s">
        <v>295</v>
      </c>
      <c r="AH692" s="0" t="n">
        <v>11</v>
      </c>
      <c r="AJ692" s="0" t="n">
        <v>41</v>
      </c>
      <c r="AP692" s="0" t="n">
        <v>240000</v>
      </c>
      <c r="DB692" s="0" t="str">
        <f aca="false">IF($A692="","",IF($AH692=20,IF(AND(OR($A692=21,$A692=215),$AJ692=10),"①病院一般",IF(AND($A692=31,$AJ692=41),"②病院短期","対象外")),IF($AJ692=30,"③特定消防",IF(AND(OR($A692=21,$A692=215),$AJ692=10),"④一般",IF(AND($A692=31,$AJ692=41),"⑤短期","対象外")))))</f>
        <v>⑤短期</v>
      </c>
      <c r="DC692" s="0" t="n">
        <f aca="false">IF($A692="","",IF($AB692&amp;""=設定!$C$4,1,0))</f>
        <v>0</v>
      </c>
    </row>
    <row r="693" customFormat="false" ht="15" hidden="false" customHeight="false" outlineLevel="0" collapsed="false">
      <c r="A693" s="0" t="n">
        <v>31</v>
      </c>
      <c r="AA693" s="0" t="n">
        <v>21</v>
      </c>
      <c r="AB693" s="0" t="s">
        <v>96</v>
      </c>
      <c r="AD693" s="0" t="n">
        <v>0</v>
      </c>
      <c r="AE693" s="0" t="s">
        <v>295</v>
      </c>
      <c r="AH693" s="0" t="n">
        <v>20</v>
      </c>
      <c r="AJ693" s="0" t="n">
        <v>41</v>
      </c>
      <c r="AP693" s="0" t="n">
        <v>260000</v>
      </c>
      <c r="DB693" s="0" t="str">
        <f aca="false">IF($A693="","",IF($AH693=20,IF(AND(OR($A693=21,$A693=215),$AJ693=10),"①病院一般",IF(AND($A693=31,$AJ693=41),"②病院短期","対象外")),IF($AJ693=30,"③特定消防",IF(AND(OR($A693=21,$A693=215),$AJ693=10),"④一般",IF(AND($A693=31,$AJ693=41),"⑤短期","対象外")))))</f>
        <v>②病院短期</v>
      </c>
      <c r="DC693" s="0" t="n">
        <f aca="false">IF($A693="","",IF($AB693&amp;""=設定!$C$4,1,0))</f>
        <v>1</v>
      </c>
    </row>
    <row r="694" customFormat="false" ht="15" hidden="false" customHeight="false" outlineLevel="0" collapsed="false">
      <c r="A694" s="0" t="n">
        <v>31</v>
      </c>
      <c r="AA694" s="0" t="n">
        <v>21</v>
      </c>
      <c r="AB694" s="0" t="s">
        <v>96</v>
      </c>
      <c r="AD694" s="0" t="n">
        <v>0</v>
      </c>
      <c r="AE694" s="0" t="s">
        <v>295</v>
      </c>
      <c r="AH694" s="0" t="n">
        <v>1</v>
      </c>
      <c r="AJ694" s="0" t="n">
        <v>41</v>
      </c>
      <c r="AP694" s="0" t="n">
        <v>220000</v>
      </c>
      <c r="DB694" s="0" t="str">
        <f aca="false">IF($A694="","",IF($AH694=20,IF(AND(OR($A694=21,$A694=215),$AJ694=10),"①病院一般",IF(AND($A694=31,$AJ694=41),"②病院短期","対象外")),IF($AJ694=30,"③特定消防",IF(AND(OR($A694=21,$A694=215),$AJ694=10),"④一般",IF(AND($A694=31,$AJ694=41),"⑤短期","対象外")))))</f>
        <v>⑤短期</v>
      </c>
      <c r="DC694" s="0" t="n">
        <f aca="false">IF($A694="","",IF($AB694&amp;""=設定!$C$4,1,0))</f>
        <v>1</v>
      </c>
    </row>
    <row r="695" customFormat="false" ht="15" hidden="false" customHeight="false" outlineLevel="0" collapsed="false">
      <c r="A695" s="0" t="n">
        <v>31</v>
      </c>
      <c r="AA695" s="0" t="n">
        <v>21</v>
      </c>
      <c r="AB695" s="0" t="s">
        <v>96</v>
      </c>
      <c r="AD695" s="0" t="n">
        <v>0</v>
      </c>
      <c r="AE695" s="0" t="s">
        <v>295</v>
      </c>
      <c r="AH695" s="0" t="n">
        <v>1</v>
      </c>
      <c r="AJ695" s="0" t="n">
        <v>41</v>
      </c>
      <c r="AP695" s="0" t="n">
        <v>240000</v>
      </c>
      <c r="DB695" s="0" t="str">
        <f aca="false">IF($A695="","",IF($AH695=20,IF(AND(OR($A695=21,$A695=215),$AJ695=10),"①病院一般",IF(AND($A695=31,$AJ695=41),"②病院短期","対象外")),IF($AJ695=30,"③特定消防",IF(AND(OR($A695=21,$A695=215),$AJ695=10),"④一般",IF(AND($A695=31,$AJ695=41),"⑤短期","対象外")))))</f>
        <v>⑤短期</v>
      </c>
      <c r="DC695" s="0" t="n">
        <f aca="false">IF($A695="","",IF($AB695&amp;""=設定!$C$4,1,0))</f>
        <v>1</v>
      </c>
    </row>
    <row r="696" customFormat="false" ht="15" hidden="false" customHeight="false" outlineLevel="0" collapsed="false">
      <c r="A696" s="0" t="n">
        <v>31</v>
      </c>
      <c r="AA696" s="0" t="n">
        <v>21</v>
      </c>
      <c r="AB696" s="0" t="s">
        <v>96</v>
      </c>
      <c r="AD696" s="0" t="n">
        <v>0</v>
      </c>
      <c r="AE696" s="0" t="s">
        <v>295</v>
      </c>
      <c r="AH696" s="0" t="n">
        <v>1</v>
      </c>
      <c r="AJ696" s="0" t="n">
        <v>41</v>
      </c>
      <c r="AP696" s="0" t="n">
        <v>220000</v>
      </c>
      <c r="DB696" s="0" t="str">
        <f aca="false">IF($A696="","",IF($AH696=20,IF(AND(OR($A696=21,$A696=215),$AJ696=10),"①病院一般",IF(AND($A696=31,$AJ696=41),"②病院短期","対象外")),IF($AJ696=30,"③特定消防",IF(AND(OR($A696=21,$A696=215),$AJ696=10),"④一般",IF(AND($A696=31,$AJ696=41),"⑤短期","対象外")))))</f>
        <v>⑤短期</v>
      </c>
      <c r="DC696" s="0" t="n">
        <f aca="false">IF($A696="","",IF($AB696&amp;""=設定!$C$4,1,0))</f>
        <v>1</v>
      </c>
    </row>
    <row r="697" customFormat="false" ht="15" hidden="false" customHeight="false" outlineLevel="0" collapsed="false">
      <c r="A697" s="0" t="n">
        <v>31</v>
      </c>
      <c r="AA697" s="0" t="n">
        <v>21</v>
      </c>
      <c r="AB697" s="0" t="s">
        <v>96</v>
      </c>
      <c r="AD697" s="0" t="n">
        <v>0</v>
      </c>
      <c r="AE697" s="0" t="s">
        <v>295</v>
      </c>
      <c r="AH697" s="0" t="n">
        <v>1</v>
      </c>
      <c r="AJ697" s="0" t="n">
        <v>41</v>
      </c>
      <c r="AP697" s="0" t="n">
        <v>220000</v>
      </c>
      <c r="DB697" s="0" t="str">
        <f aca="false">IF($A697="","",IF($AH697=20,IF(AND(OR($A697=21,$A697=215),$AJ697=10),"①病院一般",IF(AND($A697=31,$AJ697=41),"②病院短期","対象外")),IF($AJ697=30,"③特定消防",IF(AND(OR($A697=21,$A697=215),$AJ697=10),"④一般",IF(AND($A697=31,$AJ697=41),"⑤短期","対象外")))))</f>
        <v>⑤短期</v>
      </c>
      <c r="DC697" s="0" t="n">
        <f aca="false">IF($A697="","",IF($AB697&amp;""=設定!$C$4,1,0))</f>
        <v>1</v>
      </c>
    </row>
    <row r="698" customFormat="false" ht="15" hidden="false" customHeight="false" outlineLevel="0" collapsed="false">
      <c r="A698" s="0" t="n">
        <v>31</v>
      </c>
      <c r="AA698" s="0" t="n">
        <v>21</v>
      </c>
      <c r="AB698" s="0" t="s">
        <v>96</v>
      </c>
      <c r="AD698" s="0" t="n">
        <v>0</v>
      </c>
      <c r="AE698" s="0" t="s">
        <v>295</v>
      </c>
      <c r="AH698" s="0" t="n">
        <v>1</v>
      </c>
      <c r="AJ698" s="0" t="n">
        <v>41</v>
      </c>
      <c r="AP698" s="0" t="n">
        <v>220000</v>
      </c>
      <c r="DB698" s="0" t="str">
        <f aca="false">IF($A698="","",IF($AH698=20,IF(AND(OR($A698=21,$A698=215),$AJ698=10),"①病院一般",IF(AND($A698=31,$AJ698=41),"②病院短期","対象外")),IF($AJ698=30,"③特定消防",IF(AND(OR($A698=21,$A698=215),$AJ698=10),"④一般",IF(AND($A698=31,$AJ698=41),"⑤短期","対象外")))))</f>
        <v>⑤短期</v>
      </c>
      <c r="DC698" s="0" t="n">
        <f aca="false">IF($A698="","",IF($AB698&amp;""=設定!$C$4,1,0))</f>
        <v>1</v>
      </c>
    </row>
    <row r="699" customFormat="false" ht="15" hidden="false" customHeight="false" outlineLevel="0" collapsed="false">
      <c r="A699" s="0" t="n">
        <v>31</v>
      </c>
      <c r="AA699" s="0" t="n">
        <v>21</v>
      </c>
      <c r="AB699" s="0" t="s">
        <v>96</v>
      </c>
      <c r="AD699" s="0" t="n">
        <v>0</v>
      </c>
      <c r="AE699" s="0" t="s">
        <v>295</v>
      </c>
      <c r="AH699" s="0" t="n">
        <v>1</v>
      </c>
      <c r="AJ699" s="0" t="n">
        <v>41</v>
      </c>
      <c r="AP699" s="0" t="n">
        <v>134000</v>
      </c>
      <c r="DB699" s="0" t="str">
        <f aca="false">IF($A699="","",IF($AH699=20,IF(AND(OR($A699=21,$A699=215),$AJ699=10),"①病院一般",IF(AND($A699=31,$AJ699=41),"②病院短期","対象外")),IF($AJ699=30,"③特定消防",IF(AND(OR($A699=21,$A699=215),$AJ699=10),"④一般",IF(AND($A699=31,$AJ699=41),"⑤短期","対象外")))))</f>
        <v>⑤短期</v>
      </c>
      <c r="DC699" s="0" t="n">
        <f aca="false">IF($A699="","",IF($AB699&amp;""=設定!$C$4,1,0))</f>
        <v>1</v>
      </c>
    </row>
    <row r="700" customFormat="false" ht="15" hidden="false" customHeight="false" outlineLevel="0" collapsed="false">
      <c r="A700" s="0" t="n">
        <v>31</v>
      </c>
      <c r="AA700" s="0" t="n">
        <v>21</v>
      </c>
      <c r="AB700" s="0" t="s">
        <v>96</v>
      </c>
      <c r="AD700" s="0" t="n">
        <v>0</v>
      </c>
      <c r="AE700" s="0" t="s">
        <v>295</v>
      </c>
      <c r="AH700" s="0" t="n">
        <v>20</v>
      </c>
      <c r="AJ700" s="0" t="n">
        <v>41</v>
      </c>
      <c r="AP700" s="0" t="n">
        <v>240000</v>
      </c>
      <c r="DB700" s="0" t="str">
        <f aca="false">IF($A700="","",IF($AH700=20,IF(AND(OR($A700=21,$A700=215),$AJ700=10),"①病院一般",IF(AND($A700=31,$AJ700=41),"②病院短期","対象外")),IF($AJ700=30,"③特定消防",IF(AND(OR($A700=21,$A700=215),$AJ700=10),"④一般",IF(AND($A700=31,$AJ700=41),"⑤短期","対象外")))))</f>
        <v>②病院短期</v>
      </c>
      <c r="DC700" s="0" t="n">
        <f aca="false">IF($A700="","",IF($AB700&amp;""=設定!$C$4,1,0))</f>
        <v>1</v>
      </c>
    </row>
    <row r="701" customFormat="false" ht="15" hidden="false" customHeight="false" outlineLevel="0" collapsed="false">
      <c r="A701" s="0" t="n">
        <v>31</v>
      </c>
      <c r="AA701" s="0" t="n">
        <v>21</v>
      </c>
      <c r="AB701" s="0" t="s">
        <v>96</v>
      </c>
      <c r="AD701" s="0" t="n">
        <v>0</v>
      </c>
      <c r="AE701" s="0" t="s">
        <v>295</v>
      </c>
      <c r="AH701" s="0" t="n">
        <v>1</v>
      </c>
      <c r="AJ701" s="0" t="n">
        <v>41</v>
      </c>
      <c r="AP701" s="0" t="n">
        <v>220000</v>
      </c>
      <c r="DB701" s="0" t="str">
        <f aca="false">IF($A701="","",IF($AH701=20,IF(AND(OR($A701=21,$A701=215),$AJ701=10),"①病院一般",IF(AND($A701=31,$AJ701=41),"②病院短期","対象外")),IF($AJ701=30,"③特定消防",IF(AND(OR($A701=21,$A701=215),$AJ701=10),"④一般",IF(AND($A701=31,$AJ701=41),"⑤短期","対象外")))))</f>
        <v>⑤短期</v>
      </c>
      <c r="DC701" s="0" t="n">
        <f aca="false">IF($A701="","",IF($AB701&amp;""=設定!$C$4,1,0))</f>
        <v>1</v>
      </c>
    </row>
    <row r="702" customFormat="false" ht="15" hidden="false" customHeight="false" outlineLevel="0" collapsed="false">
      <c r="A702" s="0" t="n">
        <v>31</v>
      </c>
      <c r="AA702" s="0" t="n">
        <v>21</v>
      </c>
      <c r="AB702" s="0" t="s">
        <v>96</v>
      </c>
      <c r="AD702" s="0" t="n">
        <v>0</v>
      </c>
      <c r="AE702" s="0" t="s">
        <v>295</v>
      </c>
      <c r="AH702" s="0" t="n">
        <v>1</v>
      </c>
      <c r="AJ702" s="0" t="n">
        <v>41</v>
      </c>
      <c r="AP702" s="0" t="n">
        <v>220000</v>
      </c>
      <c r="DB702" s="0" t="str">
        <f aca="false">IF($A702="","",IF($AH702=20,IF(AND(OR($A702=21,$A702=215),$AJ702=10),"①病院一般",IF(AND($A702=31,$AJ702=41),"②病院短期","対象外")),IF($AJ702=30,"③特定消防",IF(AND(OR($A702=21,$A702=215),$AJ702=10),"④一般",IF(AND($A702=31,$AJ702=41),"⑤短期","対象外")))))</f>
        <v>⑤短期</v>
      </c>
      <c r="DC702" s="0" t="n">
        <f aca="false">IF($A702="","",IF($AB702&amp;""=設定!$C$4,1,0))</f>
        <v>1</v>
      </c>
    </row>
    <row r="703" customFormat="false" ht="15" hidden="false" customHeight="false" outlineLevel="0" collapsed="false">
      <c r="A703" s="0" t="n">
        <v>31</v>
      </c>
      <c r="AA703" s="0" t="n">
        <v>21</v>
      </c>
      <c r="AB703" s="0" t="s">
        <v>96</v>
      </c>
      <c r="AD703" s="0" t="n">
        <v>0</v>
      </c>
      <c r="AE703" s="0" t="s">
        <v>295</v>
      </c>
      <c r="AH703" s="0" t="n">
        <v>5</v>
      </c>
      <c r="AJ703" s="0" t="n">
        <v>41</v>
      </c>
      <c r="AP703" s="0" t="n">
        <v>220000</v>
      </c>
      <c r="DB703" s="0" t="str">
        <f aca="false">IF($A703="","",IF($AH703=20,IF(AND(OR($A703=21,$A703=215),$AJ703=10),"①病院一般",IF(AND($A703=31,$AJ703=41),"②病院短期","対象外")),IF($AJ703=30,"③特定消防",IF(AND(OR($A703=21,$A703=215),$AJ703=10),"④一般",IF(AND($A703=31,$AJ703=41),"⑤短期","対象外")))))</f>
        <v>⑤短期</v>
      </c>
      <c r="DC703" s="0" t="n">
        <f aca="false">IF($A703="","",IF($AB703&amp;""=設定!$C$4,1,0))</f>
        <v>1</v>
      </c>
    </row>
    <row r="704" customFormat="false" ht="15" hidden="false" customHeight="false" outlineLevel="0" collapsed="false">
      <c r="A704" s="0" t="n">
        <v>31</v>
      </c>
      <c r="AA704" s="0" t="n">
        <v>21</v>
      </c>
      <c r="AB704" s="0" t="s">
        <v>96</v>
      </c>
      <c r="AD704" s="0" t="n">
        <v>0</v>
      </c>
      <c r="AE704" s="0" t="s">
        <v>295</v>
      </c>
      <c r="AH704" s="0" t="n">
        <v>1</v>
      </c>
      <c r="AJ704" s="0" t="n">
        <v>41</v>
      </c>
      <c r="AP704" s="0" t="n">
        <v>220000</v>
      </c>
      <c r="DB704" s="0" t="str">
        <f aca="false">IF($A704="","",IF($AH704=20,IF(AND(OR($A704=21,$A704=215),$AJ704=10),"①病院一般",IF(AND($A704=31,$AJ704=41),"②病院短期","対象外")),IF($AJ704=30,"③特定消防",IF(AND(OR($A704=21,$A704=215),$AJ704=10),"④一般",IF(AND($A704=31,$AJ704=41),"⑤短期","対象外")))))</f>
        <v>⑤短期</v>
      </c>
      <c r="DC704" s="0" t="n">
        <f aca="false">IF($A704="","",IF($AB704&amp;""=設定!$C$4,1,0))</f>
        <v>1</v>
      </c>
    </row>
    <row r="705" customFormat="false" ht="15" hidden="false" customHeight="false" outlineLevel="0" collapsed="false">
      <c r="A705" s="0" t="n">
        <v>31</v>
      </c>
      <c r="AA705" s="0" t="n">
        <v>21</v>
      </c>
      <c r="AB705" s="0" t="s">
        <v>96</v>
      </c>
      <c r="AD705" s="0" t="n">
        <v>0</v>
      </c>
      <c r="AE705" s="0" t="s">
        <v>295</v>
      </c>
      <c r="AH705" s="0" t="n">
        <v>1</v>
      </c>
      <c r="AJ705" s="0" t="n">
        <v>41</v>
      </c>
      <c r="AP705" s="0" t="n">
        <v>220000</v>
      </c>
      <c r="DB705" s="0" t="str">
        <f aca="false">IF($A705="","",IF($AH705=20,IF(AND(OR($A705=21,$A705=215),$AJ705=10),"①病院一般",IF(AND($A705=31,$AJ705=41),"②病院短期","対象外")),IF($AJ705=30,"③特定消防",IF(AND(OR($A705=21,$A705=215),$AJ705=10),"④一般",IF(AND($A705=31,$AJ705=41),"⑤短期","対象外")))))</f>
        <v>⑤短期</v>
      </c>
      <c r="DC705" s="0" t="n">
        <f aca="false">IF($A705="","",IF($AB705&amp;""=設定!$C$4,1,0))</f>
        <v>1</v>
      </c>
    </row>
    <row r="706" customFormat="false" ht="15" hidden="false" customHeight="false" outlineLevel="0" collapsed="false">
      <c r="A706" s="0" t="n">
        <v>31</v>
      </c>
      <c r="AA706" s="0" t="n">
        <v>21</v>
      </c>
      <c r="AB706" s="0" t="s">
        <v>96</v>
      </c>
      <c r="AD706" s="0" t="n">
        <v>0</v>
      </c>
      <c r="AE706" s="0" t="s">
        <v>295</v>
      </c>
      <c r="AH706" s="0" t="n">
        <v>1</v>
      </c>
      <c r="AJ706" s="0" t="n">
        <v>41</v>
      </c>
      <c r="AP706" s="0" t="n">
        <v>240000</v>
      </c>
      <c r="DB706" s="0" t="str">
        <f aca="false">IF($A706="","",IF($AH706=20,IF(AND(OR($A706=21,$A706=215),$AJ706=10),"①病院一般",IF(AND($A706=31,$AJ706=41),"②病院短期","対象外")),IF($AJ706=30,"③特定消防",IF(AND(OR($A706=21,$A706=215),$AJ706=10),"④一般",IF(AND($A706=31,$AJ706=41),"⑤短期","対象外")))))</f>
        <v>⑤短期</v>
      </c>
      <c r="DC706" s="0" t="n">
        <f aca="false">IF($A706="","",IF($AB706&amp;""=設定!$C$4,1,0))</f>
        <v>1</v>
      </c>
    </row>
    <row r="707" customFormat="false" ht="15" hidden="false" customHeight="false" outlineLevel="0" collapsed="false">
      <c r="A707" s="0" t="n">
        <v>31</v>
      </c>
      <c r="AA707" s="0" t="n">
        <v>21</v>
      </c>
      <c r="AB707" s="0" t="s">
        <v>96</v>
      </c>
      <c r="AD707" s="0" t="n">
        <v>0</v>
      </c>
      <c r="AE707" s="0" t="s">
        <v>295</v>
      </c>
      <c r="AH707" s="0" t="n">
        <v>1</v>
      </c>
      <c r="AJ707" s="0" t="n">
        <v>41</v>
      </c>
      <c r="AP707" s="0" t="n">
        <v>240000</v>
      </c>
      <c r="DB707" s="0" t="str">
        <f aca="false">IF($A707="","",IF($AH707=20,IF(AND(OR($A707=21,$A707=215),$AJ707=10),"①病院一般",IF(AND($A707=31,$AJ707=41),"②病院短期","対象外")),IF($AJ707=30,"③特定消防",IF(AND(OR($A707=21,$A707=215),$AJ707=10),"④一般",IF(AND($A707=31,$AJ707=41),"⑤短期","対象外")))))</f>
        <v>⑤短期</v>
      </c>
      <c r="DC707" s="0" t="n">
        <f aca="false">IF($A707="","",IF($AB707&amp;""=設定!$C$4,1,0))</f>
        <v>1</v>
      </c>
    </row>
    <row r="708" customFormat="false" ht="15" hidden="false" customHeight="false" outlineLevel="0" collapsed="false">
      <c r="A708" s="0" t="n">
        <v>31</v>
      </c>
      <c r="AA708" s="0" t="n">
        <v>21</v>
      </c>
      <c r="AB708" s="0" t="s">
        <v>96</v>
      </c>
      <c r="AD708" s="0" t="n">
        <v>0</v>
      </c>
      <c r="AE708" s="0" t="s">
        <v>295</v>
      </c>
      <c r="AH708" s="0" t="n">
        <v>1</v>
      </c>
      <c r="AJ708" s="0" t="n">
        <v>41</v>
      </c>
      <c r="AP708" s="0" t="n">
        <v>220000</v>
      </c>
      <c r="DB708" s="0" t="str">
        <f aca="false">IF($A708="","",IF($AH708=20,IF(AND(OR($A708=21,$A708=215),$AJ708=10),"①病院一般",IF(AND($A708=31,$AJ708=41),"②病院短期","対象外")),IF($AJ708=30,"③特定消防",IF(AND(OR($A708=21,$A708=215),$AJ708=10),"④一般",IF(AND($A708=31,$AJ708=41),"⑤短期","対象外")))))</f>
        <v>⑤短期</v>
      </c>
      <c r="DC708" s="0" t="n">
        <f aca="false">IF($A708="","",IF($AB708&amp;""=設定!$C$4,1,0))</f>
        <v>1</v>
      </c>
    </row>
    <row r="709" customFormat="false" ht="15" hidden="false" customHeight="false" outlineLevel="0" collapsed="false">
      <c r="A709" s="0" t="n">
        <v>31</v>
      </c>
      <c r="AA709" s="0" t="n">
        <v>21</v>
      </c>
      <c r="AB709" s="0" t="s">
        <v>96</v>
      </c>
      <c r="AD709" s="0" t="n">
        <v>12</v>
      </c>
      <c r="AE709" s="0" t="s">
        <v>296</v>
      </c>
      <c r="AH709" s="0" t="n">
        <v>1</v>
      </c>
      <c r="AJ709" s="0" t="n">
        <v>41</v>
      </c>
      <c r="AP709" s="0" t="n">
        <v>220000</v>
      </c>
      <c r="DB709" s="0" t="str">
        <f aca="false">IF($A709="","",IF($AH709=20,IF(AND(OR($A709=21,$A709=215),$AJ709=10),"①病院一般",IF(AND($A709=31,$AJ709=41),"②病院短期","対象外")),IF($AJ709=30,"③特定消防",IF(AND(OR($A709=21,$A709=215),$AJ709=10),"④一般",IF(AND($A709=31,$AJ709=41),"⑤短期","対象外")))))</f>
        <v>⑤短期</v>
      </c>
      <c r="DC709" s="0" t="n">
        <f aca="false">IF($A709="","",IF($AB709&amp;""=設定!$C$4,1,0))</f>
        <v>1</v>
      </c>
    </row>
    <row r="710" customFormat="false" ht="15" hidden="false" customHeight="false" outlineLevel="0" collapsed="false">
      <c r="A710" s="0" t="n">
        <v>31</v>
      </c>
      <c r="AA710" s="0" t="n">
        <v>21</v>
      </c>
      <c r="AB710" s="0" t="s">
        <v>96</v>
      </c>
      <c r="AD710" s="0" t="n">
        <v>0</v>
      </c>
      <c r="AE710" s="0" t="s">
        <v>295</v>
      </c>
      <c r="AH710" s="0" t="n">
        <v>20</v>
      </c>
      <c r="AJ710" s="0" t="n">
        <v>41</v>
      </c>
      <c r="AP710" s="0" t="n">
        <v>260000</v>
      </c>
      <c r="DB710" s="0" t="str">
        <f aca="false">IF($A710="","",IF($AH710=20,IF(AND(OR($A710=21,$A710=215),$AJ710=10),"①病院一般",IF(AND($A710=31,$AJ710=41),"②病院短期","対象外")),IF($AJ710=30,"③特定消防",IF(AND(OR($A710=21,$A710=215),$AJ710=10),"④一般",IF(AND($A710=31,$AJ710=41),"⑤短期","対象外")))))</f>
        <v>②病院短期</v>
      </c>
      <c r="DC710" s="0" t="n">
        <f aca="false">IF($A710="","",IF($AB710&amp;""=設定!$C$4,1,0))</f>
        <v>1</v>
      </c>
    </row>
    <row r="711" customFormat="false" ht="15" hidden="false" customHeight="false" outlineLevel="0" collapsed="false">
      <c r="A711" s="0" t="n">
        <v>31</v>
      </c>
      <c r="AA711" s="0" t="n">
        <v>21</v>
      </c>
      <c r="AB711" s="0" t="s">
        <v>311</v>
      </c>
      <c r="AD711" s="0" t="n">
        <v>0</v>
      </c>
      <c r="AE711" s="0" t="s">
        <v>295</v>
      </c>
      <c r="AH711" s="0" t="n">
        <v>1</v>
      </c>
      <c r="AJ711" s="0" t="n">
        <v>41</v>
      </c>
      <c r="AP711" s="0" t="n">
        <v>134000</v>
      </c>
      <c r="DB711" s="0" t="str">
        <f aca="false">IF($A711="","",IF($AH711=20,IF(AND(OR($A711=21,$A711=215),$AJ711=10),"①病院一般",IF(AND($A711=31,$AJ711=41),"②病院短期","対象外")),IF($AJ711=30,"③特定消防",IF(AND(OR($A711=21,$A711=215),$AJ711=10),"④一般",IF(AND($A711=31,$AJ711=41),"⑤短期","対象外")))))</f>
        <v>⑤短期</v>
      </c>
      <c r="DC711" s="0" t="n">
        <f aca="false">IF($A711="","",IF($AB711&amp;""=設定!$C$4,1,0))</f>
        <v>0</v>
      </c>
    </row>
    <row r="712" customFormat="false" ht="15" hidden="false" customHeight="false" outlineLevel="0" collapsed="false">
      <c r="A712" s="0" t="n">
        <v>31</v>
      </c>
      <c r="AA712" s="0" t="n">
        <v>21</v>
      </c>
      <c r="AB712" s="0" t="s">
        <v>96</v>
      </c>
      <c r="AD712" s="0" t="n">
        <v>0</v>
      </c>
      <c r="AE712" s="0" t="s">
        <v>295</v>
      </c>
      <c r="AH712" s="0" t="n">
        <v>4</v>
      </c>
      <c r="AJ712" s="0" t="n">
        <v>41</v>
      </c>
      <c r="AP712" s="0" t="n">
        <v>220000</v>
      </c>
      <c r="DB712" s="0" t="str">
        <f aca="false">IF($A712="","",IF($AH712=20,IF(AND(OR($A712=21,$A712=215),$AJ712=10),"①病院一般",IF(AND($A712=31,$AJ712=41),"②病院短期","対象外")),IF($AJ712=30,"③特定消防",IF(AND(OR($A712=21,$A712=215),$AJ712=10),"④一般",IF(AND($A712=31,$AJ712=41),"⑤短期","対象外")))))</f>
        <v>⑤短期</v>
      </c>
      <c r="DC712" s="0" t="n">
        <f aca="false">IF($A712="","",IF($AB712&amp;""=設定!$C$4,1,0))</f>
        <v>1</v>
      </c>
    </row>
    <row r="713" customFormat="false" ht="15" hidden="false" customHeight="false" outlineLevel="0" collapsed="false">
      <c r="A713" s="0" t="n">
        <v>31</v>
      </c>
      <c r="AA713" s="0" t="n">
        <v>21</v>
      </c>
      <c r="AB713" s="0" t="s">
        <v>96</v>
      </c>
      <c r="AD713" s="0" t="n">
        <v>0</v>
      </c>
      <c r="AE713" s="0" t="s">
        <v>295</v>
      </c>
      <c r="AH713" s="0" t="n">
        <v>20</v>
      </c>
      <c r="AJ713" s="0" t="n">
        <v>41</v>
      </c>
      <c r="AP713" s="0" t="n">
        <v>260000</v>
      </c>
      <c r="DB713" s="0" t="str">
        <f aca="false">IF($A713="","",IF($AH713=20,IF(AND(OR($A713=21,$A713=215),$AJ713=10),"①病院一般",IF(AND($A713=31,$AJ713=41),"②病院短期","対象外")),IF($AJ713=30,"③特定消防",IF(AND(OR($A713=21,$A713=215),$AJ713=10),"④一般",IF(AND($A713=31,$AJ713=41),"⑤短期","対象外")))))</f>
        <v>②病院短期</v>
      </c>
      <c r="DC713" s="0" t="n">
        <f aca="false">IF($A713="","",IF($AB713&amp;""=設定!$C$4,1,0))</f>
        <v>1</v>
      </c>
    </row>
    <row r="714" customFormat="false" ht="15" hidden="false" customHeight="false" outlineLevel="0" collapsed="false">
      <c r="A714" s="0" t="n">
        <v>31</v>
      </c>
      <c r="AA714" s="0" t="n">
        <v>21</v>
      </c>
      <c r="AB714" s="0" t="s">
        <v>96</v>
      </c>
      <c r="AD714" s="0" t="n">
        <v>0</v>
      </c>
      <c r="AE714" s="0" t="s">
        <v>295</v>
      </c>
      <c r="AH714" s="0" t="n">
        <v>1</v>
      </c>
      <c r="AJ714" s="0" t="n">
        <v>41</v>
      </c>
      <c r="AP714" s="0" t="n">
        <v>220000</v>
      </c>
      <c r="DB714" s="0" t="str">
        <f aca="false">IF($A714="","",IF($AH714=20,IF(AND(OR($A714=21,$A714=215),$AJ714=10),"①病院一般",IF(AND($A714=31,$AJ714=41),"②病院短期","対象外")),IF($AJ714=30,"③特定消防",IF(AND(OR($A714=21,$A714=215),$AJ714=10),"④一般",IF(AND($A714=31,$AJ714=41),"⑤短期","対象外")))))</f>
        <v>⑤短期</v>
      </c>
      <c r="DC714" s="0" t="n">
        <f aca="false">IF($A714="","",IF($AB714&amp;""=設定!$C$4,1,0))</f>
        <v>1</v>
      </c>
    </row>
    <row r="715" customFormat="false" ht="15" hidden="false" customHeight="false" outlineLevel="0" collapsed="false">
      <c r="A715" s="0" t="n">
        <v>31</v>
      </c>
      <c r="AA715" s="0" t="n">
        <v>21</v>
      </c>
      <c r="AB715" s="0" t="s">
        <v>96</v>
      </c>
      <c r="AD715" s="0" t="n">
        <v>0</v>
      </c>
      <c r="AE715" s="0" t="s">
        <v>295</v>
      </c>
      <c r="AH715" s="0" t="n">
        <v>1</v>
      </c>
      <c r="AJ715" s="0" t="n">
        <v>41</v>
      </c>
      <c r="AP715" s="0" t="n">
        <v>240000</v>
      </c>
      <c r="DB715" s="0" t="str">
        <f aca="false">IF($A715="","",IF($AH715=20,IF(AND(OR($A715=21,$A715=215),$AJ715=10),"①病院一般",IF(AND($A715=31,$AJ715=41),"②病院短期","対象外")),IF($AJ715=30,"③特定消防",IF(AND(OR($A715=21,$A715=215),$AJ715=10),"④一般",IF(AND($A715=31,$AJ715=41),"⑤短期","対象外")))))</f>
        <v>⑤短期</v>
      </c>
      <c r="DC715" s="0" t="n">
        <f aca="false">IF($A715="","",IF($AB715&amp;""=設定!$C$4,1,0))</f>
        <v>1</v>
      </c>
    </row>
    <row r="716" customFormat="false" ht="15" hidden="false" customHeight="false" outlineLevel="0" collapsed="false">
      <c r="A716" s="0" t="n">
        <v>31</v>
      </c>
      <c r="AA716" s="0" t="n">
        <v>21</v>
      </c>
      <c r="AB716" s="0" t="s">
        <v>96</v>
      </c>
      <c r="AD716" s="0" t="n">
        <v>0</v>
      </c>
      <c r="AE716" s="0" t="s">
        <v>295</v>
      </c>
      <c r="AH716" s="0" t="n">
        <v>1</v>
      </c>
      <c r="AJ716" s="0" t="n">
        <v>41</v>
      </c>
      <c r="AP716" s="0" t="n">
        <v>142000</v>
      </c>
      <c r="DB716" s="0" t="str">
        <f aca="false">IF($A716="","",IF($AH716=20,IF(AND(OR($A716=21,$A716=215),$AJ716=10),"①病院一般",IF(AND($A716=31,$AJ716=41),"②病院短期","対象外")),IF($AJ716=30,"③特定消防",IF(AND(OR($A716=21,$A716=215),$AJ716=10),"④一般",IF(AND($A716=31,$AJ716=41),"⑤短期","対象外")))))</f>
        <v>⑤短期</v>
      </c>
      <c r="DC716" s="0" t="n">
        <f aca="false">IF($A716="","",IF($AB716&amp;""=設定!$C$4,1,0))</f>
        <v>1</v>
      </c>
    </row>
    <row r="717" customFormat="false" ht="15" hidden="false" customHeight="false" outlineLevel="0" collapsed="false">
      <c r="A717" s="0" t="n">
        <v>31</v>
      </c>
      <c r="AA717" s="0" t="n">
        <v>21</v>
      </c>
      <c r="AB717" s="0" t="s">
        <v>294</v>
      </c>
      <c r="AD717" s="0" t="n">
        <v>0</v>
      </c>
      <c r="AE717" s="0" t="s">
        <v>295</v>
      </c>
      <c r="AH717" s="0" t="n">
        <v>1</v>
      </c>
      <c r="AJ717" s="0" t="n">
        <v>41</v>
      </c>
      <c r="AP717" s="0" t="n">
        <v>200000</v>
      </c>
      <c r="DB717" s="0" t="str">
        <f aca="false">IF($A717="","",IF($AH717=20,IF(AND(OR($A717=21,$A717=215),$AJ717=10),"①病院一般",IF(AND($A717=31,$AJ717=41),"②病院短期","対象外")),IF($AJ717=30,"③特定消防",IF(AND(OR($A717=21,$A717=215),$AJ717=10),"④一般",IF(AND($A717=31,$AJ717=41),"⑤短期","対象外")))))</f>
        <v>⑤短期</v>
      </c>
      <c r="DC717" s="0" t="n">
        <f aca="false">IF($A717="","",IF($AB717&amp;""=設定!$C$4,1,0))</f>
        <v>0</v>
      </c>
    </row>
    <row r="718" customFormat="false" ht="15" hidden="false" customHeight="false" outlineLevel="0" collapsed="false">
      <c r="A718" s="0" t="n">
        <v>31</v>
      </c>
      <c r="AA718" s="0" t="n">
        <v>21</v>
      </c>
      <c r="AB718" s="0" t="s">
        <v>96</v>
      </c>
      <c r="AD718" s="0" t="n">
        <v>0</v>
      </c>
      <c r="AE718" s="0" t="s">
        <v>295</v>
      </c>
      <c r="AH718" s="0" t="n">
        <v>3</v>
      </c>
      <c r="AJ718" s="0" t="n">
        <v>41</v>
      </c>
      <c r="AP718" s="0" t="n">
        <v>240000</v>
      </c>
      <c r="DB718" s="0" t="str">
        <f aca="false">IF($A718="","",IF($AH718=20,IF(AND(OR($A718=21,$A718=215),$AJ718=10),"①病院一般",IF(AND($A718=31,$AJ718=41),"②病院短期","対象外")),IF($AJ718=30,"③特定消防",IF(AND(OR($A718=21,$A718=215),$AJ718=10),"④一般",IF(AND($A718=31,$AJ718=41),"⑤短期","対象外")))))</f>
        <v>⑤短期</v>
      </c>
      <c r="DC718" s="0" t="n">
        <f aca="false">IF($A718="","",IF($AB718&amp;""=設定!$C$4,1,0))</f>
        <v>1</v>
      </c>
    </row>
    <row r="719" customFormat="false" ht="15" hidden="false" customHeight="false" outlineLevel="0" collapsed="false">
      <c r="A719" s="0" t="n">
        <v>31</v>
      </c>
      <c r="AA719" s="0" t="n">
        <v>21</v>
      </c>
      <c r="AB719" s="0" t="s">
        <v>96</v>
      </c>
      <c r="AD719" s="0" t="n">
        <v>0</v>
      </c>
      <c r="AE719" s="0" t="s">
        <v>295</v>
      </c>
      <c r="AH719" s="0" t="n">
        <v>3</v>
      </c>
      <c r="AJ719" s="0" t="n">
        <v>41</v>
      </c>
      <c r="AP719" s="0" t="n">
        <v>280000</v>
      </c>
      <c r="DB719" s="0" t="str">
        <f aca="false">IF($A719="","",IF($AH719=20,IF(AND(OR($A719=21,$A719=215),$AJ719=10),"①病院一般",IF(AND($A719=31,$AJ719=41),"②病院短期","対象外")),IF($AJ719=30,"③特定消防",IF(AND(OR($A719=21,$A719=215),$AJ719=10),"④一般",IF(AND($A719=31,$AJ719=41),"⑤短期","対象外")))))</f>
        <v>⑤短期</v>
      </c>
      <c r="DC719" s="0" t="n">
        <f aca="false">IF($A719="","",IF($AB719&amp;""=設定!$C$4,1,0))</f>
        <v>1</v>
      </c>
    </row>
    <row r="720" customFormat="false" ht="15" hidden="false" customHeight="false" outlineLevel="0" collapsed="false">
      <c r="A720" s="0" t="n">
        <v>31</v>
      </c>
      <c r="AA720" s="0" t="n">
        <v>21</v>
      </c>
      <c r="AB720" s="0" t="s">
        <v>96</v>
      </c>
      <c r="AD720" s="0" t="n">
        <v>0</v>
      </c>
      <c r="AE720" s="0" t="s">
        <v>295</v>
      </c>
      <c r="AH720" s="0" t="n">
        <v>11</v>
      </c>
      <c r="AJ720" s="0" t="n">
        <v>41</v>
      </c>
      <c r="AP720" s="0" t="n">
        <v>180000</v>
      </c>
      <c r="DB720" s="0" t="str">
        <f aca="false">IF($A720="","",IF($AH720=20,IF(AND(OR($A720=21,$A720=215),$AJ720=10),"①病院一般",IF(AND($A720=31,$AJ720=41),"②病院短期","対象外")),IF($AJ720=30,"③特定消防",IF(AND(OR($A720=21,$A720=215),$AJ720=10),"④一般",IF(AND($A720=31,$AJ720=41),"⑤短期","対象外")))))</f>
        <v>⑤短期</v>
      </c>
      <c r="DC720" s="0" t="n">
        <f aca="false">IF($A720="","",IF($AB720&amp;""=設定!$C$4,1,0))</f>
        <v>1</v>
      </c>
    </row>
    <row r="721" customFormat="false" ht="15" hidden="false" customHeight="false" outlineLevel="0" collapsed="false">
      <c r="A721" s="0" t="n">
        <v>31</v>
      </c>
      <c r="AA721" s="0" t="n">
        <v>21</v>
      </c>
      <c r="AB721" s="0" t="s">
        <v>96</v>
      </c>
      <c r="AD721" s="0" t="n">
        <v>0</v>
      </c>
      <c r="AE721" s="0" t="s">
        <v>295</v>
      </c>
      <c r="AH721" s="0" t="n">
        <v>11</v>
      </c>
      <c r="AJ721" s="0" t="n">
        <v>41</v>
      </c>
      <c r="AP721" s="0" t="n">
        <v>190000</v>
      </c>
      <c r="DB721" s="0" t="str">
        <f aca="false">IF($A721="","",IF($AH721=20,IF(AND(OR($A721=21,$A721=215),$AJ721=10),"①病院一般",IF(AND($A721=31,$AJ721=41),"②病院短期","対象外")),IF($AJ721=30,"③特定消防",IF(AND(OR($A721=21,$A721=215),$AJ721=10),"④一般",IF(AND($A721=31,$AJ721=41),"⑤短期","対象外")))))</f>
        <v>⑤短期</v>
      </c>
      <c r="DC721" s="0" t="n">
        <f aca="false">IF($A721="","",IF($AB721&amp;""=設定!$C$4,1,0))</f>
        <v>1</v>
      </c>
    </row>
    <row r="722" customFormat="false" ht="15" hidden="false" customHeight="false" outlineLevel="0" collapsed="false">
      <c r="A722" s="0" t="n">
        <v>31</v>
      </c>
      <c r="AA722" s="0" t="n">
        <v>21</v>
      </c>
      <c r="AB722" s="0" t="s">
        <v>96</v>
      </c>
      <c r="AD722" s="0" t="n">
        <v>0</v>
      </c>
      <c r="AE722" s="0" t="s">
        <v>295</v>
      </c>
      <c r="AH722" s="0" t="n">
        <v>4</v>
      </c>
      <c r="AJ722" s="0" t="n">
        <v>41</v>
      </c>
      <c r="AP722" s="0" t="n">
        <v>260000</v>
      </c>
      <c r="DB722" s="0" t="str">
        <f aca="false">IF($A722="","",IF($AH722=20,IF(AND(OR($A722=21,$A722=215),$AJ722=10),"①病院一般",IF(AND($A722=31,$AJ722=41),"②病院短期","対象外")),IF($AJ722=30,"③特定消防",IF(AND(OR($A722=21,$A722=215),$AJ722=10),"④一般",IF(AND($A722=31,$AJ722=41),"⑤短期","対象外")))))</f>
        <v>⑤短期</v>
      </c>
      <c r="DC722" s="0" t="n">
        <f aca="false">IF($A722="","",IF($AB722&amp;""=設定!$C$4,1,0))</f>
        <v>1</v>
      </c>
    </row>
    <row r="723" customFormat="false" ht="15" hidden="false" customHeight="false" outlineLevel="0" collapsed="false">
      <c r="A723" s="0" t="n">
        <v>31</v>
      </c>
      <c r="AA723" s="0" t="n">
        <v>21</v>
      </c>
      <c r="AB723" s="0" t="s">
        <v>96</v>
      </c>
      <c r="AD723" s="0" t="n">
        <v>0</v>
      </c>
      <c r="AE723" s="0" t="s">
        <v>295</v>
      </c>
      <c r="AH723" s="0" t="n">
        <v>11</v>
      </c>
      <c r="AJ723" s="0" t="n">
        <v>41</v>
      </c>
      <c r="AP723" s="0" t="n">
        <v>240000</v>
      </c>
      <c r="DB723" s="0" t="str">
        <f aca="false">IF($A723="","",IF($AH723=20,IF(AND(OR($A723=21,$A723=215),$AJ723=10),"①病院一般",IF(AND($A723=31,$AJ723=41),"②病院短期","対象外")),IF($AJ723=30,"③特定消防",IF(AND(OR($A723=21,$A723=215),$AJ723=10),"④一般",IF(AND($A723=31,$AJ723=41),"⑤短期","対象外")))))</f>
        <v>⑤短期</v>
      </c>
      <c r="DC723" s="0" t="n">
        <f aca="false">IF($A723="","",IF($AB723&amp;""=設定!$C$4,1,0))</f>
        <v>1</v>
      </c>
    </row>
    <row r="724" customFormat="false" ht="15" hidden="false" customHeight="false" outlineLevel="0" collapsed="false">
      <c r="A724" s="0" t="n">
        <v>31</v>
      </c>
      <c r="AA724" s="0" t="n">
        <v>21</v>
      </c>
      <c r="AB724" s="0" t="s">
        <v>96</v>
      </c>
      <c r="AD724" s="0" t="n">
        <v>0</v>
      </c>
      <c r="AE724" s="0" t="s">
        <v>295</v>
      </c>
      <c r="AH724" s="0" t="n">
        <v>1</v>
      </c>
      <c r="AJ724" s="0" t="n">
        <v>41</v>
      </c>
      <c r="AP724" s="0" t="n">
        <v>200000</v>
      </c>
      <c r="DB724" s="0" t="str">
        <f aca="false">IF($A724="","",IF($AH724=20,IF(AND(OR($A724=21,$A724=215),$AJ724=10),"①病院一般",IF(AND($A724=31,$AJ724=41),"②病院短期","対象外")),IF($AJ724=30,"③特定消防",IF(AND(OR($A724=21,$A724=215),$AJ724=10),"④一般",IF(AND($A724=31,$AJ724=41),"⑤短期","対象外")))))</f>
        <v>⑤短期</v>
      </c>
      <c r="DC724" s="0" t="n">
        <f aca="false">IF($A724="","",IF($AB724&amp;""=設定!$C$4,1,0))</f>
        <v>1</v>
      </c>
    </row>
    <row r="725" customFormat="false" ht="15" hidden="false" customHeight="false" outlineLevel="0" collapsed="false">
      <c r="A725" s="0" t="n">
        <v>31</v>
      </c>
      <c r="AA725" s="0" t="n">
        <v>21</v>
      </c>
      <c r="AB725" s="0" t="s">
        <v>96</v>
      </c>
      <c r="AD725" s="0" t="n">
        <v>0</v>
      </c>
      <c r="AE725" s="0" t="s">
        <v>295</v>
      </c>
      <c r="AH725" s="0" t="n">
        <v>11</v>
      </c>
      <c r="AJ725" s="0" t="n">
        <v>41</v>
      </c>
      <c r="AP725" s="0" t="n">
        <v>200000</v>
      </c>
      <c r="DB725" s="0" t="str">
        <f aca="false">IF($A725="","",IF($AH725=20,IF(AND(OR($A725=21,$A725=215),$AJ725=10),"①病院一般",IF(AND($A725=31,$AJ725=41),"②病院短期","対象外")),IF($AJ725=30,"③特定消防",IF(AND(OR($A725=21,$A725=215),$AJ725=10),"④一般",IF(AND($A725=31,$AJ725=41),"⑤短期","対象外")))))</f>
        <v>⑤短期</v>
      </c>
      <c r="DC725" s="0" t="n">
        <f aca="false">IF($A725="","",IF($AB725&amp;""=設定!$C$4,1,0))</f>
        <v>1</v>
      </c>
    </row>
    <row r="726" customFormat="false" ht="15" hidden="false" customHeight="false" outlineLevel="0" collapsed="false">
      <c r="A726" s="0" t="n">
        <v>31</v>
      </c>
      <c r="AA726" s="0" t="n">
        <v>21</v>
      </c>
      <c r="AB726" s="0" t="s">
        <v>96</v>
      </c>
      <c r="AD726" s="0" t="n">
        <v>0</v>
      </c>
      <c r="AE726" s="0" t="s">
        <v>295</v>
      </c>
      <c r="AH726" s="0" t="n">
        <v>1</v>
      </c>
      <c r="AJ726" s="0" t="n">
        <v>41</v>
      </c>
      <c r="AP726" s="0" t="n">
        <v>220000</v>
      </c>
      <c r="DB726" s="0" t="str">
        <f aca="false">IF($A726="","",IF($AH726=20,IF(AND(OR($A726=21,$A726=215),$AJ726=10),"①病院一般",IF(AND($A726=31,$AJ726=41),"②病院短期","対象外")),IF($AJ726=30,"③特定消防",IF(AND(OR($A726=21,$A726=215),$AJ726=10),"④一般",IF(AND($A726=31,$AJ726=41),"⑤短期","対象外")))))</f>
        <v>⑤短期</v>
      </c>
      <c r="DC726" s="0" t="n">
        <f aca="false">IF($A726="","",IF($AB726&amp;""=設定!$C$4,1,0))</f>
        <v>1</v>
      </c>
    </row>
    <row r="727" customFormat="false" ht="15" hidden="false" customHeight="false" outlineLevel="0" collapsed="false">
      <c r="A727" s="0" t="n">
        <v>31</v>
      </c>
      <c r="AA727" s="0" t="n">
        <v>21</v>
      </c>
      <c r="AB727" s="0" t="s">
        <v>96</v>
      </c>
      <c r="AD727" s="0" t="n">
        <v>0</v>
      </c>
      <c r="AE727" s="0" t="s">
        <v>295</v>
      </c>
      <c r="AH727" s="0" t="n">
        <v>1</v>
      </c>
      <c r="AJ727" s="0" t="n">
        <v>41</v>
      </c>
      <c r="AP727" s="0" t="n">
        <v>134000</v>
      </c>
      <c r="DB727" s="0" t="str">
        <f aca="false">IF($A727="","",IF($AH727=20,IF(AND(OR($A727=21,$A727=215),$AJ727=10),"①病院一般",IF(AND($A727=31,$AJ727=41),"②病院短期","対象外")),IF($AJ727=30,"③特定消防",IF(AND(OR($A727=21,$A727=215),$AJ727=10),"④一般",IF(AND($A727=31,$AJ727=41),"⑤短期","対象外")))))</f>
        <v>⑤短期</v>
      </c>
      <c r="DC727" s="0" t="n">
        <f aca="false">IF($A727="","",IF($AB727&amp;""=設定!$C$4,1,0))</f>
        <v>1</v>
      </c>
    </row>
    <row r="728" customFormat="false" ht="15" hidden="false" customHeight="false" outlineLevel="0" collapsed="false">
      <c r="A728" s="0" t="n">
        <v>31</v>
      </c>
      <c r="AA728" s="0" t="n">
        <v>21</v>
      </c>
      <c r="AB728" s="0" t="s">
        <v>96</v>
      </c>
      <c r="AD728" s="0" t="n">
        <v>0</v>
      </c>
      <c r="AE728" s="0" t="s">
        <v>295</v>
      </c>
      <c r="AH728" s="0" t="n">
        <v>1</v>
      </c>
      <c r="AJ728" s="0" t="n">
        <v>41</v>
      </c>
      <c r="AP728" s="0" t="n">
        <v>160000</v>
      </c>
      <c r="DB728" s="0" t="str">
        <f aca="false">IF($A728="","",IF($AH728=20,IF(AND(OR($A728=21,$A728=215),$AJ728=10),"①病院一般",IF(AND($A728=31,$AJ728=41),"②病院短期","対象外")),IF($AJ728=30,"③特定消防",IF(AND(OR($A728=21,$A728=215),$AJ728=10),"④一般",IF(AND($A728=31,$AJ728=41),"⑤短期","対象外")))))</f>
        <v>⑤短期</v>
      </c>
      <c r="DC728" s="0" t="n">
        <f aca="false">IF($A728="","",IF($AB728&amp;""=設定!$C$4,1,0))</f>
        <v>1</v>
      </c>
    </row>
    <row r="729" customFormat="false" ht="15" hidden="false" customHeight="false" outlineLevel="0" collapsed="false">
      <c r="A729" s="0" t="n">
        <v>31</v>
      </c>
      <c r="AA729" s="0" t="n">
        <v>21</v>
      </c>
      <c r="AB729" s="0" t="s">
        <v>96</v>
      </c>
      <c r="AD729" s="0" t="n">
        <v>0</v>
      </c>
      <c r="AE729" s="0" t="s">
        <v>295</v>
      </c>
      <c r="AH729" s="0" t="n">
        <v>1</v>
      </c>
      <c r="AJ729" s="0" t="n">
        <v>41</v>
      </c>
      <c r="AP729" s="0" t="n">
        <v>134000</v>
      </c>
      <c r="DB729" s="0" t="str">
        <f aca="false">IF($A729="","",IF($AH729=20,IF(AND(OR($A729=21,$A729=215),$AJ729=10),"①病院一般",IF(AND($A729=31,$AJ729=41),"②病院短期","対象外")),IF($AJ729=30,"③特定消防",IF(AND(OR($A729=21,$A729=215),$AJ729=10),"④一般",IF(AND($A729=31,$AJ729=41),"⑤短期","対象外")))))</f>
        <v>⑤短期</v>
      </c>
      <c r="DC729" s="0" t="n">
        <f aca="false">IF($A729="","",IF($AB729&amp;""=設定!$C$4,1,0))</f>
        <v>1</v>
      </c>
    </row>
    <row r="730" customFormat="false" ht="15" hidden="false" customHeight="false" outlineLevel="0" collapsed="false">
      <c r="A730" s="0" t="n">
        <v>31</v>
      </c>
      <c r="AA730" s="0" t="n">
        <v>21</v>
      </c>
      <c r="AB730" s="0" t="s">
        <v>96</v>
      </c>
      <c r="AD730" s="0" t="n">
        <v>0</v>
      </c>
      <c r="AE730" s="0" t="s">
        <v>295</v>
      </c>
      <c r="AH730" s="0" t="n">
        <v>1</v>
      </c>
      <c r="AJ730" s="0" t="n">
        <v>41</v>
      </c>
      <c r="AP730" s="0" t="n">
        <v>220000</v>
      </c>
      <c r="DB730" s="0" t="str">
        <f aca="false">IF($A730="","",IF($AH730=20,IF(AND(OR($A730=21,$A730=215),$AJ730=10),"①病院一般",IF(AND($A730=31,$AJ730=41),"②病院短期","対象外")),IF($AJ730=30,"③特定消防",IF(AND(OR($A730=21,$A730=215),$AJ730=10),"④一般",IF(AND($A730=31,$AJ730=41),"⑤短期","対象外")))))</f>
        <v>⑤短期</v>
      </c>
      <c r="DC730" s="0" t="n">
        <f aca="false">IF($A730="","",IF($AB730&amp;""=設定!$C$4,1,0))</f>
        <v>1</v>
      </c>
    </row>
    <row r="731" customFormat="false" ht="15" hidden="false" customHeight="false" outlineLevel="0" collapsed="false">
      <c r="A731" s="0" t="n">
        <v>31</v>
      </c>
      <c r="AA731" s="0" t="n">
        <v>21</v>
      </c>
      <c r="AB731" s="0" t="s">
        <v>96</v>
      </c>
      <c r="AD731" s="0" t="n">
        <v>0</v>
      </c>
      <c r="AE731" s="0" t="s">
        <v>295</v>
      </c>
      <c r="AH731" s="0" t="n">
        <v>20</v>
      </c>
      <c r="AJ731" s="0" t="n">
        <v>41</v>
      </c>
      <c r="AP731" s="0" t="n">
        <v>240000</v>
      </c>
      <c r="DB731" s="0" t="str">
        <f aca="false">IF($A731="","",IF($AH731=20,IF(AND(OR($A731=21,$A731=215),$AJ731=10),"①病院一般",IF(AND($A731=31,$AJ731=41),"②病院短期","対象外")),IF($AJ731=30,"③特定消防",IF(AND(OR($A731=21,$A731=215),$AJ731=10),"④一般",IF(AND($A731=31,$AJ731=41),"⑤短期","対象外")))))</f>
        <v>②病院短期</v>
      </c>
      <c r="DC731" s="0" t="n">
        <f aca="false">IF($A731="","",IF($AB731&amp;""=設定!$C$4,1,0))</f>
        <v>1</v>
      </c>
    </row>
    <row r="732" customFormat="false" ht="15" hidden="false" customHeight="false" outlineLevel="0" collapsed="false">
      <c r="A732" s="0" t="n">
        <v>31</v>
      </c>
      <c r="AA732" s="0" t="n">
        <v>21</v>
      </c>
      <c r="AB732" s="0" t="s">
        <v>96</v>
      </c>
      <c r="AD732" s="0" t="n">
        <v>0</v>
      </c>
      <c r="AE732" s="0" t="s">
        <v>295</v>
      </c>
      <c r="AH732" s="0" t="n">
        <v>1</v>
      </c>
      <c r="AJ732" s="0" t="n">
        <v>41</v>
      </c>
      <c r="AP732" s="0" t="n">
        <v>240000</v>
      </c>
      <c r="DB732" s="0" t="str">
        <f aca="false">IF($A732="","",IF($AH732=20,IF(AND(OR($A732=21,$A732=215),$AJ732=10),"①病院一般",IF(AND($A732=31,$AJ732=41),"②病院短期","対象外")),IF($AJ732=30,"③特定消防",IF(AND(OR($A732=21,$A732=215),$AJ732=10),"④一般",IF(AND($A732=31,$AJ732=41),"⑤短期","対象外")))))</f>
        <v>⑤短期</v>
      </c>
      <c r="DC732" s="0" t="n">
        <f aca="false">IF($A732="","",IF($AB732&amp;""=設定!$C$4,1,0))</f>
        <v>1</v>
      </c>
    </row>
    <row r="733" customFormat="false" ht="15" hidden="false" customHeight="false" outlineLevel="0" collapsed="false">
      <c r="A733" s="0" t="n">
        <v>31</v>
      </c>
      <c r="AA733" s="0" t="n">
        <v>24</v>
      </c>
      <c r="AB733" s="0" t="s">
        <v>298</v>
      </c>
      <c r="AD733" s="0" t="n">
        <v>0</v>
      </c>
      <c r="AE733" s="0" t="s">
        <v>295</v>
      </c>
      <c r="AH733" s="0" t="n">
        <v>11</v>
      </c>
      <c r="AJ733" s="0" t="n">
        <v>41</v>
      </c>
      <c r="AP733" s="0" t="n">
        <v>160000</v>
      </c>
      <c r="DB733" s="0" t="str">
        <f aca="false">IF($A733="","",IF($AH733=20,IF(AND(OR($A733=21,$A733=215),$AJ733=10),"①病院一般",IF(AND($A733=31,$AJ733=41),"②病院短期","対象外")),IF($AJ733=30,"③特定消防",IF(AND(OR($A733=21,$A733=215),$AJ733=10),"④一般",IF(AND($A733=31,$AJ733=41),"⑤短期","対象外")))))</f>
        <v>⑤短期</v>
      </c>
      <c r="DC733" s="0" t="n">
        <f aca="false">IF($A733="","",IF($AB733&amp;""=設定!$C$4,1,0))</f>
        <v>0</v>
      </c>
    </row>
    <row r="734" customFormat="false" ht="15" hidden="false" customHeight="false" outlineLevel="0" collapsed="false">
      <c r="A734" s="0" t="n">
        <v>31</v>
      </c>
      <c r="AA734" s="0" t="n">
        <v>21</v>
      </c>
      <c r="AB734" s="0" t="s">
        <v>312</v>
      </c>
      <c r="AD734" s="0" t="n">
        <v>12</v>
      </c>
      <c r="AE734" s="0" t="s">
        <v>313</v>
      </c>
      <c r="AH734" s="0" t="n">
        <v>11</v>
      </c>
      <c r="AJ734" s="0" t="n">
        <v>41</v>
      </c>
      <c r="AP734" s="0" t="n">
        <v>142000</v>
      </c>
      <c r="DB734" s="0" t="str">
        <f aca="false">IF($A734="","",IF($AH734=20,IF(AND(OR($A734=21,$A734=215),$AJ734=10),"①病院一般",IF(AND($A734=31,$AJ734=41),"②病院短期","対象外")),IF($AJ734=30,"③特定消防",IF(AND(OR($A734=21,$A734=215),$AJ734=10),"④一般",IF(AND($A734=31,$AJ734=41),"⑤短期","対象外")))))</f>
        <v>⑤短期</v>
      </c>
      <c r="DC734" s="0" t="n">
        <f aca="false">IF($A734="","",IF($AB734&amp;""=設定!$C$4,1,0))</f>
        <v>0</v>
      </c>
    </row>
    <row r="735" customFormat="false" ht="15" hidden="false" customHeight="false" outlineLevel="0" collapsed="false">
      <c r="A735" s="0" t="n">
        <v>31</v>
      </c>
      <c r="AA735" s="0" t="n">
        <v>24</v>
      </c>
      <c r="AB735" s="0" t="s">
        <v>308</v>
      </c>
      <c r="AD735" s="0" t="n">
        <v>0</v>
      </c>
      <c r="AE735" s="0" t="s">
        <v>295</v>
      </c>
      <c r="AH735" s="0" t="n">
        <v>1</v>
      </c>
      <c r="AJ735" s="0" t="n">
        <v>41</v>
      </c>
      <c r="AP735" s="0" t="n">
        <v>126000</v>
      </c>
      <c r="DB735" s="0" t="str">
        <f aca="false">IF($A735="","",IF($AH735=20,IF(AND(OR($A735=21,$A735=215),$AJ735=10),"①病院一般",IF(AND($A735=31,$AJ735=41),"②病院短期","対象外")),IF($AJ735=30,"③特定消防",IF(AND(OR($A735=21,$A735=215),$AJ735=10),"④一般",IF(AND($A735=31,$AJ735=41),"⑤短期","対象外")))))</f>
        <v>⑤短期</v>
      </c>
      <c r="DC735" s="0" t="n">
        <f aca="false">IF($A735="","",IF($AB735&amp;""=設定!$C$4,1,0))</f>
        <v>0</v>
      </c>
    </row>
    <row r="736" customFormat="false" ht="15" hidden="false" customHeight="false" outlineLevel="0" collapsed="false">
      <c r="A736" s="0" t="n">
        <v>31</v>
      </c>
      <c r="AA736" s="0" t="n">
        <v>21</v>
      </c>
      <c r="AB736" s="0" t="s">
        <v>96</v>
      </c>
      <c r="AD736" s="0" t="n">
        <v>0</v>
      </c>
      <c r="AE736" s="0" t="s">
        <v>295</v>
      </c>
      <c r="AH736" s="0" t="n">
        <v>11</v>
      </c>
      <c r="AJ736" s="0" t="n">
        <v>41</v>
      </c>
      <c r="AP736" s="0" t="n">
        <v>200000</v>
      </c>
      <c r="DB736" s="0" t="str">
        <f aca="false">IF($A736="","",IF($AH736=20,IF(AND(OR($A736=21,$A736=215),$AJ736=10),"①病院一般",IF(AND($A736=31,$AJ736=41),"②病院短期","対象外")),IF($AJ736=30,"③特定消防",IF(AND(OR($A736=21,$A736=215),$AJ736=10),"④一般",IF(AND($A736=31,$AJ736=41),"⑤短期","対象外")))))</f>
        <v>⑤短期</v>
      </c>
      <c r="DC736" s="0" t="n">
        <f aca="false">IF($A736="","",IF($AB736&amp;""=設定!$C$4,1,0))</f>
        <v>1</v>
      </c>
    </row>
    <row r="737" customFormat="false" ht="15" hidden="false" customHeight="false" outlineLevel="0" collapsed="false">
      <c r="A737" s="0" t="n">
        <v>31</v>
      </c>
      <c r="AA737" s="0" t="n">
        <v>21</v>
      </c>
      <c r="AB737" s="0" t="s">
        <v>96</v>
      </c>
      <c r="AD737" s="0" t="n">
        <v>0</v>
      </c>
      <c r="AE737" s="0" t="s">
        <v>295</v>
      </c>
      <c r="AH737" s="0" t="n">
        <v>11</v>
      </c>
      <c r="AJ737" s="0" t="n">
        <v>41</v>
      </c>
      <c r="AP737" s="0" t="n">
        <v>220000</v>
      </c>
      <c r="DB737" s="0" t="str">
        <f aca="false">IF($A737="","",IF($AH737=20,IF(AND(OR($A737=21,$A737=215),$AJ737=10),"①病院一般",IF(AND($A737=31,$AJ737=41),"②病院短期","対象外")),IF($AJ737=30,"③特定消防",IF(AND(OR($A737=21,$A737=215),$AJ737=10),"④一般",IF(AND($A737=31,$AJ737=41),"⑤短期","対象外")))))</f>
        <v>⑤短期</v>
      </c>
      <c r="DC737" s="0" t="n">
        <f aca="false">IF($A737="","",IF($AB737&amp;""=設定!$C$4,1,0))</f>
        <v>1</v>
      </c>
    </row>
    <row r="738" customFormat="false" ht="15" hidden="false" customHeight="false" outlineLevel="0" collapsed="false">
      <c r="A738" s="0" t="n">
        <v>31</v>
      </c>
      <c r="AA738" s="0" t="n">
        <v>21</v>
      </c>
      <c r="AB738" s="0" t="s">
        <v>96</v>
      </c>
      <c r="AD738" s="0" t="n">
        <v>0</v>
      </c>
      <c r="AE738" s="0" t="s">
        <v>295</v>
      </c>
      <c r="AH738" s="0" t="n">
        <v>11</v>
      </c>
      <c r="AJ738" s="0" t="n">
        <v>41</v>
      </c>
      <c r="AP738" s="0" t="n">
        <v>200000</v>
      </c>
      <c r="DB738" s="0" t="str">
        <f aca="false">IF($A738="","",IF($AH738=20,IF(AND(OR($A738=21,$A738=215),$AJ738=10),"①病院一般",IF(AND($A738=31,$AJ738=41),"②病院短期","対象外")),IF($AJ738=30,"③特定消防",IF(AND(OR($A738=21,$A738=215),$AJ738=10),"④一般",IF(AND($A738=31,$AJ738=41),"⑤短期","対象外")))))</f>
        <v>⑤短期</v>
      </c>
      <c r="DC738" s="0" t="n">
        <f aca="false">IF($A738="","",IF($AB738&amp;""=設定!$C$4,1,0))</f>
        <v>1</v>
      </c>
    </row>
    <row r="739" customFormat="false" ht="15" hidden="false" customHeight="false" outlineLevel="0" collapsed="false">
      <c r="A739" s="0" t="n">
        <v>31</v>
      </c>
      <c r="AA739" s="0" t="n">
        <v>24</v>
      </c>
      <c r="AB739" s="0" t="s">
        <v>301</v>
      </c>
      <c r="AD739" s="0" t="n">
        <v>0</v>
      </c>
      <c r="AE739" s="0" t="s">
        <v>295</v>
      </c>
      <c r="AH739" s="0" t="n">
        <v>1</v>
      </c>
      <c r="AJ739" s="0" t="n">
        <v>41</v>
      </c>
      <c r="AP739" s="0" t="n">
        <v>142000</v>
      </c>
      <c r="DB739" s="0" t="str">
        <f aca="false">IF($A739="","",IF($AH739=20,IF(AND(OR($A739=21,$A739=215),$AJ739=10),"①病院一般",IF(AND($A739=31,$AJ739=41),"②病院短期","対象外")),IF($AJ739=30,"③特定消防",IF(AND(OR($A739=21,$A739=215),$AJ739=10),"④一般",IF(AND($A739=31,$AJ739=41),"⑤短期","対象外")))))</f>
        <v>⑤短期</v>
      </c>
      <c r="DC739" s="0" t="n">
        <f aca="false">IF($A739="","",IF($AB739&amp;""=設定!$C$4,1,0))</f>
        <v>0</v>
      </c>
    </row>
    <row r="740" customFormat="false" ht="15" hidden="false" customHeight="false" outlineLevel="0" collapsed="false">
      <c r="A740" s="0" t="n">
        <v>31</v>
      </c>
      <c r="AA740" s="0" t="n">
        <v>21</v>
      </c>
      <c r="AB740" s="0" t="s">
        <v>314</v>
      </c>
      <c r="AD740" s="0" t="n">
        <v>0</v>
      </c>
      <c r="AE740" s="0" t="s">
        <v>295</v>
      </c>
      <c r="AH740" s="0" t="n">
        <v>11</v>
      </c>
      <c r="AJ740" s="0" t="n">
        <v>41</v>
      </c>
      <c r="AP740" s="0" t="n">
        <v>142000</v>
      </c>
      <c r="DB740" s="0" t="str">
        <f aca="false">IF($A740="","",IF($AH740=20,IF(AND(OR($A740=21,$A740=215),$AJ740=10),"①病院一般",IF(AND($A740=31,$AJ740=41),"②病院短期","対象外")),IF($AJ740=30,"③特定消防",IF(AND(OR($A740=21,$A740=215),$AJ740=10),"④一般",IF(AND($A740=31,$AJ740=41),"⑤短期","対象外")))))</f>
        <v>⑤短期</v>
      </c>
      <c r="DC740" s="0" t="n">
        <f aca="false">IF($A740="","",IF($AB740&amp;""=設定!$C$4,1,0))</f>
        <v>0</v>
      </c>
    </row>
    <row r="741" customFormat="false" ht="15" hidden="false" customHeight="false" outlineLevel="0" collapsed="false">
      <c r="A741" s="0" t="n">
        <v>31</v>
      </c>
      <c r="AA741" s="0" t="n">
        <v>21</v>
      </c>
      <c r="AB741" s="0" t="s">
        <v>96</v>
      </c>
      <c r="AD741" s="0" t="n">
        <v>0</v>
      </c>
      <c r="AE741" s="0" t="s">
        <v>295</v>
      </c>
      <c r="AH741" s="0" t="n">
        <v>1</v>
      </c>
      <c r="AJ741" s="0" t="n">
        <v>41</v>
      </c>
      <c r="AP741" s="0" t="n">
        <v>190000</v>
      </c>
      <c r="DB741" s="0" t="str">
        <f aca="false">IF($A741="","",IF($AH741=20,IF(AND(OR($A741=21,$A741=215),$AJ741=10),"①病院一般",IF(AND($A741=31,$AJ741=41),"②病院短期","対象外")),IF($AJ741=30,"③特定消防",IF(AND(OR($A741=21,$A741=215),$AJ741=10),"④一般",IF(AND($A741=31,$AJ741=41),"⑤短期","対象外")))))</f>
        <v>⑤短期</v>
      </c>
      <c r="DC741" s="0" t="n">
        <f aca="false">IF($A741="","",IF($AB741&amp;""=設定!$C$4,1,0))</f>
        <v>1</v>
      </c>
    </row>
    <row r="742" customFormat="false" ht="15" hidden="false" customHeight="false" outlineLevel="0" collapsed="false">
      <c r="A742" s="0" t="n">
        <v>31</v>
      </c>
      <c r="AA742" s="0" t="n">
        <v>24</v>
      </c>
      <c r="AB742" s="0" t="s">
        <v>315</v>
      </c>
      <c r="AD742" s="0" t="n">
        <v>0</v>
      </c>
      <c r="AE742" s="0" t="s">
        <v>295</v>
      </c>
      <c r="AH742" s="0" t="n">
        <v>1</v>
      </c>
      <c r="AJ742" s="0" t="n">
        <v>41</v>
      </c>
      <c r="AP742" s="0" t="n">
        <v>126000</v>
      </c>
      <c r="DB742" s="0" t="str">
        <f aca="false">IF($A742="","",IF($AH742=20,IF(AND(OR($A742=21,$A742=215),$AJ742=10),"①病院一般",IF(AND($A742=31,$AJ742=41),"②病院短期","対象外")),IF($AJ742=30,"③特定消防",IF(AND(OR($A742=21,$A742=215),$AJ742=10),"④一般",IF(AND($A742=31,$AJ742=41),"⑤短期","対象外")))))</f>
        <v>⑤短期</v>
      </c>
      <c r="DC742" s="0" t="n">
        <f aca="false">IF($A742="","",IF($AB742&amp;""=設定!$C$4,1,0))</f>
        <v>0</v>
      </c>
    </row>
    <row r="743" customFormat="false" ht="15" hidden="false" customHeight="false" outlineLevel="0" collapsed="false">
      <c r="A743" s="0" t="n">
        <v>31</v>
      </c>
      <c r="AA743" s="0" t="n">
        <v>24</v>
      </c>
      <c r="AB743" s="0" t="s">
        <v>298</v>
      </c>
      <c r="AD743" s="0" t="n">
        <v>12</v>
      </c>
      <c r="AE743" s="0" t="s">
        <v>303</v>
      </c>
      <c r="AH743" s="0" t="n">
        <v>11</v>
      </c>
      <c r="AJ743" s="0" t="n">
        <v>41</v>
      </c>
      <c r="AP743" s="0" t="n">
        <v>126000</v>
      </c>
      <c r="DB743" s="0" t="str">
        <f aca="false">IF($A743="","",IF($AH743=20,IF(AND(OR($A743=21,$A743=215),$AJ743=10),"①病院一般",IF(AND($A743=31,$AJ743=41),"②病院短期","対象外")),IF($AJ743=30,"③特定消防",IF(AND(OR($A743=21,$A743=215),$AJ743=10),"④一般",IF(AND($A743=31,$AJ743=41),"⑤短期","対象外")))))</f>
        <v>⑤短期</v>
      </c>
      <c r="DC743" s="0" t="n">
        <f aca="false">IF($A743="","",IF($AB743&amp;""=設定!$C$4,1,0))</f>
        <v>0</v>
      </c>
    </row>
    <row r="744" customFormat="false" ht="15" hidden="false" customHeight="false" outlineLevel="0" collapsed="false">
      <c r="A744" s="0" t="n">
        <v>31</v>
      </c>
      <c r="AA744" s="0" t="n">
        <v>21</v>
      </c>
      <c r="AB744" s="0" t="s">
        <v>299</v>
      </c>
      <c r="AD744" s="0" t="n">
        <v>12</v>
      </c>
      <c r="AE744" s="0" t="s">
        <v>301</v>
      </c>
      <c r="AH744" s="0" t="n">
        <v>1</v>
      </c>
      <c r="AJ744" s="0" t="n">
        <v>41</v>
      </c>
      <c r="AP744" s="0" t="n">
        <v>180000</v>
      </c>
      <c r="DB744" s="0" t="str">
        <f aca="false">IF($A744="","",IF($AH744=20,IF(AND(OR($A744=21,$A744=215),$AJ744=10),"①病院一般",IF(AND($A744=31,$AJ744=41),"②病院短期","対象外")),IF($AJ744=30,"③特定消防",IF(AND(OR($A744=21,$A744=215),$AJ744=10),"④一般",IF(AND($A744=31,$AJ744=41),"⑤短期","対象外")))))</f>
        <v>⑤短期</v>
      </c>
      <c r="DC744" s="0" t="n">
        <f aca="false">IF($A744="","",IF($AB744&amp;""=設定!$C$4,1,0))</f>
        <v>0</v>
      </c>
    </row>
    <row r="745" customFormat="false" ht="15" hidden="false" customHeight="false" outlineLevel="0" collapsed="false">
      <c r="A745" s="0" t="n">
        <v>31</v>
      </c>
      <c r="AA745" s="0" t="n">
        <v>21</v>
      </c>
      <c r="AB745" s="0" t="s">
        <v>96</v>
      </c>
      <c r="AD745" s="0" t="n">
        <v>0</v>
      </c>
      <c r="AE745" s="0" t="s">
        <v>295</v>
      </c>
      <c r="AH745" s="0" t="n">
        <v>1</v>
      </c>
      <c r="AJ745" s="0" t="n">
        <v>41</v>
      </c>
      <c r="AP745" s="0" t="n">
        <v>134000</v>
      </c>
      <c r="DB745" s="0" t="str">
        <f aca="false">IF($A745="","",IF($AH745=20,IF(AND(OR($A745=21,$A745=215),$AJ745=10),"①病院一般",IF(AND($A745=31,$AJ745=41),"②病院短期","対象外")),IF($AJ745=30,"③特定消防",IF(AND(OR($A745=21,$A745=215),$AJ745=10),"④一般",IF(AND($A745=31,$AJ745=41),"⑤短期","対象外")))))</f>
        <v>⑤短期</v>
      </c>
      <c r="DC745" s="0" t="n">
        <f aca="false">IF($A745="","",IF($AB745&amp;""=設定!$C$4,1,0))</f>
        <v>1</v>
      </c>
    </row>
    <row r="746" customFormat="false" ht="15" hidden="false" customHeight="false" outlineLevel="0" collapsed="false">
      <c r="A746" s="0" t="n">
        <v>31</v>
      </c>
      <c r="AA746" s="0" t="n">
        <v>24</v>
      </c>
      <c r="AB746" s="0" t="s">
        <v>299</v>
      </c>
      <c r="AD746" s="0" t="n">
        <v>0</v>
      </c>
      <c r="AE746" s="0" t="s">
        <v>295</v>
      </c>
      <c r="AH746" s="0" t="n">
        <v>1</v>
      </c>
      <c r="AJ746" s="0" t="n">
        <v>41</v>
      </c>
      <c r="AP746" s="0" t="n">
        <v>134000</v>
      </c>
      <c r="DB746" s="0" t="str">
        <f aca="false">IF($A746="","",IF($AH746=20,IF(AND(OR($A746=21,$A746=215),$AJ746=10),"①病院一般",IF(AND($A746=31,$AJ746=41),"②病院短期","対象外")),IF($AJ746=30,"③特定消防",IF(AND(OR($A746=21,$A746=215),$AJ746=10),"④一般",IF(AND($A746=31,$AJ746=41),"⑤短期","対象外")))))</f>
        <v>⑤短期</v>
      </c>
      <c r="DC746" s="0" t="n">
        <f aca="false">IF($A746="","",IF($AB746&amp;""=設定!$C$4,1,0))</f>
        <v>0</v>
      </c>
    </row>
    <row r="747" customFormat="false" ht="15" hidden="false" customHeight="false" outlineLevel="0" collapsed="false">
      <c r="A747" s="0" t="n">
        <v>31</v>
      </c>
      <c r="AA747" s="0" t="n">
        <v>21</v>
      </c>
      <c r="AB747" s="0" t="s">
        <v>96</v>
      </c>
      <c r="AD747" s="0" t="n">
        <v>0</v>
      </c>
      <c r="AE747" s="0" t="s">
        <v>295</v>
      </c>
      <c r="AH747" s="0" t="n">
        <v>11</v>
      </c>
      <c r="AJ747" s="0" t="n">
        <v>41</v>
      </c>
      <c r="AP747" s="0" t="n">
        <v>180000</v>
      </c>
      <c r="DB747" s="0" t="str">
        <f aca="false">IF($A747="","",IF($AH747=20,IF(AND(OR($A747=21,$A747=215),$AJ747=10),"①病院一般",IF(AND($A747=31,$AJ747=41),"②病院短期","対象外")),IF($AJ747=30,"③特定消防",IF(AND(OR($A747=21,$A747=215),$AJ747=10),"④一般",IF(AND($A747=31,$AJ747=41),"⑤短期","対象外")))))</f>
        <v>⑤短期</v>
      </c>
      <c r="DC747" s="0" t="n">
        <f aca="false">IF($A747="","",IF($AB747&amp;""=設定!$C$4,1,0))</f>
        <v>1</v>
      </c>
    </row>
    <row r="748" customFormat="false" ht="15" hidden="false" customHeight="false" outlineLevel="0" collapsed="false">
      <c r="A748" s="0" t="n">
        <v>31</v>
      </c>
      <c r="AA748" s="0" t="n">
        <v>21</v>
      </c>
      <c r="AB748" s="0" t="s">
        <v>316</v>
      </c>
      <c r="AD748" s="0" t="n">
        <v>0</v>
      </c>
      <c r="AE748" s="0" t="s">
        <v>295</v>
      </c>
      <c r="AH748" s="0" t="n">
        <v>11</v>
      </c>
      <c r="AJ748" s="0" t="n">
        <v>41</v>
      </c>
      <c r="AP748" s="0" t="n">
        <v>240000</v>
      </c>
      <c r="DB748" s="0" t="str">
        <f aca="false">IF($A748="","",IF($AH748=20,IF(AND(OR($A748=21,$A748=215),$AJ748=10),"①病院一般",IF(AND($A748=31,$AJ748=41),"②病院短期","対象外")),IF($AJ748=30,"③特定消防",IF(AND(OR($A748=21,$A748=215),$AJ748=10),"④一般",IF(AND($A748=31,$AJ748=41),"⑤短期","対象外")))))</f>
        <v>⑤短期</v>
      </c>
      <c r="DC748" s="0" t="n">
        <f aca="false">IF($A748="","",IF($AB748&amp;""=設定!$C$4,1,0))</f>
        <v>0</v>
      </c>
    </row>
    <row r="749" customFormat="false" ht="15" hidden="false" customHeight="false" outlineLevel="0" collapsed="false">
      <c r="A749" s="0" t="n">
        <v>31</v>
      </c>
      <c r="AA749" s="0" t="n">
        <v>24</v>
      </c>
      <c r="AB749" s="0" t="s">
        <v>317</v>
      </c>
      <c r="AD749" s="0" t="n">
        <v>0</v>
      </c>
      <c r="AE749" s="0" t="s">
        <v>295</v>
      </c>
      <c r="AH749" s="0" t="n">
        <v>1</v>
      </c>
      <c r="AJ749" s="0" t="n">
        <v>41</v>
      </c>
      <c r="AP749" s="0" t="n">
        <v>142000</v>
      </c>
      <c r="DB749" s="0" t="str">
        <f aca="false">IF($A749="","",IF($AH749=20,IF(AND(OR($A749=21,$A749=215),$AJ749=10),"①病院一般",IF(AND($A749=31,$AJ749=41),"②病院短期","対象外")),IF($AJ749=30,"③特定消防",IF(AND(OR($A749=21,$A749=215),$AJ749=10),"④一般",IF(AND($A749=31,$AJ749=41),"⑤短期","対象外")))))</f>
        <v>⑤短期</v>
      </c>
      <c r="DC749" s="0" t="n">
        <f aca="false">IF($A749="","",IF($AB749&amp;""=設定!$C$4,1,0))</f>
        <v>0</v>
      </c>
    </row>
    <row r="750" customFormat="false" ht="15" hidden="false" customHeight="false" outlineLevel="0" collapsed="false">
      <c r="A750" s="0" t="n">
        <v>31</v>
      </c>
      <c r="AA750" s="0" t="n">
        <v>21</v>
      </c>
      <c r="AB750" s="0" t="s">
        <v>299</v>
      </c>
      <c r="AD750" s="0" t="n">
        <v>0</v>
      </c>
      <c r="AE750" s="0" t="s">
        <v>295</v>
      </c>
      <c r="AH750" s="0" t="n">
        <v>11</v>
      </c>
      <c r="AJ750" s="0" t="n">
        <v>41</v>
      </c>
      <c r="AP750" s="0" t="n">
        <v>200000</v>
      </c>
      <c r="DB750" s="0" t="str">
        <f aca="false">IF($A750="","",IF($AH750=20,IF(AND(OR($A750=21,$A750=215),$AJ750=10),"①病院一般",IF(AND($A750=31,$AJ750=41),"②病院短期","対象外")),IF($AJ750=30,"③特定消防",IF(AND(OR($A750=21,$A750=215),$AJ750=10),"④一般",IF(AND($A750=31,$AJ750=41),"⑤短期","対象外")))))</f>
        <v>⑤短期</v>
      </c>
      <c r="DC750" s="0" t="n">
        <f aca="false">IF($A750="","",IF($AB750&amp;""=設定!$C$4,1,0))</f>
        <v>0</v>
      </c>
    </row>
    <row r="751" customFormat="false" ht="15" hidden="false" customHeight="false" outlineLevel="0" collapsed="false">
      <c r="A751" s="0" t="n">
        <v>31</v>
      </c>
      <c r="AA751" s="0" t="n">
        <v>21</v>
      </c>
      <c r="AB751" s="0" t="s">
        <v>96</v>
      </c>
      <c r="AD751" s="0" t="n">
        <v>0</v>
      </c>
      <c r="AE751" s="0" t="s">
        <v>295</v>
      </c>
      <c r="AH751" s="0" t="n">
        <v>20</v>
      </c>
      <c r="AJ751" s="0" t="n">
        <v>41</v>
      </c>
      <c r="AP751" s="0" t="n">
        <v>260000</v>
      </c>
      <c r="DB751" s="0" t="str">
        <f aca="false">IF($A751="","",IF($AH751=20,IF(AND(OR($A751=21,$A751=215),$AJ751=10),"①病院一般",IF(AND($A751=31,$AJ751=41),"②病院短期","対象外")),IF($AJ751=30,"③特定消防",IF(AND(OR($A751=21,$A751=215),$AJ751=10),"④一般",IF(AND($A751=31,$AJ751=41),"⑤短期","対象外")))))</f>
        <v>②病院短期</v>
      </c>
      <c r="DC751" s="0" t="n">
        <f aca="false">IF($A751="","",IF($AB751&amp;""=設定!$C$4,1,0))</f>
        <v>1</v>
      </c>
    </row>
    <row r="752" customFormat="false" ht="15" hidden="false" customHeight="false" outlineLevel="0" collapsed="false">
      <c r="A752" s="0" t="n">
        <v>31</v>
      </c>
      <c r="AA752" s="0" t="n">
        <v>24</v>
      </c>
      <c r="AB752" s="0" t="s">
        <v>96</v>
      </c>
      <c r="AD752" s="0" t="n">
        <v>0</v>
      </c>
      <c r="AE752" s="0" t="s">
        <v>295</v>
      </c>
      <c r="AH752" s="0" t="n">
        <v>1</v>
      </c>
      <c r="AJ752" s="0" t="n">
        <v>41</v>
      </c>
      <c r="AP752" s="0" t="n">
        <v>190000</v>
      </c>
      <c r="DB752" s="0" t="str">
        <f aca="false">IF($A752="","",IF($AH752=20,IF(AND(OR($A752=21,$A752=215),$AJ752=10),"①病院一般",IF(AND($A752=31,$AJ752=41),"②病院短期","対象外")),IF($AJ752=30,"③特定消防",IF(AND(OR($A752=21,$A752=215),$AJ752=10),"④一般",IF(AND($A752=31,$AJ752=41),"⑤短期","対象外")))))</f>
        <v>⑤短期</v>
      </c>
      <c r="DC752" s="0" t="n">
        <f aca="false">IF($A752="","",IF($AB752&amp;""=設定!$C$4,1,0))</f>
        <v>1</v>
      </c>
    </row>
    <row r="753" customFormat="false" ht="15" hidden="false" customHeight="false" outlineLevel="0" collapsed="false">
      <c r="A753" s="0" t="n">
        <v>31</v>
      </c>
      <c r="AA753" s="0" t="n">
        <v>24</v>
      </c>
      <c r="AB753" s="0" t="s">
        <v>301</v>
      </c>
      <c r="AD753" s="0" t="n">
        <v>0</v>
      </c>
      <c r="AE753" s="0" t="s">
        <v>295</v>
      </c>
      <c r="AH753" s="0" t="n">
        <v>27</v>
      </c>
      <c r="AJ753" s="0" t="n">
        <v>41</v>
      </c>
      <c r="AP753" s="0" t="n">
        <v>180000</v>
      </c>
      <c r="DB753" s="0" t="str">
        <f aca="false">IF($A753="","",IF($AH753=20,IF(AND(OR($A753=21,$A753=215),$AJ753=10),"①病院一般",IF(AND($A753=31,$AJ753=41),"②病院短期","対象外")),IF($AJ753=30,"③特定消防",IF(AND(OR($A753=21,$A753=215),$AJ753=10),"④一般",IF(AND($A753=31,$AJ753=41),"⑤短期","対象外")))))</f>
        <v>⑤短期</v>
      </c>
      <c r="DC753" s="0" t="n">
        <f aca="false">IF($A753="","",IF($AB753&amp;""=設定!$C$4,1,0))</f>
        <v>0</v>
      </c>
    </row>
    <row r="754" customFormat="false" ht="15" hidden="false" customHeight="false" outlineLevel="0" collapsed="false">
      <c r="A754" s="0" t="n">
        <v>31</v>
      </c>
      <c r="AA754" s="0" t="n">
        <v>24</v>
      </c>
      <c r="AB754" s="0" t="s">
        <v>294</v>
      </c>
      <c r="AD754" s="0" t="n">
        <v>12</v>
      </c>
      <c r="AE754" s="0" t="s">
        <v>301</v>
      </c>
      <c r="AH754" s="0" t="n">
        <v>1</v>
      </c>
      <c r="AJ754" s="0" t="n">
        <v>41</v>
      </c>
      <c r="AP754" s="0" t="n">
        <v>126000</v>
      </c>
      <c r="DB754" s="0" t="str">
        <f aca="false">IF($A754="","",IF($AH754=20,IF(AND(OR($A754=21,$A754=215),$AJ754=10),"①病院一般",IF(AND($A754=31,$AJ754=41),"②病院短期","対象外")),IF($AJ754=30,"③特定消防",IF(AND(OR($A754=21,$A754=215),$AJ754=10),"④一般",IF(AND($A754=31,$AJ754=41),"⑤短期","対象外")))))</f>
        <v>⑤短期</v>
      </c>
      <c r="DC754" s="0" t="n">
        <f aca="false">IF($A754="","",IF($AB754&amp;""=設定!$C$4,1,0))</f>
        <v>0</v>
      </c>
    </row>
    <row r="755" customFormat="false" ht="15" hidden="false" customHeight="false" outlineLevel="0" collapsed="false">
      <c r="A755" s="0" t="n">
        <v>31</v>
      </c>
      <c r="AA755" s="0" t="n">
        <v>24</v>
      </c>
      <c r="AB755" s="0" t="s">
        <v>318</v>
      </c>
      <c r="AD755" s="0" t="n">
        <v>0</v>
      </c>
      <c r="AE755" s="0" t="s">
        <v>295</v>
      </c>
      <c r="AH755" s="0" t="n">
        <v>11</v>
      </c>
      <c r="AJ755" s="0" t="n">
        <v>41</v>
      </c>
      <c r="AP755" s="0" t="n">
        <v>142000</v>
      </c>
      <c r="DB755" s="0" t="str">
        <f aca="false">IF($A755="","",IF($AH755=20,IF(AND(OR($A755=21,$A755=215),$AJ755=10),"①病院一般",IF(AND($A755=31,$AJ755=41),"②病院短期","対象外")),IF($AJ755=30,"③特定消防",IF(AND(OR($A755=21,$A755=215),$AJ755=10),"④一般",IF(AND($A755=31,$AJ755=41),"⑤短期","対象外")))))</f>
        <v>⑤短期</v>
      </c>
      <c r="DC755" s="0" t="n">
        <f aca="false">IF($A755="","",IF($AB755&amp;""=設定!$C$4,1,0))</f>
        <v>0</v>
      </c>
    </row>
    <row r="756" customFormat="false" ht="15" hidden="false" customHeight="false" outlineLevel="0" collapsed="false">
      <c r="A756" s="0" t="n">
        <v>31</v>
      </c>
      <c r="AA756" s="0" t="n">
        <v>21</v>
      </c>
      <c r="AB756" s="0" t="s">
        <v>96</v>
      </c>
      <c r="AD756" s="0" t="n">
        <v>0</v>
      </c>
      <c r="AE756" s="0" t="s">
        <v>295</v>
      </c>
      <c r="AH756" s="0" t="n">
        <v>1</v>
      </c>
      <c r="AJ756" s="0" t="n">
        <v>41</v>
      </c>
      <c r="AP756" s="0" t="n">
        <v>220000</v>
      </c>
      <c r="DB756" s="0" t="str">
        <f aca="false">IF($A756="","",IF($AH756=20,IF(AND(OR($A756=21,$A756=215),$AJ756=10),"①病院一般",IF(AND($A756=31,$AJ756=41),"②病院短期","対象外")),IF($AJ756=30,"③特定消防",IF(AND(OR($A756=21,$A756=215),$AJ756=10),"④一般",IF(AND($A756=31,$AJ756=41),"⑤短期","対象外")))))</f>
        <v>⑤短期</v>
      </c>
      <c r="DC756" s="0" t="n">
        <f aca="false">IF($A756="","",IF($AB756&amp;""=設定!$C$4,1,0))</f>
        <v>1</v>
      </c>
    </row>
    <row r="757" customFormat="false" ht="15" hidden="false" customHeight="false" outlineLevel="0" collapsed="false">
      <c r="A757" s="0" t="n">
        <v>31</v>
      </c>
      <c r="AA757" s="0" t="n">
        <v>21</v>
      </c>
      <c r="AB757" s="0" t="s">
        <v>96</v>
      </c>
      <c r="AD757" s="0" t="n">
        <v>0</v>
      </c>
      <c r="AE757" s="0" t="s">
        <v>295</v>
      </c>
      <c r="AH757" s="0" t="n">
        <v>11</v>
      </c>
      <c r="AJ757" s="0" t="n">
        <v>41</v>
      </c>
      <c r="AP757" s="0" t="n">
        <v>200000</v>
      </c>
      <c r="DB757" s="0" t="str">
        <f aca="false">IF($A757="","",IF($AH757=20,IF(AND(OR($A757=21,$A757=215),$AJ757=10),"①病院一般",IF(AND($A757=31,$AJ757=41),"②病院短期","対象外")),IF($AJ757=30,"③特定消防",IF(AND(OR($A757=21,$A757=215),$AJ757=10),"④一般",IF(AND($A757=31,$AJ757=41),"⑤短期","対象外")))))</f>
        <v>⑤短期</v>
      </c>
      <c r="DC757" s="0" t="n">
        <f aca="false">IF($A757="","",IF($AB757&amp;""=設定!$C$4,1,0))</f>
        <v>1</v>
      </c>
    </row>
    <row r="758" customFormat="false" ht="15" hidden="false" customHeight="false" outlineLevel="0" collapsed="false">
      <c r="A758" s="0" t="n">
        <v>31</v>
      </c>
      <c r="AA758" s="0" t="n">
        <v>21</v>
      </c>
      <c r="AB758" s="0" t="s">
        <v>96</v>
      </c>
      <c r="AD758" s="0" t="n">
        <v>0</v>
      </c>
      <c r="AE758" s="0" t="s">
        <v>295</v>
      </c>
      <c r="AH758" s="0" t="n">
        <v>11</v>
      </c>
      <c r="AJ758" s="0" t="n">
        <v>41</v>
      </c>
      <c r="AP758" s="0" t="n">
        <v>180000</v>
      </c>
      <c r="DB758" s="0" t="str">
        <f aca="false">IF($A758="","",IF($AH758=20,IF(AND(OR($A758=21,$A758=215),$AJ758=10),"①病院一般",IF(AND($A758=31,$AJ758=41),"②病院短期","対象外")),IF($AJ758=30,"③特定消防",IF(AND(OR($A758=21,$A758=215),$AJ758=10),"④一般",IF(AND($A758=31,$AJ758=41),"⑤短期","対象外")))))</f>
        <v>⑤短期</v>
      </c>
      <c r="DC758" s="0" t="n">
        <f aca="false">IF($A758="","",IF($AB758&amp;""=設定!$C$4,1,0))</f>
        <v>1</v>
      </c>
    </row>
    <row r="759" customFormat="false" ht="15" hidden="false" customHeight="false" outlineLevel="0" collapsed="false">
      <c r="A759" s="0" t="n">
        <v>31</v>
      </c>
      <c r="AA759" s="0" t="n">
        <v>21</v>
      </c>
      <c r="AB759" s="0" t="s">
        <v>96</v>
      </c>
      <c r="AD759" s="0" t="n">
        <v>0</v>
      </c>
      <c r="AE759" s="0" t="s">
        <v>295</v>
      </c>
      <c r="AH759" s="0" t="n">
        <v>11</v>
      </c>
      <c r="AJ759" s="0" t="n">
        <v>41</v>
      </c>
      <c r="AP759" s="0" t="n">
        <v>190000</v>
      </c>
      <c r="DB759" s="0" t="str">
        <f aca="false">IF($A759="","",IF($AH759=20,IF(AND(OR($A759=21,$A759=215),$AJ759=10),"①病院一般",IF(AND($A759=31,$AJ759=41),"②病院短期","対象外")),IF($AJ759=30,"③特定消防",IF(AND(OR($A759=21,$A759=215),$AJ759=10),"④一般",IF(AND($A759=31,$AJ759=41),"⑤短期","対象外")))))</f>
        <v>⑤短期</v>
      </c>
      <c r="DC759" s="0" t="n">
        <f aca="false">IF($A759="","",IF($AB759&amp;""=設定!$C$4,1,0))</f>
        <v>1</v>
      </c>
    </row>
    <row r="760" customFormat="false" ht="15" hidden="false" customHeight="false" outlineLevel="0" collapsed="false">
      <c r="A760" s="0" t="n">
        <v>31</v>
      </c>
      <c r="AA760" s="0" t="n">
        <v>21</v>
      </c>
      <c r="AB760" s="0" t="s">
        <v>96</v>
      </c>
      <c r="AD760" s="0" t="n">
        <v>0</v>
      </c>
      <c r="AE760" s="0" t="s">
        <v>295</v>
      </c>
      <c r="AH760" s="0" t="n">
        <v>1</v>
      </c>
      <c r="AJ760" s="0" t="n">
        <v>41</v>
      </c>
      <c r="AP760" s="0" t="n">
        <v>340000</v>
      </c>
      <c r="DB760" s="0" t="str">
        <f aca="false">IF($A760="","",IF($AH760=20,IF(AND(OR($A760=21,$A760=215),$AJ760=10),"①病院一般",IF(AND($A760=31,$AJ760=41),"②病院短期","対象外")),IF($AJ760=30,"③特定消防",IF(AND(OR($A760=21,$A760=215),$AJ760=10),"④一般",IF(AND($A760=31,$AJ760=41),"⑤短期","対象外")))))</f>
        <v>⑤短期</v>
      </c>
      <c r="DC760" s="0" t="n">
        <f aca="false">IF($A760="","",IF($AB760&amp;""=設定!$C$4,1,0))</f>
        <v>1</v>
      </c>
    </row>
    <row r="761" customFormat="false" ht="15" hidden="false" customHeight="false" outlineLevel="0" collapsed="false">
      <c r="A761" s="0" t="n">
        <v>31</v>
      </c>
      <c r="AA761" s="0" t="n">
        <v>21</v>
      </c>
      <c r="AB761" s="0" t="s">
        <v>96</v>
      </c>
      <c r="AD761" s="0" t="n">
        <v>0</v>
      </c>
      <c r="AE761" s="0" t="s">
        <v>295</v>
      </c>
      <c r="AH761" s="0" t="n">
        <v>20</v>
      </c>
      <c r="AJ761" s="0" t="n">
        <v>41</v>
      </c>
      <c r="AP761" s="0" t="n">
        <v>260000</v>
      </c>
      <c r="DB761" s="0" t="str">
        <f aca="false">IF($A761="","",IF($AH761=20,IF(AND(OR($A761=21,$A761=215),$AJ761=10),"①病院一般",IF(AND($A761=31,$AJ761=41),"②病院短期","対象外")),IF($AJ761=30,"③特定消防",IF(AND(OR($A761=21,$A761=215),$AJ761=10),"④一般",IF(AND($A761=31,$AJ761=41),"⑤短期","対象外")))))</f>
        <v>②病院短期</v>
      </c>
      <c r="DC761" s="0" t="n">
        <f aca="false">IF($A761="","",IF($AB761&amp;""=設定!$C$4,1,0))</f>
        <v>1</v>
      </c>
    </row>
    <row r="762" customFormat="false" ht="15" hidden="false" customHeight="false" outlineLevel="0" collapsed="false">
      <c r="A762" s="0" t="n">
        <v>31</v>
      </c>
      <c r="AA762" s="0" t="n">
        <v>21</v>
      </c>
      <c r="AB762" s="0" t="s">
        <v>96</v>
      </c>
      <c r="AD762" s="0" t="n">
        <v>12</v>
      </c>
      <c r="AE762" s="0" t="s">
        <v>294</v>
      </c>
      <c r="AH762" s="0" t="n">
        <v>1</v>
      </c>
      <c r="AJ762" s="0" t="n">
        <v>41</v>
      </c>
      <c r="AP762" s="0" t="n">
        <v>170000</v>
      </c>
      <c r="DB762" s="0" t="str">
        <f aca="false">IF($A762="","",IF($AH762=20,IF(AND(OR($A762=21,$A762=215),$AJ762=10),"①病院一般",IF(AND($A762=31,$AJ762=41),"②病院短期","対象外")),IF($AJ762=30,"③特定消防",IF(AND(OR($A762=21,$A762=215),$AJ762=10),"④一般",IF(AND($A762=31,$AJ762=41),"⑤短期","対象外")))))</f>
        <v>⑤短期</v>
      </c>
      <c r="DC762" s="0" t="n">
        <f aca="false">IF($A762="","",IF($AB762&amp;""=設定!$C$4,1,0))</f>
        <v>1</v>
      </c>
    </row>
    <row r="763" customFormat="false" ht="15" hidden="false" customHeight="false" outlineLevel="0" collapsed="false">
      <c r="A763" s="0" t="n">
        <v>31</v>
      </c>
      <c r="AA763" s="0" t="n">
        <v>21</v>
      </c>
      <c r="AB763" s="0" t="s">
        <v>319</v>
      </c>
      <c r="AD763" s="0" t="n">
        <v>0</v>
      </c>
      <c r="AE763" s="0" t="s">
        <v>295</v>
      </c>
      <c r="AH763" s="0" t="n">
        <v>11</v>
      </c>
      <c r="AJ763" s="0" t="n">
        <v>47</v>
      </c>
      <c r="AP763" s="0" t="n">
        <v>110000</v>
      </c>
      <c r="DB763" s="0" t="str">
        <f aca="false">IF($A763="","",IF($AH763=20,IF(AND(OR($A763=21,$A763=215),$AJ763=10),"①病院一般",IF(AND($A763=31,$AJ763=41),"②病院短期","対象外")),IF($AJ763=30,"③特定消防",IF(AND(OR($A763=21,$A763=215),$AJ763=10),"④一般",IF(AND($A763=31,$AJ763=41),"⑤短期","対象外")))))</f>
        <v>対象外</v>
      </c>
      <c r="DC763" s="0" t="n">
        <f aca="false">IF($A763="","",IF($AB763&amp;""=設定!$C$4,1,0))</f>
        <v>0</v>
      </c>
    </row>
    <row r="764" customFormat="false" ht="15" hidden="false" customHeight="false" outlineLevel="0" collapsed="false">
      <c r="A764" s="0" t="n">
        <v>31</v>
      </c>
      <c r="AA764" s="0" t="n">
        <v>24</v>
      </c>
      <c r="AB764" s="0" t="s">
        <v>298</v>
      </c>
      <c r="AD764" s="0" t="n">
        <v>0</v>
      </c>
      <c r="AE764" s="0" t="s">
        <v>295</v>
      </c>
      <c r="AH764" s="0" t="n">
        <v>1</v>
      </c>
      <c r="AJ764" s="0" t="n">
        <v>41</v>
      </c>
      <c r="AP764" s="0" t="n">
        <v>134000</v>
      </c>
      <c r="DB764" s="0" t="str">
        <f aca="false">IF($A764="","",IF($AH764=20,IF(AND(OR($A764=21,$A764=215),$AJ764=10),"①病院一般",IF(AND($A764=31,$AJ764=41),"②病院短期","対象外")),IF($AJ764=30,"③特定消防",IF(AND(OR($A764=21,$A764=215),$AJ764=10),"④一般",IF(AND($A764=31,$AJ764=41),"⑤短期","対象外")))))</f>
        <v>⑤短期</v>
      </c>
      <c r="DC764" s="0" t="n">
        <f aca="false">IF($A764="","",IF($AB764&amp;""=設定!$C$4,1,0))</f>
        <v>0</v>
      </c>
    </row>
    <row r="765" customFormat="false" ht="15" hidden="false" customHeight="false" outlineLevel="0" collapsed="false">
      <c r="A765" s="0" t="n">
        <v>31</v>
      </c>
      <c r="AA765" s="0" t="n">
        <v>24</v>
      </c>
      <c r="AB765" s="0" t="s">
        <v>298</v>
      </c>
      <c r="AD765" s="0" t="n">
        <v>0</v>
      </c>
      <c r="AE765" s="0" t="s">
        <v>295</v>
      </c>
      <c r="AH765" s="0" t="n">
        <v>11</v>
      </c>
      <c r="AJ765" s="0" t="n">
        <v>41</v>
      </c>
      <c r="AP765" s="0" t="n">
        <v>126000</v>
      </c>
      <c r="DB765" s="0" t="str">
        <f aca="false">IF($A765="","",IF($AH765=20,IF(AND(OR($A765=21,$A765=215),$AJ765=10),"①病院一般",IF(AND($A765=31,$AJ765=41),"②病院短期","対象外")),IF($AJ765=30,"③特定消防",IF(AND(OR($A765=21,$A765=215),$AJ765=10),"④一般",IF(AND($A765=31,$AJ765=41),"⑤短期","対象外")))))</f>
        <v>⑤短期</v>
      </c>
      <c r="DC765" s="0" t="n">
        <f aca="false">IF($A765="","",IF($AB765&amp;""=設定!$C$4,1,0))</f>
        <v>0</v>
      </c>
    </row>
    <row r="766" customFormat="false" ht="15" hidden="false" customHeight="false" outlineLevel="0" collapsed="false">
      <c r="A766" s="0" t="n">
        <v>31</v>
      </c>
      <c r="AA766" s="0" t="n">
        <v>21</v>
      </c>
      <c r="AB766" s="0" t="s">
        <v>96</v>
      </c>
      <c r="AD766" s="0" t="n">
        <v>0</v>
      </c>
      <c r="AE766" s="0" t="s">
        <v>295</v>
      </c>
      <c r="AH766" s="0" t="n">
        <v>1</v>
      </c>
      <c r="AJ766" s="0" t="n">
        <v>41</v>
      </c>
      <c r="AP766" s="0" t="n">
        <v>200000</v>
      </c>
      <c r="DB766" s="0" t="str">
        <f aca="false">IF($A766="","",IF($AH766=20,IF(AND(OR($A766=21,$A766=215),$AJ766=10),"①病院一般",IF(AND($A766=31,$AJ766=41),"②病院短期","対象外")),IF($AJ766=30,"③特定消防",IF(AND(OR($A766=21,$A766=215),$AJ766=10),"④一般",IF(AND($A766=31,$AJ766=41),"⑤短期","対象外")))))</f>
        <v>⑤短期</v>
      </c>
      <c r="DC766" s="0" t="n">
        <f aca="false">IF($A766="","",IF($AB766&amp;""=設定!$C$4,1,0))</f>
        <v>1</v>
      </c>
    </row>
    <row r="767" customFormat="false" ht="15" hidden="false" customHeight="false" outlineLevel="0" collapsed="false">
      <c r="A767" s="0" t="n">
        <v>31</v>
      </c>
      <c r="AA767" s="0" t="n">
        <v>21</v>
      </c>
      <c r="AB767" s="0" t="s">
        <v>96</v>
      </c>
      <c r="AD767" s="0" t="n">
        <v>0</v>
      </c>
      <c r="AE767" s="0" t="s">
        <v>295</v>
      </c>
      <c r="AH767" s="0" t="n">
        <v>1</v>
      </c>
      <c r="AJ767" s="0" t="n">
        <v>41</v>
      </c>
      <c r="AP767" s="0" t="n">
        <v>200000</v>
      </c>
      <c r="DB767" s="0" t="str">
        <f aca="false">IF($A767="","",IF($AH767=20,IF(AND(OR($A767=21,$A767=215),$AJ767=10),"①病院一般",IF(AND($A767=31,$AJ767=41),"②病院短期","対象外")),IF($AJ767=30,"③特定消防",IF(AND(OR($A767=21,$A767=215),$AJ767=10),"④一般",IF(AND($A767=31,$AJ767=41),"⑤短期","対象外")))))</f>
        <v>⑤短期</v>
      </c>
      <c r="DC767" s="0" t="n">
        <f aca="false">IF($A767="","",IF($AB767&amp;""=設定!$C$4,1,0))</f>
        <v>1</v>
      </c>
    </row>
    <row r="768" customFormat="false" ht="15" hidden="false" customHeight="false" outlineLevel="0" collapsed="false">
      <c r="A768" s="0" t="n">
        <v>31</v>
      </c>
      <c r="AA768" s="0" t="n">
        <v>24</v>
      </c>
      <c r="AB768" s="0" t="s">
        <v>96</v>
      </c>
      <c r="AD768" s="0" t="n">
        <v>0</v>
      </c>
      <c r="AE768" s="0" t="s">
        <v>295</v>
      </c>
      <c r="AH768" s="0" t="n">
        <v>1</v>
      </c>
      <c r="AJ768" s="0" t="n">
        <v>41</v>
      </c>
      <c r="AP768" s="0" t="n">
        <v>134000</v>
      </c>
      <c r="DB768" s="0" t="str">
        <f aca="false">IF($A768="","",IF($AH768=20,IF(AND(OR($A768=21,$A768=215),$AJ768=10),"①病院一般",IF(AND($A768=31,$AJ768=41),"②病院短期","対象外")),IF($AJ768=30,"③特定消防",IF(AND(OR($A768=21,$A768=215),$AJ768=10),"④一般",IF(AND($A768=31,$AJ768=41),"⑤短期","対象外")))))</f>
        <v>⑤短期</v>
      </c>
      <c r="DC768" s="0" t="n">
        <f aca="false">IF($A768="","",IF($AB768&amp;""=設定!$C$4,1,0))</f>
        <v>1</v>
      </c>
    </row>
    <row r="769" customFormat="false" ht="15" hidden="false" customHeight="false" outlineLevel="0" collapsed="false">
      <c r="A769" s="0" t="n">
        <v>31</v>
      </c>
      <c r="AA769" s="0" t="n">
        <v>24</v>
      </c>
      <c r="AB769" s="0" t="s">
        <v>96</v>
      </c>
      <c r="AD769" s="0" t="n">
        <v>0</v>
      </c>
      <c r="AE769" s="0" t="s">
        <v>295</v>
      </c>
      <c r="AH769" s="0" t="n">
        <v>1</v>
      </c>
      <c r="AJ769" s="0" t="n">
        <v>41</v>
      </c>
      <c r="AP769" s="0" t="n">
        <v>200000</v>
      </c>
      <c r="DB769" s="0" t="str">
        <f aca="false">IF($A769="","",IF($AH769=20,IF(AND(OR($A769=21,$A769=215),$AJ769=10),"①病院一般",IF(AND($A769=31,$AJ769=41),"②病院短期","対象外")),IF($AJ769=30,"③特定消防",IF(AND(OR($A769=21,$A769=215),$AJ769=10),"④一般",IF(AND($A769=31,$AJ769=41),"⑤短期","対象外")))))</f>
        <v>⑤短期</v>
      </c>
      <c r="DC769" s="0" t="n">
        <f aca="false">IF($A769="","",IF($AB769&amp;""=設定!$C$4,1,0))</f>
        <v>1</v>
      </c>
    </row>
    <row r="770" customFormat="false" ht="15" hidden="false" customHeight="false" outlineLevel="0" collapsed="false">
      <c r="A770" s="0" t="n">
        <v>31</v>
      </c>
      <c r="AA770" s="0" t="n">
        <v>21</v>
      </c>
      <c r="AB770" s="0" t="s">
        <v>96</v>
      </c>
      <c r="AD770" s="0" t="n">
        <v>0</v>
      </c>
      <c r="AE770" s="0" t="s">
        <v>295</v>
      </c>
      <c r="AH770" s="0" t="n">
        <v>1</v>
      </c>
      <c r="AJ770" s="0" t="n">
        <v>41</v>
      </c>
      <c r="AP770" s="0" t="n">
        <v>134000</v>
      </c>
      <c r="DB770" s="0" t="str">
        <f aca="false">IF($A770="","",IF($AH770=20,IF(AND(OR($A770=21,$A770=215),$AJ770=10),"①病院一般",IF(AND($A770=31,$AJ770=41),"②病院短期","対象外")),IF($AJ770=30,"③特定消防",IF(AND(OR($A770=21,$A770=215),$AJ770=10),"④一般",IF(AND($A770=31,$AJ770=41),"⑤短期","対象外")))))</f>
        <v>⑤短期</v>
      </c>
      <c r="DC770" s="0" t="n">
        <f aca="false">IF($A770="","",IF($AB770&amp;""=設定!$C$4,1,0))</f>
        <v>1</v>
      </c>
    </row>
    <row r="771" customFormat="false" ht="15" hidden="false" customHeight="false" outlineLevel="0" collapsed="false">
      <c r="A771" s="0" t="n">
        <v>31</v>
      </c>
      <c r="AA771" s="0" t="n">
        <v>24</v>
      </c>
      <c r="AB771" s="0" t="s">
        <v>96</v>
      </c>
      <c r="AD771" s="0" t="n">
        <v>0</v>
      </c>
      <c r="AE771" s="0" t="s">
        <v>295</v>
      </c>
      <c r="AH771" s="0" t="n">
        <v>1</v>
      </c>
      <c r="AJ771" s="0" t="n">
        <v>41</v>
      </c>
      <c r="AP771" s="0" t="n">
        <v>142000</v>
      </c>
      <c r="DB771" s="0" t="str">
        <f aca="false">IF($A771="","",IF($AH771=20,IF(AND(OR($A771=21,$A771=215),$AJ771=10),"①病院一般",IF(AND($A771=31,$AJ771=41),"②病院短期","対象外")),IF($AJ771=30,"③特定消防",IF(AND(OR($A771=21,$A771=215),$AJ771=10),"④一般",IF(AND($A771=31,$AJ771=41),"⑤短期","対象外")))))</f>
        <v>⑤短期</v>
      </c>
      <c r="DC771" s="0" t="n">
        <f aca="false">IF($A771="","",IF($AB771&amp;""=設定!$C$4,1,0))</f>
        <v>1</v>
      </c>
    </row>
    <row r="772" customFormat="false" ht="15" hidden="false" customHeight="false" outlineLevel="0" collapsed="false">
      <c r="A772" s="0" t="n">
        <v>31</v>
      </c>
      <c r="AA772" s="0" t="n">
        <v>24</v>
      </c>
      <c r="AB772" s="0" t="s">
        <v>301</v>
      </c>
      <c r="AD772" s="0" t="n">
        <v>0</v>
      </c>
      <c r="AE772" s="0" t="s">
        <v>295</v>
      </c>
      <c r="AH772" s="0" t="n">
        <v>1</v>
      </c>
      <c r="AJ772" s="0" t="n">
        <v>41</v>
      </c>
      <c r="AP772" s="0" t="n">
        <v>142000</v>
      </c>
      <c r="DB772" s="0" t="str">
        <f aca="false">IF($A772="","",IF($AH772=20,IF(AND(OR($A772=21,$A772=215),$AJ772=10),"①病院一般",IF(AND($A772=31,$AJ772=41),"②病院短期","対象外")),IF($AJ772=30,"③特定消防",IF(AND(OR($A772=21,$A772=215),$AJ772=10),"④一般",IF(AND($A772=31,$AJ772=41),"⑤短期","対象外")))))</f>
        <v>⑤短期</v>
      </c>
      <c r="DC772" s="0" t="n">
        <f aca="false">IF($A772="","",IF($AB772&amp;""=設定!$C$4,1,0))</f>
        <v>0</v>
      </c>
    </row>
    <row r="773" customFormat="false" ht="15" hidden="false" customHeight="false" outlineLevel="0" collapsed="false">
      <c r="A773" s="0" t="n">
        <v>31</v>
      </c>
      <c r="AA773" s="0" t="n">
        <v>24</v>
      </c>
      <c r="AB773" s="0" t="s">
        <v>96</v>
      </c>
      <c r="AD773" s="0" t="n">
        <v>0</v>
      </c>
      <c r="AE773" s="0" t="s">
        <v>295</v>
      </c>
      <c r="AH773" s="0" t="n">
        <v>1</v>
      </c>
      <c r="AJ773" s="0" t="n">
        <v>41</v>
      </c>
      <c r="AP773" s="0" t="n">
        <v>200000</v>
      </c>
      <c r="DB773" s="0" t="str">
        <f aca="false">IF($A773="","",IF($AH773=20,IF(AND(OR($A773=21,$A773=215),$AJ773=10),"①病院一般",IF(AND($A773=31,$AJ773=41),"②病院短期","対象外")),IF($AJ773=30,"③特定消防",IF(AND(OR($A773=21,$A773=215),$AJ773=10),"④一般",IF(AND($A773=31,$AJ773=41),"⑤短期","対象外")))))</f>
        <v>⑤短期</v>
      </c>
      <c r="DC773" s="0" t="n">
        <f aca="false">IF($A773="","",IF($AB773&amp;""=設定!$C$4,1,0))</f>
        <v>1</v>
      </c>
    </row>
    <row r="774" customFormat="false" ht="15" hidden="false" customHeight="false" outlineLevel="0" collapsed="false">
      <c r="A774" s="0" t="n">
        <v>31</v>
      </c>
      <c r="AA774" s="0" t="n">
        <v>24</v>
      </c>
      <c r="AB774" s="0" t="s">
        <v>301</v>
      </c>
      <c r="AD774" s="0" t="n">
        <v>0</v>
      </c>
      <c r="AE774" s="0" t="s">
        <v>295</v>
      </c>
      <c r="AH774" s="0" t="n">
        <v>1</v>
      </c>
      <c r="AJ774" s="0" t="n">
        <v>41</v>
      </c>
      <c r="AP774" s="0" t="n">
        <v>126000</v>
      </c>
      <c r="DB774" s="0" t="str">
        <f aca="false">IF($A774="","",IF($AH774=20,IF(AND(OR($A774=21,$A774=215),$AJ774=10),"①病院一般",IF(AND($A774=31,$AJ774=41),"②病院短期","対象外")),IF($AJ774=30,"③特定消防",IF(AND(OR($A774=21,$A774=215),$AJ774=10),"④一般",IF(AND($A774=31,$AJ774=41),"⑤短期","対象外")))))</f>
        <v>⑤短期</v>
      </c>
      <c r="DC774" s="0" t="n">
        <f aca="false">IF($A774="","",IF($AB774&amp;""=設定!$C$4,1,0))</f>
        <v>0</v>
      </c>
    </row>
    <row r="775" customFormat="false" ht="15" hidden="false" customHeight="false" outlineLevel="0" collapsed="false">
      <c r="A775" s="0" t="n">
        <v>31</v>
      </c>
      <c r="AA775" s="0" t="n">
        <v>24</v>
      </c>
      <c r="AB775" s="0" t="s">
        <v>96</v>
      </c>
      <c r="AD775" s="0" t="n">
        <v>12</v>
      </c>
      <c r="AE775" s="0" t="s">
        <v>317</v>
      </c>
      <c r="AH775" s="0" t="n">
        <v>1</v>
      </c>
      <c r="AJ775" s="0" t="n">
        <v>41</v>
      </c>
      <c r="AP775" s="0" t="n">
        <v>142000</v>
      </c>
      <c r="DB775" s="0" t="str">
        <f aca="false">IF($A775="","",IF($AH775=20,IF(AND(OR($A775=21,$A775=215),$AJ775=10),"①病院一般",IF(AND($A775=31,$AJ775=41),"②病院短期","対象外")),IF($AJ775=30,"③特定消防",IF(AND(OR($A775=21,$A775=215),$AJ775=10),"④一般",IF(AND($A775=31,$AJ775=41),"⑤短期","対象外")))))</f>
        <v>⑤短期</v>
      </c>
      <c r="DC775" s="0" t="n">
        <f aca="false">IF($A775="","",IF($AB775&amp;""=設定!$C$4,1,0))</f>
        <v>1</v>
      </c>
    </row>
    <row r="776" customFormat="false" ht="15" hidden="false" customHeight="false" outlineLevel="0" collapsed="false">
      <c r="A776" s="0" t="n">
        <v>31</v>
      </c>
      <c r="AA776" s="0" t="n">
        <v>21</v>
      </c>
      <c r="AB776" s="0" t="s">
        <v>318</v>
      </c>
      <c r="AD776" s="0" t="n">
        <v>0</v>
      </c>
      <c r="AE776" s="0" t="s">
        <v>295</v>
      </c>
      <c r="AH776" s="0" t="n">
        <v>11</v>
      </c>
      <c r="AJ776" s="0" t="n">
        <v>41</v>
      </c>
      <c r="AP776" s="0" t="n">
        <v>134000</v>
      </c>
      <c r="DB776" s="0" t="str">
        <f aca="false">IF($A776="","",IF($AH776=20,IF(AND(OR($A776=21,$A776=215),$AJ776=10),"①病院一般",IF(AND($A776=31,$AJ776=41),"②病院短期","対象外")),IF($AJ776=30,"③特定消防",IF(AND(OR($A776=21,$A776=215),$AJ776=10),"④一般",IF(AND($A776=31,$AJ776=41),"⑤短期","対象外")))))</f>
        <v>⑤短期</v>
      </c>
      <c r="DC776" s="0" t="n">
        <f aca="false">IF($A776="","",IF($AB776&amp;""=設定!$C$4,1,0))</f>
        <v>0</v>
      </c>
    </row>
    <row r="777" customFormat="false" ht="15" hidden="false" customHeight="false" outlineLevel="0" collapsed="false">
      <c r="A777" s="0" t="n">
        <v>31</v>
      </c>
      <c r="AA777" s="0" t="n">
        <v>21</v>
      </c>
      <c r="AB777" s="0" t="s">
        <v>96</v>
      </c>
      <c r="AD777" s="0" t="n">
        <v>0</v>
      </c>
      <c r="AE777" s="0" t="s">
        <v>295</v>
      </c>
      <c r="AH777" s="0" t="n">
        <v>1</v>
      </c>
      <c r="AJ777" s="0" t="n">
        <v>41</v>
      </c>
      <c r="AP777" s="0" t="n">
        <v>190000</v>
      </c>
      <c r="DB777" s="0" t="str">
        <f aca="false">IF($A777="","",IF($AH777=20,IF(AND(OR($A777=21,$A777=215),$AJ777=10),"①病院一般",IF(AND($A777=31,$AJ777=41),"②病院短期","対象外")),IF($AJ777=30,"③特定消防",IF(AND(OR($A777=21,$A777=215),$AJ777=10),"④一般",IF(AND($A777=31,$AJ777=41),"⑤短期","対象外")))))</f>
        <v>⑤短期</v>
      </c>
      <c r="DC777" s="0" t="n">
        <f aca="false">IF($A777="","",IF($AB777&amp;""=設定!$C$4,1,0))</f>
        <v>1</v>
      </c>
    </row>
    <row r="778" customFormat="false" ht="15" hidden="false" customHeight="false" outlineLevel="0" collapsed="false">
      <c r="A778" s="0" t="n">
        <v>31</v>
      </c>
      <c r="AA778" s="0" t="n">
        <v>21</v>
      </c>
      <c r="AB778" s="0" t="s">
        <v>314</v>
      </c>
      <c r="AD778" s="0" t="n">
        <v>0</v>
      </c>
      <c r="AE778" s="0" t="s">
        <v>295</v>
      </c>
      <c r="AH778" s="0" t="n">
        <v>11</v>
      </c>
      <c r="AJ778" s="0" t="n">
        <v>41</v>
      </c>
      <c r="AP778" s="0" t="n">
        <v>110000</v>
      </c>
      <c r="DB778" s="0" t="str">
        <f aca="false">IF($A778="","",IF($AH778=20,IF(AND(OR($A778=21,$A778=215),$AJ778=10),"①病院一般",IF(AND($A778=31,$AJ778=41),"②病院短期","対象外")),IF($AJ778=30,"③特定消防",IF(AND(OR($A778=21,$A778=215),$AJ778=10),"④一般",IF(AND($A778=31,$AJ778=41),"⑤短期","対象外")))))</f>
        <v>⑤短期</v>
      </c>
      <c r="DC778" s="0" t="n">
        <f aca="false">IF($A778="","",IF($AB778&amp;""=設定!$C$4,1,0))</f>
        <v>0</v>
      </c>
    </row>
    <row r="779" customFormat="false" ht="15" hidden="false" customHeight="false" outlineLevel="0" collapsed="false">
      <c r="A779" s="0" t="n">
        <v>31</v>
      </c>
      <c r="AA779" s="0" t="n">
        <v>21</v>
      </c>
      <c r="AB779" s="0" t="s">
        <v>317</v>
      </c>
      <c r="AD779" s="0" t="n">
        <v>12</v>
      </c>
      <c r="AE779" s="0" t="s">
        <v>320</v>
      </c>
      <c r="AH779" s="0" t="n">
        <v>12</v>
      </c>
      <c r="AJ779" s="0" t="n">
        <v>41</v>
      </c>
      <c r="AP779" s="0" t="n">
        <v>134000</v>
      </c>
      <c r="DB779" s="0" t="str">
        <f aca="false">IF($A779="","",IF($AH779=20,IF(AND(OR($A779=21,$A779=215),$AJ779=10),"①病院一般",IF(AND($A779=31,$AJ779=41),"②病院短期","対象外")),IF($AJ779=30,"③特定消防",IF(AND(OR($A779=21,$A779=215),$AJ779=10),"④一般",IF(AND($A779=31,$AJ779=41),"⑤短期","対象外")))))</f>
        <v>⑤短期</v>
      </c>
      <c r="DC779" s="0" t="n">
        <f aca="false">IF($A779="","",IF($AB779&amp;""=設定!$C$4,1,0))</f>
        <v>0</v>
      </c>
    </row>
    <row r="780" customFormat="false" ht="15" hidden="false" customHeight="false" outlineLevel="0" collapsed="false">
      <c r="A780" s="0" t="n">
        <v>31</v>
      </c>
      <c r="AA780" s="0" t="n">
        <v>24</v>
      </c>
      <c r="AB780" s="0" t="s">
        <v>318</v>
      </c>
      <c r="AD780" s="0" t="n">
        <v>0</v>
      </c>
      <c r="AE780" s="0" t="s">
        <v>295</v>
      </c>
      <c r="AH780" s="0" t="n">
        <v>11</v>
      </c>
      <c r="AJ780" s="0" t="n">
        <v>41</v>
      </c>
      <c r="AP780" s="0" t="n">
        <v>126000</v>
      </c>
      <c r="DB780" s="0" t="str">
        <f aca="false">IF($A780="","",IF($AH780=20,IF(AND(OR($A780=21,$A780=215),$AJ780=10),"①病院一般",IF(AND($A780=31,$AJ780=41),"②病院短期","対象外")),IF($AJ780=30,"③特定消防",IF(AND(OR($A780=21,$A780=215),$AJ780=10),"④一般",IF(AND($A780=31,$AJ780=41),"⑤短期","対象外")))))</f>
        <v>⑤短期</v>
      </c>
      <c r="DC780" s="0" t="n">
        <f aca="false">IF($A780="","",IF($AB780&amp;""=設定!$C$4,1,0))</f>
        <v>0</v>
      </c>
    </row>
    <row r="781" customFormat="false" ht="15" hidden="false" customHeight="false" outlineLevel="0" collapsed="false">
      <c r="A781" s="0" t="n">
        <v>31</v>
      </c>
      <c r="AA781" s="0" t="n">
        <v>21</v>
      </c>
      <c r="AB781" s="0" t="s">
        <v>312</v>
      </c>
      <c r="AD781" s="0" t="n">
        <v>0</v>
      </c>
      <c r="AE781" s="0" t="s">
        <v>295</v>
      </c>
      <c r="AH781" s="0" t="n">
        <v>11</v>
      </c>
      <c r="AJ781" s="0" t="n">
        <v>41</v>
      </c>
      <c r="AP781" s="0" t="n">
        <v>134000</v>
      </c>
      <c r="DB781" s="0" t="str">
        <f aca="false">IF($A781="","",IF($AH781=20,IF(AND(OR($A781=21,$A781=215),$AJ781=10),"①病院一般",IF(AND($A781=31,$AJ781=41),"②病院短期","対象外")),IF($AJ781=30,"③特定消防",IF(AND(OR($A781=21,$A781=215),$AJ781=10),"④一般",IF(AND($A781=31,$AJ781=41),"⑤短期","対象外")))))</f>
        <v>⑤短期</v>
      </c>
      <c r="DC781" s="0" t="n">
        <f aca="false">IF($A781="","",IF($AB781&amp;""=設定!$C$4,1,0))</f>
        <v>0</v>
      </c>
    </row>
    <row r="782" customFormat="false" ht="15" hidden="false" customHeight="false" outlineLevel="0" collapsed="false">
      <c r="A782" s="0" t="n">
        <v>31</v>
      </c>
      <c r="AA782" s="0" t="n">
        <v>21</v>
      </c>
      <c r="AB782" s="0" t="s">
        <v>96</v>
      </c>
      <c r="AD782" s="0" t="n">
        <v>0</v>
      </c>
      <c r="AE782" s="0" t="s">
        <v>295</v>
      </c>
      <c r="AH782" s="0" t="n">
        <v>1</v>
      </c>
      <c r="AJ782" s="0" t="n">
        <v>41</v>
      </c>
      <c r="AP782" s="0" t="n">
        <v>134000</v>
      </c>
      <c r="DB782" s="0" t="str">
        <f aca="false">IF($A782="","",IF($AH782=20,IF(AND(OR($A782=21,$A782=215),$AJ782=10),"①病院一般",IF(AND($A782=31,$AJ782=41),"②病院短期","対象外")),IF($AJ782=30,"③特定消防",IF(AND(OR($A782=21,$A782=215),$AJ782=10),"④一般",IF(AND($A782=31,$AJ782=41),"⑤短期","対象外")))))</f>
        <v>⑤短期</v>
      </c>
      <c r="DC782" s="0" t="n">
        <f aca="false">IF($A782="","",IF($AB782&amp;""=設定!$C$4,1,0))</f>
        <v>1</v>
      </c>
    </row>
    <row r="783" customFormat="false" ht="15" hidden="false" customHeight="false" outlineLevel="0" collapsed="false">
      <c r="A783" s="0" t="n">
        <v>31</v>
      </c>
      <c r="AA783" s="0" t="n">
        <v>21</v>
      </c>
      <c r="AB783" s="0" t="s">
        <v>96</v>
      </c>
      <c r="AD783" s="0" t="n">
        <v>0</v>
      </c>
      <c r="AE783" s="0" t="s">
        <v>295</v>
      </c>
      <c r="AH783" s="0" t="n">
        <v>1</v>
      </c>
      <c r="AJ783" s="0" t="n">
        <v>41</v>
      </c>
      <c r="AP783" s="0" t="n">
        <v>142000</v>
      </c>
      <c r="DB783" s="0" t="str">
        <f aca="false">IF($A783="","",IF($AH783=20,IF(AND(OR($A783=21,$A783=215),$AJ783=10),"①病院一般",IF(AND($A783=31,$AJ783=41),"②病院短期","対象外")),IF($AJ783=30,"③特定消防",IF(AND(OR($A783=21,$A783=215),$AJ783=10),"④一般",IF(AND($A783=31,$AJ783=41),"⑤短期","対象外")))))</f>
        <v>⑤短期</v>
      </c>
      <c r="DC783" s="0" t="n">
        <f aca="false">IF($A783="","",IF($AB783&amp;""=設定!$C$4,1,0))</f>
        <v>1</v>
      </c>
    </row>
    <row r="784" customFormat="false" ht="15" hidden="false" customHeight="false" outlineLevel="0" collapsed="false">
      <c r="A784" s="0" t="n">
        <v>31</v>
      </c>
      <c r="AA784" s="0" t="n">
        <v>21</v>
      </c>
      <c r="AB784" s="0" t="s">
        <v>318</v>
      </c>
      <c r="AD784" s="0" t="n">
        <v>0</v>
      </c>
      <c r="AE784" s="0" t="s">
        <v>295</v>
      </c>
      <c r="AH784" s="0" t="n">
        <v>11</v>
      </c>
      <c r="AJ784" s="0" t="n">
        <v>41</v>
      </c>
      <c r="AP784" s="0" t="n">
        <v>134000</v>
      </c>
      <c r="DB784" s="0" t="str">
        <f aca="false">IF($A784="","",IF($AH784=20,IF(AND(OR($A784=21,$A784=215),$AJ784=10),"①病院一般",IF(AND($A784=31,$AJ784=41),"②病院短期","対象外")),IF($AJ784=30,"③特定消防",IF(AND(OR($A784=21,$A784=215),$AJ784=10),"④一般",IF(AND($A784=31,$AJ784=41),"⑤短期","対象外")))))</f>
        <v>⑤短期</v>
      </c>
      <c r="DC784" s="0" t="n">
        <f aca="false">IF($A784="","",IF($AB784&amp;""=設定!$C$4,1,0))</f>
        <v>0</v>
      </c>
    </row>
    <row r="785" customFormat="false" ht="15" hidden="false" customHeight="false" outlineLevel="0" collapsed="false">
      <c r="A785" s="0" t="n">
        <v>31</v>
      </c>
      <c r="AA785" s="0" t="n">
        <v>24</v>
      </c>
      <c r="AB785" s="0" t="s">
        <v>318</v>
      </c>
      <c r="AD785" s="0" t="n">
        <v>0</v>
      </c>
      <c r="AE785" s="0" t="s">
        <v>295</v>
      </c>
      <c r="AH785" s="0" t="n">
        <v>11</v>
      </c>
      <c r="AJ785" s="0" t="n">
        <v>41</v>
      </c>
      <c r="AP785" s="0" t="n">
        <v>126000</v>
      </c>
      <c r="DB785" s="0" t="str">
        <f aca="false">IF($A785="","",IF($AH785=20,IF(AND(OR($A785=21,$A785=215),$AJ785=10),"①病院一般",IF(AND($A785=31,$AJ785=41),"②病院短期","対象外")),IF($AJ785=30,"③特定消防",IF(AND(OR($A785=21,$A785=215),$AJ785=10),"④一般",IF(AND($A785=31,$AJ785=41),"⑤短期","対象外")))))</f>
        <v>⑤短期</v>
      </c>
      <c r="DC785" s="0" t="n">
        <f aca="false">IF($A785="","",IF($AB785&amp;""=設定!$C$4,1,0))</f>
        <v>0</v>
      </c>
    </row>
    <row r="786" customFormat="false" ht="15" hidden="false" customHeight="false" outlineLevel="0" collapsed="false">
      <c r="A786" s="0" t="n">
        <v>31</v>
      </c>
      <c r="AA786" s="0" t="n">
        <v>21</v>
      </c>
      <c r="AB786" s="0" t="s">
        <v>96</v>
      </c>
      <c r="AD786" s="0" t="n">
        <v>0</v>
      </c>
      <c r="AE786" s="0" t="s">
        <v>295</v>
      </c>
      <c r="AH786" s="0" t="n">
        <v>11</v>
      </c>
      <c r="AJ786" s="0" t="n">
        <v>41</v>
      </c>
      <c r="AP786" s="0" t="n">
        <v>200000</v>
      </c>
      <c r="DB786" s="0" t="str">
        <f aca="false">IF($A786="","",IF($AH786=20,IF(AND(OR($A786=21,$A786=215),$AJ786=10),"①病院一般",IF(AND($A786=31,$AJ786=41),"②病院短期","対象外")),IF($AJ786=30,"③特定消防",IF(AND(OR($A786=21,$A786=215),$AJ786=10),"④一般",IF(AND($A786=31,$AJ786=41),"⑤短期","対象外")))))</f>
        <v>⑤短期</v>
      </c>
      <c r="DC786" s="0" t="n">
        <f aca="false">IF($A786="","",IF($AB786&amp;""=設定!$C$4,1,0))</f>
        <v>1</v>
      </c>
    </row>
    <row r="787" customFormat="false" ht="15" hidden="false" customHeight="false" outlineLevel="0" collapsed="false">
      <c r="A787" s="0" t="n">
        <v>31</v>
      </c>
      <c r="AA787" s="0" t="n">
        <v>24</v>
      </c>
      <c r="AB787" s="0" t="s">
        <v>299</v>
      </c>
      <c r="AD787" s="0" t="n">
        <v>0</v>
      </c>
      <c r="AE787" s="0" t="s">
        <v>295</v>
      </c>
      <c r="AH787" s="0" t="n">
        <v>13</v>
      </c>
      <c r="AJ787" s="0" t="n">
        <v>41</v>
      </c>
      <c r="AP787" s="0" t="n">
        <v>142000</v>
      </c>
      <c r="DB787" s="0" t="str">
        <f aca="false">IF($A787="","",IF($AH787=20,IF(AND(OR($A787=21,$A787=215),$AJ787=10),"①病院一般",IF(AND($A787=31,$AJ787=41),"②病院短期","対象外")),IF($AJ787=30,"③特定消防",IF(AND(OR($A787=21,$A787=215),$AJ787=10),"④一般",IF(AND($A787=31,$AJ787=41),"⑤短期","対象外")))))</f>
        <v>⑤短期</v>
      </c>
      <c r="DC787" s="0" t="n">
        <f aca="false">IF($A787="","",IF($AB787&amp;""=設定!$C$4,1,0))</f>
        <v>0</v>
      </c>
    </row>
    <row r="788" customFormat="false" ht="15" hidden="false" customHeight="false" outlineLevel="0" collapsed="false">
      <c r="A788" s="0" t="n">
        <v>31</v>
      </c>
      <c r="AA788" s="0" t="n">
        <v>24</v>
      </c>
      <c r="AB788" s="0" t="s">
        <v>299</v>
      </c>
      <c r="AD788" s="0" t="n">
        <v>0</v>
      </c>
      <c r="AE788" s="0" t="s">
        <v>295</v>
      </c>
      <c r="AH788" s="0" t="n">
        <v>1</v>
      </c>
      <c r="AJ788" s="0" t="n">
        <v>41</v>
      </c>
      <c r="AP788" s="0" t="n">
        <v>126000</v>
      </c>
      <c r="DB788" s="0" t="str">
        <f aca="false">IF($A788="","",IF($AH788=20,IF(AND(OR($A788=21,$A788=215),$AJ788=10),"①病院一般",IF(AND($A788=31,$AJ788=41),"②病院短期","対象外")),IF($AJ788=30,"③特定消防",IF(AND(OR($A788=21,$A788=215),$AJ788=10),"④一般",IF(AND($A788=31,$AJ788=41),"⑤短期","対象外")))))</f>
        <v>⑤短期</v>
      </c>
      <c r="DC788" s="0" t="n">
        <f aca="false">IF($A788="","",IF($AB788&amp;""=設定!$C$4,1,0))</f>
        <v>0</v>
      </c>
    </row>
    <row r="789" customFormat="false" ht="15" hidden="false" customHeight="false" outlineLevel="0" collapsed="false">
      <c r="A789" s="0" t="n">
        <v>31</v>
      </c>
      <c r="AA789" s="0" t="n">
        <v>24</v>
      </c>
      <c r="AB789" s="0" t="s">
        <v>294</v>
      </c>
      <c r="AD789" s="0" t="n">
        <v>0</v>
      </c>
      <c r="AE789" s="0" t="s">
        <v>295</v>
      </c>
      <c r="AH789" s="0" t="n">
        <v>1</v>
      </c>
      <c r="AJ789" s="0" t="n">
        <v>41</v>
      </c>
      <c r="AP789" s="0" t="n">
        <v>134000</v>
      </c>
      <c r="DB789" s="0" t="str">
        <f aca="false">IF($A789="","",IF($AH789=20,IF(AND(OR($A789=21,$A789=215),$AJ789=10),"①病院一般",IF(AND($A789=31,$AJ789=41),"②病院短期","対象外")),IF($AJ789=30,"③特定消防",IF(AND(OR($A789=21,$A789=215),$AJ789=10),"④一般",IF(AND($A789=31,$AJ789=41),"⑤短期","対象外")))))</f>
        <v>⑤短期</v>
      </c>
      <c r="DC789" s="0" t="n">
        <f aca="false">IF($A789="","",IF($AB789&amp;""=設定!$C$4,1,0))</f>
        <v>0</v>
      </c>
    </row>
    <row r="790" customFormat="false" ht="15" hidden="false" customHeight="false" outlineLevel="0" collapsed="false">
      <c r="A790" s="0" t="n">
        <v>31</v>
      </c>
      <c r="AA790" s="0" t="n">
        <v>24</v>
      </c>
      <c r="AB790" s="0" t="s">
        <v>96</v>
      </c>
      <c r="AD790" s="0" t="n">
        <v>0</v>
      </c>
      <c r="AE790" s="0" t="s">
        <v>295</v>
      </c>
      <c r="AH790" s="0" t="n">
        <v>1</v>
      </c>
      <c r="AJ790" s="0" t="n">
        <v>41</v>
      </c>
      <c r="AP790" s="0" t="n">
        <v>190000</v>
      </c>
      <c r="DB790" s="0" t="str">
        <f aca="false">IF($A790="","",IF($AH790=20,IF(AND(OR($A790=21,$A790=215),$AJ790=10),"①病院一般",IF(AND($A790=31,$AJ790=41),"②病院短期","対象外")),IF($AJ790=30,"③特定消防",IF(AND(OR($A790=21,$A790=215),$AJ790=10),"④一般",IF(AND($A790=31,$AJ790=41),"⑤短期","対象外")))))</f>
        <v>⑤短期</v>
      </c>
      <c r="DC790" s="0" t="n">
        <f aca="false">IF($A790="","",IF($AB790&amp;""=設定!$C$4,1,0))</f>
        <v>1</v>
      </c>
    </row>
    <row r="791" customFormat="false" ht="15" hidden="false" customHeight="false" outlineLevel="0" collapsed="false">
      <c r="A791" s="0" t="n">
        <v>31</v>
      </c>
      <c r="AA791" s="0" t="n">
        <v>24</v>
      </c>
      <c r="AB791" s="0" t="s">
        <v>298</v>
      </c>
      <c r="AD791" s="0" t="n">
        <v>0</v>
      </c>
      <c r="AE791" s="0" t="s">
        <v>295</v>
      </c>
      <c r="AH791" s="0" t="n">
        <v>11</v>
      </c>
      <c r="AJ791" s="0" t="n">
        <v>41</v>
      </c>
      <c r="AP791" s="0" t="n">
        <v>126000</v>
      </c>
      <c r="DB791" s="0" t="str">
        <f aca="false">IF($A791="","",IF($AH791=20,IF(AND(OR($A791=21,$A791=215),$AJ791=10),"①病院一般",IF(AND($A791=31,$AJ791=41),"②病院短期","対象外")),IF($AJ791=30,"③特定消防",IF(AND(OR($A791=21,$A791=215),$AJ791=10),"④一般",IF(AND($A791=31,$AJ791=41),"⑤短期","対象外")))))</f>
        <v>⑤短期</v>
      </c>
      <c r="DC791" s="0" t="n">
        <f aca="false">IF($A791="","",IF($AB791&amp;""=設定!$C$4,1,0))</f>
        <v>0</v>
      </c>
    </row>
    <row r="792" customFormat="false" ht="15" hidden="false" customHeight="false" outlineLevel="0" collapsed="false">
      <c r="A792" s="0" t="n">
        <v>31</v>
      </c>
      <c r="AA792" s="0" t="n">
        <v>21</v>
      </c>
      <c r="AB792" s="0" t="s">
        <v>96</v>
      </c>
      <c r="AD792" s="0" t="n">
        <v>0</v>
      </c>
      <c r="AE792" s="0" t="s">
        <v>295</v>
      </c>
      <c r="AH792" s="0" t="n">
        <v>1</v>
      </c>
      <c r="AJ792" s="0" t="n">
        <v>41</v>
      </c>
      <c r="AP792" s="0" t="n">
        <v>142000</v>
      </c>
      <c r="DB792" s="0" t="str">
        <f aca="false">IF($A792="","",IF($AH792=20,IF(AND(OR($A792=21,$A792=215),$AJ792=10),"①病院一般",IF(AND($A792=31,$AJ792=41),"②病院短期","対象外")),IF($AJ792=30,"③特定消防",IF(AND(OR($A792=21,$A792=215),$AJ792=10),"④一般",IF(AND($A792=31,$AJ792=41),"⑤短期","対象外")))))</f>
        <v>⑤短期</v>
      </c>
      <c r="DC792" s="0" t="n">
        <f aca="false">IF($A792="","",IF($AB792&amp;""=設定!$C$4,1,0))</f>
        <v>1</v>
      </c>
    </row>
    <row r="793" customFormat="false" ht="15" hidden="false" customHeight="false" outlineLevel="0" collapsed="false">
      <c r="A793" s="0" t="n">
        <v>31</v>
      </c>
      <c r="AA793" s="0" t="n">
        <v>21</v>
      </c>
      <c r="AB793" s="0" t="s">
        <v>321</v>
      </c>
      <c r="AD793" s="0" t="n">
        <v>0</v>
      </c>
      <c r="AE793" s="0" t="s">
        <v>295</v>
      </c>
      <c r="AH793" s="0" t="n">
        <v>1</v>
      </c>
      <c r="AJ793" s="0" t="n">
        <v>41</v>
      </c>
      <c r="AP793" s="0" t="n">
        <v>126000</v>
      </c>
      <c r="DB793" s="0" t="str">
        <f aca="false">IF($A793="","",IF($AH793=20,IF(AND(OR($A793=21,$A793=215),$AJ793=10),"①病院一般",IF(AND($A793=31,$AJ793=41),"②病院短期","対象外")),IF($AJ793=30,"③特定消防",IF(AND(OR($A793=21,$A793=215),$AJ793=10),"④一般",IF(AND($A793=31,$AJ793=41),"⑤短期","対象外")))))</f>
        <v>⑤短期</v>
      </c>
      <c r="DC793" s="0" t="n">
        <f aca="false">IF($A793="","",IF($AB793&amp;""=設定!$C$4,1,0))</f>
        <v>0</v>
      </c>
    </row>
    <row r="794" customFormat="false" ht="15" hidden="false" customHeight="false" outlineLevel="0" collapsed="false">
      <c r="A794" s="0" t="n">
        <v>31</v>
      </c>
      <c r="AA794" s="0" t="n">
        <v>24</v>
      </c>
      <c r="AB794" s="0" t="s">
        <v>322</v>
      </c>
      <c r="AD794" s="0" t="n">
        <v>0</v>
      </c>
      <c r="AE794" s="0" t="s">
        <v>295</v>
      </c>
      <c r="AH794" s="0" t="n">
        <v>1</v>
      </c>
      <c r="AJ794" s="0" t="n">
        <v>41</v>
      </c>
      <c r="AP794" s="0" t="n">
        <v>110000</v>
      </c>
      <c r="DB794" s="0" t="str">
        <f aca="false">IF($A794="","",IF($AH794=20,IF(AND(OR($A794=21,$A794=215),$AJ794=10),"①病院一般",IF(AND($A794=31,$AJ794=41),"②病院短期","対象外")),IF($AJ794=30,"③特定消防",IF(AND(OR($A794=21,$A794=215),$AJ794=10),"④一般",IF(AND($A794=31,$AJ794=41),"⑤短期","対象外")))))</f>
        <v>⑤短期</v>
      </c>
      <c r="DC794" s="0" t="n">
        <f aca="false">IF($A794="","",IF($AB794&amp;""=設定!$C$4,1,0))</f>
        <v>0</v>
      </c>
    </row>
    <row r="795" customFormat="false" ht="15" hidden="false" customHeight="false" outlineLevel="0" collapsed="false">
      <c r="A795" s="0" t="n">
        <v>31</v>
      </c>
      <c r="AA795" s="0" t="n">
        <v>21</v>
      </c>
      <c r="AB795" s="0" t="s">
        <v>312</v>
      </c>
      <c r="AD795" s="0" t="n">
        <v>0</v>
      </c>
      <c r="AE795" s="0" t="s">
        <v>295</v>
      </c>
      <c r="AH795" s="0" t="n">
        <v>11</v>
      </c>
      <c r="AJ795" s="0" t="n">
        <v>41</v>
      </c>
      <c r="AP795" s="0" t="n">
        <v>78000</v>
      </c>
      <c r="DB795" s="0" t="str">
        <f aca="false">IF($A795="","",IF($AH795=20,IF(AND(OR($A795=21,$A795=215),$AJ795=10),"①病院一般",IF(AND($A795=31,$AJ795=41),"②病院短期","対象外")),IF($AJ795=30,"③特定消防",IF(AND(OR($A795=21,$A795=215),$AJ795=10),"④一般",IF(AND($A795=31,$AJ795=41),"⑤短期","対象外")))))</f>
        <v>⑤短期</v>
      </c>
      <c r="DC795" s="0" t="n">
        <f aca="false">IF($A795="","",IF($AB795&amp;""=設定!$C$4,1,0))</f>
        <v>0</v>
      </c>
    </row>
    <row r="796" customFormat="false" ht="15" hidden="false" customHeight="false" outlineLevel="0" collapsed="false">
      <c r="A796" s="0" t="n">
        <v>31</v>
      </c>
      <c r="AA796" s="0" t="n">
        <v>24</v>
      </c>
      <c r="AB796" s="0" t="s">
        <v>296</v>
      </c>
      <c r="AD796" s="0" t="n">
        <v>0</v>
      </c>
      <c r="AE796" s="0" t="s">
        <v>295</v>
      </c>
      <c r="AH796" s="0" t="n">
        <v>1</v>
      </c>
      <c r="AJ796" s="0" t="n">
        <v>41</v>
      </c>
      <c r="AP796" s="0" t="n">
        <v>134000</v>
      </c>
      <c r="DB796" s="0" t="str">
        <f aca="false">IF($A796="","",IF($AH796=20,IF(AND(OR($A796=21,$A796=215),$AJ796=10),"①病院一般",IF(AND($A796=31,$AJ796=41),"②病院短期","対象外")),IF($AJ796=30,"③特定消防",IF(AND(OR($A796=21,$A796=215),$AJ796=10),"④一般",IF(AND($A796=31,$AJ796=41),"⑤短期","対象外")))))</f>
        <v>⑤短期</v>
      </c>
      <c r="DC796" s="0" t="n">
        <f aca="false">IF($A796="","",IF($AB796&amp;""=設定!$C$4,1,0))</f>
        <v>0</v>
      </c>
    </row>
    <row r="797" customFormat="false" ht="15" hidden="false" customHeight="false" outlineLevel="0" collapsed="false">
      <c r="A797" s="0" t="n">
        <v>31</v>
      </c>
      <c r="AA797" s="0" t="n">
        <v>21</v>
      </c>
      <c r="AB797" s="0" t="s">
        <v>317</v>
      </c>
      <c r="AD797" s="0" t="n">
        <v>0</v>
      </c>
      <c r="AE797" s="0" t="s">
        <v>295</v>
      </c>
      <c r="AH797" s="0" t="n">
        <v>1</v>
      </c>
      <c r="AJ797" s="0" t="n">
        <v>41</v>
      </c>
      <c r="AP797" s="0" t="n">
        <v>142000</v>
      </c>
      <c r="DB797" s="0" t="str">
        <f aca="false">IF($A797="","",IF($AH797=20,IF(AND(OR($A797=21,$A797=215),$AJ797=10),"①病院一般",IF(AND($A797=31,$AJ797=41),"②病院短期","対象外")),IF($AJ797=30,"③特定消防",IF(AND(OR($A797=21,$A797=215),$AJ797=10),"④一般",IF(AND($A797=31,$AJ797=41),"⑤短期","対象外")))))</f>
        <v>⑤短期</v>
      </c>
      <c r="DC797" s="0" t="n">
        <f aca="false">IF($A797="","",IF($AB797&amp;""=設定!$C$4,1,0))</f>
        <v>0</v>
      </c>
    </row>
    <row r="798" customFormat="false" ht="15" hidden="false" customHeight="false" outlineLevel="0" collapsed="false">
      <c r="A798" s="0" t="n">
        <v>31</v>
      </c>
      <c r="AA798" s="0" t="n">
        <v>21</v>
      </c>
      <c r="AB798" s="0" t="s">
        <v>96</v>
      </c>
      <c r="AD798" s="0" t="n">
        <v>0</v>
      </c>
      <c r="AE798" s="0" t="s">
        <v>295</v>
      </c>
      <c r="AH798" s="0" t="n">
        <v>5</v>
      </c>
      <c r="AJ798" s="0" t="n">
        <v>41</v>
      </c>
      <c r="AP798" s="0" t="n">
        <v>200000</v>
      </c>
      <c r="DB798" s="0" t="str">
        <f aca="false">IF($A798="","",IF($AH798=20,IF(AND(OR($A798=21,$A798=215),$AJ798=10),"①病院一般",IF(AND($A798=31,$AJ798=41),"②病院短期","対象外")),IF($AJ798=30,"③特定消防",IF(AND(OR($A798=21,$A798=215),$AJ798=10),"④一般",IF(AND($A798=31,$AJ798=41),"⑤短期","対象外")))))</f>
        <v>⑤短期</v>
      </c>
      <c r="DC798" s="0" t="n">
        <f aca="false">IF($A798="","",IF($AB798&amp;""=設定!$C$4,1,0))</f>
        <v>1</v>
      </c>
    </row>
    <row r="799" customFormat="false" ht="15" hidden="false" customHeight="false" outlineLevel="0" collapsed="false">
      <c r="A799" s="0" t="n">
        <v>31</v>
      </c>
      <c r="AA799" s="0" t="n">
        <v>21</v>
      </c>
      <c r="AB799" s="0" t="s">
        <v>96</v>
      </c>
      <c r="AD799" s="0" t="n">
        <v>0</v>
      </c>
      <c r="AE799" s="0" t="s">
        <v>295</v>
      </c>
      <c r="AH799" s="0" t="n">
        <v>11</v>
      </c>
      <c r="AJ799" s="0" t="n">
        <v>41</v>
      </c>
      <c r="AP799" s="0" t="n">
        <v>240000</v>
      </c>
      <c r="DB799" s="0" t="str">
        <f aca="false">IF($A799="","",IF($AH799=20,IF(AND(OR($A799=21,$A799=215),$AJ799=10),"①病院一般",IF(AND($A799=31,$AJ799=41),"②病院短期","対象外")),IF($AJ799=30,"③特定消防",IF(AND(OR($A799=21,$A799=215),$AJ799=10),"④一般",IF(AND($A799=31,$AJ799=41),"⑤短期","対象外")))))</f>
        <v>⑤短期</v>
      </c>
      <c r="DC799" s="0" t="n">
        <f aca="false">IF($A799="","",IF($AB799&amp;""=設定!$C$4,1,0))</f>
        <v>1</v>
      </c>
    </row>
    <row r="800" customFormat="false" ht="15" hidden="false" customHeight="false" outlineLevel="0" collapsed="false">
      <c r="A800" s="0" t="n">
        <v>31</v>
      </c>
      <c r="AA800" s="0" t="n">
        <v>21</v>
      </c>
      <c r="AB800" s="0" t="s">
        <v>323</v>
      </c>
      <c r="AD800" s="0" t="n">
        <v>0</v>
      </c>
      <c r="AE800" s="0" t="s">
        <v>295</v>
      </c>
      <c r="AH800" s="0" t="n">
        <v>11</v>
      </c>
      <c r="AJ800" s="0" t="n">
        <v>41</v>
      </c>
      <c r="AP800" s="0" t="n">
        <v>260000</v>
      </c>
      <c r="DB800" s="0" t="str">
        <f aca="false">IF($A800="","",IF($AH800=20,IF(AND(OR($A800=21,$A800=215),$AJ800=10),"①病院一般",IF(AND($A800=31,$AJ800=41),"②病院短期","対象外")),IF($AJ800=30,"③特定消防",IF(AND(OR($A800=21,$A800=215),$AJ800=10),"④一般",IF(AND($A800=31,$AJ800=41),"⑤短期","対象外")))))</f>
        <v>⑤短期</v>
      </c>
      <c r="DC800" s="0" t="n">
        <f aca="false">IF($A800="","",IF($AB800&amp;""=設定!$C$4,1,0))</f>
        <v>0</v>
      </c>
    </row>
    <row r="801" customFormat="false" ht="15" hidden="false" customHeight="false" outlineLevel="0" collapsed="false">
      <c r="A801" s="0" t="n">
        <v>31</v>
      </c>
      <c r="AA801" s="0" t="n">
        <v>24</v>
      </c>
      <c r="AB801" s="0" t="s">
        <v>298</v>
      </c>
      <c r="AD801" s="0" t="n">
        <v>0</v>
      </c>
      <c r="AE801" s="0" t="s">
        <v>295</v>
      </c>
      <c r="AH801" s="0" t="n">
        <v>11</v>
      </c>
      <c r="AJ801" s="0" t="n">
        <v>41</v>
      </c>
      <c r="AP801" s="0" t="n">
        <v>134000</v>
      </c>
      <c r="DB801" s="0" t="str">
        <f aca="false">IF($A801="","",IF($AH801=20,IF(AND(OR($A801=21,$A801=215),$AJ801=10),"①病院一般",IF(AND($A801=31,$AJ801=41),"②病院短期","対象外")),IF($AJ801=30,"③特定消防",IF(AND(OR($A801=21,$A801=215),$AJ801=10),"④一般",IF(AND($A801=31,$AJ801=41),"⑤短期","対象外")))))</f>
        <v>⑤短期</v>
      </c>
      <c r="DC801" s="0" t="n">
        <f aca="false">IF($A801="","",IF($AB801&amp;""=設定!$C$4,1,0))</f>
        <v>0</v>
      </c>
    </row>
    <row r="802" customFormat="false" ht="15" hidden="false" customHeight="false" outlineLevel="0" collapsed="false">
      <c r="A802" s="0" t="n">
        <v>31</v>
      </c>
      <c r="AA802" s="0" t="n">
        <v>21</v>
      </c>
      <c r="AB802" s="0" t="s">
        <v>318</v>
      </c>
      <c r="AD802" s="0" t="n">
        <v>0</v>
      </c>
      <c r="AE802" s="0" t="s">
        <v>295</v>
      </c>
      <c r="AH802" s="0" t="n">
        <v>11</v>
      </c>
      <c r="AJ802" s="0" t="n">
        <v>41</v>
      </c>
      <c r="AP802" s="0" t="n">
        <v>126000</v>
      </c>
      <c r="DB802" s="0" t="str">
        <f aca="false">IF($A802="","",IF($AH802=20,IF(AND(OR($A802=21,$A802=215),$AJ802=10),"①病院一般",IF(AND($A802=31,$AJ802=41),"②病院短期","対象外")),IF($AJ802=30,"③特定消防",IF(AND(OR($A802=21,$A802=215),$AJ802=10),"④一般",IF(AND($A802=31,$AJ802=41),"⑤短期","対象外")))))</f>
        <v>⑤短期</v>
      </c>
      <c r="DC802" s="0" t="n">
        <f aca="false">IF($A802="","",IF($AB802&amp;""=設定!$C$4,1,0))</f>
        <v>0</v>
      </c>
    </row>
    <row r="803" customFormat="false" ht="15" hidden="false" customHeight="false" outlineLevel="0" collapsed="false">
      <c r="A803" s="0" t="n">
        <v>31</v>
      </c>
      <c r="AA803" s="0" t="n">
        <v>24</v>
      </c>
      <c r="AB803" s="0" t="s">
        <v>96</v>
      </c>
      <c r="AD803" s="0" t="n">
        <v>0</v>
      </c>
      <c r="AE803" s="0" t="s">
        <v>295</v>
      </c>
      <c r="AH803" s="0" t="n">
        <v>11</v>
      </c>
      <c r="AJ803" s="0" t="n">
        <v>41</v>
      </c>
      <c r="AP803" s="0" t="n">
        <v>280000</v>
      </c>
      <c r="DB803" s="0" t="str">
        <f aca="false">IF($A803="","",IF($AH803=20,IF(AND(OR($A803=21,$A803=215),$AJ803=10),"①病院一般",IF(AND($A803=31,$AJ803=41),"②病院短期","対象外")),IF($AJ803=30,"③特定消防",IF(AND(OR($A803=21,$A803=215),$AJ803=10),"④一般",IF(AND($A803=31,$AJ803=41),"⑤短期","対象外")))))</f>
        <v>⑤短期</v>
      </c>
      <c r="DC803" s="0" t="n">
        <f aca="false">IF($A803="","",IF($AB803&amp;""=設定!$C$4,1,0))</f>
        <v>1</v>
      </c>
    </row>
    <row r="804" customFormat="false" ht="15" hidden="false" customHeight="false" outlineLevel="0" collapsed="false">
      <c r="A804" s="0" t="n">
        <v>31</v>
      </c>
      <c r="AA804" s="0" t="n">
        <v>24</v>
      </c>
      <c r="AB804" s="0" t="s">
        <v>324</v>
      </c>
      <c r="AD804" s="0" t="n">
        <v>12</v>
      </c>
      <c r="AE804" s="0" t="s">
        <v>325</v>
      </c>
      <c r="AH804" s="0" t="n">
        <v>1</v>
      </c>
      <c r="AJ804" s="0" t="n">
        <v>41</v>
      </c>
      <c r="AP804" s="0" t="n">
        <v>150000</v>
      </c>
      <c r="DB804" s="0" t="str">
        <f aca="false">IF($A804="","",IF($AH804=20,IF(AND(OR($A804=21,$A804=215),$AJ804=10),"①病院一般",IF(AND($A804=31,$AJ804=41),"②病院短期","対象外")),IF($AJ804=30,"③特定消防",IF(AND(OR($A804=21,$A804=215),$AJ804=10),"④一般",IF(AND($A804=31,$AJ804=41),"⑤短期","対象外")))))</f>
        <v>⑤短期</v>
      </c>
      <c r="DC804" s="0" t="n">
        <f aca="false">IF($A804="","",IF($AB804&amp;""=設定!$C$4,1,0))</f>
        <v>0</v>
      </c>
    </row>
    <row r="805" customFormat="false" ht="15" hidden="false" customHeight="false" outlineLevel="0" collapsed="false">
      <c r="A805" s="0" t="n">
        <v>31</v>
      </c>
      <c r="AA805" s="0" t="n">
        <v>24</v>
      </c>
      <c r="AB805" s="0" t="s">
        <v>299</v>
      </c>
      <c r="AD805" s="0" t="n">
        <v>12</v>
      </c>
      <c r="AE805" s="0" t="s">
        <v>301</v>
      </c>
      <c r="AH805" s="0" t="n">
        <v>1</v>
      </c>
      <c r="AJ805" s="0" t="n">
        <v>41</v>
      </c>
      <c r="AP805" s="0" t="n">
        <v>142000</v>
      </c>
      <c r="DB805" s="0" t="str">
        <f aca="false">IF($A805="","",IF($AH805=20,IF(AND(OR($A805=21,$A805=215),$AJ805=10),"①病院一般",IF(AND($A805=31,$AJ805=41),"②病院短期","対象外")),IF($AJ805=30,"③特定消防",IF(AND(OR($A805=21,$A805=215),$AJ805=10),"④一般",IF(AND($A805=31,$AJ805=41),"⑤短期","対象外")))))</f>
        <v>⑤短期</v>
      </c>
      <c r="DC805" s="0" t="n">
        <f aca="false">IF($A805="","",IF($AB805&amp;""=設定!$C$4,1,0))</f>
        <v>0</v>
      </c>
    </row>
    <row r="806" customFormat="false" ht="15" hidden="false" customHeight="false" outlineLevel="0" collapsed="false">
      <c r="A806" s="0" t="n">
        <v>31</v>
      </c>
      <c r="AA806" s="0" t="n">
        <v>24</v>
      </c>
      <c r="AB806" s="0" t="s">
        <v>96</v>
      </c>
      <c r="AD806" s="0" t="n">
        <v>0</v>
      </c>
      <c r="AE806" s="0" t="s">
        <v>295</v>
      </c>
      <c r="AH806" s="0" t="n">
        <v>11</v>
      </c>
      <c r="AJ806" s="0" t="n">
        <v>41</v>
      </c>
      <c r="AP806" s="0" t="n">
        <v>280000</v>
      </c>
      <c r="DB806" s="0" t="str">
        <f aca="false">IF($A806="","",IF($AH806=20,IF(AND(OR($A806=21,$A806=215),$AJ806=10),"①病院一般",IF(AND($A806=31,$AJ806=41),"②病院短期","対象外")),IF($AJ806=30,"③特定消防",IF(AND(OR($A806=21,$A806=215),$AJ806=10),"④一般",IF(AND($A806=31,$AJ806=41),"⑤短期","対象外")))))</f>
        <v>⑤短期</v>
      </c>
      <c r="DC806" s="0" t="n">
        <f aca="false">IF($A806="","",IF($AB806&amp;""=設定!$C$4,1,0))</f>
        <v>1</v>
      </c>
    </row>
    <row r="807" customFormat="false" ht="15" hidden="false" customHeight="false" outlineLevel="0" collapsed="false">
      <c r="A807" s="0" t="n">
        <v>31</v>
      </c>
      <c r="AA807" s="0" t="n">
        <v>21</v>
      </c>
      <c r="AB807" s="0" t="s">
        <v>96</v>
      </c>
      <c r="AD807" s="0" t="n">
        <v>0</v>
      </c>
      <c r="AE807" s="0" t="s">
        <v>295</v>
      </c>
      <c r="AH807" s="0" t="n">
        <v>1</v>
      </c>
      <c r="AJ807" s="0" t="n">
        <v>41</v>
      </c>
      <c r="AP807" s="0" t="n">
        <v>142000</v>
      </c>
      <c r="DB807" s="0" t="str">
        <f aca="false">IF($A807="","",IF($AH807=20,IF(AND(OR($A807=21,$A807=215),$AJ807=10),"①病院一般",IF(AND($A807=31,$AJ807=41),"②病院短期","対象外")),IF($AJ807=30,"③特定消防",IF(AND(OR($A807=21,$A807=215),$AJ807=10),"④一般",IF(AND($A807=31,$AJ807=41),"⑤短期","対象外")))))</f>
        <v>⑤短期</v>
      </c>
      <c r="DC807" s="0" t="n">
        <f aca="false">IF($A807="","",IF($AB807&amp;""=設定!$C$4,1,0))</f>
        <v>1</v>
      </c>
    </row>
    <row r="808" customFormat="false" ht="15" hidden="false" customHeight="false" outlineLevel="0" collapsed="false">
      <c r="A808" s="0" t="n">
        <v>31</v>
      </c>
      <c r="AA808" s="0" t="n">
        <v>21</v>
      </c>
      <c r="AB808" s="0" t="s">
        <v>301</v>
      </c>
      <c r="AD808" s="0" t="n">
        <v>0</v>
      </c>
      <c r="AE808" s="0" t="s">
        <v>295</v>
      </c>
      <c r="AH808" s="0" t="n">
        <v>1</v>
      </c>
      <c r="AJ808" s="0" t="n">
        <v>41</v>
      </c>
      <c r="AP808" s="0" t="n">
        <v>220000</v>
      </c>
      <c r="DB808" s="0" t="str">
        <f aca="false">IF($A808="","",IF($AH808=20,IF(AND(OR($A808=21,$A808=215),$AJ808=10),"①病院一般",IF(AND($A808=31,$AJ808=41),"②病院短期","対象外")),IF($AJ808=30,"③特定消防",IF(AND(OR($A808=21,$A808=215),$AJ808=10),"④一般",IF(AND($A808=31,$AJ808=41),"⑤短期","対象外")))))</f>
        <v>⑤短期</v>
      </c>
      <c r="DC808" s="0" t="n">
        <f aca="false">IF($A808="","",IF($AB808&amp;""=設定!$C$4,1,0))</f>
        <v>0</v>
      </c>
    </row>
    <row r="809" customFormat="false" ht="15" hidden="false" customHeight="false" outlineLevel="0" collapsed="false">
      <c r="A809" s="0" t="n">
        <v>31</v>
      </c>
      <c r="AA809" s="0" t="n">
        <v>24</v>
      </c>
      <c r="AB809" s="0" t="s">
        <v>301</v>
      </c>
      <c r="AD809" s="0" t="n">
        <v>0</v>
      </c>
      <c r="AE809" s="0" t="s">
        <v>295</v>
      </c>
      <c r="AH809" s="0" t="n">
        <v>1</v>
      </c>
      <c r="AJ809" s="0" t="n">
        <v>41</v>
      </c>
      <c r="AP809" s="0" t="n">
        <v>126000</v>
      </c>
      <c r="DB809" s="0" t="str">
        <f aca="false">IF($A809="","",IF($AH809=20,IF(AND(OR($A809=21,$A809=215),$AJ809=10),"①病院一般",IF(AND($A809=31,$AJ809=41),"②病院短期","対象外")),IF($AJ809=30,"③特定消防",IF(AND(OR($A809=21,$A809=215),$AJ809=10),"④一般",IF(AND($A809=31,$AJ809=41),"⑤短期","対象外")))))</f>
        <v>⑤短期</v>
      </c>
      <c r="DC809" s="0" t="n">
        <f aca="false">IF($A809="","",IF($AB809&amp;""=設定!$C$4,1,0))</f>
        <v>0</v>
      </c>
    </row>
    <row r="810" customFormat="false" ht="15" hidden="false" customHeight="false" outlineLevel="0" collapsed="false">
      <c r="A810" s="0" t="n">
        <v>31</v>
      </c>
      <c r="AA810" s="0" t="n">
        <v>21</v>
      </c>
      <c r="AB810" s="0" t="s">
        <v>96</v>
      </c>
      <c r="AD810" s="0" t="n">
        <v>0</v>
      </c>
      <c r="AE810" s="0" t="s">
        <v>295</v>
      </c>
      <c r="AH810" s="0" t="n">
        <v>1</v>
      </c>
      <c r="AJ810" s="0" t="n">
        <v>41</v>
      </c>
      <c r="AP810" s="0" t="n">
        <v>134000</v>
      </c>
      <c r="DB810" s="0" t="str">
        <f aca="false">IF($A810="","",IF($AH810=20,IF(AND(OR($A810=21,$A810=215),$AJ810=10),"①病院一般",IF(AND($A810=31,$AJ810=41),"②病院短期","対象外")),IF($AJ810=30,"③特定消防",IF(AND(OR($A810=21,$A810=215),$AJ810=10),"④一般",IF(AND($A810=31,$AJ810=41),"⑤短期","対象外")))))</f>
        <v>⑤短期</v>
      </c>
      <c r="DC810" s="0" t="n">
        <f aca="false">IF($A810="","",IF($AB810&amp;""=設定!$C$4,1,0))</f>
        <v>1</v>
      </c>
    </row>
    <row r="811" customFormat="false" ht="15" hidden="false" customHeight="false" outlineLevel="0" collapsed="false">
      <c r="A811" s="0" t="n">
        <v>31</v>
      </c>
      <c r="AA811" s="0" t="n">
        <v>21</v>
      </c>
      <c r="AB811" s="0" t="s">
        <v>96</v>
      </c>
      <c r="AD811" s="0" t="n">
        <v>0</v>
      </c>
      <c r="AE811" s="0" t="s">
        <v>295</v>
      </c>
      <c r="AH811" s="0" t="n">
        <v>1</v>
      </c>
      <c r="AJ811" s="0" t="n">
        <v>41</v>
      </c>
      <c r="AP811" s="0" t="n">
        <v>260000</v>
      </c>
      <c r="DB811" s="0" t="str">
        <f aca="false">IF($A811="","",IF($AH811=20,IF(AND(OR($A811=21,$A811=215),$AJ811=10),"①病院一般",IF(AND($A811=31,$AJ811=41),"②病院短期","対象外")),IF($AJ811=30,"③特定消防",IF(AND(OR($A811=21,$A811=215),$AJ811=10),"④一般",IF(AND($A811=31,$AJ811=41),"⑤短期","対象外")))))</f>
        <v>⑤短期</v>
      </c>
      <c r="DC811" s="0" t="n">
        <f aca="false">IF($A811="","",IF($AB811&amp;""=設定!$C$4,1,0))</f>
        <v>1</v>
      </c>
    </row>
    <row r="812" customFormat="false" ht="15" hidden="false" customHeight="false" outlineLevel="0" collapsed="false">
      <c r="A812" s="0" t="n">
        <v>31</v>
      </c>
      <c r="AA812" s="0" t="n">
        <v>24</v>
      </c>
      <c r="AB812" s="0" t="s">
        <v>318</v>
      </c>
      <c r="AD812" s="0" t="n">
        <v>0</v>
      </c>
      <c r="AE812" s="0" t="s">
        <v>295</v>
      </c>
      <c r="AH812" s="0" t="n">
        <v>11</v>
      </c>
      <c r="AJ812" s="0" t="n">
        <v>41</v>
      </c>
      <c r="AP812" s="0" t="n">
        <v>134000</v>
      </c>
      <c r="DB812" s="0" t="str">
        <f aca="false">IF($A812="","",IF($AH812=20,IF(AND(OR($A812=21,$A812=215),$AJ812=10),"①病院一般",IF(AND($A812=31,$AJ812=41),"②病院短期","対象外")),IF($AJ812=30,"③特定消防",IF(AND(OR($A812=21,$A812=215),$AJ812=10),"④一般",IF(AND($A812=31,$AJ812=41),"⑤短期","対象外")))))</f>
        <v>⑤短期</v>
      </c>
      <c r="DC812" s="0" t="n">
        <f aca="false">IF($A812="","",IF($AB812&amp;""=設定!$C$4,1,0))</f>
        <v>0</v>
      </c>
    </row>
    <row r="813" customFormat="false" ht="15" hidden="false" customHeight="false" outlineLevel="0" collapsed="false">
      <c r="A813" s="0" t="n">
        <v>31</v>
      </c>
      <c r="AA813" s="0" t="n">
        <v>24</v>
      </c>
      <c r="AB813" s="0" t="s">
        <v>299</v>
      </c>
      <c r="AD813" s="0" t="n">
        <v>0</v>
      </c>
      <c r="AE813" s="0" t="s">
        <v>295</v>
      </c>
      <c r="AH813" s="0" t="n">
        <v>1</v>
      </c>
      <c r="AJ813" s="0" t="n">
        <v>41</v>
      </c>
      <c r="AP813" s="0" t="n">
        <v>134000</v>
      </c>
      <c r="DB813" s="0" t="str">
        <f aca="false">IF($A813="","",IF($AH813=20,IF(AND(OR($A813=21,$A813=215),$AJ813=10),"①病院一般",IF(AND($A813=31,$AJ813=41),"②病院短期","対象外")),IF($AJ813=30,"③特定消防",IF(AND(OR($A813=21,$A813=215),$AJ813=10),"④一般",IF(AND($A813=31,$AJ813=41),"⑤短期","対象外")))))</f>
        <v>⑤短期</v>
      </c>
      <c r="DC813" s="0" t="n">
        <f aca="false">IF($A813="","",IF($AB813&amp;""=設定!$C$4,1,0))</f>
        <v>0</v>
      </c>
    </row>
    <row r="814" customFormat="false" ht="15" hidden="false" customHeight="false" outlineLevel="0" collapsed="false">
      <c r="A814" s="0" t="n">
        <v>31</v>
      </c>
      <c r="AA814" s="0" t="n">
        <v>21</v>
      </c>
      <c r="AB814" s="0" t="s">
        <v>303</v>
      </c>
      <c r="AD814" s="0" t="n">
        <v>0</v>
      </c>
      <c r="AE814" s="0" t="s">
        <v>295</v>
      </c>
      <c r="AH814" s="0" t="n">
        <v>1</v>
      </c>
      <c r="AJ814" s="0" t="n">
        <v>41</v>
      </c>
      <c r="AP814" s="0" t="n">
        <v>142000</v>
      </c>
      <c r="DB814" s="0" t="str">
        <f aca="false">IF($A814="","",IF($AH814=20,IF(AND(OR($A814=21,$A814=215),$AJ814=10),"①病院一般",IF(AND($A814=31,$AJ814=41),"②病院短期","対象外")),IF($AJ814=30,"③特定消防",IF(AND(OR($A814=21,$A814=215),$AJ814=10),"④一般",IF(AND($A814=31,$AJ814=41),"⑤短期","対象外")))))</f>
        <v>⑤短期</v>
      </c>
      <c r="DC814" s="0" t="n">
        <f aca="false">IF($A814="","",IF($AB814&amp;""=設定!$C$4,1,0))</f>
        <v>0</v>
      </c>
    </row>
    <row r="815" customFormat="false" ht="15" hidden="false" customHeight="false" outlineLevel="0" collapsed="false">
      <c r="A815" s="0" t="n">
        <v>31</v>
      </c>
      <c r="AA815" s="0" t="n">
        <v>24</v>
      </c>
      <c r="AB815" s="0" t="s">
        <v>301</v>
      </c>
      <c r="AD815" s="0" t="n">
        <v>0</v>
      </c>
      <c r="AE815" s="0" t="s">
        <v>295</v>
      </c>
      <c r="AH815" s="0" t="n">
        <v>1</v>
      </c>
      <c r="AJ815" s="0" t="n">
        <v>41</v>
      </c>
      <c r="AP815" s="0" t="n">
        <v>142000</v>
      </c>
      <c r="DB815" s="0" t="str">
        <f aca="false">IF($A815="","",IF($AH815=20,IF(AND(OR($A815=21,$A815=215),$AJ815=10),"①病院一般",IF(AND($A815=31,$AJ815=41),"②病院短期","対象外")),IF($AJ815=30,"③特定消防",IF(AND(OR($A815=21,$A815=215),$AJ815=10),"④一般",IF(AND($A815=31,$AJ815=41),"⑤短期","対象外")))))</f>
        <v>⑤短期</v>
      </c>
      <c r="DC815" s="0" t="n">
        <f aca="false">IF($A815="","",IF($AB815&amp;""=設定!$C$4,1,0))</f>
        <v>0</v>
      </c>
    </row>
    <row r="816" customFormat="false" ht="15" hidden="false" customHeight="false" outlineLevel="0" collapsed="false">
      <c r="A816" s="0" t="n">
        <v>31</v>
      </c>
      <c r="AA816" s="0" t="n">
        <v>24</v>
      </c>
      <c r="AB816" s="0" t="s">
        <v>303</v>
      </c>
      <c r="AD816" s="0" t="n">
        <v>0</v>
      </c>
      <c r="AE816" s="0" t="s">
        <v>295</v>
      </c>
      <c r="AH816" s="0" t="n">
        <v>1</v>
      </c>
      <c r="AJ816" s="0" t="n">
        <v>41</v>
      </c>
      <c r="AP816" s="0" t="n">
        <v>134000</v>
      </c>
      <c r="DB816" s="0" t="str">
        <f aca="false">IF($A816="","",IF($AH816=20,IF(AND(OR($A816=21,$A816=215),$AJ816=10),"①病院一般",IF(AND($A816=31,$AJ816=41),"②病院短期","対象外")),IF($AJ816=30,"③特定消防",IF(AND(OR($A816=21,$A816=215),$AJ816=10),"④一般",IF(AND($A816=31,$AJ816=41),"⑤短期","対象外")))))</f>
        <v>⑤短期</v>
      </c>
      <c r="DC816" s="0" t="n">
        <f aca="false">IF($A816="","",IF($AB816&amp;""=設定!$C$4,1,0))</f>
        <v>0</v>
      </c>
    </row>
    <row r="817" customFormat="false" ht="15" hidden="false" customHeight="false" outlineLevel="0" collapsed="false">
      <c r="A817" s="0" t="n">
        <v>31</v>
      </c>
      <c r="AA817" s="0" t="n">
        <v>21</v>
      </c>
      <c r="AB817" s="0" t="s">
        <v>326</v>
      </c>
      <c r="AD817" s="0" t="n">
        <v>0</v>
      </c>
      <c r="AE817" s="0" t="s">
        <v>295</v>
      </c>
      <c r="AH817" s="0" t="n">
        <v>1</v>
      </c>
      <c r="AJ817" s="0" t="n">
        <v>41</v>
      </c>
      <c r="AP817" s="0" t="n">
        <v>190000</v>
      </c>
      <c r="DB817" s="0" t="str">
        <f aca="false">IF($A817="","",IF($AH817=20,IF(AND(OR($A817=21,$A817=215),$AJ817=10),"①病院一般",IF(AND($A817=31,$AJ817=41),"②病院短期","対象外")),IF($AJ817=30,"③特定消防",IF(AND(OR($A817=21,$A817=215),$AJ817=10),"④一般",IF(AND($A817=31,$AJ817=41),"⑤短期","対象外")))))</f>
        <v>⑤短期</v>
      </c>
      <c r="DC817" s="0" t="n">
        <f aca="false">IF($A817="","",IF($AB817&amp;""=設定!$C$4,1,0))</f>
        <v>0</v>
      </c>
    </row>
    <row r="818" customFormat="false" ht="15" hidden="false" customHeight="false" outlineLevel="0" collapsed="false">
      <c r="A818" s="0" t="n">
        <v>31</v>
      </c>
      <c r="AA818" s="0" t="n">
        <v>21</v>
      </c>
      <c r="AB818" s="0" t="s">
        <v>96</v>
      </c>
      <c r="AD818" s="0" t="n">
        <v>0</v>
      </c>
      <c r="AE818" s="0" t="s">
        <v>295</v>
      </c>
      <c r="AH818" s="0" t="n">
        <v>1</v>
      </c>
      <c r="AJ818" s="0" t="n">
        <v>41</v>
      </c>
      <c r="AP818" s="0" t="n">
        <v>142000</v>
      </c>
      <c r="DB818" s="0" t="str">
        <f aca="false">IF($A818="","",IF($AH818=20,IF(AND(OR($A818=21,$A818=215),$AJ818=10),"①病院一般",IF(AND($A818=31,$AJ818=41),"②病院短期","対象外")),IF($AJ818=30,"③特定消防",IF(AND(OR($A818=21,$A818=215),$AJ818=10),"④一般",IF(AND($A818=31,$AJ818=41),"⑤短期","対象外")))))</f>
        <v>⑤短期</v>
      </c>
      <c r="DC818" s="0" t="n">
        <f aca="false">IF($A818="","",IF($AB818&amp;""=設定!$C$4,1,0))</f>
        <v>1</v>
      </c>
    </row>
    <row r="819" customFormat="false" ht="15" hidden="false" customHeight="false" outlineLevel="0" collapsed="false">
      <c r="A819" s="0" t="n">
        <v>31</v>
      </c>
      <c r="AA819" s="0" t="n">
        <v>24</v>
      </c>
      <c r="AB819" s="0" t="s">
        <v>296</v>
      </c>
      <c r="AD819" s="0" t="n">
        <v>0</v>
      </c>
      <c r="AE819" s="0" t="s">
        <v>295</v>
      </c>
      <c r="AH819" s="0" t="n">
        <v>1</v>
      </c>
      <c r="AJ819" s="0" t="n">
        <v>41</v>
      </c>
      <c r="AP819" s="0" t="n">
        <v>134000</v>
      </c>
      <c r="DB819" s="0" t="str">
        <f aca="false">IF($A819="","",IF($AH819=20,IF(AND(OR($A819=21,$A819=215),$AJ819=10),"①病院一般",IF(AND($A819=31,$AJ819=41),"②病院短期","対象外")),IF($AJ819=30,"③特定消防",IF(AND(OR($A819=21,$A819=215),$AJ819=10),"④一般",IF(AND($A819=31,$AJ819=41),"⑤短期","対象外")))))</f>
        <v>⑤短期</v>
      </c>
      <c r="DC819" s="0" t="n">
        <f aca="false">IF($A819="","",IF($AB819&amp;""=設定!$C$4,1,0))</f>
        <v>0</v>
      </c>
    </row>
    <row r="820" customFormat="false" ht="15" hidden="false" customHeight="false" outlineLevel="0" collapsed="false">
      <c r="A820" s="0" t="n">
        <v>31</v>
      </c>
      <c r="AA820" s="0" t="n">
        <v>24</v>
      </c>
      <c r="AB820" s="0" t="s">
        <v>327</v>
      </c>
      <c r="AD820" s="0" t="n">
        <v>0</v>
      </c>
      <c r="AE820" s="0" t="s">
        <v>295</v>
      </c>
      <c r="AH820" s="0" t="n">
        <v>1</v>
      </c>
      <c r="AJ820" s="0" t="n">
        <v>41</v>
      </c>
      <c r="AP820" s="0" t="n">
        <v>260000</v>
      </c>
      <c r="DB820" s="0" t="str">
        <f aca="false">IF($A820="","",IF($AH820=20,IF(AND(OR($A820=21,$A820=215),$AJ820=10),"①病院一般",IF(AND($A820=31,$AJ820=41),"②病院短期","対象外")),IF($AJ820=30,"③特定消防",IF(AND(OR($A820=21,$A820=215),$AJ820=10),"④一般",IF(AND($A820=31,$AJ820=41),"⑤短期","対象外")))))</f>
        <v>⑤短期</v>
      </c>
      <c r="DC820" s="0" t="n">
        <f aca="false">IF($A820="","",IF($AB820&amp;""=設定!$C$4,1,0))</f>
        <v>0</v>
      </c>
    </row>
    <row r="821" customFormat="false" ht="15" hidden="false" customHeight="false" outlineLevel="0" collapsed="false">
      <c r="A821" s="0" t="n">
        <v>31</v>
      </c>
      <c r="AA821" s="0" t="n">
        <v>24</v>
      </c>
      <c r="AB821" s="0" t="s">
        <v>96</v>
      </c>
      <c r="AD821" s="0" t="n">
        <v>0</v>
      </c>
      <c r="AE821" s="0" t="s">
        <v>295</v>
      </c>
      <c r="AH821" s="0" t="n">
        <v>1</v>
      </c>
      <c r="AJ821" s="0" t="n">
        <v>41</v>
      </c>
      <c r="AP821" s="0" t="n">
        <v>134000</v>
      </c>
      <c r="DB821" s="0" t="str">
        <f aca="false">IF($A821="","",IF($AH821=20,IF(AND(OR($A821=21,$A821=215),$AJ821=10),"①病院一般",IF(AND($A821=31,$AJ821=41),"②病院短期","対象外")),IF($AJ821=30,"③特定消防",IF(AND(OR($A821=21,$A821=215),$AJ821=10),"④一般",IF(AND($A821=31,$AJ821=41),"⑤短期","対象外")))))</f>
        <v>⑤短期</v>
      </c>
      <c r="DC821" s="0" t="n">
        <f aca="false">IF($A821="","",IF($AB821&amp;""=設定!$C$4,1,0))</f>
        <v>1</v>
      </c>
    </row>
    <row r="822" customFormat="false" ht="15" hidden="false" customHeight="false" outlineLevel="0" collapsed="false">
      <c r="A822" s="0" t="n">
        <v>31</v>
      </c>
      <c r="AA822" s="0" t="n">
        <v>24</v>
      </c>
      <c r="AB822" s="0" t="s">
        <v>301</v>
      </c>
      <c r="AD822" s="0" t="n">
        <v>0</v>
      </c>
      <c r="AE822" s="0" t="s">
        <v>295</v>
      </c>
      <c r="AH822" s="0" t="n">
        <v>27</v>
      </c>
      <c r="AJ822" s="0" t="n">
        <v>41</v>
      </c>
      <c r="AP822" s="0" t="n">
        <v>190000</v>
      </c>
      <c r="DB822" s="0" t="str">
        <f aca="false">IF($A822="","",IF($AH822=20,IF(AND(OR($A822=21,$A822=215),$AJ822=10),"①病院一般",IF(AND($A822=31,$AJ822=41),"②病院短期","対象外")),IF($AJ822=30,"③特定消防",IF(AND(OR($A822=21,$A822=215),$AJ822=10),"④一般",IF(AND($A822=31,$AJ822=41),"⑤短期","対象外")))))</f>
        <v>⑤短期</v>
      </c>
      <c r="DC822" s="0" t="n">
        <f aca="false">IF($A822="","",IF($AB822&amp;""=設定!$C$4,1,0))</f>
        <v>0</v>
      </c>
    </row>
    <row r="823" customFormat="false" ht="15" hidden="false" customHeight="false" outlineLevel="0" collapsed="false">
      <c r="A823" s="0" t="n">
        <v>31</v>
      </c>
      <c r="AA823" s="0" t="n">
        <v>24</v>
      </c>
      <c r="AB823" s="0" t="s">
        <v>301</v>
      </c>
      <c r="AD823" s="0" t="n">
        <v>0</v>
      </c>
      <c r="AE823" s="0" t="s">
        <v>295</v>
      </c>
      <c r="AH823" s="0" t="n">
        <v>1</v>
      </c>
      <c r="AJ823" s="0" t="n">
        <v>41</v>
      </c>
      <c r="AP823" s="0" t="n">
        <v>150000</v>
      </c>
      <c r="DB823" s="0" t="str">
        <f aca="false">IF($A823="","",IF($AH823=20,IF(AND(OR($A823=21,$A823=215),$AJ823=10),"①病院一般",IF(AND($A823=31,$AJ823=41),"②病院短期","対象外")),IF($AJ823=30,"③特定消防",IF(AND(OR($A823=21,$A823=215),$AJ823=10),"④一般",IF(AND($A823=31,$AJ823=41),"⑤短期","対象外")))))</f>
        <v>⑤短期</v>
      </c>
      <c r="DC823" s="0" t="n">
        <f aca="false">IF($A823="","",IF($AB823&amp;""=設定!$C$4,1,0))</f>
        <v>0</v>
      </c>
    </row>
    <row r="824" customFormat="false" ht="15" hidden="false" customHeight="false" outlineLevel="0" collapsed="false">
      <c r="A824" s="0" t="n">
        <v>31</v>
      </c>
      <c r="AA824" s="0" t="n">
        <v>21</v>
      </c>
      <c r="AB824" s="0" t="s">
        <v>312</v>
      </c>
      <c r="AD824" s="0" t="n">
        <v>0</v>
      </c>
      <c r="AE824" s="0" t="s">
        <v>295</v>
      </c>
      <c r="AH824" s="0" t="n">
        <v>11</v>
      </c>
      <c r="AJ824" s="0" t="n">
        <v>41</v>
      </c>
      <c r="AP824" s="0" t="n">
        <v>78000</v>
      </c>
      <c r="DB824" s="0" t="str">
        <f aca="false">IF($A824="","",IF($AH824=20,IF(AND(OR($A824=21,$A824=215),$AJ824=10),"①病院一般",IF(AND($A824=31,$AJ824=41),"②病院短期","対象外")),IF($AJ824=30,"③特定消防",IF(AND(OR($A824=21,$A824=215),$AJ824=10),"④一般",IF(AND($A824=31,$AJ824=41),"⑤短期","対象外")))))</f>
        <v>⑤短期</v>
      </c>
      <c r="DC824" s="0" t="n">
        <f aca="false">IF($A824="","",IF($AB824&amp;""=設定!$C$4,1,0))</f>
        <v>0</v>
      </c>
    </row>
    <row r="825" customFormat="false" ht="15" hidden="false" customHeight="false" outlineLevel="0" collapsed="false">
      <c r="A825" s="0" t="n">
        <v>31</v>
      </c>
      <c r="AA825" s="0" t="n">
        <v>24</v>
      </c>
      <c r="AB825" s="0" t="s">
        <v>96</v>
      </c>
      <c r="AD825" s="0" t="n">
        <v>0</v>
      </c>
      <c r="AE825" s="0" t="s">
        <v>295</v>
      </c>
      <c r="AH825" s="0" t="n">
        <v>11</v>
      </c>
      <c r="AJ825" s="0" t="n">
        <v>41</v>
      </c>
      <c r="AP825" s="0" t="n">
        <v>280000</v>
      </c>
      <c r="DB825" s="0" t="str">
        <f aca="false">IF($A825="","",IF($AH825=20,IF(AND(OR($A825=21,$A825=215),$AJ825=10),"①病院一般",IF(AND($A825=31,$AJ825=41),"②病院短期","対象外")),IF($AJ825=30,"③特定消防",IF(AND(OR($A825=21,$A825=215),$AJ825=10),"④一般",IF(AND($A825=31,$AJ825=41),"⑤短期","対象外")))))</f>
        <v>⑤短期</v>
      </c>
      <c r="DC825" s="0" t="n">
        <f aca="false">IF($A825="","",IF($AB825&amp;""=設定!$C$4,1,0))</f>
        <v>1</v>
      </c>
    </row>
    <row r="826" customFormat="false" ht="15" hidden="false" customHeight="false" outlineLevel="0" collapsed="false">
      <c r="A826" s="0" t="n">
        <v>31</v>
      </c>
      <c r="AA826" s="0" t="n">
        <v>21</v>
      </c>
      <c r="AB826" s="0" t="s">
        <v>96</v>
      </c>
      <c r="AD826" s="0" t="n">
        <v>0</v>
      </c>
      <c r="AE826" s="0" t="s">
        <v>295</v>
      </c>
      <c r="AH826" s="0" t="n">
        <v>1</v>
      </c>
      <c r="AJ826" s="0" t="n">
        <v>41</v>
      </c>
      <c r="AP826" s="0" t="n">
        <v>240000</v>
      </c>
      <c r="DB826" s="0" t="str">
        <f aca="false">IF($A826="","",IF($AH826=20,IF(AND(OR($A826=21,$A826=215),$AJ826=10),"①病院一般",IF(AND($A826=31,$AJ826=41),"②病院短期","対象外")),IF($AJ826=30,"③特定消防",IF(AND(OR($A826=21,$A826=215),$AJ826=10),"④一般",IF(AND($A826=31,$AJ826=41),"⑤短期","対象外")))))</f>
        <v>⑤短期</v>
      </c>
      <c r="DC826" s="0" t="n">
        <f aca="false">IF($A826="","",IF($AB826&amp;""=設定!$C$4,1,0))</f>
        <v>1</v>
      </c>
    </row>
    <row r="827" customFormat="false" ht="15" hidden="false" customHeight="false" outlineLevel="0" collapsed="false">
      <c r="A827" s="0" t="n">
        <v>31</v>
      </c>
      <c r="AA827" s="0" t="n">
        <v>21</v>
      </c>
      <c r="AB827" s="0" t="s">
        <v>96</v>
      </c>
      <c r="AD827" s="0" t="n">
        <v>0</v>
      </c>
      <c r="AE827" s="0" t="s">
        <v>295</v>
      </c>
      <c r="AH827" s="0" t="n">
        <v>1</v>
      </c>
      <c r="AJ827" s="0" t="n">
        <v>41</v>
      </c>
      <c r="AP827" s="0" t="n">
        <v>220000</v>
      </c>
      <c r="DB827" s="0" t="str">
        <f aca="false">IF($A827="","",IF($AH827=20,IF(AND(OR($A827=21,$A827=215),$AJ827=10),"①病院一般",IF(AND($A827=31,$AJ827=41),"②病院短期","対象外")),IF($AJ827=30,"③特定消防",IF(AND(OR($A827=21,$A827=215),$AJ827=10),"④一般",IF(AND($A827=31,$AJ827=41),"⑤短期","対象外")))))</f>
        <v>⑤短期</v>
      </c>
      <c r="DC827" s="0" t="n">
        <f aca="false">IF($A827="","",IF($AB827&amp;""=設定!$C$4,1,0))</f>
        <v>1</v>
      </c>
    </row>
    <row r="828" customFormat="false" ht="15" hidden="false" customHeight="false" outlineLevel="0" collapsed="false">
      <c r="A828" s="0" t="n">
        <v>31</v>
      </c>
      <c r="AA828" s="0" t="n">
        <v>21</v>
      </c>
      <c r="AB828" s="0" t="s">
        <v>96</v>
      </c>
      <c r="AD828" s="0" t="n">
        <v>0</v>
      </c>
      <c r="AE828" s="0" t="s">
        <v>295</v>
      </c>
      <c r="AH828" s="0" t="n">
        <v>1</v>
      </c>
      <c r="AJ828" s="0" t="n">
        <v>41</v>
      </c>
      <c r="AP828" s="0" t="n">
        <v>190000</v>
      </c>
      <c r="DB828" s="0" t="str">
        <f aca="false">IF($A828="","",IF($AH828=20,IF(AND(OR($A828=21,$A828=215),$AJ828=10),"①病院一般",IF(AND($A828=31,$AJ828=41),"②病院短期","対象外")),IF($AJ828=30,"③特定消防",IF(AND(OR($A828=21,$A828=215),$AJ828=10),"④一般",IF(AND($A828=31,$AJ828=41),"⑤短期","対象外")))))</f>
        <v>⑤短期</v>
      </c>
      <c r="DC828" s="0" t="n">
        <f aca="false">IF($A828="","",IF($AB828&amp;""=設定!$C$4,1,0))</f>
        <v>1</v>
      </c>
    </row>
    <row r="829" customFormat="false" ht="15" hidden="false" customHeight="false" outlineLevel="0" collapsed="false">
      <c r="A829" s="0" t="n">
        <v>31</v>
      </c>
      <c r="AA829" s="0" t="n">
        <v>21</v>
      </c>
      <c r="AB829" s="0" t="s">
        <v>96</v>
      </c>
      <c r="AD829" s="0" t="n">
        <v>0</v>
      </c>
      <c r="AE829" s="0" t="s">
        <v>295</v>
      </c>
      <c r="AH829" s="0" t="n">
        <v>1</v>
      </c>
      <c r="AJ829" s="0" t="n">
        <v>41</v>
      </c>
      <c r="AP829" s="0" t="n">
        <v>190000</v>
      </c>
      <c r="DB829" s="0" t="str">
        <f aca="false">IF($A829="","",IF($AH829=20,IF(AND(OR($A829=21,$A829=215),$AJ829=10),"①病院一般",IF(AND($A829=31,$AJ829=41),"②病院短期","対象外")),IF($AJ829=30,"③特定消防",IF(AND(OR($A829=21,$A829=215),$AJ829=10),"④一般",IF(AND($A829=31,$AJ829=41),"⑤短期","対象外")))))</f>
        <v>⑤短期</v>
      </c>
      <c r="DC829" s="0" t="n">
        <f aca="false">IF($A829="","",IF($AB829&amp;""=設定!$C$4,1,0))</f>
        <v>1</v>
      </c>
    </row>
    <row r="830" customFormat="false" ht="15" hidden="false" customHeight="false" outlineLevel="0" collapsed="false">
      <c r="A830" s="0" t="n">
        <v>31</v>
      </c>
      <c r="AA830" s="0" t="n">
        <v>24</v>
      </c>
      <c r="AB830" s="0" t="s">
        <v>303</v>
      </c>
      <c r="AD830" s="0" t="n">
        <v>0</v>
      </c>
      <c r="AE830" s="0" t="s">
        <v>295</v>
      </c>
      <c r="AH830" s="0" t="n">
        <v>1</v>
      </c>
      <c r="AJ830" s="0" t="n">
        <v>41</v>
      </c>
      <c r="AP830" s="0" t="n">
        <v>134000</v>
      </c>
      <c r="DB830" s="0" t="str">
        <f aca="false">IF($A830="","",IF($AH830=20,IF(AND(OR($A830=21,$A830=215),$AJ830=10),"①病院一般",IF(AND($A830=31,$AJ830=41),"②病院短期","対象外")),IF($AJ830=30,"③特定消防",IF(AND(OR($A830=21,$A830=215),$AJ830=10),"④一般",IF(AND($A830=31,$AJ830=41),"⑤短期","対象外")))))</f>
        <v>⑤短期</v>
      </c>
      <c r="DC830" s="0" t="n">
        <f aca="false">IF($A830="","",IF($AB830&amp;""=設定!$C$4,1,0))</f>
        <v>0</v>
      </c>
    </row>
    <row r="831" customFormat="false" ht="15" hidden="false" customHeight="false" outlineLevel="0" collapsed="false">
      <c r="A831" s="0" t="n">
        <v>31</v>
      </c>
      <c r="AA831" s="0" t="n">
        <v>21</v>
      </c>
      <c r="AB831" s="0" t="s">
        <v>96</v>
      </c>
      <c r="AD831" s="0" t="n">
        <v>12</v>
      </c>
      <c r="AE831" s="0" t="s">
        <v>296</v>
      </c>
      <c r="AH831" s="0" t="n">
        <v>1</v>
      </c>
      <c r="AJ831" s="0" t="n">
        <v>41</v>
      </c>
      <c r="AP831" s="0" t="n">
        <v>190000</v>
      </c>
      <c r="DB831" s="0" t="str">
        <f aca="false">IF($A831="","",IF($AH831=20,IF(AND(OR($A831=21,$A831=215),$AJ831=10),"①病院一般",IF(AND($A831=31,$AJ831=41),"②病院短期","対象外")),IF($AJ831=30,"③特定消防",IF(AND(OR($A831=21,$A831=215),$AJ831=10),"④一般",IF(AND($A831=31,$AJ831=41),"⑤短期","対象外")))))</f>
        <v>⑤短期</v>
      </c>
      <c r="DC831" s="0" t="n">
        <f aca="false">IF($A831="","",IF($AB831&amp;""=設定!$C$4,1,0))</f>
        <v>1</v>
      </c>
    </row>
    <row r="832" customFormat="false" ht="15" hidden="false" customHeight="false" outlineLevel="0" collapsed="false">
      <c r="A832" s="0" t="n">
        <v>31</v>
      </c>
      <c r="AA832" s="0" t="n">
        <v>21</v>
      </c>
      <c r="AB832" s="0" t="s">
        <v>301</v>
      </c>
      <c r="AD832" s="0" t="n">
        <v>0</v>
      </c>
      <c r="AE832" s="0" t="s">
        <v>295</v>
      </c>
      <c r="AH832" s="0" t="n">
        <v>1</v>
      </c>
      <c r="AJ832" s="0" t="n">
        <v>41</v>
      </c>
      <c r="AP832" s="0" t="n">
        <v>134000</v>
      </c>
      <c r="DB832" s="0" t="str">
        <f aca="false">IF($A832="","",IF($AH832=20,IF(AND(OR($A832=21,$A832=215),$AJ832=10),"①病院一般",IF(AND($A832=31,$AJ832=41),"②病院短期","対象外")),IF($AJ832=30,"③特定消防",IF(AND(OR($A832=21,$A832=215),$AJ832=10),"④一般",IF(AND($A832=31,$AJ832=41),"⑤短期","対象外")))))</f>
        <v>⑤短期</v>
      </c>
      <c r="DC832" s="0" t="n">
        <f aca="false">IF($A832="","",IF($AB832&amp;""=設定!$C$4,1,0))</f>
        <v>0</v>
      </c>
    </row>
    <row r="833" customFormat="false" ht="15" hidden="false" customHeight="false" outlineLevel="0" collapsed="false">
      <c r="A833" s="0" t="n">
        <v>31</v>
      </c>
      <c r="AA833" s="0" t="n">
        <v>21</v>
      </c>
      <c r="AB833" s="0" t="s">
        <v>328</v>
      </c>
      <c r="AD833" s="0" t="n">
        <v>0</v>
      </c>
      <c r="AE833" s="0" t="s">
        <v>295</v>
      </c>
      <c r="AH833" s="0" t="n">
        <v>1</v>
      </c>
      <c r="AJ833" s="0" t="n">
        <v>41</v>
      </c>
      <c r="AP833" s="0" t="n">
        <v>260000</v>
      </c>
      <c r="DB833" s="0" t="str">
        <f aca="false">IF($A833="","",IF($AH833=20,IF(AND(OR($A833=21,$A833=215),$AJ833=10),"①病院一般",IF(AND($A833=31,$AJ833=41),"②病院短期","対象外")),IF($AJ833=30,"③特定消防",IF(AND(OR($A833=21,$A833=215),$AJ833=10),"④一般",IF(AND($A833=31,$AJ833=41),"⑤短期","対象外")))))</f>
        <v>⑤短期</v>
      </c>
      <c r="DC833" s="0" t="n">
        <f aca="false">IF($A833="","",IF($AB833&amp;""=設定!$C$4,1,0))</f>
        <v>0</v>
      </c>
    </row>
    <row r="834" customFormat="false" ht="15" hidden="false" customHeight="false" outlineLevel="0" collapsed="false">
      <c r="A834" s="0" t="n">
        <v>31</v>
      </c>
      <c r="AA834" s="0" t="n">
        <v>21</v>
      </c>
      <c r="AB834" s="0" t="s">
        <v>96</v>
      </c>
      <c r="AD834" s="0" t="n">
        <v>0</v>
      </c>
      <c r="AE834" s="0" t="s">
        <v>295</v>
      </c>
      <c r="AH834" s="0" t="n">
        <v>11</v>
      </c>
      <c r="AJ834" s="0" t="n">
        <v>41</v>
      </c>
      <c r="AP834" s="0" t="n">
        <v>220000</v>
      </c>
      <c r="DB834" s="0" t="str">
        <f aca="false">IF($A834="","",IF($AH834=20,IF(AND(OR($A834=21,$A834=215),$AJ834=10),"①病院一般",IF(AND($A834=31,$AJ834=41),"②病院短期","対象外")),IF($AJ834=30,"③特定消防",IF(AND(OR($A834=21,$A834=215),$AJ834=10),"④一般",IF(AND($A834=31,$AJ834=41),"⑤短期","対象外")))))</f>
        <v>⑤短期</v>
      </c>
      <c r="DC834" s="0" t="n">
        <f aca="false">IF($A834="","",IF($AB834&amp;""=設定!$C$4,1,0))</f>
        <v>1</v>
      </c>
    </row>
    <row r="835" customFormat="false" ht="15" hidden="false" customHeight="false" outlineLevel="0" collapsed="false">
      <c r="A835" s="0" t="n">
        <v>31</v>
      </c>
      <c r="AA835" s="0" t="n">
        <v>21</v>
      </c>
      <c r="AB835" s="0" t="s">
        <v>312</v>
      </c>
      <c r="AD835" s="0" t="n">
        <v>0</v>
      </c>
      <c r="AE835" s="0" t="s">
        <v>295</v>
      </c>
      <c r="AH835" s="0" t="n">
        <v>11</v>
      </c>
      <c r="AJ835" s="0" t="n">
        <v>41</v>
      </c>
      <c r="AP835" s="0" t="n">
        <v>88000</v>
      </c>
      <c r="DB835" s="0" t="str">
        <f aca="false">IF($A835="","",IF($AH835=20,IF(AND(OR($A835=21,$A835=215),$AJ835=10),"①病院一般",IF(AND($A835=31,$AJ835=41),"②病院短期","対象外")),IF($AJ835=30,"③特定消防",IF(AND(OR($A835=21,$A835=215),$AJ835=10),"④一般",IF(AND($A835=31,$AJ835=41),"⑤短期","対象外")))))</f>
        <v>⑤短期</v>
      </c>
      <c r="DC835" s="0" t="n">
        <f aca="false">IF($A835="","",IF($AB835&amp;""=設定!$C$4,1,0))</f>
        <v>0</v>
      </c>
    </row>
    <row r="836" customFormat="false" ht="15" hidden="false" customHeight="false" outlineLevel="0" collapsed="false">
      <c r="A836" s="0" t="n">
        <v>31</v>
      </c>
      <c r="AA836" s="0" t="n">
        <v>21</v>
      </c>
      <c r="AB836" s="0" t="s">
        <v>294</v>
      </c>
      <c r="AD836" s="0" t="n">
        <v>0</v>
      </c>
      <c r="AE836" s="0" t="s">
        <v>295</v>
      </c>
      <c r="AH836" s="0" t="n">
        <v>11</v>
      </c>
      <c r="AJ836" s="0" t="n">
        <v>41</v>
      </c>
      <c r="AP836" s="0" t="n">
        <v>150000</v>
      </c>
      <c r="DB836" s="0" t="str">
        <f aca="false">IF($A836="","",IF($AH836=20,IF(AND(OR($A836=21,$A836=215),$AJ836=10),"①病院一般",IF(AND($A836=31,$AJ836=41),"②病院短期","対象外")),IF($AJ836=30,"③特定消防",IF(AND(OR($A836=21,$A836=215),$AJ836=10),"④一般",IF(AND($A836=31,$AJ836=41),"⑤短期","対象外")))))</f>
        <v>⑤短期</v>
      </c>
      <c r="DC836" s="0" t="n">
        <f aca="false">IF($A836="","",IF($AB836&amp;""=設定!$C$4,1,0))</f>
        <v>0</v>
      </c>
    </row>
    <row r="837" customFormat="false" ht="15" hidden="false" customHeight="false" outlineLevel="0" collapsed="false">
      <c r="A837" s="0" t="n">
        <v>31</v>
      </c>
      <c r="AA837" s="0" t="n">
        <v>24</v>
      </c>
      <c r="AB837" s="0" t="s">
        <v>96</v>
      </c>
      <c r="AD837" s="0" t="n">
        <v>0</v>
      </c>
      <c r="AE837" s="0" t="s">
        <v>295</v>
      </c>
      <c r="AH837" s="0" t="n">
        <v>1</v>
      </c>
      <c r="AJ837" s="0" t="n">
        <v>41</v>
      </c>
      <c r="AP837" s="0" t="n">
        <v>200000</v>
      </c>
      <c r="DB837" s="0" t="str">
        <f aca="false">IF($A837="","",IF($AH837=20,IF(AND(OR($A837=21,$A837=215),$AJ837=10),"①病院一般",IF(AND($A837=31,$AJ837=41),"②病院短期","対象外")),IF($AJ837=30,"③特定消防",IF(AND(OR($A837=21,$A837=215),$AJ837=10),"④一般",IF(AND($A837=31,$AJ837=41),"⑤短期","対象外")))))</f>
        <v>⑤短期</v>
      </c>
      <c r="DC837" s="0" t="n">
        <f aca="false">IF($A837="","",IF($AB837&amp;""=設定!$C$4,1,0))</f>
        <v>1</v>
      </c>
    </row>
    <row r="838" customFormat="false" ht="15" hidden="false" customHeight="false" outlineLevel="0" collapsed="false">
      <c r="A838" s="0" t="n">
        <v>31</v>
      </c>
      <c r="AA838" s="0" t="n">
        <v>21</v>
      </c>
      <c r="AB838" s="0" t="s">
        <v>96</v>
      </c>
      <c r="AD838" s="0" t="n">
        <v>0</v>
      </c>
      <c r="AE838" s="0" t="s">
        <v>295</v>
      </c>
      <c r="AH838" s="0" t="n">
        <v>1</v>
      </c>
      <c r="AJ838" s="0" t="n">
        <v>41</v>
      </c>
      <c r="AP838" s="0" t="n">
        <v>190000</v>
      </c>
      <c r="DB838" s="0" t="str">
        <f aca="false">IF($A838="","",IF($AH838=20,IF(AND(OR($A838=21,$A838=215),$AJ838=10),"①病院一般",IF(AND($A838=31,$AJ838=41),"②病院短期","対象外")),IF($AJ838=30,"③特定消防",IF(AND(OR($A838=21,$A838=215),$AJ838=10),"④一般",IF(AND($A838=31,$AJ838=41),"⑤短期","対象外")))))</f>
        <v>⑤短期</v>
      </c>
      <c r="DC838" s="0" t="n">
        <f aca="false">IF($A838="","",IF($AB838&amp;""=設定!$C$4,1,0))</f>
        <v>1</v>
      </c>
    </row>
    <row r="839" customFormat="false" ht="15" hidden="false" customHeight="false" outlineLevel="0" collapsed="false">
      <c r="A839" s="0" t="n">
        <v>31</v>
      </c>
      <c r="AA839" s="0" t="n">
        <v>21</v>
      </c>
      <c r="AB839" s="0" t="s">
        <v>312</v>
      </c>
      <c r="AD839" s="0" t="n">
        <v>0</v>
      </c>
      <c r="AE839" s="0" t="s">
        <v>295</v>
      </c>
      <c r="AH839" s="0" t="n">
        <v>11</v>
      </c>
      <c r="AJ839" s="0" t="n">
        <v>41</v>
      </c>
      <c r="AP839" s="0" t="n">
        <v>68000</v>
      </c>
      <c r="DB839" s="0" t="str">
        <f aca="false">IF($A839="","",IF($AH839=20,IF(AND(OR($A839=21,$A839=215),$AJ839=10),"①病院一般",IF(AND($A839=31,$AJ839=41),"②病院短期","対象外")),IF($AJ839=30,"③特定消防",IF(AND(OR($A839=21,$A839=215),$AJ839=10),"④一般",IF(AND($A839=31,$AJ839=41),"⑤短期","対象外")))))</f>
        <v>⑤短期</v>
      </c>
      <c r="DC839" s="0" t="n">
        <f aca="false">IF($A839="","",IF($AB839&amp;""=設定!$C$4,1,0))</f>
        <v>0</v>
      </c>
    </row>
    <row r="840" customFormat="false" ht="15" hidden="false" customHeight="false" outlineLevel="0" collapsed="false">
      <c r="A840" s="0" t="n">
        <v>31</v>
      </c>
      <c r="AA840" s="0" t="n">
        <v>21</v>
      </c>
      <c r="AB840" s="0" t="s">
        <v>96</v>
      </c>
      <c r="AD840" s="0" t="n">
        <v>12</v>
      </c>
      <c r="AE840" s="0" t="s">
        <v>329</v>
      </c>
      <c r="AH840" s="0" t="n">
        <v>1</v>
      </c>
      <c r="AJ840" s="0" t="n">
        <v>41</v>
      </c>
      <c r="AP840" s="0" t="n">
        <v>200000</v>
      </c>
      <c r="DB840" s="0" t="str">
        <f aca="false">IF($A840="","",IF($AH840=20,IF(AND(OR($A840=21,$A840=215),$AJ840=10),"①病院一般",IF(AND($A840=31,$AJ840=41),"②病院短期","対象外")),IF($AJ840=30,"③特定消防",IF(AND(OR($A840=21,$A840=215),$AJ840=10),"④一般",IF(AND($A840=31,$AJ840=41),"⑤短期","対象外")))))</f>
        <v>⑤短期</v>
      </c>
      <c r="DC840" s="0" t="n">
        <f aca="false">IF($A840="","",IF($AB840&amp;""=設定!$C$4,1,0))</f>
        <v>1</v>
      </c>
    </row>
    <row r="841" customFormat="false" ht="15" hidden="false" customHeight="false" outlineLevel="0" collapsed="false">
      <c r="A841" s="0" t="n">
        <v>31</v>
      </c>
      <c r="AA841" s="0" t="n">
        <v>21</v>
      </c>
      <c r="AB841" s="0" t="s">
        <v>96</v>
      </c>
      <c r="AD841" s="0" t="n">
        <v>0</v>
      </c>
      <c r="AE841" s="0" t="s">
        <v>295</v>
      </c>
      <c r="AH841" s="0" t="n">
        <v>11</v>
      </c>
      <c r="AJ841" s="0" t="n">
        <v>41</v>
      </c>
      <c r="AP841" s="0" t="n">
        <v>180000</v>
      </c>
      <c r="DB841" s="0" t="str">
        <f aca="false">IF($A841="","",IF($AH841=20,IF(AND(OR($A841=21,$A841=215),$AJ841=10),"①病院一般",IF(AND($A841=31,$AJ841=41),"②病院短期","対象外")),IF($AJ841=30,"③特定消防",IF(AND(OR($A841=21,$A841=215),$AJ841=10),"④一般",IF(AND($A841=31,$AJ841=41),"⑤短期","対象外")))))</f>
        <v>⑤短期</v>
      </c>
      <c r="DC841" s="0" t="n">
        <f aca="false">IF($A841="","",IF($AB841&amp;""=設定!$C$4,1,0))</f>
        <v>1</v>
      </c>
    </row>
    <row r="842" customFormat="false" ht="15" hidden="false" customHeight="false" outlineLevel="0" collapsed="false">
      <c r="A842" s="0" t="n">
        <v>31</v>
      </c>
      <c r="AA842" s="0" t="n">
        <v>24</v>
      </c>
      <c r="AB842" s="0" t="s">
        <v>298</v>
      </c>
      <c r="AD842" s="0" t="n">
        <v>0</v>
      </c>
      <c r="AE842" s="0" t="s">
        <v>295</v>
      </c>
      <c r="AH842" s="0" t="n">
        <v>11</v>
      </c>
      <c r="AJ842" s="0" t="n">
        <v>41</v>
      </c>
      <c r="AP842" s="0" t="n">
        <v>118000</v>
      </c>
      <c r="DB842" s="0" t="str">
        <f aca="false">IF($A842="","",IF($AH842=20,IF(AND(OR($A842=21,$A842=215),$AJ842=10),"①病院一般",IF(AND($A842=31,$AJ842=41),"②病院短期","対象外")),IF($AJ842=30,"③特定消防",IF(AND(OR($A842=21,$A842=215),$AJ842=10),"④一般",IF(AND($A842=31,$AJ842=41),"⑤短期","対象外")))))</f>
        <v>⑤短期</v>
      </c>
      <c r="DC842" s="0" t="n">
        <f aca="false">IF($A842="","",IF($AB842&amp;""=設定!$C$4,1,0))</f>
        <v>0</v>
      </c>
    </row>
    <row r="843" customFormat="false" ht="15" hidden="false" customHeight="false" outlineLevel="0" collapsed="false">
      <c r="A843" s="0" t="n">
        <v>31</v>
      </c>
      <c r="AA843" s="0" t="n">
        <v>24</v>
      </c>
      <c r="AB843" s="0" t="s">
        <v>96</v>
      </c>
      <c r="AD843" s="0" t="n">
        <v>12</v>
      </c>
      <c r="AE843" s="0" t="s">
        <v>303</v>
      </c>
      <c r="AH843" s="0" t="n">
        <v>1</v>
      </c>
      <c r="AJ843" s="0" t="n">
        <v>41</v>
      </c>
      <c r="AP843" s="0" t="n">
        <v>260000</v>
      </c>
      <c r="DB843" s="0" t="str">
        <f aca="false">IF($A843="","",IF($AH843=20,IF(AND(OR($A843=21,$A843=215),$AJ843=10),"①病院一般",IF(AND($A843=31,$AJ843=41),"②病院短期","対象外")),IF($AJ843=30,"③特定消防",IF(AND(OR($A843=21,$A843=215),$AJ843=10),"④一般",IF(AND($A843=31,$AJ843=41),"⑤短期","対象外")))))</f>
        <v>⑤短期</v>
      </c>
      <c r="DC843" s="0" t="n">
        <f aca="false">IF($A843="","",IF($AB843&amp;""=設定!$C$4,1,0))</f>
        <v>1</v>
      </c>
    </row>
    <row r="844" customFormat="false" ht="15" hidden="false" customHeight="false" outlineLevel="0" collapsed="false">
      <c r="A844" s="0" t="n">
        <v>31</v>
      </c>
      <c r="AA844" s="0" t="n">
        <v>21</v>
      </c>
      <c r="AB844" s="0" t="s">
        <v>303</v>
      </c>
      <c r="AD844" s="0" t="n">
        <v>0</v>
      </c>
      <c r="AE844" s="0" t="s">
        <v>295</v>
      </c>
      <c r="AH844" s="0" t="n">
        <v>1</v>
      </c>
      <c r="AJ844" s="0" t="n">
        <v>41</v>
      </c>
      <c r="AP844" s="0" t="n">
        <v>170000</v>
      </c>
      <c r="DB844" s="0" t="str">
        <f aca="false">IF($A844="","",IF($AH844=20,IF(AND(OR($A844=21,$A844=215),$AJ844=10),"①病院一般",IF(AND($A844=31,$AJ844=41),"②病院短期","対象外")),IF($AJ844=30,"③特定消防",IF(AND(OR($A844=21,$A844=215),$AJ844=10),"④一般",IF(AND($A844=31,$AJ844=41),"⑤短期","対象外")))))</f>
        <v>⑤短期</v>
      </c>
      <c r="DC844" s="0" t="n">
        <f aca="false">IF($A844="","",IF($AB844&amp;""=設定!$C$4,1,0))</f>
        <v>0</v>
      </c>
    </row>
    <row r="845" customFormat="false" ht="15" hidden="false" customHeight="false" outlineLevel="0" collapsed="false">
      <c r="A845" s="0" t="n">
        <v>31</v>
      </c>
      <c r="AA845" s="0" t="n">
        <v>21</v>
      </c>
      <c r="AB845" s="0" t="s">
        <v>96</v>
      </c>
      <c r="AD845" s="0" t="n">
        <v>0</v>
      </c>
      <c r="AE845" s="0" t="s">
        <v>295</v>
      </c>
      <c r="AH845" s="0" t="n">
        <v>1</v>
      </c>
      <c r="AJ845" s="0" t="n">
        <v>41</v>
      </c>
      <c r="AP845" s="0" t="n">
        <v>134000</v>
      </c>
      <c r="DB845" s="0" t="str">
        <f aca="false">IF($A845="","",IF($AH845=20,IF(AND(OR($A845=21,$A845=215),$AJ845=10),"①病院一般",IF(AND($A845=31,$AJ845=41),"②病院短期","対象外")),IF($AJ845=30,"③特定消防",IF(AND(OR($A845=21,$A845=215),$AJ845=10),"④一般",IF(AND($A845=31,$AJ845=41),"⑤短期","対象外")))))</f>
        <v>⑤短期</v>
      </c>
      <c r="DC845" s="0" t="n">
        <f aca="false">IF($A845="","",IF($AB845&amp;""=設定!$C$4,1,0))</f>
        <v>1</v>
      </c>
    </row>
    <row r="846" customFormat="false" ht="15" hidden="false" customHeight="false" outlineLevel="0" collapsed="false">
      <c r="A846" s="0" t="n">
        <v>31</v>
      </c>
      <c r="AA846" s="0" t="n">
        <v>24</v>
      </c>
      <c r="AB846" s="0" t="s">
        <v>303</v>
      </c>
      <c r="AD846" s="0" t="n">
        <v>0</v>
      </c>
      <c r="AE846" s="0" t="s">
        <v>295</v>
      </c>
      <c r="AH846" s="0" t="n">
        <v>1</v>
      </c>
      <c r="AJ846" s="0" t="n">
        <v>41</v>
      </c>
      <c r="AP846" s="0" t="n">
        <v>126000</v>
      </c>
      <c r="DB846" s="0" t="str">
        <f aca="false">IF($A846="","",IF($AH846=20,IF(AND(OR($A846=21,$A846=215),$AJ846=10),"①病院一般",IF(AND($A846=31,$AJ846=41),"②病院短期","対象外")),IF($AJ846=30,"③特定消防",IF(AND(OR($A846=21,$A846=215),$AJ846=10),"④一般",IF(AND($A846=31,$AJ846=41),"⑤短期","対象外")))))</f>
        <v>⑤短期</v>
      </c>
      <c r="DC846" s="0" t="n">
        <f aca="false">IF($A846="","",IF($AB846&amp;""=設定!$C$4,1,0))</f>
        <v>0</v>
      </c>
    </row>
    <row r="847" customFormat="false" ht="15" hidden="false" customHeight="false" outlineLevel="0" collapsed="false">
      <c r="A847" s="0" t="n">
        <v>31</v>
      </c>
      <c r="AA847" s="0" t="n">
        <v>21</v>
      </c>
      <c r="AB847" s="0" t="s">
        <v>296</v>
      </c>
      <c r="AD847" s="0" t="n">
        <v>12</v>
      </c>
      <c r="AE847" s="0" t="s">
        <v>303</v>
      </c>
      <c r="AH847" s="0" t="n">
        <v>1</v>
      </c>
      <c r="AJ847" s="0" t="n">
        <v>41</v>
      </c>
      <c r="AP847" s="0" t="n">
        <v>126000</v>
      </c>
      <c r="DB847" s="0" t="str">
        <f aca="false">IF($A847="","",IF($AH847=20,IF(AND(OR($A847=21,$A847=215),$AJ847=10),"①病院一般",IF(AND($A847=31,$AJ847=41),"②病院短期","対象外")),IF($AJ847=30,"③特定消防",IF(AND(OR($A847=21,$A847=215),$AJ847=10),"④一般",IF(AND($A847=31,$AJ847=41),"⑤短期","対象外")))))</f>
        <v>⑤短期</v>
      </c>
      <c r="DC847" s="0" t="n">
        <f aca="false">IF($A847="","",IF($AB847&amp;""=設定!$C$4,1,0))</f>
        <v>0</v>
      </c>
    </row>
    <row r="848" customFormat="false" ht="15" hidden="false" customHeight="false" outlineLevel="0" collapsed="false">
      <c r="A848" s="0" t="n">
        <v>31</v>
      </c>
      <c r="AA848" s="0" t="n">
        <v>21</v>
      </c>
      <c r="AB848" s="0" t="s">
        <v>96</v>
      </c>
      <c r="AD848" s="0" t="n">
        <v>0</v>
      </c>
      <c r="AE848" s="0" t="s">
        <v>295</v>
      </c>
      <c r="AH848" s="0" t="n">
        <v>20</v>
      </c>
      <c r="AJ848" s="0" t="n">
        <v>41</v>
      </c>
      <c r="AP848" s="0" t="n">
        <v>220000</v>
      </c>
      <c r="DB848" s="0" t="str">
        <f aca="false">IF($A848="","",IF($AH848=20,IF(AND(OR($A848=21,$A848=215),$AJ848=10),"①病院一般",IF(AND($A848=31,$AJ848=41),"②病院短期","対象外")),IF($AJ848=30,"③特定消防",IF(AND(OR($A848=21,$A848=215),$AJ848=10),"④一般",IF(AND($A848=31,$AJ848=41),"⑤短期","対象外")))))</f>
        <v>②病院短期</v>
      </c>
      <c r="DC848" s="0" t="n">
        <f aca="false">IF($A848="","",IF($AB848&amp;""=設定!$C$4,1,0))</f>
        <v>1</v>
      </c>
    </row>
    <row r="849" customFormat="false" ht="15" hidden="false" customHeight="false" outlineLevel="0" collapsed="false">
      <c r="A849" s="0" t="n">
        <v>31</v>
      </c>
      <c r="AA849" s="0" t="n">
        <v>21</v>
      </c>
      <c r="AB849" s="0" t="s">
        <v>96</v>
      </c>
      <c r="AD849" s="0" t="n">
        <v>0</v>
      </c>
      <c r="AE849" s="0" t="s">
        <v>295</v>
      </c>
      <c r="AH849" s="0" t="n">
        <v>11</v>
      </c>
      <c r="AJ849" s="0" t="n">
        <v>41</v>
      </c>
      <c r="AP849" s="0" t="n">
        <v>220000</v>
      </c>
      <c r="DB849" s="0" t="str">
        <f aca="false">IF($A849="","",IF($AH849=20,IF(AND(OR($A849=21,$A849=215),$AJ849=10),"①病院一般",IF(AND($A849=31,$AJ849=41),"②病院短期","対象外")),IF($AJ849=30,"③特定消防",IF(AND(OR($A849=21,$A849=215),$AJ849=10),"④一般",IF(AND($A849=31,$AJ849=41),"⑤短期","対象外")))))</f>
        <v>⑤短期</v>
      </c>
      <c r="DC849" s="0" t="n">
        <f aca="false">IF($A849="","",IF($AB849&amp;""=設定!$C$4,1,0))</f>
        <v>1</v>
      </c>
    </row>
    <row r="850" customFormat="false" ht="15" hidden="false" customHeight="false" outlineLevel="0" collapsed="false">
      <c r="A850" s="0" t="n">
        <v>31</v>
      </c>
      <c r="AA850" s="0" t="n">
        <v>24</v>
      </c>
      <c r="AB850" s="0" t="s">
        <v>96</v>
      </c>
      <c r="AD850" s="0" t="n">
        <v>12</v>
      </c>
      <c r="AE850" s="0" t="s">
        <v>301</v>
      </c>
      <c r="AH850" s="0" t="n">
        <v>27</v>
      </c>
      <c r="AJ850" s="0" t="n">
        <v>41</v>
      </c>
      <c r="AP850" s="0" t="n">
        <v>200000</v>
      </c>
      <c r="DB850" s="0" t="str">
        <f aca="false">IF($A850="","",IF($AH850=20,IF(AND(OR($A850=21,$A850=215),$AJ850=10),"①病院一般",IF(AND($A850=31,$AJ850=41),"②病院短期","対象外")),IF($AJ850=30,"③特定消防",IF(AND(OR($A850=21,$A850=215),$AJ850=10),"④一般",IF(AND($A850=31,$AJ850=41),"⑤短期","対象外")))))</f>
        <v>⑤短期</v>
      </c>
      <c r="DC850" s="0" t="n">
        <f aca="false">IF($A850="","",IF($AB850&amp;""=設定!$C$4,1,0))</f>
        <v>1</v>
      </c>
    </row>
    <row r="851" customFormat="false" ht="15" hidden="false" customHeight="false" outlineLevel="0" collapsed="false">
      <c r="A851" s="0" t="n">
        <v>31</v>
      </c>
      <c r="AA851" s="0" t="n">
        <v>21</v>
      </c>
      <c r="AB851" s="0" t="s">
        <v>301</v>
      </c>
      <c r="AD851" s="0" t="n">
        <v>0</v>
      </c>
      <c r="AE851" s="0" t="s">
        <v>295</v>
      </c>
      <c r="AH851" s="0" t="n">
        <v>1</v>
      </c>
      <c r="AJ851" s="0" t="n">
        <v>41</v>
      </c>
      <c r="AP851" s="0" t="n">
        <v>134000</v>
      </c>
      <c r="DB851" s="0" t="str">
        <f aca="false">IF($A851="","",IF($AH851=20,IF(AND(OR($A851=21,$A851=215),$AJ851=10),"①病院一般",IF(AND($A851=31,$AJ851=41),"②病院短期","対象外")),IF($AJ851=30,"③特定消防",IF(AND(OR($A851=21,$A851=215),$AJ851=10),"④一般",IF(AND($A851=31,$AJ851=41),"⑤短期","対象外")))))</f>
        <v>⑤短期</v>
      </c>
      <c r="DC851" s="0" t="n">
        <f aca="false">IF($A851="","",IF($AB851&amp;""=設定!$C$4,1,0))</f>
        <v>0</v>
      </c>
    </row>
    <row r="852" customFormat="false" ht="15" hidden="false" customHeight="false" outlineLevel="0" collapsed="false">
      <c r="A852" s="0" t="n">
        <v>31</v>
      </c>
      <c r="AA852" s="0" t="n">
        <v>21</v>
      </c>
      <c r="AB852" s="0" t="s">
        <v>96</v>
      </c>
      <c r="AD852" s="0" t="n">
        <v>0</v>
      </c>
      <c r="AE852" s="0" t="s">
        <v>295</v>
      </c>
      <c r="AH852" s="0" t="n">
        <v>1</v>
      </c>
      <c r="AJ852" s="0" t="n">
        <v>41</v>
      </c>
      <c r="AP852" s="0" t="n">
        <v>190000</v>
      </c>
      <c r="DB852" s="0" t="str">
        <f aca="false">IF($A852="","",IF($AH852=20,IF(AND(OR($A852=21,$A852=215),$AJ852=10),"①病院一般",IF(AND($A852=31,$AJ852=41),"②病院短期","対象外")),IF($AJ852=30,"③特定消防",IF(AND(OR($A852=21,$A852=215),$AJ852=10),"④一般",IF(AND($A852=31,$AJ852=41),"⑤短期","対象外")))))</f>
        <v>⑤短期</v>
      </c>
      <c r="DC852" s="0" t="n">
        <f aca="false">IF($A852="","",IF($AB852&amp;""=設定!$C$4,1,0))</f>
        <v>1</v>
      </c>
    </row>
    <row r="853" customFormat="false" ht="15" hidden="false" customHeight="false" outlineLevel="0" collapsed="false">
      <c r="A853" s="0" t="n">
        <v>31</v>
      </c>
      <c r="AA853" s="0" t="n">
        <v>21</v>
      </c>
      <c r="AB853" s="0" t="s">
        <v>330</v>
      </c>
      <c r="AD853" s="0" t="n">
        <v>0</v>
      </c>
      <c r="AE853" s="0" t="s">
        <v>295</v>
      </c>
      <c r="AH853" s="0" t="n">
        <v>1</v>
      </c>
      <c r="AJ853" s="0" t="n">
        <v>41</v>
      </c>
      <c r="AP853" s="0" t="n">
        <v>126000</v>
      </c>
      <c r="DB853" s="0" t="str">
        <f aca="false">IF($A853="","",IF($AH853=20,IF(AND(OR($A853=21,$A853=215),$AJ853=10),"①病院一般",IF(AND($A853=31,$AJ853=41),"②病院短期","対象外")),IF($AJ853=30,"③特定消防",IF(AND(OR($A853=21,$A853=215),$AJ853=10),"④一般",IF(AND($A853=31,$AJ853=41),"⑤短期","対象外")))))</f>
        <v>⑤短期</v>
      </c>
      <c r="DC853" s="0" t="n">
        <f aca="false">IF($A853="","",IF($AB853&amp;""=設定!$C$4,1,0))</f>
        <v>0</v>
      </c>
    </row>
    <row r="854" customFormat="false" ht="15" hidden="false" customHeight="false" outlineLevel="0" collapsed="false">
      <c r="A854" s="0" t="n">
        <v>31</v>
      </c>
      <c r="AA854" s="0" t="n">
        <v>24</v>
      </c>
      <c r="AB854" s="0" t="s">
        <v>331</v>
      </c>
      <c r="AD854" s="0" t="n">
        <v>12</v>
      </c>
      <c r="AE854" s="0" t="s">
        <v>296</v>
      </c>
      <c r="AH854" s="0" t="n">
        <v>11</v>
      </c>
      <c r="AJ854" s="0" t="n">
        <v>41</v>
      </c>
      <c r="AP854" s="0" t="n">
        <v>170000</v>
      </c>
      <c r="DB854" s="0" t="str">
        <f aca="false">IF($A854="","",IF($AH854=20,IF(AND(OR($A854=21,$A854=215),$AJ854=10),"①病院一般",IF(AND($A854=31,$AJ854=41),"②病院短期","対象外")),IF($AJ854=30,"③特定消防",IF(AND(OR($A854=21,$A854=215),$AJ854=10),"④一般",IF(AND($A854=31,$AJ854=41),"⑤短期","対象外")))))</f>
        <v>⑤短期</v>
      </c>
      <c r="DC854" s="0" t="n">
        <f aca="false">IF($A854="","",IF($AB854&amp;""=設定!$C$4,1,0))</f>
        <v>0</v>
      </c>
    </row>
    <row r="855" customFormat="false" ht="15" hidden="false" customHeight="false" outlineLevel="0" collapsed="false">
      <c r="A855" s="0" t="n">
        <v>31</v>
      </c>
      <c r="AA855" s="0" t="n">
        <v>21</v>
      </c>
      <c r="AB855" s="0" t="s">
        <v>317</v>
      </c>
      <c r="AD855" s="0" t="n">
        <v>0</v>
      </c>
      <c r="AE855" s="0" t="s">
        <v>295</v>
      </c>
      <c r="AH855" s="0" t="n">
        <v>1</v>
      </c>
      <c r="AJ855" s="0" t="n">
        <v>41</v>
      </c>
      <c r="AP855" s="0" t="n">
        <v>142000</v>
      </c>
      <c r="DB855" s="0" t="str">
        <f aca="false">IF($A855="","",IF($AH855=20,IF(AND(OR($A855=21,$A855=215),$AJ855=10),"①病院一般",IF(AND($A855=31,$AJ855=41),"②病院短期","対象外")),IF($AJ855=30,"③特定消防",IF(AND(OR($A855=21,$A855=215),$AJ855=10),"④一般",IF(AND($A855=31,$AJ855=41),"⑤短期","対象外")))))</f>
        <v>⑤短期</v>
      </c>
      <c r="DC855" s="0" t="n">
        <f aca="false">IF($A855="","",IF($AB855&amp;""=設定!$C$4,1,0))</f>
        <v>0</v>
      </c>
    </row>
    <row r="856" customFormat="false" ht="15" hidden="false" customHeight="false" outlineLevel="0" collapsed="false">
      <c r="A856" s="0" t="n">
        <v>31</v>
      </c>
      <c r="AA856" s="0" t="n">
        <v>24</v>
      </c>
      <c r="AB856" s="0" t="s">
        <v>301</v>
      </c>
      <c r="AD856" s="0" t="n">
        <v>0</v>
      </c>
      <c r="AE856" s="0" t="s">
        <v>295</v>
      </c>
      <c r="AH856" s="0" t="n">
        <v>1</v>
      </c>
      <c r="AJ856" s="0" t="n">
        <v>41</v>
      </c>
      <c r="AP856" s="0" t="n">
        <v>150000</v>
      </c>
      <c r="DB856" s="0" t="str">
        <f aca="false">IF($A856="","",IF($AH856=20,IF(AND(OR($A856=21,$A856=215),$AJ856=10),"①病院一般",IF(AND($A856=31,$AJ856=41),"②病院短期","対象外")),IF($AJ856=30,"③特定消防",IF(AND(OR($A856=21,$A856=215),$AJ856=10),"④一般",IF(AND($A856=31,$AJ856=41),"⑤短期","対象外")))))</f>
        <v>⑤短期</v>
      </c>
      <c r="DC856" s="0" t="n">
        <f aca="false">IF($A856="","",IF($AB856&amp;""=設定!$C$4,1,0))</f>
        <v>0</v>
      </c>
    </row>
    <row r="857" customFormat="false" ht="15" hidden="false" customHeight="false" outlineLevel="0" collapsed="false">
      <c r="A857" s="0" t="n">
        <v>31</v>
      </c>
      <c r="AA857" s="0" t="n">
        <v>21</v>
      </c>
      <c r="AB857" s="0" t="s">
        <v>312</v>
      </c>
      <c r="AD857" s="0" t="n">
        <v>0</v>
      </c>
      <c r="AE857" s="0" t="s">
        <v>295</v>
      </c>
      <c r="AH857" s="0" t="n">
        <v>11</v>
      </c>
      <c r="AJ857" s="0" t="n">
        <v>41</v>
      </c>
      <c r="AP857" s="0" t="n">
        <v>68000</v>
      </c>
      <c r="DB857" s="0" t="str">
        <f aca="false">IF($A857="","",IF($AH857=20,IF(AND(OR($A857=21,$A857=215),$AJ857=10),"①病院一般",IF(AND($A857=31,$AJ857=41),"②病院短期","対象外")),IF($AJ857=30,"③特定消防",IF(AND(OR($A857=21,$A857=215),$AJ857=10),"④一般",IF(AND($A857=31,$AJ857=41),"⑤短期","対象外")))))</f>
        <v>⑤短期</v>
      </c>
      <c r="DC857" s="0" t="n">
        <f aca="false">IF($A857="","",IF($AB857&amp;""=設定!$C$4,1,0))</f>
        <v>0</v>
      </c>
    </row>
    <row r="858" customFormat="false" ht="15" hidden="false" customHeight="false" outlineLevel="0" collapsed="false">
      <c r="A858" s="0" t="n">
        <v>31</v>
      </c>
      <c r="AA858" s="0" t="n">
        <v>24</v>
      </c>
      <c r="AB858" s="0" t="s">
        <v>332</v>
      </c>
      <c r="AD858" s="0" t="n">
        <v>0</v>
      </c>
      <c r="AE858" s="0" t="s">
        <v>295</v>
      </c>
      <c r="AH858" s="0" t="n">
        <v>11</v>
      </c>
      <c r="AJ858" s="0" t="n">
        <v>41</v>
      </c>
      <c r="AP858" s="0" t="n">
        <v>142000</v>
      </c>
      <c r="DB858" s="0" t="str">
        <f aca="false">IF($A858="","",IF($AH858=20,IF(AND(OR($A858=21,$A858=215),$AJ858=10),"①病院一般",IF(AND($A858=31,$AJ858=41),"②病院短期","対象外")),IF($AJ858=30,"③特定消防",IF(AND(OR($A858=21,$A858=215),$AJ858=10),"④一般",IF(AND($A858=31,$AJ858=41),"⑤短期","対象外")))))</f>
        <v>⑤短期</v>
      </c>
      <c r="DC858" s="0" t="n">
        <f aca="false">IF($A858="","",IF($AB858&amp;""=設定!$C$4,1,0))</f>
        <v>0</v>
      </c>
    </row>
    <row r="859" customFormat="false" ht="15" hidden="false" customHeight="false" outlineLevel="0" collapsed="false">
      <c r="A859" s="0" t="n">
        <v>31</v>
      </c>
      <c r="AA859" s="0" t="n">
        <v>24</v>
      </c>
      <c r="AB859" s="0" t="s">
        <v>299</v>
      </c>
      <c r="AD859" s="0" t="n">
        <v>12</v>
      </c>
      <c r="AE859" s="0" t="s">
        <v>301</v>
      </c>
      <c r="AH859" s="0" t="n">
        <v>1</v>
      </c>
      <c r="AJ859" s="0" t="n">
        <v>41</v>
      </c>
      <c r="AP859" s="0" t="n">
        <v>150000</v>
      </c>
      <c r="DB859" s="0" t="str">
        <f aca="false">IF($A859="","",IF($AH859=20,IF(AND(OR($A859=21,$A859=215),$AJ859=10),"①病院一般",IF(AND($A859=31,$AJ859=41),"②病院短期","対象外")),IF($AJ859=30,"③特定消防",IF(AND(OR($A859=21,$A859=215),$AJ859=10),"④一般",IF(AND($A859=31,$AJ859=41),"⑤短期","対象外")))))</f>
        <v>⑤短期</v>
      </c>
      <c r="DC859" s="0" t="n">
        <f aca="false">IF($A859="","",IF($AB859&amp;""=設定!$C$4,1,0))</f>
        <v>0</v>
      </c>
    </row>
    <row r="860" customFormat="false" ht="15" hidden="false" customHeight="false" outlineLevel="0" collapsed="false">
      <c r="A860" s="0" t="n">
        <v>31</v>
      </c>
      <c r="AA860" s="0" t="n">
        <v>21</v>
      </c>
      <c r="AB860" s="0" t="s">
        <v>303</v>
      </c>
      <c r="AD860" s="0" t="n">
        <v>0</v>
      </c>
      <c r="AE860" s="0" t="s">
        <v>295</v>
      </c>
      <c r="AH860" s="0" t="n">
        <v>1</v>
      </c>
      <c r="AJ860" s="0" t="n">
        <v>41</v>
      </c>
      <c r="AP860" s="0" t="n">
        <v>134000</v>
      </c>
      <c r="DB860" s="0" t="str">
        <f aca="false">IF($A860="","",IF($AH860=20,IF(AND(OR($A860=21,$A860=215),$AJ860=10),"①病院一般",IF(AND($A860=31,$AJ860=41),"②病院短期","対象外")),IF($AJ860=30,"③特定消防",IF(AND(OR($A860=21,$A860=215),$AJ860=10),"④一般",IF(AND($A860=31,$AJ860=41),"⑤短期","対象外")))))</f>
        <v>⑤短期</v>
      </c>
      <c r="DC860" s="0" t="n">
        <f aca="false">IF($A860="","",IF($AB860&amp;""=設定!$C$4,1,0))</f>
        <v>0</v>
      </c>
    </row>
    <row r="861" customFormat="false" ht="15" hidden="false" customHeight="false" outlineLevel="0" collapsed="false">
      <c r="A861" s="0" t="n">
        <v>31</v>
      </c>
      <c r="AA861" s="0" t="n">
        <v>21</v>
      </c>
      <c r="AB861" s="0" t="s">
        <v>312</v>
      </c>
      <c r="AD861" s="0" t="n">
        <v>0</v>
      </c>
      <c r="AE861" s="0" t="s">
        <v>295</v>
      </c>
      <c r="AH861" s="0" t="n">
        <v>11</v>
      </c>
      <c r="AJ861" s="0" t="n">
        <v>41</v>
      </c>
      <c r="AP861" s="0" t="n">
        <v>78000</v>
      </c>
      <c r="DB861" s="0" t="str">
        <f aca="false">IF($A861="","",IF($AH861=20,IF(AND(OR($A861=21,$A861=215),$AJ861=10),"①病院一般",IF(AND($A861=31,$AJ861=41),"②病院短期","対象外")),IF($AJ861=30,"③特定消防",IF(AND(OR($A861=21,$A861=215),$AJ861=10),"④一般",IF(AND($A861=31,$AJ861=41),"⑤短期","対象外")))))</f>
        <v>⑤短期</v>
      </c>
      <c r="DC861" s="0" t="n">
        <f aca="false">IF($A861="","",IF($AB861&amp;""=設定!$C$4,1,0))</f>
        <v>0</v>
      </c>
    </row>
    <row r="862" customFormat="false" ht="15" hidden="false" customHeight="false" outlineLevel="0" collapsed="false">
      <c r="A862" s="0" t="n">
        <v>31</v>
      </c>
      <c r="AA862" s="0" t="n">
        <v>24</v>
      </c>
      <c r="AB862" s="0" t="s">
        <v>96</v>
      </c>
      <c r="AD862" s="0" t="n">
        <v>12</v>
      </c>
      <c r="AE862" s="0" t="s">
        <v>301</v>
      </c>
      <c r="AH862" s="0" t="n">
        <v>1</v>
      </c>
      <c r="AJ862" s="0" t="n">
        <v>41</v>
      </c>
      <c r="AP862" s="0" t="n">
        <v>142000</v>
      </c>
      <c r="DB862" s="0" t="str">
        <f aca="false">IF($A862="","",IF($AH862=20,IF(AND(OR($A862=21,$A862=215),$AJ862=10),"①病院一般",IF(AND($A862=31,$AJ862=41),"②病院短期","対象外")),IF($AJ862=30,"③特定消防",IF(AND(OR($A862=21,$A862=215),$AJ862=10),"④一般",IF(AND($A862=31,$AJ862=41),"⑤短期","対象外")))))</f>
        <v>⑤短期</v>
      </c>
      <c r="DC862" s="0" t="n">
        <f aca="false">IF($A862="","",IF($AB862&amp;""=設定!$C$4,1,0))</f>
        <v>1</v>
      </c>
    </row>
    <row r="863" customFormat="false" ht="15" hidden="false" customHeight="false" outlineLevel="0" collapsed="false">
      <c r="A863" s="0" t="n">
        <v>31</v>
      </c>
      <c r="AA863" s="0" t="n">
        <v>21</v>
      </c>
      <c r="AB863" s="0" t="s">
        <v>301</v>
      </c>
      <c r="AD863" s="0" t="n">
        <v>0</v>
      </c>
      <c r="AE863" s="0" t="s">
        <v>295</v>
      </c>
      <c r="AH863" s="0" t="n">
        <v>1</v>
      </c>
      <c r="AJ863" s="0" t="n">
        <v>41</v>
      </c>
      <c r="AP863" s="0" t="n">
        <v>260000</v>
      </c>
      <c r="DB863" s="0" t="str">
        <f aca="false">IF($A863="","",IF($AH863=20,IF(AND(OR($A863=21,$A863=215),$AJ863=10),"①病院一般",IF(AND($A863=31,$AJ863=41),"②病院短期","対象外")),IF($AJ863=30,"③特定消防",IF(AND(OR($A863=21,$A863=215),$AJ863=10),"④一般",IF(AND($A863=31,$AJ863=41),"⑤短期","対象外")))))</f>
        <v>⑤短期</v>
      </c>
      <c r="DC863" s="0" t="n">
        <f aca="false">IF($A863="","",IF($AB863&amp;""=設定!$C$4,1,0))</f>
        <v>0</v>
      </c>
    </row>
    <row r="864" customFormat="false" ht="15" hidden="false" customHeight="false" outlineLevel="0" collapsed="false">
      <c r="A864" s="0" t="n">
        <v>31</v>
      </c>
      <c r="AA864" s="0" t="n">
        <v>24</v>
      </c>
      <c r="AB864" s="0" t="s">
        <v>333</v>
      </c>
      <c r="AD864" s="0" t="n">
        <v>0</v>
      </c>
      <c r="AE864" s="0" t="s">
        <v>295</v>
      </c>
      <c r="AH864" s="0" t="n">
        <v>11</v>
      </c>
      <c r="AJ864" s="0" t="n">
        <v>41</v>
      </c>
      <c r="AP864" s="0" t="n">
        <v>180000</v>
      </c>
      <c r="DB864" s="0" t="str">
        <f aca="false">IF($A864="","",IF($AH864=20,IF(AND(OR($A864=21,$A864=215),$AJ864=10),"①病院一般",IF(AND($A864=31,$AJ864=41),"②病院短期","対象外")),IF($AJ864=30,"③特定消防",IF(AND(OR($A864=21,$A864=215),$AJ864=10),"④一般",IF(AND($A864=31,$AJ864=41),"⑤短期","対象外")))))</f>
        <v>⑤短期</v>
      </c>
      <c r="DC864" s="0" t="n">
        <f aca="false">IF($A864="","",IF($AB864&amp;""=設定!$C$4,1,0))</f>
        <v>0</v>
      </c>
    </row>
    <row r="865" customFormat="false" ht="15" hidden="false" customHeight="false" outlineLevel="0" collapsed="false">
      <c r="A865" s="0" t="n">
        <v>31</v>
      </c>
      <c r="AA865" s="0" t="n">
        <v>21</v>
      </c>
      <c r="AB865" s="0" t="s">
        <v>323</v>
      </c>
      <c r="AD865" s="0" t="n">
        <v>12</v>
      </c>
      <c r="AE865" s="0" t="s">
        <v>294</v>
      </c>
      <c r="AH865" s="0" t="n">
        <v>11</v>
      </c>
      <c r="AJ865" s="0" t="n">
        <v>41</v>
      </c>
      <c r="AP865" s="0" t="n">
        <v>126000</v>
      </c>
      <c r="DB865" s="0" t="str">
        <f aca="false">IF($A865="","",IF($AH865=20,IF(AND(OR($A865=21,$A865=215),$AJ865=10),"①病院一般",IF(AND($A865=31,$AJ865=41),"②病院短期","対象外")),IF($AJ865=30,"③特定消防",IF(AND(OR($A865=21,$A865=215),$AJ865=10),"④一般",IF(AND($A865=31,$AJ865=41),"⑤短期","対象外")))))</f>
        <v>⑤短期</v>
      </c>
      <c r="DC865" s="0" t="n">
        <f aca="false">IF($A865="","",IF($AB865&amp;""=設定!$C$4,1,0))</f>
        <v>0</v>
      </c>
    </row>
    <row r="866" customFormat="false" ht="15" hidden="false" customHeight="false" outlineLevel="0" collapsed="false">
      <c r="A866" s="0" t="n">
        <v>31</v>
      </c>
      <c r="AA866" s="0" t="n">
        <v>24</v>
      </c>
      <c r="AB866" s="0" t="s">
        <v>303</v>
      </c>
      <c r="AD866" s="0" t="n">
        <v>0</v>
      </c>
      <c r="AE866" s="0" t="s">
        <v>295</v>
      </c>
      <c r="AH866" s="0" t="n">
        <v>1</v>
      </c>
      <c r="AJ866" s="0" t="n">
        <v>41</v>
      </c>
      <c r="AP866" s="0" t="n">
        <v>142000</v>
      </c>
      <c r="DB866" s="0" t="str">
        <f aca="false">IF($A866="","",IF($AH866=20,IF(AND(OR($A866=21,$A866=215),$AJ866=10),"①病院一般",IF(AND($A866=31,$AJ866=41),"②病院短期","対象外")),IF($AJ866=30,"③特定消防",IF(AND(OR($A866=21,$A866=215),$AJ866=10),"④一般",IF(AND($A866=31,$AJ866=41),"⑤短期","対象外")))))</f>
        <v>⑤短期</v>
      </c>
      <c r="DC866" s="0" t="n">
        <f aca="false">IF($A866="","",IF($AB866&amp;""=設定!$C$4,1,0))</f>
        <v>0</v>
      </c>
    </row>
    <row r="867" customFormat="false" ht="15" hidden="false" customHeight="false" outlineLevel="0" collapsed="false">
      <c r="A867" s="0" t="n">
        <v>31</v>
      </c>
      <c r="AA867" s="0" t="n">
        <v>24</v>
      </c>
      <c r="AB867" s="0" t="s">
        <v>334</v>
      </c>
      <c r="AD867" s="0" t="n">
        <v>0</v>
      </c>
      <c r="AE867" s="0" t="s">
        <v>295</v>
      </c>
      <c r="AH867" s="0" t="n">
        <v>1</v>
      </c>
      <c r="AJ867" s="0" t="n">
        <v>41</v>
      </c>
      <c r="AP867" s="0" t="n">
        <v>126000</v>
      </c>
      <c r="DB867" s="0" t="str">
        <f aca="false">IF($A867="","",IF($AH867=20,IF(AND(OR($A867=21,$A867=215),$AJ867=10),"①病院一般",IF(AND($A867=31,$AJ867=41),"②病院短期","対象外")),IF($AJ867=30,"③特定消防",IF(AND(OR($A867=21,$A867=215),$AJ867=10),"④一般",IF(AND($A867=31,$AJ867=41),"⑤短期","対象外")))))</f>
        <v>⑤短期</v>
      </c>
      <c r="DC867" s="0" t="n">
        <f aca="false">IF($A867="","",IF($AB867&amp;""=設定!$C$4,1,0))</f>
        <v>0</v>
      </c>
    </row>
    <row r="868" customFormat="false" ht="15" hidden="false" customHeight="false" outlineLevel="0" collapsed="false">
      <c r="A868" s="0" t="n">
        <v>31</v>
      </c>
      <c r="AA868" s="0" t="n">
        <v>24</v>
      </c>
      <c r="AB868" s="0" t="s">
        <v>96</v>
      </c>
      <c r="AD868" s="0" t="n">
        <v>0</v>
      </c>
      <c r="AE868" s="0" t="s">
        <v>295</v>
      </c>
      <c r="AH868" s="0" t="n">
        <v>1</v>
      </c>
      <c r="AJ868" s="0" t="n">
        <v>41</v>
      </c>
      <c r="AP868" s="0" t="n">
        <v>142000</v>
      </c>
      <c r="DB868" s="0" t="str">
        <f aca="false">IF($A868="","",IF($AH868=20,IF(AND(OR($A868=21,$A868=215),$AJ868=10),"①病院一般",IF(AND($A868=31,$AJ868=41),"②病院短期","対象外")),IF($AJ868=30,"③特定消防",IF(AND(OR($A868=21,$A868=215),$AJ868=10),"④一般",IF(AND($A868=31,$AJ868=41),"⑤短期","対象外")))))</f>
        <v>⑤短期</v>
      </c>
      <c r="DC868" s="0" t="n">
        <f aca="false">IF($A868="","",IF($AB868&amp;""=設定!$C$4,1,0))</f>
        <v>1</v>
      </c>
    </row>
    <row r="869" customFormat="false" ht="15" hidden="false" customHeight="false" outlineLevel="0" collapsed="false">
      <c r="A869" s="0" t="n">
        <v>31</v>
      </c>
      <c r="AA869" s="0" t="n">
        <v>24</v>
      </c>
      <c r="AB869" s="0" t="s">
        <v>96</v>
      </c>
      <c r="AD869" s="0" t="n">
        <v>0</v>
      </c>
      <c r="AE869" s="0" t="s">
        <v>295</v>
      </c>
      <c r="AH869" s="0" t="n">
        <v>1</v>
      </c>
      <c r="AJ869" s="0" t="n">
        <v>41</v>
      </c>
      <c r="AP869" s="0" t="n">
        <v>142000</v>
      </c>
      <c r="DB869" s="0" t="str">
        <f aca="false">IF($A869="","",IF($AH869=20,IF(AND(OR($A869=21,$A869=215),$AJ869=10),"①病院一般",IF(AND($A869=31,$AJ869=41),"②病院短期","対象外")),IF($AJ869=30,"③特定消防",IF(AND(OR($A869=21,$A869=215),$AJ869=10),"④一般",IF(AND($A869=31,$AJ869=41),"⑤短期","対象外")))))</f>
        <v>⑤短期</v>
      </c>
      <c r="DC869" s="0" t="n">
        <f aca="false">IF($A869="","",IF($AB869&amp;""=設定!$C$4,1,0))</f>
        <v>1</v>
      </c>
    </row>
    <row r="870" customFormat="false" ht="15" hidden="false" customHeight="false" outlineLevel="0" collapsed="false">
      <c r="A870" s="0" t="n">
        <v>31</v>
      </c>
      <c r="AA870" s="0" t="n">
        <v>24</v>
      </c>
      <c r="AB870" s="0" t="s">
        <v>301</v>
      </c>
      <c r="AD870" s="0" t="n">
        <v>0</v>
      </c>
      <c r="AE870" s="0" t="s">
        <v>295</v>
      </c>
      <c r="AH870" s="0" t="n">
        <v>1</v>
      </c>
      <c r="AJ870" s="0" t="n">
        <v>41</v>
      </c>
      <c r="AP870" s="0" t="n">
        <v>134000</v>
      </c>
      <c r="DB870" s="0" t="str">
        <f aca="false">IF($A870="","",IF($AH870=20,IF(AND(OR($A870=21,$A870=215),$AJ870=10),"①病院一般",IF(AND($A870=31,$AJ870=41),"②病院短期","対象外")),IF($AJ870=30,"③特定消防",IF(AND(OR($A870=21,$A870=215),$AJ870=10),"④一般",IF(AND($A870=31,$AJ870=41),"⑤短期","対象外")))))</f>
        <v>⑤短期</v>
      </c>
      <c r="DC870" s="0" t="n">
        <f aca="false">IF($A870="","",IF($AB870&amp;""=設定!$C$4,1,0))</f>
        <v>0</v>
      </c>
    </row>
    <row r="871" customFormat="false" ht="15" hidden="false" customHeight="false" outlineLevel="0" collapsed="false">
      <c r="A871" s="0" t="n">
        <v>31</v>
      </c>
      <c r="AA871" s="0" t="n">
        <v>24</v>
      </c>
      <c r="AB871" s="0" t="s">
        <v>303</v>
      </c>
      <c r="AD871" s="0" t="n">
        <v>0</v>
      </c>
      <c r="AE871" s="0" t="s">
        <v>295</v>
      </c>
      <c r="AH871" s="0" t="n">
        <v>1</v>
      </c>
      <c r="AJ871" s="0" t="n">
        <v>41</v>
      </c>
      <c r="AP871" s="0" t="n">
        <v>142000</v>
      </c>
      <c r="DB871" s="0" t="str">
        <f aca="false">IF($A871="","",IF($AH871=20,IF(AND(OR($A871=21,$A871=215),$AJ871=10),"①病院一般",IF(AND($A871=31,$AJ871=41),"②病院短期","対象外")),IF($AJ871=30,"③特定消防",IF(AND(OR($A871=21,$A871=215),$AJ871=10),"④一般",IF(AND($A871=31,$AJ871=41),"⑤短期","対象外")))))</f>
        <v>⑤短期</v>
      </c>
      <c r="DC871" s="0" t="n">
        <f aca="false">IF($A871="","",IF($AB871&amp;""=設定!$C$4,1,0))</f>
        <v>0</v>
      </c>
    </row>
    <row r="872" customFormat="false" ht="15" hidden="false" customHeight="false" outlineLevel="0" collapsed="false">
      <c r="A872" s="0" t="n">
        <v>31</v>
      </c>
      <c r="AA872" s="0" t="n">
        <v>24</v>
      </c>
      <c r="AB872" s="0" t="s">
        <v>96</v>
      </c>
      <c r="AD872" s="0" t="n">
        <v>0</v>
      </c>
      <c r="AE872" s="0" t="s">
        <v>295</v>
      </c>
      <c r="AH872" s="0" t="n">
        <v>1</v>
      </c>
      <c r="AJ872" s="0" t="n">
        <v>41</v>
      </c>
      <c r="AP872" s="0" t="n">
        <v>142000</v>
      </c>
      <c r="DB872" s="0" t="str">
        <f aca="false">IF($A872="","",IF($AH872=20,IF(AND(OR($A872=21,$A872=215),$AJ872=10),"①病院一般",IF(AND($A872=31,$AJ872=41),"②病院短期","対象外")),IF($AJ872=30,"③特定消防",IF(AND(OR($A872=21,$A872=215),$AJ872=10),"④一般",IF(AND($A872=31,$AJ872=41),"⑤短期","対象外")))))</f>
        <v>⑤短期</v>
      </c>
      <c r="DC872" s="0" t="n">
        <f aca="false">IF($A872="","",IF($AB872&amp;""=設定!$C$4,1,0))</f>
        <v>1</v>
      </c>
    </row>
    <row r="873" customFormat="false" ht="15" hidden="false" customHeight="false" outlineLevel="0" collapsed="false">
      <c r="A873" s="0" t="n">
        <v>31</v>
      </c>
      <c r="AA873" s="0" t="n">
        <v>24</v>
      </c>
      <c r="AB873" s="0" t="s">
        <v>303</v>
      </c>
      <c r="AD873" s="0" t="n">
        <v>0</v>
      </c>
      <c r="AE873" s="0" t="s">
        <v>295</v>
      </c>
      <c r="AH873" s="0" t="n">
        <v>1</v>
      </c>
      <c r="AJ873" s="0" t="n">
        <v>41</v>
      </c>
      <c r="AP873" s="0" t="n">
        <v>142000</v>
      </c>
      <c r="DB873" s="0" t="str">
        <f aca="false">IF($A873="","",IF($AH873=20,IF(AND(OR($A873=21,$A873=215),$AJ873=10),"①病院一般",IF(AND($A873=31,$AJ873=41),"②病院短期","対象外")),IF($AJ873=30,"③特定消防",IF(AND(OR($A873=21,$A873=215),$AJ873=10),"④一般",IF(AND($A873=31,$AJ873=41),"⑤短期","対象外")))))</f>
        <v>⑤短期</v>
      </c>
      <c r="DC873" s="0" t="n">
        <f aca="false">IF($A873="","",IF($AB873&amp;""=設定!$C$4,1,0))</f>
        <v>0</v>
      </c>
    </row>
    <row r="874" customFormat="false" ht="15" hidden="false" customHeight="false" outlineLevel="0" collapsed="false">
      <c r="A874" s="0" t="n">
        <v>31</v>
      </c>
      <c r="AA874" s="0" t="n">
        <v>21</v>
      </c>
      <c r="AB874" s="0" t="s">
        <v>96</v>
      </c>
      <c r="AD874" s="0" t="n">
        <v>0</v>
      </c>
      <c r="AE874" s="0" t="s">
        <v>295</v>
      </c>
      <c r="AH874" s="0" t="n">
        <v>11</v>
      </c>
      <c r="AJ874" s="0" t="n">
        <v>41</v>
      </c>
      <c r="AP874" s="0" t="n">
        <v>220000</v>
      </c>
      <c r="DB874" s="0" t="str">
        <f aca="false">IF($A874="","",IF($AH874=20,IF(AND(OR($A874=21,$A874=215),$AJ874=10),"①病院一般",IF(AND($A874=31,$AJ874=41),"②病院短期","対象外")),IF($AJ874=30,"③特定消防",IF(AND(OR($A874=21,$A874=215),$AJ874=10),"④一般",IF(AND($A874=31,$AJ874=41),"⑤短期","対象外")))))</f>
        <v>⑤短期</v>
      </c>
      <c r="DC874" s="0" t="n">
        <f aca="false">IF($A874="","",IF($AB874&amp;""=設定!$C$4,1,0))</f>
        <v>1</v>
      </c>
    </row>
    <row r="875" customFormat="false" ht="15" hidden="false" customHeight="false" outlineLevel="0" collapsed="false">
      <c r="A875" s="0" t="n">
        <v>31</v>
      </c>
      <c r="AA875" s="0" t="n">
        <v>21</v>
      </c>
      <c r="AB875" s="0" t="s">
        <v>96</v>
      </c>
      <c r="AD875" s="0" t="n">
        <v>0</v>
      </c>
      <c r="AE875" s="0" t="s">
        <v>295</v>
      </c>
      <c r="AH875" s="0" t="n">
        <v>1</v>
      </c>
      <c r="AJ875" s="0" t="n">
        <v>41</v>
      </c>
      <c r="AP875" s="0" t="n">
        <v>134000</v>
      </c>
      <c r="DB875" s="0" t="str">
        <f aca="false">IF($A875="","",IF($AH875=20,IF(AND(OR($A875=21,$A875=215),$AJ875=10),"①病院一般",IF(AND($A875=31,$AJ875=41),"②病院短期","対象外")),IF($AJ875=30,"③特定消防",IF(AND(OR($A875=21,$A875=215),$AJ875=10),"④一般",IF(AND($A875=31,$AJ875=41),"⑤短期","対象外")))))</f>
        <v>⑤短期</v>
      </c>
      <c r="DC875" s="0" t="n">
        <f aca="false">IF($A875="","",IF($AB875&amp;""=設定!$C$4,1,0))</f>
        <v>1</v>
      </c>
    </row>
    <row r="876" customFormat="false" ht="15" hidden="false" customHeight="false" outlineLevel="0" collapsed="false">
      <c r="A876" s="0" t="n">
        <v>31</v>
      </c>
      <c r="AA876" s="0" t="n">
        <v>21</v>
      </c>
      <c r="AB876" s="0" t="s">
        <v>303</v>
      </c>
      <c r="AD876" s="0" t="n">
        <v>0</v>
      </c>
      <c r="AE876" s="0" t="s">
        <v>295</v>
      </c>
      <c r="AH876" s="0" t="n">
        <v>1</v>
      </c>
      <c r="AJ876" s="0" t="n">
        <v>41</v>
      </c>
      <c r="AP876" s="0" t="n">
        <v>134000</v>
      </c>
      <c r="DB876" s="0" t="str">
        <f aca="false">IF($A876="","",IF($AH876=20,IF(AND(OR($A876=21,$A876=215),$AJ876=10),"①病院一般",IF(AND($A876=31,$AJ876=41),"②病院短期","対象外")),IF($AJ876=30,"③特定消防",IF(AND(OR($A876=21,$A876=215),$AJ876=10),"④一般",IF(AND($A876=31,$AJ876=41),"⑤短期","対象外")))))</f>
        <v>⑤短期</v>
      </c>
      <c r="DC876" s="0" t="n">
        <f aca="false">IF($A876="","",IF($AB876&amp;""=設定!$C$4,1,0))</f>
        <v>0</v>
      </c>
    </row>
    <row r="877" customFormat="false" ht="15" hidden="false" customHeight="false" outlineLevel="0" collapsed="false">
      <c r="A877" s="0" t="n">
        <v>31</v>
      </c>
      <c r="AA877" s="0" t="n">
        <v>24</v>
      </c>
      <c r="AB877" s="0" t="s">
        <v>96</v>
      </c>
      <c r="AD877" s="0" t="n">
        <v>0</v>
      </c>
      <c r="AE877" s="0" t="s">
        <v>295</v>
      </c>
      <c r="AH877" s="0" t="n">
        <v>1</v>
      </c>
      <c r="AJ877" s="0" t="n">
        <v>41</v>
      </c>
      <c r="AP877" s="0" t="n">
        <v>150000</v>
      </c>
      <c r="DB877" s="0" t="str">
        <f aca="false">IF($A877="","",IF($AH877=20,IF(AND(OR($A877=21,$A877=215),$AJ877=10),"①病院一般",IF(AND($A877=31,$AJ877=41),"②病院短期","対象外")),IF($AJ877=30,"③特定消防",IF(AND(OR($A877=21,$A877=215),$AJ877=10),"④一般",IF(AND($A877=31,$AJ877=41),"⑤短期","対象外")))))</f>
        <v>⑤短期</v>
      </c>
      <c r="DC877" s="0" t="n">
        <f aca="false">IF($A877="","",IF($AB877&amp;""=設定!$C$4,1,0))</f>
        <v>1</v>
      </c>
    </row>
    <row r="878" customFormat="false" ht="15" hidden="false" customHeight="false" outlineLevel="0" collapsed="false">
      <c r="A878" s="0" t="n">
        <v>31</v>
      </c>
      <c r="AA878" s="0" t="n">
        <v>21</v>
      </c>
      <c r="AB878" s="0" t="s">
        <v>96</v>
      </c>
      <c r="AD878" s="0" t="n">
        <v>0</v>
      </c>
      <c r="AE878" s="0" t="s">
        <v>295</v>
      </c>
      <c r="AH878" s="0" t="n">
        <v>1</v>
      </c>
      <c r="AJ878" s="0" t="n">
        <v>41</v>
      </c>
      <c r="AP878" s="0" t="n">
        <v>134000</v>
      </c>
      <c r="DB878" s="0" t="str">
        <f aca="false">IF($A878="","",IF($AH878=20,IF(AND(OR($A878=21,$A878=215),$AJ878=10),"①病院一般",IF(AND($A878=31,$AJ878=41),"②病院短期","対象外")),IF($AJ878=30,"③特定消防",IF(AND(OR($A878=21,$A878=215),$AJ878=10),"④一般",IF(AND($A878=31,$AJ878=41),"⑤短期","対象外")))))</f>
        <v>⑤短期</v>
      </c>
      <c r="DC878" s="0" t="n">
        <f aca="false">IF($A878="","",IF($AB878&amp;""=設定!$C$4,1,0))</f>
        <v>1</v>
      </c>
    </row>
    <row r="879" customFormat="false" ht="15" hidden="false" customHeight="false" outlineLevel="0" collapsed="false">
      <c r="A879" s="0" t="n">
        <v>31</v>
      </c>
      <c r="AA879" s="0" t="n">
        <v>21</v>
      </c>
      <c r="AB879" s="0" t="s">
        <v>96</v>
      </c>
      <c r="AD879" s="0" t="n">
        <v>0</v>
      </c>
      <c r="AE879" s="0" t="s">
        <v>295</v>
      </c>
      <c r="AH879" s="0" t="n">
        <v>1</v>
      </c>
      <c r="AJ879" s="0" t="n">
        <v>41</v>
      </c>
      <c r="AP879" s="0" t="n">
        <v>134000</v>
      </c>
      <c r="DB879" s="0" t="str">
        <f aca="false">IF($A879="","",IF($AH879=20,IF(AND(OR($A879=21,$A879=215),$AJ879=10),"①病院一般",IF(AND($A879=31,$AJ879=41),"②病院短期","対象外")),IF($AJ879=30,"③特定消防",IF(AND(OR($A879=21,$A879=215),$AJ879=10),"④一般",IF(AND($A879=31,$AJ879=41),"⑤短期","対象外")))))</f>
        <v>⑤短期</v>
      </c>
      <c r="DC879" s="0" t="n">
        <f aca="false">IF($A879="","",IF($AB879&amp;""=設定!$C$4,1,0))</f>
        <v>1</v>
      </c>
    </row>
    <row r="880" customFormat="false" ht="15" hidden="false" customHeight="false" outlineLevel="0" collapsed="false">
      <c r="A880" s="0" t="n">
        <v>31</v>
      </c>
      <c r="AA880" s="0" t="n">
        <v>24</v>
      </c>
      <c r="AB880" s="0" t="s">
        <v>294</v>
      </c>
      <c r="AD880" s="0" t="n">
        <v>12</v>
      </c>
      <c r="AE880" s="0" t="s">
        <v>301</v>
      </c>
      <c r="AH880" s="0" t="n">
        <v>1</v>
      </c>
      <c r="AJ880" s="0" t="n">
        <v>41</v>
      </c>
      <c r="AP880" s="0" t="n">
        <v>142000</v>
      </c>
      <c r="DB880" s="0" t="str">
        <f aca="false">IF($A880="","",IF($AH880=20,IF(AND(OR($A880=21,$A880=215),$AJ880=10),"①病院一般",IF(AND($A880=31,$AJ880=41),"②病院短期","対象外")),IF($AJ880=30,"③特定消防",IF(AND(OR($A880=21,$A880=215),$AJ880=10),"④一般",IF(AND($A880=31,$AJ880=41),"⑤短期","対象外")))))</f>
        <v>⑤短期</v>
      </c>
      <c r="DC880" s="0" t="n">
        <f aca="false">IF($A880="","",IF($AB880&amp;""=設定!$C$4,1,0))</f>
        <v>0</v>
      </c>
    </row>
    <row r="881" customFormat="false" ht="15" hidden="false" customHeight="false" outlineLevel="0" collapsed="false">
      <c r="A881" s="0" t="n">
        <v>31</v>
      </c>
      <c r="AA881" s="0" t="n">
        <v>21</v>
      </c>
      <c r="AB881" s="0" t="s">
        <v>299</v>
      </c>
      <c r="AD881" s="0" t="n">
        <v>0</v>
      </c>
      <c r="AE881" s="0" t="s">
        <v>295</v>
      </c>
      <c r="AH881" s="0" t="n">
        <v>11</v>
      </c>
      <c r="AJ881" s="0" t="n">
        <v>41</v>
      </c>
      <c r="AP881" s="0" t="n">
        <v>134000</v>
      </c>
      <c r="DB881" s="0" t="str">
        <f aca="false">IF($A881="","",IF($AH881=20,IF(AND(OR($A881=21,$A881=215),$AJ881=10),"①病院一般",IF(AND($A881=31,$AJ881=41),"②病院短期","対象外")),IF($AJ881=30,"③特定消防",IF(AND(OR($A881=21,$A881=215),$AJ881=10),"④一般",IF(AND($A881=31,$AJ881=41),"⑤短期","対象外")))))</f>
        <v>⑤短期</v>
      </c>
      <c r="DC881" s="0" t="n">
        <f aca="false">IF($A881="","",IF($AB881&amp;""=設定!$C$4,1,0))</f>
        <v>0</v>
      </c>
    </row>
    <row r="882" customFormat="false" ht="15" hidden="false" customHeight="false" outlineLevel="0" collapsed="false">
      <c r="A882" s="0" t="n">
        <v>31</v>
      </c>
      <c r="AA882" s="0" t="n">
        <v>24</v>
      </c>
      <c r="AB882" s="0" t="s">
        <v>96</v>
      </c>
      <c r="AD882" s="0" t="n">
        <v>0</v>
      </c>
      <c r="AE882" s="0" t="s">
        <v>295</v>
      </c>
      <c r="AH882" s="0" t="n">
        <v>1</v>
      </c>
      <c r="AJ882" s="0" t="n">
        <v>41</v>
      </c>
      <c r="AP882" s="0" t="n">
        <v>142000</v>
      </c>
      <c r="DB882" s="0" t="str">
        <f aca="false">IF($A882="","",IF($AH882=20,IF(AND(OR($A882=21,$A882=215),$AJ882=10),"①病院一般",IF(AND($A882=31,$AJ882=41),"②病院短期","対象外")),IF($AJ882=30,"③特定消防",IF(AND(OR($A882=21,$A882=215),$AJ882=10),"④一般",IF(AND($A882=31,$AJ882=41),"⑤短期","対象外")))))</f>
        <v>⑤短期</v>
      </c>
      <c r="DC882" s="0" t="n">
        <f aca="false">IF($A882="","",IF($AB882&amp;""=設定!$C$4,1,0))</f>
        <v>1</v>
      </c>
    </row>
    <row r="883" customFormat="false" ht="15" hidden="false" customHeight="false" outlineLevel="0" collapsed="false">
      <c r="A883" s="0" t="n">
        <v>31</v>
      </c>
      <c r="AA883" s="0" t="n">
        <v>24</v>
      </c>
      <c r="AB883" s="0" t="s">
        <v>301</v>
      </c>
      <c r="AD883" s="0" t="n">
        <v>0</v>
      </c>
      <c r="AE883" s="0" t="s">
        <v>295</v>
      </c>
      <c r="AH883" s="0" t="n">
        <v>1</v>
      </c>
      <c r="AJ883" s="0" t="n">
        <v>41</v>
      </c>
      <c r="AP883" s="0" t="n">
        <v>134000</v>
      </c>
      <c r="DB883" s="0" t="str">
        <f aca="false">IF($A883="","",IF($AH883=20,IF(AND(OR($A883=21,$A883=215),$AJ883=10),"①病院一般",IF(AND($A883=31,$AJ883=41),"②病院短期","対象外")),IF($AJ883=30,"③特定消防",IF(AND(OR($A883=21,$A883=215),$AJ883=10),"④一般",IF(AND($A883=31,$AJ883=41),"⑤短期","対象外")))))</f>
        <v>⑤短期</v>
      </c>
      <c r="DC883" s="0" t="n">
        <f aca="false">IF($A883="","",IF($AB883&amp;""=設定!$C$4,1,0))</f>
        <v>0</v>
      </c>
    </row>
    <row r="884" customFormat="false" ht="15" hidden="false" customHeight="false" outlineLevel="0" collapsed="false">
      <c r="A884" s="0" t="n">
        <v>31</v>
      </c>
      <c r="AA884" s="0" t="n">
        <v>21</v>
      </c>
      <c r="AB884" s="0" t="s">
        <v>294</v>
      </c>
      <c r="AD884" s="0" t="n">
        <v>0</v>
      </c>
      <c r="AE884" s="0" t="s">
        <v>295</v>
      </c>
      <c r="AH884" s="0" t="n">
        <v>1</v>
      </c>
      <c r="AJ884" s="0" t="n">
        <v>41</v>
      </c>
      <c r="AP884" s="0" t="n">
        <v>134000</v>
      </c>
      <c r="DB884" s="0" t="str">
        <f aca="false">IF($A884="","",IF($AH884=20,IF(AND(OR($A884=21,$A884=215),$AJ884=10),"①病院一般",IF(AND($A884=31,$AJ884=41),"②病院短期","対象外")),IF($AJ884=30,"③特定消防",IF(AND(OR($A884=21,$A884=215),$AJ884=10),"④一般",IF(AND($A884=31,$AJ884=41),"⑤短期","対象外")))))</f>
        <v>⑤短期</v>
      </c>
      <c r="DC884" s="0" t="n">
        <f aca="false">IF($A884="","",IF($AB884&amp;""=設定!$C$4,1,0))</f>
        <v>0</v>
      </c>
    </row>
    <row r="885" customFormat="false" ht="15" hidden="false" customHeight="false" outlineLevel="0" collapsed="false">
      <c r="A885" s="0" t="n">
        <v>31</v>
      </c>
      <c r="AA885" s="0" t="n">
        <v>21</v>
      </c>
      <c r="AB885" s="0" t="s">
        <v>335</v>
      </c>
      <c r="AD885" s="0" t="n">
        <v>0</v>
      </c>
      <c r="AE885" s="0" t="s">
        <v>295</v>
      </c>
      <c r="AH885" s="0" t="n">
        <v>11</v>
      </c>
      <c r="AJ885" s="0" t="n">
        <v>41</v>
      </c>
      <c r="AP885" s="0" t="n">
        <v>260000</v>
      </c>
      <c r="DB885" s="0" t="str">
        <f aca="false">IF($A885="","",IF($AH885=20,IF(AND(OR($A885=21,$A885=215),$AJ885=10),"①病院一般",IF(AND($A885=31,$AJ885=41),"②病院短期","対象外")),IF($AJ885=30,"③特定消防",IF(AND(OR($A885=21,$A885=215),$AJ885=10),"④一般",IF(AND($A885=31,$AJ885=41),"⑤短期","対象外")))))</f>
        <v>⑤短期</v>
      </c>
      <c r="DC885" s="0" t="n">
        <f aca="false">IF($A885="","",IF($AB885&amp;""=設定!$C$4,1,0))</f>
        <v>0</v>
      </c>
    </row>
    <row r="886" customFormat="false" ht="15" hidden="false" customHeight="false" outlineLevel="0" collapsed="false">
      <c r="A886" s="0" t="n">
        <v>31</v>
      </c>
      <c r="AA886" s="0" t="n">
        <v>24</v>
      </c>
      <c r="AB886" s="0" t="s">
        <v>96</v>
      </c>
      <c r="AD886" s="0" t="n">
        <v>0</v>
      </c>
      <c r="AE886" s="0" t="s">
        <v>295</v>
      </c>
      <c r="AH886" s="0" t="n">
        <v>11</v>
      </c>
      <c r="AJ886" s="0" t="n">
        <v>41</v>
      </c>
      <c r="AP886" s="0" t="n">
        <v>200000</v>
      </c>
      <c r="DB886" s="0" t="str">
        <f aca="false">IF($A886="","",IF($AH886=20,IF(AND(OR($A886=21,$A886=215),$AJ886=10),"①病院一般",IF(AND($A886=31,$AJ886=41),"②病院短期","対象外")),IF($AJ886=30,"③特定消防",IF(AND(OR($A886=21,$A886=215),$AJ886=10),"④一般",IF(AND($A886=31,$AJ886=41),"⑤短期","対象外")))))</f>
        <v>⑤短期</v>
      </c>
      <c r="DC886" s="0" t="n">
        <f aca="false">IF($A886="","",IF($AB886&amp;""=設定!$C$4,1,0))</f>
        <v>1</v>
      </c>
    </row>
    <row r="887" customFormat="false" ht="15" hidden="false" customHeight="false" outlineLevel="0" collapsed="false">
      <c r="A887" s="0" t="n">
        <v>31</v>
      </c>
      <c r="AA887" s="0" t="n">
        <v>24</v>
      </c>
      <c r="AB887" s="0" t="s">
        <v>301</v>
      </c>
      <c r="AD887" s="0" t="n">
        <v>0</v>
      </c>
      <c r="AE887" s="0" t="s">
        <v>295</v>
      </c>
      <c r="AH887" s="0" t="n">
        <v>1</v>
      </c>
      <c r="AJ887" s="0" t="n">
        <v>41</v>
      </c>
      <c r="AP887" s="0" t="n">
        <v>126000</v>
      </c>
      <c r="DB887" s="0" t="str">
        <f aca="false">IF($A887="","",IF($AH887=20,IF(AND(OR($A887=21,$A887=215),$AJ887=10),"①病院一般",IF(AND($A887=31,$AJ887=41),"②病院短期","対象外")),IF($AJ887=30,"③特定消防",IF(AND(OR($A887=21,$A887=215),$AJ887=10),"④一般",IF(AND($A887=31,$AJ887=41),"⑤短期","対象外")))))</f>
        <v>⑤短期</v>
      </c>
      <c r="DC887" s="0" t="n">
        <f aca="false">IF($A887="","",IF($AB887&amp;""=設定!$C$4,1,0))</f>
        <v>0</v>
      </c>
    </row>
    <row r="888" customFormat="false" ht="15" hidden="false" customHeight="false" outlineLevel="0" collapsed="false">
      <c r="A888" s="0" t="n">
        <v>31</v>
      </c>
      <c r="AA888" s="0" t="n">
        <v>21</v>
      </c>
      <c r="AB888" s="0" t="s">
        <v>312</v>
      </c>
      <c r="AD888" s="0" t="n">
        <v>0</v>
      </c>
      <c r="AE888" s="0" t="s">
        <v>295</v>
      </c>
      <c r="AH888" s="0" t="n">
        <v>11</v>
      </c>
      <c r="AJ888" s="0" t="n">
        <v>41</v>
      </c>
      <c r="AP888" s="0" t="n">
        <v>78000</v>
      </c>
      <c r="DB888" s="0" t="str">
        <f aca="false">IF($A888="","",IF($AH888=20,IF(AND(OR($A888=21,$A888=215),$AJ888=10),"①病院一般",IF(AND($A888=31,$AJ888=41),"②病院短期","対象外")),IF($AJ888=30,"③特定消防",IF(AND(OR($A888=21,$A888=215),$AJ888=10),"④一般",IF(AND($A888=31,$AJ888=41),"⑤短期","対象外")))))</f>
        <v>⑤短期</v>
      </c>
      <c r="DC888" s="0" t="n">
        <f aca="false">IF($A888="","",IF($AB888&amp;""=設定!$C$4,1,0))</f>
        <v>0</v>
      </c>
    </row>
    <row r="889" customFormat="false" ht="15" hidden="false" customHeight="false" outlineLevel="0" collapsed="false">
      <c r="A889" s="0" t="n">
        <v>31</v>
      </c>
      <c r="AA889" s="0" t="n">
        <v>21</v>
      </c>
      <c r="AB889" s="0" t="s">
        <v>312</v>
      </c>
      <c r="AD889" s="0" t="n">
        <v>0</v>
      </c>
      <c r="AE889" s="0" t="s">
        <v>295</v>
      </c>
      <c r="AH889" s="0" t="n">
        <v>11</v>
      </c>
      <c r="AJ889" s="0" t="n">
        <v>41</v>
      </c>
      <c r="AP889" s="0" t="n">
        <v>78000</v>
      </c>
      <c r="DB889" s="0" t="str">
        <f aca="false">IF($A889="","",IF($AH889=20,IF(AND(OR($A889=21,$A889=215),$AJ889=10),"①病院一般",IF(AND($A889=31,$AJ889=41),"②病院短期","対象外")),IF($AJ889=30,"③特定消防",IF(AND(OR($A889=21,$A889=215),$AJ889=10),"④一般",IF(AND($A889=31,$AJ889=41),"⑤短期","対象外")))))</f>
        <v>⑤短期</v>
      </c>
      <c r="DC889" s="0" t="n">
        <f aca="false">IF($A889="","",IF($AB889&amp;""=設定!$C$4,1,0))</f>
        <v>0</v>
      </c>
    </row>
    <row r="890" customFormat="false" ht="15" hidden="false" customHeight="false" outlineLevel="0" collapsed="false">
      <c r="A890" s="0" t="n">
        <v>31</v>
      </c>
      <c r="AA890" s="0" t="n">
        <v>21</v>
      </c>
      <c r="AB890" s="0" t="s">
        <v>312</v>
      </c>
      <c r="AD890" s="0" t="n">
        <v>0</v>
      </c>
      <c r="AE890" s="0" t="s">
        <v>295</v>
      </c>
      <c r="AH890" s="0" t="n">
        <v>11</v>
      </c>
      <c r="AJ890" s="0" t="n">
        <v>41</v>
      </c>
      <c r="AP890" s="0" t="n">
        <v>68000</v>
      </c>
      <c r="DB890" s="0" t="str">
        <f aca="false">IF($A890="","",IF($AH890=20,IF(AND(OR($A890=21,$A890=215),$AJ890=10),"①病院一般",IF(AND($A890=31,$AJ890=41),"②病院短期","対象外")),IF($AJ890=30,"③特定消防",IF(AND(OR($A890=21,$A890=215),$AJ890=10),"④一般",IF(AND($A890=31,$AJ890=41),"⑤短期","対象外")))))</f>
        <v>⑤短期</v>
      </c>
      <c r="DC890" s="0" t="n">
        <f aca="false">IF($A890="","",IF($AB890&amp;""=設定!$C$4,1,0))</f>
        <v>0</v>
      </c>
    </row>
    <row r="891" customFormat="false" ht="15" hidden="false" customHeight="false" outlineLevel="0" collapsed="false">
      <c r="A891" s="0" t="n">
        <v>31</v>
      </c>
      <c r="AA891" s="0" t="n">
        <v>21</v>
      </c>
      <c r="AB891" s="0" t="s">
        <v>312</v>
      </c>
      <c r="AD891" s="0" t="n">
        <v>0</v>
      </c>
      <c r="AE891" s="0" t="s">
        <v>295</v>
      </c>
      <c r="AH891" s="0" t="n">
        <v>11</v>
      </c>
      <c r="AJ891" s="0" t="n">
        <v>41</v>
      </c>
      <c r="AP891" s="0" t="n">
        <v>68000</v>
      </c>
      <c r="DB891" s="0" t="str">
        <f aca="false">IF($A891="","",IF($AH891=20,IF(AND(OR($A891=21,$A891=215),$AJ891=10),"①病院一般",IF(AND($A891=31,$AJ891=41),"②病院短期","対象外")),IF($AJ891=30,"③特定消防",IF(AND(OR($A891=21,$A891=215),$AJ891=10),"④一般",IF(AND($A891=31,$AJ891=41),"⑤短期","対象外")))))</f>
        <v>⑤短期</v>
      </c>
      <c r="DC891" s="0" t="n">
        <f aca="false">IF($A891="","",IF($AB891&amp;""=設定!$C$4,1,0))</f>
        <v>0</v>
      </c>
    </row>
    <row r="892" customFormat="false" ht="15" hidden="false" customHeight="false" outlineLevel="0" collapsed="false">
      <c r="A892" s="0" t="n">
        <v>31</v>
      </c>
      <c r="AA892" s="0" t="n">
        <v>21</v>
      </c>
      <c r="AB892" s="0" t="s">
        <v>312</v>
      </c>
      <c r="AD892" s="0" t="n">
        <v>0</v>
      </c>
      <c r="AE892" s="0" t="s">
        <v>295</v>
      </c>
      <c r="AH892" s="0" t="n">
        <v>11</v>
      </c>
      <c r="AJ892" s="0" t="n">
        <v>41</v>
      </c>
      <c r="AP892" s="0" t="n">
        <v>68000</v>
      </c>
      <c r="DB892" s="0" t="str">
        <f aca="false">IF($A892="","",IF($AH892=20,IF(AND(OR($A892=21,$A892=215),$AJ892=10),"①病院一般",IF(AND($A892=31,$AJ892=41),"②病院短期","対象外")),IF($AJ892=30,"③特定消防",IF(AND(OR($A892=21,$A892=215),$AJ892=10),"④一般",IF(AND($A892=31,$AJ892=41),"⑤短期","対象外")))))</f>
        <v>⑤短期</v>
      </c>
      <c r="DC892" s="0" t="n">
        <f aca="false">IF($A892="","",IF($AB892&amp;""=設定!$C$4,1,0))</f>
        <v>0</v>
      </c>
    </row>
    <row r="893" customFormat="false" ht="15" hidden="false" customHeight="false" outlineLevel="0" collapsed="false">
      <c r="A893" s="0" t="n">
        <v>31</v>
      </c>
      <c r="AA893" s="0" t="n">
        <v>21</v>
      </c>
      <c r="AB893" s="0" t="s">
        <v>312</v>
      </c>
      <c r="AD893" s="0" t="n">
        <v>0</v>
      </c>
      <c r="AE893" s="0" t="s">
        <v>295</v>
      </c>
      <c r="AH893" s="0" t="n">
        <v>11</v>
      </c>
      <c r="AJ893" s="0" t="n">
        <v>41</v>
      </c>
      <c r="AP893" s="0" t="n">
        <v>88000</v>
      </c>
      <c r="DB893" s="0" t="str">
        <f aca="false">IF($A893="","",IF($AH893=20,IF(AND(OR($A893=21,$A893=215),$AJ893=10),"①病院一般",IF(AND($A893=31,$AJ893=41),"②病院短期","対象外")),IF($AJ893=30,"③特定消防",IF(AND(OR($A893=21,$A893=215),$AJ893=10),"④一般",IF(AND($A893=31,$AJ893=41),"⑤短期","対象外")))))</f>
        <v>⑤短期</v>
      </c>
      <c r="DC893" s="0" t="n">
        <f aca="false">IF($A893="","",IF($AB893&amp;""=設定!$C$4,1,0))</f>
        <v>0</v>
      </c>
    </row>
    <row r="894" customFormat="false" ht="15" hidden="false" customHeight="false" outlineLevel="0" collapsed="false">
      <c r="A894" s="0" t="n">
        <v>31</v>
      </c>
      <c r="AA894" s="0" t="n">
        <v>21</v>
      </c>
      <c r="AB894" s="0" t="s">
        <v>312</v>
      </c>
      <c r="AD894" s="0" t="n">
        <v>0</v>
      </c>
      <c r="AE894" s="0" t="s">
        <v>295</v>
      </c>
      <c r="AH894" s="0" t="n">
        <v>11</v>
      </c>
      <c r="AJ894" s="0" t="n">
        <v>41</v>
      </c>
      <c r="AP894" s="0" t="n">
        <v>78000</v>
      </c>
      <c r="DB894" s="0" t="str">
        <f aca="false">IF($A894="","",IF($AH894=20,IF(AND(OR($A894=21,$A894=215),$AJ894=10),"①病院一般",IF(AND($A894=31,$AJ894=41),"②病院短期","対象外")),IF($AJ894=30,"③特定消防",IF(AND(OR($A894=21,$A894=215),$AJ894=10),"④一般",IF(AND($A894=31,$AJ894=41),"⑤短期","対象外")))))</f>
        <v>⑤短期</v>
      </c>
      <c r="DC894" s="0" t="n">
        <f aca="false">IF($A894="","",IF($AB894&amp;""=設定!$C$4,1,0))</f>
        <v>0</v>
      </c>
    </row>
    <row r="895" customFormat="false" ht="15" hidden="false" customHeight="false" outlineLevel="0" collapsed="false">
      <c r="A895" s="0" t="n">
        <v>31</v>
      </c>
      <c r="AA895" s="0" t="n">
        <v>24</v>
      </c>
      <c r="AB895" s="0" t="s">
        <v>298</v>
      </c>
      <c r="AD895" s="0" t="n">
        <v>0</v>
      </c>
      <c r="AE895" s="0" t="s">
        <v>295</v>
      </c>
      <c r="AH895" s="0" t="n">
        <v>11</v>
      </c>
      <c r="AJ895" s="0" t="n">
        <v>41</v>
      </c>
      <c r="AP895" s="0" t="n">
        <v>104000</v>
      </c>
      <c r="DB895" s="0" t="str">
        <f aca="false">IF($A895="","",IF($AH895=20,IF(AND(OR($A895=21,$A895=215),$AJ895=10),"①病院一般",IF(AND($A895=31,$AJ895=41),"②病院短期","対象外")),IF($AJ895=30,"③特定消防",IF(AND(OR($A895=21,$A895=215),$AJ895=10),"④一般",IF(AND($A895=31,$AJ895=41),"⑤短期","対象外")))))</f>
        <v>⑤短期</v>
      </c>
      <c r="DC895" s="0" t="n">
        <f aca="false">IF($A895="","",IF($AB895&amp;""=設定!$C$4,1,0))</f>
        <v>0</v>
      </c>
    </row>
    <row r="896" customFormat="false" ht="15" hidden="false" customHeight="false" outlineLevel="0" collapsed="false">
      <c r="A896" s="0" t="n">
        <v>31</v>
      </c>
      <c r="AA896" s="0" t="n">
        <v>24</v>
      </c>
      <c r="AB896" s="0" t="s">
        <v>298</v>
      </c>
      <c r="AD896" s="0" t="n">
        <v>0</v>
      </c>
      <c r="AE896" s="0" t="s">
        <v>295</v>
      </c>
      <c r="AH896" s="0" t="n">
        <v>11</v>
      </c>
      <c r="AJ896" s="0" t="n">
        <v>41</v>
      </c>
      <c r="AP896" s="0" t="n">
        <v>110000</v>
      </c>
      <c r="DB896" s="0" t="str">
        <f aca="false">IF($A896="","",IF($AH896=20,IF(AND(OR($A896=21,$A896=215),$AJ896=10),"①病院一般",IF(AND($A896=31,$AJ896=41),"②病院短期","対象外")),IF($AJ896=30,"③特定消防",IF(AND(OR($A896=21,$A896=215),$AJ896=10),"④一般",IF(AND($A896=31,$AJ896=41),"⑤短期","対象外")))))</f>
        <v>⑤短期</v>
      </c>
      <c r="DC896" s="0" t="n">
        <f aca="false">IF($A896="","",IF($AB896&amp;""=設定!$C$4,1,0))</f>
        <v>0</v>
      </c>
    </row>
    <row r="897" customFormat="false" ht="15" hidden="false" customHeight="false" outlineLevel="0" collapsed="false">
      <c r="A897" s="0" t="n">
        <v>31</v>
      </c>
      <c r="AA897" s="0" t="n">
        <v>21</v>
      </c>
      <c r="AB897" s="0" t="s">
        <v>96</v>
      </c>
      <c r="AD897" s="0" t="n">
        <v>0</v>
      </c>
      <c r="AE897" s="0" t="s">
        <v>295</v>
      </c>
      <c r="AH897" s="0" t="n">
        <v>1</v>
      </c>
      <c r="AJ897" s="0" t="n">
        <v>41</v>
      </c>
      <c r="AP897" s="0" t="n">
        <v>134000</v>
      </c>
      <c r="DB897" s="0" t="str">
        <f aca="false">IF($A897="","",IF($AH897=20,IF(AND(OR($A897=21,$A897=215),$AJ897=10),"①病院一般",IF(AND($A897=31,$AJ897=41),"②病院短期","対象外")),IF($AJ897=30,"③特定消防",IF(AND(OR($A897=21,$A897=215),$AJ897=10),"④一般",IF(AND($A897=31,$AJ897=41),"⑤短期","対象外")))))</f>
        <v>⑤短期</v>
      </c>
      <c r="DC897" s="0" t="n">
        <f aca="false">IF($A897="","",IF($AB897&amp;""=設定!$C$4,1,0))</f>
        <v>1</v>
      </c>
    </row>
    <row r="898" customFormat="false" ht="15" hidden="false" customHeight="false" outlineLevel="0" collapsed="false">
      <c r="A898" s="0" t="n">
        <v>31</v>
      </c>
      <c r="AA898" s="0" t="n">
        <v>24</v>
      </c>
      <c r="AB898" s="0" t="s">
        <v>296</v>
      </c>
      <c r="AD898" s="0" t="n">
        <v>0</v>
      </c>
      <c r="AE898" s="0" t="s">
        <v>295</v>
      </c>
      <c r="AH898" s="0" t="n">
        <v>1</v>
      </c>
      <c r="AJ898" s="0" t="n">
        <v>41</v>
      </c>
      <c r="AP898" s="0" t="n">
        <v>150000</v>
      </c>
      <c r="DB898" s="0" t="str">
        <f aca="false">IF($A898="","",IF($AH898=20,IF(AND(OR($A898=21,$A898=215),$AJ898=10),"①病院一般",IF(AND($A898=31,$AJ898=41),"②病院短期","対象外")),IF($AJ898=30,"③特定消防",IF(AND(OR($A898=21,$A898=215),$AJ898=10),"④一般",IF(AND($A898=31,$AJ898=41),"⑤短期","対象外")))))</f>
        <v>⑤短期</v>
      </c>
      <c r="DC898" s="0" t="n">
        <f aca="false">IF($A898="","",IF($AB898&amp;""=設定!$C$4,1,0))</f>
        <v>0</v>
      </c>
    </row>
    <row r="899" customFormat="false" ht="15" hidden="false" customHeight="false" outlineLevel="0" collapsed="false">
      <c r="A899" s="0" t="n">
        <v>31</v>
      </c>
      <c r="AA899" s="0" t="n">
        <v>24</v>
      </c>
      <c r="AB899" s="0" t="s">
        <v>300</v>
      </c>
      <c r="AD899" s="0" t="n">
        <v>0</v>
      </c>
      <c r="AE899" s="0" t="s">
        <v>295</v>
      </c>
      <c r="AH899" s="0" t="n">
        <v>1</v>
      </c>
      <c r="AJ899" s="0" t="n">
        <v>41</v>
      </c>
      <c r="AP899" s="0" t="n">
        <v>180000</v>
      </c>
      <c r="DB899" s="0" t="str">
        <f aca="false">IF($A899="","",IF($AH899=20,IF(AND(OR($A899=21,$A899=215),$AJ899=10),"①病院一般",IF(AND($A899=31,$AJ899=41),"②病院短期","対象外")),IF($AJ899=30,"③特定消防",IF(AND(OR($A899=21,$A899=215),$AJ899=10),"④一般",IF(AND($A899=31,$AJ899=41),"⑤短期","対象外")))))</f>
        <v>⑤短期</v>
      </c>
      <c r="DC899" s="0" t="n">
        <f aca="false">IF($A899="","",IF($AB899&amp;""=設定!$C$4,1,0))</f>
        <v>0</v>
      </c>
    </row>
    <row r="900" customFormat="false" ht="15" hidden="false" customHeight="false" outlineLevel="0" collapsed="false">
      <c r="A900" s="0" t="n">
        <v>31</v>
      </c>
      <c r="AA900" s="0" t="n">
        <v>21</v>
      </c>
      <c r="AB900" s="0" t="s">
        <v>312</v>
      </c>
      <c r="AD900" s="0" t="n">
        <v>0</v>
      </c>
      <c r="AE900" s="0" t="s">
        <v>295</v>
      </c>
      <c r="AH900" s="0" t="n">
        <v>11</v>
      </c>
      <c r="AJ900" s="0" t="n">
        <v>41</v>
      </c>
      <c r="AP900" s="0" t="n">
        <v>68000</v>
      </c>
      <c r="DB900" s="0" t="str">
        <f aca="false">IF($A900="","",IF($AH900=20,IF(AND(OR($A900=21,$A900=215),$AJ900=10),"①病院一般",IF(AND($A900=31,$AJ900=41),"②病院短期","対象外")),IF($AJ900=30,"③特定消防",IF(AND(OR($A900=21,$A900=215),$AJ900=10),"④一般",IF(AND($A900=31,$AJ900=41),"⑤短期","対象外")))))</f>
        <v>⑤短期</v>
      </c>
      <c r="DC900" s="0" t="n">
        <f aca="false">IF($A900="","",IF($AB900&amp;""=設定!$C$4,1,0))</f>
        <v>0</v>
      </c>
    </row>
    <row r="901" customFormat="false" ht="15" hidden="false" customHeight="false" outlineLevel="0" collapsed="false">
      <c r="A901" s="0" t="n">
        <v>31</v>
      </c>
      <c r="AA901" s="0" t="n">
        <v>21</v>
      </c>
      <c r="AB901" s="0" t="s">
        <v>332</v>
      </c>
      <c r="AD901" s="0" t="n">
        <v>0</v>
      </c>
      <c r="AE901" s="0" t="s">
        <v>295</v>
      </c>
      <c r="AH901" s="0" t="n">
        <v>11</v>
      </c>
      <c r="AJ901" s="0" t="n">
        <v>41</v>
      </c>
      <c r="AP901" s="0" t="n">
        <v>126000</v>
      </c>
      <c r="DB901" s="0" t="str">
        <f aca="false">IF($A901="","",IF($AH901=20,IF(AND(OR($A901=21,$A901=215),$AJ901=10),"①病院一般",IF(AND($A901=31,$AJ901=41),"②病院短期","対象外")),IF($AJ901=30,"③特定消防",IF(AND(OR($A901=21,$A901=215),$AJ901=10),"④一般",IF(AND($A901=31,$AJ901=41),"⑤短期","対象外")))))</f>
        <v>⑤短期</v>
      </c>
      <c r="DC901" s="0" t="n">
        <f aca="false">IF($A901="","",IF($AB901&amp;""=設定!$C$4,1,0))</f>
        <v>0</v>
      </c>
    </row>
    <row r="902" customFormat="false" ht="15" hidden="false" customHeight="false" outlineLevel="0" collapsed="false">
      <c r="A902" s="0" t="n">
        <v>31</v>
      </c>
      <c r="AA902" s="0" t="n">
        <v>21</v>
      </c>
      <c r="AB902" s="0" t="s">
        <v>318</v>
      </c>
      <c r="AD902" s="0" t="n">
        <v>0</v>
      </c>
      <c r="AE902" s="0" t="s">
        <v>295</v>
      </c>
      <c r="AH902" s="0" t="n">
        <v>11</v>
      </c>
      <c r="AJ902" s="0" t="n">
        <v>41</v>
      </c>
      <c r="AP902" s="0" t="n">
        <v>126000</v>
      </c>
      <c r="DB902" s="0" t="str">
        <f aca="false">IF($A902="","",IF($AH902=20,IF(AND(OR($A902=21,$A902=215),$AJ902=10),"①病院一般",IF(AND($A902=31,$AJ902=41),"②病院短期","対象外")),IF($AJ902=30,"③特定消防",IF(AND(OR($A902=21,$A902=215),$AJ902=10),"④一般",IF(AND($A902=31,$AJ902=41),"⑤短期","対象外")))))</f>
        <v>⑤短期</v>
      </c>
      <c r="DC902" s="0" t="n">
        <f aca="false">IF($A902="","",IF($AB902&amp;""=設定!$C$4,1,0))</f>
        <v>0</v>
      </c>
    </row>
    <row r="903" customFormat="false" ht="15" hidden="false" customHeight="false" outlineLevel="0" collapsed="false">
      <c r="A903" s="0" t="n">
        <v>31</v>
      </c>
      <c r="AA903" s="0" t="n">
        <v>21</v>
      </c>
      <c r="AB903" s="0" t="s">
        <v>299</v>
      </c>
      <c r="AD903" s="0" t="n">
        <v>0</v>
      </c>
      <c r="AE903" s="0" t="s">
        <v>295</v>
      </c>
      <c r="AH903" s="0" t="n">
        <v>1</v>
      </c>
      <c r="AJ903" s="0" t="n">
        <v>41</v>
      </c>
      <c r="AP903" s="0" t="n">
        <v>190000</v>
      </c>
      <c r="DB903" s="0" t="str">
        <f aca="false">IF($A903="","",IF($AH903=20,IF(AND(OR($A903=21,$A903=215),$AJ903=10),"①病院一般",IF(AND($A903=31,$AJ903=41),"②病院短期","対象外")),IF($AJ903=30,"③特定消防",IF(AND(OR($A903=21,$A903=215),$AJ903=10),"④一般",IF(AND($A903=31,$AJ903=41),"⑤短期","対象外")))))</f>
        <v>⑤短期</v>
      </c>
      <c r="DC903" s="0" t="n">
        <f aca="false">IF($A903="","",IF($AB903&amp;""=設定!$C$4,1,0))</f>
        <v>0</v>
      </c>
    </row>
    <row r="904" customFormat="false" ht="15" hidden="false" customHeight="false" outlineLevel="0" collapsed="false">
      <c r="A904" s="0" t="n">
        <v>31</v>
      </c>
      <c r="AA904" s="0" t="n">
        <v>21</v>
      </c>
      <c r="AB904" s="0" t="s">
        <v>312</v>
      </c>
      <c r="AD904" s="0" t="n">
        <v>0</v>
      </c>
      <c r="AE904" s="0" t="s">
        <v>295</v>
      </c>
      <c r="AH904" s="0" t="n">
        <v>11</v>
      </c>
      <c r="AJ904" s="0" t="n">
        <v>41</v>
      </c>
      <c r="AP904" s="0" t="n">
        <v>68000</v>
      </c>
      <c r="DB904" s="0" t="str">
        <f aca="false">IF($A904="","",IF($AH904=20,IF(AND(OR($A904=21,$A904=215),$AJ904=10),"①病院一般",IF(AND($A904=31,$AJ904=41),"②病院短期","対象外")),IF($AJ904=30,"③特定消防",IF(AND(OR($A904=21,$A904=215),$AJ904=10),"④一般",IF(AND($A904=31,$AJ904=41),"⑤短期","対象外")))))</f>
        <v>⑤短期</v>
      </c>
      <c r="DC904" s="0" t="n">
        <f aca="false">IF($A904="","",IF($AB904&amp;""=設定!$C$4,1,0))</f>
        <v>0</v>
      </c>
    </row>
    <row r="905" customFormat="false" ht="15" hidden="false" customHeight="false" outlineLevel="0" collapsed="false">
      <c r="A905" s="0" t="n">
        <v>31</v>
      </c>
      <c r="AA905" s="0" t="n">
        <v>21</v>
      </c>
      <c r="AB905" s="0" t="s">
        <v>96</v>
      </c>
      <c r="AD905" s="0" t="n">
        <v>12</v>
      </c>
      <c r="AE905" s="0" t="s">
        <v>336</v>
      </c>
      <c r="AH905" s="0" t="n">
        <v>1</v>
      </c>
      <c r="AJ905" s="0" t="n">
        <v>41</v>
      </c>
      <c r="AP905" s="0" t="n">
        <v>150000</v>
      </c>
      <c r="DB905" s="0" t="str">
        <f aca="false">IF($A905="","",IF($AH905=20,IF(AND(OR($A905=21,$A905=215),$AJ905=10),"①病院一般",IF(AND($A905=31,$AJ905=41),"②病院短期","対象外")),IF($AJ905=30,"③特定消防",IF(AND(OR($A905=21,$A905=215),$AJ905=10),"④一般",IF(AND($A905=31,$AJ905=41),"⑤短期","対象外")))))</f>
        <v>⑤短期</v>
      </c>
      <c r="DC905" s="0" t="n">
        <f aca="false">IF($A905="","",IF($AB905&amp;""=設定!$C$4,1,0))</f>
        <v>1</v>
      </c>
    </row>
    <row r="906" customFormat="false" ht="15" hidden="false" customHeight="false" outlineLevel="0" collapsed="false">
      <c r="A906" s="0" t="n">
        <v>31</v>
      </c>
      <c r="AA906" s="0" t="n">
        <v>21</v>
      </c>
      <c r="AB906" s="0" t="s">
        <v>96</v>
      </c>
      <c r="AD906" s="0" t="n">
        <v>0</v>
      </c>
      <c r="AE906" s="0" t="s">
        <v>295</v>
      </c>
      <c r="AH906" s="0" t="n">
        <v>11</v>
      </c>
      <c r="AJ906" s="0" t="n">
        <v>41</v>
      </c>
      <c r="AP906" s="0" t="n">
        <v>104000</v>
      </c>
      <c r="DB906" s="0" t="str">
        <f aca="false">IF($A906="","",IF($AH906=20,IF(AND(OR($A906=21,$A906=215),$AJ906=10),"①病院一般",IF(AND($A906=31,$AJ906=41),"②病院短期","対象外")),IF($AJ906=30,"③特定消防",IF(AND(OR($A906=21,$A906=215),$AJ906=10),"④一般",IF(AND($A906=31,$AJ906=41),"⑤短期","対象外")))))</f>
        <v>⑤短期</v>
      </c>
      <c r="DC906" s="0" t="n">
        <f aca="false">IF($A906="","",IF($AB906&amp;""=設定!$C$4,1,0))</f>
        <v>1</v>
      </c>
    </row>
    <row r="907" customFormat="false" ht="15" hidden="false" customHeight="false" outlineLevel="0" collapsed="false">
      <c r="A907" s="0" t="n">
        <v>31</v>
      </c>
      <c r="AA907" s="0" t="n">
        <v>24</v>
      </c>
      <c r="AB907" s="0" t="s">
        <v>303</v>
      </c>
      <c r="AD907" s="0" t="n">
        <v>0</v>
      </c>
      <c r="AE907" s="0" t="s">
        <v>295</v>
      </c>
      <c r="AH907" s="0" t="n">
        <v>1</v>
      </c>
      <c r="AJ907" s="0" t="n">
        <v>41</v>
      </c>
      <c r="AP907" s="0" t="n">
        <v>134000</v>
      </c>
      <c r="DB907" s="0" t="str">
        <f aca="false">IF($A907="","",IF($AH907=20,IF(AND(OR($A907=21,$A907=215),$AJ907=10),"①病院一般",IF(AND($A907=31,$AJ907=41),"②病院短期","対象外")),IF($AJ907=30,"③特定消防",IF(AND(OR($A907=21,$A907=215),$AJ907=10),"④一般",IF(AND($A907=31,$AJ907=41),"⑤短期","対象外")))))</f>
        <v>⑤短期</v>
      </c>
      <c r="DC907" s="0" t="n">
        <f aca="false">IF($A907="","",IF($AB907&amp;""=設定!$C$4,1,0))</f>
        <v>0</v>
      </c>
    </row>
    <row r="908" customFormat="false" ht="15" hidden="false" customHeight="false" outlineLevel="0" collapsed="false">
      <c r="A908" s="0" t="n">
        <v>31</v>
      </c>
      <c r="AA908" s="0" t="n">
        <v>21</v>
      </c>
      <c r="AB908" s="0" t="s">
        <v>324</v>
      </c>
      <c r="AD908" s="0" t="n">
        <v>12</v>
      </c>
      <c r="AE908" s="0" t="s">
        <v>325</v>
      </c>
      <c r="AH908" s="0" t="n">
        <v>1</v>
      </c>
      <c r="AJ908" s="0" t="n">
        <v>41</v>
      </c>
      <c r="AP908" s="0" t="n">
        <v>150000</v>
      </c>
      <c r="DB908" s="0" t="str">
        <f aca="false">IF($A908="","",IF($AH908=20,IF(AND(OR($A908=21,$A908=215),$AJ908=10),"①病院一般",IF(AND($A908=31,$AJ908=41),"②病院短期","対象外")),IF($AJ908=30,"③特定消防",IF(AND(OR($A908=21,$A908=215),$AJ908=10),"④一般",IF(AND($A908=31,$AJ908=41),"⑤短期","対象外")))))</f>
        <v>⑤短期</v>
      </c>
      <c r="DC908" s="0" t="n">
        <f aca="false">IF($A908="","",IF($AB908&amp;""=設定!$C$4,1,0))</f>
        <v>0</v>
      </c>
    </row>
    <row r="909" customFormat="false" ht="15" hidden="false" customHeight="false" outlineLevel="0" collapsed="false">
      <c r="A909" s="0" t="n">
        <v>31</v>
      </c>
      <c r="AA909" s="0" t="n">
        <v>21</v>
      </c>
      <c r="AB909" s="0" t="s">
        <v>312</v>
      </c>
      <c r="AD909" s="0" t="n">
        <v>0</v>
      </c>
      <c r="AE909" s="0" t="s">
        <v>295</v>
      </c>
      <c r="AH909" s="0" t="n">
        <v>11</v>
      </c>
      <c r="AJ909" s="0" t="n">
        <v>41</v>
      </c>
      <c r="AP909" s="0" t="n">
        <v>68000</v>
      </c>
      <c r="DB909" s="0" t="str">
        <f aca="false">IF($A909="","",IF($AH909=20,IF(AND(OR($A909=21,$A909=215),$AJ909=10),"①病院一般",IF(AND($A909=31,$AJ909=41),"②病院短期","対象外")),IF($AJ909=30,"③特定消防",IF(AND(OR($A909=21,$A909=215),$AJ909=10),"④一般",IF(AND($A909=31,$AJ909=41),"⑤短期","対象外")))))</f>
        <v>⑤短期</v>
      </c>
      <c r="DC909" s="0" t="n">
        <f aca="false">IF($A909="","",IF($AB909&amp;""=設定!$C$4,1,0))</f>
        <v>0</v>
      </c>
    </row>
    <row r="910" customFormat="false" ht="15" hidden="false" customHeight="false" outlineLevel="0" collapsed="false">
      <c r="A910" s="0" t="n">
        <v>31</v>
      </c>
      <c r="AA910" s="0" t="n">
        <v>21</v>
      </c>
      <c r="AB910" s="0" t="s">
        <v>312</v>
      </c>
      <c r="AD910" s="0" t="n">
        <v>0</v>
      </c>
      <c r="AE910" s="0" t="s">
        <v>295</v>
      </c>
      <c r="AH910" s="0" t="n">
        <v>11</v>
      </c>
      <c r="AJ910" s="0" t="n">
        <v>41</v>
      </c>
      <c r="AP910" s="0" t="n">
        <v>78000</v>
      </c>
      <c r="DB910" s="0" t="str">
        <f aca="false">IF($A910="","",IF($AH910=20,IF(AND(OR($A910=21,$A910=215),$AJ910=10),"①病院一般",IF(AND($A910=31,$AJ910=41),"②病院短期","対象外")),IF($AJ910=30,"③特定消防",IF(AND(OR($A910=21,$A910=215),$AJ910=10),"④一般",IF(AND($A910=31,$AJ910=41),"⑤短期","対象外")))))</f>
        <v>⑤短期</v>
      </c>
      <c r="DC910" s="0" t="n">
        <f aca="false">IF($A910="","",IF($AB910&amp;""=設定!$C$4,1,0))</f>
        <v>0</v>
      </c>
    </row>
    <row r="911" customFormat="false" ht="15" hidden="false" customHeight="false" outlineLevel="0" collapsed="false">
      <c r="A911" s="0" t="n">
        <v>31</v>
      </c>
      <c r="AA911" s="0" t="n">
        <v>24</v>
      </c>
      <c r="AB911" s="0" t="s">
        <v>318</v>
      </c>
      <c r="AD911" s="0" t="n">
        <v>0</v>
      </c>
      <c r="AE911" s="0" t="s">
        <v>295</v>
      </c>
      <c r="AH911" s="0" t="n">
        <v>11</v>
      </c>
      <c r="AJ911" s="0" t="n">
        <v>41</v>
      </c>
      <c r="AP911" s="0" t="n">
        <v>126000</v>
      </c>
      <c r="DB911" s="0" t="str">
        <f aca="false">IF($A911="","",IF($AH911=20,IF(AND(OR($A911=21,$A911=215),$AJ911=10),"①病院一般",IF(AND($A911=31,$AJ911=41),"②病院短期","対象外")),IF($AJ911=30,"③特定消防",IF(AND(OR($A911=21,$A911=215),$AJ911=10),"④一般",IF(AND($A911=31,$AJ911=41),"⑤短期","対象外")))))</f>
        <v>⑤短期</v>
      </c>
      <c r="DC911" s="0" t="n">
        <f aca="false">IF($A911="","",IF($AB911&amp;""=設定!$C$4,1,0))</f>
        <v>0</v>
      </c>
    </row>
    <row r="912" customFormat="false" ht="15" hidden="false" customHeight="false" outlineLevel="0" collapsed="false">
      <c r="A912" s="0" t="n">
        <v>31</v>
      </c>
      <c r="AA912" s="0" t="n">
        <v>24</v>
      </c>
      <c r="AB912" s="0" t="s">
        <v>303</v>
      </c>
      <c r="AD912" s="0" t="n">
        <v>0</v>
      </c>
      <c r="AE912" s="0" t="s">
        <v>295</v>
      </c>
      <c r="AH912" s="0" t="n">
        <v>1</v>
      </c>
      <c r="AJ912" s="0" t="n">
        <v>41</v>
      </c>
      <c r="AP912" s="0" t="n">
        <v>126000</v>
      </c>
      <c r="DB912" s="0" t="str">
        <f aca="false">IF($A912="","",IF($AH912=20,IF(AND(OR($A912=21,$A912=215),$AJ912=10),"①病院一般",IF(AND($A912=31,$AJ912=41),"②病院短期","対象外")),IF($AJ912=30,"③特定消防",IF(AND(OR($A912=21,$A912=215),$AJ912=10),"④一般",IF(AND($A912=31,$AJ912=41),"⑤短期","対象外")))))</f>
        <v>⑤短期</v>
      </c>
      <c r="DC912" s="0" t="n">
        <f aca="false">IF($A912="","",IF($AB912&amp;""=設定!$C$4,1,0))</f>
        <v>0</v>
      </c>
    </row>
    <row r="913" customFormat="false" ht="15" hidden="false" customHeight="false" outlineLevel="0" collapsed="false">
      <c r="A913" s="0" t="n">
        <v>31</v>
      </c>
      <c r="AA913" s="0" t="n">
        <v>21</v>
      </c>
      <c r="AB913" s="0" t="s">
        <v>316</v>
      </c>
      <c r="AD913" s="0" t="n">
        <v>0</v>
      </c>
      <c r="AE913" s="0" t="s">
        <v>295</v>
      </c>
      <c r="AH913" s="0" t="n">
        <v>11</v>
      </c>
      <c r="AJ913" s="0" t="n">
        <v>41</v>
      </c>
      <c r="AP913" s="0" t="n">
        <v>190000</v>
      </c>
      <c r="DB913" s="0" t="str">
        <f aca="false">IF($A913="","",IF($AH913=20,IF(AND(OR($A913=21,$A913=215),$AJ913=10),"①病院一般",IF(AND($A913=31,$AJ913=41),"②病院短期","対象外")),IF($AJ913=30,"③特定消防",IF(AND(OR($A913=21,$A913=215),$AJ913=10),"④一般",IF(AND($A913=31,$AJ913=41),"⑤短期","対象外")))))</f>
        <v>⑤短期</v>
      </c>
      <c r="DC913" s="0" t="n">
        <f aca="false">IF($A913="","",IF($AB913&amp;""=設定!$C$4,1,0))</f>
        <v>0</v>
      </c>
    </row>
    <row r="914" customFormat="false" ht="15" hidden="false" customHeight="false" outlineLevel="0" collapsed="false">
      <c r="A914" s="0" t="n">
        <v>31</v>
      </c>
      <c r="AA914" s="0" t="n">
        <v>21</v>
      </c>
      <c r="AB914" s="0" t="s">
        <v>312</v>
      </c>
      <c r="AD914" s="0" t="n">
        <v>0</v>
      </c>
      <c r="AE914" s="0" t="s">
        <v>295</v>
      </c>
      <c r="AH914" s="0" t="n">
        <v>11</v>
      </c>
      <c r="AJ914" s="0" t="n">
        <v>41</v>
      </c>
      <c r="AP914" s="0" t="n">
        <v>68000</v>
      </c>
      <c r="DB914" s="0" t="str">
        <f aca="false">IF($A914="","",IF($AH914=20,IF(AND(OR($A914=21,$A914=215),$AJ914=10),"①病院一般",IF(AND($A914=31,$AJ914=41),"②病院短期","対象外")),IF($AJ914=30,"③特定消防",IF(AND(OR($A914=21,$A914=215),$AJ914=10),"④一般",IF(AND($A914=31,$AJ914=41),"⑤短期","対象外")))))</f>
        <v>⑤短期</v>
      </c>
      <c r="DC914" s="0" t="n">
        <f aca="false">IF($A914="","",IF($AB914&amp;""=設定!$C$4,1,0))</f>
        <v>0</v>
      </c>
    </row>
    <row r="915" customFormat="false" ht="15" hidden="false" customHeight="false" outlineLevel="0" collapsed="false">
      <c r="A915" s="0" t="n">
        <v>31</v>
      </c>
      <c r="AA915" s="0" t="n">
        <v>21</v>
      </c>
      <c r="AB915" s="0" t="s">
        <v>312</v>
      </c>
      <c r="AD915" s="0" t="n">
        <v>0</v>
      </c>
      <c r="AE915" s="0" t="s">
        <v>295</v>
      </c>
      <c r="AH915" s="0" t="n">
        <v>11</v>
      </c>
      <c r="AJ915" s="0" t="n">
        <v>41</v>
      </c>
      <c r="AP915" s="0" t="n">
        <v>68000</v>
      </c>
      <c r="DB915" s="0" t="str">
        <f aca="false">IF($A915="","",IF($AH915=20,IF(AND(OR($A915=21,$A915=215),$AJ915=10),"①病院一般",IF(AND($A915=31,$AJ915=41),"②病院短期","対象外")),IF($AJ915=30,"③特定消防",IF(AND(OR($A915=21,$A915=215),$AJ915=10),"④一般",IF(AND($A915=31,$AJ915=41),"⑤短期","対象外")))))</f>
        <v>⑤短期</v>
      </c>
      <c r="DC915" s="0" t="n">
        <f aca="false">IF($A915="","",IF($AB915&amp;""=設定!$C$4,1,0))</f>
        <v>0</v>
      </c>
    </row>
    <row r="916" customFormat="false" ht="15" hidden="false" customHeight="false" outlineLevel="0" collapsed="false">
      <c r="A916" s="0" t="n">
        <v>31</v>
      </c>
      <c r="AA916" s="0" t="n">
        <v>21</v>
      </c>
      <c r="AB916" s="0" t="s">
        <v>312</v>
      </c>
      <c r="AD916" s="0" t="n">
        <v>0</v>
      </c>
      <c r="AE916" s="0" t="s">
        <v>295</v>
      </c>
      <c r="AH916" s="0" t="n">
        <v>11</v>
      </c>
      <c r="AJ916" s="0" t="n">
        <v>41</v>
      </c>
      <c r="AP916" s="0" t="n">
        <v>68000</v>
      </c>
      <c r="DB916" s="0" t="str">
        <f aca="false">IF($A916="","",IF($AH916=20,IF(AND(OR($A916=21,$A916=215),$AJ916=10),"①病院一般",IF(AND($A916=31,$AJ916=41),"②病院短期","対象外")),IF($AJ916=30,"③特定消防",IF(AND(OR($A916=21,$A916=215),$AJ916=10),"④一般",IF(AND($A916=31,$AJ916=41),"⑤短期","対象外")))))</f>
        <v>⑤短期</v>
      </c>
      <c r="DC916" s="0" t="n">
        <f aca="false">IF($A916="","",IF($AB916&amp;""=設定!$C$4,1,0))</f>
        <v>0</v>
      </c>
    </row>
    <row r="917" customFormat="false" ht="15" hidden="false" customHeight="false" outlineLevel="0" collapsed="false">
      <c r="A917" s="0" t="n">
        <v>31</v>
      </c>
      <c r="AA917" s="0" t="n">
        <v>21</v>
      </c>
      <c r="AB917" s="0" t="s">
        <v>96</v>
      </c>
      <c r="AD917" s="0" t="n">
        <v>0</v>
      </c>
      <c r="AE917" s="0" t="s">
        <v>295</v>
      </c>
      <c r="AH917" s="0" t="n">
        <v>1</v>
      </c>
      <c r="AJ917" s="0" t="n">
        <v>41</v>
      </c>
      <c r="AP917" s="0" t="n">
        <v>260000</v>
      </c>
      <c r="DB917" s="0" t="str">
        <f aca="false">IF($A917="","",IF($AH917=20,IF(AND(OR($A917=21,$A917=215),$AJ917=10),"①病院一般",IF(AND($A917=31,$AJ917=41),"②病院短期","対象外")),IF($AJ917=30,"③特定消防",IF(AND(OR($A917=21,$A917=215),$AJ917=10),"④一般",IF(AND($A917=31,$AJ917=41),"⑤短期","対象外")))))</f>
        <v>⑤短期</v>
      </c>
      <c r="DC917" s="0" t="n">
        <f aca="false">IF($A917="","",IF($AB917&amp;""=設定!$C$4,1,0))</f>
        <v>1</v>
      </c>
    </row>
    <row r="918" customFormat="false" ht="15" hidden="false" customHeight="false" outlineLevel="0" collapsed="false">
      <c r="A918" s="0" t="n">
        <v>31</v>
      </c>
      <c r="AA918" s="0" t="n">
        <v>24</v>
      </c>
      <c r="AB918" s="0" t="s">
        <v>303</v>
      </c>
      <c r="AD918" s="0" t="n">
        <v>0</v>
      </c>
      <c r="AE918" s="0" t="s">
        <v>295</v>
      </c>
      <c r="AH918" s="0" t="n">
        <v>1</v>
      </c>
      <c r="AJ918" s="0" t="n">
        <v>41</v>
      </c>
      <c r="AP918" s="0" t="n">
        <v>160000</v>
      </c>
      <c r="DB918" s="0" t="str">
        <f aca="false">IF($A918="","",IF($AH918=20,IF(AND(OR($A918=21,$A918=215),$AJ918=10),"①病院一般",IF(AND($A918=31,$AJ918=41),"②病院短期","対象外")),IF($AJ918=30,"③特定消防",IF(AND(OR($A918=21,$A918=215),$AJ918=10),"④一般",IF(AND($A918=31,$AJ918=41),"⑤短期","対象外")))))</f>
        <v>⑤短期</v>
      </c>
      <c r="DC918" s="0" t="n">
        <f aca="false">IF($A918="","",IF($AB918&amp;""=設定!$C$4,1,0))</f>
        <v>0</v>
      </c>
    </row>
    <row r="919" customFormat="false" ht="15" hidden="false" customHeight="false" outlineLevel="0" collapsed="false">
      <c r="A919" s="0" t="n">
        <v>31</v>
      </c>
      <c r="AA919" s="0" t="n">
        <v>21</v>
      </c>
      <c r="AB919" s="0" t="s">
        <v>337</v>
      </c>
      <c r="AD919" s="0" t="n">
        <v>0</v>
      </c>
      <c r="AE919" s="0" t="s">
        <v>295</v>
      </c>
      <c r="AH919" s="0" t="n">
        <v>1</v>
      </c>
      <c r="AJ919" s="0" t="n">
        <v>41</v>
      </c>
      <c r="AP919" s="0" t="n">
        <v>126000</v>
      </c>
      <c r="DB919" s="0" t="str">
        <f aca="false">IF($A919="","",IF($AH919=20,IF(AND(OR($A919=21,$A919=215),$AJ919=10),"①病院一般",IF(AND($A919=31,$AJ919=41),"②病院短期","対象外")),IF($AJ919=30,"③特定消防",IF(AND(OR($A919=21,$A919=215),$AJ919=10),"④一般",IF(AND($A919=31,$AJ919=41),"⑤短期","対象外")))))</f>
        <v>⑤短期</v>
      </c>
      <c r="DC919" s="0" t="n">
        <f aca="false">IF($A919="","",IF($AB919&amp;""=設定!$C$4,1,0))</f>
        <v>0</v>
      </c>
    </row>
    <row r="920" customFormat="false" ht="15" hidden="false" customHeight="false" outlineLevel="0" collapsed="false">
      <c r="A920" s="0" t="n">
        <v>31</v>
      </c>
      <c r="AA920" s="0" t="n">
        <v>21</v>
      </c>
      <c r="AB920" s="0" t="s">
        <v>96</v>
      </c>
      <c r="AD920" s="0" t="n">
        <v>0</v>
      </c>
      <c r="AE920" s="0" t="s">
        <v>295</v>
      </c>
      <c r="AH920" s="0" t="n">
        <v>11</v>
      </c>
      <c r="AJ920" s="0" t="n">
        <v>41</v>
      </c>
      <c r="AP920" s="0" t="n">
        <v>110000</v>
      </c>
      <c r="DB920" s="0" t="str">
        <f aca="false">IF($A920="","",IF($AH920=20,IF(AND(OR($A920=21,$A920=215),$AJ920=10),"①病院一般",IF(AND($A920=31,$AJ920=41),"②病院短期","対象外")),IF($AJ920=30,"③特定消防",IF(AND(OR($A920=21,$A920=215),$AJ920=10),"④一般",IF(AND($A920=31,$AJ920=41),"⑤短期","対象外")))))</f>
        <v>⑤短期</v>
      </c>
      <c r="DC920" s="0" t="n">
        <f aca="false">IF($A920="","",IF($AB920&amp;""=設定!$C$4,1,0))</f>
        <v>1</v>
      </c>
    </row>
    <row r="921" customFormat="false" ht="15" hidden="false" customHeight="false" outlineLevel="0" collapsed="false">
      <c r="A921" s="0" t="n">
        <v>31</v>
      </c>
      <c r="AA921" s="0" t="n">
        <v>21</v>
      </c>
      <c r="AB921" s="0" t="s">
        <v>296</v>
      </c>
      <c r="AD921" s="0" t="n">
        <v>0</v>
      </c>
      <c r="AE921" s="0" t="s">
        <v>295</v>
      </c>
      <c r="AH921" s="0" t="n">
        <v>1</v>
      </c>
      <c r="AJ921" s="0" t="n">
        <v>41</v>
      </c>
      <c r="AP921" s="0" t="n">
        <v>126000</v>
      </c>
      <c r="DB921" s="0" t="str">
        <f aca="false">IF($A921="","",IF($AH921=20,IF(AND(OR($A921=21,$A921=215),$AJ921=10),"①病院一般",IF(AND($A921=31,$AJ921=41),"②病院短期","対象外")),IF($AJ921=30,"③特定消防",IF(AND(OR($A921=21,$A921=215),$AJ921=10),"④一般",IF(AND($A921=31,$AJ921=41),"⑤短期","対象外")))))</f>
        <v>⑤短期</v>
      </c>
      <c r="DC921" s="0" t="n">
        <f aca="false">IF($A921="","",IF($AB921&amp;""=設定!$C$4,1,0))</f>
        <v>0</v>
      </c>
    </row>
    <row r="922" customFormat="false" ht="15" hidden="false" customHeight="false" outlineLevel="0" collapsed="false">
      <c r="A922" s="0" t="n">
        <v>31</v>
      </c>
      <c r="AA922" s="0" t="n">
        <v>24</v>
      </c>
      <c r="AB922" s="0" t="s">
        <v>96</v>
      </c>
      <c r="AD922" s="0" t="n">
        <v>12</v>
      </c>
      <c r="AE922" s="0" t="s">
        <v>301</v>
      </c>
      <c r="AH922" s="0" t="n">
        <v>27</v>
      </c>
      <c r="AJ922" s="0" t="n">
        <v>41</v>
      </c>
      <c r="AP922" s="0" t="n">
        <v>190000</v>
      </c>
      <c r="DB922" s="0" t="str">
        <f aca="false">IF($A922="","",IF($AH922=20,IF(AND(OR($A922=21,$A922=215),$AJ922=10),"①病院一般",IF(AND($A922=31,$AJ922=41),"②病院短期","対象外")),IF($AJ922=30,"③特定消防",IF(AND(OR($A922=21,$A922=215),$AJ922=10),"④一般",IF(AND($A922=31,$AJ922=41),"⑤短期","対象外")))))</f>
        <v>⑤短期</v>
      </c>
      <c r="DC922" s="0" t="n">
        <f aca="false">IF($A922="","",IF($AB922&amp;""=設定!$C$4,1,0))</f>
        <v>1</v>
      </c>
    </row>
    <row r="923" customFormat="false" ht="15" hidden="false" customHeight="false" outlineLevel="0" collapsed="false">
      <c r="A923" s="0" t="n">
        <v>31</v>
      </c>
      <c r="AA923" s="0" t="n">
        <v>24</v>
      </c>
      <c r="AB923" s="0" t="s">
        <v>318</v>
      </c>
      <c r="AD923" s="0" t="n">
        <v>0</v>
      </c>
      <c r="AE923" s="0" t="s">
        <v>295</v>
      </c>
      <c r="AH923" s="0" t="n">
        <v>11</v>
      </c>
      <c r="AJ923" s="0" t="n">
        <v>41</v>
      </c>
      <c r="AP923" s="0" t="n">
        <v>134000</v>
      </c>
      <c r="DB923" s="0" t="str">
        <f aca="false">IF($A923="","",IF($AH923=20,IF(AND(OR($A923=21,$A923=215),$AJ923=10),"①病院一般",IF(AND($A923=31,$AJ923=41),"②病院短期","対象外")),IF($AJ923=30,"③特定消防",IF(AND(OR($A923=21,$A923=215),$AJ923=10),"④一般",IF(AND($A923=31,$AJ923=41),"⑤短期","対象外")))))</f>
        <v>⑤短期</v>
      </c>
      <c r="DC923" s="0" t="n">
        <f aca="false">IF($A923="","",IF($AB923&amp;""=設定!$C$4,1,0))</f>
        <v>0</v>
      </c>
    </row>
    <row r="924" customFormat="false" ht="15" hidden="false" customHeight="false" outlineLevel="0" collapsed="false">
      <c r="A924" s="0" t="n">
        <v>31</v>
      </c>
      <c r="AA924" s="0" t="n">
        <v>21</v>
      </c>
      <c r="AB924" s="0" t="s">
        <v>312</v>
      </c>
      <c r="AD924" s="0" t="n">
        <v>0</v>
      </c>
      <c r="AE924" s="0" t="s">
        <v>295</v>
      </c>
      <c r="AH924" s="0" t="n">
        <v>11</v>
      </c>
      <c r="AJ924" s="0" t="n">
        <v>41</v>
      </c>
      <c r="AP924" s="0" t="n">
        <v>78000</v>
      </c>
      <c r="DB924" s="0" t="str">
        <f aca="false">IF($A924="","",IF($AH924=20,IF(AND(OR($A924=21,$A924=215),$AJ924=10),"①病院一般",IF(AND($A924=31,$AJ924=41),"②病院短期","対象外")),IF($AJ924=30,"③特定消防",IF(AND(OR($A924=21,$A924=215),$AJ924=10),"④一般",IF(AND($A924=31,$AJ924=41),"⑤短期","対象外")))))</f>
        <v>⑤短期</v>
      </c>
      <c r="DC924" s="0" t="n">
        <f aca="false">IF($A924="","",IF($AB924&amp;""=設定!$C$4,1,0))</f>
        <v>0</v>
      </c>
    </row>
    <row r="925" customFormat="false" ht="15" hidden="false" customHeight="false" outlineLevel="0" collapsed="false">
      <c r="A925" s="0" t="n">
        <v>31</v>
      </c>
      <c r="AA925" s="0" t="n">
        <v>21</v>
      </c>
      <c r="AB925" s="0" t="s">
        <v>96</v>
      </c>
      <c r="AD925" s="0" t="n">
        <v>0</v>
      </c>
      <c r="AE925" s="0" t="s">
        <v>295</v>
      </c>
      <c r="AH925" s="0" t="n">
        <v>1</v>
      </c>
      <c r="AJ925" s="0" t="n">
        <v>41</v>
      </c>
      <c r="AP925" s="0" t="n">
        <v>150000</v>
      </c>
      <c r="DB925" s="0" t="str">
        <f aca="false">IF($A925="","",IF($AH925=20,IF(AND(OR($A925=21,$A925=215),$AJ925=10),"①病院一般",IF(AND($A925=31,$AJ925=41),"②病院短期","対象外")),IF($AJ925=30,"③特定消防",IF(AND(OR($A925=21,$A925=215),$AJ925=10),"④一般",IF(AND($A925=31,$AJ925=41),"⑤短期","対象外")))))</f>
        <v>⑤短期</v>
      </c>
      <c r="DC925" s="0" t="n">
        <f aca="false">IF($A925="","",IF($AB925&amp;""=設定!$C$4,1,0))</f>
        <v>1</v>
      </c>
    </row>
    <row r="926" customFormat="false" ht="15" hidden="false" customHeight="false" outlineLevel="0" collapsed="false">
      <c r="A926" s="0" t="n">
        <v>31</v>
      </c>
      <c r="AA926" s="0" t="n">
        <v>24</v>
      </c>
      <c r="AB926" s="0" t="s">
        <v>303</v>
      </c>
      <c r="AD926" s="0" t="n">
        <v>0</v>
      </c>
      <c r="AE926" s="0" t="s">
        <v>295</v>
      </c>
      <c r="AH926" s="0" t="n">
        <v>1</v>
      </c>
      <c r="AJ926" s="0" t="n">
        <v>41</v>
      </c>
      <c r="AP926" s="0" t="n">
        <v>150000</v>
      </c>
      <c r="DB926" s="0" t="str">
        <f aca="false">IF($A926="","",IF($AH926=20,IF(AND(OR($A926=21,$A926=215),$AJ926=10),"①病院一般",IF(AND($A926=31,$AJ926=41),"②病院短期","対象外")),IF($AJ926=30,"③特定消防",IF(AND(OR($A926=21,$A926=215),$AJ926=10),"④一般",IF(AND($A926=31,$AJ926=41),"⑤短期","対象外")))))</f>
        <v>⑤短期</v>
      </c>
      <c r="DC926" s="0" t="n">
        <f aca="false">IF($A926="","",IF($AB926&amp;""=設定!$C$4,1,0))</f>
        <v>0</v>
      </c>
    </row>
    <row r="927" customFormat="false" ht="15" hidden="false" customHeight="false" outlineLevel="0" collapsed="false">
      <c r="A927" s="0" t="n">
        <v>31</v>
      </c>
      <c r="AA927" s="0" t="n">
        <v>24</v>
      </c>
      <c r="AB927" s="0" t="s">
        <v>298</v>
      </c>
      <c r="AD927" s="0" t="n">
        <v>12</v>
      </c>
      <c r="AE927" s="0" t="s">
        <v>303</v>
      </c>
      <c r="AH927" s="0" t="n">
        <v>1</v>
      </c>
      <c r="AJ927" s="0" t="n">
        <v>41</v>
      </c>
      <c r="AP927" s="0" t="n">
        <v>142000</v>
      </c>
      <c r="DB927" s="0" t="str">
        <f aca="false">IF($A927="","",IF($AH927=20,IF(AND(OR($A927=21,$A927=215),$AJ927=10),"①病院一般",IF(AND($A927=31,$AJ927=41),"②病院短期","対象外")),IF($AJ927=30,"③特定消防",IF(AND(OR($A927=21,$A927=215),$AJ927=10),"④一般",IF(AND($A927=31,$AJ927=41),"⑤短期","対象外")))))</f>
        <v>⑤短期</v>
      </c>
      <c r="DC927" s="0" t="n">
        <f aca="false">IF($A927="","",IF($AB927&amp;""=設定!$C$4,1,0))</f>
        <v>0</v>
      </c>
    </row>
    <row r="928" customFormat="false" ht="15" hidden="false" customHeight="false" outlineLevel="0" collapsed="false">
      <c r="A928" s="0" t="n">
        <v>31</v>
      </c>
      <c r="AA928" s="0" t="n">
        <v>21</v>
      </c>
      <c r="AB928" s="0" t="s">
        <v>96</v>
      </c>
      <c r="AD928" s="0" t="n">
        <v>0</v>
      </c>
      <c r="AE928" s="0" t="s">
        <v>295</v>
      </c>
      <c r="AH928" s="0" t="n">
        <v>11</v>
      </c>
      <c r="AJ928" s="0" t="n">
        <v>41</v>
      </c>
      <c r="AP928" s="0" t="n">
        <v>200000</v>
      </c>
      <c r="DB928" s="0" t="str">
        <f aca="false">IF($A928="","",IF($AH928=20,IF(AND(OR($A928=21,$A928=215),$AJ928=10),"①病院一般",IF(AND($A928=31,$AJ928=41),"②病院短期","対象外")),IF($AJ928=30,"③特定消防",IF(AND(OR($A928=21,$A928=215),$AJ928=10),"④一般",IF(AND($A928=31,$AJ928=41),"⑤短期","対象外")))))</f>
        <v>⑤短期</v>
      </c>
      <c r="DC928" s="0" t="n">
        <f aca="false">IF($A928="","",IF($AB928&amp;""=設定!$C$4,1,0))</f>
        <v>1</v>
      </c>
    </row>
    <row r="929" customFormat="false" ht="15" hidden="false" customHeight="false" outlineLevel="0" collapsed="false">
      <c r="A929" s="0" t="n">
        <v>31</v>
      </c>
      <c r="AA929" s="0" t="n">
        <v>21</v>
      </c>
      <c r="AB929" s="0" t="s">
        <v>96</v>
      </c>
      <c r="AD929" s="0" t="n">
        <v>0</v>
      </c>
      <c r="AE929" s="0" t="s">
        <v>295</v>
      </c>
      <c r="AH929" s="0" t="n">
        <v>11</v>
      </c>
      <c r="AJ929" s="0" t="n">
        <v>41</v>
      </c>
      <c r="AP929" s="0" t="n">
        <v>180000</v>
      </c>
      <c r="DB929" s="0" t="str">
        <f aca="false">IF($A929="","",IF($AH929=20,IF(AND(OR($A929=21,$A929=215),$AJ929=10),"①病院一般",IF(AND($A929=31,$AJ929=41),"②病院短期","対象外")),IF($AJ929=30,"③特定消防",IF(AND(OR($A929=21,$A929=215),$AJ929=10),"④一般",IF(AND($A929=31,$AJ929=41),"⑤短期","対象外")))))</f>
        <v>⑤短期</v>
      </c>
      <c r="DC929" s="0" t="n">
        <f aca="false">IF($A929="","",IF($AB929&amp;""=設定!$C$4,1,0))</f>
        <v>1</v>
      </c>
    </row>
    <row r="930" customFormat="false" ht="15" hidden="false" customHeight="false" outlineLevel="0" collapsed="false">
      <c r="A930" s="0" t="n">
        <v>31</v>
      </c>
      <c r="AA930" s="0" t="n">
        <v>24</v>
      </c>
      <c r="AB930" s="0" t="s">
        <v>318</v>
      </c>
      <c r="AD930" s="0" t="n">
        <v>0</v>
      </c>
      <c r="AE930" s="0" t="s">
        <v>295</v>
      </c>
      <c r="AH930" s="0" t="n">
        <v>11</v>
      </c>
      <c r="AJ930" s="0" t="n">
        <v>41</v>
      </c>
      <c r="AP930" s="0" t="n">
        <v>134000</v>
      </c>
      <c r="DB930" s="0" t="str">
        <f aca="false">IF($A930="","",IF($AH930=20,IF(AND(OR($A930=21,$A930=215),$AJ930=10),"①病院一般",IF(AND($A930=31,$AJ930=41),"②病院短期","対象外")),IF($AJ930=30,"③特定消防",IF(AND(OR($A930=21,$A930=215),$AJ930=10),"④一般",IF(AND($A930=31,$AJ930=41),"⑤短期","対象外")))))</f>
        <v>⑤短期</v>
      </c>
      <c r="DC930" s="0" t="n">
        <f aca="false">IF($A930="","",IF($AB930&amp;""=設定!$C$4,1,0))</f>
        <v>0</v>
      </c>
    </row>
    <row r="931" customFormat="false" ht="15" hidden="false" customHeight="false" outlineLevel="0" collapsed="false">
      <c r="A931" s="0" t="n">
        <v>31</v>
      </c>
      <c r="AA931" s="0" t="n">
        <v>24</v>
      </c>
      <c r="AB931" s="0" t="s">
        <v>314</v>
      </c>
      <c r="AD931" s="0" t="n">
        <v>12</v>
      </c>
      <c r="AE931" s="0" t="s">
        <v>301</v>
      </c>
      <c r="AH931" s="0" t="n">
        <v>1</v>
      </c>
      <c r="AJ931" s="0" t="n">
        <v>41</v>
      </c>
      <c r="AP931" s="0" t="n">
        <v>142000</v>
      </c>
      <c r="DB931" s="0" t="str">
        <f aca="false">IF($A931="","",IF($AH931=20,IF(AND(OR($A931=21,$A931=215),$AJ931=10),"①病院一般",IF(AND($A931=31,$AJ931=41),"②病院短期","対象外")),IF($AJ931=30,"③特定消防",IF(AND(OR($A931=21,$A931=215),$AJ931=10),"④一般",IF(AND($A931=31,$AJ931=41),"⑤短期","対象外")))))</f>
        <v>⑤短期</v>
      </c>
      <c r="DC931" s="0" t="n">
        <f aca="false">IF($A931="","",IF($AB931&amp;""=設定!$C$4,1,0))</f>
        <v>0</v>
      </c>
    </row>
    <row r="932" customFormat="false" ht="15" hidden="false" customHeight="false" outlineLevel="0" collapsed="false">
      <c r="A932" s="0" t="n">
        <v>31</v>
      </c>
      <c r="AA932" s="0" t="n">
        <v>21</v>
      </c>
      <c r="AB932" s="0" t="s">
        <v>299</v>
      </c>
      <c r="AD932" s="0" t="n">
        <v>0</v>
      </c>
      <c r="AE932" s="0" t="s">
        <v>295</v>
      </c>
      <c r="AH932" s="0" t="n">
        <v>1</v>
      </c>
      <c r="AJ932" s="0" t="n">
        <v>41</v>
      </c>
      <c r="AP932" s="0" t="n">
        <v>200000</v>
      </c>
      <c r="DB932" s="0" t="str">
        <f aca="false">IF($A932="","",IF($AH932=20,IF(AND(OR($A932=21,$A932=215),$AJ932=10),"①病院一般",IF(AND($A932=31,$AJ932=41),"②病院短期","対象外")),IF($AJ932=30,"③特定消防",IF(AND(OR($A932=21,$A932=215),$AJ932=10),"④一般",IF(AND($A932=31,$AJ932=41),"⑤短期","対象外")))))</f>
        <v>⑤短期</v>
      </c>
      <c r="DC932" s="0" t="n">
        <f aca="false">IF($A932="","",IF($AB932&amp;""=設定!$C$4,1,0))</f>
        <v>0</v>
      </c>
    </row>
    <row r="933" customFormat="false" ht="15" hidden="false" customHeight="false" outlineLevel="0" collapsed="false">
      <c r="A933" s="0" t="n">
        <v>31</v>
      </c>
      <c r="AA933" s="0" t="n">
        <v>24</v>
      </c>
      <c r="AB933" s="0" t="s">
        <v>296</v>
      </c>
      <c r="AD933" s="0" t="n">
        <v>0</v>
      </c>
      <c r="AE933" s="0" t="s">
        <v>295</v>
      </c>
      <c r="AH933" s="0" t="n">
        <v>1</v>
      </c>
      <c r="AJ933" s="0" t="n">
        <v>41</v>
      </c>
      <c r="AP933" s="0" t="n">
        <v>200000</v>
      </c>
      <c r="DB933" s="0" t="str">
        <f aca="false">IF($A933="","",IF($AH933=20,IF(AND(OR($A933=21,$A933=215),$AJ933=10),"①病院一般",IF(AND($A933=31,$AJ933=41),"②病院短期","対象外")),IF($AJ933=30,"③特定消防",IF(AND(OR($A933=21,$A933=215),$AJ933=10),"④一般",IF(AND($A933=31,$AJ933=41),"⑤短期","対象外")))))</f>
        <v>⑤短期</v>
      </c>
      <c r="DC933" s="0" t="n">
        <f aca="false">IF($A933="","",IF($AB933&amp;""=設定!$C$4,1,0))</f>
        <v>0</v>
      </c>
    </row>
    <row r="934" customFormat="false" ht="15" hidden="false" customHeight="false" outlineLevel="0" collapsed="false">
      <c r="A934" s="0" t="n">
        <v>31</v>
      </c>
      <c r="AA934" s="0" t="n">
        <v>24</v>
      </c>
      <c r="AB934" s="0" t="s">
        <v>323</v>
      </c>
      <c r="AD934" s="0" t="n">
        <v>0</v>
      </c>
      <c r="AE934" s="0" t="s">
        <v>295</v>
      </c>
      <c r="AH934" s="0" t="n">
        <v>11</v>
      </c>
      <c r="AJ934" s="0" t="n">
        <v>41</v>
      </c>
      <c r="AP934" s="0" t="n">
        <v>240000</v>
      </c>
      <c r="DB934" s="0" t="str">
        <f aca="false">IF($A934="","",IF($AH934=20,IF(AND(OR($A934=21,$A934=215),$AJ934=10),"①病院一般",IF(AND($A934=31,$AJ934=41),"②病院短期","対象外")),IF($AJ934=30,"③特定消防",IF(AND(OR($A934=21,$A934=215),$AJ934=10),"④一般",IF(AND($A934=31,$AJ934=41),"⑤短期","対象外")))))</f>
        <v>⑤短期</v>
      </c>
      <c r="DC934" s="0" t="n">
        <f aca="false">IF($A934="","",IF($AB934&amp;""=設定!$C$4,1,0))</f>
        <v>0</v>
      </c>
    </row>
    <row r="935" customFormat="false" ht="15" hidden="false" customHeight="false" outlineLevel="0" collapsed="false">
      <c r="A935" s="0" t="n">
        <v>31</v>
      </c>
      <c r="AA935" s="0" t="n">
        <v>21</v>
      </c>
      <c r="AB935" s="0" t="s">
        <v>312</v>
      </c>
      <c r="AD935" s="0" t="n">
        <v>0</v>
      </c>
      <c r="AE935" s="0" t="s">
        <v>295</v>
      </c>
      <c r="AH935" s="0" t="n">
        <v>11</v>
      </c>
      <c r="AJ935" s="0" t="n">
        <v>41</v>
      </c>
      <c r="AP935" s="0" t="n">
        <v>68000</v>
      </c>
      <c r="DB935" s="0" t="str">
        <f aca="false">IF($A935="","",IF($AH935=20,IF(AND(OR($A935=21,$A935=215),$AJ935=10),"①病院一般",IF(AND($A935=31,$AJ935=41),"②病院短期","対象外")),IF($AJ935=30,"③特定消防",IF(AND(OR($A935=21,$A935=215),$AJ935=10),"④一般",IF(AND($A935=31,$AJ935=41),"⑤短期","対象外")))))</f>
        <v>⑤短期</v>
      </c>
      <c r="DC935" s="0" t="n">
        <f aca="false">IF($A935="","",IF($AB935&amp;""=設定!$C$4,1,0))</f>
        <v>0</v>
      </c>
    </row>
    <row r="936" customFormat="false" ht="15" hidden="false" customHeight="false" outlineLevel="0" collapsed="false">
      <c r="A936" s="0" t="n">
        <v>31</v>
      </c>
      <c r="AA936" s="0" t="n">
        <v>24</v>
      </c>
      <c r="AB936" s="0" t="s">
        <v>323</v>
      </c>
      <c r="AD936" s="0" t="n">
        <v>0</v>
      </c>
      <c r="AE936" s="0" t="s">
        <v>295</v>
      </c>
      <c r="AH936" s="0" t="n">
        <v>11</v>
      </c>
      <c r="AJ936" s="0" t="n">
        <v>41</v>
      </c>
      <c r="AP936" s="0" t="n">
        <v>220000</v>
      </c>
      <c r="DB936" s="0" t="str">
        <f aca="false">IF($A936="","",IF($AH936=20,IF(AND(OR($A936=21,$A936=215),$AJ936=10),"①病院一般",IF(AND($A936=31,$AJ936=41),"②病院短期","対象外")),IF($AJ936=30,"③特定消防",IF(AND(OR($A936=21,$A936=215),$AJ936=10),"④一般",IF(AND($A936=31,$AJ936=41),"⑤短期","対象外")))))</f>
        <v>⑤短期</v>
      </c>
      <c r="DC936" s="0" t="n">
        <f aca="false">IF($A936="","",IF($AB936&amp;""=設定!$C$4,1,0))</f>
        <v>0</v>
      </c>
    </row>
    <row r="937" customFormat="false" ht="15" hidden="false" customHeight="false" outlineLevel="0" collapsed="false">
      <c r="A937" s="0" t="n">
        <v>31</v>
      </c>
      <c r="AA937" s="0" t="n">
        <v>21</v>
      </c>
      <c r="AB937" s="0" t="s">
        <v>338</v>
      </c>
      <c r="AD937" s="0" t="n">
        <v>0</v>
      </c>
      <c r="AE937" s="0" t="s">
        <v>295</v>
      </c>
      <c r="AH937" s="0" t="n">
        <v>11</v>
      </c>
      <c r="AJ937" s="0" t="n">
        <v>41</v>
      </c>
      <c r="AP937" s="0" t="n">
        <v>78000</v>
      </c>
      <c r="DB937" s="0" t="str">
        <f aca="false">IF($A937="","",IF($AH937=20,IF(AND(OR($A937=21,$A937=215),$AJ937=10),"①病院一般",IF(AND($A937=31,$AJ937=41),"②病院短期","対象外")),IF($AJ937=30,"③特定消防",IF(AND(OR($A937=21,$A937=215),$AJ937=10),"④一般",IF(AND($A937=31,$AJ937=41),"⑤短期","対象外")))))</f>
        <v>⑤短期</v>
      </c>
      <c r="DC937" s="0" t="n">
        <f aca="false">IF($A937="","",IF($AB937&amp;""=設定!$C$4,1,0))</f>
        <v>0</v>
      </c>
    </row>
    <row r="938" customFormat="false" ht="15" hidden="false" customHeight="false" outlineLevel="0" collapsed="false">
      <c r="A938" s="0" t="n">
        <v>31</v>
      </c>
      <c r="AA938" s="0" t="n">
        <v>21</v>
      </c>
      <c r="AB938" s="0" t="s">
        <v>96</v>
      </c>
      <c r="AD938" s="0" t="n">
        <v>0</v>
      </c>
      <c r="AE938" s="0" t="s">
        <v>295</v>
      </c>
      <c r="AH938" s="0" t="n">
        <v>11</v>
      </c>
      <c r="AJ938" s="0" t="n">
        <v>41</v>
      </c>
      <c r="AP938" s="0" t="n">
        <v>220000</v>
      </c>
      <c r="DB938" s="0" t="str">
        <f aca="false">IF($A938="","",IF($AH938=20,IF(AND(OR($A938=21,$A938=215),$AJ938=10),"①病院一般",IF(AND($A938=31,$AJ938=41),"②病院短期","対象外")),IF($AJ938=30,"③特定消防",IF(AND(OR($A938=21,$A938=215),$AJ938=10),"④一般",IF(AND($A938=31,$AJ938=41),"⑤短期","対象外")))))</f>
        <v>⑤短期</v>
      </c>
      <c r="DC938" s="0" t="n">
        <f aca="false">IF($A938="","",IF($AB938&amp;""=設定!$C$4,1,0))</f>
        <v>1</v>
      </c>
    </row>
    <row r="939" customFormat="false" ht="15" hidden="false" customHeight="false" outlineLevel="0" collapsed="false">
      <c r="A939" s="0" t="n">
        <v>31</v>
      </c>
      <c r="AA939" s="0" t="n">
        <v>21</v>
      </c>
      <c r="AB939" s="0" t="s">
        <v>96</v>
      </c>
      <c r="AD939" s="0" t="n">
        <v>0</v>
      </c>
      <c r="AE939" s="0" t="s">
        <v>295</v>
      </c>
      <c r="AH939" s="0" t="n">
        <v>11</v>
      </c>
      <c r="AJ939" s="0" t="n">
        <v>41</v>
      </c>
      <c r="AP939" s="0" t="n">
        <v>134000</v>
      </c>
      <c r="DB939" s="0" t="str">
        <f aca="false">IF($A939="","",IF($AH939=20,IF(AND(OR($A939=21,$A939=215),$AJ939=10),"①病院一般",IF(AND($A939=31,$AJ939=41),"②病院短期","対象外")),IF($AJ939=30,"③特定消防",IF(AND(OR($A939=21,$A939=215),$AJ939=10),"④一般",IF(AND($A939=31,$AJ939=41),"⑤短期","対象外")))))</f>
        <v>⑤短期</v>
      </c>
      <c r="DC939" s="0" t="n">
        <f aca="false">IF($A939="","",IF($AB939&amp;""=設定!$C$4,1,0))</f>
        <v>1</v>
      </c>
    </row>
    <row r="940" customFormat="false" ht="15" hidden="false" customHeight="false" outlineLevel="0" collapsed="false">
      <c r="A940" s="0" t="n">
        <v>31</v>
      </c>
      <c r="AA940" s="0" t="n">
        <v>24</v>
      </c>
      <c r="AB940" s="0" t="s">
        <v>298</v>
      </c>
      <c r="AD940" s="0" t="n">
        <v>0</v>
      </c>
      <c r="AE940" s="0" t="s">
        <v>295</v>
      </c>
      <c r="AH940" s="0" t="n">
        <v>11</v>
      </c>
      <c r="AJ940" s="0" t="n">
        <v>41</v>
      </c>
      <c r="AP940" s="0" t="n">
        <v>126000</v>
      </c>
      <c r="DB940" s="0" t="str">
        <f aca="false">IF($A940="","",IF($AH940=20,IF(AND(OR($A940=21,$A940=215),$AJ940=10),"①病院一般",IF(AND($A940=31,$AJ940=41),"②病院短期","対象外")),IF($AJ940=30,"③特定消防",IF(AND(OR($A940=21,$A940=215),$AJ940=10),"④一般",IF(AND($A940=31,$AJ940=41),"⑤短期","対象外")))))</f>
        <v>⑤短期</v>
      </c>
      <c r="DC940" s="0" t="n">
        <f aca="false">IF($A940="","",IF($AB940&amp;""=設定!$C$4,1,0))</f>
        <v>0</v>
      </c>
    </row>
    <row r="941" customFormat="false" ht="15" hidden="false" customHeight="false" outlineLevel="0" collapsed="false">
      <c r="A941" s="0" t="n">
        <v>31</v>
      </c>
      <c r="AA941" s="0" t="n">
        <v>24</v>
      </c>
      <c r="AB941" s="0" t="s">
        <v>318</v>
      </c>
      <c r="AD941" s="0" t="n">
        <v>0</v>
      </c>
      <c r="AE941" s="0" t="s">
        <v>295</v>
      </c>
      <c r="AH941" s="0" t="n">
        <v>11</v>
      </c>
      <c r="AJ941" s="0" t="n">
        <v>41</v>
      </c>
      <c r="AP941" s="0" t="n">
        <v>126000</v>
      </c>
      <c r="DB941" s="0" t="str">
        <f aca="false">IF($A941="","",IF($AH941=20,IF(AND(OR($A941=21,$A941=215),$AJ941=10),"①病院一般",IF(AND($A941=31,$AJ941=41),"②病院短期","対象外")),IF($AJ941=30,"③特定消防",IF(AND(OR($A941=21,$A941=215),$AJ941=10),"④一般",IF(AND($A941=31,$AJ941=41),"⑤短期","対象外")))))</f>
        <v>⑤短期</v>
      </c>
      <c r="DC941" s="0" t="n">
        <f aca="false">IF($A941="","",IF($AB941&amp;""=設定!$C$4,1,0))</f>
        <v>0</v>
      </c>
    </row>
    <row r="942" customFormat="false" ht="15" hidden="false" customHeight="false" outlineLevel="0" collapsed="false">
      <c r="A942" s="0" t="n">
        <v>31</v>
      </c>
      <c r="AA942" s="0" t="n">
        <v>24</v>
      </c>
      <c r="AB942" s="0" t="s">
        <v>298</v>
      </c>
      <c r="AD942" s="0" t="n">
        <v>0</v>
      </c>
      <c r="AE942" s="0" t="s">
        <v>295</v>
      </c>
      <c r="AH942" s="0" t="n">
        <v>11</v>
      </c>
      <c r="AJ942" s="0" t="n">
        <v>41</v>
      </c>
      <c r="AP942" s="0" t="n">
        <v>118000</v>
      </c>
      <c r="DB942" s="0" t="str">
        <f aca="false">IF($A942="","",IF($AH942=20,IF(AND(OR($A942=21,$A942=215),$AJ942=10),"①病院一般",IF(AND($A942=31,$AJ942=41),"②病院短期","対象外")),IF($AJ942=30,"③特定消防",IF(AND(OR($A942=21,$A942=215),$AJ942=10),"④一般",IF(AND($A942=31,$AJ942=41),"⑤短期","対象外")))))</f>
        <v>⑤短期</v>
      </c>
      <c r="DC942" s="0" t="n">
        <f aca="false">IF($A942="","",IF($AB942&amp;""=設定!$C$4,1,0))</f>
        <v>0</v>
      </c>
    </row>
    <row r="943" customFormat="false" ht="15" hidden="false" customHeight="false" outlineLevel="0" collapsed="false">
      <c r="A943" s="0" t="n">
        <v>31</v>
      </c>
      <c r="AA943" s="0" t="n">
        <v>24</v>
      </c>
      <c r="AB943" s="0" t="s">
        <v>96</v>
      </c>
      <c r="AD943" s="0" t="n">
        <v>0</v>
      </c>
      <c r="AE943" s="0" t="s">
        <v>295</v>
      </c>
      <c r="AH943" s="0" t="n">
        <v>1</v>
      </c>
      <c r="AJ943" s="0" t="n">
        <v>41</v>
      </c>
      <c r="AP943" s="0" t="n">
        <v>110000</v>
      </c>
      <c r="DB943" s="0" t="str">
        <f aca="false">IF($A943="","",IF($AH943=20,IF(AND(OR($A943=21,$A943=215),$AJ943=10),"①病院一般",IF(AND($A943=31,$AJ943=41),"②病院短期","対象外")),IF($AJ943=30,"③特定消防",IF(AND(OR($A943=21,$A943=215),$AJ943=10),"④一般",IF(AND($A943=31,$AJ943=41),"⑤短期","対象外")))))</f>
        <v>⑤短期</v>
      </c>
      <c r="DC943" s="0" t="n">
        <f aca="false">IF($A943="","",IF($AB943&amp;""=設定!$C$4,1,0))</f>
        <v>1</v>
      </c>
    </row>
    <row r="944" customFormat="false" ht="15" hidden="false" customHeight="false" outlineLevel="0" collapsed="false">
      <c r="A944" s="0" t="n">
        <v>31</v>
      </c>
      <c r="AA944" s="0" t="n">
        <v>24</v>
      </c>
      <c r="AB944" s="0" t="s">
        <v>339</v>
      </c>
      <c r="AD944" s="0" t="n">
        <v>0</v>
      </c>
      <c r="AE944" s="0" t="s">
        <v>295</v>
      </c>
      <c r="AH944" s="0" t="n">
        <v>11</v>
      </c>
      <c r="AJ944" s="0" t="n">
        <v>41</v>
      </c>
      <c r="AP944" s="0" t="n">
        <v>220000</v>
      </c>
      <c r="DB944" s="0" t="str">
        <f aca="false">IF($A944="","",IF($AH944=20,IF(AND(OR($A944=21,$A944=215),$AJ944=10),"①病院一般",IF(AND($A944=31,$AJ944=41),"②病院短期","対象外")),IF($AJ944=30,"③特定消防",IF(AND(OR($A944=21,$A944=215),$AJ944=10),"④一般",IF(AND($A944=31,$AJ944=41),"⑤短期","対象外")))))</f>
        <v>⑤短期</v>
      </c>
      <c r="DC944" s="0" t="n">
        <f aca="false">IF($A944="","",IF($AB944&amp;""=設定!$C$4,1,0))</f>
        <v>0</v>
      </c>
    </row>
    <row r="945" customFormat="false" ht="15" hidden="false" customHeight="false" outlineLevel="0" collapsed="false">
      <c r="A945" s="0" t="n">
        <v>31</v>
      </c>
      <c r="AA945" s="0" t="n">
        <v>24</v>
      </c>
      <c r="AB945" s="0" t="s">
        <v>298</v>
      </c>
      <c r="AD945" s="0" t="n">
        <v>0</v>
      </c>
      <c r="AE945" s="0" t="s">
        <v>295</v>
      </c>
      <c r="AH945" s="0" t="n">
        <v>11</v>
      </c>
      <c r="AJ945" s="0" t="n">
        <v>41</v>
      </c>
      <c r="AP945" s="0" t="n">
        <v>170000</v>
      </c>
      <c r="DB945" s="0" t="str">
        <f aca="false">IF($A945="","",IF($AH945=20,IF(AND(OR($A945=21,$A945=215),$AJ945=10),"①病院一般",IF(AND($A945=31,$AJ945=41),"②病院短期","対象外")),IF($AJ945=30,"③特定消防",IF(AND(OR($A945=21,$A945=215),$AJ945=10),"④一般",IF(AND($A945=31,$AJ945=41),"⑤短期","対象外")))))</f>
        <v>⑤短期</v>
      </c>
      <c r="DC945" s="0" t="n">
        <f aca="false">IF($A945="","",IF($AB945&amp;""=設定!$C$4,1,0))</f>
        <v>0</v>
      </c>
    </row>
    <row r="946" customFormat="false" ht="15" hidden="false" customHeight="false" outlineLevel="0" collapsed="false">
      <c r="A946" s="0" t="n">
        <v>31</v>
      </c>
      <c r="AA946" s="0" t="n">
        <v>21</v>
      </c>
      <c r="AB946" s="0" t="s">
        <v>96</v>
      </c>
      <c r="AD946" s="0" t="n">
        <v>0</v>
      </c>
      <c r="AE946" s="0" t="s">
        <v>295</v>
      </c>
      <c r="AH946" s="0" t="n">
        <v>1</v>
      </c>
      <c r="AJ946" s="0" t="n">
        <v>41</v>
      </c>
      <c r="AP946" s="0" t="n">
        <v>134000</v>
      </c>
      <c r="DB946" s="0" t="str">
        <f aca="false">IF($A946="","",IF($AH946=20,IF(AND(OR($A946=21,$A946=215),$AJ946=10),"①病院一般",IF(AND($A946=31,$AJ946=41),"②病院短期","対象外")),IF($AJ946=30,"③特定消防",IF(AND(OR($A946=21,$A946=215),$AJ946=10),"④一般",IF(AND($A946=31,$AJ946=41),"⑤短期","対象外")))))</f>
        <v>⑤短期</v>
      </c>
      <c r="DC946" s="0" t="n">
        <f aca="false">IF($A946="","",IF($AB946&amp;""=設定!$C$4,1,0))</f>
        <v>1</v>
      </c>
    </row>
    <row r="947" customFormat="false" ht="15" hidden="false" customHeight="false" outlineLevel="0" collapsed="false">
      <c r="A947" s="0" t="n">
        <v>31</v>
      </c>
      <c r="AA947" s="0" t="n">
        <v>21</v>
      </c>
      <c r="AB947" s="0" t="s">
        <v>307</v>
      </c>
      <c r="AD947" s="0" t="n">
        <v>0</v>
      </c>
      <c r="AE947" s="0" t="s">
        <v>295</v>
      </c>
      <c r="AH947" s="0" t="n">
        <v>11</v>
      </c>
      <c r="AJ947" s="0" t="n">
        <v>41</v>
      </c>
      <c r="AP947" s="0" t="n">
        <v>180000</v>
      </c>
      <c r="DB947" s="0" t="str">
        <f aca="false">IF($A947="","",IF($AH947=20,IF(AND(OR($A947=21,$A947=215),$AJ947=10),"①病院一般",IF(AND($A947=31,$AJ947=41),"②病院短期","対象外")),IF($AJ947=30,"③特定消防",IF(AND(OR($A947=21,$A947=215),$AJ947=10),"④一般",IF(AND($A947=31,$AJ947=41),"⑤短期","対象外")))))</f>
        <v>⑤短期</v>
      </c>
      <c r="DC947" s="0" t="n">
        <f aca="false">IF($A947="","",IF($AB947&amp;""=設定!$C$4,1,0))</f>
        <v>0</v>
      </c>
    </row>
    <row r="948" customFormat="false" ht="15" hidden="false" customHeight="false" outlineLevel="0" collapsed="false">
      <c r="A948" s="0" t="n">
        <v>31</v>
      </c>
      <c r="AA948" s="0" t="n">
        <v>21</v>
      </c>
      <c r="AB948" s="0" t="s">
        <v>96</v>
      </c>
      <c r="AD948" s="0" t="n">
        <v>0</v>
      </c>
      <c r="AE948" s="0" t="s">
        <v>295</v>
      </c>
      <c r="AH948" s="0" t="n">
        <v>11</v>
      </c>
      <c r="AJ948" s="0" t="n">
        <v>41</v>
      </c>
      <c r="AP948" s="0" t="n">
        <v>110000</v>
      </c>
      <c r="DB948" s="0" t="str">
        <f aca="false">IF($A948="","",IF($AH948=20,IF(AND(OR($A948=21,$A948=215),$AJ948=10),"①病院一般",IF(AND($A948=31,$AJ948=41),"②病院短期","対象外")),IF($AJ948=30,"③特定消防",IF(AND(OR($A948=21,$A948=215),$AJ948=10),"④一般",IF(AND($A948=31,$AJ948=41),"⑤短期","対象外")))))</f>
        <v>⑤短期</v>
      </c>
      <c r="DC948" s="0" t="n">
        <f aca="false">IF($A948="","",IF($AB948&amp;""=設定!$C$4,1,0))</f>
        <v>1</v>
      </c>
    </row>
    <row r="949" customFormat="false" ht="15" hidden="false" customHeight="false" outlineLevel="0" collapsed="false">
      <c r="A949" s="0" t="n">
        <v>31</v>
      </c>
      <c r="AA949" s="0" t="n">
        <v>24</v>
      </c>
      <c r="AB949" s="0" t="s">
        <v>298</v>
      </c>
      <c r="AD949" s="0" t="n">
        <v>0</v>
      </c>
      <c r="AE949" s="0" t="s">
        <v>295</v>
      </c>
      <c r="AH949" s="0" t="n">
        <v>11</v>
      </c>
      <c r="AJ949" s="0" t="n">
        <v>41</v>
      </c>
      <c r="AP949" s="0" t="n">
        <v>118000</v>
      </c>
      <c r="DB949" s="0" t="str">
        <f aca="false">IF($A949="","",IF($AH949=20,IF(AND(OR($A949=21,$A949=215),$AJ949=10),"①病院一般",IF(AND($A949=31,$AJ949=41),"②病院短期","対象外")),IF($AJ949=30,"③特定消防",IF(AND(OR($A949=21,$A949=215),$AJ949=10),"④一般",IF(AND($A949=31,$AJ949=41),"⑤短期","対象外")))))</f>
        <v>⑤短期</v>
      </c>
      <c r="DC949" s="0" t="n">
        <f aca="false">IF($A949="","",IF($AB949&amp;""=設定!$C$4,1,0))</f>
        <v>0</v>
      </c>
    </row>
    <row r="950" customFormat="false" ht="15" hidden="false" customHeight="false" outlineLevel="0" collapsed="false">
      <c r="A950" s="0" t="n">
        <v>31</v>
      </c>
      <c r="AA950" s="0" t="n">
        <v>21</v>
      </c>
      <c r="AB950" s="0" t="s">
        <v>303</v>
      </c>
      <c r="AD950" s="0" t="n">
        <v>0</v>
      </c>
      <c r="AE950" s="0" t="s">
        <v>295</v>
      </c>
      <c r="AH950" s="0" t="n">
        <v>1</v>
      </c>
      <c r="AJ950" s="0" t="n">
        <v>41</v>
      </c>
      <c r="AP950" s="0" t="n">
        <v>142000</v>
      </c>
      <c r="DB950" s="0" t="str">
        <f aca="false">IF($A950="","",IF($AH950=20,IF(AND(OR($A950=21,$A950=215),$AJ950=10),"①病院一般",IF(AND($A950=31,$AJ950=41),"②病院短期","対象外")),IF($AJ950=30,"③特定消防",IF(AND(OR($A950=21,$A950=215),$AJ950=10),"④一般",IF(AND($A950=31,$AJ950=41),"⑤短期","対象外")))))</f>
        <v>⑤短期</v>
      </c>
      <c r="DC950" s="0" t="n">
        <f aca="false">IF($A950="","",IF($AB950&amp;""=設定!$C$4,1,0))</f>
        <v>0</v>
      </c>
    </row>
    <row r="951" customFormat="false" ht="15" hidden="false" customHeight="false" outlineLevel="0" collapsed="false">
      <c r="A951" s="0" t="n">
        <v>31</v>
      </c>
      <c r="AA951" s="0" t="n">
        <v>21</v>
      </c>
      <c r="AB951" s="0" t="s">
        <v>340</v>
      </c>
      <c r="AD951" s="0" t="n">
        <v>0</v>
      </c>
      <c r="AE951" s="0" t="s">
        <v>295</v>
      </c>
      <c r="AH951" s="0" t="n">
        <v>11</v>
      </c>
      <c r="AJ951" s="0" t="n">
        <v>41</v>
      </c>
      <c r="AP951" s="0" t="n">
        <v>190000</v>
      </c>
      <c r="DB951" s="0" t="str">
        <f aca="false">IF($A951="","",IF($AH951=20,IF(AND(OR($A951=21,$A951=215),$AJ951=10),"①病院一般",IF(AND($A951=31,$AJ951=41),"②病院短期","対象外")),IF($AJ951=30,"③特定消防",IF(AND(OR($A951=21,$A951=215),$AJ951=10),"④一般",IF(AND($A951=31,$AJ951=41),"⑤短期","対象外")))))</f>
        <v>⑤短期</v>
      </c>
      <c r="DC951" s="0" t="n">
        <f aca="false">IF($A951="","",IF($AB951&amp;""=設定!$C$4,1,0))</f>
        <v>0</v>
      </c>
    </row>
    <row r="952" customFormat="false" ht="15" hidden="false" customHeight="false" outlineLevel="0" collapsed="false">
      <c r="A952" s="0" t="n">
        <v>31</v>
      </c>
      <c r="AA952" s="0" t="n">
        <v>24</v>
      </c>
      <c r="AB952" s="0" t="s">
        <v>301</v>
      </c>
      <c r="AD952" s="0" t="n">
        <v>0</v>
      </c>
      <c r="AE952" s="0" t="s">
        <v>295</v>
      </c>
      <c r="AH952" s="0" t="n">
        <v>1</v>
      </c>
      <c r="AJ952" s="0" t="n">
        <v>41</v>
      </c>
      <c r="AP952" s="0" t="n">
        <v>126000</v>
      </c>
      <c r="DB952" s="0" t="str">
        <f aca="false">IF($A952="","",IF($AH952=20,IF(AND(OR($A952=21,$A952=215),$AJ952=10),"①病院一般",IF(AND($A952=31,$AJ952=41),"②病院短期","対象外")),IF($AJ952=30,"③特定消防",IF(AND(OR($A952=21,$A952=215),$AJ952=10),"④一般",IF(AND($A952=31,$AJ952=41),"⑤短期","対象外")))))</f>
        <v>⑤短期</v>
      </c>
      <c r="DC952" s="0" t="n">
        <f aca="false">IF($A952="","",IF($AB952&amp;""=設定!$C$4,1,0))</f>
        <v>0</v>
      </c>
    </row>
    <row r="953" customFormat="false" ht="15" hidden="false" customHeight="false" outlineLevel="0" collapsed="false">
      <c r="A953" s="0" t="n">
        <v>31</v>
      </c>
      <c r="AA953" s="0" t="n">
        <v>24</v>
      </c>
      <c r="AB953" s="0" t="s">
        <v>341</v>
      </c>
      <c r="AD953" s="0" t="n">
        <v>0</v>
      </c>
      <c r="AE953" s="0" t="s">
        <v>295</v>
      </c>
      <c r="AH953" s="0" t="n">
        <v>1</v>
      </c>
      <c r="AJ953" s="0" t="n">
        <v>41</v>
      </c>
      <c r="AP953" s="0" t="n">
        <v>134000</v>
      </c>
      <c r="DB953" s="0" t="str">
        <f aca="false">IF($A953="","",IF($AH953=20,IF(AND(OR($A953=21,$A953=215),$AJ953=10),"①病院一般",IF(AND($A953=31,$AJ953=41),"②病院短期","対象外")),IF($AJ953=30,"③特定消防",IF(AND(OR($A953=21,$A953=215),$AJ953=10),"④一般",IF(AND($A953=31,$AJ953=41),"⑤短期","対象外")))))</f>
        <v>⑤短期</v>
      </c>
      <c r="DC953" s="0" t="n">
        <f aca="false">IF($A953="","",IF($AB953&amp;""=設定!$C$4,1,0))</f>
        <v>0</v>
      </c>
    </row>
    <row r="954" customFormat="false" ht="15" hidden="false" customHeight="false" outlineLevel="0" collapsed="false">
      <c r="A954" s="0" t="n">
        <v>31</v>
      </c>
      <c r="AA954" s="0" t="n">
        <v>21</v>
      </c>
      <c r="AB954" s="0" t="s">
        <v>294</v>
      </c>
      <c r="AD954" s="0" t="n">
        <v>0</v>
      </c>
      <c r="AE954" s="0" t="s">
        <v>295</v>
      </c>
      <c r="AH954" s="0" t="n">
        <v>1</v>
      </c>
      <c r="AJ954" s="0" t="n">
        <v>41</v>
      </c>
      <c r="AP954" s="0" t="n">
        <v>200000</v>
      </c>
      <c r="DB954" s="0" t="str">
        <f aca="false">IF($A954="","",IF($AH954=20,IF(AND(OR($A954=21,$A954=215),$AJ954=10),"①病院一般",IF(AND($A954=31,$AJ954=41),"②病院短期","対象外")),IF($AJ954=30,"③特定消防",IF(AND(OR($A954=21,$A954=215),$AJ954=10),"④一般",IF(AND($A954=31,$AJ954=41),"⑤短期","対象外")))))</f>
        <v>⑤短期</v>
      </c>
      <c r="DC954" s="0" t="n">
        <f aca="false">IF($A954="","",IF($AB954&amp;""=設定!$C$4,1,0))</f>
        <v>0</v>
      </c>
    </row>
    <row r="955" customFormat="false" ht="15" hidden="false" customHeight="false" outlineLevel="0" collapsed="false">
      <c r="A955" s="0" t="n">
        <v>31</v>
      </c>
      <c r="AA955" s="0" t="n">
        <v>24</v>
      </c>
      <c r="AB955" s="0" t="s">
        <v>96</v>
      </c>
      <c r="AD955" s="0" t="n">
        <v>0</v>
      </c>
      <c r="AE955" s="0" t="s">
        <v>295</v>
      </c>
      <c r="AH955" s="0" t="n">
        <v>1</v>
      </c>
      <c r="AJ955" s="0" t="n">
        <v>41</v>
      </c>
      <c r="AP955" s="0" t="n">
        <v>190000</v>
      </c>
      <c r="DB955" s="0" t="str">
        <f aca="false">IF($A955="","",IF($AH955=20,IF(AND(OR($A955=21,$A955=215),$AJ955=10),"①病院一般",IF(AND($A955=31,$AJ955=41),"②病院短期","対象外")),IF($AJ955=30,"③特定消防",IF(AND(OR($A955=21,$A955=215),$AJ955=10),"④一般",IF(AND($A955=31,$AJ955=41),"⑤短期","対象外")))))</f>
        <v>⑤短期</v>
      </c>
      <c r="DC955" s="0" t="n">
        <f aca="false">IF($A955="","",IF($AB955&amp;""=設定!$C$4,1,0))</f>
        <v>1</v>
      </c>
    </row>
    <row r="956" customFormat="false" ht="15" hidden="false" customHeight="false" outlineLevel="0" collapsed="false">
      <c r="A956" s="0" t="n">
        <v>31</v>
      </c>
      <c r="AA956" s="0" t="n">
        <v>21</v>
      </c>
      <c r="AB956" s="0" t="s">
        <v>298</v>
      </c>
      <c r="AD956" s="0" t="n">
        <v>0</v>
      </c>
      <c r="AE956" s="0" t="s">
        <v>295</v>
      </c>
      <c r="AH956" s="0" t="n">
        <v>1</v>
      </c>
      <c r="AJ956" s="0" t="n">
        <v>41</v>
      </c>
      <c r="AP956" s="0" t="n">
        <v>142000</v>
      </c>
      <c r="DB956" s="0" t="str">
        <f aca="false">IF($A956="","",IF($AH956=20,IF(AND(OR($A956=21,$A956=215),$AJ956=10),"①病院一般",IF(AND($A956=31,$AJ956=41),"②病院短期","対象外")),IF($AJ956=30,"③特定消防",IF(AND(OR($A956=21,$A956=215),$AJ956=10),"④一般",IF(AND($A956=31,$AJ956=41),"⑤短期","対象外")))))</f>
        <v>⑤短期</v>
      </c>
      <c r="DC956" s="0" t="n">
        <f aca="false">IF($A956="","",IF($AB956&amp;""=設定!$C$4,1,0))</f>
        <v>0</v>
      </c>
    </row>
    <row r="957" customFormat="false" ht="15" hidden="false" customHeight="false" outlineLevel="0" collapsed="false">
      <c r="A957" s="0" t="n">
        <v>31</v>
      </c>
      <c r="AA957" s="0" t="n">
        <v>24</v>
      </c>
      <c r="AB957" s="0" t="s">
        <v>298</v>
      </c>
      <c r="AD957" s="0" t="n">
        <v>0</v>
      </c>
      <c r="AE957" s="0" t="s">
        <v>295</v>
      </c>
      <c r="AH957" s="0" t="n">
        <v>11</v>
      </c>
      <c r="AJ957" s="0" t="n">
        <v>41</v>
      </c>
      <c r="AP957" s="0" t="n">
        <v>126000</v>
      </c>
      <c r="DB957" s="0" t="str">
        <f aca="false">IF($A957="","",IF($AH957=20,IF(AND(OR($A957=21,$A957=215),$AJ957=10),"①病院一般",IF(AND($A957=31,$AJ957=41),"②病院短期","対象外")),IF($AJ957=30,"③特定消防",IF(AND(OR($A957=21,$A957=215),$AJ957=10),"④一般",IF(AND($A957=31,$AJ957=41),"⑤短期","対象外")))))</f>
        <v>⑤短期</v>
      </c>
      <c r="DC957" s="0" t="n">
        <f aca="false">IF($A957="","",IF($AB957&amp;""=設定!$C$4,1,0))</f>
        <v>0</v>
      </c>
    </row>
    <row r="958" customFormat="false" ht="15" hidden="false" customHeight="false" outlineLevel="0" collapsed="false">
      <c r="A958" s="0" t="n">
        <v>31</v>
      </c>
      <c r="AA958" s="0" t="n">
        <v>24</v>
      </c>
      <c r="AB958" s="0" t="s">
        <v>96</v>
      </c>
      <c r="AD958" s="0" t="n">
        <v>0</v>
      </c>
      <c r="AE958" s="0" t="s">
        <v>295</v>
      </c>
      <c r="AH958" s="0" t="n">
        <v>1</v>
      </c>
      <c r="AJ958" s="0" t="n">
        <v>41</v>
      </c>
      <c r="AP958" s="0" t="n">
        <v>150000</v>
      </c>
      <c r="DB958" s="0" t="str">
        <f aca="false">IF($A958="","",IF($AH958=20,IF(AND(OR($A958=21,$A958=215),$AJ958=10),"①病院一般",IF(AND($A958=31,$AJ958=41),"②病院短期","対象外")),IF($AJ958=30,"③特定消防",IF(AND(OR($A958=21,$A958=215),$AJ958=10),"④一般",IF(AND($A958=31,$AJ958=41),"⑤短期","対象外")))))</f>
        <v>⑤短期</v>
      </c>
      <c r="DC958" s="0" t="n">
        <f aca="false">IF($A958="","",IF($AB958&amp;""=設定!$C$4,1,0))</f>
        <v>1</v>
      </c>
    </row>
    <row r="959" customFormat="false" ht="15" hidden="false" customHeight="false" outlineLevel="0" collapsed="false">
      <c r="A959" s="0" t="n">
        <v>31</v>
      </c>
      <c r="AA959" s="0" t="n">
        <v>21</v>
      </c>
      <c r="AB959" s="0" t="s">
        <v>312</v>
      </c>
      <c r="AD959" s="0" t="n">
        <v>0</v>
      </c>
      <c r="AE959" s="0" t="s">
        <v>295</v>
      </c>
      <c r="AH959" s="0" t="n">
        <v>11</v>
      </c>
      <c r="AJ959" s="0" t="n">
        <v>41</v>
      </c>
      <c r="AP959" s="0" t="n">
        <v>68000</v>
      </c>
      <c r="DB959" s="0" t="str">
        <f aca="false">IF($A959="","",IF($AH959=20,IF(AND(OR($A959=21,$A959=215),$AJ959=10),"①病院一般",IF(AND($A959=31,$AJ959=41),"②病院短期","対象外")),IF($AJ959=30,"③特定消防",IF(AND(OR($A959=21,$A959=215),$AJ959=10),"④一般",IF(AND($A959=31,$AJ959=41),"⑤短期","対象外")))))</f>
        <v>⑤短期</v>
      </c>
      <c r="DC959" s="0" t="n">
        <f aca="false">IF($A959="","",IF($AB959&amp;""=設定!$C$4,1,0))</f>
        <v>0</v>
      </c>
    </row>
    <row r="960" customFormat="false" ht="15" hidden="false" customHeight="false" outlineLevel="0" collapsed="false">
      <c r="A960" s="0" t="n">
        <v>31</v>
      </c>
      <c r="AA960" s="0" t="n">
        <v>21</v>
      </c>
      <c r="AB960" s="0" t="s">
        <v>96</v>
      </c>
      <c r="AD960" s="0" t="n">
        <v>0</v>
      </c>
      <c r="AE960" s="0" t="s">
        <v>295</v>
      </c>
      <c r="AH960" s="0" t="n">
        <v>1</v>
      </c>
      <c r="AJ960" s="0" t="n">
        <v>41</v>
      </c>
      <c r="AP960" s="0" t="n">
        <v>260000</v>
      </c>
      <c r="DB960" s="0" t="str">
        <f aca="false">IF($A960="","",IF($AH960=20,IF(AND(OR($A960=21,$A960=215),$AJ960=10),"①病院一般",IF(AND($A960=31,$AJ960=41),"②病院短期","対象外")),IF($AJ960=30,"③特定消防",IF(AND(OR($A960=21,$A960=215),$AJ960=10),"④一般",IF(AND($A960=31,$AJ960=41),"⑤短期","対象外")))))</f>
        <v>⑤短期</v>
      </c>
      <c r="DC960" s="0" t="n">
        <f aca="false">IF($A960="","",IF($AB960&amp;""=設定!$C$4,1,0))</f>
        <v>1</v>
      </c>
    </row>
    <row r="961" customFormat="false" ht="15" hidden="false" customHeight="false" outlineLevel="0" collapsed="false">
      <c r="A961" s="0" t="n">
        <v>31</v>
      </c>
      <c r="AA961" s="0" t="n">
        <v>24</v>
      </c>
      <c r="AB961" s="0" t="s">
        <v>96</v>
      </c>
      <c r="AD961" s="0" t="n">
        <v>12</v>
      </c>
      <c r="AE961" s="0" t="s">
        <v>296</v>
      </c>
      <c r="AH961" s="0" t="n">
        <v>1</v>
      </c>
      <c r="AJ961" s="0" t="n">
        <v>41</v>
      </c>
      <c r="AP961" s="0" t="n">
        <v>142000</v>
      </c>
      <c r="DB961" s="0" t="str">
        <f aca="false">IF($A961="","",IF($AH961=20,IF(AND(OR($A961=21,$A961=215),$AJ961=10),"①病院一般",IF(AND($A961=31,$AJ961=41),"②病院短期","対象外")),IF($AJ961=30,"③特定消防",IF(AND(OR($A961=21,$A961=215),$AJ961=10),"④一般",IF(AND($A961=31,$AJ961=41),"⑤短期","対象外")))))</f>
        <v>⑤短期</v>
      </c>
      <c r="DC961" s="0" t="n">
        <f aca="false">IF($A961="","",IF($AB961&amp;""=設定!$C$4,1,0))</f>
        <v>1</v>
      </c>
    </row>
    <row r="962" customFormat="false" ht="15" hidden="false" customHeight="false" outlineLevel="0" collapsed="false">
      <c r="A962" s="0" t="n">
        <v>31</v>
      </c>
      <c r="AA962" s="0" t="n">
        <v>21</v>
      </c>
      <c r="AB962" s="0" t="s">
        <v>96</v>
      </c>
      <c r="AD962" s="0" t="n">
        <v>0</v>
      </c>
      <c r="AE962" s="0" t="s">
        <v>295</v>
      </c>
      <c r="AH962" s="0" t="n">
        <v>11</v>
      </c>
      <c r="AJ962" s="0" t="n">
        <v>41</v>
      </c>
      <c r="AP962" s="0" t="n">
        <v>110000</v>
      </c>
      <c r="DB962" s="0" t="str">
        <f aca="false">IF($A962="","",IF($AH962=20,IF(AND(OR($A962=21,$A962=215),$AJ962=10),"①病院一般",IF(AND($A962=31,$AJ962=41),"②病院短期","対象外")),IF($AJ962=30,"③特定消防",IF(AND(OR($A962=21,$A962=215),$AJ962=10),"④一般",IF(AND($A962=31,$AJ962=41),"⑤短期","対象外")))))</f>
        <v>⑤短期</v>
      </c>
      <c r="DC962" s="0" t="n">
        <f aca="false">IF($A962="","",IF($AB962&amp;""=設定!$C$4,1,0))</f>
        <v>1</v>
      </c>
    </row>
    <row r="963" customFormat="false" ht="15" hidden="false" customHeight="false" outlineLevel="0" collapsed="false">
      <c r="A963" s="0" t="n">
        <v>31</v>
      </c>
      <c r="AA963" s="0" t="n">
        <v>21</v>
      </c>
      <c r="AB963" s="0" t="s">
        <v>96</v>
      </c>
      <c r="AD963" s="0" t="n">
        <v>0</v>
      </c>
      <c r="AE963" s="0" t="s">
        <v>295</v>
      </c>
      <c r="AH963" s="0" t="n">
        <v>11</v>
      </c>
      <c r="AJ963" s="0" t="n">
        <v>41</v>
      </c>
      <c r="AP963" s="0" t="n">
        <v>118000</v>
      </c>
      <c r="DB963" s="0" t="str">
        <f aca="false">IF($A963="","",IF($AH963=20,IF(AND(OR($A963=21,$A963=215),$AJ963=10),"①病院一般",IF(AND($A963=31,$AJ963=41),"②病院短期","対象外")),IF($AJ963=30,"③特定消防",IF(AND(OR($A963=21,$A963=215),$AJ963=10),"④一般",IF(AND($A963=31,$AJ963=41),"⑤短期","対象外")))))</f>
        <v>⑤短期</v>
      </c>
      <c r="DC963" s="0" t="n">
        <f aca="false">IF($A963="","",IF($AB963&amp;""=設定!$C$4,1,0))</f>
        <v>1</v>
      </c>
    </row>
    <row r="964" customFormat="false" ht="15" hidden="false" customHeight="false" outlineLevel="0" collapsed="false">
      <c r="A964" s="0" t="n">
        <v>31</v>
      </c>
      <c r="AA964" s="0" t="n">
        <v>21</v>
      </c>
      <c r="AB964" s="0" t="s">
        <v>298</v>
      </c>
      <c r="AD964" s="0" t="n">
        <v>0</v>
      </c>
      <c r="AE964" s="0" t="s">
        <v>295</v>
      </c>
      <c r="AH964" s="0" t="n">
        <v>11</v>
      </c>
      <c r="AJ964" s="0" t="n">
        <v>41</v>
      </c>
      <c r="AP964" s="0" t="n">
        <v>160000</v>
      </c>
      <c r="DB964" s="0" t="str">
        <f aca="false">IF($A964="","",IF($AH964=20,IF(AND(OR($A964=21,$A964=215),$AJ964=10),"①病院一般",IF(AND($A964=31,$AJ964=41),"②病院短期","対象外")),IF($AJ964=30,"③特定消防",IF(AND(OR($A964=21,$A964=215),$AJ964=10),"④一般",IF(AND($A964=31,$AJ964=41),"⑤短期","対象外")))))</f>
        <v>⑤短期</v>
      </c>
      <c r="DC964" s="0" t="n">
        <f aca="false">IF($A964="","",IF($AB964&amp;""=設定!$C$4,1,0))</f>
        <v>0</v>
      </c>
    </row>
    <row r="965" customFormat="false" ht="15" hidden="false" customHeight="false" outlineLevel="0" collapsed="false">
      <c r="A965" s="0" t="n">
        <v>31</v>
      </c>
      <c r="AA965" s="0" t="n">
        <v>24</v>
      </c>
      <c r="AB965" s="0" t="s">
        <v>298</v>
      </c>
      <c r="AD965" s="0" t="n">
        <v>0</v>
      </c>
      <c r="AE965" s="0" t="s">
        <v>295</v>
      </c>
      <c r="AH965" s="0" t="n">
        <v>11</v>
      </c>
      <c r="AJ965" s="0" t="n">
        <v>41</v>
      </c>
      <c r="AP965" s="0" t="n">
        <v>180000</v>
      </c>
      <c r="DB965" s="0" t="str">
        <f aca="false">IF($A965="","",IF($AH965=20,IF(AND(OR($A965=21,$A965=215),$AJ965=10),"①病院一般",IF(AND($A965=31,$AJ965=41),"②病院短期","対象外")),IF($AJ965=30,"③特定消防",IF(AND(OR($A965=21,$A965=215),$AJ965=10),"④一般",IF(AND($A965=31,$AJ965=41),"⑤短期","対象外")))))</f>
        <v>⑤短期</v>
      </c>
      <c r="DC965" s="0" t="n">
        <f aca="false">IF($A965="","",IF($AB965&amp;""=設定!$C$4,1,0))</f>
        <v>0</v>
      </c>
    </row>
    <row r="966" customFormat="false" ht="15" hidden="false" customHeight="false" outlineLevel="0" collapsed="false">
      <c r="A966" s="0" t="n">
        <v>31</v>
      </c>
      <c r="AA966" s="0" t="n">
        <v>24</v>
      </c>
      <c r="AB966" s="0" t="s">
        <v>298</v>
      </c>
      <c r="AD966" s="0" t="n">
        <v>0</v>
      </c>
      <c r="AE966" s="0" t="s">
        <v>295</v>
      </c>
      <c r="AH966" s="0" t="n">
        <v>11</v>
      </c>
      <c r="AJ966" s="0" t="n">
        <v>41</v>
      </c>
      <c r="AP966" s="0" t="n">
        <v>134000</v>
      </c>
      <c r="DB966" s="0" t="str">
        <f aca="false">IF($A966="","",IF($AH966=20,IF(AND(OR($A966=21,$A966=215),$AJ966=10),"①病院一般",IF(AND($A966=31,$AJ966=41),"②病院短期","対象外")),IF($AJ966=30,"③特定消防",IF(AND(OR($A966=21,$A966=215),$AJ966=10),"④一般",IF(AND($A966=31,$AJ966=41),"⑤短期","対象外")))))</f>
        <v>⑤短期</v>
      </c>
      <c r="DC966" s="0" t="n">
        <f aca="false">IF($A966="","",IF($AB966&amp;""=設定!$C$4,1,0))</f>
        <v>0</v>
      </c>
    </row>
    <row r="967" customFormat="false" ht="15" hidden="false" customHeight="false" outlineLevel="0" collapsed="false">
      <c r="A967" s="0" t="n">
        <v>31</v>
      </c>
      <c r="AA967" s="0" t="n">
        <v>24</v>
      </c>
      <c r="AB967" s="0" t="s">
        <v>298</v>
      </c>
      <c r="AD967" s="0" t="n">
        <v>0</v>
      </c>
      <c r="AE967" s="0" t="s">
        <v>295</v>
      </c>
      <c r="AH967" s="0" t="n">
        <v>11</v>
      </c>
      <c r="AJ967" s="0" t="n">
        <v>41</v>
      </c>
      <c r="AP967" s="0" t="n">
        <v>110000</v>
      </c>
      <c r="DB967" s="0" t="str">
        <f aca="false">IF($A967="","",IF($AH967=20,IF(AND(OR($A967=21,$A967=215),$AJ967=10),"①病院一般",IF(AND($A967=31,$AJ967=41),"②病院短期","対象外")),IF($AJ967=30,"③特定消防",IF(AND(OR($A967=21,$A967=215),$AJ967=10),"④一般",IF(AND($A967=31,$AJ967=41),"⑤短期","対象外")))))</f>
        <v>⑤短期</v>
      </c>
      <c r="DC967" s="0" t="n">
        <f aca="false">IF($A967="","",IF($AB967&amp;""=設定!$C$4,1,0))</f>
        <v>0</v>
      </c>
    </row>
    <row r="968" customFormat="false" ht="15" hidden="false" customHeight="false" outlineLevel="0" collapsed="false">
      <c r="A968" s="0" t="n">
        <v>31</v>
      </c>
      <c r="AA968" s="0" t="n">
        <v>21</v>
      </c>
      <c r="AB968" s="0" t="s">
        <v>96</v>
      </c>
      <c r="AD968" s="0" t="n">
        <v>0</v>
      </c>
      <c r="AE968" s="0" t="s">
        <v>295</v>
      </c>
      <c r="AH968" s="0" t="n">
        <v>1</v>
      </c>
      <c r="AJ968" s="0" t="n">
        <v>41</v>
      </c>
      <c r="AP968" s="0" t="n">
        <v>134000</v>
      </c>
      <c r="DB968" s="0" t="str">
        <f aca="false">IF($A968="","",IF($AH968=20,IF(AND(OR($A968=21,$A968=215),$AJ968=10),"①病院一般",IF(AND($A968=31,$AJ968=41),"②病院短期","対象外")),IF($AJ968=30,"③特定消防",IF(AND(OR($A968=21,$A968=215),$AJ968=10),"④一般",IF(AND($A968=31,$AJ968=41),"⑤短期","対象外")))))</f>
        <v>⑤短期</v>
      </c>
      <c r="DC968" s="0" t="n">
        <f aca="false">IF($A968="","",IF($AB968&amp;""=設定!$C$4,1,0))</f>
        <v>1</v>
      </c>
    </row>
    <row r="969" customFormat="false" ht="15" hidden="false" customHeight="false" outlineLevel="0" collapsed="false">
      <c r="A969" s="0" t="n">
        <v>31</v>
      </c>
      <c r="AA969" s="0" t="n">
        <v>24</v>
      </c>
      <c r="AB969" s="0" t="s">
        <v>298</v>
      </c>
      <c r="AD969" s="0" t="n">
        <v>0</v>
      </c>
      <c r="AE969" s="0" t="s">
        <v>295</v>
      </c>
      <c r="AH969" s="0" t="n">
        <v>11</v>
      </c>
      <c r="AJ969" s="0" t="n">
        <v>41</v>
      </c>
      <c r="AP969" s="0" t="n">
        <v>118000</v>
      </c>
      <c r="DB969" s="0" t="str">
        <f aca="false">IF($A969="","",IF($AH969=20,IF(AND(OR($A969=21,$A969=215),$AJ969=10),"①病院一般",IF(AND($A969=31,$AJ969=41),"②病院短期","対象外")),IF($AJ969=30,"③特定消防",IF(AND(OR($A969=21,$A969=215),$AJ969=10),"④一般",IF(AND($A969=31,$AJ969=41),"⑤短期","対象外")))))</f>
        <v>⑤短期</v>
      </c>
      <c r="DC969" s="0" t="n">
        <f aca="false">IF($A969="","",IF($AB969&amp;""=設定!$C$4,1,0))</f>
        <v>0</v>
      </c>
    </row>
    <row r="970" customFormat="false" ht="15" hidden="false" customHeight="false" outlineLevel="0" collapsed="false">
      <c r="A970" s="0" t="n">
        <v>31</v>
      </c>
      <c r="AA970" s="0" t="n">
        <v>21</v>
      </c>
      <c r="AB970" s="0" t="s">
        <v>312</v>
      </c>
      <c r="AD970" s="0" t="n">
        <v>0</v>
      </c>
      <c r="AE970" s="0" t="s">
        <v>295</v>
      </c>
      <c r="AH970" s="0" t="n">
        <v>11</v>
      </c>
      <c r="AJ970" s="0" t="n">
        <v>41</v>
      </c>
      <c r="AP970" s="0" t="n">
        <v>88000</v>
      </c>
      <c r="DB970" s="0" t="str">
        <f aca="false">IF($A970="","",IF($AH970=20,IF(AND(OR($A970=21,$A970=215),$AJ970=10),"①病院一般",IF(AND($A970=31,$AJ970=41),"②病院短期","対象外")),IF($AJ970=30,"③特定消防",IF(AND(OR($A970=21,$A970=215),$AJ970=10),"④一般",IF(AND($A970=31,$AJ970=41),"⑤短期","対象外")))))</f>
        <v>⑤短期</v>
      </c>
      <c r="DC970" s="0" t="n">
        <f aca="false">IF($A970="","",IF($AB970&amp;""=設定!$C$4,1,0))</f>
        <v>0</v>
      </c>
    </row>
    <row r="971" customFormat="false" ht="15" hidden="false" customHeight="false" outlineLevel="0" collapsed="false">
      <c r="A971" s="0" t="n">
        <v>31</v>
      </c>
      <c r="AA971" s="0" t="n">
        <v>24</v>
      </c>
      <c r="AB971" s="0" t="s">
        <v>342</v>
      </c>
      <c r="AD971" s="0" t="n">
        <v>12</v>
      </c>
      <c r="AE971" s="0" t="s">
        <v>343</v>
      </c>
      <c r="AH971" s="0" t="n">
        <v>1</v>
      </c>
      <c r="AJ971" s="0" t="n">
        <v>41</v>
      </c>
      <c r="AP971" s="0" t="n">
        <v>126000</v>
      </c>
      <c r="DB971" s="0" t="str">
        <f aca="false">IF($A971="","",IF($AH971=20,IF(AND(OR($A971=21,$A971=215),$AJ971=10),"①病院一般",IF(AND($A971=31,$AJ971=41),"②病院短期","対象外")),IF($AJ971=30,"③特定消防",IF(AND(OR($A971=21,$A971=215),$AJ971=10),"④一般",IF(AND($A971=31,$AJ971=41),"⑤短期","対象外")))))</f>
        <v>⑤短期</v>
      </c>
      <c r="DC971" s="0" t="n">
        <f aca="false">IF($A971="","",IF($AB971&amp;""=設定!$C$4,1,0))</f>
        <v>0</v>
      </c>
    </row>
    <row r="972" customFormat="false" ht="15" hidden="false" customHeight="false" outlineLevel="0" collapsed="false">
      <c r="A972" s="0" t="n">
        <v>31</v>
      </c>
      <c r="AA972" s="0" t="n">
        <v>24</v>
      </c>
      <c r="AB972" s="0" t="s">
        <v>296</v>
      </c>
      <c r="AD972" s="0" t="n">
        <v>0</v>
      </c>
      <c r="AE972" s="0" t="s">
        <v>295</v>
      </c>
      <c r="AH972" s="0" t="n">
        <v>11</v>
      </c>
      <c r="AJ972" s="0" t="n">
        <v>41</v>
      </c>
      <c r="AP972" s="0" t="n">
        <v>180000</v>
      </c>
      <c r="DB972" s="0" t="str">
        <f aca="false">IF($A972="","",IF($AH972=20,IF(AND(OR($A972=21,$A972=215),$AJ972=10),"①病院一般",IF(AND($A972=31,$AJ972=41),"②病院短期","対象外")),IF($AJ972=30,"③特定消防",IF(AND(OR($A972=21,$A972=215),$AJ972=10),"④一般",IF(AND($A972=31,$AJ972=41),"⑤短期","対象外")))))</f>
        <v>⑤短期</v>
      </c>
      <c r="DC972" s="0" t="n">
        <f aca="false">IF($A972="","",IF($AB972&amp;""=設定!$C$4,1,0))</f>
        <v>0</v>
      </c>
    </row>
    <row r="973" customFormat="false" ht="15" hidden="false" customHeight="false" outlineLevel="0" collapsed="false">
      <c r="A973" s="0" t="n">
        <v>31</v>
      </c>
      <c r="AA973" s="0" t="n">
        <v>24</v>
      </c>
      <c r="AB973" s="0" t="s">
        <v>296</v>
      </c>
      <c r="AD973" s="0" t="n">
        <v>0</v>
      </c>
      <c r="AE973" s="0" t="s">
        <v>295</v>
      </c>
      <c r="AH973" s="0" t="n">
        <v>11</v>
      </c>
      <c r="AJ973" s="0" t="n">
        <v>41</v>
      </c>
      <c r="AP973" s="0" t="n">
        <v>190000</v>
      </c>
      <c r="DB973" s="0" t="str">
        <f aca="false">IF($A973="","",IF($AH973=20,IF(AND(OR($A973=21,$A973=215),$AJ973=10),"①病院一般",IF(AND($A973=31,$AJ973=41),"②病院短期","対象外")),IF($AJ973=30,"③特定消防",IF(AND(OR($A973=21,$A973=215),$AJ973=10),"④一般",IF(AND($A973=31,$AJ973=41),"⑤短期","対象外")))))</f>
        <v>⑤短期</v>
      </c>
      <c r="DC973" s="0" t="n">
        <f aca="false">IF($A973="","",IF($AB973&amp;""=設定!$C$4,1,0))</f>
        <v>0</v>
      </c>
    </row>
    <row r="974" customFormat="false" ht="15" hidden="false" customHeight="false" outlineLevel="0" collapsed="false">
      <c r="A974" s="0" t="n">
        <v>31</v>
      </c>
      <c r="AA974" s="0" t="n">
        <v>24</v>
      </c>
      <c r="AB974" s="0" t="s">
        <v>298</v>
      </c>
      <c r="AD974" s="0" t="n">
        <v>0</v>
      </c>
      <c r="AE974" s="0" t="s">
        <v>295</v>
      </c>
      <c r="AH974" s="0" t="n">
        <v>11</v>
      </c>
      <c r="AJ974" s="0" t="n">
        <v>41</v>
      </c>
      <c r="AP974" s="0" t="n">
        <v>118000</v>
      </c>
      <c r="DB974" s="0" t="str">
        <f aca="false">IF($A974="","",IF($AH974=20,IF(AND(OR($A974=21,$A974=215),$AJ974=10),"①病院一般",IF(AND($A974=31,$AJ974=41),"②病院短期","対象外")),IF($AJ974=30,"③特定消防",IF(AND(OR($A974=21,$A974=215),$AJ974=10),"④一般",IF(AND($A974=31,$AJ974=41),"⑤短期","対象外")))))</f>
        <v>⑤短期</v>
      </c>
      <c r="DC974" s="0" t="n">
        <f aca="false">IF($A974="","",IF($AB974&amp;""=設定!$C$4,1,0))</f>
        <v>0</v>
      </c>
    </row>
    <row r="975" customFormat="false" ht="15" hidden="false" customHeight="false" outlineLevel="0" collapsed="false">
      <c r="A975" s="0" t="n">
        <v>31</v>
      </c>
      <c r="AA975" s="0" t="n">
        <v>24</v>
      </c>
      <c r="AB975" s="0" t="s">
        <v>96</v>
      </c>
      <c r="AD975" s="0" t="n">
        <v>0</v>
      </c>
      <c r="AE975" s="0" t="s">
        <v>295</v>
      </c>
      <c r="AH975" s="0" t="n">
        <v>1</v>
      </c>
      <c r="AJ975" s="0" t="n">
        <v>41</v>
      </c>
      <c r="AP975" s="0" t="n">
        <v>200000</v>
      </c>
      <c r="DB975" s="0" t="str">
        <f aca="false">IF($A975="","",IF($AH975=20,IF(AND(OR($A975=21,$A975=215),$AJ975=10),"①病院一般",IF(AND($A975=31,$AJ975=41),"②病院短期","対象外")),IF($AJ975=30,"③特定消防",IF(AND(OR($A975=21,$A975=215),$AJ975=10),"④一般",IF(AND($A975=31,$AJ975=41),"⑤短期","対象外")))))</f>
        <v>⑤短期</v>
      </c>
      <c r="DC975" s="0" t="n">
        <f aca="false">IF($A975="","",IF($AB975&amp;""=設定!$C$4,1,0))</f>
        <v>1</v>
      </c>
    </row>
    <row r="976" customFormat="false" ht="15" hidden="false" customHeight="false" outlineLevel="0" collapsed="false">
      <c r="A976" s="0" t="n">
        <v>31</v>
      </c>
      <c r="AA976" s="0" t="n">
        <v>24</v>
      </c>
      <c r="AB976" s="0" t="s">
        <v>304</v>
      </c>
      <c r="AD976" s="0" t="n">
        <v>0</v>
      </c>
      <c r="AE976" s="0" t="s">
        <v>295</v>
      </c>
      <c r="AH976" s="0" t="n">
        <v>11</v>
      </c>
      <c r="AJ976" s="0" t="n">
        <v>41</v>
      </c>
      <c r="AP976" s="0" t="n">
        <v>142000</v>
      </c>
      <c r="DB976" s="0" t="str">
        <f aca="false">IF($A976="","",IF($AH976=20,IF(AND(OR($A976=21,$A976=215),$AJ976=10),"①病院一般",IF(AND($A976=31,$AJ976=41),"②病院短期","対象外")),IF($AJ976=30,"③特定消防",IF(AND(OR($A976=21,$A976=215),$AJ976=10),"④一般",IF(AND($A976=31,$AJ976=41),"⑤短期","対象外")))))</f>
        <v>⑤短期</v>
      </c>
      <c r="DC976" s="0" t="n">
        <f aca="false">IF($A976="","",IF($AB976&amp;""=設定!$C$4,1,0))</f>
        <v>0</v>
      </c>
    </row>
    <row r="977" customFormat="false" ht="15" hidden="false" customHeight="false" outlineLevel="0" collapsed="false">
      <c r="A977" s="0" t="n">
        <v>31</v>
      </c>
      <c r="AA977" s="0" t="n">
        <v>24</v>
      </c>
      <c r="AB977" s="0" t="s">
        <v>96</v>
      </c>
      <c r="AD977" s="0" t="n">
        <v>12</v>
      </c>
      <c r="AE977" s="0" t="s">
        <v>301</v>
      </c>
      <c r="AH977" s="0" t="n">
        <v>11</v>
      </c>
      <c r="AJ977" s="0" t="n">
        <v>41</v>
      </c>
      <c r="AP977" s="0" t="n">
        <v>142000</v>
      </c>
      <c r="DB977" s="0" t="str">
        <f aca="false">IF($A977="","",IF($AH977=20,IF(AND(OR($A977=21,$A977=215),$AJ977=10),"①病院一般",IF(AND($A977=31,$AJ977=41),"②病院短期","対象外")),IF($AJ977=30,"③特定消防",IF(AND(OR($A977=21,$A977=215),$AJ977=10),"④一般",IF(AND($A977=31,$AJ977=41),"⑤短期","対象外")))))</f>
        <v>⑤短期</v>
      </c>
      <c r="DC977" s="0" t="n">
        <f aca="false">IF($A977="","",IF($AB977&amp;""=設定!$C$4,1,0))</f>
        <v>1</v>
      </c>
    </row>
    <row r="978" customFormat="false" ht="15" hidden="false" customHeight="false" outlineLevel="0" collapsed="false">
      <c r="A978" s="0" t="n">
        <v>31</v>
      </c>
      <c r="AA978" s="0" t="n">
        <v>24</v>
      </c>
      <c r="AB978" s="0" t="s">
        <v>344</v>
      </c>
      <c r="AD978" s="0" t="n">
        <v>0</v>
      </c>
      <c r="AE978" s="0" t="s">
        <v>295</v>
      </c>
      <c r="AH978" s="0" t="n">
        <v>1</v>
      </c>
      <c r="AJ978" s="0" t="n">
        <v>41</v>
      </c>
      <c r="AP978" s="0" t="n">
        <v>134000</v>
      </c>
      <c r="DB978" s="0" t="str">
        <f aca="false">IF($A978="","",IF($AH978=20,IF(AND(OR($A978=21,$A978=215),$AJ978=10),"①病院一般",IF(AND($A978=31,$AJ978=41),"②病院短期","対象外")),IF($AJ978=30,"③特定消防",IF(AND(OR($A978=21,$A978=215),$AJ978=10),"④一般",IF(AND($A978=31,$AJ978=41),"⑤短期","対象外")))))</f>
        <v>⑤短期</v>
      </c>
      <c r="DC978" s="0" t="n">
        <f aca="false">IF($A978="","",IF($AB978&amp;""=設定!$C$4,1,0))</f>
        <v>0</v>
      </c>
    </row>
    <row r="979" customFormat="false" ht="15" hidden="false" customHeight="false" outlineLevel="0" collapsed="false">
      <c r="A979" s="0" t="n">
        <v>31</v>
      </c>
      <c r="AA979" s="0" t="n">
        <v>24</v>
      </c>
      <c r="AB979" s="0" t="s">
        <v>298</v>
      </c>
      <c r="AD979" s="0" t="n">
        <v>0</v>
      </c>
      <c r="AE979" s="0" t="s">
        <v>295</v>
      </c>
      <c r="AH979" s="0" t="n">
        <v>11</v>
      </c>
      <c r="AJ979" s="0" t="n">
        <v>41</v>
      </c>
      <c r="AP979" s="0" t="n">
        <v>220000</v>
      </c>
      <c r="DB979" s="0" t="str">
        <f aca="false">IF($A979="","",IF($AH979=20,IF(AND(OR($A979=21,$A979=215),$AJ979=10),"①病院一般",IF(AND($A979=31,$AJ979=41),"②病院短期","対象外")),IF($AJ979=30,"③特定消防",IF(AND(OR($A979=21,$A979=215),$AJ979=10),"④一般",IF(AND($A979=31,$AJ979=41),"⑤短期","対象外")))))</f>
        <v>⑤短期</v>
      </c>
      <c r="DC979" s="0" t="n">
        <f aca="false">IF($A979="","",IF($AB979&amp;""=設定!$C$4,1,0))</f>
        <v>0</v>
      </c>
    </row>
    <row r="980" customFormat="false" ht="15" hidden="false" customHeight="false" outlineLevel="0" collapsed="false">
      <c r="A980" s="0" t="n">
        <v>31</v>
      </c>
      <c r="AA980" s="0" t="n">
        <v>21</v>
      </c>
      <c r="AB980" s="0" t="s">
        <v>96</v>
      </c>
      <c r="AD980" s="0" t="n">
        <v>0</v>
      </c>
      <c r="AE980" s="0" t="s">
        <v>295</v>
      </c>
      <c r="AH980" s="0" t="n">
        <v>1</v>
      </c>
      <c r="AJ980" s="0" t="n">
        <v>41</v>
      </c>
      <c r="AP980" s="0" t="n">
        <v>190000</v>
      </c>
      <c r="DB980" s="0" t="str">
        <f aca="false">IF($A980="","",IF($AH980=20,IF(AND(OR($A980=21,$A980=215),$AJ980=10),"①病院一般",IF(AND($A980=31,$AJ980=41),"②病院短期","対象外")),IF($AJ980=30,"③特定消防",IF(AND(OR($A980=21,$A980=215),$AJ980=10),"④一般",IF(AND($A980=31,$AJ980=41),"⑤短期","対象外")))))</f>
        <v>⑤短期</v>
      </c>
      <c r="DC980" s="0" t="n">
        <f aca="false">IF($A980="","",IF($AB980&amp;""=設定!$C$4,1,0))</f>
        <v>1</v>
      </c>
    </row>
    <row r="981" customFormat="false" ht="15" hidden="false" customHeight="false" outlineLevel="0" collapsed="false">
      <c r="A981" s="0" t="n">
        <v>31</v>
      </c>
      <c r="AA981" s="0" t="n">
        <v>21</v>
      </c>
      <c r="AB981" s="0" t="s">
        <v>96</v>
      </c>
      <c r="AD981" s="0" t="n">
        <v>0</v>
      </c>
      <c r="AE981" s="0" t="s">
        <v>295</v>
      </c>
      <c r="AH981" s="0" t="n">
        <v>11</v>
      </c>
      <c r="AJ981" s="0" t="n">
        <v>41</v>
      </c>
      <c r="AP981" s="0" t="n">
        <v>118000</v>
      </c>
      <c r="DB981" s="0" t="str">
        <f aca="false">IF($A981="","",IF($AH981=20,IF(AND(OR($A981=21,$A981=215),$AJ981=10),"①病院一般",IF(AND($A981=31,$AJ981=41),"②病院短期","対象外")),IF($AJ981=30,"③特定消防",IF(AND(OR($A981=21,$A981=215),$AJ981=10),"④一般",IF(AND($A981=31,$AJ981=41),"⑤短期","対象外")))))</f>
        <v>⑤短期</v>
      </c>
      <c r="DC981" s="0" t="n">
        <f aca="false">IF($A981="","",IF($AB981&amp;""=設定!$C$4,1,0))</f>
        <v>1</v>
      </c>
    </row>
    <row r="982" customFormat="false" ht="15" hidden="false" customHeight="false" outlineLevel="0" collapsed="false">
      <c r="A982" s="0" t="n">
        <v>31</v>
      </c>
      <c r="AA982" s="0" t="n">
        <v>21</v>
      </c>
      <c r="AB982" s="0" t="s">
        <v>96</v>
      </c>
      <c r="AD982" s="0" t="n">
        <v>0</v>
      </c>
      <c r="AE982" s="0" t="s">
        <v>295</v>
      </c>
      <c r="AH982" s="0" t="n">
        <v>1</v>
      </c>
      <c r="AJ982" s="0" t="n">
        <v>41</v>
      </c>
      <c r="AP982" s="0" t="n">
        <v>126000</v>
      </c>
      <c r="DB982" s="0" t="str">
        <f aca="false">IF($A982="","",IF($AH982=20,IF(AND(OR($A982=21,$A982=215),$AJ982=10),"①病院一般",IF(AND($A982=31,$AJ982=41),"②病院短期","対象外")),IF($AJ982=30,"③特定消防",IF(AND(OR($A982=21,$A982=215),$AJ982=10),"④一般",IF(AND($A982=31,$AJ982=41),"⑤短期","対象外")))))</f>
        <v>⑤短期</v>
      </c>
      <c r="DC982" s="0" t="n">
        <f aca="false">IF($A982="","",IF($AB982&amp;""=設定!$C$4,1,0))</f>
        <v>1</v>
      </c>
    </row>
    <row r="983" customFormat="false" ht="15" hidden="false" customHeight="false" outlineLevel="0" collapsed="false">
      <c r="A983" s="0" t="n">
        <v>31</v>
      </c>
      <c r="AA983" s="0" t="n">
        <v>21</v>
      </c>
      <c r="AB983" s="0" t="s">
        <v>345</v>
      </c>
      <c r="AD983" s="0" t="n">
        <v>12</v>
      </c>
      <c r="AE983" s="0" t="s">
        <v>335</v>
      </c>
      <c r="AH983" s="0" t="n">
        <v>1</v>
      </c>
      <c r="AJ983" s="0" t="n">
        <v>41</v>
      </c>
      <c r="AP983" s="0" t="n">
        <v>260000</v>
      </c>
      <c r="DB983" s="0" t="str">
        <f aca="false">IF($A983="","",IF($AH983=20,IF(AND(OR($A983=21,$A983=215),$AJ983=10),"①病院一般",IF(AND($A983=31,$AJ983=41),"②病院短期","対象外")),IF($AJ983=30,"③特定消防",IF(AND(OR($A983=21,$A983=215),$AJ983=10),"④一般",IF(AND($A983=31,$AJ983=41),"⑤短期","対象外")))))</f>
        <v>⑤短期</v>
      </c>
      <c r="DC983" s="0" t="n">
        <f aca="false">IF($A983="","",IF($AB983&amp;""=設定!$C$4,1,0))</f>
        <v>0</v>
      </c>
    </row>
    <row r="984" customFormat="false" ht="15" hidden="false" customHeight="false" outlineLevel="0" collapsed="false">
      <c r="A984" s="0" t="n">
        <v>31</v>
      </c>
      <c r="AA984" s="0" t="n">
        <v>21</v>
      </c>
      <c r="AB984" s="0" t="s">
        <v>298</v>
      </c>
      <c r="AD984" s="0" t="n">
        <v>0</v>
      </c>
      <c r="AE984" s="0" t="s">
        <v>295</v>
      </c>
      <c r="AH984" s="0" t="n">
        <v>20</v>
      </c>
      <c r="AJ984" s="0" t="n">
        <v>41</v>
      </c>
      <c r="AP984" s="0" t="n">
        <v>260000</v>
      </c>
      <c r="DB984" s="0" t="str">
        <f aca="false">IF($A984="","",IF($AH984=20,IF(AND(OR($A984=21,$A984=215),$AJ984=10),"①病院一般",IF(AND($A984=31,$AJ984=41),"②病院短期","対象外")),IF($AJ984=30,"③特定消防",IF(AND(OR($A984=21,$A984=215),$AJ984=10),"④一般",IF(AND($A984=31,$AJ984=41),"⑤短期","対象外")))))</f>
        <v>②病院短期</v>
      </c>
      <c r="DC984" s="0" t="n">
        <f aca="false">IF($A984="","",IF($AB984&amp;""=設定!$C$4,1,0))</f>
        <v>0</v>
      </c>
    </row>
    <row r="985" customFormat="false" ht="15" hidden="false" customHeight="false" outlineLevel="0" collapsed="false">
      <c r="A985" s="0" t="n">
        <v>31</v>
      </c>
      <c r="AA985" s="0" t="n">
        <v>24</v>
      </c>
      <c r="AB985" s="0" t="s">
        <v>96</v>
      </c>
      <c r="AD985" s="0" t="n">
        <v>0</v>
      </c>
      <c r="AE985" s="0" t="s">
        <v>295</v>
      </c>
      <c r="AH985" s="0" t="n">
        <v>1</v>
      </c>
      <c r="AJ985" s="0" t="n">
        <v>41</v>
      </c>
      <c r="AP985" s="0" t="n">
        <v>160000</v>
      </c>
      <c r="DB985" s="0" t="str">
        <f aca="false">IF($A985="","",IF($AH985=20,IF(AND(OR($A985=21,$A985=215),$AJ985=10),"①病院一般",IF(AND($A985=31,$AJ985=41),"②病院短期","対象外")),IF($AJ985=30,"③特定消防",IF(AND(OR($A985=21,$A985=215),$AJ985=10),"④一般",IF(AND($A985=31,$AJ985=41),"⑤短期","対象外")))))</f>
        <v>⑤短期</v>
      </c>
      <c r="DC985" s="0" t="n">
        <f aca="false">IF($A985="","",IF($AB985&amp;""=設定!$C$4,1,0))</f>
        <v>1</v>
      </c>
    </row>
    <row r="986" customFormat="false" ht="15" hidden="false" customHeight="false" outlineLevel="0" collapsed="false">
      <c r="A986" s="0" t="n">
        <v>31</v>
      </c>
      <c r="AA986" s="0" t="n">
        <v>24</v>
      </c>
      <c r="AB986" s="0" t="s">
        <v>303</v>
      </c>
      <c r="AD986" s="0" t="n">
        <v>0</v>
      </c>
      <c r="AE986" s="0" t="s">
        <v>295</v>
      </c>
      <c r="AH986" s="0" t="n">
        <v>1</v>
      </c>
      <c r="AJ986" s="0" t="n">
        <v>41</v>
      </c>
      <c r="AP986" s="0" t="n">
        <v>134000</v>
      </c>
      <c r="DB986" s="0" t="str">
        <f aca="false">IF($A986="","",IF($AH986=20,IF(AND(OR($A986=21,$A986=215),$AJ986=10),"①病院一般",IF(AND($A986=31,$AJ986=41),"②病院短期","対象外")),IF($AJ986=30,"③特定消防",IF(AND(OR($A986=21,$A986=215),$AJ986=10),"④一般",IF(AND($A986=31,$AJ986=41),"⑤短期","対象外")))))</f>
        <v>⑤短期</v>
      </c>
      <c r="DC986" s="0" t="n">
        <f aca="false">IF($A986="","",IF($AB986&amp;""=設定!$C$4,1,0))</f>
        <v>0</v>
      </c>
    </row>
    <row r="987" customFormat="false" ht="15" hidden="false" customHeight="false" outlineLevel="0" collapsed="false">
      <c r="A987" s="0" t="n">
        <v>31</v>
      </c>
      <c r="AA987" s="0" t="n">
        <v>21</v>
      </c>
      <c r="AB987" s="0" t="s">
        <v>311</v>
      </c>
      <c r="AD987" s="0" t="n">
        <v>0</v>
      </c>
      <c r="AE987" s="0" t="s">
        <v>295</v>
      </c>
      <c r="AH987" s="0" t="n">
        <v>1</v>
      </c>
      <c r="AJ987" s="0" t="n">
        <v>41</v>
      </c>
      <c r="AP987" s="0" t="n">
        <v>118000</v>
      </c>
      <c r="DB987" s="0" t="str">
        <f aca="false">IF($A987="","",IF($AH987=20,IF(AND(OR($A987=21,$A987=215),$AJ987=10),"①病院一般",IF(AND($A987=31,$AJ987=41),"②病院短期","対象外")),IF($AJ987=30,"③特定消防",IF(AND(OR($A987=21,$A987=215),$AJ987=10),"④一般",IF(AND($A987=31,$AJ987=41),"⑤短期","対象外")))))</f>
        <v>⑤短期</v>
      </c>
      <c r="DC987" s="0" t="n">
        <f aca="false">IF($A987="","",IF($AB987&amp;""=設定!$C$4,1,0))</f>
        <v>0</v>
      </c>
    </row>
    <row r="988" customFormat="false" ht="15" hidden="false" customHeight="false" outlineLevel="0" collapsed="false">
      <c r="A988" s="0" t="n">
        <v>31</v>
      </c>
      <c r="AA988" s="0" t="n">
        <v>24</v>
      </c>
      <c r="AB988" s="0" t="s">
        <v>298</v>
      </c>
      <c r="AD988" s="0" t="n">
        <v>0</v>
      </c>
      <c r="AE988" s="0" t="s">
        <v>295</v>
      </c>
      <c r="AH988" s="0" t="n">
        <v>11</v>
      </c>
      <c r="AJ988" s="0" t="n">
        <v>41</v>
      </c>
      <c r="AP988" s="0" t="n">
        <v>142000</v>
      </c>
      <c r="DB988" s="0" t="str">
        <f aca="false">IF($A988="","",IF($AH988=20,IF(AND(OR($A988=21,$A988=215),$AJ988=10),"①病院一般",IF(AND($A988=31,$AJ988=41),"②病院短期","対象外")),IF($AJ988=30,"③特定消防",IF(AND(OR($A988=21,$A988=215),$AJ988=10),"④一般",IF(AND($A988=31,$AJ988=41),"⑤短期","対象外")))))</f>
        <v>⑤短期</v>
      </c>
      <c r="DC988" s="0" t="n">
        <f aca="false">IF($A988="","",IF($AB988&amp;""=設定!$C$4,1,0))</f>
        <v>0</v>
      </c>
    </row>
    <row r="989" customFormat="false" ht="15" hidden="false" customHeight="false" outlineLevel="0" collapsed="false">
      <c r="A989" s="0" t="n">
        <v>31</v>
      </c>
      <c r="AA989" s="0" t="n">
        <v>21</v>
      </c>
      <c r="AB989" s="0" t="s">
        <v>337</v>
      </c>
      <c r="AD989" s="0" t="n">
        <v>0</v>
      </c>
      <c r="AE989" s="0" t="s">
        <v>295</v>
      </c>
      <c r="AH989" s="0" t="n">
        <v>11</v>
      </c>
      <c r="AJ989" s="0" t="n">
        <v>41</v>
      </c>
      <c r="AP989" s="0" t="n">
        <v>200000</v>
      </c>
      <c r="DB989" s="0" t="str">
        <f aca="false">IF($A989="","",IF($AH989=20,IF(AND(OR($A989=21,$A989=215),$AJ989=10),"①病院一般",IF(AND($A989=31,$AJ989=41),"②病院短期","対象外")),IF($AJ989=30,"③特定消防",IF(AND(OR($A989=21,$A989=215),$AJ989=10),"④一般",IF(AND($A989=31,$AJ989=41),"⑤短期","対象外")))))</f>
        <v>⑤短期</v>
      </c>
      <c r="DC989" s="0" t="n">
        <f aca="false">IF($A989="","",IF($AB989&amp;""=設定!$C$4,1,0))</f>
        <v>0</v>
      </c>
    </row>
    <row r="990" customFormat="false" ht="15" hidden="false" customHeight="false" outlineLevel="0" collapsed="false">
      <c r="A990" s="0" t="n">
        <v>31</v>
      </c>
      <c r="AA990" s="0" t="n">
        <v>21</v>
      </c>
      <c r="AB990" s="0" t="s">
        <v>298</v>
      </c>
      <c r="AD990" s="0" t="n">
        <v>0</v>
      </c>
      <c r="AE990" s="0" t="s">
        <v>295</v>
      </c>
      <c r="AH990" s="0" t="n">
        <v>11</v>
      </c>
      <c r="AJ990" s="0" t="n">
        <v>41</v>
      </c>
      <c r="AP990" s="0" t="n">
        <v>118000</v>
      </c>
      <c r="DB990" s="0" t="str">
        <f aca="false">IF($A990="","",IF($AH990=20,IF(AND(OR($A990=21,$A990=215),$AJ990=10),"①病院一般",IF(AND($A990=31,$AJ990=41),"②病院短期","対象外")),IF($AJ990=30,"③特定消防",IF(AND(OR($A990=21,$A990=215),$AJ990=10),"④一般",IF(AND($A990=31,$AJ990=41),"⑤短期","対象外")))))</f>
        <v>⑤短期</v>
      </c>
      <c r="DC990" s="0" t="n">
        <f aca="false">IF($A990="","",IF($AB990&amp;""=設定!$C$4,1,0))</f>
        <v>0</v>
      </c>
    </row>
    <row r="991" customFormat="false" ht="15" hidden="false" customHeight="false" outlineLevel="0" collapsed="false">
      <c r="A991" s="0" t="n">
        <v>31</v>
      </c>
      <c r="AA991" s="0" t="n">
        <v>21</v>
      </c>
      <c r="AB991" s="0" t="s">
        <v>312</v>
      </c>
      <c r="AD991" s="0" t="n">
        <v>0</v>
      </c>
      <c r="AE991" s="0" t="s">
        <v>295</v>
      </c>
      <c r="AH991" s="0" t="n">
        <v>11</v>
      </c>
      <c r="AJ991" s="0" t="n">
        <v>41</v>
      </c>
      <c r="AP991" s="0" t="n">
        <v>68000</v>
      </c>
      <c r="DB991" s="0" t="str">
        <f aca="false">IF($A991="","",IF($AH991=20,IF(AND(OR($A991=21,$A991=215),$AJ991=10),"①病院一般",IF(AND($A991=31,$AJ991=41),"②病院短期","対象外")),IF($AJ991=30,"③特定消防",IF(AND(OR($A991=21,$A991=215),$AJ991=10),"④一般",IF(AND($A991=31,$AJ991=41),"⑤短期","対象外")))))</f>
        <v>⑤短期</v>
      </c>
      <c r="DC991" s="0" t="n">
        <f aca="false">IF($A991="","",IF($AB991&amp;""=設定!$C$4,1,0))</f>
        <v>0</v>
      </c>
    </row>
    <row r="992" customFormat="false" ht="15" hidden="false" customHeight="false" outlineLevel="0" collapsed="false">
      <c r="A992" s="0" t="n">
        <v>31</v>
      </c>
      <c r="AA992" s="0" t="n">
        <v>21</v>
      </c>
      <c r="AB992" s="0" t="s">
        <v>298</v>
      </c>
      <c r="AD992" s="0" t="n">
        <v>0</v>
      </c>
      <c r="AE992" s="0" t="s">
        <v>295</v>
      </c>
      <c r="AH992" s="0" t="n">
        <v>11</v>
      </c>
      <c r="AJ992" s="0" t="n">
        <v>41</v>
      </c>
      <c r="AP992" s="0" t="n">
        <v>118000</v>
      </c>
      <c r="DB992" s="0" t="str">
        <f aca="false">IF($A992="","",IF($AH992=20,IF(AND(OR($A992=21,$A992=215),$AJ992=10),"①病院一般",IF(AND($A992=31,$AJ992=41),"②病院短期","対象外")),IF($AJ992=30,"③特定消防",IF(AND(OR($A992=21,$A992=215),$AJ992=10),"④一般",IF(AND($A992=31,$AJ992=41),"⑤短期","対象外")))))</f>
        <v>⑤短期</v>
      </c>
      <c r="DC992" s="0" t="n">
        <f aca="false">IF($A992="","",IF($AB992&amp;""=設定!$C$4,1,0))</f>
        <v>0</v>
      </c>
    </row>
    <row r="993" customFormat="false" ht="15" hidden="false" customHeight="false" outlineLevel="0" collapsed="false">
      <c r="A993" s="0" t="n">
        <v>31</v>
      </c>
      <c r="AA993" s="0" t="n">
        <v>21</v>
      </c>
      <c r="AB993" s="0" t="s">
        <v>96</v>
      </c>
      <c r="AD993" s="0" t="n">
        <v>0</v>
      </c>
      <c r="AE993" s="0" t="s">
        <v>295</v>
      </c>
      <c r="AH993" s="0" t="n">
        <v>11</v>
      </c>
      <c r="AJ993" s="0" t="n">
        <v>41</v>
      </c>
      <c r="AP993" s="0" t="n">
        <v>104000</v>
      </c>
      <c r="DB993" s="0" t="str">
        <f aca="false">IF($A993="","",IF($AH993=20,IF(AND(OR($A993=21,$A993=215),$AJ993=10),"①病院一般",IF(AND($A993=31,$AJ993=41),"②病院短期","対象外")),IF($AJ993=30,"③特定消防",IF(AND(OR($A993=21,$A993=215),$AJ993=10),"④一般",IF(AND($A993=31,$AJ993=41),"⑤短期","対象外")))))</f>
        <v>⑤短期</v>
      </c>
      <c r="DC993" s="0" t="n">
        <f aca="false">IF($A993="","",IF($AB993&amp;""=設定!$C$4,1,0))</f>
        <v>1</v>
      </c>
    </row>
    <row r="994" customFormat="false" ht="15" hidden="false" customHeight="false" outlineLevel="0" collapsed="false">
      <c r="A994" s="0" t="n">
        <v>31</v>
      </c>
      <c r="AA994" s="0" t="n">
        <v>24</v>
      </c>
      <c r="AB994" s="0" t="s">
        <v>298</v>
      </c>
      <c r="AD994" s="0" t="n">
        <v>0</v>
      </c>
      <c r="AE994" s="0" t="s">
        <v>295</v>
      </c>
      <c r="AH994" s="0" t="n">
        <v>11</v>
      </c>
      <c r="AJ994" s="0" t="n">
        <v>41</v>
      </c>
      <c r="AP994" s="0" t="n">
        <v>150000</v>
      </c>
      <c r="DB994" s="0" t="str">
        <f aca="false">IF($A994="","",IF($AH994=20,IF(AND(OR($A994=21,$A994=215),$AJ994=10),"①病院一般",IF(AND($A994=31,$AJ994=41),"②病院短期","対象外")),IF($AJ994=30,"③特定消防",IF(AND(OR($A994=21,$A994=215),$AJ994=10),"④一般",IF(AND($A994=31,$AJ994=41),"⑤短期","対象外")))))</f>
        <v>⑤短期</v>
      </c>
      <c r="DC994" s="0" t="n">
        <f aca="false">IF($A994="","",IF($AB994&amp;""=設定!$C$4,1,0))</f>
        <v>0</v>
      </c>
    </row>
    <row r="995" customFormat="false" ht="15" hidden="false" customHeight="false" outlineLevel="0" collapsed="false">
      <c r="A995" s="0" t="n">
        <v>31</v>
      </c>
      <c r="AA995" s="0" t="n">
        <v>21</v>
      </c>
      <c r="AB995" s="0" t="s">
        <v>299</v>
      </c>
      <c r="AD995" s="0" t="n">
        <v>0</v>
      </c>
      <c r="AE995" s="0" t="s">
        <v>295</v>
      </c>
      <c r="AH995" s="0" t="n">
        <v>1</v>
      </c>
      <c r="AJ995" s="0" t="n">
        <v>41</v>
      </c>
      <c r="AP995" s="0" t="n">
        <v>190000</v>
      </c>
      <c r="DB995" s="0" t="str">
        <f aca="false">IF($A995="","",IF($AH995=20,IF(AND(OR($A995=21,$A995=215),$AJ995=10),"①病院一般",IF(AND($A995=31,$AJ995=41),"②病院短期","対象外")),IF($AJ995=30,"③特定消防",IF(AND(OR($A995=21,$A995=215),$AJ995=10),"④一般",IF(AND($A995=31,$AJ995=41),"⑤短期","対象外")))))</f>
        <v>⑤短期</v>
      </c>
      <c r="DC995" s="0" t="n">
        <f aca="false">IF($A995="","",IF($AB995&amp;""=設定!$C$4,1,0))</f>
        <v>0</v>
      </c>
    </row>
    <row r="996" customFormat="false" ht="15" hidden="false" customHeight="false" outlineLevel="0" collapsed="false">
      <c r="A996" s="0" t="n">
        <v>31</v>
      </c>
      <c r="AA996" s="0" t="n">
        <v>21</v>
      </c>
      <c r="AB996" s="0" t="s">
        <v>312</v>
      </c>
      <c r="AD996" s="0" t="n">
        <v>0</v>
      </c>
      <c r="AE996" s="0" t="s">
        <v>295</v>
      </c>
      <c r="AH996" s="0" t="n">
        <v>11</v>
      </c>
      <c r="AJ996" s="0" t="n">
        <v>41</v>
      </c>
      <c r="AP996" s="0" t="n">
        <v>68000</v>
      </c>
      <c r="DB996" s="0" t="str">
        <f aca="false">IF($A996="","",IF($AH996=20,IF(AND(OR($A996=21,$A996=215),$AJ996=10),"①病院一般",IF(AND($A996=31,$AJ996=41),"②病院短期","対象外")),IF($AJ996=30,"③特定消防",IF(AND(OR($A996=21,$A996=215),$AJ996=10),"④一般",IF(AND($A996=31,$AJ996=41),"⑤短期","対象外")))))</f>
        <v>⑤短期</v>
      </c>
      <c r="DC996" s="0" t="n">
        <f aca="false">IF($A996="","",IF($AB996&amp;""=設定!$C$4,1,0))</f>
        <v>0</v>
      </c>
    </row>
    <row r="997" customFormat="false" ht="15" hidden="false" customHeight="false" outlineLevel="0" collapsed="false">
      <c r="A997" s="0" t="n">
        <v>31</v>
      </c>
      <c r="AA997" s="0" t="n">
        <v>21</v>
      </c>
      <c r="AB997" s="0" t="s">
        <v>312</v>
      </c>
      <c r="AD997" s="0" t="n">
        <v>0</v>
      </c>
      <c r="AE997" s="0" t="s">
        <v>295</v>
      </c>
      <c r="AH997" s="0" t="n">
        <v>11</v>
      </c>
      <c r="AJ997" s="0" t="n">
        <v>41</v>
      </c>
      <c r="AP997" s="0" t="n">
        <v>68000</v>
      </c>
      <c r="DB997" s="0" t="str">
        <f aca="false">IF($A997="","",IF($AH997=20,IF(AND(OR($A997=21,$A997=215),$AJ997=10),"①病院一般",IF(AND($A997=31,$AJ997=41),"②病院短期","対象外")),IF($AJ997=30,"③特定消防",IF(AND(OR($A997=21,$A997=215),$AJ997=10),"④一般",IF(AND($A997=31,$AJ997=41),"⑤短期","対象外")))))</f>
        <v>⑤短期</v>
      </c>
      <c r="DC997" s="0" t="n">
        <f aca="false">IF($A997="","",IF($AB997&amp;""=設定!$C$4,1,0))</f>
        <v>0</v>
      </c>
    </row>
    <row r="998" customFormat="false" ht="15" hidden="false" customHeight="false" outlineLevel="0" collapsed="false">
      <c r="A998" s="0" t="n">
        <v>31</v>
      </c>
      <c r="AA998" s="0" t="n">
        <v>24</v>
      </c>
      <c r="AB998" s="0" t="s">
        <v>301</v>
      </c>
      <c r="AD998" s="0" t="n">
        <v>0</v>
      </c>
      <c r="AE998" s="0" t="s">
        <v>295</v>
      </c>
      <c r="AH998" s="0" t="n">
        <v>1</v>
      </c>
      <c r="AJ998" s="0" t="n">
        <v>41</v>
      </c>
      <c r="AP998" s="0" t="n">
        <v>142000</v>
      </c>
      <c r="DB998" s="0" t="str">
        <f aca="false">IF($A998="","",IF($AH998=20,IF(AND(OR($A998=21,$A998=215),$AJ998=10),"①病院一般",IF(AND($A998=31,$AJ998=41),"②病院短期","対象外")),IF($AJ998=30,"③特定消防",IF(AND(OR($A998=21,$A998=215),$AJ998=10),"④一般",IF(AND($A998=31,$AJ998=41),"⑤短期","対象外")))))</f>
        <v>⑤短期</v>
      </c>
      <c r="DC998" s="0" t="n">
        <f aca="false">IF($A998="","",IF($AB998&amp;""=設定!$C$4,1,0))</f>
        <v>0</v>
      </c>
    </row>
    <row r="999" customFormat="false" ht="15" hidden="false" customHeight="false" outlineLevel="0" collapsed="false">
      <c r="A999" s="0" t="n">
        <v>31</v>
      </c>
      <c r="AA999" s="0" t="n">
        <v>21</v>
      </c>
      <c r="AB999" s="0" t="s">
        <v>96</v>
      </c>
      <c r="AD999" s="0" t="n">
        <v>0</v>
      </c>
      <c r="AE999" s="0" t="s">
        <v>295</v>
      </c>
      <c r="AH999" s="0" t="n">
        <v>1</v>
      </c>
      <c r="AJ999" s="0" t="n">
        <v>41</v>
      </c>
      <c r="AP999" s="0" t="n">
        <v>200000</v>
      </c>
      <c r="DB999" s="0" t="str">
        <f aca="false">IF($A999="","",IF($AH999=20,IF(AND(OR($A999=21,$A999=215),$AJ999=10),"①病院一般",IF(AND($A999=31,$AJ999=41),"②病院短期","対象外")),IF($AJ999=30,"③特定消防",IF(AND(OR($A999=21,$A999=215),$AJ999=10),"④一般",IF(AND($A999=31,$AJ999=41),"⑤短期","対象外")))))</f>
        <v>⑤短期</v>
      </c>
      <c r="DC999" s="0" t="n">
        <f aca="false">IF($A999="","",IF($AB999&amp;""=設定!$C$4,1,0))</f>
        <v>1</v>
      </c>
    </row>
    <row r="1000" customFormat="false" ht="15" hidden="false" customHeight="false" outlineLevel="0" collapsed="false">
      <c r="A1000" s="0" t="n">
        <v>31</v>
      </c>
      <c r="AA1000" s="0" t="n">
        <v>21</v>
      </c>
      <c r="AB1000" s="0" t="s">
        <v>299</v>
      </c>
      <c r="AD1000" s="0" t="n">
        <v>0</v>
      </c>
      <c r="AE1000" s="0" t="s">
        <v>295</v>
      </c>
      <c r="AH1000" s="0" t="n">
        <v>20</v>
      </c>
      <c r="AJ1000" s="0" t="n">
        <v>41</v>
      </c>
      <c r="AP1000" s="0" t="n">
        <v>260000</v>
      </c>
      <c r="DB1000" s="0" t="str">
        <f aca="false">IF($A1000="","",IF($AH1000=20,IF(AND(OR($A1000=21,$A1000=215),$AJ1000=10),"①病院一般",IF(AND($A1000=31,$AJ1000=41),"②病院短期","対象外")),IF($AJ1000=30,"③特定消防",IF(AND(OR($A1000=21,$A1000=215),$AJ1000=10),"④一般",IF(AND($A1000=31,$AJ1000=41),"⑤短期","対象外")))))</f>
        <v>②病院短期</v>
      </c>
      <c r="DC1000" s="0" t="n">
        <f aca="false">IF($A1000="","",IF($AB1000&amp;""=設定!$C$4,1,0))</f>
        <v>0</v>
      </c>
    </row>
    <row r="1001" customFormat="false" ht="15" hidden="false" customHeight="false" outlineLevel="0" collapsed="false">
      <c r="A1001" s="0" t="n">
        <v>31</v>
      </c>
      <c r="AA1001" s="0" t="n">
        <v>24</v>
      </c>
      <c r="AB1001" s="0" t="s">
        <v>303</v>
      </c>
      <c r="AD1001" s="0" t="n">
        <v>0</v>
      </c>
      <c r="AE1001" s="0" t="s">
        <v>295</v>
      </c>
      <c r="AH1001" s="0" t="n">
        <v>1</v>
      </c>
      <c r="AJ1001" s="0" t="n">
        <v>41</v>
      </c>
      <c r="AP1001" s="0" t="n">
        <v>118000</v>
      </c>
      <c r="DB1001" s="0" t="str">
        <f aca="false">IF($A1001="","",IF($AH1001=20,IF(AND(OR($A1001=21,$A1001=215),$AJ1001=10),"①病院一般",IF(AND($A1001=31,$AJ1001=41),"②病院短期","対象外")),IF($AJ1001=30,"③特定消防",IF(AND(OR($A1001=21,$A1001=215),$AJ1001=10),"④一般",IF(AND($A1001=31,$AJ1001=41),"⑤短期","対象外")))))</f>
        <v>⑤短期</v>
      </c>
      <c r="DC1001" s="0" t="n">
        <f aca="false">IF($A1001="","",IF($AB1001&amp;""=設定!$C$4,1,0))</f>
        <v>0</v>
      </c>
    </row>
    <row r="1002" customFormat="false" ht="15" hidden="false" customHeight="false" outlineLevel="0" collapsed="false">
      <c r="A1002" s="0" t="n">
        <v>31</v>
      </c>
      <c r="AA1002" s="0" t="n">
        <v>24</v>
      </c>
      <c r="AB1002" s="0" t="s">
        <v>96</v>
      </c>
      <c r="AD1002" s="0" t="n">
        <v>0</v>
      </c>
      <c r="AE1002" s="0" t="s">
        <v>295</v>
      </c>
      <c r="AH1002" s="0" t="n">
        <v>1</v>
      </c>
      <c r="AJ1002" s="0" t="n">
        <v>41</v>
      </c>
      <c r="AP1002" s="0" t="n">
        <v>190000</v>
      </c>
      <c r="DB1002" s="0" t="str">
        <f aca="false">IF($A1002="","",IF($AH1002=20,IF(AND(OR($A1002=21,$A1002=215),$AJ1002=10),"①病院一般",IF(AND($A1002=31,$AJ1002=41),"②病院短期","対象外")),IF($AJ1002=30,"③特定消防",IF(AND(OR($A1002=21,$A1002=215),$AJ1002=10),"④一般",IF(AND($A1002=31,$AJ1002=41),"⑤短期","対象外")))))</f>
        <v>⑤短期</v>
      </c>
      <c r="DC1002" s="0" t="n">
        <f aca="false">IF($A1002="","",IF($AB1002&amp;""=設定!$C$4,1,0))</f>
        <v>1</v>
      </c>
    </row>
    <row r="1003" customFormat="false" ht="15" hidden="false" customHeight="false" outlineLevel="0" collapsed="false">
      <c r="A1003" s="0" t="n">
        <v>31</v>
      </c>
      <c r="AA1003" s="0" t="n">
        <v>21</v>
      </c>
      <c r="AB1003" s="0" t="s">
        <v>298</v>
      </c>
      <c r="AD1003" s="0" t="n">
        <v>0</v>
      </c>
      <c r="AE1003" s="0" t="s">
        <v>295</v>
      </c>
      <c r="AH1003" s="0" t="n">
        <v>11</v>
      </c>
      <c r="AJ1003" s="0" t="n">
        <v>41</v>
      </c>
      <c r="AP1003" s="0" t="n">
        <v>98000</v>
      </c>
      <c r="DB1003" s="0" t="str">
        <f aca="false">IF($A1003="","",IF($AH1003=20,IF(AND(OR($A1003=21,$A1003=215),$AJ1003=10),"①病院一般",IF(AND($A1003=31,$AJ1003=41),"②病院短期","対象外")),IF($AJ1003=30,"③特定消防",IF(AND(OR($A1003=21,$A1003=215),$AJ1003=10),"④一般",IF(AND($A1003=31,$AJ1003=41),"⑤短期","対象外")))))</f>
        <v>⑤短期</v>
      </c>
      <c r="DC1003" s="0" t="n">
        <f aca="false">IF($A1003="","",IF($AB1003&amp;""=設定!$C$4,1,0))</f>
        <v>0</v>
      </c>
    </row>
    <row r="1004" customFormat="false" ht="15" hidden="false" customHeight="false" outlineLevel="0" collapsed="false">
      <c r="A1004" s="0" t="n">
        <v>31</v>
      </c>
      <c r="AA1004" s="0" t="n">
        <v>21</v>
      </c>
      <c r="AB1004" s="0" t="s">
        <v>323</v>
      </c>
      <c r="AD1004" s="0" t="n">
        <v>0</v>
      </c>
      <c r="AE1004" s="0" t="s">
        <v>295</v>
      </c>
      <c r="AH1004" s="0" t="n">
        <v>11</v>
      </c>
      <c r="AJ1004" s="0" t="n">
        <v>41</v>
      </c>
      <c r="AP1004" s="0" t="n">
        <v>240000</v>
      </c>
      <c r="DB1004" s="0" t="str">
        <f aca="false">IF($A1004="","",IF($AH1004=20,IF(AND(OR($A1004=21,$A1004=215),$AJ1004=10),"①病院一般",IF(AND($A1004=31,$AJ1004=41),"②病院短期","対象外")),IF($AJ1004=30,"③特定消防",IF(AND(OR($A1004=21,$A1004=215),$AJ1004=10),"④一般",IF(AND($A1004=31,$AJ1004=41),"⑤短期","対象外")))))</f>
        <v>⑤短期</v>
      </c>
      <c r="DC1004" s="0" t="n">
        <f aca="false">IF($A1004="","",IF($AB1004&amp;""=設定!$C$4,1,0))</f>
        <v>0</v>
      </c>
    </row>
    <row r="1005" customFormat="false" ht="15" hidden="false" customHeight="false" outlineLevel="0" collapsed="false">
      <c r="A1005" s="0" t="n">
        <v>31</v>
      </c>
      <c r="AA1005" s="0" t="n">
        <v>21</v>
      </c>
      <c r="AB1005" s="0" t="s">
        <v>323</v>
      </c>
      <c r="AD1005" s="0" t="n">
        <v>0</v>
      </c>
      <c r="AE1005" s="0" t="s">
        <v>295</v>
      </c>
      <c r="AH1005" s="0" t="n">
        <v>11</v>
      </c>
      <c r="AJ1005" s="0" t="n">
        <v>41</v>
      </c>
      <c r="AP1005" s="0" t="n">
        <v>220000</v>
      </c>
      <c r="DB1005" s="0" t="str">
        <f aca="false">IF($A1005="","",IF($AH1005=20,IF(AND(OR($A1005=21,$A1005=215),$AJ1005=10),"①病院一般",IF(AND($A1005=31,$AJ1005=41),"②病院短期","対象外")),IF($AJ1005=30,"③特定消防",IF(AND(OR($A1005=21,$A1005=215),$AJ1005=10),"④一般",IF(AND($A1005=31,$AJ1005=41),"⑤短期","対象外")))))</f>
        <v>⑤短期</v>
      </c>
      <c r="DC1005" s="0" t="n">
        <f aca="false">IF($A1005="","",IF($AB1005&amp;""=設定!$C$4,1,0))</f>
        <v>0</v>
      </c>
    </row>
    <row r="1006" customFormat="false" ht="15" hidden="false" customHeight="false" outlineLevel="0" collapsed="false">
      <c r="A1006" s="0" t="n">
        <v>31</v>
      </c>
      <c r="AA1006" s="0" t="n">
        <v>24</v>
      </c>
      <c r="AB1006" s="0" t="s">
        <v>298</v>
      </c>
      <c r="AD1006" s="0" t="n">
        <v>0</v>
      </c>
      <c r="AE1006" s="0" t="s">
        <v>295</v>
      </c>
      <c r="AH1006" s="0" t="n">
        <v>11</v>
      </c>
      <c r="AJ1006" s="0" t="n">
        <v>41</v>
      </c>
      <c r="AP1006" s="0" t="n">
        <v>190000</v>
      </c>
      <c r="DB1006" s="0" t="str">
        <f aca="false">IF($A1006="","",IF($AH1006=20,IF(AND(OR($A1006=21,$A1006=215),$AJ1006=10),"①病院一般",IF(AND($A1006=31,$AJ1006=41),"②病院短期","対象外")),IF($AJ1006=30,"③特定消防",IF(AND(OR($A1006=21,$A1006=215),$AJ1006=10),"④一般",IF(AND($A1006=31,$AJ1006=41),"⑤短期","対象外")))))</f>
        <v>⑤短期</v>
      </c>
      <c r="DC1006" s="0" t="n">
        <f aca="false">IF($A1006="","",IF($AB1006&amp;""=設定!$C$4,1,0))</f>
        <v>0</v>
      </c>
    </row>
    <row r="1007" customFormat="false" ht="15" hidden="false" customHeight="false" outlineLevel="0" collapsed="false">
      <c r="A1007" s="0" t="n">
        <v>31</v>
      </c>
      <c r="AA1007" s="0" t="n">
        <v>21</v>
      </c>
      <c r="AB1007" s="0" t="s">
        <v>96</v>
      </c>
      <c r="AD1007" s="0" t="n">
        <v>12</v>
      </c>
      <c r="AE1007" s="0" t="s">
        <v>301</v>
      </c>
      <c r="AH1007" s="0" t="n">
        <v>1</v>
      </c>
      <c r="AJ1007" s="0" t="n">
        <v>41</v>
      </c>
      <c r="AP1007" s="0" t="n">
        <v>142000</v>
      </c>
      <c r="DB1007" s="0" t="str">
        <f aca="false">IF($A1007="","",IF($AH1007=20,IF(AND(OR($A1007=21,$A1007=215),$AJ1007=10),"①病院一般",IF(AND($A1007=31,$AJ1007=41),"②病院短期","対象外")),IF($AJ1007=30,"③特定消防",IF(AND(OR($A1007=21,$A1007=215),$AJ1007=10),"④一般",IF(AND($A1007=31,$AJ1007=41),"⑤短期","対象外")))))</f>
        <v>⑤短期</v>
      </c>
      <c r="DC1007" s="0" t="n">
        <f aca="false">IF($A1007="","",IF($AB1007&amp;""=設定!$C$4,1,0))</f>
        <v>1</v>
      </c>
    </row>
    <row r="1008" customFormat="false" ht="15" hidden="false" customHeight="false" outlineLevel="0" collapsed="false">
      <c r="A1008" s="0" t="n">
        <v>31</v>
      </c>
      <c r="AA1008" s="0" t="n">
        <v>21</v>
      </c>
      <c r="AB1008" s="0" t="s">
        <v>312</v>
      </c>
      <c r="AD1008" s="0" t="n">
        <v>0</v>
      </c>
      <c r="AE1008" s="0" t="s">
        <v>295</v>
      </c>
      <c r="AH1008" s="0" t="n">
        <v>11</v>
      </c>
      <c r="AJ1008" s="0" t="n">
        <v>41</v>
      </c>
      <c r="AP1008" s="0" t="n">
        <v>58000</v>
      </c>
      <c r="DB1008" s="0" t="str">
        <f aca="false">IF($A1008="","",IF($AH1008=20,IF(AND(OR($A1008=21,$A1008=215),$AJ1008=10),"①病院一般",IF(AND($A1008=31,$AJ1008=41),"②病院短期","対象外")),IF($AJ1008=30,"③特定消防",IF(AND(OR($A1008=21,$A1008=215),$AJ1008=10),"④一般",IF(AND($A1008=31,$AJ1008=41),"⑤短期","対象外")))))</f>
        <v>⑤短期</v>
      </c>
      <c r="DC1008" s="0" t="n">
        <f aca="false">IF($A1008="","",IF($AB1008&amp;""=設定!$C$4,1,0))</f>
        <v>0</v>
      </c>
    </row>
    <row r="1009" customFormat="false" ht="15" hidden="false" customHeight="false" outlineLevel="0" collapsed="false">
      <c r="A1009" s="0" t="n">
        <v>31</v>
      </c>
      <c r="AA1009" s="0" t="n">
        <v>21</v>
      </c>
      <c r="AB1009" s="0" t="s">
        <v>96</v>
      </c>
      <c r="AD1009" s="0" t="n">
        <v>0</v>
      </c>
      <c r="AE1009" s="0" t="s">
        <v>295</v>
      </c>
      <c r="AH1009" s="0" t="n">
        <v>1</v>
      </c>
      <c r="AJ1009" s="0" t="n">
        <v>41</v>
      </c>
      <c r="AP1009" s="0" t="n">
        <v>134000</v>
      </c>
      <c r="DB1009" s="0" t="str">
        <f aca="false">IF($A1009="","",IF($AH1009=20,IF(AND(OR($A1009=21,$A1009=215),$AJ1009=10),"①病院一般",IF(AND($A1009=31,$AJ1009=41),"②病院短期","対象外")),IF($AJ1009=30,"③特定消防",IF(AND(OR($A1009=21,$A1009=215),$AJ1009=10),"④一般",IF(AND($A1009=31,$AJ1009=41),"⑤短期","対象外")))))</f>
        <v>⑤短期</v>
      </c>
      <c r="DC1009" s="0" t="n">
        <f aca="false">IF($A1009="","",IF($AB1009&amp;""=設定!$C$4,1,0))</f>
        <v>1</v>
      </c>
    </row>
    <row r="1010" customFormat="false" ht="15" hidden="false" customHeight="false" outlineLevel="0" collapsed="false">
      <c r="A1010" s="0" t="n">
        <v>31</v>
      </c>
      <c r="AA1010" s="0" t="n">
        <v>24</v>
      </c>
      <c r="AB1010" s="0" t="s">
        <v>303</v>
      </c>
      <c r="AD1010" s="0" t="n">
        <v>0</v>
      </c>
      <c r="AE1010" s="0" t="s">
        <v>295</v>
      </c>
      <c r="AH1010" s="0" t="n">
        <v>11</v>
      </c>
      <c r="AJ1010" s="0" t="n">
        <v>41</v>
      </c>
      <c r="AP1010" s="0" t="n">
        <v>200000</v>
      </c>
      <c r="DB1010" s="0" t="str">
        <f aca="false">IF($A1010="","",IF($AH1010=20,IF(AND(OR($A1010=21,$A1010=215),$AJ1010=10),"①病院一般",IF(AND($A1010=31,$AJ1010=41),"②病院短期","対象外")),IF($AJ1010=30,"③特定消防",IF(AND(OR($A1010=21,$A1010=215),$AJ1010=10),"④一般",IF(AND($A1010=31,$AJ1010=41),"⑤短期","対象外")))))</f>
        <v>⑤短期</v>
      </c>
      <c r="DC1010" s="0" t="n">
        <f aca="false">IF($A1010="","",IF($AB1010&amp;""=設定!$C$4,1,0))</f>
        <v>0</v>
      </c>
    </row>
    <row r="1011" customFormat="false" ht="15" hidden="false" customHeight="false" outlineLevel="0" collapsed="false">
      <c r="A1011" s="0" t="n">
        <v>31</v>
      </c>
      <c r="AA1011" s="0" t="n">
        <v>21</v>
      </c>
      <c r="AB1011" s="0" t="s">
        <v>296</v>
      </c>
      <c r="AD1011" s="0" t="n">
        <v>12</v>
      </c>
      <c r="AE1011" s="0" t="s">
        <v>301</v>
      </c>
      <c r="AH1011" s="0" t="n">
        <v>1</v>
      </c>
      <c r="AJ1011" s="0" t="n">
        <v>41</v>
      </c>
      <c r="AP1011" s="0" t="n">
        <v>104000</v>
      </c>
      <c r="DB1011" s="0" t="str">
        <f aca="false">IF($A1011="","",IF($AH1011=20,IF(AND(OR($A1011=21,$A1011=215),$AJ1011=10),"①病院一般",IF(AND($A1011=31,$AJ1011=41),"②病院短期","対象外")),IF($AJ1011=30,"③特定消防",IF(AND(OR($A1011=21,$A1011=215),$AJ1011=10),"④一般",IF(AND($A1011=31,$AJ1011=41),"⑤短期","対象外")))))</f>
        <v>⑤短期</v>
      </c>
      <c r="DC1011" s="0" t="n">
        <f aca="false">IF($A1011="","",IF($AB1011&amp;""=設定!$C$4,1,0))</f>
        <v>0</v>
      </c>
    </row>
    <row r="1012" customFormat="false" ht="15" hidden="false" customHeight="false" outlineLevel="0" collapsed="false">
      <c r="A1012" s="0" t="n">
        <v>31</v>
      </c>
      <c r="AA1012" s="0" t="n">
        <v>21</v>
      </c>
      <c r="AB1012" s="0" t="s">
        <v>296</v>
      </c>
      <c r="AD1012" s="0" t="n">
        <v>0</v>
      </c>
      <c r="AE1012" s="0" t="s">
        <v>295</v>
      </c>
      <c r="AH1012" s="0" t="n">
        <v>1</v>
      </c>
      <c r="AJ1012" s="0" t="n">
        <v>41</v>
      </c>
      <c r="AP1012" s="0" t="n">
        <v>150000</v>
      </c>
      <c r="DB1012" s="0" t="str">
        <f aca="false">IF($A1012="","",IF($AH1012=20,IF(AND(OR($A1012=21,$A1012=215),$AJ1012=10),"①病院一般",IF(AND($A1012=31,$AJ1012=41),"②病院短期","対象外")),IF($AJ1012=30,"③特定消防",IF(AND(OR($A1012=21,$A1012=215),$AJ1012=10),"④一般",IF(AND($A1012=31,$AJ1012=41),"⑤短期","対象外")))))</f>
        <v>⑤短期</v>
      </c>
      <c r="DC1012" s="0" t="n">
        <f aca="false">IF($A1012="","",IF($AB1012&amp;""=設定!$C$4,1,0))</f>
        <v>0</v>
      </c>
    </row>
    <row r="1013" customFormat="false" ht="15" hidden="false" customHeight="false" outlineLevel="0" collapsed="false">
      <c r="A1013" s="0" t="n">
        <v>31</v>
      </c>
      <c r="AA1013" s="0" t="n">
        <v>21</v>
      </c>
      <c r="AB1013" s="0" t="s">
        <v>96</v>
      </c>
      <c r="AD1013" s="0" t="n">
        <v>12</v>
      </c>
      <c r="AE1013" s="0" t="s">
        <v>296</v>
      </c>
      <c r="AH1013" s="0" t="n">
        <v>1</v>
      </c>
      <c r="AJ1013" s="0" t="n">
        <v>41</v>
      </c>
      <c r="AP1013" s="0" t="n">
        <v>134000</v>
      </c>
      <c r="DB1013" s="0" t="str">
        <f aca="false">IF($A1013="","",IF($AH1013=20,IF(AND(OR($A1013=21,$A1013=215),$AJ1013=10),"①病院一般",IF(AND($A1013=31,$AJ1013=41),"②病院短期","対象外")),IF($AJ1013=30,"③特定消防",IF(AND(OR($A1013=21,$A1013=215),$AJ1013=10),"④一般",IF(AND($A1013=31,$AJ1013=41),"⑤短期","対象外")))))</f>
        <v>⑤短期</v>
      </c>
      <c r="DC1013" s="0" t="n">
        <f aca="false">IF($A1013="","",IF($AB1013&amp;""=設定!$C$4,1,0))</f>
        <v>1</v>
      </c>
    </row>
    <row r="1014" customFormat="false" ht="15" hidden="false" customHeight="false" outlineLevel="0" collapsed="false">
      <c r="A1014" s="0" t="n">
        <v>31</v>
      </c>
      <c r="AA1014" s="0" t="n">
        <v>21</v>
      </c>
      <c r="AB1014" s="0" t="s">
        <v>346</v>
      </c>
      <c r="AD1014" s="0" t="n">
        <v>0</v>
      </c>
      <c r="AE1014" s="0" t="s">
        <v>295</v>
      </c>
      <c r="AH1014" s="0" t="n">
        <v>1</v>
      </c>
      <c r="AJ1014" s="0" t="n">
        <v>41</v>
      </c>
      <c r="AP1014" s="0" t="n">
        <v>142000</v>
      </c>
      <c r="DB1014" s="0" t="str">
        <f aca="false">IF($A1014="","",IF($AH1014=20,IF(AND(OR($A1014=21,$A1014=215),$AJ1014=10),"①病院一般",IF(AND($A1014=31,$AJ1014=41),"②病院短期","対象外")),IF($AJ1014=30,"③特定消防",IF(AND(OR($A1014=21,$A1014=215),$AJ1014=10),"④一般",IF(AND($A1014=31,$AJ1014=41),"⑤短期","対象外")))))</f>
        <v>⑤短期</v>
      </c>
      <c r="DC1014" s="0" t="n">
        <f aca="false">IF($A1014="","",IF($AB1014&amp;""=設定!$C$4,1,0))</f>
        <v>0</v>
      </c>
    </row>
    <row r="1015" customFormat="false" ht="15" hidden="false" customHeight="false" outlineLevel="0" collapsed="false">
      <c r="A1015" s="0" t="n">
        <v>31</v>
      </c>
      <c r="AA1015" s="0" t="n">
        <v>24</v>
      </c>
      <c r="AB1015" s="0" t="s">
        <v>347</v>
      </c>
      <c r="AD1015" s="0" t="n">
        <v>12</v>
      </c>
      <c r="AE1015" s="0" t="s">
        <v>348</v>
      </c>
      <c r="AH1015" s="0" t="n">
        <v>1</v>
      </c>
      <c r="AJ1015" s="0" t="n">
        <v>41</v>
      </c>
      <c r="AP1015" s="0" t="n">
        <v>142000</v>
      </c>
      <c r="DB1015" s="0" t="str">
        <f aca="false">IF($A1015="","",IF($AH1015=20,IF(AND(OR($A1015=21,$A1015=215),$AJ1015=10),"①病院一般",IF(AND($A1015=31,$AJ1015=41),"②病院短期","対象外")),IF($AJ1015=30,"③特定消防",IF(AND(OR($A1015=21,$A1015=215),$AJ1015=10),"④一般",IF(AND($A1015=31,$AJ1015=41),"⑤短期","対象外")))))</f>
        <v>⑤短期</v>
      </c>
      <c r="DC1015" s="0" t="n">
        <f aca="false">IF($A1015="","",IF($AB1015&amp;""=設定!$C$4,1,0))</f>
        <v>0</v>
      </c>
    </row>
    <row r="1016" customFormat="false" ht="15" hidden="false" customHeight="false" outlineLevel="0" collapsed="false">
      <c r="A1016" s="0" t="n">
        <v>31</v>
      </c>
      <c r="AA1016" s="0" t="n">
        <v>21</v>
      </c>
      <c r="AB1016" s="0" t="s">
        <v>96</v>
      </c>
      <c r="AD1016" s="0" t="n">
        <v>0</v>
      </c>
      <c r="AE1016" s="0" t="s">
        <v>295</v>
      </c>
      <c r="AH1016" s="0" t="n">
        <v>1</v>
      </c>
      <c r="AJ1016" s="0" t="n">
        <v>41</v>
      </c>
      <c r="AP1016" s="0" t="n">
        <v>142000</v>
      </c>
      <c r="DB1016" s="0" t="str">
        <f aca="false">IF($A1016="","",IF($AH1016=20,IF(AND(OR($A1016=21,$A1016=215),$AJ1016=10),"①病院一般",IF(AND($A1016=31,$AJ1016=41),"②病院短期","対象外")),IF($AJ1016=30,"③特定消防",IF(AND(OR($A1016=21,$A1016=215),$AJ1016=10),"④一般",IF(AND($A1016=31,$AJ1016=41),"⑤短期","対象外")))))</f>
        <v>⑤短期</v>
      </c>
      <c r="DC1016" s="0" t="n">
        <f aca="false">IF($A1016="","",IF($AB1016&amp;""=設定!$C$4,1,0))</f>
        <v>1</v>
      </c>
    </row>
    <row r="1017" customFormat="false" ht="15" hidden="false" customHeight="false" outlineLevel="0" collapsed="false">
      <c r="A1017" s="0" t="n">
        <v>31</v>
      </c>
      <c r="AA1017" s="0" t="n">
        <v>21</v>
      </c>
      <c r="AB1017" s="0" t="s">
        <v>96</v>
      </c>
      <c r="AD1017" s="0" t="n">
        <v>0</v>
      </c>
      <c r="AE1017" s="0" t="s">
        <v>295</v>
      </c>
      <c r="AH1017" s="0" t="n">
        <v>11</v>
      </c>
      <c r="AJ1017" s="0" t="n">
        <v>41</v>
      </c>
      <c r="AP1017" s="0" t="n">
        <v>190000</v>
      </c>
      <c r="DB1017" s="0" t="str">
        <f aca="false">IF($A1017="","",IF($AH1017=20,IF(AND(OR($A1017=21,$A1017=215),$AJ1017=10),"①病院一般",IF(AND($A1017=31,$AJ1017=41),"②病院短期","対象外")),IF($AJ1017=30,"③特定消防",IF(AND(OR($A1017=21,$A1017=215),$AJ1017=10),"④一般",IF(AND($A1017=31,$AJ1017=41),"⑤短期","対象外")))))</f>
        <v>⑤短期</v>
      </c>
      <c r="DC1017" s="0" t="n">
        <f aca="false">IF($A1017="","",IF($AB1017&amp;""=設定!$C$4,1,0))</f>
        <v>1</v>
      </c>
    </row>
    <row r="1018" customFormat="false" ht="15" hidden="false" customHeight="false" outlineLevel="0" collapsed="false">
      <c r="A1018" s="0" t="n">
        <v>31</v>
      </c>
      <c r="AA1018" s="0" t="n">
        <v>21</v>
      </c>
      <c r="AB1018" s="0" t="s">
        <v>96</v>
      </c>
      <c r="AD1018" s="0" t="n">
        <v>0</v>
      </c>
      <c r="AE1018" s="0" t="s">
        <v>295</v>
      </c>
      <c r="AH1018" s="0" t="n">
        <v>1</v>
      </c>
      <c r="AJ1018" s="0" t="n">
        <v>41</v>
      </c>
      <c r="AP1018" s="0" t="n">
        <v>118000</v>
      </c>
      <c r="DB1018" s="0" t="str">
        <f aca="false">IF($A1018="","",IF($AH1018=20,IF(AND(OR($A1018=21,$A1018=215),$AJ1018=10),"①病院一般",IF(AND($A1018=31,$AJ1018=41),"②病院短期","対象外")),IF($AJ1018=30,"③特定消防",IF(AND(OR($A1018=21,$A1018=215),$AJ1018=10),"④一般",IF(AND($A1018=31,$AJ1018=41),"⑤短期","対象外")))))</f>
        <v>⑤短期</v>
      </c>
      <c r="DC1018" s="0" t="n">
        <f aca="false">IF($A1018="","",IF($AB1018&amp;""=設定!$C$4,1,0))</f>
        <v>1</v>
      </c>
    </row>
    <row r="1019" customFormat="false" ht="15" hidden="false" customHeight="false" outlineLevel="0" collapsed="false">
      <c r="A1019" s="0" t="n">
        <v>31</v>
      </c>
      <c r="AA1019" s="0" t="n">
        <v>21</v>
      </c>
      <c r="AB1019" s="0" t="s">
        <v>349</v>
      </c>
      <c r="AD1019" s="0" t="n">
        <v>12</v>
      </c>
      <c r="AE1019" s="0" t="s">
        <v>296</v>
      </c>
      <c r="AH1019" s="0" t="n">
        <v>1</v>
      </c>
      <c r="AJ1019" s="0" t="n">
        <v>41</v>
      </c>
      <c r="AP1019" s="0" t="n">
        <v>142000</v>
      </c>
      <c r="DB1019" s="0" t="str">
        <f aca="false">IF($A1019="","",IF($AH1019=20,IF(AND(OR($A1019=21,$A1019=215),$AJ1019=10),"①病院一般",IF(AND($A1019=31,$AJ1019=41),"②病院短期","対象外")),IF($AJ1019=30,"③特定消防",IF(AND(OR($A1019=21,$A1019=215),$AJ1019=10),"④一般",IF(AND($A1019=31,$AJ1019=41),"⑤短期","対象外")))))</f>
        <v>⑤短期</v>
      </c>
      <c r="DC1019" s="0" t="n">
        <f aca="false">IF($A1019="","",IF($AB1019&amp;""=設定!$C$4,1,0))</f>
        <v>0</v>
      </c>
    </row>
    <row r="1020" customFormat="false" ht="15" hidden="false" customHeight="false" outlineLevel="0" collapsed="false">
      <c r="A1020" s="0" t="n">
        <v>31</v>
      </c>
      <c r="AA1020" s="0" t="n">
        <v>21</v>
      </c>
      <c r="AB1020" s="0" t="s">
        <v>96</v>
      </c>
      <c r="AD1020" s="0" t="n">
        <v>0</v>
      </c>
      <c r="AE1020" s="0" t="s">
        <v>295</v>
      </c>
      <c r="AH1020" s="0" t="n">
        <v>11</v>
      </c>
      <c r="AJ1020" s="0" t="n">
        <v>41</v>
      </c>
      <c r="AP1020" s="0" t="n">
        <v>180000</v>
      </c>
      <c r="DB1020" s="0" t="str">
        <f aca="false">IF($A1020="","",IF($AH1020=20,IF(AND(OR($A1020=21,$A1020=215),$AJ1020=10),"①病院一般",IF(AND($A1020=31,$AJ1020=41),"②病院短期","対象外")),IF($AJ1020=30,"③特定消防",IF(AND(OR($A1020=21,$A1020=215),$AJ1020=10),"④一般",IF(AND($A1020=31,$AJ1020=41),"⑤短期","対象外")))))</f>
        <v>⑤短期</v>
      </c>
      <c r="DC1020" s="0" t="n">
        <f aca="false">IF($A1020="","",IF($AB1020&amp;""=設定!$C$4,1,0))</f>
        <v>1</v>
      </c>
    </row>
    <row r="1021" customFormat="false" ht="15" hidden="false" customHeight="false" outlineLevel="0" collapsed="false">
      <c r="A1021" s="0" t="n">
        <v>31</v>
      </c>
      <c r="AA1021" s="0" t="n">
        <v>21</v>
      </c>
      <c r="AB1021" s="0" t="s">
        <v>96</v>
      </c>
      <c r="AD1021" s="0" t="n">
        <v>0</v>
      </c>
      <c r="AE1021" s="0" t="s">
        <v>295</v>
      </c>
      <c r="AH1021" s="0" t="n">
        <v>1</v>
      </c>
      <c r="AJ1021" s="0" t="n">
        <v>41</v>
      </c>
      <c r="AP1021" s="0" t="n">
        <v>260000</v>
      </c>
      <c r="DB1021" s="0" t="str">
        <f aca="false">IF($A1021="","",IF($AH1021=20,IF(AND(OR($A1021=21,$A1021=215),$AJ1021=10),"①病院一般",IF(AND($A1021=31,$AJ1021=41),"②病院短期","対象外")),IF($AJ1021=30,"③特定消防",IF(AND(OR($A1021=21,$A1021=215),$AJ1021=10),"④一般",IF(AND($A1021=31,$AJ1021=41),"⑤短期","対象外")))))</f>
        <v>⑤短期</v>
      </c>
      <c r="DC1021" s="0" t="n">
        <f aca="false">IF($A1021="","",IF($AB1021&amp;""=設定!$C$4,1,0))</f>
        <v>1</v>
      </c>
    </row>
    <row r="1022" customFormat="false" ht="15" hidden="false" customHeight="false" outlineLevel="0" collapsed="false">
      <c r="A1022" s="0" t="n">
        <v>31</v>
      </c>
      <c r="AA1022" s="0" t="n">
        <v>21</v>
      </c>
      <c r="AB1022" s="0" t="s">
        <v>96</v>
      </c>
      <c r="AD1022" s="0" t="n">
        <v>0</v>
      </c>
      <c r="AE1022" s="0" t="s">
        <v>295</v>
      </c>
      <c r="AH1022" s="0" t="n">
        <v>1</v>
      </c>
      <c r="AJ1022" s="0" t="n">
        <v>41</v>
      </c>
      <c r="AP1022" s="0" t="n">
        <v>134000</v>
      </c>
      <c r="DB1022" s="0" t="str">
        <f aca="false">IF($A1022="","",IF($AH1022=20,IF(AND(OR($A1022=21,$A1022=215),$AJ1022=10),"①病院一般",IF(AND($A1022=31,$AJ1022=41),"②病院短期","対象外")),IF($AJ1022=30,"③特定消防",IF(AND(OR($A1022=21,$A1022=215),$AJ1022=10),"④一般",IF(AND($A1022=31,$AJ1022=41),"⑤短期","対象外")))))</f>
        <v>⑤短期</v>
      </c>
      <c r="DC1022" s="0" t="n">
        <f aca="false">IF($A1022="","",IF($AB1022&amp;""=設定!$C$4,1,0))</f>
        <v>1</v>
      </c>
    </row>
    <row r="1023" customFormat="false" ht="15" hidden="false" customHeight="false" outlineLevel="0" collapsed="false">
      <c r="A1023" s="0" t="n">
        <v>31</v>
      </c>
      <c r="AA1023" s="0" t="n">
        <v>21</v>
      </c>
      <c r="AB1023" s="0" t="s">
        <v>96</v>
      </c>
      <c r="AD1023" s="0" t="n">
        <v>0</v>
      </c>
      <c r="AE1023" s="0" t="s">
        <v>295</v>
      </c>
      <c r="AH1023" s="0" t="n">
        <v>1</v>
      </c>
      <c r="AJ1023" s="0" t="n">
        <v>41</v>
      </c>
      <c r="AP1023" s="0" t="n">
        <v>220000</v>
      </c>
      <c r="DB1023" s="0" t="str">
        <f aca="false">IF($A1023="","",IF($AH1023=20,IF(AND(OR($A1023=21,$A1023=215),$AJ1023=10),"①病院一般",IF(AND($A1023=31,$AJ1023=41),"②病院短期","対象外")),IF($AJ1023=30,"③特定消防",IF(AND(OR($A1023=21,$A1023=215),$AJ1023=10),"④一般",IF(AND($A1023=31,$AJ1023=41),"⑤短期","対象外")))))</f>
        <v>⑤短期</v>
      </c>
      <c r="DC1023" s="0" t="n">
        <f aca="false">IF($A1023="","",IF($AB1023&amp;""=設定!$C$4,1,0))</f>
        <v>1</v>
      </c>
    </row>
    <row r="1024" customFormat="false" ht="15" hidden="false" customHeight="false" outlineLevel="0" collapsed="false">
      <c r="A1024" s="0" t="n">
        <v>31</v>
      </c>
      <c r="AA1024" s="0" t="n">
        <v>21</v>
      </c>
      <c r="AB1024" s="0" t="s">
        <v>301</v>
      </c>
      <c r="AD1024" s="0" t="n">
        <v>0</v>
      </c>
      <c r="AE1024" s="0" t="s">
        <v>295</v>
      </c>
      <c r="AH1024" s="0" t="n">
        <v>11</v>
      </c>
      <c r="AJ1024" s="0" t="n">
        <v>41</v>
      </c>
      <c r="AP1024" s="0" t="n">
        <v>98000</v>
      </c>
      <c r="DB1024" s="0" t="str">
        <f aca="false">IF($A1024="","",IF($AH1024=20,IF(AND(OR($A1024=21,$A1024=215),$AJ1024=10),"①病院一般",IF(AND($A1024=31,$AJ1024=41),"②病院短期","対象外")),IF($AJ1024=30,"③特定消防",IF(AND(OR($A1024=21,$A1024=215),$AJ1024=10),"④一般",IF(AND($A1024=31,$AJ1024=41),"⑤短期","対象外")))))</f>
        <v>⑤短期</v>
      </c>
      <c r="DC1024" s="0" t="n">
        <f aca="false">IF($A1024="","",IF($AB1024&amp;""=設定!$C$4,1,0))</f>
        <v>0</v>
      </c>
    </row>
    <row r="1025" customFormat="false" ht="15" hidden="false" customHeight="false" outlineLevel="0" collapsed="false">
      <c r="A1025" s="0" t="n">
        <v>31</v>
      </c>
      <c r="AA1025" s="0" t="n">
        <v>21</v>
      </c>
      <c r="AB1025" s="0" t="s">
        <v>96</v>
      </c>
      <c r="AD1025" s="0" t="n">
        <v>0</v>
      </c>
      <c r="AE1025" s="0" t="s">
        <v>295</v>
      </c>
      <c r="AH1025" s="0" t="n">
        <v>1</v>
      </c>
      <c r="AJ1025" s="0" t="n">
        <v>41</v>
      </c>
      <c r="AP1025" s="0" t="n">
        <v>260000</v>
      </c>
      <c r="DB1025" s="0" t="str">
        <f aca="false">IF($A1025="","",IF($AH1025=20,IF(AND(OR($A1025=21,$A1025=215),$AJ1025=10),"①病院一般",IF(AND($A1025=31,$AJ1025=41),"②病院短期","対象外")),IF($AJ1025=30,"③特定消防",IF(AND(OR($A1025=21,$A1025=215),$AJ1025=10),"④一般",IF(AND($A1025=31,$AJ1025=41),"⑤短期","対象外")))))</f>
        <v>⑤短期</v>
      </c>
      <c r="DC1025" s="0" t="n">
        <f aca="false">IF($A1025="","",IF($AB1025&amp;""=設定!$C$4,1,0))</f>
        <v>1</v>
      </c>
    </row>
    <row r="1026" customFormat="false" ht="15" hidden="false" customHeight="false" outlineLevel="0" collapsed="false">
      <c r="A1026" s="0" t="n">
        <v>31</v>
      </c>
      <c r="AA1026" s="0" t="n">
        <v>21</v>
      </c>
      <c r="AB1026" s="0" t="s">
        <v>350</v>
      </c>
      <c r="AD1026" s="0" t="n">
        <v>0</v>
      </c>
      <c r="AE1026" s="0" t="s">
        <v>295</v>
      </c>
      <c r="AH1026" s="0" t="n">
        <v>1</v>
      </c>
      <c r="AJ1026" s="0" t="n">
        <v>41</v>
      </c>
      <c r="AP1026" s="0" t="n">
        <v>142000</v>
      </c>
      <c r="DB1026" s="0" t="str">
        <f aca="false">IF($A1026="","",IF($AH1026=20,IF(AND(OR($A1026=21,$A1026=215),$AJ1026=10),"①病院一般",IF(AND($A1026=31,$AJ1026=41),"②病院短期","対象外")),IF($AJ1026=30,"③特定消防",IF(AND(OR($A1026=21,$A1026=215),$AJ1026=10),"④一般",IF(AND($A1026=31,$AJ1026=41),"⑤短期","対象外")))))</f>
        <v>⑤短期</v>
      </c>
      <c r="DC1026" s="0" t="n">
        <f aca="false">IF($A1026="","",IF($AB1026&amp;""=設定!$C$4,1,0))</f>
        <v>0</v>
      </c>
    </row>
    <row r="1027" customFormat="false" ht="15" hidden="false" customHeight="false" outlineLevel="0" collapsed="false">
      <c r="A1027" s="0" t="n">
        <v>31</v>
      </c>
      <c r="AA1027" s="0" t="n">
        <v>21</v>
      </c>
      <c r="AB1027" s="0" t="s">
        <v>96</v>
      </c>
      <c r="AD1027" s="0" t="n">
        <v>0</v>
      </c>
      <c r="AE1027" s="0" t="s">
        <v>295</v>
      </c>
      <c r="AH1027" s="0" t="n">
        <v>1</v>
      </c>
      <c r="AJ1027" s="0" t="n">
        <v>41</v>
      </c>
      <c r="AP1027" s="0" t="n">
        <v>134000</v>
      </c>
      <c r="DB1027" s="0" t="str">
        <f aca="false">IF($A1027="","",IF($AH1027=20,IF(AND(OR($A1027=21,$A1027=215),$AJ1027=10),"①病院一般",IF(AND($A1027=31,$AJ1027=41),"②病院短期","対象外")),IF($AJ1027=30,"③特定消防",IF(AND(OR($A1027=21,$A1027=215),$AJ1027=10),"④一般",IF(AND($A1027=31,$AJ1027=41),"⑤短期","対象外")))))</f>
        <v>⑤短期</v>
      </c>
      <c r="DC1027" s="0" t="n">
        <f aca="false">IF($A1027="","",IF($AB1027&amp;""=設定!$C$4,1,0))</f>
        <v>1</v>
      </c>
    </row>
    <row r="1028" customFormat="false" ht="15" hidden="false" customHeight="false" outlineLevel="0" collapsed="false">
      <c r="A1028" s="0" t="n">
        <v>31</v>
      </c>
      <c r="AA1028" s="0" t="n">
        <v>21</v>
      </c>
      <c r="AB1028" s="0" t="s">
        <v>96</v>
      </c>
      <c r="AD1028" s="0" t="n">
        <v>0</v>
      </c>
      <c r="AE1028" s="0" t="s">
        <v>295</v>
      </c>
      <c r="AH1028" s="0" t="n">
        <v>1</v>
      </c>
      <c r="AJ1028" s="0" t="n">
        <v>41</v>
      </c>
      <c r="AP1028" s="0" t="n">
        <v>134000</v>
      </c>
      <c r="DB1028" s="0" t="str">
        <f aca="false">IF($A1028="","",IF($AH1028=20,IF(AND(OR($A1028=21,$A1028=215),$AJ1028=10),"①病院一般",IF(AND($A1028=31,$AJ1028=41),"②病院短期","対象外")),IF($AJ1028=30,"③特定消防",IF(AND(OR($A1028=21,$A1028=215),$AJ1028=10),"④一般",IF(AND($A1028=31,$AJ1028=41),"⑤短期","対象外")))))</f>
        <v>⑤短期</v>
      </c>
      <c r="DC1028" s="0" t="n">
        <f aca="false">IF($A1028="","",IF($AB1028&amp;""=設定!$C$4,1,0))</f>
        <v>1</v>
      </c>
    </row>
    <row r="1029" customFormat="false" ht="15" hidden="false" customHeight="false" outlineLevel="0" collapsed="false">
      <c r="A1029" s="0" t="n">
        <v>31</v>
      </c>
      <c r="AA1029" s="0" t="n">
        <v>21</v>
      </c>
      <c r="AB1029" s="0" t="s">
        <v>96</v>
      </c>
      <c r="AD1029" s="0" t="n">
        <v>0</v>
      </c>
      <c r="AE1029" s="0" t="s">
        <v>295</v>
      </c>
      <c r="AH1029" s="0" t="n">
        <v>1</v>
      </c>
      <c r="AJ1029" s="0" t="n">
        <v>41</v>
      </c>
      <c r="AP1029" s="0" t="n">
        <v>134000</v>
      </c>
      <c r="DB1029" s="0" t="str">
        <f aca="false">IF($A1029="","",IF($AH1029=20,IF(AND(OR($A1029=21,$A1029=215),$AJ1029=10),"①病院一般",IF(AND($A1029=31,$AJ1029=41),"②病院短期","対象外")),IF($AJ1029=30,"③特定消防",IF(AND(OR($A1029=21,$A1029=215),$AJ1029=10),"④一般",IF(AND($A1029=31,$AJ1029=41),"⑤短期","対象外")))))</f>
        <v>⑤短期</v>
      </c>
      <c r="DC1029" s="0" t="n">
        <f aca="false">IF($A1029="","",IF($AB1029&amp;""=設定!$C$4,1,0))</f>
        <v>1</v>
      </c>
    </row>
    <row r="1030" customFormat="false" ht="15" hidden="false" customHeight="false" outlineLevel="0" collapsed="false">
      <c r="A1030" s="0" t="n">
        <v>31</v>
      </c>
      <c r="AA1030" s="0" t="n">
        <v>21</v>
      </c>
      <c r="AB1030" s="0" t="s">
        <v>96</v>
      </c>
      <c r="AD1030" s="0" t="n">
        <v>0</v>
      </c>
      <c r="AE1030" s="0" t="s">
        <v>295</v>
      </c>
      <c r="AH1030" s="0" t="n">
        <v>1</v>
      </c>
      <c r="AJ1030" s="0" t="n">
        <v>41</v>
      </c>
      <c r="AP1030" s="0" t="n">
        <v>220000</v>
      </c>
      <c r="DB1030" s="0" t="str">
        <f aca="false">IF($A1030="","",IF($AH1030=20,IF(AND(OR($A1030=21,$A1030=215),$AJ1030=10),"①病院一般",IF(AND($A1030=31,$AJ1030=41),"②病院短期","対象外")),IF($AJ1030=30,"③特定消防",IF(AND(OR($A1030=21,$A1030=215),$AJ1030=10),"④一般",IF(AND($A1030=31,$AJ1030=41),"⑤短期","対象外")))))</f>
        <v>⑤短期</v>
      </c>
      <c r="DC1030" s="0" t="n">
        <f aca="false">IF($A1030="","",IF($AB1030&amp;""=設定!$C$4,1,0))</f>
        <v>1</v>
      </c>
    </row>
    <row r="1031" customFormat="false" ht="15" hidden="false" customHeight="false" outlineLevel="0" collapsed="false">
      <c r="A1031" s="0" t="n">
        <v>31</v>
      </c>
      <c r="AA1031" s="0" t="n">
        <v>21</v>
      </c>
      <c r="AB1031" s="0" t="s">
        <v>96</v>
      </c>
      <c r="AD1031" s="0" t="n">
        <v>12</v>
      </c>
      <c r="AE1031" s="0" t="s">
        <v>294</v>
      </c>
      <c r="AH1031" s="0" t="n">
        <v>1</v>
      </c>
      <c r="AJ1031" s="0" t="n">
        <v>41</v>
      </c>
      <c r="AP1031" s="0" t="n">
        <v>142000</v>
      </c>
      <c r="DB1031" s="0" t="str">
        <f aca="false">IF($A1031="","",IF($AH1031=20,IF(AND(OR($A1031=21,$A1031=215),$AJ1031=10),"①病院一般",IF(AND($A1031=31,$AJ1031=41),"②病院短期","対象外")),IF($AJ1031=30,"③特定消防",IF(AND(OR($A1031=21,$A1031=215),$AJ1031=10),"④一般",IF(AND($A1031=31,$AJ1031=41),"⑤短期","対象外")))))</f>
        <v>⑤短期</v>
      </c>
      <c r="DC1031" s="0" t="n">
        <f aca="false">IF($A1031="","",IF($AB1031&amp;""=設定!$C$4,1,0))</f>
        <v>1</v>
      </c>
    </row>
    <row r="1032" customFormat="false" ht="15" hidden="false" customHeight="false" outlineLevel="0" collapsed="false">
      <c r="A1032" s="0" t="n">
        <v>31</v>
      </c>
      <c r="AA1032" s="0" t="n">
        <v>21</v>
      </c>
      <c r="AB1032" s="0" t="s">
        <v>316</v>
      </c>
      <c r="AD1032" s="0" t="n">
        <v>0</v>
      </c>
      <c r="AE1032" s="0" t="s">
        <v>295</v>
      </c>
      <c r="AH1032" s="0" t="n">
        <v>11</v>
      </c>
      <c r="AJ1032" s="0" t="n">
        <v>41</v>
      </c>
      <c r="AP1032" s="0" t="n">
        <v>118000</v>
      </c>
      <c r="DB1032" s="0" t="str">
        <f aca="false">IF($A1032="","",IF($AH1032=20,IF(AND(OR($A1032=21,$A1032=215),$AJ1032=10),"①病院一般",IF(AND($A1032=31,$AJ1032=41),"②病院短期","対象外")),IF($AJ1032=30,"③特定消防",IF(AND(OR($A1032=21,$A1032=215),$AJ1032=10),"④一般",IF(AND($A1032=31,$AJ1032=41),"⑤短期","対象外")))))</f>
        <v>⑤短期</v>
      </c>
      <c r="DC1032" s="0" t="n">
        <f aca="false">IF($A1032="","",IF($AB1032&amp;""=設定!$C$4,1,0))</f>
        <v>0</v>
      </c>
    </row>
    <row r="1033" customFormat="false" ht="15" hidden="false" customHeight="false" outlineLevel="0" collapsed="false">
      <c r="A1033" s="0" t="n">
        <v>31</v>
      </c>
      <c r="AA1033" s="0" t="n">
        <v>21</v>
      </c>
      <c r="AB1033" s="0" t="s">
        <v>302</v>
      </c>
      <c r="AD1033" s="0" t="n">
        <v>0</v>
      </c>
      <c r="AE1033" s="0" t="s">
        <v>295</v>
      </c>
      <c r="AH1033" s="0" t="n">
        <v>11</v>
      </c>
      <c r="AJ1033" s="0" t="n">
        <v>41</v>
      </c>
      <c r="AP1033" s="0" t="n">
        <v>150000</v>
      </c>
      <c r="DB1033" s="0" t="str">
        <f aca="false">IF($A1033="","",IF($AH1033=20,IF(AND(OR($A1033=21,$A1033=215),$AJ1033=10),"①病院一般",IF(AND($A1033=31,$AJ1033=41),"②病院短期","対象外")),IF($AJ1033=30,"③特定消防",IF(AND(OR($A1033=21,$A1033=215),$AJ1033=10),"④一般",IF(AND($A1033=31,$AJ1033=41),"⑤短期","対象外")))))</f>
        <v>⑤短期</v>
      </c>
      <c r="DC1033" s="0" t="n">
        <f aca="false">IF($A1033="","",IF($AB1033&amp;""=設定!$C$4,1,0))</f>
        <v>0</v>
      </c>
    </row>
    <row r="1034" customFormat="false" ht="15" hidden="false" customHeight="false" outlineLevel="0" collapsed="false">
      <c r="A1034" s="0" t="n">
        <v>31</v>
      </c>
      <c r="AA1034" s="0" t="n">
        <v>21</v>
      </c>
      <c r="AB1034" s="0" t="s">
        <v>96</v>
      </c>
      <c r="AD1034" s="0" t="n">
        <v>0</v>
      </c>
      <c r="AE1034" s="0" t="s">
        <v>295</v>
      </c>
      <c r="AH1034" s="0" t="n">
        <v>27</v>
      </c>
      <c r="AJ1034" s="0" t="n">
        <v>41</v>
      </c>
      <c r="AP1034" s="0" t="n">
        <v>200000</v>
      </c>
      <c r="DB1034" s="0" t="str">
        <f aca="false">IF($A1034="","",IF($AH1034=20,IF(AND(OR($A1034=21,$A1034=215),$AJ1034=10),"①病院一般",IF(AND($A1034=31,$AJ1034=41),"②病院短期","対象外")),IF($AJ1034=30,"③特定消防",IF(AND(OR($A1034=21,$A1034=215),$AJ1034=10),"④一般",IF(AND($A1034=31,$AJ1034=41),"⑤短期","対象外")))))</f>
        <v>⑤短期</v>
      </c>
      <c r="DC1034" s="0" t="n">
        <f aca="false">IF($A1034="","",IF($AB1034&amp;""=設定!$C$4,1,0))</f>
        <v>1</v>
      </c>
    </row>
    <row r="1035" customFormat="false" ht="15" hidden="false" customHeight="false" outlineLevel="0" collapsed="false">
      <c r="A1035" s="0" t="n">
        <v>31</v>
      </c>
      <c r="AA1035" s="0" t="n">
        <v>21</v>
      </c>
      <c r="AB1035" s="0" t="s">
        <v>96</v>
      </c>
      <c r="AD1035" s="0" t="n">
        <v>0</v>
      </c>
      <c r="AE1035" s="0" t="s">
        <v>295</v>
      </c>
      <c r="AH1035" s="0" t="n">
        <v>20</v>
      </c>
      <c r="AJ1035" s="0" t="n">
        <v>41</v>
      </c>
      <c r="AP1035" s="0" t="n">
        <v>880000</v>
      </c>
      <c r="DB1035" s="0" t="str">
        <f aca="false">IF($A1035="","",IF($AH1035=20,IF(AND(OR($A1035=21,$A1035=215),$AJ1035=10),"①病院一般",IF(AND($A1035=31,$AJ1035=41),"②病院短期","対象外")),IF($AJ1035=30,"③特定消防",IF(AND(OR($A1035=21,$A1035=215),$AJ1035=10),"④一般",IF(AND($A1035=31,$AJ1035=41),"⑤短期","対象外")))))</f>
        <v>②病院短期</v>
      </c>
      <c r="DC1035" s="0" t="n">
        <f aca="false">IF($A1035="","",IF($AB1035&amp;""=設定!$C$4,1,0))</f>
        <v>1</v>
      </c>
    </row>
    <row r="1036" customFormat="false" ht="15" hidden="false" customHeight="false" outlineLevel="0" collapsed="false">
      <c r="A1036" s="0" t="n">
        <v>31</v>
      </c>
      <c r="AA1036" s="0" t="n">
        <v>21</v>
      </c>
      <c r="AB1036" s="0" t="s">
        <v>96</v>
      </c>
      <c r="AD1036" s="0" t="n">
        <v>0</v>
      </c>
      <c r="AE1036" s="0" t="s">
        <v>295</v>
      </c>
      <c r="AH1036" s="0" t="n">
        <v>20</v>
      </c>
      <c r="AJ1036" s="0" t="n">
        <v>41</v>
      </c>
      <c r="AP1036" s="0" t="n">
        <v>680000</v>
      </c>
      <c r="DB1036" s="0" t="str">
        <f aca="false">IF($A1036="","",IF($AH1036=20,IF(AND(OR($A1036=21,$A1036=215),$AJ1036=10),"①病院一般",IF(AND($A1036=31,$AJ1036=41),"②病院短期","対象外")),IF($AJ1036=30,"③特定消防",IF(AND(OR($A1036=21,$A1036=215),$AJ1036=10),"④一般",IF(AND($A1036=31,$AJ1036=41),"⑤短期","対象外")))))</f>
        <v>②病院短期</v>
      </c>
      <c r="DC1036" s="0" t="n">
        <f aca="false">IF($A1036="","",IF($AB1036&amp;""=設定!$C$4,1,0))</f>
        <v>1</v>
      </c>
    </row>
    <row r="1037" customFormat="false" ht="15" hidden="false" customHeight="false" outlineLevel="0" collapsed="false">
      <c r="A1037" s="0" t="n">
        <v>31</v>
      </c>
      <c r="AA1037" s="0" t="n">
        <v>21</v>
      </c>
      <c r="AB1037" s="0" t="s">
        <v>96</v>
      </c>
      <c r="AD1037" s="0" t="n">
        <v>0</v>
      </c>
      <c r="AE1037" s="0" t="s">
        <v>295</v>
      </c>
      <c r="AH1037" s="0" t="n">
        <v>20</v>
      </c>
      <c r="AJ1037" s="0" t="n">
        <v>41</v>
      </c>
      <c r="AP1037" s="0" t="n">
        <v>830000</v>
      </c>
      <c r="DB1037" s="0" t="str">
        <f aca="false">IF($A1037="","",IF($AH1037=20,IF(AND(OR($A1037=21,$A1037=215),$AJ1037=10),"①病院一般",IF(AND($A1037=31,$AJ1037=41),"②病院短期","対象外")),IF($AJ1037=30,"③特定消防",IF(AND(OR($A1037=21,$A1037=215),$AJ1037=10),"④一般",IF(AND($A1037=31,$AJ1037=41),"⑤短期","対象外")))))</f>
        <v>②病院短期</v>
      </c>
      <c r="DC1037" s="0" t="n">
        <f aca="false">IF($A1037="","",IF($AB1037&amp;""=設定!$C$4,1,0))</f>
        <v>1</v>
      </c>
    </row>
    <row r="1038" customFormat="false" ht="15" hidden="false" customHeight="false" outlineLevel="0" collapsed="false">
      <c r="A1038" s="0" t="n">
        <v>31</v>
      </c>
      <c r="AA1038" s="0" t="n">
        <v>21</v>
      </c>
      <c r="AB1038" s="0" t="s">
        <v>96</v>
      </c>
      <c r="AD1038" s="0" t="n">
        <v>0</v>
      </c>
      <c r="AE1038" s="0" t="s">
        <v>295</v>
      </c>
      <c r="AH1038" s="0" t="n">
        <v>20</v>
      </c>
      <c r="AJ1038" s="0" t="n">
        <v>41</v>
      </c>
      <c r="AP1038" s="0" t="n">
        <v>650000</v>
      </c>
      <c r="DB1038" s="0" t="str">
        <f aca="false">IF($A1038="","",IF($AH1038=20,IF(AND(OR($A1038=21,$A1038=215),$AJ1038=10),"①病院一般",IF(AND($A1038=31,$AJ1038=41),"②病院短期","対象外")),IF($AJ1038=30,"③特定消防",IF(AND(OR($A1038=21,$A1038=215),$AJ1038=10),"④一般",IF(AND($A1038=31,$AJ1038=41),"⑤短期","対象外")))))</f>
        <v>②病院短期</v>
      </c>
      <c r="DC1038" s="0" t="n">
        <f aca="false">IF($A1038="","",IF($AB1038&amp;""=設定!$C$4,1,0))</f>
        <v>1</v>
      </c>
    </row>
    <row r="1039" customFormat="false" ht="15" hidden="false" customHeight="false" outlineLevel="0" collapsed="false">
      <c r="A1039" s="0" t="n">
        <v>31</v>
      </c>
      <c r="AA1039" s="0" t="n">
        <v>21</v>
      </c>
      <c r="AB1039" s="0" t="s">
        <v>96</v>
      </c>
      <c r="AD1039" s="0" t="n">
        <v>0</v>
      </c>
      <c r="AE1039" s="0" t="s">
        <v>295</v>
      </c>
      <c r="AH1039" s="0" t="n">
        <v>20</v>
      </c>
      <c r="AJ1039" s="0" t="n">
        <v>41</v>
      </c>
      <c r="AP1039" s="0" t="n">
        <v>620000</v>
      </c>
      <c r="DB1039" s="0" t="str">
        <f aca="false">IF($A1039="","",IF($AH1039=20,IF(AND(OR($A1039=21,$A1039=215),$AJ1039=10),"①病院一般",IF(AND($A1039=31,$AJ1039=41),"②病院短期","対象外")),IF($AJ1039=30,"③特定消防",IF(AND(OR($A1039=21,$A1039=215),$AJ1039=10),"④一般",IF(AND($A1039=31,$AJ1039=41),"⑤短期","対象外")))))</f>
        <v>②病院短期</v>
      </c>
      <c r="DC1039" s="0" t="n">
        <f aca="false">IF($A1039="","",IF($AB1039&amp;""=設定!$C$4,1,0))</f>
        <v>1</v>
      </c>
    </row>
    <row r="1040" customFormat="false" ht="15" hidden="false" customHeight="false" outlineLevel="0" collapsed="false">
      <c r="A1040" s="0" t="n">
        <v>31</v>
      </c>
      <c r="AA1040" s="0" t="n">
        <v>21</v>
      </c>
      <c r="AB1040" s="0" t="s">
        <v>96</v>
      </c>
      <c r="AD1040" s="0" t="n">
        <v>0</v>
      </c>
      <c r="AE1040" s="0" t="s">
        <v>295</v>
      </c>
      <c r="AH1040" s="0" t="n">
        <v>20</v>
      </c>
      <c r="AJ1040" s="0" t="n">
        <v>41</v>
      </c>
      <c r="AP1040" s="0" t="n">
        <v>790000</v>
      </c>
      <c r="DB1040" s="0" t="str">
        <f aca="false">IF($A1040="","",IF($AH1040=20,IF(AND(OR($A1040=21,$A1040=215),$AJ1040=10),"①病院一般",IF(AND($A1040=31,$AJ1040=41),"②病院短期","対象外")),IF($AJ1040=30,"③特定消防",IF(AND(OR($A1040=21,$A1040=215),$AJ1040=10),"④一般",IF(AND($A1040=31,$AJ1040=41),"⑤短期","対象外")))))</f>
        <v>②病院短期</v>
      </c>
      <c r="DC1040" s="0" t="n">
        <f aca="false">IF($A1040="","",IF($AB1040&amp;""=設定!$C$4,1,0))</f>
        <v>1</v>
      </c>
    </row>
    <row r="1041" customFormat="false" ht="15" hidden="false" customHeight="false" outlineLevel="0" collapsed="false">
      <c r="A1041" s="0" t="n">
        <v>31</v>
      </c>
      <c r="AA1041" s="0" t="n">
        <v>21</v>
      </c>
      <c r="AB1041" s="0" t="s">
        <v>96</v>
      </c>
      <c r="AD1041" s="0" t="n">
        <v>0</v>
      </c>
      <c r="AE1041" s="0" t="s">
        <v>295</v>
      </c>
      <c r="AH1041" s="0" t="n">
        <v>20</v>
      </c>
      <c r="AJ1041" s="0" t="n">
        <v>41</v>
      </c>
      <c r="AP1041" s="0" t="n">
        <v>620000</v>
      </c>
      <c r="DB1041" s="0" t="str">
        <f aca="false">IF($A1041="","",IF($AH1041=20,IF(AND(OR($A1041=21,$A1041=215),$AJ1041=10),"①病院一般",IF(AND($A1041=31,$AJ1041=41),"②病院短期","対象外")),IF($AJ1041=30,"③特定消防",IF(AND(OR($A1041=21,$A1041=215),$AJ1041=10),"④一般",IF(AND($A1041=31,$AJ1041=41),"⑤短期","対象外")))))</f>
        <v>②病院短期</v>
      </c>
      <c r="DC1041" s="0" t="n">
        <f aca="false">IF($A1041="","",IF($AB1041&amp;""=設定!$C$4,1,0))</f>
        <v>1</v>
      </c>
    </row>
    <row r="1042" customFormat="false" ht="15" hidden="false" customHeight="false" outlineLevel="0" collapsed="false">
      <c r="A1042" s="0" t="n">
        <v>31</v>
      </c>
      <c r="AA1042" s="0" t="n">
        <v>21</v>
      </c>
      <c r="AB1042" s="0" t="s">
        <v>96</v>
      </c>
      <c r="AD1042" s="0" t="n">
        <v>0</v>
      </c>
      <c r="AE1042" s="0" t="s">
        <v>295</v>
      </c>
      <c r="AH1042" s="0" t="n">
        <v>20</v>
      </c>
      <c r="AJ1042" s="0" t="n">
        <v>41</v>
      </c>
      <c r="AP1042" s="0" t="n">
        <v>710000</v>
      </c>
      <c r="DB1042" s="0" t="str">
        <f aca="false">IF($A1042="","",IF($AH1042=20,IF(AND(OR($A1042=21,$A1042=215),$AJ1042=10),"①病院一般",IF(AND($A1042=31,$AJ1042=41),"②病院短期","対象外")),IF($AJ1042=30,"③特定消防",IF(AND(OR($A1042=21,$A1042=215),$AJ1042=10),"④一般",IF(AND($A1042=31,$AJ1042=41),"⑤短期","対象外")))))</f>
        <v>②病院短期</v>
      </c>
      <c r="DC1042" s="0" t="n">
        <f aca="false">IF($A1042="","",IF($AB1042&amp;""=設定!$C$4,1,0))</f>
        <v>1</v>
      </c>
    </row>
    <row r="1043" customFormat="false" ht="15" hidden="false" customHeight="false" outlineLevel="0" collapsed="false">
      <c r="A1043" s="0" t="n">
        <v>31</v>
      </c>
      <c r="AA1043" s="0" t="n">
        <v>21</v>
      </c>
      <c r="AB1043" s="0" t="s">
        <v>96</v>
      </c>
      <c r="AD1043" s="0" t="n">
        <v>0</v>
      </c>
      <c r="AE1043" s="0" t="s">
        <v>295</v>
      </c>
      <c r="AH1043" s="0" t="n">
        <v>20</v>
      </c>
      <c r="AJ1043" s="0" t="n">
        <v>41</v>
      </c>
      <c r="AP1043" s="0" t="n">
        <v>830000</v>
      </c>
      <c r="DB1043" s="0" t="str">
        <f aca="false">IF($A1043="","",IF($AH1043=20,IF(AND(OR($A1043=21,$A1043=215),$AJ1043=10),"①病院一般",IF(AND($A1043=31,$AJ1043=41),"②病院短期","対象外")),IF($AJ1043=30,"③特定消防",IF(AND(OR($A1043=21,$A1043=215),$AJ1043=10),"④一般",IF(AND($A1043=31,$AJ1043=41),"⑤短期","対象外")))))</f>
        <v>②病院短期</v>
      </c>
      <c r="DC1043" s="0" t="n">
        <f aca="false">IF($A1043="","",IF($AB1043&amp;""=設定!$C$4,1,0))</f>
        <v>1</v>
      </c>
    </row>
    <row r="1044" customFormat="false" ht="15" hidden="false" customHeight="false" outlineLevel="0" collapsed="false">
      <c r="A1044" s="0" t="n">
        <v>31</v>
      </c>
      <c r="AA1044" s="0" t="n">
        <v>21</v>
      </c>
      <c r="AB1044" s="0" t="s">
        <v>96</v>
      </c>
      <c r="AD1044" s="0" t="n">
        <v>0</v>
      </c>
      <c r="AE1044" s="0" t="s">
        <v>295</v>
      </c>
      <c r="AH1044" s="0" t="n">
        <v>20</v>
      </c>
      <c r="AJ1044" s="0" t="n">
        <v>41</v>
      </c>
      <c r="AP1044" s="0" t="n">
        <v>750000</v>
      </c>
      <c r="DB1044" s="0" t="str">
        <f aca="false">IF($A1044="","",IF($AH1044=20,IF(AND(OR($A1044=21,$A1044=215),$AJ1044=10),"①病院一般",IF(AND($A1044=31,$AJ1044=41),"②病院短期","対象外")),IF($AJ1044=30,"③特定消防",IF(AND(OR($A1044=21,$A1044=215),$AJ1044=10),"④一般",IF(AND($A1044=31,$AJ1044=41),"⑤短期","対象外")))))</f>
        <v>②病院短期</v>
      </c>
      <c r="DC1044" s="0" t="n">
        <f aca="false">IF($A1044="","",IF($AB1044&amp;""=設定!$C$4,1,0))</f>
        <v>1</v>
      </c>
    </row>
    <row r="1045" customFormat="false" ht="15" hidden="false" customHeight="false" outlineLevel="0" collapsed="false">
      <c r="A1045" s="0" t="n">
        <v>31</v>
      </c>
      <c r="AA1045" s="0" t="n">
        <v>21</v>
      </c>
      <c r="AB1045" s="0" t="s">
        <v>96</v>
      </c>
      <c r="AD1045" s="0" t="n">
        <v>0</v>
      </c>
      <c r="AE1045" s="0" t="s">
        <v>295</v>
      </c>
      <c r="AH1045" s="0" t="n">
        <v>20</v>
      </c>
      <c r="AJ1045" s="0" t="n">
        <v>41</v>
      </c>
      <c r="AP1045" s="0" t="n">
        <v>830000</v>
      </c>
      <c r="DB1045" s="0" t="str">
        <f aca="false">IF($A1045="","",IF($AH1045=20,IF(AND(OR($A1045=21,$A1045=215),$AJ1045=10),"①病院一般",IF(AND($A1045=31,$AJ1045=41),"②病院短期","対象外")),IF($AJ1045=30,"③特定消防",IF(AND(OR($A1045=21,$A1045=215),$AJ1045=10),"④一般",IF(AND($A1045=31,$AJ1045=41),"⑤短期","対象外")))))</f>
        <v>②病院短期</v>
      </c>
      <c r="DC1045" s="0" t="n">
        <f aca="false">IF($A1045="","",IF($AB1045&amp;""=設定!$C$4,1,0))</f>
        <v>1</v>
      </c>
    </row>
    <row r="1046" customFormat="false" ht="15" hidden="false" customHeight="false" outlineLevel="0" collapsed="false">
      <c r="A1046" s="0" t="n">
        <v>31</v>
      </c>
      <c r="AA1046" s="0" t="n">
        <v>21</v>
      </c>
      <c r="AB1046" s="0" t="s">
        <v>96</v>
      </c>
      <c r="AD1046" s="0" t="n">
        <v>0</v>
      </c>
      <c r="AE1046" s="0" t="s">
        <v>295</v>
      </c>
      <c r="AH1046" s="0" t="n">
        <v>20</v>
      </c>
      <c r="AJ1046" s="0" t="n">
        <v>41</v>
      </c>
      <c r="AP1046" s="0" t="n">
        <v>750000</v>
      </c>
      <c r="DB1046" s="0" t="str">
        <f aca="false">IF($A1046="","",IF($AH1046=20,IF(AND(OR($A1046=21,$A1046=215),$AJ1046=10),"①病院一般",IF(AND($A1046=31,$AJ1046=41),"②病院短期","対象外")),IF($AJ1046=30,"③特定消防",IF(AND(OR($A1046=21,$A1046=215),$AJ1046=10),"④一般",IF(AND($A1046=31,$AJ1046=41),"⑤短期","対象外")))))</f>
        <v>②病院短期</v>
      </c>
      <c r="DC1046" s="0" t="n">
        <f aca="false">IF($A1046="","",IF($AB1046&amp;""=設定!$C$4,1,0))</f>
        <v>1</v>
      </c>
    </row>
    <row r="1047" customFormat="false" ht="15" hidden="false" customHeight="false" outlineLevel="0" collapsed="false">
      <c r="A1047" s="0" t="n">
        <v>31</v>
      </c>
      <c r="AA1047" s="0" t="n">
        <v>21</v>
      </c>
      <c r="AB1047" s="0" t="s">
        <v>96</v>
      </c>
      <c r="AD1047" s="0" t="n">
        <v>0</v>
      </c>
      <c r="AE1047" s="0" t="s">
        <v>295</v>
      </c>
      <c r="AH1047" s="0" t="n">
        <v>20</v>
      </c>
      <c r="AJ1047" s="0" t="n">
        <v>41</v>
      </c>
      <c r="AP1047" s="0" t="n">
        <v>790000</v>
      </c>
      <c r="DB1047" s="0" t="str">
        <f aca="false">IF($A1047="","",IF($AH1047=20,IF(AND(OR($A1047=21,$A1047=215),$AJ1047=10),"①病院一般",IF(AND($A1047=31,$AJ1047=41),"②病院短期","対象外")),IF($AJ1047=30,"③特定消防",IF(AND(OR($A1047=21,$A1047=215),$AJ1047=10),"④一般",IF(AND($A1047=31,$AJ1047=41),"⑤短期","対象外")))))</f>
        <v>②病院短期</v>
      </c>
      <c r="DC1047" s="0" t="n">
        <f aca="false">IF($A1047="","",IF($AB1047&amp;""=設定!$C$4,1,0))</f>
        <v>1</v>
      </c>
    </row>
    <row r="1048" customFormat="false" ht="15" hidden="false" customHeight="false" outlineLevel="0" collapsed="false">
      <c r="A1048" s="0" t="n">
        <v>31</v>
      </c>
      <c r="AA1048" s="0" t="n">
        <v>21</v>
      </c>
      <c r="AB1048" s="0" t="s">
        <v>96</v>
      </c>
      <c r="AD1048" s="0" t="n">
        <v>0</v>
      </c>
      <c r="AE1048" s="0" t="s">
        <v>295</v>
      </c>
      <c r="AH1048" s="0" t="n">
        <v>20</v>
      </c>
      <c r="AJ1048" s="0" t="n">
        <v>41</v>
      </c>
      <c r="AP1048" s="0" t="n">
        <v>750000</v>
      </c>
      <c r="DB1048" s="0" t="str">
        <f aca="false">IF($A1048="","",IF($AH1048=20,IF(AND(OR($A1048=21,$A1048=215),$AJ1048=10),"①病院一般",IF(AND($A1048=31,$AJ1048=41),"②病院短期","対象外")),IF($AJ1048=30,"③特定消防",IF(AND(OR($A1048=21,$A1048=215),$AJ1048=10),"④一般",IF(AND($A1048=31,$AJ1048=41),"⑤短期","対象外")))))</f>
        <v>②病院短期</v>
      </c>
      <c r="DC1048" s="0" t="n">
        <f aca="false">IF($A1048="","",IF($AB1048&amp;""=設定!$C$4,1,0))</f>
        <v>1</v>
      </c>
    </row>
    <row r="1049" customFormat="false" ht="15" hidden="false" customHeight="false" outlineLevel="0" collapsed="false">
      <c r="A1049" s="0" t="n">
        <v>31</v>
      </c>
      <c r="AA1049" s="0" t="n">
        <v>21</v>
      </c>
      <c r="AB1049" s="0" t="s">
        <v>96</v>
      </c>
      <c r="AD1049" s="0" t="n">
        <v>0</v>
      </c>
      <c r="AE1049" s="0" t="s">
        <v>295</v>
      </c>
      <c r="AH1049" s="0" t="n">
        <v>20</v>
      </c>
      <c r="AJ1049" s="0" t="n">
        <v>41</v>
      </c>
      <c r="AP1049" s="0" t="n">
        <v>710000</v>
      </c>
      <c r="DB1049" s="0" t="str">
        <f aca="false">IF($A1049="","",IF($AH1049=20,IF(AND(OR($A1049=21,$A1049=215),$AJ1049=10),"①病院一般",IF(AND($A1049=31,$AJ1049=41),"②病院短期","対象外")),IF($AJ1049=30,"③特定消防",IF(AND(OR($A1049=21,$A1049=215),$AJ1049=10),"④一般",IF(AND($A1049=31,$AJ1049=41),"⑤短期","対象外")))))</f>
        <v>②病院短期</v>
      </c>
      <c r="DC1049" s="0" t="n">
        <f aca="false">IF($A1049="","",IF($AB1049&amp;""=設定!$C$4,1,0))</f>
        <v>1</v>
      </c>
    </row>
    <row r="1050" customFormat="false" ht="15" hidden="false" customHeight="false" outlineLevel="0" collapsed="false">
      <c r="A1050" s="0" t="n">
        <v>31</v>
      </c>
      <c r="AA1050" s="0" t="n">
        <v>21</v>
      </c>
      <c r="AB1050" s="0" t="s">
        <v>96</v>
      </c>
      <c r="AD1050" s="0" t="n">
        <v>0</v>
      </c>
      <c r="AE1050" s="0" t="s">
        <v>295</v>
      </c>
      <c r="AH1050" s="0" t="n">
        <v>20</v>
      </c>
      <c r="AJ1050" s="0" t="n">
        <v>41</v>
      </c>
      <c r="AP1050" s="0" t="n">
        <v>830000</v>
      </c>
      <c r="DB1050" s="0" t="str">
        <f aca="false">IF($A1050="","",IF($AH1050=20,IF(AND(OR($A1050=21,$A1050=215),$AJ1050=10),"①病院一般",IF(AND($A1050=31,$AJ1050=41),"②病院短期","対象外")),IF($AJ1050=30,"③特定消防",IF(AND(OR($A1050=21,$A1050=215),$AJ1050=10),"④一般",IF(AND($A1050=31,$AJ1050=41),"⑤短期","対象外")))))</f>
        <v>②病院短期</v>
      </c>
      <c r="DC1050" s="0" t="n">
        <f aca="false">IF($A1050="","",IF($AB1050&amp;""=設定!$C$4,1,0))</f>
        <v>1</v>
      </c>
    </row>
    <row r="1051" customFormat="false" ht="15" hidden="false" customHeight="false" outlineLevel="0" collapsed="false">
      <c r="A1051" s="0" t="n">
        <v>31</v>
      </c>
      <c r="AA1051" s="0" t="n">
        <v>21</v>
      </c>
      <c r="AB1051" s="0" t="s">
        <v>96</v>
      </c>
      <c r="AD1051" s="0" t="n">
        <v>0</v>
      </c>
      <c r="AE1051" s="0" t="s">
        <v>295</v>
      </c>
      <c r="AH1051" s="0" t="n">
        <v>20</v>
      </c>
      <c r="AJ1051" s="0" t="n">
        <v>41</v>
      </c>
      <c r="AP1051" s="0" t="n">
        <v>710000</v>
      </c>
      <c r="DB1051" s="0" t="str">
        <f aca="false">IF($A1051="","",IF($AH1051=20,IF(AND(OR($A1051=21,$A1051=215),$AJ1051=10),"①病院一般",IF(AND($A1051=31,$AJ1051=41),"②病院短期","対象外")),IF($AJ1051=30,"③特定消防",IF(AND(OR($A1051=21,$A1051=215),$AJ1051=10),"④一般",IF(AND($A1051=31,$AJ1051=41),"⑤短期","対象外")))))</f>
        <v>②病院短期</v>
      </c>
      <c r="DC1051" s="0" t="n">
        <f aca="false">IF($A1051="","",IF($AB1051&amp;""=設定!$C$4,1,0))</f>
        <v>1</v>
      </c>
    </row>
    <row r="1052" customFormat="false" ht="15" hidden="false" customHeight="false" outlineLevel="0" collapsed="false">
      <c r="A1052" s="0" t="n">
        <v>31</v>
      </c>
      <c r="AA1052" s="0" t="n">
        <v>21</v>
      </c>
      <c r="AB1052" s="0" t="s">
        <v>96</v>
      </c>
      <c r="AD1052" s="0" t="n">
        <v>0</v>
      </c>
      <c r="AE1052" s="0" t="s">
        <v>295</v>
      </c>
      <c r="AH1052" s="0" t="n">
        <v>20</v>
      </c>
      <c r="AJ1052" s="0" t="n">
        <v>41</v>
      </c>
      <c r="AP1052" s="0" t="n">
        <v>750000</v>
      </c>
      <c r="DB1052" s="0" t="str">
        <f aca="false">IF($A1052="","",IF($AH1052=20,IF(AND(OR($A1052=21,$A1052=215),$AJ1052=10),"①病院一般",IF(AND($A1052=31,$AJ1052=41),"②病院短期","対象外")),IF($AJ1052=30,"③特定消防",IF(AND(OR($A1052=21,$A1052=215),$AJ1052=10),"④一般",IF(AND($A1052=31,$AJ1052=41),"⑤短期","対象外")))))</f>
        <v>②病院短期</v>
      </c>
      <c r="DC1052" s="0" t="n">
        <f aca="false">IF($A1052="","",IF($AB1052&amp;""=設定!$C$4,1,0))</f>
        <v>1</v>
      </c>
    </row>
    <row r="1053" customFormat="false" ht="15" hidden="false" customHeight="false" outlineLevel="0" collapsed="false">
      <c r="A1053" s="0" t="n">
        <v>31</v>
      </c>
      <c r="AA1053" s="0" t="n">
        <v>21</v>
      </c>
      <c r="AB1053" s="0" t="s">
        <v>96</v>
      </c>
      <c r="AD1053" s="0" t="n">
        <v>0</v>
      </c>
      <c r="AE1053" s="0" t="s">
        <v>295</v>
      </c>
      <c r="AH1053" s="0" t="n">
        <v>20</v>
      </c>
      <c r="AJ1053" s="0" t="n">
        <v>41</v>
      </c>
      <c r="AP1053" s="0" t="n">
        <v>790000</v>
      </c>
      <c r="DB1053" s="0" t="str">
        <f aca="false">IF($A1053="","",IF($AH1053=20,IF(AND(OR($A1053=21,$A1053=215),$AJ1053=10),"①病院一般",IF(AND($A1053=31,$AJ1053=41),"②病院短期","対象外")),IF($AJ1053=30,"③特定消防",IF(AND(OR($A1053=21,$A1053=215),$AJ1053=10),"④一般",IF(AND($A1053=31,$AJ1053=41),"⑤短期","対象外")))))</f>
        <v>②病院短期</v>
      </c>
      <c r="DC1053" s="0" t="n">
        <f aca="false">IF($A1053="","",IF($AB1053&amp;""=設定!$C$4,1,0))</f>
        <v>1</v>
      </c>
    </row>
    <row r="1054" customFormat="false" ht="15" hidden="false" customHeight="false" outlineLevel="0" collapsed="false">
      <c r="A1054" s="0" t="n">
        <v>31</v>
      </c>
      <c r="AA1054" s="0" t="n">
        <v>21</v>
      </c>
      <c r="AB1054" s="0" t="s">
        <v>96</v>
      </c>
      <c r="AD1054" s="0" t="n">
        <v>0</v>
      </c>
      <c r="AE1054" s="0" t="s">
        <v>295</v>
      </c>
      <c r="AH1054" s="0" t="n">
        <v>20</v>
      </c>
      <c r="AJ1054" s="0" t="n">
        <v>41</v>
      </c>
      <c r="AP1054" s="0" t="n">
        <v>930000</v>
      </c>
      <c r="DB1054" s="0" t="str">
        <f aca="false">IF($A1054="","",IF($AH1054=20,IF(AND(OR($A1054=21,$A1054=215),$AJ1054=10),"①病院一般",IF(AND($A1054=31,$AJ1054=41),"②病院短期","対象外")),IF($AJ1054=30,"③特定消防",IF(AND(OR($A1054=21,$A1054=215),$AJ1054=10),"④一般",IF(AND($A1054=31,$AJ1054=41),"⑤短期","対象外")))))</f>
        <v>②病院短期</v>
      </c>
      <c r="DC1054" s="0" t="n">
        <f aca="false">IF($A1054="","",IF($AB1054&amp;""=設定!$C$4,1,0))</f>
        <v>1</v>
      </c>
    </row>
    <row r="1055" customFormat="false" ht="15" hidden="false" customHeight="false" outlineLevel="0" collapsed="false">
      <c r="A1055" s="0" t="n">
        <v>31</v>
      </c>
      <c r="AA1055" s="0" t="n">
        <v>21</v>
      </c>
      <c r="AB1055" s="0" t="s">
        <v>96</v>
      </c>
      <c r="AD1055" s="0" t="n">
        <v>0</v>
      </c>
      <c r="AE1055" s="0" t="s">
        <v>295</v>
      </c>
      <c r="AH1055" s="0" t="n">
        <v>20</v>
      </c>
      <c r="AJ1055" s="0" t="n">
        <v>41</v>
      </c>
      <c r="AP1055" s="0" t="n">
        <v>650000</v>
      </c>
      <c r="DB1055" s="0" t="str">
        <f aca="false">IF($A1055="","",IF($AH1055=20,IF(AND(OR($A1055=21,$A1055=215),$AJ1055=10),"①病院一般",IF(AND($A1055=31,$AJ1055=41),"②病院短期","対象外")),IF($AJ1055=30,"③特定消防",IF(AND(OR($A1055=21,$A1055=215),$AJ1055=10),"④一般",IF(AND($A1055=31,$AJ1055=41),"⑤短期","対象外")))))</f>
        <v>②病院短期</v>
      </c>
      <c r="DC1055" s="0" t="n">
        <f aca="false">IF($A1055="","",IF($AB1055&amp;""=設定!$C$4,1,0))</f>
        <v>1</v>
      </c>
    </row>
    <row r="1056" customFormat="false" ht="15" hidden="false" customHeight="false" outlineLevel="0" collapsed="false">
      <c r="A1056" s="0" t="n">
        <v>31</v>
      </c>
      <c r="AA1056" s="0" t="n">
        <v>21</v>
      </c>
      <c r="AB1056" s="0" t="s">
        <v>96</v>
      </c>
      <c r="AD1056" s="0" t="n">
        <v>0</v>
      </c>
      <c r="AE1056" s="0" t="s">
        <v>295</v>
      </c>
      <c r="AH1056" s="0" t="n">
        <v>20</v>
      </c>
      <c r="AJ1056" s="0" t="n">
        <v>41</v>
      </c>
      <c r="AP1056" s="0" t="n">
        <v>590000</v>
      </c>
      <c r="DB1056" s="0" t="str">
        <f aca="false">IF($A1056="","",IF($AH1056=20,IF(AND(OR($A1056=21,$A1056=215),$AJ1056=10),"①病院一般",IF(AND($A1056=31,$AJ1056=41),"②病院短期","対象外")),IF($AJ1056=30,"③特定消防",IF(AND(OR($A1056=21,$A1056=215),$AJ1056=10),"④一般",IF(AND($A1056=31,$AJ1056=41),"⑤短期","対象外")))))</f>
        <v>②病院短期</v>
      </c>
      <c r="DC1056" s="0" t="n">
        <f aca="false">IF($A1056="","",IF($AB1056&amp;""=設定!$C$4,1,0))</f>
        <v>1</v>
      </c>
    </row>
    <row r="1057" customFormat="false" ht="15" hidden="false" customHeight="false" outlineLevel="0" collapsed="false">
      <c r="A1057" s="0" t="n">
        <v>31</v>
      </c>
      <c r="AA1057" s="0" t="n">
        <v>21</v>
      </c>
      <c r="AB1057" s="0" t="s">
        <v>96</v>
      </c>
      <c r="AD1057" s="0" t="n">
        <v>0</v>
      </c>
      <c r="AE1057" s="0" t="s">
        <v>295</v>
      </c>
      <c r="AH1057" s="0" t="n">
        <v>20</v>
      </c>
      <c r="AJ1057" s="0" t="n">
        <v>41</v>
      </c>
      <c r="AP1057" s="0" t="n">
        <v>590000</v>
      </c>
      <c r="DB1057" s="0" t="str">
        <f aca="false">IF($A1057="","",IF($AH1057=20,IF(AND(OR($A1057=21,$A1057=215),$AJ1057=10),"①病院一般",IF(AND($A1057=31,$AJ1057=41),"②病院短期","対象外")),IF($AJ1057=30,"③特定消防",IF(AND(OR($A1057=21,$A1057=215),$AJ1057=10),"④一般",IF(AND($A1057=31,$AJ1057=41),"⑤短期","対象外")))))</f>
        <v>②病院短期</v>
      </c>
      <c r="DC1057" s="0" t="n">
        <f aca="false">IF($A1057="","",IF($AB1057&amp;""=設定!$C$4,1,0))</f>
        <v>1</v>
      </c>
    </row>
    <row r="1058" customFormat="false" ht="15" hidden="false" customHeight="false" outlineLevel="0" collapsed="false">
      <c r="A1058" s="0" t="n">
        <v>31</v>
      </c>
      <c r="AA1058" s="0" t="n">
        <v>21</v>
      </c>
      <c r="AB1058" s="0" t="s">
        <v>96</v>
      </c>
      <c r="AD1058" s="0" t="n">
        <v>0</v>
      </c>
      <c r="AE1058" s="0" t="s">
        <v>295</v>
      </c>
      <c r="AH1058" s="0" t="n">
        <v>20</v>
      </c>
      <c r="AJ1058" s="0" t="n">
        <v>41</v>
      </c>
      <c r="AP1058" s="0" t="n">
        <v>530000</v>
      </c>
      <c r="DB1058" s="0" t="str">
        <f aca="false">IF($A1058="","",IF($AH1058=20,IF(AND(OR($A1058=21,$A1058=215),$AJ1058=10),"①病院一般",IF(AND($A1058=31,$AJ1058=41),"②病院短期","対象外")),IF($AJ1058=30,"③特定消防",IF(AND(OR($A1058=21,$A1058=215),$AJ1058=10),"④一般",IF(AND($A1058=31,$AJ1058=41),"⑤短期","対象外")))))</f>
        <v>②病院短期</v>
      </c>
      <c r="DC1058" s="0" t="n">
        <f aca="false">IF($A1058="","",IF($AB1058&amp;""=設定!$C$4,1,0))</f>
        <v>1</v>
      </c>
    </row>
    <row r="1059" customFormat="false" ht="15" hidden="false" customHeight="false" outlineLevel="0" collapsed="false">
      <c r="A1059" s="0" t="n">
        <v>31</v>
      </c>
      <c r="AA1059" s="0" t="n">
        <v>21</v>
      </c>
      <c r="AB1059" s="0" t="s">
        <v>96</v>
      </c>
      <c r="AD1059" s="0" t="n">
        <v>0</v>
      </c>
      <c r="AE1059" s="0" t="s">
        <v>295</v>
      </c>
      <c r="AH1059" s="0" t="n">
        <v>20</v>
      </c>
      <c r="AJ1059" s="0" t="n">
        <v>41</v>
      </c>
      <c r="AP1059" s="0" t="n">
        <v>530000</v>
      </c>
      <c r="DB1059" s="0" t="str">
        <f aca="false">IF($A1059="","",IF($AH1059=20,IF(AND(OR($A1059=21,$A1059=215),$AJ1059=10),"①病院一般",IF(AND($A1059=31,$AJ1059=41),"②病院短期","対象外")),IF($AJ1059=30,"③特定消防",IF(AND(OR($A1059=21,$A1059=215),$AJ1059=10),"④一般",IF(AND($A1059=31,$AJ1059=41),"⑤短期","対象外")))))</f>
        <v>②病院短期</v>
      </c>
      <c r="DC1059" s="0" t="n">
        <f aca="false">IF($A1059="","",IF($AB1059&amp;""=設定!$C$4,1,0))</f>
        <v>1</v>
      </c>
    </row>
    <row r="1060" customFormat="false" ht="15" hidden="false" customHeight="false" outlineLevel="0" collapsed="false">
      <c r="A1060" s="0" t="n">
        <v>31</v>
      </c>
      <c r="AA1060" s="0" t="n">
        <v>21</v>
      </c>
      <c r="AB1060" s="0" t="s">
        <v>96</v>
      </c>
      <c r="AD1060" s="0" t="n">
        <v>0</v>
      </c>
      <c r="AE1060" s="0" t="s">
        <v>295</v>
      </c>
      <c r="AH1060" s="0" t="n">
        <v>20</v>
      </c>
      <c r="AJ1060" s="0" t="n">
        <v>41</v>
      </c>
      <c r="AP1060" s="0" t="n">
        <v>530000</v>
      </c>
      <c r="DB1060" s="0" t="str">
        <f aca="false">IF($A1060="","",IF($AH1060=20,IF(AND(OR($A1060=21,$A1060=215),$AJ1060=10),"①病院一般",IF(AND($A1060=31,$AJ1060=41),"②病院短期","対象外")),IF($AJ1060=30,"③特定消防",IF(AND(OR($A1060=21,$A1060=215),$AJ1060=10),"④一般",IF(AND($A1060=31,$AJ1060=41),"⑤短期","対象外")))))</f>
        <v>②病院短期</v>
      </c>
      <c r="DC1060" s="0" t="n">
        <f aca="false">IF($A1060="","",IF($AB1060&amp;""=設定!$C$4,1,0))</f>
        <v>1</v>
      </c>
    </row>
    <row r="1061" customFormat="false" ht="15" hidden="false" customHeight="false" outlineLevel="0" collapsed="false">
      <c r="A1061" s="0" t="n">
        <v>31</v>
      </c>
      <c r="AA1061" s="0" t="n">
        <v>21</v>
      </c>
      <c r="AB1061" s="0" t="s">
        <v>96</v>
      </c>
      <c r="AD1061" s="0" t="n">
        <v>0</v>
      </c>
      <c r="AE1061" s="0" t="s">
        <v>295</v>
      </c>
      <c r="AH1061" s="0" t="n">
        <v>20</v>
      </c>
      <c r="AJ1061" s="0" t="n">
        <v>41</v>
      </c>
      <c r="AP1061" s="0" t="n">
        <v>500000</v>
      </c>
      <c r="DB1061" s="0" t="str">
        <f aca="false">IF($A1061="","",IF($AH1061=20,IF(AND(OR($A1061=21,$A1061=215),$AJ1061=10),"①病院一般",IF(AND($A1061=31,$AJ1061=41),"②病院短期","対象外")),IF($AJ1061=30,"③特定消防",IF(AND(OR($A1061=21,$A1061=215),$AJ1061=10),"④一般",IF(AND($A1061=31,$AJ1061=41),"⑤短期","対象外")))))</f>
        <v>②病院短期</v>
      </c>
      <c r="DC1061" s="0" t="n">
        <f aca="false">IF($A1061="","",IF($AB1061&amp;""=設定!$C$4,1,0))</f>
        <v>1</v>
      </c>
    </row>
    <row r="1062" customFormat="false" ht="15" hidden="false" customHeight="false" outlineLevel="0" collapsed="false">
      <c r="A1062" s="0" t="n">
        <v>31</v>
      </c>
      <c r="AA1062" s="0" t="n">
        <v>21</v>
      </c>
      <c r="AB1062" s="0" t="s">
        <v>96</v>
      </c>
      <c r="AD1062" s="0" t="n">
        <v>0</v>
      </c>
      <c r="AE1062" s="0" t="s">
        <v>295</v>
      </c>
      <c r="AH1062" s="0" t="n">
        <v>20</v>
      </c>
      <c r="AJ1062" s="0" t="n">
        <v>41</v>
      </c>
      <c r="AP1062" s="0" t="n">
        <v>530000</v>
      </c>
      <c r="DB1062" s="0" t="str">
        <f aca="false">IF($A1062="","",IF($AH1062=20,IF(AND(OR($A1062=21,$A1062=215),$AJ1062=10),"①病院一般",IF(AND($A1062=31,$AJ1062=41),"②病院短期","対象外")),IF($AJ1062=30,"③特定消防",IF(AND(OR($A1062=21,$A1062=215),$AJ1062=10),"④一般",IF(AND($A1062=31,$AJ1062=41),"⑤短期","対象外")))))</f>
        <v>②病院短期</v>
      </c>
      <c r="DC1062" s="0" t="n">
        <f aca="false">IF($A1062="","",IF($AB1062&amp;""=設定!$C$4,1,0))</f>
        <v>1</v>
      </c>
    </row>
    <row r="1063" customFormat="false" ht="15" hidden="false" customHeight="false" outlineLevel="0" collapsed="false">
      <c r="A1063" s="0" t="n">
        <v>31</v>
      </c>
      <c r="AA1063" s="0" t="n">
        <v>21</v>
      </c>
      <c r="AB1063" s="0" t="s">
        <v>96</v>
      </c>
      <c r="AD1063" s="0" t="n">
        <v>0</v>
      </c>
      <c r="AE1063" s="0" t="s">
        <v>295</v>
      </c>
      <c r="AH1063" s="0" t="n">
        <v>20</v>
      </c>
      <c r="AJ1063" s="0" t="n">
        <v>41</v>
      </c>
      <c r="AP1063" s="0" t="n">
        <v>560000</v>
      </c>
      <c r="DB1063" s="0" t="str">
        <f aca="false">IF($A1063="","",IF($AH1063=20,IF(AND(OR($A1063=21,$A1063=215),$AJ1063=10),"①病院一般",IF(AND($A1063=31,$AJ1063=41),"②病院短期","対象外")),IF($AJ1063=30,"③特定消防",IF(AND(OR($A1063=21,$A1063=215),$AJ1063=10),"④一般",IF(AND($A1063=31,$AJ1063=41),"⑤短期","対象外")))))</f>
        <v>②病院短期</v>
      </c>
      <c r="DC1063" s="0" t="n">
        <f aca="false">IF($A1063="","",IF($AB1063&amp;""=設定!$C$4,1,0))</f>
        <v>1</v>
      </c>
    </row>
    <row r="1064" customFormat="false" ht="15" hidden="false" customHeight="false" outlineLevel="0" collapsed="false">
      <c r="A1064" s="0" t="n">
        <v>31</v>
      </c>
      <c r="AA1064" s="0" t="n">
        <v>21</v>
      </c>
      <c r="AB1064" s="0" t="s">
        <v>96</v>
      </c>
      <c r="AD1064" s="0" t="n">
        <v>0</v>
      </c>
      <c r="AE1064" s="0" t="s">
        <v>295</v>
      </c>
      <c r="AH1064" s="0" t="n">
        <v>20</v>
      </c>
      <c r="AJ1064" s="0" t="n">
        <v>41</v>
      </c>
      <c r="AP1064" s="0" t="n">
        <v>530000</v>
      </c>
      <c r="DB1064" s="0" t="str">
        <f aca="false">IF($A1064="","",IF($AH1064=20,IF(AND(OR($A1064=21,$A1064=215),$AJ1064=10),"①病院一般",IF(AND($A1064=31,$AJ1064=41),"②病院短期","対象外")),IF($AJ1064=30,"③特定消防",IF(AND(OR($A1064=21,$A1064=215),$AJ1064=10),"④一般",IF(AND($A1064=31,$AJ1064=41),"⑤短期","対象外")))))</f>
        <v>②病院短期</v>
      </c>
      <c r="DC1064" s="0" t="n">
        <f aca="false">IF($A1064="","",IF($AB1064&amp;""=設定!$C$4,1,0))</f>
        <v>1</v>
      </c>
    </row>
    <row r="1065" customFormat="false" ht="15" hidden="false" customHeight="false" outlineLevel="0" collapsed="false">
      <c r="A1065" s="0" t="n">
        <v>31</v>
      </c>
      <c r="AA1065" s="0" t="n">
        <v>21</v>
      </c>
      <c r="AB1065" s="0" t="s">
        <v>96</v>
      </c>
      <c r="AD1065" s="0" t="n">
        <v>0</v>
      </c>
      <c r="AE1065" s="0" t="s">
        <v>295</v>
      </c>
      <c r="AH1065" s="0" t="n">
        <v>20</v>
      </c>
      <c r="AJ1065" s="0" t="n">
        <v>41</v>
      </c>
      <c r="AP1065" s="0" t="n">
        <v>560000</v>
      </c>
      <c r="DB1065" s="0" t="str">
        <f aca="false">IF($A1065="","",IF($AH1065=20,IF(AND(OR($A1065=21,$A1065=215),$AJ1065=10),"①病院一般",IF(AND($A1065=31,$AJ1065=41),"②病院短期","対象外")),IF($AJ1065=30,"③特定消防",IF(AND(OR($A1065=21,$A1065=215),$AJ1065=10),"④一般",IF(AND($A1065=31,$AJ1065=41),"⑤短期","対象外")))))</f>
        <v>②病院短期</v>
      </c>
      <c r="DC1065" s="0" t="n">
        <f aca="false">IF($A1065="","",IF($AB1065&amp;""=設定!$C$4,1,0))</f>
        <v>1</v>
      </c>
    </row>
    <row r="1066" customFormat="false" ht="15" hidden="false" customHeight="false" outlineLevel="0" collapsed="false">
      <c r="A1066" s="0" t="n">
        <v>31</v>
      </c>
      <c r="AA1066" s="0" t="n">
        <v>21</v>
      </c>
      <c r="AB1066" s="0" t="s">
        <v>96</v>
      </c>
      <c r="AD1066" s="0" t="n">
        <v>0</v>
      </c>
      <c r="AE1066" s="0" t="s">
        <v>295</v>
      </c>
      <c r="AH1066" s="0" t="n">
        <v>20</v>
      </c>
      <c r="AJ1066" s="0" t="n">
        <v>41</v>
      </c>
      <c r="AP1066" s="0" t="n">
        <v>530000</v>
      </c>
      <c r="DB1066" s="0" t="str">
        <f aca="false">IF($A1066="","",IF($AH1066=20,IF(AND(OR($A1066=21,$A1066=215),$AJ1066=10),"①病院一般",IF(AND($A1066=31,$AJ1066=41),"②病院短期","対象外")),IF($AJ1066=30,"③特定消防",IF(AND(OR($A1066=21,$A1066=215),$AJ1066=10),"④一般",IF(AND($A1066=31,$AJ1066=41),"⑤短期","対象外")))))</f>
        <v>②病院短期</v>
      </c>
      <c r="DC1066" s="0" t="n">
        <f aca="false">IF($A1066="","",IF($AB1066&amp;""=設定!$C$4,1,0))</f>
        <v>1</v>
      </c>
    </row>
    <row r="1067" customFormat="false" ht="15" hidden="false" customHeight="false" outlineLevel="0" collapsed="false">
      <c r="A1067" s="0" t="n">
        <v>31</v>
      </c>
      <c r="AA1067" s="0" t="n">
        <v>21</v>
      </c>
      <c r="AB1067" s="0" t="s">
        <v>96</v>
      </c>
      <c r="AD1067" s="0" t="n">
        <v>0</v>
      </c>
      <c r="AE1067" s="0" t="s">
        <v>295</v>
      </c>
      <c r="AH1067" s="0" t="n">
        <v>20</v>
      </c>
      <c r="AJ1067" s="0" t="n">
        <v>41</v>
      </c>
      <c r="AP1067" s="0" t="n">
        <v>530000</v>
      </c>
      <c r="DB1067" s="0" t="str">
        <f aca="false">IF($A1067="","",IF($AH1067=20,IF(AND(OR($A1067=21,$A1067=215),$AJ1067=10),"①病院一般",IF(AND($A1067=31,$AJ1067=41),"②病院短期","対象外")),IF($AJ1067=30,"③特定消防",IF(AND(OR($A1067=21,$A1067=215),$AJ1067=10),"④一般",IF(AND($A1067=31,$AJ1067=41),"⑤短期","対象外")))))</f>
        <v>②病院短期</v>
      </c>
      <c r="DC1067" s="0" t="n">
        <f aca="false">IF($A1067="","",IF($AB1067&amp;""=設定!$C$4,1,0))</f>
        <v>1</v>
      </c>
    </row>
    <row r="1068" customFormat="false" ht="15" hidden="false" customHeight="false" outlineLevel="0" collapsed="false">
      <c r="A1068" s="0" t="n">
        <v>31</v>
      </c>
      <c r="AA1068" s="0" t="n">
        <v>21</v>
      </c>
      <c r="AB1068" s="0" t="s">
        <v>96</v>
      </c>
      <c r="AD1068" s="0" t="n">
        <v>0</v>
      </c>
      <c r="AE1068" s="0" t="s">
        <v>295</v>
      </c>
      <c r="AH1068" s="0" t="n">
        <v>20</v>
      </c>
      <c r="AJ1068" s="0" t="n">
        <v>41</v>
      </c>
      <c r="AP1068" s="0" t="n">
        <v>500000</v>
      </c>
      <c r="DB1068" s="0" t="str">
        <f aca="false">IF($A1068="","",IF($AH1068=20,IF(AND(OR($A1068=21,$A1068=215),$AJ1068=10),"①病院一般",IF(AND($A1068=31,$AJ1068=41),"②病院短期","対象外")),IF($AJ1068=30,"③特定消防",IF(AND(OR($A1068=21,$A1068=215),$AJ1068=10),"④一般",IF(AND($A1068=31,$AJ1068=41),"⑤短期","対象外")))))</f>
        <v>②病院短期</v>
      </c>
      <c r="DC1068" s="0" t="n">
        <f aca="false">IF($A1068="","",IF($AB1068&amp;""=設定!$C$4,1,0))</f>
        <v>1</v>
      </c>
    </row>
    <row r="1069" customFormat="false" ht="15" hidden="false" customHeight="false" outlineLevel="0" collapsed="false">
      <c r="A1069" s="0" t="n">
        <v>31</v>
      </c>
      <c r="AA1069" s="0" t="n">
        <v>21</v>
      </c>
      <c r="AB1069" s="0" t="s">
        <v>96</v>
      </c>
      <c r="AD1069" s="0" t="n">
        <v>0</v>
      </c>
      <c r="AE1069" s="0" t="s">
        <v>295</v>
      </c>
      <c r="AH1069" s="0" t="n">
        <v>20</v>
      </c>
      <c r="AJ1069" s="0" t="n">
        <v>41</v>
      </c>
      <c r="AP1069" s="0" t="n">
        <v>500000</v>
      </c>
      <c r="DB1069" s="0" t="str">
        <f aca="false">IF($A1069="","",IF($AH1069=20,IF(AND(OR($A1069=21,$A1069=215),$AJ1069=10),"①病院一般",IF(AND($A1069=31,$AJ1069=41),"②病院短期","対象外")),IF($AJ1069=30,"③特定消防",IF(AND(OR($A1069=21,$A1069=215),$AJ1069=10),"④一般",IF(AND($A1069=31,$AJ1069=41),"⑤短期","対象外")))))</f>
        <v>②病院短期</v>
      </c>
      <c r="DC1069" s="0" t="n">
        <f aca="false">IF($A1069="","",IF($AB1069&amp;""=設定!$C$4,1,0))</f>
        <v>1</v>
      </c>
    </row>
    <row r="1070" customFormat="false" ht="15" hidden="false" customHeight="false" outlineLevel="0" collapsed="false">
      <c r="A1070" s="0" t="n">
        <v>31</v>
      </c>
      <c r="AA1070" s="0" t="n">
        <v>21</v>
      </c>
      <c r="AB1070" s="0" t="s">
        <v>96</v>
      </c>
      <c r="AD1070" s="0" t="n">
        <v>0</v>
      </c>
      <c r="AE1070" s="0" t="s">
        <v>295</v>
      </c>
      <c r="AH1070" s="0" t="n">
        <v>20</v>
      </c>
      <c r="AJ1070" s="0" t="n">
        <v>41</v>
      </c>
      <c r="AP1070" s="0" t="n">
        <v>500000</v>
      </c>
      <c r="DB1070" s="0" t="str">
        <f aca="false">IF($A1070="","",IF($AH1070=20,IF(AND(OR($A1070=21,$A1070=215),$AJ1070=10),"①病院一般",IF(AND($A1070=31,$AJ1070=41),"②病院短期","対象外")),IF($AJ1070=30,"③特定消防",IF(AND(OR($A1070=21,$A1070=215),$AJ1070=10),"④一般",IF(AND($A1070=31,$AJ1070=41),"⑤短期","対象外")))))</f>
        <v>②病院短期</v>
      </c>
      <c r="DC1070" s="0" t="n">
        <f aca="false">IF($A1070="","",IF($AB1070&amp;""=設定!$C$4,1,0))</f>
        <v>1</v>
      </c>
    </row>
    <row r="1071" customFormat="false" ht="15" hidden="false" customHeight="false" outlineLevel="0" collapsed="false">
      <c r="A1071" s="0" t="n">
        <v>31</v>
      </c>
      <c r="AA1071" s="0" t="n">
        <v>21</v>
      </c>
      <c r="AB1071" s="0" t="s">
        <v>96</v>
      </c>
      <c r="AD1071" s="0" t="n">
        <v>0</v>
      </c>
      <c r="AE1071" s="0" t="s">
        <v>295</v>
      </c>
      <c r="AH1071" s="0" t="n">
        <v>20</v>
      </c>
      <c r="AJ1071" s="0" t="n">
        <v>41</v>
      </c>
      <c r="AP1071" s="0" t="n">
        <v>500000</v>
      </c>
      <c r="DB1071" s="0" t="str">
        <f aca="false">IF($A1071="","",IF($AH1071=20,IF(AND(OR($A1071=21,$A1071=215),$AJ1071=10),"①病院一般",IF(AND($A1071=31,$AJ1071=41),"②病院短期","対象外")),IF($AJ1071=30,"③特定消防",IF(AND(OR($A1071=21,$A1071=215),$AJ1071=10),"④一般",IF(AND($A1071=31,$AJ1071=41),"⑤短期","対象外")))))</f>
        <v>②病院短期</v>
      </c>
      <c r="DC1071" s="0" t="n">
        <f aca="false">IF($A1071="","",IF($AB1071&amp;""=設定!$C$4,1,0))</f>
        <v>1</v>
      </c>
    </row>
    <row r="1072" customFormat="false" ht="15" hidden="false" customHeight="false" outlineLevel="0" collapsed="false">
      <c r="A1072" s="0" t="n">
        <v>31</v>
      </c>
      <c r="AA1072" s="0" t="n">
        <v>21</v>
      </c>
      <c r="AB1072" s="0" t="s">
        <v>96</v>
      </c>
      <c r="AD1072" s="0" t="n">
        <v>0</v>
      </c>
      <c r="AE1072" s="0" t="s">
        <v>295</v>
      </c>
      <c r="AH1072" s="0" t="n">
        <v>20</v>
      </c>
      <c r="AJ1072" s="0" t="n">
        <v>41</v>
      </c>
      <c r="AP1072" s="0" t="n">
        <v>500000</v>
      </c>
      <c r="DB1072" s="0" t="str">
        <f aca="false">IF($A1072="","",IF($AH1072=20,IF(AND(OR($A1072=21,$A1072=215),$AJ1072=10),"①病院一般",IF(AND($A1072=31,$AJ1072=41),"②病院短期","対象外")),IF($AJ1072=30,"③特定消防",IF(AND(OR($A1072=21,$A1072=215),$AJ1072=10),"④一般",IF(AND($A1072=31,$AJ1072=41),"⑤短期","対象外")))))</f>
        <v>②病院短期</v>
      </c>
      <c r="DC1072" s="0" t="n">
        <f aca="false">IF($A1072="","",IF($AB1072&amp;""=設定!$C$4,1,0))</f>
        <v>1</v>
      </c>
    </row>
    <row r="1073" customFormat="false" ht="15" hidden="false" customHeight="false" outlineLevel="0" collapsed="false">
      <c r="A1073" s="0" t="n">
        <v>31</v>
      </c>
      <c r="AA1073" s="0" t="n">
        <v>21</v>
      </c>
      <c r="AB1073" s="0" t="s">
        <v>96</v>
      </c>
      <c r="AD1073" s="0" t="n">
        <v>0</v>
      </c>
      <c r="AE1073" s="0" t="s">
        <v>295</v>
      </c>
      <c r="AH1073" s="0" t="n">
        <v>20</v>
      </c>
      <c r="AJ1073" s="0" t="n">
        <v>41</v>
      </c>
      <c r="AP1073" s="0" t="n">
        <v>880000</v>
      </c>
      <c r="DB1073" s="0" t="str">
        <f aca="false">IF($A1073="","",IF($AH1073=20,IF(AND(OR($A1073=21,$A1073=215),$AJ1073=10),"①病院一般",IF(AND($A1073=31,$AJ1073=41),"②病院短期","対象外")),IF($AJ1073=30,"③特定消防",IF(AND(OR($A1073=21,$A1073=215),$AJ1073=10),"④一般",IF(AND($A1073=31,$AJ1073=41),"⑤短期","対象外")))))</f>
        <v>②病院短期</v>
      </c>
      <c r="DC1073" s="0" t="n">
        <f aca="false">IF($A1073="","",IF($AB1073&amp;""=設定!$C$4,1,0))</f>
        <v>1</v>
      </c>
    </row>
    <row r="1074" customFormat="false" ht="15" hidden="false" customHeight="false" outlineLevel="0" collapsed="false">
      <c r="A1074" s="0" t="n">
        <v>31</v>
      </c>
      <c r="AA1074" s="0" t="n">
        <v>21</v>
      </c>
      <c r="AB1074" s="0" t="s">
        <v>96</v>
      </c>
      <c r="AD1074" s="0" t="n">
        <v>0</v>
      </c>
      <c r="AE1074" s="0" t="s">
        <v>295</v>
      </c>
      <c r="AH1074" s="0" t="n">
        <v>20</v>
      </c>
      <c r="AJ1074" s="0" t="n">
        <v>41</v>
      </c>
      <c r="AP1074" s="0" t="n">
        <v>930000</v>
      </c>
      <c r="DB1074" s="0" t="str">
        <f aca="false">IF($A1074="","",IF($AH1074=20,IF(AND(OR($A1074=21,$A1074=215),$AJ1074=10),"①病院一般",IF(AND($A1074=31,$AJ1074=41),"②病院短期","対象外")),IF($AJ1074=30,"③特定消防",IF(AND(OR($A1074=21,$A1074=215),$AJ1074=10),"④一般",IF(AND($A1074=31,$AJ1074=41),"⑤短期","対象外")))))</f>
        <v>②病院短期</v>
      </c>
      <c r="DC1074" s="0" t="n">
        <f aca="false">IF($A1074="","",IF($AB1074&amp;""=設定!$C$4,1,0))</f>
        <v>1</v>
      </c>
    </row>
    <row r="1075" customFormat="false" ht="15" hidden="false" customHeight="false" outlineLevel="0" collapsed="false">
      <c r="A1075" s="0" t="n">
        <v>31</v>
      </c>
      <c r="AA1075" s="0" t="n">
        <v>21</v>
      </c>
      <c r="AB1075" s="0" t="s">
        <v>96</v>
      </c>
      <c r="AD1075" s="0" t="n">
        <v>12</v>
      </c>
      <c r="AE1075" s="0" t="s">
        <v>301</v>
      </c>
      <c r="AH1075" s="0" t="n">
        <v>20</v>
      </c>
      <c r="AJ1075" s="0" t="n">
        <v>41</v>
      </c>
      <c r="AP1075" s="0" t="n">
        <v>750000</v>
      </c>
      <c r="DB1075" s="0" t="str">
        <f aca="false">IF($A1075="","",IF($AH1075=20,IF(AND(OR($A1075=21,$A1075=215),$AJ1075=10),"①病院一般",IF(AND($A1075=31,$AJ1075=41),"②病院短期","対象外")),IF($AJ1075=30,"③特定消防",IF(AND(OR($A1075=21,$A1075=215),$AJ1075=10),"④一般",IF(AND($A1075=31,$AJ1075=41),"⑤短期","対象外")))))</f>
        <v>②病院短期</v>
      </c>
      <c r="DC1075" s="0" t="n">
        <f aca="false">IF($A1075="","",IF($AB1075&amp;""=設定!$C$4,1,0))</f>
        <v>1</v>
      </c>
    </row>
    <row r="1076" customFormat="false" ht="15" hidden="false" customHeight="false" outlineLevel="0" collapsed="false">
      <c r="A1076" s="0" t="n">
        <v>31</v>
      </c>
      <c r="AA1076" s="0" t="n">
        <v>21</v>
      </c>
      <c r="AB1076" s="0" t="s">
        <v>96</v>
      </c>
      <c r="AD1076" s="0" t="n">
        <v>0</v>
      </c>
      <c r="AE1076" s="0" t="s">
        <v>295</v>
      </c>
      <c r="AH1076" s="0" t="n">
        <v>20</v>
      </c>
      <c r="AJ1076" s="0" t="n">
        <v>41</v>
      </c>
      <c r="AP1076" s="0" t="n">
        <v>880000</v>
      </c>
      <c r="DB1076" s="0" t="str">
        <f aca="false">IF($A1076="","",IF($AH1076=20,IF(AND(OR($A1076=21,$A1076=215),$AJ1076=10),"①病院一般",IF(AND($A1076=31,$AJ1076=41),"②病院短期","対象外")),IF($AJ1076=30,"③特定消防",IF(AND(OR($A1076=21,$A1076=215),$AJ1076=10),"④一般",IF(AND($A1076=31,$AJ1076=41),"⑤短期","対象外")))))</f>
        <v>②病院短期</v>
      </c>
      <c r="DC1076" s="0" t="n">
        <f aca="false">IF($A1076="","",IF($AB1076&amp;""=設定!$C$4,1,0))</f>
        <v>1</v>
      </c>
    </row>
    <row r="1077" customFormat="false" ht="15" hidden="false" customHeight="false" outlineLevel="0" collapsed="false">
      <c r="A1077" s="0" t="n">
        <v>31</v>
      </c>
      <c r="AA1077" s="0" t="n">
        <v>21</v>
      </c>
      <c r="AB1077" s="0" t="s">
        <v>96</v>
      </c>
      <c r="AD1077" s="0" t="n">
        <v>0</v>
      </c>
      <c r="AE1077" s="0" t="s">
        <v>295</v>
      </c>
      <c r="AH1077" s="0" t="n">
        <v>20</v>
      </c>
      <c r="AJ1077" s="0" t="n">
        <v>41</v>
      </c>
      <c r="AP1077" s="0" t="n">
        <v>830000</v>
      </c>
      <c r="DB1077" s="0" t="str">
        <f aca="false">IF($A1077="","",IF($AH1077=20,IF(AND(OR($A1077=21,$A1077=215),$AJ1077=10),"①病院一般",IF(AND($A1077=31,$AJ1077=41),"②病院短期","対象外")),IF($AJ1077=30,"③特定消防",IF(AND(OR($A1077=21,$A1077=215),$AJ1077=10),"④一般",IF(AND($A1077=31,$AJ1077=41),"⑤短期","対象外")))))</f>
        <v>②病院短期</v>
      </c>
      <c r="DC1077" s="0" t="n">
        <f aca="false">IF($A1077="","",IF($AB1077&amp;""=設定!$C$4,1,0))</f>
        <v>1</v>
      </c>
    </row>
    <row r="1078" customFormat="false" ht="15" hidden="false" customHeight="false" outlineLevel="0" collapsed="false">
      <c r="A1078" s="0" t="n">
        <v>31</v>
      </c>
      <c r="AA1078" s="0" t="n">
        <v>21</v>
      </c>
      <c r="AB1078" s="0" t="s">
        <v>96</v>
      </c>
      <c r="AD1078" s="0" t="n">
        <v>0</v>
      </c>
      <c r="AE1078" s="0" t="s">
        <v>295</v>
      </c>
      <c r="AH1078" s="0" t="n">
        <v>20</v>
      </c>
      <c r="AJ1078" s="0" t="n">
        <v>41</v>
      </c>
      <c r="AP1078" s="0" t="n">
        <v>880000</v>
      </c>
      <c r="DB1078" s="0" t="str">
        <f aca="false">IF($A1078="","",IF($AH1078=20,IF(AND(OR($A1078=21,$A1078=215),$AJ1078=10),"①病院一般",IF(AND($A1078=31,$AJ1078=41),"②病院短期","対象外")),IF($AJ1078=30,"③特定消防",IF(AND(OR($A1078=21,$A1078=215),$AJ1078=10),"④一般",IF(AND($A1078=31,$AJ1078=41),"⑤短期","対象外")))))</f>
        <v>②病院短期</v>
      </c>
      <c r="DC1078" s="0" t="n">
        <f aca="false">IF($A1078="","",IF($AB1078&amp;""=設定!$C$4,1,0))</f>
        <v>1</v>
      </c>
    </row>
    <row r="1079" customFormat="false" ht="15" hidden="false" customHeight="false" outlineLevel="0" collapsed="false">
      <c r="A1079" s="0" t="n">
        <v>31</v>
      </c>
      <c r="AA1079" s="0" t="n">
        <v>21</v>
      </c>
      <c r="AB1079" s="0" t="s">
        <v>96</v>
      </c>
      <c r="AD1079" s="0" t="n">
        <v>0</v>
      </c>
      <c r="AE1079" s="0" t="s">
        <v>295</v>
      </c>
      <c r="AH1079" s="0" t="n">
        <v>20</v>
      </c>
      <c r="AJ1079" s="0" t="n">
        <v>41</v>
      </c>
      <c r="AP1079" s="0" t="n">
        <v>830000</v>
      </c>
      <c r="DB1079" s="0" t="str">
        <f aca="false">IF($A1079="","",IF($AH1079=20,IF(AND(OR($A1079=21,$A1079=215),$AJ1079=10),"①病院一般",IF(AND($A1079=31,$AJ1079=41),"②病院短期","対象外")),IF($AJ1079=30,"③特定消防",IF(AND(OR($A1079=21,$A1079=215),$AJ1079=10),"④一般",IF(AND($A1079=31,$AJ1079=41),"⑤短期","対象外")))))</f>
        <v>②病院短期</v>
      </c>
      <c r="DC1079" s="0" t="n">
        <f aca="false">IF($A1079="","",IF($AB1079&amp;""=設定!$C$4,1,0))</f>
        <v>1</v>
      </c>
    </row>
    <row r="1080" customFormat="false" ht="15" hidden="false" customHeight="false" outlineLevel="0" collapsed="false">
      <c r="A1080" s="0" t="n">
        <v>31</v>
      </c>
      <c r="AA1080" s="0" t="n">
        <v>21</v>
      </c>
      <c r="AB1080" s="0" t="s">
        <v>96</v>
      </c>
      <c r="AD1080" s="0" t="n">
        <v>0</v>
      </c>
      <c r="AE1080" s="0" t="s">
        <v>295</v>
      </c>
      <c r="AH1080" s="0" t="n">
        <v>20</v>
      </c>
      <c r="AJ1080" s="0" t="n">
        <v>41</v>
      </c>
      <c r="AP1080" s="0" t="n">
        <v>930000</v>
      </c>
      <c r="DB1080" s="0" t="str">
        <f aca="false">IF($A1080="","",IF($AH1080=20,IF(AND(OR($A1080=21,$A1080=215),$AJ1080=10),"①病院一般",IF(AND($A1080=31,$AJ1080=41),"②病院短期","対象外")),IF($AJ1080=30,"③特定消防",IF(AND(OR($A1080=21,$A1080=215),$AJ1080=10),"④一般",IF(AND($A1080=31,$AJ1080=41),"⑤短期","対象外")))))</f>
        <v>②病院短期</v>
      </c>
      <c r="DC1080" s="0" t="n">
        <f aca="false">IF($A1080="","",IF($AB1080&amp;""=設定!$C$4,1,0))</f>
        <v>1</v>
      </c>
    </row>
    <row r="1081" customFormat="false" ht="15" hidden="false" customHeight="false" outlineLevel="0" collapsed="false">
      <c r="A1081" s="0" t="n">
        <v>31</v>
      </c>
      <c r="AA1081" s="0" t="n">
        <v>21</v>
      </c>
      <c r="AB1081" s="0" t="s">
        <v>96</v>
      </c>
      <c r="AD1081" s="0" t="n">
        <v>0</v>
      </c>
      <c r="AE1081" s="0" t="s">
        <v>295</v>
      </c>
      <c r="AH1081" s="0" t="n">
        <v>20</v>
      </c>
      <c r="AJ1081" s="0" t="n">
        <v>41</v>
      </c>
      <c r="AP1081" s="0" t="n">
        <v>750000</v>
      </c>
      <c r="DB1081" s="0" t="str">
        <f aca="false">IF($A1081="","",IF($AH1081=20,IF(AND(OR($A1081=21,$A1081=215),$AJ1081=10),"①病院一般",IF(AND($A1081=31,$AJ1081=41),"②病院短期","対象外")),IF($AJ1081=30,"③特定消防",IF(AND(OR($A1081=21,$A1081=215),$AJ1081=10),"④一般",IF(AND($A1081=31,$AJ1081=41),"⑤短期","対象外")))))</f>
        <v>②病院短期</v>
      </c>
      <c r="DC1081" s="0" t="n">
        <f aca="false">IF($A1081="","",IF($AB1081&amp;""=設定!$C$4,1,0))</f>
        <v>1</v>
      </c>
    </row>
    <row r="1082" customFormat="false" ht="15" hidden="false" customHeight="false" outlineLevel="0" collapsed="false">
      <c r="A1082" s="0" t="n">
        <v>31</v>
      </c>
      <c r="AA1082" s="0" t="n">
        <v>21</v>
      </c>
      <c r="AB1082" s="0" t="s">
        <v>96</v>
      </c>
      <c r="AD1082" s="0" t="n">
        <v>0</v>
      </c>
      <c r="AE1082" s="0" t="s">
        <v>295</v>
      </c>
      <c r="AH1082" s="0" t="n">
        <v>20</v>
      </c>
      <c r="AJ1082" s="0" t="n">
        <v>41</v>
      </c>
      <c r="AP1082" s="0" t="n">
        <v>710000</v>
      </c>
      <c r="DB1082" s="0" t="str">
        <f aca="false">IF($A1082="","",IF($AH1082=20,IF(AND(OR($A1082=21,$A1082=215),$AJ1082=10),"①病院一般",IF(AND($A1082=31,$AJ1082=41),"②病院短期","対象外")),IF($AJ1082=30,"③特定消防",IF(AND(OR($A1082=21,$A1082=215),$AJ1082=10),"④一般",IF(AND($A1082=31,$AJ1082=41),"⑤短期","対象外")))))</f>
        <v>②病院短期</v>
      </c>
      <c r="DC1082" s="0" t="n">
        <f aca="false">IF($A1082="","",IF($AB1082&amp;""=設定!$C$4,1,0))</f>
        <v>1</v>
      </c>
    </row>
    <row r="1083" customFormat="false" ht="15" hidden="false" customHeight="false" outlineLevel="0" collapsed="false">
      <c r="A1083" s="0" t="n">
        <v>31</v>
      </c>
      <c r="AA1083" s="0" t="n">
        <v>21</v>
      </c>
      <c r="AB1083" s="0" t="s">
        <v>96</v>
      </c>
      <c r="AD1083" s="0" t="n">
        <v>0</v>
      </c>
      <c r="AE1083" s="0" t="s">
        <v>295</v>
      </c>
      <c r="AH1083" s="0" t="n">
        <v>20</v>
      </c>
      <c r="AJ1083" s="0" t="n">
        <v>41</v>
      </c>
      <c r="AP1083" s="0" t="n">
        <v>790000</v>
      </c>
      <c r="DB1083" s="0" t="str">
        <f aca="false">IF($A1083="","",IF($AH1083=20,IF(AND(OR($A1083=21,$A1083=215),$AJ1083=10),"①病院一般",IF(AND($A1083=31,$AJ1083=41),"②病院短期","対象外")),IF($AJ1083=30,"③特定消防",IF(AND(OR($A1083=21,$A1083=215),$AJ1083=10),"④一般",IF(AND($A1083=31,$AJ1083=41),"⑤短期","対象外")))))</f>
        <v>②病院短期</v>
      </c>
      <c r="DC1083" s="0" t="n">
        <f aca="false">IF($A1083="","",IF($AB1083&amp;""=設定!$C$4,1,0))</f>
        <v>1</v>
      </c>
    </row>
    <row r="1084" customFormat="false" ht="15" hidden="false" customHeight="false" outlineLevel="0" collapsed="false">
      <c r="A1084" s="0" t="n">
        <v>31</v>
      </c>
      <c r="AA1084" s="0" t="n">
        <v>21</v>
      </c>
      <c r="AB1084" s="0" t="s">
        <v>96</v>
      </c>
      <c r="AD1084" s="0" t="n">
        <v>0</v>
      </c>
      <c r="AE1084" s="0" t="s">
        <v>295</v>
      </c>
      <c r="AH1084" s="0" t="n">
        <v>20</v>
      </c>
      <c r="AJ1084" s="0" t="n">
        <v>41</v>
      </c>
      <c r="AP1084" s="0" t="n">
        <v>830000</v>
      </c>
      <c r="DB1084" s="0" t="str">
        <f aca="false">IF($A1084="","",IF($AH1084=20,IF(AND(OR($A1084=21,$A1084=215),$AJ1084=10),"①病院一般",IF(AND($A1084=31,$AJ1084=41),"②病院短期","対象外")),IF($AJ1084=30,"③特定消防",IF(AND(OR($A1084=21,$A1084=215),$AJ1084=10),"④一般",IF(AND($A1084=31,$AJ1084=41),"⑤短期","対象外")))))</f>
        <v>②病院短期</v>
      </c>
      <c r="DC1084" s="0" t="n">
        <f aca="false">IF($A1084="","",IF($AB1084&amp;""=設定!$C$4,1,0))</f>
        <v>1</v>
      </c>
    </row>
    <row r="1085" customFormat="false" ht="15" hidden="false" customHeight="false" outlineLevel="0" collapsed="false">
      <c r="A1085" s="0" t="n">
        <v>31</v>
      </c>
      <c r="AA1085" s="0" t="n">
        <v>21</v>
      </c>
      <c r="AB1085" s="0" t="s">
        <v>96</v>
      </c>
      <c r="AD1085" s="0" t="n">
        <v>0</v>
      </c>
      <c r="AE1085" s="0" t="s">
        <v>295</v>
      </c>
      <c r="AH1085" s="0" t="n">
        <v>20</v>
      </c>
      <c r="AJ1085" s="0" t="n">
        <v>41</v>
      </c>
      <c r="AP1085" s="0" t="n">
        <v>790000</v>
      </c>
      <c r="DB1085" s="0" t="str">
        <f aca="false">IF($A1085="","",IF($AH1085=20,IF(AND(OR($A1085=21,$A1085=215),$AJ1085=10),"①病院一般",IF(AND($A1085=31,$AJ1085=41),"②病院短期","対象外")),IF($AJ1085=30,"③特定消防",IF(AND(OR($A1085=21,$A1085=215),$AJ1085=10),"④一般",IF(AND($A1085=31,$AJ1085=41),"⑤短期","対象外")))))</f>
        <v>②病院短期</v>
      </c>
      <c r="DC1085" s="0" t="n">
        <f aca="false">IF($A1085="","",IF($AB1085&amp;""=設定!$C$4,1,0))</f>
        <v>1</v>
      </c>
    </row>
    <row r="1086" customFormat="false" ht="15" hidden="false" customHeight="false" outlineLevel="0" collapsed="false">
      <c r="A1086" s="0" t="n">
        <v>31</v>
      </c>
      <c r="AA1086" s="0" t="n">
        <v>21</v>
      </c>
      <c r="AB1086" s="0" t="s">
        <v>96</v>
      </c>
      <c r="AD1086" s="0" t="n">
        <v>0</v>
      </c>
      <c r="AE1086" s="0" t="s">
        <v>295</v>
      </c>
      <c r="AH1086" s="0" t="n">
        <v>20</v>
      </c>
      <c r="AJ1086" s="0" t="n">
        <v>41</v>
      </c>
      <c r="AP1086" s="0" t="n">
        <v>830000</v>
      </c>
      <c r="DB1086" s="0" t="str">
        <f aca="false">IF($A1086="","",IF($AH1086=20,IF(AND(OR($A1086=21,$A1086=215),$AJ1086=10),"①病院一般",IF(AND($A1086=31,$AJ1086=41),"②病院短期","対象外")),IF($AJ1086=30,"③特定消防",IF(AND(OR($A1086=21,$A1086=215),$AJ1086=10),"④一般",IF(AND($A1086=31,$AJ1086=41),"⑤短期","対象外")))))</f>
        <v>②病院短期</v>
      </c>
      <c r="DC1086" s="0" t="n">
        <f aca="false">IF($A1086="","",IF($AB1086&amp;""=設定!$C$4,1,0))</f>
        <v>1</v>
      </c>
    </row>
    <row r="1087" customFormat="false" ht="15" hidden="false" customHeight="false" outlineLevel="0" collapsed="false">
      <c r="A1087" s="0" t="n">
        <v>31</v>
      </c>
      <c r="AA1087" s="0" t="n">
        <v>21</v>
      </c>
      <c r="AB1087" s="0" t="s">
        <v>96</v>
      </c>
      <c r="AD1087" s="0" t="n">
        <v>0</v>
      </c>
      <c r="AE1087" s="0" t="s">
        <v>295</v>
      </c>
      <c r="AH1087" s="0" t="n">
        <v>20</v>
      </c>
      <c r="AJ1087" s="0" t="n">
        <v>41</v>
      </c>
      <c r="AP1087" s="0" t="n">
        <v>980000</v>
      </c>
      <c r="DB1087" s="0" t="str">
        <f aca="false">IF($A1087="","",IF($AH1087=20,IF(AND(OR($A1087=21,$A1087=215),$AJ1087=10),"①病院一般",IF(AND($A1087=31,$AJ1087=41),"②病院短期","対象外")),IF($AJ1087=30,"③特定消防",IF(AND(OR($A1087=21,$A1087=215),$AJ1087=10),"④一般",IF(AND($A1087=31,$AJ1087=41),"⑤短期","対象外")))))</f>
        <v>②病院短期</v>
      </c>
      <c r="DC1087" s="0" t="n">
        <f aca="false">IF($A1087="","",IF($AB1087&amp;""=設定!$C$4,1,0))</f>
        <v>1</v>
      </c>
    </row>
    <row r="1088" customFormat="false" ht="15" hidden="false" customHeight="false" outlineLevel="0" collapsed="false">
      <c r="A1088" s="0" t="n">
        <v>31</v>
      </c>
      <c r="AA1088" s="0" t="n">
        <v>21</v>
      </c>
      <c r="AB1088" s="0" t="s">
        <v>96</v>
      </c>
      <c r="AD1088" s="0" t="n">
        <v>0</v>
      </c>
      <c r="AE1088" s="0" t="s">
        <v>295</v>
      </c>
      <c r="AH1088" s="0" t="n">
        <v>20</v>
      </c>
      <c r="AJ1088" s="0" t="n">
        <v>41</v>
      </c>
      <c r="AP1088" s="0" t="n">
        <v>790000</v>
      </c>
      <c r="DB1088" s="0" t="str">
        <f aca="false">IF($A1088="","",IF($AH1088=20,IF(AND(OR($A1088=21,$A1088=215),$AJ1088=10),"①病院一般",IF(AND($A1088=31,$AJ1088=41),"②病院短期","対象外")),IF($AJ1088=30,"③特定消防",IF(AND(OR($A1088=21,$A1088=215),$AJ1088=10),"④一般",IF(AND($A1088=31,$AJ1088=41),"⑤短期","対象外")))))</f>
        <v>②病院短期</v>
      </c>
      <c r="DC1088" s="0" t="n">
        <f aca="false">IF($A1088="","",IF($AB1088&amp;""=設定!$C$4,1,0))</f>
        <v>1</v>
      </c>
    </row>
    <row r="1089" customFormat="false" ht="15" hidden="false" customHeight="false" outlineLevel="0" collapsed="false">
      <c r="A1089" s="0" t="n">
        <v>31</v>
      </c>
      <c r="AA1089" s="0" t="n">
        <v>21</v>
      </c>
      <c r="AB1089" s="0" t="s">
        <v>96</v>
      </c>
      <c r="AD1089" s="0" t="n">
        <v>0</v>
      </c>
      <c r="AE1089" s="0" t="s">
        <v>295</v>
      </c>
      <c r="AH1089" s="0" t="n">
        <v>20</v>
      </c>
      <c r="AJ1089" s="0" t="n">
        <v>41</v>
      </c>
      <c r="AP1089" s="0" t="n">
        <v>830000</v>
      </c>
      <c r="DB1089" s="0" t="str">
        <f aca="false">IF($A1089="","",IF($AH1089=20,IF(AND(OR($A1089=21,$A1089=215),$AJ1089=10),"①病院一般",IF(AND($A1089=31,$AJ1089=41),"②病院短期","対象外")),IF($AJ1089=30,"③特定消防",IF(AND(OR($A1089=21,$A1089=215),$AJ1089=10),"④一般",IF(AND($A1089=31,$AJ1089=41),"⑤短期","対象外")))))</f>
        <v>②病院短期</v>
      </c>
      <c r="DC1089" s="0" t="n">
        <f aca="false">IF($A1089="","",IF($AB1089&amp;""=設定!$C$4,1,0))</f>
        <v>1</v>
      </c>
    </row>
    <row r="1090" customFormat="false" ht="15" hidden="false" customHeight="false" outlineLevel="0" collapsed="false">
      <c r="A1090" s="0" t="n">
        <v>31</v>
      </c>
      <c r="AA1090" s="0" t="n">
        <v>21</v>
      </c>
      <c r="AB1090" s="0" t="s">
        <v>96</v>
      </c>
      <c r="AD1090" s="0" t="n">
        <v>0</v>
      </c>
      <c r="AE1090" s="0" t="s">
        <v>295</v>
      </c>
      <c r="AH1090" s="0" t="n">
        <v>20</v>
      </c>
      <c r="AJ1090" s="0" t="n">
        <v>41</v>
      </c>
      <c r="AP1090" s="0" t="n">
        <v>790000</v>
      </c>
      <c r="DB1090" s="0" t="str">
        <f aca="false">IF($A1090="","",IF($AH1090=20,IF(AND(OR($A1090=21,$A1090=215),$AJ1090=10),"①病院一般",IF(AND($A1090=31,$AJ1090=41),"②病院短期","対象外")),IF($AJ1090=30,"③特定消防",IF(AND(OR($A1090=21,$A1090=215),$AJ1090=10),"④一般",IF(AND($A1090=31,$AJ1090=41),"⑤短期","対象外")))))</f>
        <v>②病院短期</v>
      </c>
      <c r="DC1090" s="0" t="n">
        <f aca="false">IF($A1090="","",IF($AB1090&amp;""=設定!$C$4,1,0))</f>
        <v>1</v>
      </c>
    </row>
    <row r="1091" customFormat="false" ht="15" hidden="false" customHeight="false" outlineLevel="0" collapsed="false">
      <c r="A1091" s="0" t="n">
        <v>31</v>
      </c>
      <c r="AA1091" s="0" t="n">
        <v>21</v>
      </c>
      <c r="AB1091" s="0" t="s">
        <v>96</v>
      </c>
      <c r="AD1091" s="0" t="n">
        <v>0</v>
      </c>
      <c r="AE1091" s="0" t="s">
        <v>295</v>
      </c>
      <c r="AH1091" s="0" t="n">
        <v>20</v>
      </c>
      <c r="AJ1091" s="0" t="n">
        <v>41</v>
      </c>
      <c r="AP1091" s="0" t="n">
        <v>980000</v>
      </c>
      <c r="DB1091" s="0" t="str">
        <f aca="false">IF($A1091="","",IF($AH1091=20,IF(AND(OR($A1091=21,$A1091=215),$AJ1091=10),"①病院一般",IF(AND($A1091=31,$AJ1091=41),"②病院短期","対象外")),IF($AJ1091=30,"③特定消防",IF(AND(OR($A1091=21,$A1091=215),$AJ1091=10),"④一般",IF(AND($A1091=31,$AJ1091=41),"⑤短期","対象外")))))</f>
        <v>②病院短期</v>
      </c>
      <c r="DC1091" s="0" t="n">
        <f aca="false">IF($A1091="","",IF($AB1091&amp;""=設定!$C$4,1,0))</f>
        <v>1</v>
      </c>
    </row>
    <row r="1092" customFormat="false" ht="15" hidden="false" customHeight="false" outlineLevel="0" collapsed="false">
      <c r="A1092" s="0" t="n">
        <v>31</v>
      </c>
      <c r="AA1092" s="0" t="n">
        <v>21</v>
      </c>
      <c r="AB1092" s="0" t="s">
        <v>96</v>
      </c>
      <c r="AD1092" s="0" t="n">
        <v>0</v>
      </c>
      <c r="AE1092" s="0" t="s">
        <v>295</v>
      </c>
      <c r="AH1092" s="0" t="n">
        <v>20</v>
      </c>
      <c r="AJ1092" s="0" t="n">
        <v>41</v>
      </c>
      <c r="AP1092" s="0" t="n">
        <v>530000</v>
      </c>
      <c r="DB1092" s="0" t="str">
        <f aca="false">IF($A1092="","",IF($AH1092=20,IF(AND(OR($A1092=21,$A1092=215),$AJ1092=10),"①病院一般",IF(AND($A1092=31,$AJ1092=41),"②病院短期","対象外")),IF($AJ1092=30,"③特定消防",IF(AND(OR($A1092=21,$A1092=215),$AJ1092=10),"④一般",IF(AND($A1092=31,$AJ1092=41),"⑤短期","対象外")))))</f>
        <v>②病院短期</v>
      </c>
      <c r="DC1092" s="0" t="n">
        <f aca="false">IF($A1092="","",IF($AB1092&amp;""=設定!$C$4,1,0))</f>
        <v>1</v>
      </c>
    </row>
    <row r="1093" customFormat="false" ht="15" hidden="false" customHeight="false" outlineLevel="0" collapsed="false">
      <c r="A1093" s="0" t="n">
        <v>31</v>
      </c>
      <c r="AA1093" s="0" t="n">
        <v>21</v>
      </c>
      <c r="AB1093" s="0" t="s">
        <v>96</v>
      </c>
      <c r="AD1093" s="0" t="n">
        <v>0</v>
      </c>
      <c r="AE1093" s="0" t="s">
        <v>295</v>
      </c>
      <c r="AH1093" s="0" t="n">
        <v>20</v>
      </c>
      <c r="AJ1093" s="0" t="n">
        <v>41</v>
      </c>
      <c r="AP1093" s="0" t="n">
        <v>500000</v>
      </c>
      <c r="DB1093" s="0" t="str">
        <f aca="false">IF($A1093="","",IF($AH1093=20,IF(AND(OR($A1093=21,$A1093=215),$AJ1093=10),"①病院一般",IF(AND($A1093=31,$AJ1093=41),"②病院短期","対象外")),IF($AJ1093=30,"③特定消防",IF(AND(OR($A1093=21,$A1093=215),$AJ1093=10),"④一般",IF(AND($A1093=31,$AJ1093=41),"⑤短期","対象外")))))</f>
        <v>②病院短期</v>
      </c>
      <c r="DC1093" s="0" t="n">
        <f aca="false">IF($A1093="","",IF($AB1093&amp;""=設定!$C$4,1,0))</f>
        <v>1</v>
      </c>
    </row>
    <row r="1094" customFormat="false" ht="15" hidden="false" customHeight="false" outlineLevel="0" collapsed="false">
      <c r="A1094" s="0" t="n">
        <v>31</v>
      </c>
      <c r="AA1094" s="0" t="n">
        <v>21</v>
      </c>
      <c r="AB1094" s="0" t="s">
        <v>96</v>
      </c>
      <c r="AD1094" s="0" t="n">
        <v>0</v>
      </c>
      <c r="AE1094" s="0" t="s">
        <v>295</v>
      </c>
      <c r="AH1094" s="0" t="n">
        <v>20</v>
      </c>
      <c r="AJ1094" s="0" t="n">
        <v>41</v>
      </c>
      <c r="AP1094" s="0" t="n">
        <v>500000</v>
      </c>
      <c r="DB1094" s="0" t="str">
        <f aca="false">IF($A1094="","",IF($AH1094=20,IF(AND(OR($A1094=21,$A1094=215),$AJ1094=10),"①病院一般",IF(AND($A1094=31,$AJ1094=41),"②病院短期","対象外")),IF($AJ1094=30,"③特定消防",IF(AND(OR($A1094=21,$A1094=215),$AJ1094=10),"④一般",IF(AND($A1094=31,$AJ1094=41),"⑤短期","対象外")))))</f>
        <v>②病院短期</v>
      </c>
      <c r="DC1094" s="0" t="n">
        <f aca="false">IF($A1094="","",IF($AB1094&amp;""=設定!$C$4,1,0))</f>
        <v>1</v>
      </c>
    </row>
    <row r="1095" customFormat="false" ht="15" hidden="false" customHeight="false" outlineLevel="0" collapsed="false">
      <c r="A1095" s="0" t="n">
        <v>31</v>
      </c>
      <c r="AA1095" s="0" t="n">
        <v>21</v>
      </c>
      <c r="AB1095" s="0" t="s">
        <v>96</v>
      </c>
      <c r="AD1095" s="0" t="n">
        <v>0</v>
      </c>
      <c r="AE1095" s="0" t="s">
        <v>295</v>
      </c>
      <c r="AH1095" s="0" t="n">
        <v>20</v>
      </c>
      <c r="AJ1095" s="0" t="n">
        <v>41</v>
      </c>
      <c r="AP1095" s="0" t="n">
        <v>500000</v>
      </c>
      <c r="DB1095" s="0" t="str">
        <f aca="false">IF($A1095="","",IF($AH1095=20,IF(AND(OR($A1095=21,$A1095=215),$AJ1095=10),"①病院一般",IF(AND($A1095=31,$AJ1095=41),"②病院短期","対象外")),IF($AJ1095=30,"③特定消防",IF(AND(OR($A1095=21,$A1095=215),$AJ1095=10),"④一般",IF(AND($A1095=31,$AJ1095=41),"⑤短期","対象外")))))</f>
        <v>②病院短期</v>
      </c>
      <c r="DC1095" s="0" t="n">
        <f aca="false">IF($A1095="","",IF($AB1095&amp;""=設定!$C$4,1,0))</f>
        <v>1</v>
      </c>
    </row>
    <row r="1096" customFormat="false" ht="15" hidden="false" customHeight="false" outlineLevel="0" collapsed="false">
      <c r="A1096" s="0" t="n">
        <v>31</v>
      </c>
      <c r="AA1096" s="0" t="n">
        <v>21</v>
      </c>
      <c r="AB1096" s="0" t="s">
        <v>96</v>
      </c>
      <c r="AD1096" s="0" t="n">
        <v>0</v>
      </c>
      <c r="AE1096" s="0" t="s">
        <v>295</v>
      </c>
      <c r="AH1096" s="0" t="n">
        <v>20</v>
      </c>
      <c r="AJ1096" s="0" t="n">
        <v>41</v>
      </c>
      <c r="AP1096" s="0" t="n">
        <v>530000</v>
      </c>
      <c r="DB1096" s="0" t="str">
        <f aca="false">IF($A1096="","",IF($AH1096=20,IF(AND(OR($A1096=21,$A1096=215),$AJ1096=10),"①病院一般",IF(AND($A1096=31,$AJ1096=41),"②病院短期","対象外")),IF($AJ1096=30,"③特定消防",IF(AND(OR($A1096=21,$A1096=215),$AJ1096=10),"④一般",IF(AND($A1096=31,$AJ1096=41),"⑤短期","対象外")))))</f>
        <v>②病院短期</v>
      </c>
      <c r="DC1096" s="0" t="n">
        <f aca="false">IF($A1096="","",IF($AB1096&amp;""=設定!$C$4,1,0))</f>
        <v>1</v>
      </c>
    </row>
    <row r="1097" customFormat="false" ht="15" hidden="false" customHeight="false" outlineLevel="0" collapsed="false">
      <c r="A1097" s="0" t="n">
        <v>31</v>
      </c>
      <c r="AA1097" s="0" t="n">
        <v>21</v>
      </c>
      <c r="AB1097" s="0" t="s">
        <v>96</v>
      </c>
      <c r="AD1097" s="0" t="n">
        <v>0</v>
      </c>
      <c r="AE1097" s="0" t="s">
        <v>295</v>
      </c>
      <c r="AH1097" s="0" t="n">
        <v>20</v>
      </c>
      <c r="AJ1097" s="0" t="n">
        <v>41</v>
      </c>
      <c r="AP1097" s="0" t="n">
        <v>500000</v>
      </c>
      <c r="DB1097" s="0" t="str">
        <f aca="false">IF($A1097="","",IF($AH1097=20,IF(AND(OR($A1097=21,$A1097=215),$AJ1097=10),"①病院一般",IF(AND($A1097=31,$AJ1097=41),"②病院短期","対象外")),IF($AJ1097=30,"③特定消防",IF(AND(OR($A1097=21,$A1097=215),$AJ1097=10),"④一般",IF(AND($A1097=31,$AJ1097=41),"⑤短期","対象外")))))</f>
        <v>②病院短期</v>
      </c>
      <c r="DC1097" s="0" t="n">
        <f aca="false">IF($A1097="","",IF($AB1097&amp;""=設定!$C$4,1,0))</f>
        <v>1</v>
      </c>
    </row>
    <row r="1098" customFormat="false" ht="15" hidden="false" customHeight="false" outlineLevel="0" collapsed="false">
      <c r="A1098" s="0" t="n">
        <v>31</v>
      </c>
      <c r="AA1098" s="0" t="n">
        <v>21</v>
      </c>
      <c r="AB1098" s="0" t="s">
        <v>96</v>
      </c>
      <c r="AD1098" s="0" t="n">
        <v>0</v>
      </c>
      <c r="AE1098" s="0" t="s">
        <v>295</v>
      </c>
      <c r="AH1098" s="0" t="n">
        <v>20</v>
      </c>
      <c r="AJ1098" s="0" t="n">
        <v>41</v>
      </c>
      <c r="AP1098" s="0" t="n">
        <v>530000</v>
      </c>
      <c r="DB1098" s="0" t="str">
        <f aca="false">IF($A1098="","",IF($AH1098=20,IF(AND(OR($A1098=21,$A1098=215),$AJ1098=10),"①病院一般",IF(AND($A1098=31,$AJ1098=41),"②病院短期","対象外")),IF($AJ1098=30,"③特定消防",IF(AND(OR($A1098=21,$A1098=215),$AJ1098=10),"④一般",IF(AND($A1098=31,$AJ1098=41),"⑤短期","対象外")))))</f>
        <v>②病院短期</v>
      </c>
      <c r="DC1098" s="0" t="n">
        <f aca="false">IF($A1098="","",IF($AB1098&amp;""=設定!$C$4,1,0))</f>
        <v>1</v>
      </c>
    </row>
    <row r="1099" customFormat="false" ht="15" hidden="false" customHeight="false" outlineLevel="0" collapsed="false">
      <c r="A1099" s="0" t="n">
        <v>31</v>
      </c>
      <c r="AA1099" s="0" t="n">
        <v>21</v>
      </c>
      <c r="AB1099" s="0" t="s">
        <v>96</v>
      </c>
      <c r="AD1099" s="0" t="n">
        <v>0</v>
      </c>
      <c r="AE1099" s="0" t="s">
        <v>295</v>
      </c>
      <c r="AH1099" s="0" t="n">
        <v>20</v>
      </c>
      <c r="AJ1099" s="0" t="n">
        <v>41</v>
      </c>
      <c r="AP1099" s="0" t="n">
        <v>530000</v>
      </c>
      <c r="DB1099" s="0" t="str">
        <f aca="false">IF($A1099="","",IF($AH1099=20,IF(AND(OR($A1099=21,$A1099=215),$AJ1099=10),"①病院一般",IF(AND($A1099=31,$AJ1099=41),"②病院短期","対象外")),IF($AJ1099=30,"③特定消防",IF(AND(OR($A1099=21,$A1099=215),$AJ1099=10),"④一般",IF(AND($A1099=31,$AJ1099=41),"⑤短期","対象外")))))</f>
        <v>②病院短期</v>
      </c>
      <c r="DC1099" s="0" t="n">
        <f aca="false">IF($A1099="","",IF($AB1099&amp;""=設定!$C$4,1,0))</f>
        <v>1</v>
      </c>
    </row>
    <row r="1100" customFormat="false" ht="15" hidden="false" customHeight="false" outlineLevel="0" collapsed="false">
      <c r="A1100" s="0" t="n">
        <v>31</v>
      </c>
      <c r="AA1100" s="0" t="n">
        <v>21</v>
      </c>
      <c r="AB1100" s="0" t="s">
        <v>96</v>
      </c>
      <c r="AD1100" s="0" t="n">
        <v>0</v>
      </c>
      <c r="AE1100" s="0" t="s">
        <v>295</v>
      </c>
      <c r="AH1100" s="0" t="n">
        <v>20</v>
      </c>
      <c r="AJ1100" s="0" t="n">
        <v>41</v>
      </c>
      <c r="AP1100" s="0" t="n">
        <v>530000</v>
      </c>
      <c r="DB1100" s="0" t="str">
        <f aca="false">IF($A1100="","",IF($AH1100=20,IF(AND(OR($A1100=21,$A1100=215),$AJ1100=10),"①病院一般",IF(AND($A1100=31,$AJ1100=41),"②病院短期","対象外")),IF($AJ1100=30,"③特定消防",IF(AND(OR($A1100=21,$A1100=215),$AJ1100=10),"④一般",IF(AND($A1100=31,$AJ1100=41),"⑤短期","対象外")))))</f>
        <v>②病院短期</v>
      </c>
      <c r="DC1100" s="0" t="n">
        <f aca="false">IF($A1100="","",IF($AB1100&amp;""=設定!$C$4,1,0))</f>
        <v>1</v>
      </c>
    </row>
    <row r="1101" customFormat="false" ht="15" hidden="false" customHeight="false" outlineLevel="0" collapsed="false">
      <c r="A1101" s="0" t="n">
        <v>31</v>
      </c>
      <c r="AA1101" s="0" t="n">
        <v>21</v>
      </c>
      <c r="AB1101" s="0" t="s">
        <v>96</v>
      </c>
      <c r="AD1101" s="0" t="n">
        <v>0</v>
      </c>
      <c r="AE1101" s="0" t="s">
        <v>295</v>
      </c>
      <c r="AH1101" s="0" t="n">
        <v>20</v>
      </c>
      <c r="AJ1101" s="0" t="n">
        <v>41</v>
      </c>
      <c r="AP1101" s="0" t="n">
        <v>500000</v>
      </c>
      <c r="DB1101" s="0" t="str">
        <f aca="false">IF($A1101="","",IF($AH1101=20,IF(AND(OR($A1101=21,$A1101=215),$AJ1101=10),"①病院一般",IF(AND($A1101=31,$AJ1101=41),"②病院短期","対象外")),IF($AJ1101=30,"③特定消防",IF(AND(OR($A1101=21,$A1101=215),$AJ1101=10),"④一般",IF(AND($A1101=31,$AJ1101=41),"⑤短期","対象外")))))</f>
        <v>②病院短期</v>
      </c>
      <c r="DC1101" s="0" t="n">
        <f aca="false">IF($A1101="","",IF($AB1101&amp;""=設定!$C$4,1,0))</f>
        <v>1</v>
      </c>
    </row>
    <row r="1102" customFormat="false" ht="15" hidden="false" customHeight="false" outlineLevel="0" collapsed="false">
      <c r="A1102" s="0" t="n">
        <v>31</v>
      </c>
      <c r="AA1102" s="0" t="n">
        <v>21</v>
      </c>
      <c r="AB1102" s="0" t="s">
        <v>96</v>
      </c>
      <c r="AD1102" s="0" t="n">
        <v>0</v>
      </c>
      <c r="AE1102" s="0" t="s">
        <v>295</v>
      </c>
      <c r="AH1102" s="0" t="n">
        <v>20</v>
      </c>
      <c r="AJ1102" s="0" t="n">
        <v>41</v>
      </c>
      <c r="AP1102" s="0" t="n">
        <v>470000</v>
      </c>
      <c r="DB1102" s="0" t="str">
        <f aca="false">IF($A1102="","",IF($AH1102=20,IF(AND(OR($A1102=21,$A1102=215),$AJ1102=10),"①病院一般",IF(AND($A1102=31,$AJ1102=41),"②病院短期","対象外")),IF($AJ1102=30,"③特定消防",IF(AND(OR($A1102=21,$A1102=215),$AJ1102=10),"④一般",IF(AND($A1102=31,$AJ1102=41),"⑤短期","対象外")))))</f>
        <v>②病院短期</v>
      </c>
      <c r="DC1102" s="0" t="n">
        <f aca="false">IF($A1102="","",IF($AB1102&amp;""=設定!$C$4,1,0))</f>
        <v>1</v>
      </c>
    </row>
    <row r="1103" customFormat="false" ht="15" hidden="false" customHeight="false" outlineLevel="0" collapsed="false">
      <c r="A1103" s="0" t="n">
        <v>31</v>
      </c>
      <c r="AA1103" s="0" t="n">
        <v>21</v>
      </c>
      <c r="AB1103" s="0" t="s">
        <v>96</v>
      </c>
      <c r="AD1103" s="0" t="n">
        <v>0</v>
      </c>
      <c r="AE1103" s="0" t="s">
        <v>295</v>
      </c>
      <c r="AH1103" s="0" t="n">
        <v>20</v>
      </c>
      <c r="AJ1103" s="0" t="n">
        <v>41</v>
      </c>
      <c r="AP1103" s="0" t="n">
        <v>790000</v>
      </c>
      <c r="DB1103" s="0" t="str">
        <f aca="false">IF($A1103="","",IF($AH1103=20,IF(AND(OR($A1103=21,$A1103=215),$AJ1103=10),"①病院一般",IF(AND($A1103=31,$AJ1103=41),"②病院短期","対象外")),IF($AJ1103=30,"③特定消防",IF(AND(OR($A1103=21,$A1103=215),$AJ1103=10),"④一般",IF(AND($A1103=31,$AJ1103=41),"⑤短期","対象外")))))</f>
        <v>②病院短期</v>
      </c>
      <c r="DC1103" s="0" t="n">
        <f aca="false">IF($A1103="","",IF($AB1103&amp;""=設定!$C$4,1,0))</f>
        <v>1</v>
      </c>
    </row>
    <row r="1104" customFormat="false" ht="15" hidden="false" customHeight="false" outlineLevel="0" collapsed="false">
      <c r="A1104" s="0" t="n">
        <v>31</v>
      </c>
      <c r="AA1104" s="0" t="n">
        <v>21</v>
      </c>
      <c r="AB1104" s="0" t="s">
        <v>96</v>
      </c>
      <c r="AD1104" s="0" t="n">
        <v>0</v>
      </c>
      <c r="AE1104" s="0" t="s">
        <v>295</v>
      </c>
      <c r="AH1104" s="0" t="n">
        <v>20</v>
      </c>
      <c r="AJ1104" s="0" t="n">
        <v>41</v>
      </c>
      <c r="AP1104" s="0" t="n">
        <v>790000</v>
      </c>
      <c r="DB1104" s="0" t="str">
        <f aca="false">IF($A1104="","",IF($AH1104=20,IF(AND(OR($A1104=21,$A1104=215),$AJ1104=10),"①病院一般",IF(AND($A1104=31,$AJ1104=41),"②病院短期","対象外")),IF($AJ1104=30,"③特定消防",IF(AND(OR($A1104=21,$A1104=215),$AJ1104=10),"④一般",IF(AND($A1104=31,$AJ1104=41),"⑤短期","対象外")))))</f>
        <v>②病院短期</v>
      </c>
      <c r="DC1104" s="0" t="n">
        <f aca="false">IF($A1104="","",IF($AB1104&amp;""=設定!$C$4,1,0))</f>
        <v>1</v>
      </c>
    </row>
    <row r="1105" customFormat="false" ht="15" hidden="false" customHeight="false" outlineLevel="0" collapsed="false">
      <c r="A1105" s="0" t="n">
        <v>31</v>
      </c>
      <c r="AA1105" s="0" t="n">
        <v>21</v>
      </c>
      <c r="AB1105" s="0" t="s">
        <v>96</v>
      </c>
      <c r="AD1105" s="0" t="n">
        <v>0</v>
      </c>
      <c r="AE1105" s="0" t="s">
        <v>295</v>
      </c>
      <c r="AH1105" s="0" t="n">
        <v>20</v>
      </c>
      <c r="AJ1105" s="0" t="n">
        <v>41</v>
      </c>
      <c r="AP1105" s="0" t="n">
        <v>680000</v>
      </c>
      <c r="DB1105" s="0" t="str">
        <f aca="false">IF($A1105="","",IF($AH1105=20,IF(AND(OR($A1105=21,$A1105=215),$AJ1105=10),"①病院一般",IF(AND($A1105=31,$AJ1105=41),"②病院短期","対象外")),IF($AJ1105=30,"③特定消防",IF(AND(OR($A1105=21,$A1105=215),$AJ1105=10),"④一般",IF(AND($A1105=31,$AJ1105=41),"⑤短期","対象外")))))</f>
        <v>②病院短期</v>
      </c>
      <c r="DC1105" s="0" t="n">
        <f aca="false">IF($A1105="","",IF($AB1105&amp;""=設定!$C$4,1,0))</f>
        <v>1</v>
      </c>
    </row>
    <row r="1106" customFormat="false" ht="15" hidden="false" customHeight="false" outlineLevel="0" collapsed="false">
      <c r="A1106" s="0" t="n">
        <v>31</v>
      </c>
      <c r="AA1106" s="0" t="n">
        <v>21</v>
      </c>
      <c r="AB1106" s="0" t="s">
        <v>96</v>
      </c>
      <c r="AD1106" s="0" t="n">
        <v>0</v>
      </c>
      <c r="AE1106" s="0" t="s">
        <v>295</v>
      </c>
      <c r="AH1106" s="0" t="n">
        <v>20</v>
      </c>
      <c r="AJ1106" s="0" t="n">
        <v>41</v>
      </c>
      <c r="AP1106" s="0" t="n">
        <v>620000</v>
      </c>
      <c r="DB1106" s="0" t="str">
        <f aca="false">IF($A1106="","",IF($AH1106=20,IF(AND(OR($A1106=21,$A1106=215),$AJ1106=10),"①病院一般",IF(AND($A1106=31,$AJ1106=41),"②病院短期","対象外")),IF($AJ1106=30,"③特定消防",IF(AND(OR($A1106=21,$A1106=215),$AJ1106=10),"④一般",IF(AND($A1106=31,$AJ1106=41),"⑤短期","対象外")))))</f>
        <v>②病院短期</v>
      </c>
      <c r="DC1106" s="0" t="n">
        <f aca="false">IF($A1106="","",IF($AB1106&amp;""=設定!$C$4,1,0))</f>
        <v>1</v>
      </c>
    </row>
    <row r="1107" customFormat="false" ht="15" hidden="false" customHeight="false" outlineLevel="0" collapsed="false">
      <c r="A1107" s="0" t="n">
        <v>31</v>
      </c>
      <c r="AA1107" s="0" t="n">
        <v>21</v>
      </c>
      <c r="AB1107" s="0" t="s">
        <v>96</v>
      </c>
      <c r="AD1107" s="0" t="n">
        <v>12</v>
      </c>
      <c r="AE1107" s="0" t="s">
        <v>301</v>
      </c>
      <c r="AH1107" s="0" t="n">
        <v>20</v>
      </c>
      <c r="AJ1107" s="0" t="n">
        <v>41</v>
      </c>
      <c r="AP1107" s="0" t="n">
        <v>620000</v>
      </c>
      <c r="DB1107" s="0" t="str">
        <f aca="false">IF($A1107="","",IF($AH1107=20,IF(AND(OR($A1107=21,$A1107=215),$AJ1107=10),"①病院一般",IF(AND($A1107=31,$AJ1107=41),"②病院短期","対象外")),IF($AJ1107=30,"③特定消防",IF(AND(OR($A1107=21,$A1107=215),$AJ1107=10),"④一般",IF(AND($A1107=31,$AJ1107=41),"⑤短期","対象外")))))</f>
        <v>②病院短期</v>
      </c>
      <c r="DC1107" s="0" t="n">
        <f aca="false">IF($A1107="","",IF($AB1107&amp;""=設定!$C$4,1,0))</f>
        <v>1</v>
      </c>
    </row>
    <row r="1108" customFormat="false" ht="15" hidden="false" customHeight="false" outlineLevel="0" collapsed="false">
      <c r="A1108" s="0" t="n">
        <v>31</v>
      </c>
      <c r="AA1108" s="0" t="n">
        <v>21</v>
      </c>
      <c r="AB1108" s="0" t="s">
        <v>96</v>
      </c>
      <c r="AD1108" s="0" t="n">
        <v>0</v>
      </c>
      <c r="AE1108" s="0" t="s">
        <v>295</v>
      </c>
      <c r="AH1108" s="0" t="n">
        <v>20</v>
      </c>
      <c r="AJ1108" s="0" t="n">
        <v>41</v>
      </c>
      <c r="AP1108" s="0" t="n">
        <v>320000</v>
      </c>
      <c r="DB1108" s="0" t="str">
        <f aca="false">IF($A1108="","",IF($AH1108=20,IF(AND(OR($A1108=21,$A1108=215),$AJ1108=10),"①病院一般",IF(AND($A1108=31,$AJ1108=41),"②病院短期","対象外")),IF($AJ1108=30,"③特定消防",IF(AND(OR($A1108=21,$A1108=215),$AJ1108=10),"④一般",IF(AND($A1108=31,$AJ1108=41),"⑤短期","対象外")))))</f>
        <v>②病院短期</v>
      </c>
      <c r="DC1108" s="0" t="n">
        <f aca="false">IF($A1108="","",IF($AB1108&amp;""=設定!$C$4,1,0))</f>
        <v>1</v>
      </c>
    </row>
    <row r="1109" customFormat="false" ht="15" hidden="false" customHeight="false" outlineLevel="0" collapsed="false">
      <c r="A1109" s="0" t="n">
        <v>31</v>
      </c>
      <c r="AA1109" s="0" t="n">
        <v>21</v>
      </c>
      <c r="AB1109" s="0" t="s">
        <v>96</v>
      </c>
      <c r="AD1109" s="0" t="n">
        <v>0</v>
      </c>
      <c r="AE1109" s="0" t="s">
        <v>295</v>
      </c>
      <c r="AH1109" s="0" t="n">
        <v>20</v>
      </c>
      <c r="AJ1109" s="0" t="n">
        <v>41</v>
      </c>
      <c r="AP1109" s="0" t="n">
        <v>240000</v>
      </c>
      <c r="DB1109" s="0" t="str">
        <f aca="false">IF($A1109="","",IF($AH1109=20,IF(AND(OR($A1109=21,$A1109=215),$AJ1109=10),"①病院一般",IF(AND($A1109=31,$AJ1109=41),"②病院短期","対象外")),IF($AJ1109=30,"③特定消防",IF(AND(OR($A1109=21,$A1109=215),$AJ1109=10),"④一般",IF(AND($A1109=31,$AJ1109=41),"⑤短期","対象外")))))</f>
        <v>②病院短期</v>
      </c>
      <c r="DC1109" s="0" t="n">
        <f aca="false">IF($A1109="","",IF($AB1109&amp;""=設定!$C$4,1,0))</f>
        <v>1</v>
      </c>
    </row>
    <row r="1110" customFormat="false" ht="15" hidden="false" customHeight="false" outlineLevel="0" collapsed="false">
      <c r="A1110" s="0" t="n">
        <v>31</v>
      </c>
      <c r="AA1110" s="0" t="n">
        <v>21</v>
      </c>
      <c r="AB1110" s="0" t="s">
        <v>96</v>
      </c>
      <c r="AD1110" s="0" t="n">
        <v>0</v>
      </c>
      <c r="AE1110" s="0" t="s">
        <v>295</v>
      </c>
      <c r="AH1110" s="0" t="n">
        <v>20</v>
      </c>
      <c r="AJ1110" s="0" t="n">
        <v>41</v>
      </c>
      <c r="AP1110" s="0" t="n">
        <v>220000</v>
      </c>
      <c r="DB1110" s="0" t="str">
        <f aca="false">IF($A1110="","",IF($AH1110=20,IF(AND(OR($A1110=21,$A1110=215),$AJ1110=10),"①病院一般",IF(AND($A1110=31,$AJ1110=41),"②病院短期","対象外")),IF($AJ1110=30,"③特定消防",IF(AND(OR($A1110=21,$A1110=215),$AJ1110=10),"④一般",IF(AND($A1110=31,$AJ1110=41),"⑤短期","対象外")))))</f>
        <v>②病院短期</v>
      </c>
      <c r="DC1110" s="0" t="n">
        <f aca="false">IF($A1110="","",IF($AB1110&amp;""=設定!$C$4,1,0))</f>
        <v>1</v>
      </c>
    </row>
    <row r="1111" customFormat="false" ht="15" hidden="false" customHeight="false" outlineLevel="0" collapsed="false">
      <c r="A1111" s="0" t="n">
        <v>31</v>
      </c>
      <c r="AA1111" s="0" t="n">
        <v>21</v>
      </c>
      <c r="AB1111" s="0" t="s">
        <v>96</v>
      </c>
      <c r="AD1111" s="0" t="n">
        <v>0</v>
      </c>
      <c r="AE1111" s="0" t="s">
        <v>295</v>
      </c>
      <c r="AH1111" s="0" t="n">
        <v>20</v>
      </c>
      <c r="AJ1111" s="0" t="n">
        <v>41</v>
      </c>
      <c r="AP1111" s="0" t="n">
        <v>180000</v>
      </c>
      <c r="DB1111" s="0" t="str">
        <f aca="false">IF($A1111="","",IF($AH1111=20,IF(AND(OR($A1111=21,$A1111=215),$AJ1111=10),"①病院一般",IF(AND($A1111=31,$AJ1111=41),"②病院短期","対象外")),IF($AJ1111=30,"③特定消防",IF(AND(OR($A1111=21,$A1111=215),$AJ1111=10),"④一般",IF(AND($A1111=31,$AJ1111=41),"⑤短期","対象外")))))</f>
        <v>②病院短期</v>
      </c>
      <c r="DC1111" s="0" t="n">
        <f aca="false">IF($A1111="","",IF($AB1111&amp;""=設定!$C$4,1,0))</f>
        <v>1</v>
      </c>
    </row>
    <row r="1112" customFormat="false" ht="15" hidden="false" customHeight="false" outlineLevel="0" collapsed="false">
      <c r="A1112" s="0" t="n">
        <v>31</v>
      </c>
      <c r="AA1112" s="0" t="n">
        <v>21</v>
      </c>
      <c r="AB1112" s="0" t="s">
        <v>96</v>
      </c>
      <c r="AD1112" s="0" t="n">
        <v>0</v>
      </c>
      <c r="AE1112" s="0" t="s">
        <v>295</v>
      </c>
      <c r="AH1112" s="0" t="n">
        <v>20</v>
      </c>
      <c r="AJ1112" s="0" t="n">
        <v>41</v>
      </c>
      <c r="AP1112" s="0" t="n">
        <v>220000</v>
      </c>
      <c r="DB1112" s="0" t="str">
        <f aca="false">IF($A1112="","",IF($AH1112=20,IF(AND(OR($A1112=21,$A1112=215),$AJ1112=10),"①病院一般",IF(AND($A1112=31,$AJ1112=41),"②病院短期","対象外")),IF($AJ1112=30,"③特定消防",IF(AND(OR($A1112=21,$A1112=215),$AJ1112=10),"④一般",IF(AND($A1112=31,$AJ1112=41),"⑤短期","対象外")))))</f>
        <v>②病院短期</v>
      </c>
      <c r="DC1112" s="0" t="n">
        <f aca="false">IF($A1112="","",IF($AB1112&amp;""=設定!$C$4,1,0))</f>
        <v>1</v>
      </c>
    </row>
    <row r="1113" customFormat="false" ht="15" hidden="false" customHeight="false" outlineLevel="0" collapsed="false">
      <c r="A1113" s="0" t="n">
        <v>31</v>
      </c>
      <c r="AA1113" s="0" t="n">
        <v>21</v>
      </c>
      <c r="AB1113" s="0" t="s">
        <v>96</v>
      </c>
      <c r="AD1113" s="0" t="n">
        <v>0</v>
      </c>
      <c r="AE1113" s="0" t="s">
        <v>295</v>
      </c>
      <c r="AH1113" s="0" t="n">
        <v>20</v>
      </c>
      <c r="AJ1113" s="0" t="n">
        <v>41</v>
      </c>
      <c r="AP1113" s="0" t="n">
        <v>190000</v>
      </c>
      <c r="DB1113" s="0" t="str">
        <f aca="false">IF($A1113="","",IF($AH1113=20,IF(AND(OR($A1113=21,$A1113=215),$AJ1113=10),"①病院一般",IF(AND($A1113=31,$AJ1113=41),"②病院短期","対象外")),IF($AJ1113=30,"③特定消防",IF(AND(OR($A1113=21,$A1113=215),$AJ1113=10),"④一般",IF(AND($A1113=31,$AJ1113=41),"⑤短期","対象外")))))</f>
        <v>②病院短期</v>
      </c>
      <c r="DC1113" s="0" t="n">
        <f aca="false">IF($A1113="","",IF($AB1113&amp;""=設定!$C$4,1,0))</f>
        <v>1</v>
      </c>
    </row>
    <row r="1114" customFormat="false" ht="15" hidden="false" customHeight="false" outlineLevel="0" collapsed="false">
      <c r="A1114" s="0" t="n">
        <v>31</v>
      </c>
      <c r="AA1114" s="0" t="n">
        <v>21</v>
      </c>
      <c r="AB1114" s="0" t="s">
        <v>96</v>
      </c>
      <c r="AD1114" s="0" t="n">
        <v>0</v>
      </c>
      <c r="AE1114" s="0" t="s">
        <v>295</v>
      </c>
      <c r="AH1114" s="0" t="n">
        <v>20</v>
      </c>
      <c r="AJ1114" s="0" t="n">
        <v>41</v>
      </c>
      <c r="AP1114" s="0" t="n">
        <v>220000</v>
      </c>
      <c r="DB1114" s="0" t="str">
        <f aca="false">IF($A1114="","",IF($AH1114=20,IF(AND(OR($A1114=21,$A1114=215),$AJ1114=10),"①病院一般",IF(AND($A1114=31,$AJ1114=41),"②病院短期","対象外")),IF($AJ1114=30,"③特定消防",IF(AND(OR($A1114=21,$A1114=215),$AJ1114=10),"④一般",IF(AND($A1114=31,$AJ1114=41),"⑤短期","対象外")))))</f>
        <v>②病院短期</v>
      </c>
      <c r="DC1114" s="0" t="n">
        <f aca="false">IF($A1114="","",IF($AB1114&amp;""=設定!$C$4,1,0))</f>
        <v>1</v>
      </c>
    </row>
    <row r="1115" customFormat="false" ht="15" hidden="false" customHeight="false" outlineLevel="0" collapsed="false">
      <c r="A1115" s="0" t="n">
        <v>31</v>
      </c>
      <c r="AA1115" s="0" t="n">
        <v>21</v>
      </c>
      <c r="AB1115" s="0" t="s">
        <v>96</v>
      </c>
      <c r="AD1115" s="0" t="n">
        <v>0</v>
      </c>
      <c r="AE1115" s="0" t="s">
        <v>295</v>
      </c>
      <c r="AH1115" s="0" t="n">
        <v>20</v>
      </c>
      <c r="AJ1115" s="0" t="n">
        <v>41</v>
      </c>
      <c r="AP1115" s="0" t="n">
        <v>190000</v>
      </c>
      <c r="DB1115" s="0" t="str">
        <f aca="false">IF($A1115="","",IF($AH1115=20,IF(AND(OR($A1115=21,$A1115=215),$AJ1115=10),"①病院一般",IF(AND($A1115=31,$AJ1115=41),"②病院短期","対象外")),IF($AJ1115=30,"③特定消防",IF(AND(OR($A1115=21,$A1115=215),$AJ1115=10),"④一般",IF(AND($A1115=31,$AJ1115=41),"⑤短期","対象外")))))</f>
        <v>②病院短期</v>
      </c>
      <c r="DC1115" s="0" t="n">
        <f aca="false">IF($A1115="","",IF($AB1115&amp;""=設定!$C$4,1,0))</f>
        <v>1</v>
      </c>
    </row>
    <row r="1116" customFormat="false" ht="15" hidden="false" customHeight="false" outlineLevel="0" collapsed="false">
      <c r="A1116" s="0" t="n">
        <v>31</v>
      </c>
      <c r="AA1116" s="0" t="n">
        <v>21</v>
      </c>
      <c r="AB1116" s="0" t="s">
        <v>96</v>
      </c>
      <c r="AD1116" s="0" t="n">
        <v>0</v>
      </c>
      <c r="AE1116" s="0" t="s">
        <v>295</v>
      </c>
      <c r="AH1116" s="0" t="n">
        <v>20</v>
      </c>
      <c r="AJ1116" s="0" t="n">
        <v>41</v>
      </c>
      <c r="AP1116" s="0" t="n">
        <v>190000</v>
      </c>
      <c r="DB1116" s="0" t="str">
        <f aca="false">IF($A1116="","",IF($AH1116=20,IF(AND(OR($A1116=21,$A1116=215),$AJ1116=10),"①病院一般",IF(AND($A1116=31,$AJ1116=41),"②病院短期","対象外")),IF($AJ1116=30,"③特定消防",IF(AND(OR($A1116=21,$A1116=215),$AJ1116=10),"④一般",IF(AND($A1116=31,$AJ1116=41),"⑤短期","対象外")))))</f>
        <v>②病院短期</v>
      </c>
      <c r="DC1116" s="0" t="n">
        <f aca="false">IF($A1116="","",IF($AB1116&amp;""=設定!$C$4,1,0))</f>
        <v>1</v>
      </c>
    </row>
    <row r="1117" customFormat="false" ht="15" hidden="false" customHeight="false" outlineLevel="0" collapsed="false">
      <c r="A1117" s="0" t="n">
        <v>31</v>
      </c>
      <c r="AA1117" s="0" t="n">
        <v>21</v>
      </c>
      <c r="AB1117" s="0" t="s">
        <v>96</v>
      </c>
      <c r="AD1117" s="0" t="n">
        <v>0</v>
      </c>
      <c r="AE1117" s="0" t="s">
        <v>295</v>
      </c>
      <c r="AH1117" s="0" t="n">
        <v>20</v>
      </c>
      <c r="AJ1117" s="0" t="n">
        <v>41</v>
      </c>
      <c r="AP1117" s="0" t="n">
        <v>180000</v>
      </c>
      <c r="DB1117" s="0" t="str">
        <f aca="false">IF($A1117="","",IF($AH1117=20,IF(AND(OR($A1117=21,$A1117=215),$AJ1117=10),"①病院一般",IF(AND($A1117=31,$AJ1117=41),"②病院短期","対象外")),IF($AJ1117=30,"③特定消防",IF(AND(OR($A1117=21,$A1117=215),$AJ1117=10),"④一般",IF(AND($A1117=31,$AJ1117=41),"⑤短期","対象外")))))</f>
        <v>②病院短期</v>
      </c>
      <c r="DC1117" s="0" t="n">
        <f aca="false">IF($A1117="","",IF($AB1117&amp;""=設定!$C$4,1,0))</f>
        <v>1</v>
      </c>
    </row>
    <row r="1118" customFormat="false" ht="15" hidden="false" customHeight="false" outlineLevel="0" collapsed="false">
      <c r="A1118" s="0" t="n">
        <v>31</v>
      </c>
      <c r="AA1118" s="0" t="n">
        <v>21</v>
      </c>
      <c r="AB1118" s="0" t="s">
        <v>96</v>
      </c>
      <c r="AD1118" s="0" t="n">
        <v>0</v>
      </c>
      <c r="AE1118" s="0" t="s">
        <v>295</v>
      </c>
      <c r="AH1118" s="0" t="n">
        <v>20</v>
      </c>
      <c r="AJ1118" s="0" t="n">
        <v>41</v>
      </c>
      <c r="AP1118" s="0" t="n">
        <v>240000</v>
      </c>
      <c r="DB1118" s="0" t="str">
        <f aca="false">IF($A1118="","",IF($AH1118=20,IF(AND(OR($A1118=21,$A1118=215),$AJ1118=10),"①病院一般",IF(AND($A1118=31,$AJ1118=41),"②病院短期","対象外")),IF($AJ1118=30,"③特定消防",IF(AND(OR($A1118=21,$A1118=215),$AJ1118=10),"④一般",IF(AND($A1118=31,$AJ1118=41),"⑤短期","対象外")))))</f>
        <v>②病院短期</v>
      </c>
      <c r="DC1118" s="0" t="n">
        <f aca="false">IF($A1118="","",IF($AB1118&amp;""=設定!$C$4,1,0))</f>
        <v>1</v>
      </c>
    </row>
    <row r="1119" customFormat="false" ht="15" hidden="false" customHeight="false" outlineLevel="0" collapsed="false">
      <c r="A1119" s="0" t="n">
        <v>31</v>
      </c>
      <c r="AA1119" s="0" t="n">
        <v>21</v>
      </c>
      <c r="AB1119" s="0" t="s">
        <v>96</v>
      </c>
      <c r="AD1119" s="0" t="n">
        <v>0</v>
      </c>
      <c r="AE1119" s="0" t="s">
        <v>295</v>
      </c>
      <c r="AH1119" s="0" t="n">
        <v>20</v>
      </c>
      <c r="AJ1119" s="0" t="n">
        <v>41</v>
      </c>
      <c r="AP1119" s="0" t="n">
        <v>240000</v>
      </c>
      <c r="DB1119" s="0" t="str">
        <f aca="false">IF($A1119="","",IF($AH1119=20,IF(AND(OR($A1119=21,$A1119=215),$AJ1119=10),"①病院一般",IF(AND($A1119=31,$AJ1119=41),"②病院短期","対象外")),IF($AJ1119=30,"③特定消防",IF(AND(OR($A1119=21,$A1119=215),$AJ1119=10),"④一般",IF(AND($A1119=31,$AJ1119=41),"⑤短期","対象外")))))</f>
        <v>②病院短期</v>
      </c>
      <c r="DC1119" s="0" t="n">
        <f aca="false">IF($A1119="","",IF($AB1119&amp;""=設定!$C$4,1,0))</f>
        <v>1</v>
      </c>
    </row>
    <row r="1120" customFormat="false" ht="15" hidden="false" customHeight="false" outlineLevel="0" collapsed="false">
      <c r="A1120" s="0" t="n">
        <v>31</v>
      </c>
      <c r="AA1120" s="0" t="n">
        <v>21</v>
      </c>
      <c r="AB1120" s="0" t="s">
        <v>96</v>
      </c>
      <c r="AD1120" s="0" t="n">
        <v>0</v>
      </c>
      <c r="AE1120" s="0" t="s">
        <v>295</v>
      </c>
      <c r="AH1120" s="0" t="n">
        <v>20</v>
      </c>
      <c r="AJ1120" s="0" t="n">
        <v>41</v>
      </c>
      <c r="AP1120" s="0" t="n">
        <v>200000</v>
      </c>
      <c r="DB1120" s="0" t="str">
        <f aca="false">IF($A1120="","",IF($AH1120=20,IF(AND(OR($A1120=21,$A1120=215),$AJ1120=10),"①病院一般",IF(AND($A1120=31,$AJ1120=41),"②病院短期","対象外")),IF($AJ1120=30,"③特定消防",IF(AND(OR($A1120=21,$A1120=215),$AJ1120=10),"④一般",IF(AND($A1120=31,$AJ1120=41),"⑤短期","対象外")))))</f>
        <v>②病院短期</v>
      </c>
      <c r="DC1120" s="0" t="n">
        <f aca="false">IF($A1120="","",IF($AB1120&amp;""=設定!$C$4,1,0))</f>
        <v>1</v>
      </c>
    </row>
    <row r="1121" customFormat="false" ht="15" hidden="false" customHeight="false" outlineLevel="0" collapsed="false">
      <c r="A1121" s="0" t="n">
        <v>31</v>
      </c>
      <c r="AA1121" s="0" t="n">
        <v>21</v>
      </c>
      <c r="AB1121" s="0" t="s">
        <v>96</v>
      </c>
      <c r="AD1121" s="0" t="n">
        <v>0</v>
      </c>
      <c r="AE1121" s="0" t="s">
        <v>295</v>
      </c>
      <c r="AH1121" s="0" t="n">
        <v>20</v>
      </c>
      <c r="AJ1121" s="0" t="n">
        <v>41</v>
      </c>
      <c r="AP1121" s="0" t="n">
        <v>200000</v>
      </c>
      <c r="DB1121" s="0" t="str">
        <f aca="false">IF($A1121="","",IF($AH1121=20,IF(AND(OR($A1121=21,$A1121=215),$AJ1121=10),"①病院一般",IF(AND($A1121=31,$AJ1121=41),"②病院短期","対象外")),IF($AJ1121=30,"③特定消防",IF(AND(OR($A1121=21,$A1121=215),$AJ1121=10),"④一般",IF(AND($A1121=31,$AJ1121=41),"⑤短期","対象外")))))</f>
        <v>②病院短期</v>
      </c>
      <c r="DC1121" s="0" t="n">
        <f aca="false">IF($A1121="","",IF($AB1121&amp;""=設定!$C$4,1,0))</f>
        <v>1</v>
      </c>
    </row>
    <row r="1122" customFormat="false" ht="15" hidden="false" customHeight="false" outlineLevel="0" collapsed="false">
      <c r="A1122" s="0" t="n">
        <v>31</v>
      </c>
      <c r="AA1122" s="0" t="n">
        <v>21</v>
      </c>
      <c r="AB1122" s="0" t="s">
        <v>96</v>
      </c>
      <c r="AD1122" s="0" t="n">
        <v>0</v>
      </c>
      <c r="AE1122" s="0" t="s">
        <v>295</v>
      </c>
      <c r="AH1122" s="0" t="n">
        <v>20</v>
      </c>
      <c r="AJ1122" s="0" t="n">
        <v>41</v>
      </c>
      <c r="AP1122" s="0" t="n">
        <v>190000</v>
      </c>
      <c r="DB1122" s="0" t="str">
        <f aca="false">IF($A1122="","",IF($AH1122=20,IF(AND(OR($A1122=21,$A1122=215),$AJ1122=10),"①病院一般",IF(AND($A1122=31,$AJ1122=41),"②病院短期","対象外")),IF($AJ1122=30,"③特定消防",IF(AND(OR($A1122=21,$A1122=215),$AJ1122=10),"④一般",IF(AND($A1122=31,$AJ1122=41),"⑤短期","対象外")))))</f>
        <v>②病院短期</v>
      </c>
      <c r="DC1122" s="0" t="n">
        <f aca="false">IF($A1122="","",IF($AB1122&amp;""=設定!$C$4,1,0))</f>
        <v>1</v>
      </c>
    </row>
    <row r="1123" customFormat="false" ht="15" hidden="false" customHeight="false" outlineLevel="0" collapsed="false">
      <c r="A1123" s="0" t="n">
        <v>31</v>
      </c>
      <c r="AA1123" s="0" t="n">
        <v>21</v>
      </c>
      <c r="AB1123" s="0" t="s">
        <v>96</v>
      </c>
      <c r="AD1123" s="0" t="n">
        <v>0</v>
      </c>
      <c r="AE1123" s="0" t="s">
        <v>295</v>
      </c>
      <c r="AH1123" s="0" t="n">
        <v>20</v>
      </c>
      <c r="AJ1123" s="0" t="n">
        <v>41</v>
      </c>
      <c r="AP1123" s="0" t="n">
        <v>220000</v>
      </c>
      <c r="DB1123" s="0" t="str">
        <f aca="false">IF($A1123="","",IF($AH1123=20,IF(AND(OR($A1123=21,$A1123=215),$AJ1123=10),"①病院一般",IF(AND($A1123=31,$AJ1123=41),"②病院短期","対象外")),IF($AJ1123=30,"③特定消防",IF(AND(OR($A1123=21,$A1123=215),$AJ1123=10),"④一般",IF(AND($A1123=31,$AJ1123=41),"⑤短期","対象外")))))</f>
        <v>②病院短期</v>
      </c>
      <c r="DC1123" s="0" t="n">
        <f aca="false">IF($A1123="","",IF($AB1123&amp;""=設定!$C$4,1,0))</f>
        <v>1</v>
      </c>
    </row>
    <row r="1124" customFormat="false" ht="15" hidden="false" customHeight="false" outlineLevel="0" collapsed="false">
      <c r="A1124" s="0" t="n">
        <v>31</v>
      </c>
      <c r="AA1124" s="0" t="n">
        <v>21</v>
      </c>
      <c r="AB1124" s="0" t="s">
        <v>96</v>
      </c>
      <c r="AD1124" s="0" t="n">
        <v>0</v>
      </c>
      <c r="AE1124" s="0" t="s">
        <v>295</v>
      </c>
      <c r="AH1124" s="0" t="n">
        <v>20</v>
      </c>
      <c r="AJ1124" s="0" t="n">
        <v>41</v>
      </c>
      <c r="AP1124" s="0" t="n">
        <v>180000</v>
      </c>
      <c r="DB1124" s="0" t="str">
        <f aca="false">IF($A1124="","",IF($AH1124=20,IF(AND(OR($A1124=21,$A1124=215),$AJ1124=10),"①病院一般",IF(AND($A1124=31,$AJ1124=41),"②病院短期","対象外")),IF($AJ1124=30,"③特定消防",IF(AND(OR($A1124=21,$A1124=215),$AJ1124=10),"④一般",IF(AND($A1124=31,$AJ1124=41),"⑤短期","対象外")))))</f>
        <v>②病院短期</v>
      </c>
      <c r="DC1124" s="0" t="n">
        <f aca="false">IF($A1124="","",IF($AB1124&amp;""=設定!$C$4,1,0))</f>
        <v>1</v>
      </c>
    </row>
    <row r="1125" customFormat="false" ht="15" hidden="false" customHeight="false" outlineLevel="0" collapsed="false">
      <c r="A1125" s="0" t="n">
        <v>31</v>
      </c>
      <c r="AA1125" s="0" t="n">
        <v>21</v>
      </c>
      <c r="AB1125" s="0" t="s">
        <v>96</v>
      </c>
      <c r="AD1125" s="0" t="n">
        <v>0</v>
      </c>
      <c r="AE1125" s="0" t="s">
        <v>295</v>
      </c>
      <c r="AH1125" s="0" t="n">
        <v>20</v>
      </c>
      <c r="AJ1125" s="0" t="n">
        <v>41</v>
      </c>
      <c r="AP1125" s="0" t="n">
        <v>180000</v>
      </c>
      <c r="DB1125" s="0" t="str">
        <f aca="false">IF($A1125="","",IF($AH1125=20,IF(AND(OR($A1125=21,$A1125=215),$AJ1125=10),"①病院一般",IF(AND($A1125=31,$AJ1125=41),"②病院短期","対象外")),IF($AJ1125=30,"③特定消防",IF(AND(OR($A1125=21,$A1125=215),$AJ1125=10),"④一般",IF(AND($A1125=31,$AJ1125=41),"⑤短期","対象外")))))</f>
        <v>②病院短期</v>
      </c>
      <c r="DC1125" s="0" t="n">
        <f aca="false">IF($A1125="","",IF($AB1125&amp;""=設定!$C$4,1,0))</f>
        <v>1</v>
      </c>
    </row>
    <row r="1126" customFormat="false" ht="15" hidden="false" customHeight="false" outlineLevel="0" collapsed="false">
      <c r="A1126" s="0" t="n">
        <v>31</v>
      </c>
      <c r="AA1126" s="0" t="n">
        <v>21</v>
      </c>
      <c r="AB1126" s="0" t="s">
        <v>96</v>
      </c>
      <c r="AD1126" s="0" t="n">
        <v>0</v>
      </c>
      <c r="AE1126" s="0" t="s">
        <v>295</v>
      </c>
      <c r="AH1126" s="0" t="n">
        <v>20</v>
      </c>
      <c r="AJ1126" s="0" t="n">
        <v>41</v>
      </c>
      <c r="AP1126" s="0" t="n">
        <v>180000</v>
      </c>
      <c r="DB1126" s="0" t="str">
        <f aca="false">IF($A1126="","",IF($AH1126=20,IF(AND(OR($A1126=21,$A1126=215),$AJ1126=10),"①病院一般",IF(AND($A1126=31,$AJ1126=41),"②病院短期","対象外")),IF($AJ1126=30,"③特定消防",IF(AND(OR($A1126=21,$A1126=215),$AJ1126=10),"④一般",IF(AND($A1126=31,$AJ1126=41),"⑤短期","対象外")))))</f>
        <v>②病院短期</v>
      </c>
      <c r="DC1126" s="0" t="n">
        <f aca="false">IF($A1126="","",IF($AB1126&amp;""=設定!$C$4,1,0))</f>
        <v>1</v>
      </c>
    </row>
    <row r="1127" customFormat="false" ht="15" hidden="false" customHeight="false" outlineLevel="0" collapsed="false">
      <c r="A1127" s="0" t="n">
        <v>31</v>
      </c>
      <c r="AA1127" s="0" t="n">
        <v>21</v>
      </c>
      <c r="AB1127" s="0" t="s">
        <v>96</v>
      </c>
      <c r="AD1127" s="0" t="n">
        <v>0</v>
      </c>
      <c r="AE1127" s="0" t="s">
        <v>295</v>
      </c>
      <c r="AH1127" s="0" t="n">
        <v>20</v>
      </c>
      <c r="AJ1127" s="0" t="n">
        <v>41</v>
      </c>
      <c r="AP1127" s="0" t="n">
        <v>180000</v>
      </c>
      <c r="DB1127" s="0" t="str">
        <f aca="false">IF($A1127="","",IF($AH1127=20,IF(AND(OR($A1127=21,$A1127=215),$AJ1127=10),"①病院一般",IF(AND($A1127=31,$AJ1127=41),"②病院短期","対象外")),IF($AJ1127=30,"③特定消防",IF(AND(OR($A1127=21,$A1127=215),$AJ1127=10),"④一般",IF(AND($A1127=31,$AJ1127=41),"⑤短期","対象外")))))</f>
        <v>②病院短期</v>
      </c>
      <c r="DC1127" s="0" t="n">
        <f aca="false">IF($A1127="","",IF($AB1127&amp;""=設定!$C$4,1,0))</f>
        <v>1</v>
      </c>
    </row>
    <row r="1128" customFormat="false" ht="15" hidden="false" customHeight="false" outlineLevel="0" collapsed="false">
      <c r="A1128" s="0" t="n">
        <v>31</v>
      </c>
      <c r="AA1128" s="0" t="n">
        <v>21</v>
      </c>
      <c r="AB1128" s="0" t="s">
        <v>299</v>
      </c>
      <c r="AD1128" s="0" t="n">
        <v>0</v>
      </c>
      <c r="AE1128" s="0" t="s">
        <v>295</v>
      </c>
      <c r="AH1128" s="0" t="n">
        <v>20</v>
      </c>
      <c r="AJ1128" s="0" t="n">
        <v>41</v>
      </c>
      <c r="AP1128" s="0" t="n">
        <v>500000</v>
      </c>
      <c r="DB1128" s="0" t="str">
        <f aca="false">IF($A1128="","",IF($AH1128=20,IF(AND(OR($A1128=21,$A1128=215),$AJ1128=10),"①病院一般",IF(AND($A1128=31,$AJ1128=41),"②病院短期","対象外")),IF($AJ1128=30,"③特定消防",IF(AND(OR($A1128=21,$A1128=215),$AJ1128=10),"④一般",IF(AND($A1128=31,$AJ1128=41),"⑤短期","対象外")))))</f>
        <v>②病院短期</v>
      </c>
      <c r="DC1128" s="0" t="n">
        <f aca="false">IF($A1128="","",IF($AB1128&amp;""=設定!$C$4,1,0))</f>
        <v>0</v>
      </c>
    </row>
    <row r="1129" customFormat="false" ht="15" hidden="false" customHeight="false" outlineLevel="0" collapsed="false">
      <c r="A1129" s="0" t="n">
        <v>31</v>
      </c>
      <c r="AA1129" s="0" t="n">
        <v>21</v>
      </c>
      <c r="AB1129" s="0" t="s">
        <v>301</v>
      </c>
      <c r="AD1129" s="0" t="n">
        <v>0</v>
      </c>
      <c r="AE1129" s="0" t="s">
        <v>295</v>
      </c>
      <c r="AH1129" s="0" t="n">
        <v>20</v>
      </c>
      <c r="AJ1129" s="0" t="n">
        <v>41</v>
      </c>
      <c r="AP1129" s="0" t="n">
        <v>750000</v>
      </c>
      <c r="DB1129" s="0" t="str">
        <f aca="false">IF($A1129="","",IF($AH1129=20,IF(AND(OR($A1129=21,$A1129=215),$AJ1129=10),"①病院一般",IF(AND($A1129=31,$AJ1129=41),"②病院短期","対象外")),IF($AJ1129=30,"③特定消防",IF(AND(OR($A1129=21,$A1129=215),$AJ1129=10),"④一般",IF(AND($A1129=31,$AJ1129=41),"⑤短期","対象外")))))</f>
        <v>②病院短期</v>
      </c>
      <c r="DC1129" s="0" t="n">
        <f aca="false">IF($A1129="","",IF($AB1129&amp;""=設定!$C$4,1,0))</f>
        <v>0</v>
      </c>
    </row>
    <row r="1130" customFormat="false" ht="15" hidden="false" customHeight="false" outlineLevel="0" collapsed="false">
      <c r="A1130" s="0" t="n">
        <v>31</v>
      </c>
      <c r="AA1130" s="0" t="n">
        <v>21</v>
      </c>
      <c r="AB1130" s="0" t="s">
        <v>301</v>
      </c>
      <c r="AD1130" s="0" t="n">
        <v>0</v>
      </c>
      <c r="AE1130" s="0" t="s">
        <v>295</v>
      </c>
      <c r="AH1130" s="0" t="n">
        <v>20</v>
      </c>
      <c r="AJ1130" s="0" t="n">
        <v>41</v>
      </c>
      <c r="AP1130" s="0" t="n">
        <v>930000</v>
      </c>
      <c r="DB1130" s="0" t="str">
        <f aca="false">IF($A1130="","",IF($AH1130=20,IF(AND(OR($A1130=21,$A1130=215),$AJ1130=10),"①病院一般",IF(AND($A1130=31,$AJ1130=41),"②病院短期","対象外")),IF($AJ1130=30,"③特定消防",IF(AND(OR($A1130=21,$A1130=215),$AJ1130=10),"④一般",IF(AND($A1130=31,$AJ1130=41),"⑤短期","対象外")))))</f>
        <v>②病院短期</v>
      </c>
      <c r="DC1130" s="0" t="n">
        <f aca="false">IF($A1130="","",IF($AB1130&amp;""=設定!$C$4,1,0))</f>
        <v>0</v>
      </c>
    </row>
    <row r="1131" customFormat="false" ht="15" hidden="false" customHeight="false" outlineLevel="0" collapsed="false">
      <c r="A1131" s="0" t="n">
        <v>31</v>
      </c>
      <c r="AA1131" s="0" t="n">
        <v>21</v>
      </c>
      <c r="AB1131" s="0" t="s">
        <v>301</v>
      </c>
      <c r="AD1131" s="0" t="n">
        <v>0</v>
      </c>
      <c r="AE1131" s="0" t="s">
        <v>295</v>
      </c>
      <c r="AH1131" s="0" t="n">
        <v>20</v>
      </c>
      <c r="AJ1131" s="0" t="n">
        <v>41</v>
      </c>
      <c r="AP1131" s="0" t="n">
        <v>930000</v>
      </c>
      <c r="DB1131" s="0" t="str">
        <f aca="false">IF($A1131="","",IF($AH1131=20,IF(AND(OR($A1131=21,$A1131=215),$AJ1131=10),"①病院一般",IF(AND($A1131=31,$AJ1131=41),"②病院短期","対象外")),IF($AJ1131=30,"③特定消防",IF(AND(OR($A1131=21,$A1131=215),$AJ1131=10),"④一般",IF(AND($A1131=31,$AJ1131=41),"⑤短期","対象外")))))</f>
        <v>②病院短期</v>
      </c>
      <c r="DC1131" s="0" t="n">
        <f aca="false">IF($A1131="","",IF($AB1131&amp;""=設定!$C$4,1,0))</f>
        <v>0</v>
      </c>
    </row>
    <row r="1132" customFormat="false" ht="15" hidden="false" customHeight="false" outlineLevel="0" collapsed="false">
      <c r="A1132" s="0" t="n">
        <v>31</v>
      </c>
      <c r="AA1132" s="0" t="n">
        <v>21</v>
      </c>
      <c r="AB1132" s="0" t="s">
        <v>301</v>
      </c>
      <c r="AD1132" s="0" t="n">
        <v>0</v>
      </c>
      <c r="AE1132" s="0" t="s">
        <v>295</v>
      </c>
      <c r="AH1132" s="0" t="n">
        <v>20</v>
      </c>
      <c r="AJ1132" s="0" t="n">
        <v>41</v>
      </c>
      <c r="AP1132" s="0" t="n">
        <v>710000</v>
      </c>
      <c r="DB1132" s="0" t="str">
        <f aca="false">IF($A1132="","",IF($AH1132=20,IF(AND(OR($A1132=21,$A1132=215),$AJ1132=10),"①病院一般",IF(AND($A1132=31,$AJ1132=41),"②病院短期","対象外")),IF($AJ1132=30,"③特定消防",IF(AND(OR($A1132=21,$A1132=215),$AJ1132=10),"④一般",IF(AND($A1132=31,$AJ1132=41),"⑤短期","対象外")))))</f>
        <v>②病院短期</v>
      </c>
      <c r="DC1132" s="0" t="n">
        <f aca="false">IF($A1132="","",IF($AB1132&amp;""=設定!$C$4,1,0))</f>
        <v>0</v>
      </c>
    </row>
    <row r="1133" customFormat="false" ht="15" hidden="false" customHeight="false" outlineLevel="0" collapsed="false">
      <c r="A1133" s="0" t="n">
        <v>31</v>
      </c>
      <c r="AA1133" s="0" t="n">
        <v>21</v>
      </c>
      <c r="AB1133" s="0" t="s">
        <v>301</v>
      </c>
      <c r="AD1133" s="0" t="n">
        <v>0</v>
      </c>
      <c r="AE1133" s="0" t="s">
        <v>295</v>
      </c>
      <c r="AH1133" s="0" t="n">
        <v>20</v>
      </c>
      <c r="AJ1133" s="0" t="n">
        <v>41</v>
      </c>
      <c r="AP1133" s="0" t="n">
        <v>980000</v>
      </c>
      <c r="DB1133" s="0" t="str">
        <f aca="false">IF($A1133="","",IF($AH1133=20,IF(AND(OR($A1133=21,$A1133=215),$AJ1133=10),"①病院一般",IF(AND($A1133=31,$AJ1133=41),"②病院短期","対象外")),IF($AJ1133=30,"③特定消防",IF(AND(OR($A1133=21,$A1133=215),$AJ1133=10),"④一般",IF(AND($A1133=31,$AJ1133=41),"⑤短期","対象外")))))</f>
        <v>②病院短期</v>
      </c>
      <c r="DC1133" s="0" t="n">
        <f aca="false">IF($A1133="","",IF($AB1133&amp;""=設定!$C$4,1,0))</f>
        <v>0</v>
      </c>
    </row>
    <row r="1134" customFormat="false" ht="15" hidden="false" customHeight="false" outlineLevel="0" collapsed="false">
      <c r="A1134" s="0" t="n">
        <v>31</v>
      </c>
      <c r="AA1134" s="0" t="n">
        <v>21</v>
      </c>
      <c r="AB1134" s="0" t="s">
        <v>301</v>
      </c>
      <c r="AD1134" s="0" t="n">
        <v>0</v>
      </c>
      <c r="AE1134" s="0" t="s">
        <v>295</v>
      </c>
      <c r="AH1134" s="0" t="n">
        <v>20</v>
      </c>
      <c r="AJ1134" s="0" t="n">
        <v>41</v>
      </c>
      <c r="AP1134" s="0" t="n">
        <v>880000</v>
      </c>
      <c r="DB1134" s="0" t="str">
        <f aca="false">IF($A1134="","",IF($AH1134=20,IF(AND(OR($A1134=21,$A1134=215),$AJ1134=10),"①病院一般",IF(AND($A1134=31,$AJ1134=41),"②病院短期","対象外")),IF($AJ1134=30,"③特定消防",IF(AND(OR($A1134=21,$A1134=215),$AJ1134=10),"④一般",IF(AND($A1134=31,$AJ1134=41),"⑤短期","対象外")))))</f>
        <v>②病院短期</v>
      </c>
      <c r="DC1134" s="0" t="n">
        <f aca="false">IF($A1134="","",IF($AB1134&amp;""=設定!$C$4,1,0))</f>
        <v>0</v>
      </c>
    </row>
    <row r="1135" customFormat="false" ht="15" hidden="false" customHeight="false" outlineLevel="0" collapsed="false">
      <c r="A1135" s="0" t="n">
        <v>31</v>
      </c>
      <c r="AA1135" s="0" t="n">
        <v>21</v>
      </c>
      <c r="AB1135" s="0" t="s">
        <v>301</v>
      </c>
      <c r="AD1135" s="0" t="n">
        <v>0</v>
      </c>
      <c r="AE1135" s="0" t="s">
        <v>295</v>
      </c>
      <c r="AH1135" s="0" t="n">
        <v>20</v>
      </c>
      <c r="AJ1135" s="0" t="n">
        <v>41</v>
      </c>
      <c r="AP1135" s="0" t="n">
        <v>930000</v>
      </c>
      <c r="DB1135" s="0" t="str">
        <f aca="false">IF($A1135="","",IF($AH1135=20,IF(AND(OR($A1135=21,$A1135=215),$AJ1135=10),"①病院一般",IF(AND($A1135=31,$AJ1135=41),"②病院短期","対象外")),IF($AJ1135=30,"③特定消防",IF(AND(OR($A1135=21,$A1135=215),$AJ1135=10),"④一般",IF(AND($A1135=31,$AJ1135=41),"⑤短期","対象外")))))</f>
        <v>②病院短期</v>
      </c>
      <c r="DC1135" s="0" t="n">
        <f aca="false">IF($A1135="","",IF($AB1135&amp;""=設定!$C$4,1,0))</f>
        <v>0</v>
      </c>
    </row>
    <row r="1136" customFormat="false" ht="15" hidden="false" customHeight="false" outlineLevel="0" collapsed="false">
      <c r="A1136" s="0" t="n">
        <v>31</v>
      </c>
      <c r="AA1136" s="0" t="n">
        <v>21</v>
      </c>
      <c r="AB1136" s="0" t="s">
        <v>301</v>
      </c>
      <c r="AD1136" s="0" t="n">
        <v>0</v>
      </c>
      <c r="AE1136" s="0" t="s">
        <v>295</v>
      </c>
      <c r="AH1136" s="0" t="n">
        <v>20</v>
      </c>
      <c r="AJ1136" s="0" t="n">
        <v>41</v>
      </c>
      <c r="AP1136" s="0" t="n">
        <v>1030000</v>
      </c>
      <c r="DB1136" s="0" t="str">
        <f aca="false">IF($A1136="","",IF($AH1136=20,IF(AND(OR($A1136=21,$A1136=215),$AJ1136=10),"①病院一般",IF(AND($A1136=31,$AJ1136=41),"②病院短期","対象外")),IF($AJ1136=30,"③特定消防",IF(AND(OR($A1136=21,$A1136=215),$AJ1136=10),"④一般",IF(AND($A1136=31,$AJ1136=41),"⑤短期","対象外")))))</f>
        <v>②病院短期</v>
      </c>
      <c r="DC1136" s="0" t="n">
        <f aca="false">IF($A1136="","",IF($AB1136&amp;""=設定!$C$4,1,0))</f>
        <v>0</v>
      </c>
    </row>
    <row r="1137" customFormat="false" ht="15" hidden="false" customHeight="false" outlineLevel="0" collapsed="false">
      <c r="A1137" s="0" t="n">
        <v>31</v>
      </c>
      <c r="AA1137" s="0" t="n">
        <v>21</v>
      </c>
      <c r="AB1137" s="0" t="s">
        <v>301</v>
      </c>
      <c r="AD1137" s="0" t="n">
        <v>0</v>
      </c>
      <c r="AE1137" s="0" t="s">
        <v>295</v>
      </c>
      <c r="AH1137" s="0" t="n">
        <v>20</v>
      </c>
      <c r="AJ1137" s="0" t="n">
        <v>41</v>
      </c>
      <c r="AP1137" s="0" t="n">
        <v>930000</v>
      </c>
      <c r="DB1137" s="0" t="str">
        <f aca="false">IF($A1137="","",IF($AH1137=20,IF(AND(OR($A1137=21,$A1137=215),$AJ1137=10),"①病院一般",IF(AND($A1137=31,$AJ1137=41),"②病院短期","対象外")),IF($AJ1137=30,"③特定消防",IF(AND(OR($A1137=21,$A1137=215),$AJ1137=10),"④一般",IF(AND($A1137=31,$AJ1137=41),"⑤短期","対象外")))))</f>
        <v>②病院短期</v>
      </c>
      <c r="DC1137" s="0" t="n">
        <f aca="false">IF($A1137="","",IF($AB1137&amp;""=設定!$C$4,1,0))</f>
        <v>0</v>
      </c>
    </row>
    <row r="1138" customFormat="false" ht="15" hidden="false" customHeight="false" outlineLevel="0" collapsed="false">
      <c r="A1138" s="0" t="n">
        <v>31</v>
      </c>
      <c r="AA1138" s="0" t="n">
        <v>21</v>
      </c>
      <c r="AB1138" s="0" t="s">
        <v>301</v>
      </c>
      <c r="AD1138" s="0" t="n">
        <v>0</v>
      </c>
      <c r="AE1138" s="0" t="s">
        <v>295</v>
      </c>
      <c r="AH1138" s="0" t="n">
        <v>20</v>
      </c>
      <c r="AJ1138" s="0" t="n">
        <v>41</v>
      </c>
      <c r="AP1138" s="0" t="n">
        <v>1150000</v>
      </c>
      <c r="DB1138" s="0" t="str">
        <f aca="false">IF($A1138="","",IF($AH1138=20,IF(AND(OR($A1138=21,$A1138=215),$AJ1138=10),"①病院一般",IF(AND($A1138=31,$AJ1138=41),"②病院短期","対象外")),IF($AJ1138=30,"③特定消防",IF(AND(OR($A1138=21,$A1138=215),$AJ1138=10),"④一般",IF(AND($A1138=31,$AJ1138=41),"⑤短期","対象外")))))</f>
        <v>②病院短期</v>
      </c>
      <c r="DC1138" s="0" t="n">
        <f aca="false">IF($A1138="","",IF($AB1138&amp;""=設定!$C$4,1,0))</f>
        <v>0</v>
      </c>
    </row>
    <row r="1139" customFormat="false" ht="15" hidden="false" customHeight="false" outlineLevel="0" collapsed="false">
      <c r="A1139" s="0" t="n">
        <v>31</v>
      </c>
      <c r="AA1139" s="0" t="n">
        <v>21</v>
      </c>
      <c r="AB1139" s="0" t="s">
        <v>301</v>
      </c>
      <c r="AD1139" s="0" t="n">
        <v>0</v>
      </c>
      <c r="AE1139" s="0" t="s">
        <v>295</v>
      </c>
      <c r="AH1139" s="0" t="n">
        <v>20</v>
      </c>
      <c r="AJ1139" s="0" t="n">
        <v>41</v>
      </c>
      <c r="AP1139" s="0" t="n">
        <v>980000</v>
      </c>
      <c r="DB1139" s="0" t="str">
        <f aca="false">IF($A1139="","",IF($AH1139=20,IF(AND(OR($A1139=21,$A1139=215),$AJ1139=10),"①病院一般",IF(AND($A1139=31,$AJ1139=41),"②病院短期","対象外")),IF($AJ1139=30,"③特定消防",IF(AND(OR($A1139=21,$A1139=215),$AJ1139=10),"④一般",IF(AND($A1139=31,$AJ1139=41),"⑤短期","対象外")))))</f>
        <v>②病院短期</v>
      </c>
      <c r="DC1139" s="0" t="n">
        <f aca="false">IF($A1139="","",IF($AB1139&amp;""=設定!$C$4,1,0))</f>
        <v>0</v>
      </c>
    </row>
    <row r="1140" customFormat="false" ht="15" hidden="false" customHeight="false" outlineLevel="0" collapsed="false">
      <c r="A1140" s="0" t="n">
        <v>31</v>
      </c>
      <c r="AA1140" s="0" t="n">
        <v>21</v>
      </c>
      <c r="AB1140" s="0" t="s">
        <v>301</v>
      </c>
      <c r="AD1140" s="0" t="n">
        <v>0</v>
      </c>
      <c r="AE1140" s="0" t="s">
        <v>295</v>
      </c>
      <c r="AH1140" s="0" t="n">
        <v>20</v>
      </c>
      <c r="AJ1140" s="0" t="n">
        <v>41</v>
      </c>
      <c r="AP1140" s="0" t="n">
        <v>830000</v>
      </c>
      <c r="DB1140" s="0" t="str">
        <f aca="false">IF($A1140="","",IF($AH1140=20,IF(AND(OR($A1140=21,$A1140=215),$AJ1140=10),"①病院一般",IF(AND($A1140=31,$AJ1140=41),"②病院短期","対象外")),IF($AJ1140=30,"③特定消防",IF(AND(OR($A1140=21,$A1140=215),$AJ1140=10),"④一般",IF(AND($A1140=31,$AJ1140=41),"⑤短期","対象外")))))</f>
        <v>②病院短期</v>
      </c>
      <c r="DC1140" s="0" t="n">
        <f aca="false">IF($A1140="","",IF($AB1140&amp;""=設定!$C$4,1,0))</f>
        <v>0</v>
      </c>
    </row>
    <row r="1141" customFormat="false" ht="15" hidden="false" customHeight="false" outlineLevel="0" collapsed="false">
      <c r="A1141" s="0" t="n">
        <v>31</v>
      </c>
      <c r="AA1141" s="0" t="n">
        <v>21</v>
      </c>
      <c r="AB1141" s="0" t="s">
        <v>301</v>
      </c>
      <c r="AD1141" s="0" t="n">
        <v>0</v>
      </c>
      <c r="AE1141" s="0" t="s">
        <v>295</v>
      </c>
      <c r="AH1141" s="0" t="n">
        <v>20</v>
      </c>
      <c r="AJ1141" s="0" t="n">
        <v>41</v>
      </c>
      <c r="AP1141" s="0" t="n">
        <v>620000</v>
      </c>
      <c r="DB1141" s="0" t="str">
        <f aca="false">IF($A1141="","",IF($AH1141=20,IF(AND(OR($A1141=21,$A1141=215),$AJ1141=10),"①病院一般",IF(AND($A1141=31,$AJ1141=41),"②病院短期","対象外")),IF($AJ1141=30,"③特定消防",IF(AND(OR($A1141=21,$A1141=215),$AJ1141=10),"④一般",IF(AND($A1141=31,$AJ1141=41),"⑤短期","対象外")))))</f>
        <v>②病院短期</v>
      </c>
      <c r="DC1141" s="0" t="n">
        <f aca="false">IF($A1141="","",IF($AB1141&amp;""=設定!$C$4,1,0))</f>
        <v>0</v>
      </c>
    </row>
    <row r="1142" customFormat="false" ht="15" hidden="false" customHeight="false" outlineLevel="0" collapsed="false">
      <c r="A1142" s="0" t="n">
        <v>31</v>
      </c>
      <c r="AA1142" s="0" t="n">
        <v>21</v>
      </c>
      <c r="AB1142" s="0" t="s">
        <v>301</v>
      </c>
      <c r="AD1142" s="0" t="n">
        <v>0</v>
      </c>
      <c r="AE1142" s="0" t="s">
        <v>295</v>
      </c>
      <c r="AH1142" s="0" t="n">
        <v>20</v>
      </c>
      <c r="AJ1142" s="0" t="n">
        <v>41</v>
      </c>
      <c r="AP1142" s="0" t="n">
        <v>830000</v>
      </c>
      <c r="DB1142" s="0" t="str">
        <f aca="false">IF($A1142="","",IF($AH1142=20,IF(AND(OR($A1142=21,$A1142=215),$AJ1142=10),"①病院一般",IF(AND($A1142=31,$AJ1142=41),"②病院短期","対象外")),IF($AJ1142=30,"③特定消防",IF(AND(OR($A1142=21,$A1142=215),$AJ1142=10),"④一般",IF(AND($A1142=31,$AJ1142=41),"⑤短期","対象外")))))</f>
        <v>②病院短期</v>
      </c>
      <c r="DC1142" s="0" t="n">
        <f aca="false">IF($A1142="","",IF($AB1142&amp;""=設定!$C$4,1,0))</f>
        <v>0</v>
      </c>
    </row>
    <row r="1143" customFormat="false" ht="15" hidden="false" customHeight="false" outlineLevel="0" collapsed="false">
      <c r="A1143" s="0" t="n">
        <v>31</v>
      </c>
      <c r="AA1143" s="0" t="n">
        <v>21</v>
      </c>
      <c r="AB1143" s="0" t="s">
        <v>301</v>
      </c>
      <c r="AD1143" s="0" t="n">
        <v>0</v>
      </c>
      <c r="AE1143" s="0" t="s">
        <v>295</v>
      </c>
      <c r="AH1143" s="0" t="n">
        <v>20</v>
      </c>
      <c r="AJ1143" s="0" t="n">
        <v>41</v>
      </c>
      <c r="AP1143" s="0" t="n">
        <v>240000</v>
      </c>
      <c r="DB1143" s="0" t="str">
        <f aca="false">IF($A1143="","",IF($AH1143=20,IF(AND(OR($A1143=21,$A1143=215),$AJ1143=10),"①病院一般",IF(AND($A1143=31,$AJ1143=41),"②病院短期","対象外")),IF($AJ1143=30,"③特定消防",IF(AND(OR($A1143=21,$A1143=215),$AJ1143=10),"④一般",IF(AND($A1143=31,$AJ1143=41),"⑤短期","対象外")))))</f>
        <v>②病院短期</v>
      </c>
      <c r="DC1143" s="0" t="n">
        <f aca="false">IF($A1143="","",IF($AB1143&amp;""=設定!$C$4,1,0))</f>
        <v>0</v>
      </c>
    </row>
    <row r="1144" customFormat="false" ht="15" hidden="false" customHeight="false" outlineLevel="0" collapsed="false">
      <c r="A1144" s="0" t="n">
        <v>31</v>
      </c>
      <c r="AA1144" s="0" t="n">
        <v>21</v>
      </c>
      <c r="AB1144" s="0" t="s">
        <v>301</v>
      </c>
      <c r="AD1144" s="0" t="n">
        <v>0</v>
      </c>
      <c r="AE1144" s="0" t="s">
        <v>295</v>
      </c>
      <c r="AH1144" s="0" t="n">
        <v>20</v>
      </c>
      <c r="AJ1144" s="0" t="n">
        <v>41</v>
      </c>
      <c r="AP1144" s="0" t="n">
        <v>170000</v>
      </c>
      <c r="DB1144" s="0" t="str">
        <f aca="false">IF($A1144="","",IF($AH1144=20,IF(AND(OR($A1144=21,$A1144=215),$AJ1144=10),"①病院一般",IF(AND($A1144=31,$AJ1144=41),"②病院短期","対象外")),IF($AJ1144=30,"③特定消防",IF(AND(OR($A1144=21,$A1144=215),$AJ1144=10),"④一般",IF(AND($A1144=31,$AJ1144=41),"⑤短期","対象外")))))</f>
        <v>②病院短期</v>
      </c>
      <c r="DC1144" s="0" t="n">
        <f aca="false">IF($A1144="","",IF($AB1144&amp;""=設定!$C$4,1,0))</f>
        <v>0</v>
      </c>
    </row>
    <row r="1145" customFormat="false" ht="15" hidden="false" customHeight="false" outlineLevel="0" collapsed="false">
      <c r="A1145" s="0" t="n">
        <v>31</v>
      </c>
      <c r="AA1145" s="0" t="n">
        <v>21</v>
      </c>
      <c r="AB1145" s="0" t="s">
        <v>301</v>
      </c>
      <c r="AD1145" s="0" t="n">
        <v>0</v>
      </c>
      <c r="AE1145" s="0" t="s">
        <v>295</v>
      </c>
      <c r="AH1145" s="0" t="n">
        <v>20</v>
      </c>
      <c r="AJ1145" s="0" t="n">
        <v>41</v>
      </c>
      <c r="AP1145" s="0" t="n">
        <v>180000</v>
      </c>
      <c r="DB1145" s="0" t="str">
        <f aca="false">IF($A1145="","",IF($AH1145=20,IF(AND(OR($A1145=21,$A1145=215),$AJ1145=10),"①病院一般",IF(AND($A1145=31,$AJ1145=41),"②病院短期","対象外")),IF($AJ1145=30,"③特定消防",IF(AND(OR($A1145=21,$A1145=215),$AJ1145=10),"④一般",IF(AND($A1145=31,$AJ1145=41),"⑤短期","対象外")))))</f>
        <v>②病院短期</v>
      </c>
      <c r="DC1145" s="0" t="n">
        <f aca="false">IF($A1145="","",IF($AB1145&amp;""=設定!$C$4,1,0))</f>
        <v>0</v>
      </c>
    </row>
    <row r="1146" customFormat="false" ht="15" hidden="false" customHeight="false" outlineLevel="0" collapsed="false">
      <c r="A1146" s="0" t="n">
        <v>31</v>
      </c>
      <c r="AA1146" s="0" t="n">
        <v>21</v>
      </c>
      <c r="AB1146" s="0" t="s">
        <v>301</v>
      </c>
      <c r="AD1146" s="0" t="n">
        <v>0</v>
      </c>
      <c r="AE1146" s="0" t="s">
        <v>295</v>
      </c>
      <c r="AH1146" s="0" t="n">
        <v>20</v>
      </c>
      <c r="AJ1146" s="0" t="n">
        <v>41</v>
      </c>
      <c r="AP1146" s="0" t="n">
        <v>180000</v>
      </c>
      <c r="DB1146" s="0" t="str">
        <f aca="false">IF($A1146="","",IF($AH1146=20,IF(AND(OR($A1146=21,$A1146=215),$AJ1146=10),"①病院一般",IF(AND($A1146=31,$AJ1146=41),"②病院短期","対象外")),IF($AJ1146=30,"③特定消防",IF(AND(OR($A1146=21,$A1146=215),$AJ1146=10),"④一般",IF(AND($A1146=31,$AJ1146=41),"⑤短期","対象外")))))</f>
        <v>②病院短期</v>
      </c>
      <c r="DC1146" s="0" t="n">
        <f aca="false">IF($A1146="","",IF($AB1146&amp;""=設定!$C$4,1,0))</f>
        <v>0</v>
      </c>
    </row>
    <row r="1147" customFormat="false" ht="15" hidden="false" customHeight="false" outlineLevel="0" collapsed="false">
      <c r="A1147" s="0" t="n">
        <v>31</v>
      </c>
      <c r="AA1147" s="0" t="n">
        <v>21</v>
      </c>
      <c r="AB1147" s="0" t="s">
        <v>301</v>
      </c>
      <c r="AD1147" s="0" t="n">
        <v>0</v>
      </c>
      <c r="AE1147" s="0" t="s">
        <v>295</v>
      </c>
      <c r="AH1147" s="0" t="n">
        <v>20</v>
      </c>
      <c r="AJ1147" s="0" t="n">
        <v>41</v>
      </c>
      <c r="AP1147" s="0" t="n">
        <v>180000</v>
      </c>
      <c r="DB1147" s="0" t="str">
        <f aca="false">IF($A1147="","",IF($AH1147=20,IF(AND(OR($A1147=21,$A1147=215),$AJ1147=10),"①病院一般",IF(AND($A1147=31,$AJ1147=41),"②病院短期","対象外")),IF($AJ1147=30,"③特定消防",IF(AND(OR($A1147=21,$A1147=215),$AJ1147=10),"④一般",IF(AND($A1147=31,$AJ1147=41),"⑤短期","対象外")))))</f>
        <v>②病院短期</v>
      </c>
      <c r="DC1147" s="0" t="n">
        <f aca="false">IF($A1147="","",IF($AB1147&amp;""=設定!$C$4,1,0))</f>
        <v>0</v>
      </c>
    </row>
    <row r="1148" customFormat="false" ht="15" hidden="false" customHeight="false" outlineLevel="0" collapsed="false">
      <c r="A1148" s="0" t="n">
        <v>31</v>
      </c>
      <c r="AA1148" s="0" t="n">
        <v>21</v>
      </c>
      <c r="AB1148" s="0" t="s">
        <v>301</v>
      </c>
      <c r="AD1148" s="0" t="n">
        <v>0</v>
      </c>
      <c r="AE1148" s="0" t="s">
        <v>295</v>
      </c>
      <c r="AH1148" s="0" t="n">
        <v>20</v>
      </c>
      <c r="AJ1148" s="0" t="n">
        <v>41</v>
      </c>
      <c r="AP1148" s="0" t="n">
        <v>180000</v>
      </c>
      <c r="DB1148" s="0" t="str">
        <f aca="false">IF($A1148="","",IF($AH1148=20,IF(AND(OR($A1148=21,$A1148=215),$AJ1148=10),"①病院一般",IF(AND($A1148=31,$AJ1148=41),"②病院短期","対象外")),IF($AJ1148=30,"③特定消防",IF(AND(OR($A1148=21,$A1148=215),$AJ1148=10),"④一般",IF(AND($A1148=31,$AJ1148=41),"⑤短期","対象外")))))</f>
        <v>②病院短期</v>
      </c>
      <c r="DC1148" s="0" t="n">
        <f aca="false">IF($A1148="","",IF($AB1148&amp;""=設定!$C$4,1,0))</f>
        <v>0</v>
      </c>
    </row>
    <row r="1149" customFormat="false" ht="15" hidden="false" customHeight="false" outlineLevel="0" collapsed="false">
      <c r="A1149" s="0" t="n">
        <v>31</v>
      </c>
      <c r="AA1149" s="0" t="n">
        <v>21</v>
      </c>
      <c r="AB1149" s="0" t="s">
        <v>301</v>
      </c>
      <c r="AD1149" s="0" t="n">
        <v>0</v>
      </c>
      <c r="AE1149" s="0" t="s">
        <v>295</v>
      </c>
      <c r="AH1149" s="0" t="n">
        <v>20</v>
      </c>
      <c r="AJ1149" s="0" t="n">
        <v>41</v>
      </c>
      <c r="AP1149" s="0" t="n">
        <v>160000</v>
      </c>
      <c r="DB1149" s="0" t="str">
        <f aca="false">IF($A1149="","",IF($AH1149=20,IF(AND(OR($A1149=21,$A1149=215),$AJ1149=10),"①病院一般",IF(AND($A1149=31,$AJ1149=41),"②病院短期","対象外")),IF($AJ1149=30,"③特定消防",IF(AND(OR($A1149=21,$A1149=215),$AJ1149=10),"④一般",IF(AND($A1149=31,$AJ1149=41),"⑤短期","対象外")))))</f>
        <v>②病院短期</v>
      </c>
      <c r="DC1149" s="0" t="n">
        <f aca="false">IF($A1149="","",IF($AB1149&amp;""=設定!$C$4,1,0))</f>
        <v>0</v>
      </c>
    </row>
    <row r="1150" customFormat="false" ht="15" hidden="false" customHeight="false" outlineLevel="0" collapsed="false">
      <c r="A1150" s="0" t="n">
        <v>31</v>
      </c>
      <c r="AA1150" s="0" t="n">
        <v>21</v>
      </c>
      <c r="AB1150" s="0" t="s">
        <v>301</v>
      </c>
      <c r="AD1150" s="0" t="n">
        <v>0</v>
      </c>
      <c r="AE1150" s="0" t="s">
        <v>295</v>
      </c>
      <c r="AH1150" s="0" t="n">
        <v>20</v>
      </c>
      <c r="AJ1150" s="0" t="n">
        <v>41</v>
      </c>
      <c r="AP1150" s="0" t="n">
        <v>180000</v>
      </c>
      <c r="DB1150" s="0" t="str">
        <f aca="false">IF($A1150="","",IF($AH1150=20,IF(AND(OR($A1150=21,$A1150=215),$AJ1150=10),"①病院一般",IF(AND($A1150=31,$AJ1150=41),"②病院短期","対象外")),IF($AJ1150=30,"③特定消防",IF(AND(OR($A1150=21,$A1150=215),$AJ1150=10),"④一般",IF(AND($A1150=31,$AJ1150=41),"⑤短期","対象外")))))</f>
        <v>②病院短期</v>
      </c>
      <c r="DC1150" s="0" t="n">
        <f aca="false">IF($A1150="","",IF($AB1150&amp;""=設定!$C$4,1,0))</f>
        <v>0</v>
      </c>
    </row>
    <row r="1151" customFormat="false" ht="15" hidden="false" customHeight="false" outlineLevel="0" collapsed="false">
      <c r="A1151" s="0" t="n">
        <v>31</v>
      </c>
      <c r="AA1151" s="0" t="n">
        <v>21</v>
      </c>
      <c r="AB1151" s="0" t="s">
        <v>301</v>
      </c>
      <c r="AD1151" s="0" t="n">
        <v>0</v>
      </c>
      <c r="AE1151" s="0" t="s">
        <v>295</v>
      </c>
      <c r="AH1151" s="0" t="n">
        <v>20</v>
      </c>
      <c r="AJ1151" s="0" t="n">
        <v>41</v>
      </c>
      <c r="AP1151" s="0" t="n">
        <v>240000</v>
      </c>
      <c r="DB1151" s="0" t="str">
        <f aca="false">IF($A1151="","",IF($AH1151=20,IF(AND(OR($A1151=21,$A1151=215),$AJ1151=10),"①病院一般",IF(AND($A1151=31,$AJ1151=41),"②病院短期","対象外")),IF($AJ1151=30,"③特定消防",IF(AND(OR($A1151=21,$A1151=215),$AJ1151=10),"④一般",IF(AND($A1151=31,$AJ1151=41),"⑤短期","対象外")))))</f>
        <v>②病院短期</v>
      </c>
      <c r="DC1151" s="0" t="n">
        <f aca="false">IF($A1151="","",IF($AB1151&amp;""=設定!$C$4,1,0))</f>
        <v>0</v>
      </c>
    </row>
    <row r="1152" customFormat="false" ht="15" hidden="false" customHeight="false" outlineLevel="0" collapsed="false">
      <c r="A1152" s="0" t="n">
        <v>31</v>
      </c>
      <c r="AA1152" s="0" t="n">
        <v>21</v>
      </c>
      <c r="AB1152" s="0" t="s">
        <v>301</v>
      </c>
      <c r="AD1152" s="0" t="n">
        <v>0</v>
      </c>
      <c r="AE1152" s="0" t="s">
        <v>295</v>
      </c>
      <c r="AH1152" s="0" t="n">
        <v>20</v>
      </c>
      <c r="AJ1152" s="0" t="n">
        <v>41</v>
      </c>
      <c r="AP1152" s="0" t="n">
        <v>260000</v>
      </c>
      <c r="DB1152" s="0" t="str">
        <f aca="false">IF($A1152="","",IF($AH1152=20,IF(AND(OR($A1152=21,$A1152=215),$AJ1152=10),"①病院一般",IF(AND($A1152=31,$AJ1152=41),"②病院短期","対象外")),IF($AJ1152=30,"③特定消防",IF(AND(OR($A1152=21,$A1152=215),$AJ1152=10),"④一般",IF(AND($A1152=31,$AJ1152=41),"⑤短期","対象外")))))</f>
        <v>②病院短期</v>
      </c>
      <c r="DC1152" s="0" t="n">
        <f aca="false">IF($A1152="","",IF($AB1152&amp;""=設定!$C$4,1,0))</f>
        <v>0</v>
      </c>
    </row>
    <row r="1153" customFormat="false" ht="15" hidden="false" customHeight="false" outlineLevel="0" collapsed="false">
      <c r="A1153" s="0" t="n">
        <v>31</v>
      </c>
      <c r="AA1153" s="0" t="n">
        <v>21</v>
      </c>
      <c r="AB1153" s="0" t="s">
        <v>301</v>
      </c>
      <c r="AD1153" s="0" t="n">
        <v>0</v>
      </c>
      <c r="AE1153" s="0" t="s">
        <v>295</v>
      </c>
      <c r="AH1153" s="0" t="n">
        <v>20</v>
      </c>
      <c r="AJ1153" s="0" t="n">
        <v>41</v>
      </c>
      <c r="AP1153" s="0" t="n">
        <v>190000</v>
      </c>
      <c r="DB1153" s="0" t="str">
        <f aca="false">IF($A1153="","",IF($AH1153=20,IF(AND(OR($A1153=21,$A1153=215),$AJ1153=10),"①病院一般",IF(AND($A1153=31,$AJ1153=41),"②病院短期","対象外")),IF($AJ1153=30,"③特定消防",IF(AND(OR($A1153=21,$A1153=215),$AJ1153=10),"④一般",IF(AND($A1153=31,$AJ1153=41),"⑤短期","対象外")))))</f>
        <v>②病院短期</v>
      </c>
      <c r="DC1153" s="0" t="n">
        <f aca="false">IF($A1153="","",IF($AB1153&amp;""=設定!$C$4,1,0))</f>
        <v>0</v>
      </c>
    </row>
    <row r="1154" customFormat="false" ht="15" hidden="false" customHeight="false" outlineLevel="0" collapsed="false">
      <c r="A1154" s="0" t="n">
        <v>31</v>
      </c>
      <c r="AA1154" s="0" t="n">
        <v>21</v>
      </c>
      <c r="AB1154" s="0" t="s">
        <v>301</v>
      </c>
      <c r="AD1154" s="0" t="n">
        <v>0</v>
      </c>
      <c r="AE1154" s="0" t="s">
        <v>295</v>
      </c>
      <c r="AH1154" s="0" t="n">
        <v>20</v>
      </c>
      <c r="AJ1154" s="0" t="n">
        <v>41</v>
      </c>
      <c r="AP1154" s="0" t="n">
        <v>180000</v>
      </c>
      <c r="DB1154" s="0" t="str">
        <f aca="false">IF($A1154="","",IF($AH1154=20,IF(AND(OR($A1154=21,$A1154=215),$AJ1154=10),"①病院一般",IF(AND($A1154=31,$AJ1154=41),"②病院短期","対象外")),IF($AJ1154=30,"③特定消防",IF(AND(OR($A1154=21,$A1154=215),$AJ1154=10),"④一般",IF(AND($A1154=31,$AJ1154=41),"⑤短期","対象外")))))</f>
        <v>②病院短期</v>
      </c>
      <c r="DC1154" s="0" t="n">
        <f aca="false">IF($A1154="","",IF($AB1154&amp;""=設定!$C$4,1,0))</f>
        <v>0</v>
      </c>
    </row>
    <row r="1155" customFormat="false" ht="15" hidden="false" customHeight="false" outlineLevel="0" collapsed="false">
      <c r="A1155" s="0" t="n">
        <v>31</v>
      </c>
      <c r="AA1155" s="0" t="n">
        <v>21</v>
      </c>
      <c r="AB1155" s="0" t="s">
        <v>301</v>
      </c>
      <c r="AD1155" s="0" t="n">
        <v>0</v>
      </c>
      <c r="AE1155" s="0" t="s">
        <v>295</v>
      </c>
      <c r="AH1155" s="0" t="n">
        <v>20</v>
      </c>
      <c r="AJ1155" s="0" t="n">
        <v>41</v>
      </c>
      <c r="AP1155" s="0" t="n">
        <v>170000</v>
      </c>
      <c r="DB1155" s="0" t="str">
        <f aca="false">IF($A1155="","",IF($AH1155=20,IF(AND(OR($A1155=21,$A1155=215),$AJ1155=10),"①病院一般",IF(AND($A1155=31,$AJ1155=41),"②病院短期","対象外")),IF($AJ1155=30,"③特定消防",IF(AND(OR($A1155=21,$A1155=215),$AJ1155=10),"④一般",IF(AND($A1155=31,$AJ1155=41),"⑤短期","対象外")))))</f>
        <v>②病院短期</v>
      </c>
      <c r="DC1155" s="0" t="n">
        <f aca="false">IF($A1155="","",IF($AB1155&amp;""=設定!$C$4,1,0))</f>
        <v>0</v>
      </c>
    </row>
    <row r="1156" customFormat="false" ht="15" hidden="false" customHeight="false" outlineLevel="0" collapsed="false">
      <c r="A1156" s="0" t="n">
        <v>31</v>
      </c>
      <c r="AA1156" s="0" t="n">
        <v>21</v>
      </c>
      <c r="AB1156" s="0" t="s">
        <v>96</v>
      </c>
      <c r="AD1156" s="0" t="n">
        <v>0</v>
      </c>
      <c r="AE1156" s="0" t="s">
        <v>295</v>
      </c>
      <c r="AH1156" s="0" t="n">
        <v>20</v>
      </c>
      <c r="AJ1156" s="0" t="n">
        <v>41</v>
      </c>
      <c r="AP1156" s="0" t="n">
        <v>180000</v>
      </c>
      <c r="DB1156" s="0" t="str">
        <f aca="false">IF($A1156="","",IF($AH1156=20,IF(AND(OR($A1156=21,$A1156=215),$AJ1156=10),"①病院一般",IF(AND($A1156=31,$AJ1156=41),"②病院短期","対象外")),IF($AJ1156=30,"③特定消防",IF(AND(OR($A1156=21,$A1156=215),$AJ1156=10),"④一般",IF(AND($A1156=31,$AJ1156=41),"⑤短期","対象外")))))</f>
        <v>②病院短期</v>
      </c>
      <c r="DC1156" s="0" t="n">
        <f aca="false">IF($A1156="","",IF($AB1156&amp;""=設定!$C$4,1,0))</f>
        <v>1</v>
      </c>
    </row>
    <row r="1157" customFormat="false" ht="15" hidden="false" customHeight="false" outlineLevel="0" collapsed="false">
      <c r="A1157" s="0" t="n">
        <v>31</v>
      </c>
      <c r="AA1157" s="0" t="n">
        <v>21</v>
      </c>
      <c r="AB1157" s="0" t="s">
        <v>96</v>
      </c>
      <c r="AD1157" s="0" t="n">
        <v>0</v>
      </c>
      <c r="AE1157" s="0" t="s">
        <v>295</v>
      </c>
      <c r="AH1157" s="0" t="n">
        <v>20</v>
      </c>
      <c r="AJ1157" s="0" t="n">
        <v>41</v>
      </c>
      <c r="AP1157" s="0" t="n">
        <v>300000</v>
      </c>
      <c r="DB1157" s="0" t="str">
        <f aca="false">IF($A1157="","",IF($AH1157=20,IF(AND(OR($A1157=21,$A1157=215),$AJ1157=10),"①病院一般",IF(AND($A1157=31,$AJ1157=41),"②病院短期","対象外")),IF($AJ1157=30,"③特定消防",IF(AND(OR($A1157=21,$A1157=215),$AJ1157=10),"④一般",IF(AND($A1157=31,$AJ1157=41),"⑤短期","対象外")))))</f>
        <v>②病院短期</v>
      </c>
      <c r="DC1157" s="0" t="n">
        <f aca="false">IF($A1157="","",IF($AB1157&amp;""=設定!$C$4,1,0))</f>
        <v>1</v>
      </c>
    </row>
    <row r="1158" customFormat="false" ht="15" hidden="false" customHeight="false" outlineLevel="0" collapsed="false">
      <c r="A1158" s="0" t="n">
        <v>31</v>
      </c>
      <c r="AA1158" s="0" t="n">
        <v>21</v>
      </c>
      <c r="AB1158" s="0" t="s">
        <v>96</v>
      </c>
      <c r="AD1158" s="0" t="n">
        <v>0</v>
      </c>
      <c r="AE1158" s="0" t="s">
        <v>295</v>
      </c>
      <c r="AH1158" s="0" t="n">
        <v>20</v>
      </c>
      <c r="AJ1158" s="0" t="n">
        <v>41</v>
      </c>
      <c r="AP1158" s="0" t="n">
        <v>300000</v>
      </c>
      <c r="DB1158" s="0" t="str">
        <f aca="false">IF($A1158="","",IF($AH1158=20,IF(AND(OR($A1158=21,$A1158=215),$AJ1158=10),"①病院一般",IF(AND($A1158=31,$AJ1158=41),"②病院短期","対象外")),IF($AJ1158=30,"③特定消防",IF(AND(OR($A1158=21,$A1158=215),$AJ1158=10),"④一般",IF(AND($A1158=31,$AJ1158=41),"⑤短期","対象外")))))</f>
        <v>②病院短期</v>
      </c>
      <c r="DC1158" s="0" t="n">
        <f aca="false">IF($A1158="","",IF($AB1158&amp;""=設定!$C$4,1,0))</f>
        <v>1</v>
      </c>
    </row>
    <row r="1159" customFormat="false" ht="15" hidden="false" customHeight="false" outlineLevel="0" collapsed="false">
      <c r="A1159" s="0" t="n">
        <v>31</v>
      </c>
      <c r="AA1159" s="0" t="n">
        <v>21</v>
      </c>
      <c r="AB1159" s="0" t="s">
        <v>96</v>
      </c>
      <c r="AD1159" s="0" t="n">
        <v>12</v>
      </c>
      <c r="AE1159" s="0" t="s">
        <v>301</v>
      </c>
      <c r="AH1159" s="0" t="n">
        <v>20</v>
      </c>
      <c r="AJ1159" s="0" t="n">
        <v>41</v>
      </c>
      <c r="AP1159" s="0" t="n">
        <v>280000</v>
      </c>
      <c r="DB1159" s="0" t="str">
        <f aca="false">IF($A1159="","",IF($AH1159=20,IF(AND(OR($A1159=21,$A1159=215),$AJ1159=10),"①病院一般",IF(AND($A1159=31,$AJ1159=41),"②病院短期","対象外")),IF($AJ1159=30,"③特定消防",IF(AND(OR($A1159=21,$A1159=215),$AJ1159=10),"④一般",IF(AND($A1159=31,$AJ1159=41),"⑤短期","対象外")))))</f>
        <v>②病院短期</v>
      </c>
      <c r="DC1159" s="0" t="n">
        <f aca="false">IF($A1159="","",IF($AB1159&amp;""=設定!$C$4,1,0))</f>
        <v>1</v>
      </c>
    </row>
    <row r="1160" customFormat="false" ht="15" hidden="false" customHeight="false" outlineLevel="0" collapsed="false">
      <c r="A1160" s="0" t="n">
        <v>31</v>
      </c>
      <c r="AA1160" s="0" t="n">
        <v>21</v>
      </c>
      <c r="AB1160" s="0" t="s">
        <v>96</v>
      </c>
      <c r="AD1160" s="0" t="n">
        <v>12</v>
      </c>
      <c r="AE1160" s="0" t="s">
        <v>301</v>
      </c>
      <c r="AH1160" s="0" t="n">
        <v>20</v>
      </c>
      <c r="AJ1160" s="0" t="n">
        <v>41</v>
      </c>
      <c r="AP1160" s="0" t="n">
        <v>260000</v>
      </c>
      <c r="DB1160" s="0" t="str">
        <f aca="false">IF($A1160="","",IF($AH1160=20,IF(AND(OR($A1160=21,$A1160=215),$AJ1160=10),"①病院一般",IF(AND($A1160=31,$AJ1160=41),"②病院短期","対象外")),IF($AJ1160=30,"③特定消防",IF(AND(OR($A1160=21,$A1160=215),$AJ1160=10),"④一般",IF(AND($A1160=31,$AJ1160=41),"⑤短期","対象外")))))</f>
        <v>②病院短期</v>
      </c>
      <c r="DC1160" s="0" t="n">
        <f aca="false">IF($A1160="","",IF($AB1160&amp;""=設定!$C$4,1,0))</f>
        <v>1</v>
      </c>
    </row>
    <row r="1161" customFormat="false" ht="15" hidden="false" customHeight="false" outlineLevel="0" collapsed="false">
      <c r="A1161" s="0" t="n">
        <v>31</v>
      </c>
      <c r="AA1161" s="0" t="n">
        <v>21</v>
      </c>
      <c r="AB1161" s="0" t="s">
        <v>96</v>
      </c>
      <c r="AD1161" s="0" t="n">
        <v>0</v>
      </c>
      <c r="AE1161" s="0" t="s">
        <v>295</v>
      </c>
      <c r="AH1161" s="0" t="n">
        <v>20</v>
      </c>
      <c r="AJ1161" s="0" t="n">
        <v>41</v>
      </c>
      <c r="AP1161" s="0" t="n">
        <v>280000</v>
      </c>
      <c r="DB1161" s="0" t="str">
        <f aca="false">IF($A1161="","",IF($AH1161=20,IF(AND(OR($A1161=21,$A1161=215),$AJ1161=10),"①病院一般",IF(AND($A1161=31,$AJ1161=41),"②病院短期","対象外")),IF($AJ1161=30,"③特定消防",IF(AND(OR($A1161=21,$A1161=215),$AJ1161=10),"④一般",IF(AND($A1161=31,$AJ1161=41),"⑤短期","対象外")))))</f>
        <v>②病院短期</v>
      </c>
      <c r="DC1161" s="0" t="n">
        <f aca="false">IF($A1161="","",IF($AB1161&amp;""=設定!$C$4,1,0))</f>
        <v>1</v>
      </c>
    </row>
    <row r="1162" customFormat="false" ht="15" hidden="false" customHeight="false" outlineLevel="0" collapsed="false">
      <c r="A1162" s="0" t="n">
        <v>31</v>
      </c>
      <c r="AA1162" s="0" t="n">
        <v>21</v>
      </c>
      <c r="AB1162" s="0" t="s">
        <v>96</v>
      </c>
      <c r="AD1162" s="0" t="n">
        <v>12</v>
      </c>
      <c r="AE1162" s="0" t="s">
        <v>301</v>
      </c>
      <c r="AH1162" s="0" t="n">
        <v>20</v>
      </c>
      <c r="AJ1162" s="0" t="n">
        <v>41</v>
      </c>
      <c r="AP1162" s="0" t="n">
        <v>180000</v>
      </c>
      <c r="DB1162" s="0" t="str">
        <f aca="false">IF($A1162="","",IF($AH1162=20,IF(AND(OR($A1162=21,$A1162=215),$AJ1162=10),"①病院一般",IF(AND($A1162=31,$AJ1162=41),"②病院短期","対象外")),IF($AJ1162=30,"③特定消防",IF(AND(OR($A1162=21,$A1162=215),$AJ1162=10),"④一般",IF(AND($A1162=31,$AJ1162=41),"⑤短期","対象外")))))</f>
        <v>②病院短期</v>
      </c>
      <c r="DC1162" s="0" t="n">
        <f aca="false">IF($A1162="","",IF($AB1162&amp;""=設定!$C$4,1,0))</f>
        <v>1</v>
      </c>
    </row>
    <row r="1163" customFormat="false" ht="15" hidden="false" customHeight="false" outlineLevel="0" collapsed="false">
      <c r="A1163" s="0" t="n">
        <v>31</v>
      </c>
      <c r="AA1163" s="0" t="n">
        <v>21</v>
      </c>
      <c r="AB1163" s="0" t="s">
        <v>96</v>
      </c>
      <c r="AD1163" s="0" t="n">
        <v>0</v>
      </c>
      <c r="AE1163" s="0" t="s">
        <v>295</v>
      </c>
      <c r="AH1163" s="0" t="n">
        <v>20</v>
      </c>
      <c r="AJ1163" s="0" t="n">
        <v>41</v>
      </c>
      <c r="AP1163" s="0" t="n">
        <v>830000</v>
      </c>
      <c r="DB1163" s="0" t="str">
        <f aca="false">IF($A1163="","",IF($AH1163=20,IF(AND(OR($A1163=21,$A1163=215),$AJ1163=10),"①病院一般",IF(AND($A1163=31,$AJ1163=41),"②病院短期","対象外")),IF($AJ1163=30,"③特定消防",IF(AND(OR($A1163=21,$A1163=215),$AJ1163=10),"④一般",IF(AND($A1163=31,$AJ1163=41),"⑤短期","対象外")))))</f>
        <v>②病院短期</v>
      </c>
      <c r="DC1163" s="0" t="n">
        <f aca="false">IF($A1163="","",IF($AB1163&amp;""=設定!$C$4,1,0))</f>
        <v>1</v>
      </c>
    </row>
    <row r="1164" customFormat="false" ht="15" hidden="false" customHeight="false" outlineLevel="0" collapsed="false">
      <c r="A1164" s="0" t="n">
        <v>31</v>
      </c>
      <c r="AA1164" s="0" t="n">
        <v>21</v>
      </c>
      <c r="AB1164" s="0" t="s">
        <v>96</v>
      </c>
      <c r="AD1164" s="0" t="n">
        <v>0</v>
      </c>
      <c r="AE1164" s="0" t="s">
        <v>295</v>
      </c>
      <c r="AH1164" s="0" t="n">
        <v>20</v>
      </c>
      <c r="AJ1164" s="0" t="n">
        <v>41</v>
      </c>
      <c r="AP1164" s="0" t="n">
        <v>360000</v>
      </c>
      <c r="DB1164" s="0" t="str">
        <f aca="false">IF($A1164="","",IF($AH1164=20,IF(AND(OR($A1164=21,$A1164=215),$AJ1164=10),"①病院一般",IF(AND($A1164=31,$AJ1164=41),"②病院短期","対象外")),IF($AJ1164=30,"③特定消防",IF(AND(OR($A1164=21,$A1164=215),$AJ1164=10),"④一般",IF(AND($A1164=31,$AJ1164=41),"⑤短期","対象外")))))</f>
        <v>②病院短期</v>
      </c>
      <c r="DC1164" s="0" t="n">
        <f aca="false">IF($A1164="","",IF($AB1164&amp;""=設定!$C$4,1,0))</f>
        <v>1</v>
      </c>
    </row>
    <row r="1165" customFormat="false" ht="15" hidden="false" customHeight="false" outlineLevel="0" collapsed="false">
      <c r="A1165" s="0" t="n">
        <v>31</v>
      </c>
      <c r="AA1165" s="0" t="n">
        <v>21</v>
      </c>
      <c r="AB1165" s="0" t="s">
        <v>96</v>
      </c>
      <c r="AD1165" s="0" t="n">
        <v>0</v>
      </c>
      <c r="AE1165" s="0" t="s">
        <v>295</v>
      </c>
      <c r="AH1165" s="0" t="n">
        <v>20</v>
      </c>
      <c r="AJ1165" s="0" t="n">
        <v>41</v>
      </c>
      <c r="AP1165" s="0" t="n">
        <v>240000</v>
      </c>
      <c r="DB1165" s="0" t="str">
        <f aca="false">IF($A1165="","",IF($AH1165=20,IF(AND(OR($A1165=21,$A1165=215),$AJ1165=10),"①病院一般",IF(AND($A1165=31,$AJ1165=41),"②病院短期","対象外")),IF($AJ1165=30,"③特定消防",IF(AND(OR($A1165=21,$A1165=215),$AJ1165=10),"④一般",IF(AND($A1165=31,$AJ1165=41),"⑤短期","対象外")))))</f>
        <v>②病院短期</v>
      </c>
      <c r="DC1165" s="0" t="n">
        <f aca="false">IF($A1165="","",IF($AB1165&amp;""=設定!$C$4,1,0))</f>
        <v>1</v>
      </c>
    </row>
    <row r="1166" customFormat="false" ht="15" hidden="false" customHeight="false" outlineLevel="0" collapsed="false">
      <c r="A1166" s="0" t="n">
        <v>31</v>
      </c>
      <c r="AA1166" s="0" t="n">
        <v>21</v>
      </c>
      <c r="AB1166" s="0" t="s">
        <v>96</v>
      </c>
      <c r="AD1166" s="0" t="n">
        <v>0</v>
      </c>
      <c r="AE1166" s="0" t="s">
        <v>295</v>
      </c>
      <c r="AH1166" s="0" t="n">
        <v>20</v>
      </c>
      <c r="AJ1166" s="0" t="n">
        <v>41</v>
      </c>
      <c r="AP1166" s="0" t="n">
        <v>340000</v>
      </c>
      <c r="DB1166" s="0" t="str">
        <f aca="false">IF($A1166="","",IF($AH1166=20,IF(AND(OR($A1166=21,$A1166=215),$AJ1166=10),"①病院一般",IF(AND($A1166=31,$AJ1166=41),"②病院短期","対象外")),IF($AJ1166=30,"③特定消防",IF(AND(OR($A1166=21,$A1166=215),$AJ1166=10),"④一般",IF(AND($A1166=31,$AJ1166=41),"⑤短期","対象外")))))</f>
        <v>②病院短期</v>
      </c>
      <c r="DC1166" s="0" t="n">
        <f aca="false">IF($A1166="","",IF($AB1166&amp;""=設定!$C$4,1,0))</f>
        <v>1</v>
      </c>
    </row>
    <row r="1167" customFormat="false" ht="15" hidden="false" customHeight="false" outlineLevel="0" collapsed="false">
      <c r="A1167" s="0" t="n">
        <v>31</v>
      </c>
      <c r="AA1167" s="0" t="n">
        <v>21</v>
      </c>
      <c r="AB1167" s="0" t="s">
        <v>96</v>
      </c>
      <c r="AD1167" s="0" t="n">
        <v>0</v>
      </c>
      <c r="AE1167" s="0" t="s">
        <v>295</v>
      </c>
      <c r="AH1167" s="0" t="n">
        <v>20</v>
      </c>
      <c r="AJ1167" s="0" t="n">
        <v>41</v>
      </c>
      <c r="AP1167" s="0" t="n">
        <v>320000</v>
      </c>
      <c r="DB1167" s="0" t="str">
        <f aca="false">IF($A1167="","",IF($AH1167=20,IF(AND(OR($A1167=21,$A1167=215),$AJ1167=10),"①病院一般",IF(AND($A1167=31,$AJ1167=41),"②病院短期","対象外")),IF($AJ1167=30,"③特定消防",IF(AND(OR($A1167=21,$A1167=215),$AJ1167=10),"④一般",IF(AND($A1167=31,$AJ1167=41),"⑤短期","対象外")))))</f>
        <v>②病院短期</v>
      </c>
      <c r="DC1167" s="0" t="n">
        <f aca="false">IF($A1167="","",IF($AB1167&amp;""=設定!$C$4,1,0))</f>
        <v>1</v>
      </c>
    </row>
    <row r="1168" customFormat="false" ht="15" hidden="false" customHeight="false" outlineLevel="0" collapsed="false">
      <c r="A1168" s="0" t="n">
        <v>31</v>
      </c>
      <c r="AA1168" s="0" t="n">
        <v>21</v>
      </c>
      <c r="AB1168" s="0" t="s">
        <v>96</v>
      </c>
      <c r="AD1168" s="0" t="n">
        <v>0</v>
      </c>
      <c r="AE1168" s="0" t="s">
        <v>295</v>
      </c>
      <c r="AH1168" s="0" t="n">
        <v>20</v>
      </c>
      <c r="AJ1168" s="0" t="n">
        <v>41</v>
      </c>
      <c r="AP1168" s="0" t="n">
        <v>240000</v>
      </c>
      <c r="DB1168" s="0" t="str">
        <f aca="false">IF($A1168="","",IF($AH1168=20,IF(AND(OR($A1168=21,$A1168=215),$AJ1168=10),"①病院一般",IF(AND($A1168=31,$AJ1168=41),"②病院短期","対象外")),IF($AJ1168=30,"③特定消防",IF(AND(OR($A1168=21,$A1168=215),$AJ1168=10),"④一般",IF(AND($A1168=31,$AJ1168=41),"⑤短期","対象外")))))</f>
        <v>②病院短期</v>
      </c>
      <c r="DC1168" s="0" t="n">
        <f aca="false">IF($A1168="","",IF($AB1168&amp;""=設定!$C$4,1,0))</f>
        <v>1</v>
      </c>
    </row>
    <row r="1169" customFormat="false" ht="15" hidden="false" customHeight="false" outlineLevel="0" collapsed="false">
      <c r="A1169" s="0" t="n">
        <v>31</v>
      </c>
      <c r="AA1169" s="0" t="n">
        <v>21</v>
      </c>
      <c r="AB1169" s="0" t="s">
        <v>96</v>
      </c>
      <c r="AD1169" s="0" t="n">
        <v>12</v>
      </c>
      <c r="AE1169" s="0" t="s">
        <v>301</v>
      </c>
      <c r="AH1169" s="0" t="n">
        <v>20</v>
      </c>
      <c r="AJ1169" s="0" t="n">
        <v>41</v>
      </c>
      <c r="AP1169" s="0" t="n">
        <v>180000</v>
      </c>
      <c r="DB1169" s="0" t="str">
        <f aca="false">IF($A1169="","",IF($AH1169=20,IF(AND(OR($A1169=21,$A1169=215),$AJ1169=10),"①病院一般",IF(AND($A1169=31,$AJ1169=41),"②病院短期","対象外")),IF($AJ1169=30,"③特定消防",IF(AND(OR($A1169=21,$A1169=215),$AJ1169=10),"④一般",IF(AND($A1169=31,$AJ1169=41),"⑤短期","対象外")))))</f>
        <v>②病院短期</v>
      </c>
      <c r="DC1169" s="0" t="n">
        <f aca="false">IF($A1169="","",IF($AB1169&amp;""=設定!$C$4,1,0))</f>
        <v>1</v>
      </c>
    </row>
    <row r="1170" customFormat="false" ht="15" hidden="false" customHeight="false" outlineLevel="0" collapsed="false">
      <c r="A1170" s="0" t="n">
        <v>31</v>
      </c>
      <c r="AA1170" s="0" t="n">
        <v>21</v>
      </c>
      <c r="AB1170" s="0" t="s">
        <v>344</v>
      </c>
      <c r="AD1170" s="0" t="n">
        <v>0</v>
      </c>
      <c r="AE1170" s="0" t="s">
        <v>295</v>
      </c>
      <c r="AH1170" s="0" t="n">
        <v>20</v>
      </c>
      <c r="AJ1170" s="0" t="n">
        <v>41</v>
      </c>
      <c r="AP1170" s="0" t="n">
        <v>160000</v>
      </c>
      <c r="DB1170" s="0" t="str">
        <f aca="false">IF($A1170="","",IF($AH1170=20,IF(AND(OR($A1170=21,$A1170=215),$AJ1170=10),"①病院一般",IF(AND($A1170=31,$AJ1170=41),"②病院短期","対象外")),IF($AJ1170=30,"③特定消防",IF(AND(OR($A1170=21,$A1170=215),$AJ1170=10),"④一般",IF(AND($A1170=31,$AJ1170=41),"⑤短期","対象外")))))</f>
        <v>②病院短期</v>
      </c>
      <c r="DC1170" s="0" t="n">
        <f aca="false">IF($A1170="","",IF($AB1170&amp;""=設定!$C$4,1,0))</f>
        <v>0</v>
      </c>
    </row>
    <row r="1171" customFormat="false" ht="15" hidden="false" customHeight="false" outlineLevel="0" collapsed="false">
      <c r="A1171" s="0" t="n">
        <v>31</v>
      </c>
      <c r="AA1171" s="0" t="n">
        <v>21</v>
      </c>
      <c r="AB1171" s="0" t="s">
        <v>96</v>
      </c>
      <c r="AD1171" s="0" t="n">
        <v>0</v>
      </c>
      <c r="AE1171" s="0" t="s">
        <v>295</v>
      </c>
      <c r="AH1171" s="0" t="n">
        <v>20</v>
      </c>
      <c r="AJ1171" s="0" t="n">
        <v>41</v>
      </c>
      <c r="AP1171" s="0" t="n">
        <v>180000</v>
      </c>
      <c r="DB1171" s="0" t="str">
        <f aca="false">IF($A1171="","",IF($AH1171=20,IF(AND(OR($A1171=21,$A1171=215),$AJ1171=10),"①病院一般",IF(AND($A1171=31,$AJ1171=41),"②病院短期","対象外")),IF($AJ1171=30,"③特定消防",IF(AND(OR($A1171=21,$A1171=215),$AJ1171=10),"④一般",IF(AND($A1171=31,$AJ1171=41),"⑤短期","対象外")))))</f>
        <v>②病院短期</v>
      </c>
      <c r="DC1171" s="0" t="n">
        <f aca="false">IF($A1171="","",IF($AB1171&amp;""=設定!$C$4,1,0))</f>
        <v>1</v>
      </c>
    </row>
    <row r="1172" customFormat="false" ht="15" hidden="false" customHeight="false" outlineLevel="0" collapsed="false">
      <c r="A1172" s="0" t="n">
        <v>31</v>
      </c>
      <c r="AA1172" s="0" t="n">
        <v>21</v>
      </c>
      <c r="AB1172" s="0" t="s">
        <v>96</v>
      </c>
      <c r="AD1172" s="0" t="n">
        <v>12</v>
      </c>
      <c r="AE1172" s="0" t="s">
        <v>298</v>
      </c>
      <c r="AH1172" s="0" t="n">
        <v>20</v>
      </c>
      <c r="AJ1172" s="0" t="n">
        <v>41</v>
      </c>
      <c r="AP1172" s="0" t="n">
        <v>160000</v>
      </c>
      <c r="DB1172" s="0" t="str">
        <f aca="false">IF($A1172="","",IF($AH1172=20,IF(AND(OR($A1172=21,$A1172=215),$AJ1172=10),"①病院一般",IF(AND($A1172=31,$AJ1172=41),"②病院短期","対象外")),IF($AJ1172=30,"③特定消防",IF(AND(OR($A1172=21,$A1172=215),$AJ1172=10),"④一般",IF(AND($A1172=31,$AJ1172=41),"⑤短期","対象外")))))</f>
        <v>②病院短期</v>
      </c>
      <c r="DC1172" s="0" t="n">
        <f aca="false">IF($A1172="","",IF($AB1172&amp;""=設定!$C$4,1,0))</f>
        <v>1</v>
      </c>
    </row>
    <row r="1173" customFormat="false" ht="15" hidden="false" customHeight="false" outlineLevel="0" collapsed="false">
      <c r="A1173" s="0" t="n">
        <v>31</v>
      </c>
      <c r="AA1173" s="0" t="n">
        <v>21</v>
      </c>
      <c r="AB1173" s="0" t="s">
        <v>96</v>
      </c>
      <c r="AD1173" s="0" t="n">
        <v>12</v>
      </c>
      <c r="AE1173" s="0" t="s">
        <v>301</v>
      </c>
      <c r="AH1173" s="0" t="n">
        <v>20</v>
      </c>
      <c r="AJ1173" s="0" t="n">
        <v>41</v>
      </c>
      <c r="AP1173" s="0" t="n">
        <v>260000</v>
      </c>
      <c r="DB1173" s="0" t="str">
        <f aca="false">IF($A1173="","",IF($AH1173=20,IF(AND(OR($A1173=21,$A1173=215),$AJ1173=10),"①病院一般",IF(AND($A1173=31,$AJ1173=41),"②病院短期","対象外")),IF($AJ1173=30,"③特定消防",IF(AND(OR($A1173=21,$A1173=215),$AJ1173=10),"④一般",IF(AND($A1173=31,$AJ1173=41),"⑤短期","対象外")))))</f>
        <v>②病院短期</v>
      </c>
      <c r="DC1173" s="0" t="n">
        <f aca="false">IF($A1173="","",IF($AB1173&amp;""=設定!$C$4,1,0))</f>
        <v>1</v>
      </c>
    </row>
    <row r="1174" customFormat="false" ht="15" hidden="false" customHeight="false" outlineLevel="0" collapsed="false">
      <c r="A1174" s="0" t="n">
        <v>31</v>
      </c>
      <c r="AA1174" s="0" t="n">
        <v>21</v>
      </c>
      <c r="AB1174" s="0" t="s">
        <v>331</v>
      </c>
      <c r="AD1174" s="0" t="n">
        <v>12</v>
      </c>
      <c r="AE1174" s="0" t="s">
        <v>299</v>
      </c>
      <c r="AH1174" s="0" t="n">
        <v>20</v>
      </c>
      <c r="AJ1174" s="0" t="n">
        <v>41</v>
      </c>
      <c r="AP1174" s="0" t="n">
        <v>190000</v>
      </c>
      <c r="DB1174" s="0" t="str">
        <f aca="false">IF($A1174="","",IF($AH1174=20,IF(AND(OR($A1174=21,$A1174=215),$AJ1174=10),"①病院一般",IF(AND($A1174=31,$AJ1174=41),"②病院短期","対象外")),IF($AJ1174=30,"③特定消防",IF(AND(OR($A1174=21,$A1174=215),$AJ1174=10),"④一般",IF(AND($A1174=31,$AJ1174=41),"⑤短期","対象外")))))</f>
        <v>②病院短期</v>
      </c>
      <c r="DC1174" s="0" t="n">
        <f aca="false">IF($A1174="","",IF($AB1174&amp;""=設定!$C$4,1,0))</f>
        <v>0</v>
      </c>
    </row>
    <row r="1175" customFormat="false" ht="15" hidden="false" customHeight="false" outlineLevel="0" collapsed="false">
      <c r="A1175" s="0" t="n">
        <v>31</v>
      </c>
      <c r="AA1175" s="0" t="n">
        <v>21</v>
      </c>
      <c r="AB1175" s="0" t="s">
        <v>96</v>
      </c>
      <c r="AD1175" s="0" t="n">
        <v>0</v>
      </c>
      <c r="AE1175" s="0" t="s">
        <v>295</v>
      </c>
      <c r="AH1175" s="0" t="n">
        <v>20</v>
      </c>
      <c r="AJ1175" s="0" t="n">
        <v>41</v>
      </c>
      <c r="AP1175" s="0" t="n">
        <v>180000</v>
      </c>
      <c r="DB1175" s="0" t="str">
        <f aca="false">IF($A1175="","",IF($AH1175=20,IF(AND(OR($A1175=21,$A1175=215),$AJ1175=10),"①病院一般",IF(AND($A1175=31,$AJ1175=41),"②病院短期","対象外")),IF($AJ1175=30,"③特定消防",IF(AND(OR($A1175=21,$A1175=215),$AJ1175=10),"④一般",IF(AND($A1175=31,$AJ1175=41),"⑤短期","対象外")))))</f>
        <v>②病院短期</v>
      </c>
      <c r="DC1175" s="0" t="n">
        <f aca="false">IF($A1175="","",IF($AB1175&amp;""=設定!$C$4,1,0))</f>
        <v>1</v>
      </c>
    </row>
    <row r="1176" customFormat="false" ht="15" hidden="false" customHeight="false" outlineLevel="0" collapsed="false">
      <c r="A1176" s="0" t="n">
        <v>31</v>
      </c>
      <c r="AA1176" s="0" t="n">
        <v>21</v>
      </c>
      <c r="AB1176" s="0" t="s">
        <v>96</v>
      </c>
      <c r="AD1176" s="0" t="n">
        <v>0</v>
      </c>
      <c r="AE1176" s="0" t="s">
        <v>295</v>
      </c>
      <c r="AH1176" s="0" t="n">
        <v>20</v>
      </c>
      <c r="AJ1176" s="0" t="n">
        <v>41</v>
      </c>
      <c r="AP1176" s="0" t="n">
        <v>280000</v>
      </c>
      <c r="DB1176" s="0" t="str">
        <f aca="false">IF($A1176="","",IF($AH1176=20,IF(AND(OR($A1176=21,$A1176=215),$AJ1176=10),"①病院一般",IF(AND($A1176=31,$AJ1176=41),"②病院短期","対象外")),IF($AJ1176=30,"③特定消防",IF(AND(OR($A1176=21,$A1176=215),$AJ1176=10),"④一般",IF(AND($A1176=31,$AJ1176=41),"⑤短期","対象外")))))</f>
        <v>②病院短期</v>
      </c>
      <c r="DC1176" s="0" t="n">
        <f aca="false">IF($A1176="","",IF($AB1176&amp;""=設定!$C$4,1,0))</f>
        <v>1</v>
      </c>
    </row>
    <row r="1177" customFormat="false" ht="15" hidden="false" customHeight="false" outlineLevel="0" collapsed="false">
      <c r="A1177" s="0" t="n">
        <v>31</v>
      </c>
      <c r="AA1177" s="0" t="n">
        <v>21</v>
      </c>
      <c r="AB1177" s="0" t="s">
        <v>96</v>
      </c>
      <c r="AD1177" s="0" t="n">
        <v>0</v>
      </c>
      <c r="AE1177" s="0" t="s">
        <v>295</v>
      </c>
      <c r="AH1177" s="0" t="n">
        <v>20</v>
      </c>
      <c r="AJ1177" s="0" t="n">
        <v>41</v>
      </c>
      <c r="AP1177" s="0" t="n">
        <v>220000</v>
      </c>
      <c r="DB1177" s="0" t="str">
        <f aca="false">IF($A1177="","",IF($AH1177=20,IF(AND(OR($A1177=21,$A1177=215),$AJ1177=10),"①病院一般",IF(AND($A1177=31,$AJ1177=41),"②病院短期","対象外")),IF($AJ1177=30,"③特定消防",IF(AND(OR($A1177=21,$A1177=215),$AJ1177=10),"④一般",IF(AND($A1177=31,$AJ1177=41),"⑤短期","対象外")))))</f>
        <v>②病院短期</v>
      </c>
      <c r="DC1177" s="0" t="n">
        <f aca="false">IF($A1177="","",IF($AB1177&amp;""=設定!$C$4,1,0))</f>
        <v>1</v>
      </c>
    </row>
    <row r="1178" customFormat="false" ht="15" hidden="false" customHeight="false" outlineLevel="0" collapsed="false">
      <c r="A1178" s="0" t="n">
        <v>31</v>
      </c>
      <c r="AA1178" s="0" t="n">
        <v>21</v>
      </c>
      <c r="AB1178" s="0" t="s">
        <v>294</v>
      </c>
      <c r="AD1178" s="0" t="n">
        <v>0</v>
      </c>
      <c r="AE1178" s="0" t="s">
        <v>295</v>
      </c>
      <c r="AH1178" s="0" t="n">
        <v>20</v>
      </c>
      <c r="AJ1178" s="0" t="n">
        <v>41</v>
      </c>
      <c r="AP1178" s="0" t="n">
        <v>560000</v>
      </c>
      <c r="DB1178" s="0" t="str">
        <f aca="false">IF($A1178="","",IF($AH1178=20,IF(AND(OR($A1178=21,$A1178=215),$AJ1178=10),"①病院一般",IF(AND($A1178=31,$AJ1178=41),"②病院短期","対象外")),IF($AJ1178=30,"③特定消防",IF(AND(OR($A1178=21,$A1178=215),$AJ1178=10),"④一般",IF(AND($A1178=31,$AJ1178=41),"⑤短期","対象外")))))</f>
        <v>②病院短期</v>
      </c>
      <c r="DC1178" s="0" t="n">
        <f aca="false">IF($A1178="","",IF($AB1178&amp;""=設定!$C$4,1,0))</f>
        <v>0</v>
      </c>
    </row>
    <row r="1179" customFormat="false" ht="15" hidden="false" customHeight="false" outlineLevel="0" collapsed="false">
      <c r="A1179" s="0" t="n">
        <v>31</v>
      </c>
      <c r="AA1179" s="0" t="n">
        <v>21</v>
      </c>
      <c r="AB1179" s="0" t="s">
        <v>351</v>
      </c>
      <c r="AD1179" s="0" t="n">
        <v>12</v>
      </c>
      <c r="AE1179" s="0" t="s">
        <v>301</v>
      </c>
      <c r="AH1179" s="0" t="n">
        <v>20</v>
      </c>
      <c r="AJ1179" s="0" t="n">
        <v>41</v>
      </c>
      <c r="AP1179" s="0" t="n">
        <v>340000</v>
      </c>
      <c r="DB1179" s="0" t="str">
        <f aca="false">IF($A1179="","",IF($AH1179=20,IF(AND(OR($A1179=21,$A1179=215),$AJ1179=10),"①病院一般",IF(AND($A1179=31,$AJ1179=41),"②病院短期","対象外")),IF($AJ1179=30,"③特定消防",IF(AND(OR($A1179=21,$A1179=215),$AJ1179=10),"④一般",IF(AND($A1179=31,$AJ1179=41),"⑤短期","対象外")))))</f>
        <v>②病院短期</v>
      </c>
      <c r="DC1179" s="0" t="n">
        <f aca="false">IF($A1179="","",IF($AB1179&amp;""=設定!$C$4,1,0))</f>
        <v>0</v>
      </c>
    </row>
    <row r="1180" customFormat="false" ht="15" hidden="false" customHeight="false" outlineLevel="0" collapsed="false">
      <c r="A1180" s="0" t="n">
        <v>31</v>
      </c>
      <c r="AA1180" s="0" t="n">
        <v>21</v>
      </c>
      <c r="AB1180" s="0" t="s">
        <v>96</v>
      </c>
      <c r="AD1180" s="0" t="n">
        <v>0</v>
      </c>
      <c r="AE1180" s="0" t="s">
        <v>295</v>
      </c>
      <c r="AH1180" s="0" t="n">
        <v>20</v>
      </c>
      <c r="AJ1180" s="0" t="n">
        <v>41</v>
      </c>
      <c r="AP1180" s="0" t="n">
        <v>280000</v>
      </c>
      <c r="DB1180" s="0" t="str">
        <f aca="false">IF($A1180="","",IF($AH1180=20,IF(AND(OR($A1180=21,$A1180=215),$AJ1180=10),"①病院一般",IF(AND($A1180=31,$AJ1180=41),"②病院短期","対象外")),IF($AJ1180=30,"③特定消防",IF(AND(OR($A1180=21,$A1180=215),$AJ1180=10),"④一般",IF(AND($A1180=31,$AJ1180=41),"⑤短期","対象外")))))</f>
        <v>②病院短期</v>
      </c>
      <c r="DC1180" s="0" t="n">
        <f aca="false">IF($A1180="","",IF($AB1180&amp;""=設定!$C$4,1,0))</f>
        <v>1</v>
      </c>
    </row>
    <row r="1181" customFormat="false" ht="15" hidden="false" customHeight="false" outlineLevel="0" collapsed="false">
      <c r="A1181" s="0" t="n">
        <v>31</v>
      </c>
      <c r="AA1181" s="0" t="n">
        <v>21</v>
      </c>
      <c r="AB1181" s="0" t="s">
        <v>312</v>
      </c>
      <c r="AD1181" s="0" t="n">
        <v>0</v>
      </c>
      <c r="AE1181" s="0" t="s">
        <v>295</v>
      </c>
      <c r="AH1181" s="0" t="n">
        <v>20</v>
      </c>
      <c r="AJ1181" s="0" t="n">
        <v>41</v>
      </c>
      <c r="AP1181" s="0" t="n">
        <v>200000</v>
      </c>
      <c r="DB1181" s="0" t="str">
        <f aca="false">IF($A1181="","",IF($AH1181=20,IF(AND(OR($A1181=21,$A1181=215),$AJ1181=10),"①病院一般",IF(AND($A1181=31,$AJ1181=41),"②病院短期","対象外")),IF($AJ1181=30,"③特定消防",IF(AND(OR($A1181=21,$A1181=215),$AJ1181=10),"④一般",IF(AND($A1181=31,$AJ1181=41),"⑤短期","対象外")))))</f>
        <v>②病院短期</v>
      </c>
      <c r="DC1181" s="0" t="n">
        <f aca="false">IF($A1181="","",IF($AB1181&amp;""=設定!$C$4,1,0))</f>
        <v>0</v>
      </c>
    </row>
    <row r="1182" customFormat="false" ht="15" hidden="false" customHeight="false" outlineLevel="0" collapsed="false">
      <c r="A1182" s="0" t="n">
        <v>31</v>
      </c>
      <c r="AA1182" s="0" t="n">
        <v>21</v>
      </c>
      <c r="AB1182" s="0" t="s">
        <v>344</v>
      </c>
      <c r="AD1182" s="0" t="n">
        <v>0</v>
      </c>
      <c r="AE1182" s="0" t="s">
        <v>295</v>
      </c>
      <c r="AH1182" s="0" t="n">
        <v>20</v>
      </c>
      <c r="AJ1182" s="0" t="n">
        <v>41</v>
      </c>
      <c r="AP1182" s="0" t="n">
        <v>200000</v>
      </c>
      <c r="DB1182" s="0" t="str">
        <f aca="false">IF($A1182="","",IF($AH1182=20,IF(AND(OR($A1182=21,$A1182=215),$AJ1182=10),"①病院一般",IF(AND($A1182=31,$AJ1182=41),"②病院短期","対象外")),IF($AJ1182=30,"③特定消防",IF(AND(OR($A1182=21,$A1182=215),$AJ1182=10),"④一般",IF(AND($A1182=31,$AJ1182=41),"⑤短期","対象外")))))</f>
        <v>②病院短期</v>
      </c>
      <c r="DC1182" s="0" t="n">
        <f aca="false">IF($A1182="","",IF($AB1182&amp;""=設定!$C$4,1,0))</f>
        <v>0</v>
      </c>
    </row>
    <row r="1183" customFormat="false" ht="15" hidden="false" customHeight="false" outlineLevel="0" collapsed="false">
      <c r="A1183" s="0" t="n">
        <v>31</v>
      </c>
      <c r="AA1183" s="0" t="n">
        <v>21</v>
      </c>
      <c r="AB1183" s="0" t="s">
        <v>323</v>
      </c>
      <c r="AD1183" s="0" t="n">
        <v>0</v>
      </c>
      <c r="AE1183" s="0" t="s">
        <v>295</v>
      </c>
      <c r="AH1183" s="0" t="n">
        <v>20</v>
      </c>
      <c r="AJ1183" s="0" t="n">
        <v>41</v>
      </c>
      <c r="AP1183" s="0" t="n">
        <v>190000</v>
      </c>
      <c r="DB1183" s="0" t="str">
        <f aca="false">IF($A1183="","",IF($AH1183=20,IF(AND(OR($A1183=21,$A1183=215),$AJ1183=10),"①病院一般",IF(AND($A1183=31,$AJ1183=41),"②病院短期","対象外")),IF($AJ1183=30,"③特定消防",IF(AND(OR($A1183=21,$A1183=215),$AJ1183=10),"④一般",IF(AND($A1183=31,$AJ1183=41),"⑤短期","対象外")))))</f>
        <v>②病院短期</v>
      </c>
      <c r="DC1183" s="0" t="n">
        <f aca="false">IF($A1183="","",IF($AB1183&amp;""=設定!$C$4,1,0))</f>
        <v>0</v>
      </c>
    </row>
    <row r="1184" customFormat="false" ht="15" hidden="false" customHeight="false" outlineLevel="0" collapsed="false">
      <c r="A1184" s="0" t="n">
        <v>31</v>
      </c>
      <c r="AA1184" s="0" t="n">
        <v>21</v>
      </c>
      <c r="AB1184" s="0" t="s">
        <v>344</v>
      </c>
      <c r="AD1184" s="0" t="n">
        <v>0</v>
      </c>
      <c r="AE1184" s="0" t="s">
        <v>295</v>
      </c>
      <c r="AH1184" s="0" t="n">
        <v>20</v>
      </c>
      <c r="AJ1184" s="0" t="n">
        <v>41</v>
      </c>
      <c r="AP1184" s="0" t="n">
        <v>150000</v>
      </c>
      <c r="DB1184" s="0" t="str">
        <f aca="false">IF($A1184="","",IF($AH1184=20,IF(AND(OR($A1184=21,$A1184=215),$AJ1184=10),"①病院一般",IF(AND($A1184=31,$AJ1184=41),"②病院短期","対象外")),IF($AJ1184=30,"③特定消防",IF(AND(OR($A1184=21,$A1184=215),$AJ1184=10),"④一般",IF(AND($A1184=31,$AJ1184=41),"⑤短期","対象外")))))</f>
        <v>②病院短期</v>
      </c>
      <c r="DC1184" s="0" t="n">
        <f aca="false">IF($A1184="","",IF($AB1184&amp;""=設定!$C$4,1,0))</f>
        <v>0</v>
      </c>
    </row>
    <row r="1185" customFormat="false" ht="15" hidden="false" customHeight="false" outlineLevel="0" collapsed="false">
      <c r="A1185" s="0" t="n">
        <v>31</v>
      </c>
      <c r="AA1185" s="0" t="n">
        <v>21</v>
      </c>
      <c r="AB1185" s="0" t="s">
        <v>344</v>
      </c>
      <c r="AD1185" s="0" t="n">
        <v>0</v>
      </c>
      <c r="AE1185" s="0" t="s">
        <v>295</v>
      </c>
      <c r="AH1185" s="0" t="n">
        <v>20</v>
      </c>
      <c r="AJ1185" s="0" t="n">
        <v>41</v>
      </c>
      <c r="AP1185" s="0" t="n">
        <v>160000</v>
      </c>
      <c r="DB1185" s="0" t="str">
        <f aca="false">IF($A1185="","",IF($AH1185=20,IF(AND(OR($A1185=21,$A1185=215),$AJ1185=10),"①病院一般",IF(AND($A1185=31,$AJ1185=41),"②病院短期","対象外")),IF($AJ1185=30,"③特定消防",IF(AND(OR($A1185=21,$A1185=215),$AJ1185=10),"④一般",IF(AND($A1185=31,$AJ1185=41),"⑤短期","対象外")))))</f>
        <v>②病院短期</v>
      </c>
      <c r="DC1185" s="0" t="n">
        <f aca="false">IF($A1185="","",IF($AB1185&amp;""=設定!$C$4,1,0))</f>
        <v>0</v>
      </c>
    </row>
    <row r="1186" customFormat="false" ht="15" hidden="false" customHeight="false" outlineLevel="0" collapsed="false">
      <c r="A1186" s="0" t="n">
        <v>31</v>
      </c>
      <c r="AA1186" s="0" t="n">
        <v>21</v>
      </c>
      <c r="AB1186" s="0" t="s">
        <v>344</v>
      </c>
      <c r="AD1186" s="0" t="n">
        <v>0</v>
      </c>
      <c r="AE1186" s="0" t="s">
        <v>295</v>
      </c>
      <c r="AH1186" s="0" t="n">
        <v>20</v>
      </c>
      <c r="AJ1186" s="0" t="n">
        <v>41</v>
      </c>
      <c r="AP1186" s="0" t="n">
        <v>200000</v>
      </c>
      <c r="DB1186" s="0" t="str">
        <f aca="false">IF($A1186="","",IF($AH1186=20,IF(AND(OR($A1186=21,$A1186=215),$AJ1186=10),"①病院一般",IF(AND($A1186=31,$AJ1186=41),"②病院短期","対象外")),IF($AJ1186=30,"③特定消防",IF(AND(OR($A1186=21,$A1186=215),$AJ1186=10),"④一般",IF(AND($A1186=31,$AJ1186=41),"⑤短期","対象外")))))</f>
        <v>②病院短期</v>
      </c>
      <c r="DC1186" s="0" t="n">
        <f aca="false">IF($A1186="","",IF($AB1186&amp;""=設定!$C$4,1,0))</f>
        <v>0</v>
      </c>
    </row>
    <row r="1187" customFormat="false" ht="15" hidden="false" customHeight="false" outlineLevel="0" collapsed="false">
      <c r="A1187" s="0" t="n">
        <v>31</v>
      </c>
      <c r="AA1187" s="0" t="n">
        <v>21</v>
      </c>
      <c r="AB1187" s="0" t="s">
        <v>352</v>
      </c>
      <c r="AD1187" s="0" t="n">
        <v>0</v>
      </c>
      <c r="AE1187" s="0" t="s">
        <v>295</v>
      </c>
      <c r="AH1187" s="0" t="n">
        <v>20</v>
      </c>
      <c r="AJ1187" s="0" t="n">
        <v>41</v>
      </c>
      <c r="AP1187" s="0" t="n">
        <v>200000</v>
      </c>
      <c r="DB1187" s="0" t="str">
        <f aca="false">IF($A1187="","",IF($AH1187=20,IF(AND(OR($A1187=21,$A1187=215),$AJ1187=10),"①病院一般",IF(AND($A1187=31,$AJ1187=41),"②病院短期","対象外")),IF($AJ1187=30,"③特定消防",IF(AND(OR($A1187=21,$A1187=215),$AJ1187=10),"④一般",IF(AND($A1187=31,$AJ1187=41),"⑤短期","対象外")))))</f>
        <v>②病院短期</v>
      </c>
      <c r="DC1187" s="0" t="n">
        <f aca="false">IF($A1187="","",IF($AB1187&amp;""=設定!$C$4,1,0))</f>
        <v>0</v>
      </c>
    </row>
    <row r="1188" customFormat="false" ht="15" hidden="false" customHeight="false" outlineLevel="0" collapsed="false">
      <c r="A1188" s="0" t="n">
        <v>31</v>
      </c>
      <c r="AA1188" s="0" t="n">
        <v>21</v>
      </c>
      <c r="AB1188" s="0" t="s">
        <v>307</v>
      </c>
      <c r="AD1188" s="0" t="n">
        <v>0</v>
      </c>
      <c r="AE1188" s="0" t="s">
        <v>295</v>
      </c>
      <c r="AH1188" s="0" t="n">
        <v>20</v>
      </c>
      <c r="AJ1188" s="0" t="n">
        <v>41</v>
      </c>
      <c r="AP1188" s="0" t="n">
        <v>180000</v>
      </c>
      <c r="DB1188" s="0" t="str">
        <f aca="false">IF($A1188="","",IF($AH1188=20,IF(AND(OR($A1188=21,$A1188=215),$AJ1188=10),"①病院一般",IF(AND($A1188=31,$AJ1188=41),"②病院短期","対象外")),IF($AJ1188=30,"③特定消防",IF(AND(OR($A1188=21,$A1188=215),$AJ1188=10),"④一般",IF(AND($A1188=31,$AJ1188=41),"⑤短期","対象外")))))</f>
        <v>②病院短期</v>
      </c>
      <c r="DC1188" s="0" t="n">
        <f aca="false">IF($A1188="","",IF($AB1188&amp;""=設定!$C$4,1,0))</f>
        <v>0</v>
      </c>
    </row>
    <row r="1189" customFormat="false" ht="15" hidden="false" customHeight="false" outlineLevel="0" collapsed="false">
      <c r="A1189" s="0" t="n">
        <v>31</v>
      </c>
      <c r="AA1189" s="0" t="n">
        <v>21</v>
      </c>
      <c r="AB1189" s="0" t="s">
        <v>307</v>
      </c>
      <c r="AD1189" s="0" t="n">
        <v>0</v>
      </c>
      <c r="AE1189" s="0" t="s">
        <v>295</v>
      </c>
      <c r="AH1189" s="0" t="n">
        <v>20</v>
      </c>
      <c r="AJ1189" s="0" t="n">
        <v>41</v>
      </c>
      <c r="AP1189" s="0" t="n">
        <v>180000</v>
      </c>
      <c r="DB1189" s="0" t="str">
        <f aca="false">IF($A1189="","",IF($AH1189=20,IF(AND(OR($A1189=21,$A1189=215),$AJ1189=10),"①病院一般",IF(AND($A1189=31,$AJ1189=41),"②病院短期","対象外")),IF($AJ1189=30,"③特定消防",IF(AND(OR($A1189=21,$A1189=215),$AJ1189=10),"④一般",IF(AND($A1189=31,$AJ1189=41),"⑤短期","対象外")))))</f>
        <v>②病院短期</v>
      </c>
      <c r="DC1189" s="0" t="n">
        <f aca="false">IF($A1189="","",IF($AB1189&amp;""=設定!$C$4,1,0))</f>
        <v>0</v>
      </c>
    </row>
    <row r="1190" customFormat="false" ht="15" hidden="false" customHeight="false" outlineLevel="0" collapsed="false">
      <c r="A1190" s="0" t="n">
        <v>31</v>
      </c>
      <c r="AA1190" s="0" t="n">
        <v>21</v>
      </c>
      <c r="AB1190" s="0" t="s">
        <v>353</v>
      </c>
      <c r="AD1190" s="0" t="n">
        <v>0</v>
      </c>
      <c r="AE1190" s="0" t="s">
        <v>295</v>
      </c>
      <c r="AH1190" s="0" t="n">
        <v>20</v>
      </c>
      <c r="AJ1190" s="0" t="n">
        <v>41</v>
      </c>
      <c r="AP1190" s="0" t="n">
        <v>170000</v>
      </c>
      <c r="DB1190" s="0" t="str">
        <f aca="false">IF($A1190="","",IF($AH1190=20,IF(AND(OR($A1190=21,$A1190=215),$AJ1190=10),"①病院一般",IF(AND($A1190=31,$AJ1190=41),"②病院短期","対象外")),IF($AJ1190=30,"③特定消防",IF(AND(OR($A1190=21,$A1190=215),$AJ1190=10),"④一般",IF(AND($A1190=31,$AJ1190=41),"⑤短期","対象外")))))</f>
        <v>②病院短期</v>
      </c>
      <c r="DC1190" s="0" t="n">
        <f aca="false">IF($A1190="","",IF($AB1190&amp;""=設定!$C$4,1,0))</f>
        <v>0</v>
      </c>
    </row>
    <row r="1191" customFormat="false" ht="15" hidden="false" customHeight="false" outlineLevel="0" collapsed="false">
      <c r="A1191" s="0" t="n">
        <v>31</v>
      </c>
      <c r="AA1191" s="0" t="n">
        <v>21</v>
      </c>
      <c r="AB1191" s="0" t="s">
        <v>307</v>
      </c>
      <c r="AD1191" s="0" t="n">
        <v>0</v>
      </c>
      <c r="AE1191" s="0" t="s">
        <v>295</v>
      </c>
      <c r="AH1191" s="0" t="n">
        <v>20</v>
      </c>
      <c r="AJ1191" s="0" t="n">
        <v>41</v>
      </c>
      <c r="AP1191" s="0" t="n">
        <v>260000</v>
      </c>
      <c r="DB1191" s="0" t="str">
        <f aca="false">IF($A1191="","",IF($AH1191=20,IF(AND(OR($A1191=21,$A1191=215),$AJ1191=10),"①病院一般",IF(AND($A1191=31,$AJ1191=41),"②病院短期","対象外")),IF($AJ1191=30,"③特定消防",IF(AND(OR($A1191=21,$A1191=215),$AJ1191=10),"④一般",IF(AND($A1191=31,$AJ1191=41),"⑤短期","対象外")))))</f>
        <v>②病院短期</v>
      </c>
      <c r="DC1191" s="0" t="n">
        <f aca="false">IF($A1191="","",IF($AB1191&amp;""=設定!$C$4,1,0))</f>
        <v>0</v>
      </c>
    </row>
    <row r="1192" customFormat="false" ht="15" hidden="false" customHeight="false" outlineLevel="0" collapsed="false">
      <c r="A1192" s="0" t="n">
        <v>31</v>
      </c>
      <c r="AA1192" s="0" t="n">
        <v>21</v>
      </c>
      <c r="AB1192" s="0" t="s">
        <v>353</v>
      </c>
      <c r="AD1192" s="0" t="n">
        <v>0</v>
      </c>
      <c r="AE1192" s="0" t="s">
        <v>295</v>
      </c>
      <c r="AH1192" s="0" t="n">
        <v>20</v>
      </c>
      <c r="AJ1192" s="0" t="n">
        <v>41</v>
      </c>
      <c r="AP1192" s="0" t="n">
        <v>170000</v>
      </c>
      <c r="DB1192" s="0" t="str">
        <f aca="false">IF($A1192="","",IF($AH1192=20,IF(AND(OR($A1192=21,$A1192=215),$AJ1192=10),"①病院一般",IF(AND($A1192=31,$AJ1192=41),"②病院短期","対象外")),IF($AJ1192=30,"③特定消防",IF(AND(OR($A1192=21,$A1192=215),$AJ1192=10),"④一般",IF(AND($A1192=31,$AJ1192=41),"⑤短期","対象外")))))</f>
        <v>②病院短期</v>
      </c>
      <c r="DC1192" s="0" t="n">
        <f aca="false">IF($A1192="","",IF($AB1192&amp;""=設定!$C$4,1,0))</f>
        <v>0</v>
      </c>
    </row>
    <row r="1193" customFormat="false" ht="15" hidden="false" customHeight="false" outlineLevel="0" collapsed="false">
      <c r="A1193" s="0" t="n">
        <v>31</v>
      </c>
      <c r="AA1193" s="0" t="n">
        <v>21</v>
      </c>
      <c r="AB1193" s="0" t="s">
        <v>353</v>
      </c>
      <c r="AD1193" s="0" t="n">
        <v>12</v>
      </c>
      <c r="AE1193" s="0" t="s">
        <v>294</v>
      </c>
      <c r="AH1193" s="0" t="n">
        <v>20</v>
      </c>
      <c r="AJ1193" s="0" t="n">
        <v>41</v>
      </c>
      <c r="AP1193" s="0" t="n">
        <v>180000</v>
      </c>
      <c r="DB1193" s="0" t="str">
        <f aca="false">IF($A1193="","",IF($AH1193=20,IF(AND(OR($A1193=21,$A1193=215),$AJ1193=10),"①病院一般",IF(AND($A1193=31,$AJ1193=41),"②病院短期","対象外")),IF($AJ1193=30,"③特定消防",IF(AND(OR($A1193=21,$A1193=215),$AJ1193=10),"④一般",IF(AND($A1193=31,$AJ1193=41),"⑤短期","対象外")))))</f>
        <v>②病院短期</v>
      </c>
      <c r="DC1193" s="0" t="n">
        <f aca="false">IF($A1193="","",IF($AB1193&amp;""=設定!$C$4,1,0))</f>
        <v>0</v>
      </c>
    </row>
    <row r="1194" customFormat="false" ht="15" hidden="false" customHeight="false" outlineLevel="0" collapsed="false">
      <c r="A1194" s="0" t="n">
        <v>31</v>
      </c>
      <c r="AA1194" s="0" t="n">
        <v>21</v>
      </c>
      <c r="AB1194" s="0" t="s">
        <v>314</v>
      </c>
      <c r="AD1194" s="0" t="n">
        <v>0</v>
      </c>
      <c r="AE1194" s="0" t="s">
        <v>295</v>
      </c>
      <c r="AH1194" s="0" t="n">
        <v>20</v>
      </c>
      <c r="AJ1194" s="0" t="n">
        <v>41</v>
      </c>
      <c r="AP1194" s="0" t="n">
        <v>170000</v>
      </c>
      <c r="DB1194" s="0" t="str">
        <f aca="false">IF($A1194="","",IF($AH1194=20,IF(AND(OR($A1194=21,$A1194=215),$AJ1194=10),"①病院一般",IF(AND($A1194=31,$AJ1194=41),"②病院短期","対象外")),IF($AJ1194=30,"③特定消防",IF(AND(OR($A1194=21,$A1194=215),$AJ1194=10),"④一般",IF(AND($A1194=31,$AJ1194=41),"⑤短期","対象外")))))</f>
        <v>②病院短期</v>
      </c>
      <c r="DC1194" s="0" t="n">
        <f aca="false">IF($A1194="","",IF($AB1194&amp;""=設定!$C$4,1,0))</f>
        <v>0</v>
      </c>
    </row>
    <row r="1195" customFormat="false" ht="15" hidden="false" customHeight="false" outlineLevel="0" collapsed="false">
      <c r="A1195" s="0" t="n">
        <v>31</v>
      </c>
      <c r="AA1195" s="0" t="n">
        <v>21</v>
      </c>
      <c r="AB1195" s="0" t="s">
        <v>354</v>
      </c>
      <c r="AD1195" s="0" t="n">
        <v>0</v>
      </c>
      <c r="AE1195" s="0" t="s">
        <v>295</v>
      </c>
      <c r="AH1195" s="0" t="n">
        <v>20</v>
      </c>
      <c r="AJ1195" s="0" t="n">
        <v>41</v>
      </c>
      <c r="AP1195" s="0" t="n">
        <v>180000</v>
      </c>
      <c r="DB1195" s="0" t="str">
        <f aca="false">IF($A1195="","",IF($AH1195=20,IF(AND(OR($A1195=21,$A1195=215),$AJ1195=10),"①病院一般",IF(AND($A1195=31,$AJ1195=41),"②病院短期","対象外")),IF($AJ1195=30,"③特定消防",IF(AND(OR($A1195=21,$A1195=215),$AJ1195=10),"④一般",IF(AND($A1195=31,$AJ1195=41),"⑤短期","対象外")))))</f>
        <v>②病院短期</v>
      </c>
      <c r="DC1195" s="0" t="n">
        <f aca="false">IF($A1195="","",IF($AB1195&amp;""=設定!$C$4,1,0))</f>
        <v>0</v>
      </c>
    </row>
    <row r="1196" customFormat="false" ht="15" hidden="false" customHeight="false" outlineLevel="0" collapsed="false">
      <c r="A1196" s="0" t="n">
        <v>31</v>
      </c>
      <c r="AA1196" s="0" t="n">
        <v>21</v>
      </c>
      <c r="AB1196" s="0" t="s">
        <v>299</v>
      </c>
      <c r="AD1196" s="0" t="n">
        <v>0</v>
      </c>
      <c r="AE1196" s="0" t="s">
        <v>295</v>
      </c>
      <c r="AH1196" s="0" t="n">
        <v>20</v>
      </c>
      <c r="AJ1196" s="0" t="n">
        <v>41</v>
      </c>
      <c r="AP1196" s="0" t="n">
        <v>170000</v>
      </c>
      <c r="DB1196" s="0" t="str">
        <f aca="false">IF($A1196="","",IF($AH1196=20,IF(AND(OR($A1196=21,$A1196=215),$AJ1196=10),"①病院一般",IF(AND($A1196=31,$AJ1196=41),"②病院短期","対象外")),IF($AJ1196=30,"③特定消防",IF(AND(OR($A1196=21,$A1196=215),$AJ1196=10),"④一般",IF(AND($A1196=31,$AJ1196=41),"⑤短期","対象外")))))</f>
        <v>②病院短期</v>
      </c>
      <c r="DC1196" s="0" t="n">
        <f aca="false">IF($A1196="","",IF($AB1196&amp;""=設定!$C$4,1,0))</f>
        <v>0</v>
      </c>
    </row>
    <row r="1197" customFormat="false" ht="15" hidden="false" customHeight="false" outlineLevel="0" collapsed="false">
      <c r="A1197" s="0" t="n">
        <v>31</v>
      </c>
      <c r="AA1197" s="0" t="n">
        <v>21</v>
      </c>
      <c r="AB1197" s="0" t="s">
        <v>299</v>
      </c>
      <c r="AD1197" s="0" t="n">
        <v>0</v>
      </c>
      <c r="AE1197" s="0" t="s">
        <v>295</v>
      </c>
      <c r="AH1197" s="0" t="n">
        <v>20</v>
      </c>
      <c r="AJ1197" s="0" t="n">
        <v>41</v>
      </c>
      <c r="AP1197" s="0" t="n">
        <v>170000</v>
      </c>
      <c r="DB1197" s="0" t="str">
        <f aca="false">IF($A1197="","",IF($AH1197=20,IF(AND(OR($A1197=21,$A1197=215),$AJ1197=10),"①病院一般",IF(AND($A1197=31,$AJ1197=41),"②病院短期","対象外")),IF($AJ1197=30,"③特定消防",IF(AND(OR($A1197=21,$A1197=215),$AJ1197=10),"④一般",IF(AND($A1197=31,$AJ1197=41),"⑤短期","対象外")))))</f>
        <v>②病院短期</v>
      </c>
      <c r="DC1197" s="0" t="n">
        <f aca="false">IF($A1197="","",IF($AB1197&amp;""=設定!$C$4,1,0))</f>
        <v>0</v>
      </c>
    </row>
    <row r="1198" customFormat="false" ht="15" hidden="false" customHeight="false" outlineLevel="0" collapsed="false">
      <c r="A1198" s="0" t="n">
        <v>31</v>
      </c>
      <c r="AA1198" s="0" t="n">
        <v>21</v>
      </c>
      <c r="AB1198" s="0" t="s">
        <v>299</v>
      </c>
      <c r="AD1198" s="0" t="n">
        <v>0</v>
      </c>
      <c r="AE1198" s="0" t="s">
        <v>295</v>
      </c>
      <c r="AH1198" s="0" t="n">
        <v>20</v>
      </c>
      <c r="AJ1198" s="0" t="n">
        <v>41</v>
      </c>
      <c r="AP1198" s="0" t="n">
        <v>240000</v>
      </c>
      <c r="DB1198" s="0" t="str">
        <f aca="false">IF($A1198="","",IF($AH1198=20,IF(AND(OR($A1198=21,$A1198=215),$AJ1198=10),"①病院一般",IF(AND($A1198=31,$AJ1198=41),"②病院短期","対象外")),IF($AJ1198=30,"③特定消防",IF(AND(OR($A1198=21,$A1198=215),$AJ1198=10),"④一般",IF(AND($A1198=31,$AJ1198=41),"⑤短期","対象外")))))</f>
        <v>②病院短期</v>
      </c>
      <c r="DC1198" s="0" t="n">
        <f aca="false">IF($A1198="","",IF($AB1198&amp;""=設定!$C$4,1,0))</f>
        <v>0</v>
      </c>
    </row>
    <row r="1199" customFormat="false" ht="15" hidden="false" customHeight="false" outlineLevel="0" collapsed="false">
      <c r="A1199" s="0" t="n">
        <v>31</v>
      </c>
      <c r="AA1199" s="0" t="n">
        <v>21</v>
      </c>
      <c r="AB1199" s="0" t="s">
        <v>314</v>
      </c>
      <c r="AD1199" s="0" t="n">
        <v>0</v>
      </c>
      <c r="AE1199" s="0" t="s">
        <v>295</v>
      </c>
      <c r="AH1199" s="0" t="n">
        <v>20</v>
      </c>
      <c r="AJ1199" s="0" t="n">
        <v>41</v>
      </c>
      <c r="AP1199" s="0" t="n">
        <v>260000</v>
      </c>
      <c r="DB1199" s="0" t="str">
        <f aca="false">IF($A1199="","",IF($AH1199=20,IF(AND(OR($A1199=21,$A1199=215),$AJ1199=10),"①病院一般",IF(AND($A1199=31,$AJ1199=41),"②病院短期","対象外")),IF($AJ1199=30,"③特定消防",IF(AND(OR($A1199=21,$A1199=215),$AJ1199=10),"④一般",IF(AND($A1199=31,$AJ1199=41),"⑤短期","対象外")))))</f>
        <v>②病院短期</v>
      </c>
      <c r="DC1199" s="0" t="n">
        <f aca="false">IF($A1199="","",IF($AB1199&amp;""=設定!$C$4,1,0))</f>
        <v>0</v>
      </c>
    </row>
    <row r="1200" customFormat="false" ht="15" hidden="false" customHeight="false" outlineLevel="0" collapsed="false">
      <c r="A1200" s="0" t="n">
        <v>31</v>
      </c>
      <c r="AA1200" s="0" t="n">
        <v>21</v>
      </c>
      <c r="AB1200" s="0" t="s">
        <v>299</v>
      </c>
      <c r="AD1200" s="0" t="n">
        <v>12</v>
      </c>
      <c r="AE1200" s="0" t="s">
        <v>355</v>
      </c>
      <c r="AH1200" s="0" t="n">
        <v>20</v>
      </c>
      <c r="AJ1200" s="0" t="n">
        <v>41</v>
      </c>
      <c r="AP1200" s="0" t="n">
        <v>170000</v>
      </c>
      <c r="DB1200" s="0" t="str">
        <f aca="false">IF($A1200="","",IF($AH1200=20,IF(AND(OR($A1200=21,$A1200=215),$AJ1200=10),"①病院一般",IF(AND($A1200=31,$AJ1200=41),"②病院短期","対象外")),IF($AJ1200=30,"③特定消防",IF(AND(OR($A1200=21,$A1200=215),$AJ1200=10),"④一般",IF(AND($A1200=31,$AJ1200=41),"⑤短期","対象外")))))</f>
        <v>②病院短期</v>
      </c>
      <c r="DC1200" s="0" t="n">
        <f aca="false">IF($A1200="","",IF($AB1200&amp;""=設定!$C$4,1,0))</f>
        <v>0</v>
      </c>
    </row>
    <row r="1201" customFormat="false" ht="15" hidden="false" customHeight="false" outlineLevel="0" collapsed="false">
      <c r="A1201" s="0" t="n">
        <v>31</v>
      </c>
      <c r="AA1201" s="0" t="n">
        <v>21</v>
      </c>
      <c r="AB1201" s="0" t="s">
        <v>326</v>
      </c>
      <c r="AD1201" s="0" t="n">
        <v>0</v>
      </c>
      <c r="AE1201" s="0" t="s">
        <v>295</v>
      </c>
      <c r="AH1201" s="0" t="n">
        <v>20</v>
      </c>
      <c r="AJ1201" s="0" t="n">
        <v>41</v>
      </c>
      <c r="AP1201" s="0" t="n">
        <v>170000</v>
      </c>
      <c r="DB1201" s="0" t="str">
        <f aca="false">IF($A1201="","",IF($AH1201=20,IF(AND(OR($A1201=21,$A1201=215),$AJ1201=10),"①病院一般",IF(AND($A1201=31,$AJ1201=41),"②病院短期","対象外")),IF($AJ1201=30,"③特定消防",IF(AND(OR($A1201=21,$A1201=215),$AJ1201=10),"④一般",IF(AND($A1201=31,$AJ1201=41),"⑤短期","対象外")))))</f>
        <v>②病院短期</v>
      </c>
      <c r="DC1201" s="0" t="n">
        <f aca="false">IF($A1201="","",IF($AB1201&amp;""=設定!$C$4,1,0))</f>
        <v>0</v>
      </c>
    </row>
    <row r="1202" customFormat="false" ht="15" hidden="false" customHeight="false" outlineLevel="0" collapsed="false">
      <c r="A1202" s="0" t="n">
        <v>31</v>
      </c>
      <c r="AA1202" s="0" t="n">
        <v>21</v>
      </c>
      <c r="AB1202" s="0" t="s">
        <v>317</v>
      </c>
      <c r="AD1202" s="0" t="n">
        <v>0</v>
      </c>
      <c r="AE1202" s="0" t="s">
        <v>295</v>
      </c>
      <c r="AH1202" s="0" t="n">
        <v>20</v>
      </c>
      <c r="AJ1202" s="0" t="n">
        <v>41</v>
      </c>
      <c r="AP1202" s="0" t="n">
        <v>160000</v>
      </c>
      <c r="DB1202" s="0" t="str">
        <f aca="false">IF($A1202="","",IF($AH1202=20,IF(AND(OR($A1202=21,$A1202=215),$AJ1202=10),"①病院一般",IF(AND($A1202=31,$AJ1202=41),"②病院短期","対象外")),IF($AJ1202=30,"③特定消防",IF(AND(OR($A1202=21,$A1202=215),$AJ1202=10),"④一般",IF(AND($A1202=31,$AJ1202=41),"⑤短期","対象外")))))</f>
        <v>②病院短期</v>
      </c>
      <c r="DC1202" s="0" t="n">
        <f aca="false">IF($A1202="","",IF($AB1202&amp;""=設定!$C$4,1,0))</f>
        <v>0</v>
      </c>
    </row>
    <row r="1203" customFormat="false" ht="15" hidden="false" customHeight="false" outlineLevel="0" collapsed="false">
      <c r="A1203" s="0" t="n">
        <v>31</v>
      </c>
      <c r="AA1203" s="0" t="n">
        <v>21</v>
      </c>
      <c r="AB1203" s="0" t="s">
        <v>317</v>
      </c>
      <c r="AD1203" s="0" t="n">
        <v>0</v>
      </c>
      <c r="AE1203" s="0" t="s">
        <v>295</v>
      </c>
      <c r="AH1203" s="0" t="n">
        <v>20</v>
      </c>
      <c r="AJ1203" s="0" t="n">
        <v>41</v>
      </c>
      <c r="AP1203" s="0" t="n">
        <v>190000</v>
      </c>
      <c r="DB1203" s="0" t="str">
        <f aca="false">IF($A1203="","",IF($AH1203=20,IF(AND(OR($A1203=21,$A1203=215),$AJ1203=10),"①病院一般",IF(AND($A1203=31,$AJ1203=41),"②病院短期","対象外")),IF($AJ1203=30,"③特定消防",IF(AND(OR($A1203=21,$A1203=215),$AJ1203=10),"④一般",IF(AND($A1203=31,$AJ1203=41),"⑤短期","対象外")))))</f>
        <v>②病院短期</v>
      </c>
      <c r="DC1203" s="0" t="n">
        <f aca="false">IF($A1203="","",IF($AB1203&amp;""=設定!$C$4,1,0))</f>
        <v>0</v>
      </c>
    </row>
    <row r="1204" customFormat="false" ht="15" hidden="false" customHeight="false" outlineLevel="0" collapsed="false">
      <c r="A1204" s="0" t="n">
        <v>31</v>
      </c>
      <c r="AA1204" s="0" t="n">
        <v>21</v>
      </c>
      <c r="AB1204" s="0" t="s">
        <v>294</v>
      </c>
      <c r="AD1204" s="0" t="n">
        <v>0</v>
      </c>
      <c r="AE1204" s="0" t="s">
        <v>295</v>
      </c>
      <c r="AH1204" s="0" t="n">
        <v>20</v>
      </c>
      <c r="AJ1204" s="0" t="n">
        <v>41</v>
      </c>
      <c r="AP1204" s="0" t="n">
        <v>240000</v>
      </c>
      <c r="DB1204" s="0" t="str">
        <f aca="false">IF($A1204="","",IF($AH1204=20,IF(AND(OR($A1204=21,$A1204=215),$AJ1204=10),"①病院一般",IF(AND($A1204=31,$AJ1204=41),"②病院短期","対象外")),IF($AJ1204=30,"③特定消防",IF(AND(OR($A1204=21,$A1204=215),$AJ1204=10),"④一般",IF(AND($A1204=31,$AJ1204=41),"⑤短期","対象外")))))</f>
        <v>②病院短期</v>
      </c>
      <c r="DC1204" s="0" t="n">
        <f aca="false">IF($A1204="","",IF($AB1204&amp;""=設定!$C$4,1,0))</f>
        <v>0</v>
      </c>
    </row>
    <row r="1205" customFormat="false" ht="15" hidden="false" customHeight="false" outlineLevel="0" collapsed="false">
      <c r="A1205" s="0" t="n">
        <v>31</v>
      </c>
      <c r="AA1205" s="0" t="n">
        <v>21</v>
      </c>
      <c r="AB1205" s="0" t="s">
        <v>296</v>
      </c>
      <c r="AD1205" s="0" t="n">
        <v>0</v>
      </c>
      <c r="AE1205" s="0" t="s">
        <v>295</v>
      </c>
      <c r="AH1205" s="0" t="n">
        <v>20</v>
      </c>
      <c r="AJ1205" s="0" t="n">
        <v>41</v>
      </c>
      <c r="AP1205" s="0" t="n">
        <v>260000</v>
      </c>
      <c r="DB1205" s="0" t="str">
        <f aca="false">IF($A1205="","",IF($AH1205=20,IF(AND(OR($A1205=21,$A1205=215),$AJ1205=10),"①病院一般",IF(AND($A1205=31,$AJ1205=41),"②病院短期","対象外")),IF($AJ1205=30,"③特定消防",IF(AND(OR($A1205=21,$A1205=215),$AJ1205=10),"④一般",IF(AND($A1205=31,$AJ1205=41),"⑤短期","対象外")))))</f>
        <v>②病院短期</v>
      </c>
      <c r="DC1205" s="0" t="n">
        <f aca="false">IF($A1205="","",IF($AB1205&amp;""=設定!$C$4,1,0))</f>
        <v>0</v>
      </c>
    </row>
    <row r="1206" customFormat="false" ht="15" hidden="false" customHeight="false" outlineLevel="0" collapsed="false">
      <c r="A1206" s="0" t="n">
        <v>31</v>
      </c>
      <c r="AA1206" s="0" t="n">
        <v>21</v>
      </c>
      <c r="AB1206" s="0" t="s">
        <v>300</v>
      </c>
      <c r="AD1206" s="0" t="n">
        <v>0</v>
      </c>
      <c r="AE1206" s="0" t="s">
        <v>295</v>
      </c>
      <c r="AH1206" s="0" t="n">
        <v>20</v>
      </c>
      <c r="AJ1206" s="0" t="n">
        <v>41</v>
      </c>
      <c r="AP1206" s="0" t="n">
        <v>260000</v>
      </c>
      <c r="DB1206" s="0" t="str">
        <f aca="false">IF($A1206="","",IF($AH1206=20,IF(AND(OR($A1206=21,$A1206=215),$AJ1206=10),"①病院一般",IF(AND($A1206=31,$AJ1206=41),"②病院短期","対象外")),IF($AJ1206=30,"③特定消防",IF(AND(OR($A1206=21,$A1206=215),$AJ1206=10),"④一般",IF(AND($A1206=31,$AJ1206=41),"⑤短期","対象外")))))</f>
        <v>②病院短期</v>
      </c>
      <c r="DC1206" s="0" t="n">
        <f aca="false">IF($A1206="","",IF($AB1206&amp;""=設定!$C$4,1,0))</f>
        <v>0</v>
      </c>
    </row>
    <row r="1207" customFormat="false" ht="15" hidden="false" customHeight="false" outlineLevel="0" collapsed="false">
      <c r="A1207" s="0" t="n">
        <v>31</v>
      </c>
      <c r="AA1207" s="0" t="n">
        <v>21</v>
      </c>
      <c r="AB1207" s="0" t="s">
        <v>311</v>
      </c>
      <c r="AD1207" s="0" t="n">
        <v>0</v>
      </c>
      <c r="AE1207" s="0" t="s">
        <v>295</v>
      </c>
      <c r="AH1207" s="0" t="n">
        <v>20</v>
      </c>
      <c r="AJ1207" s="0" t="n">
        <v>41</v>
      </c>
      <c r="AP1207" s="0" t="n">
        <v>180000</v>
      </c>
      <c r="DB1207" s="0" t="str">
        <f aca="false">IF($A1207="","",IF($AH1207=20,IF(AND(OR($A1207=21,$A1207=215),$AJ1207=10),"①病院一般",IF(AND($A1207=31,$AJ1207=41),"②病院短期","対象外")),IF($AJ1207=30,"③特定消防",IF(AND(OR($A1207=21,$A1207=215),$AJ1207=10),"④一般",IF(AND($A1207=31,$AJ1207=41),"⑤短期","対象外")))))</f>
        <v>②病院短期</v>
      </c>
      <c r="DC1207" s="0" t="n">
        <f aca="false">IF($A1207="","",IF($AB1207&amp;""=設定!$C$4,1,0))</f>
        <v>0</v>
      </c>
    </row>
    <row r="1208" customFormat="false" ht="15" hidden="false" customHeight="false" outlineLevel="0" collapsed="false">
      <c r="A1208" s="0" t="n">
        <v>31</v>
      </c>
      <c r="AA1208" s="0" t="n">
        <v>21</v>
      </c>
      <c r="AB1208" s="0" t="s">
        <v>300</v>
      </c>
      <c r="AD1208" s="0" t="n">
        <v>0</v>
      </c>
      <c r="AE1208" s="0" t="s">
        <v>295</v>
      </c>
      <c r="AH1208" s="0" t="n">
        <v>20</v>
      </c>
      <c r="AJ1208" s="0" t="n">
        <v>41</v>
      </c>
      <c r="AP1208" s="0" t="n">
        <v>180000</v>
      </c>
      <c r="DB1208" s="0" t="str">
        <f aca="false">IF($A1208="","",IF($AH1208=20,IF(AND(OR($A1208=21,$A1208=215),$AJ1208=10),"①病院一般",IF(AND($A1208=31,$AJ1208=41),"②病院短期","対象外")),IF($AJ1208=30,"③特定消防",IF(AND(OR($A1208=21,$A1208=215),$AJ1208=10),"④一般",IF(AND($A1208=31,$AJ1208=41),"⑤短期","対象外")))))</f>
        <v>②病院短期</v>
      </c>
      <c r="DC1208" s="0" t="n">
        <f aca="false">IF($A1208="","",IF($AB1208&amp;""=設定!$C$4,1,0))</f>
        <v>0</v>
      </c>
    </row>
    <row r="1209" customFormat="false" ht="15" hidden="false" customHeight="false" outlineLevel="0" collapsed="false">
      <c r="A1209" s="0" t="n">
        <v>31</v>
      </c>
      <c r="AA1209" s="0" t="n">
        <v>21</v>
      </c>
      <c r="AB1209" s="0" t="s">
        <v>296</v>
      </c>
      <c r="AD1209" s="0" t="n">
        <v>0</v>
      </c>
      <c r="AE1209" s="0" t="s">
        <v>295</v>
      </c>
      <c r="AH1209" s="0" t="n">
        <v>20</v>
      </c>
      <c r="AJ1209" s="0" t="n">
        <v>41</v>
      </c>
      <c r="AP1209" s="0" t="n">
        <v>170000</v>
      </c>
      <c r="DB1209" s="0" t="str">
        <f aca="false">IF($A1209="","",IF($AH1209=20,IF(AND(OR($A1209=21,$A1209=215),$AJ1209=10),"①病院一般",IF(AND($A1209=31,$AJ1209=41),"②病院短期","対象外")),IF($AJ1209=30,"③特定消防",IF(AND(OR($A1209=21,$A1209=215),$AJ1209=10),"④一般",IF(AND($A1209=31,$AJ1209=41),"⑤短期","対象外")))))</f>
        <v>②病院短期</v>
      </c>
      <c r="DC1209" s="0" t="n">
        <f aca="false">IF($A1209="","",IF($AB1209&amp;""=設定!$C$4,1,0))</f>
        <v>0</v>
      </c>
    </row>
    <row r="1210" customFormat="false" ht="15" hidden="false" customHeight="false" outlineLevel="0" collapsed="false">
      <c r="A1210" s="0" t="n">
        <v>31</v>
      </c>
      <c r="AA1210" s="0" t="n">
        <v>21</v>
      </c>
      <c r="AB1210" s="0" t="s">
        <v>300</v>
      </c>
      <c r="AD1210" s="0" t="n">
        <v>0</v>
      </c>
      <c r="AE1210" s="0" t="s">
        <v>295</v>
      </c>
      <c r="AH1210" s="0" t="n">
        <v>20</v>
      </c>
      <c r="AJ1210" s="0" t="n">
        <v>41</v>
      </c>
      <c r="AP1210" s="0" t="n">
        <v>220000</v>
      </c>
      <c r="DB1210" s="0" t="str">
        <f aca="false">IF($A1210="","",IF($AH1210=20,IF(AND(OR($A1210=21,$A1210=215),$AJ1210=10),"①病院一般",IF(AND($A1210=31,$AJ1210=41),"②病院短期","対象外")),IF($AJ1210=30,"③特定消防",IF(AND(OR($A1210=21,$A1210=215),$AJ1210=10),"④一般",IF(AND($A1210=31,$AJ1210=41),"⑤短期","対象外")))))</f>
        <v>②病院短期</v>
      </c>
      <c r="DC1210" s="0" t="n">
        <f aca="false">IF($A1210="","",IF($AB1210&amp;""=設定!$C$4,1,0))</f>
        <v>0</v>
      </c>
    </row>
    <row r="1211" customFormat="false" ht="15" hidden="false" customHeight="false" outlineLevel="0" collapsed="false">
      <c r="A1211" s="0" t="n">
        <v>31</v>
      </c>
      <c r="AA1211" s="0" t="n">
        <v>21</v>
      </c>
      <c r="AB1211" s="0" t="s">
        <v>300</v>
      </c>
      <c r="AD1211" s="0" t="n">
        <v>0</v>
      </c>
      <c r="AE1211" s="0" t="s">
        <v>295</v>
      </c>
      <c r="AH1211" s="0" t="n">
        <v>20</v>
      </c>
      <c r="AJ1211" s="0" t="n">
        <v>41</v>
      </c>
      <c r="AP1211" s="0" t="n">
        <v>200000</v>
      </c>
      <c r="DB1211" s="0" t="str">
        <f aca="false">IF($A1211="","",IF($AH1211=20,IF(AND(OR($A1211=21,$A1211=215),$AJ1211=10),"①病院一般",IF(AND($A1211=31,$AJ1211=41),"②病院短期","対象外")),IF($AJ1211=30,"③特定消防",IF(AND(OR($A1211=21,$A1211=215),$AJ1211=10),"④一般",IF(AND($A1211=31,$AJ1211=41),"⑤短期","対象外")))))</f>
        <v>②病院短期</v>
      </c>
      <c r="DC1211" s="0" t="n">
        <f aca="false">IF($A1211="","",IF($AB1211&amp;""=設定!$C$4,1,0))</f>
        <v>0</v>
      </c>
    </row>
    <row r="1212" customFormat="false" ht="15" hidden="false" customHeight="false" outlineLevel="0" collapsed="false">
      <c r="A1212" s="0" t="n">
        <v>31</v>
      </c>
      <c r="AA1212" s="0" t="n">
        <v>21</v>
      </c>
      <c r="AB1212" s="0" t="s">
        <v>296</v>
      </c>
      <c r="AD1212" s="0" t="n">
        <v>0</v>
      </c>
      <c r="AE1212" s="0" t="s">
        <v>295</v>
      </c>
      <c r="AH1212" s="0" t="n">
        <v>20</v>
      </c>
      <c r="AJ1212" s="0" t="n">
        <v>41</v>
      </c>
      <c r="AP1212" s="0" t="n">
        <v>190000</v>
      </c>
      <c r="DB1212" s="0" t="str">
        <f aca="false">IF($A1212="","",IF($AH1212=20,IF(AND(OR($A1212=21,$A1212=215),$AJ1212=10),"①病院一般",IF(AND($A1212=31,$AJ1212=41),"②病院短期","対象外")),IF($AJ1212=30,"③特定消防",IF(AND(OR($A1212=21,$A1212=215),$AJ1212=10),"④一般",IF(AND($A1212=31,$AJ1212=41),"⑤短期","対象外")))))</f>
        <v>②病院短期</v>
      </c>
      <c r="DC1212" s="0" t="n">
        <f aca="false">IF($A1212="","",IF($AB1212&amp;""=設定!$C$4,1,0))</f>
        <v>0</v>
      </c>
    </row>
    <row r="1213" customFormat="false" ht="15" hidden="false" customHeight="false" outlineLevel="0" collapsed="false">
      <c r="A1213" s="0" t="n">
        <v>31</v>
      </c>
      <c r="AA1213" s="0" t="n">
        <v>21</v>
      </c>
      <c r="AB1213" s="0" t="s">
        <v>296</v>
      </c>
      <c r="AD1213" s="0" t="n">
        <v>0</v>
      </c>
      <c r="AE1213" s="0" t="s">
        <v>295</v>
      </c>
      <c r="AH1213" s="0" t="n">
        <v>20</v>
      </c>
      <c r="AJ1213" s="0" t="n">
        <v>41</v>
      </c>
      <c r="AP1213" s="0" t="n">
        <v>160000</v>
      </c>
      <c r="DB1213" s="0" t="str">
        <f aca="false">IF($A1213="","",IF($AH1213=20,IF(AND(OR($A1213=21,$A1213=215),$AJ1213=10),"①病院一般",IF(AND($A1213=31,$AJ1213=41),"②病院短期","対象外")),IF($AJ1213=30,"③特定消防",IF(AND(OR($A1213=21,$A1213=215),$AJ1213=10),"④一般",IF(AND($A1213=31,$AJ1213=41),"⑤短期","対象外")))))</f>
        <v>②病院短期</v>
      </c>
      <c r="DC1213" s="0" t="n">
        <f aca="false">IF($A1213="","",IF($AB1213&amp;""=設定!$C$4,1,0))</f>
        <v>0</v>
      </c>
    </row>
    <row r="1214" customFormat="false" ht="15" hidden="false" customHeight="false" outlineLevel="0" collapsed="false">
      <c r="A1214" s="0" t="n">
        <v>31</v>
      </c>
      <c r="AA1214" s="0" t="n">
        <v>21</v>
      </c>
      <c r="AB1214" s="0" t="s">
        <v>296</v>
      </c>
      <c r="AD1214" s="0" t="n">
        <v>0</v>
      </c>
      <c r="AE1214" s="0" t="s">
        <v>295</v>
      </c>
      <c r="AH1214" s="0" t="n">
        <v>20</v>
      </c>
      <c r="AJ1214" s="0" t="n">
        <v>41</v>
      </c>
      <c r="AP1214" s="0" t="n">
        <v>170000</v>
      </c>
      <c r="DB1214" s="0" t="str">
        <f aca="false">IF($A1214="","",IF($AH1214=20,IF(AND(OR($A1214=21,$A1214=215),$AJ1214=10),"①病院一般",IF(AND($A1214=31,$AJ1214=41),"②病院短期","対象外")),IF($AJ1214=30,"③特定消防",IF(AND(OR($A1214=21,$A1214=215),$AJ1214=10),"④一般",IF(AND($A1214=31,$AJ1214=41),"⑤短期","対象外")))))</f>
        <v>②病院短期</v>
      </c>
      <c r="DC1214" s="0" t="n">
        <f aca="false">IF($A1214="","",IF($AB1214&amp;""=設定!$C$4,1,0))</f>
        <v>0</v>
      </c>
    </row>
    <row r="1215" customFormat="false" ht="15" hidden="false" customHeight="false" outlineLevel="0" collapsed="false">
      <c r="A1215" s="0" t="n">
        <v>31</v>
      </c>
      <c r="AA1215" s="0" t="n">
        <v>21</v>
      </c>
      <c r="AB1215" s="0" t="s">
        <v>296</v>
      </c>
      <c r="AD1215" s="0" t="n">
        <v>0</v>
      </c>
      <c r="AE1215" s="0" t="s">
        <v>295</v>
      </c>
      <c r="AH1215" s="0" t="n">
        <v>20</v>
      </c>
      <c r="AJ1215" s="0" t="n">
        <v>41</v>
      </c>
      <c r="AP1215" s="0" t="n">
        <v>220000</v>
      </c>
      <c r="DB1215" s="0" t="str">
        <f aca="false">IF($A1215="","",IF($AH1215=20,IF(AND(OR($A1215=21,$A1215=215),$AJ1215=10),"①病院一般",IF(AND($A1215=31,$AJ1215=41),"②病院短期","対象外")),IF($AJ1215=30,"③特定消防",IF(AND(OR($A1215=21,$A1215=215),$AJ1215=10),"④一般",IF(AND($A1215=31,$AJ1215=41),"⑤短期","対象外")))))</f>
        <v>②病院短期</v>
      </c>
      <c r="DC1215" s="0" t="n">
        <f aca="false">IF($A1215="","",IF($AB1215&amp;""=設定!$C$4,1,0))</f>
        <v>0</v>
      </c>
    </row>
    <row r="1216" customFormat="false" ht="15" hidden="false" customHeight="false" outlineLevel="0" collapsed="false">
      <c r="A1216" s="0" t="n">
        <v>31</v>
      </c>
      <c r="AA1216" s="0" t="n">
        <v>21</v>
      </c>
      <c r="AB1216" s="0" t="s">
        <v>304</v>
      </c>
      <c r="AD1216" s="0" t="n">
        <v>0</v>
      </c>
      <c r="AE1216" s="0" t="s">
        <v>295</v>
      </c>
      <c r="AH1216" s="0" t="n">
        <v>20</v>
      </c>
      <c r="AJ1216" s="0" t="n">
        <v>41</v>
      </c>
      <c r="AP1216" s="0" t="n">
        <v>200000</v>
      </c>
      <c r="DB1216" s="0" t="str">
        <f aca="false">IF($A1216="","",IF($AH1216=20,IF(AND(OR($A1216=21,$A1216=215),$AJ1216=10),"①病院一般",IF(AND($A1216=31,$AJ1216=41),"②病院短期","対象外")),IF($AJ1216=30,"③特定消防",IF(AND(OR($A1216=21,$A1216=215),$AJ1216=10),"④一般",IF(AND($A1216=31,$AJ1216=41),"⑤短期","対象外")))))</f>
        <v>②病院短期</v>
      </c>
      <c r="DC1216" s="0" t="n">
        <f aca="false">IF($A1216="","",IF($AB1216&amp;""=設定!$C$4,1,0))</f>
        <v>0</v>
      </c>
    </row>
    <row r="1217" customFormat="false" ht="15" hidden="false" customHeight="false" outlineLevel="0" collapsed="false">
      <c r="A1217" s="0" t="n">
        <v>31</v>
      </c>
      <c r="AA1217" s="0" t="n">
        <v>21</v>
      </c>
      <c r="AB1217" s="0" t="s">
        <v>356</v>
      </c>
      <c r="AD1217" s="0" t="n">
        <v>0</v>
      </c>
      <c r="AE1217" s="0" t="s">
        <v>295</v>
      </c>
      <c r="AH1217" s="0" t="n">
        <v>20</v>
      </c>
      <c r="AJ1217" s="0" t="n">
        <v>41</v>
      </c>
      <c r="AP1217" s="0" t="n">
        <v>170000</v>
      </c>
      <c r="DB1217" s="0" t="str">
        <f aca="false">IF($A1217="","",IF($AH1217=20,IF(AND(OR($A1217=21,$A1217=215),$AJ1217=10),"①病院一般",IF(AND($A1217=31,$AJ1217=41),"②病院短期","対象外")),IF($AJ1217=30,"③特定消防",IF(AND(OR($A1217=21,$A1217=215),$AJ1217=10),"④一般",IF(AND($A1217=31,$AJ1217=41),"⑤短期","対象外")))))</f>
        <v>②病院短期</v>
      </c>
      <c r="DC1217" s="0" t="n">
        <f aca="false">IF($A1217="","",IF($AB1217&amp;""=設定!$C$4,1,0))</f>
        <v>0</v>
      </c>
    </row>
    <row r="1218" customFormat="false" ht="15" hidden="false" customHeight="false" outlineLevel="0" collapsed="false">
      <c r="A1218" s="0" t="n">
        <v>31</v>
      </c>
      <c r="AA1218" s="0" t="n">
        <v>21</v>
      </c>
      <c r="AB1218" s="0" t="s">
        <v>341</v>
      </c>
      <c r="AD1218" s="0" t="n">
        <v>12</v>
      </c>
      <c r="AE1218" s="0" t="s">
        <v>303</v>
      </c>
      <c r="AH1218" s="0" t="n">
        <v>20</v>
      </c>
      <c r="AJ1218" s="0" t="n">
        <v>41</v>
      </c>
      <c r="AP1218" s="0" t="n">
        <v>220000</v>
      </c>
      <c r="DB1218" s="0" t="str">
        <f aca="false">IF($A1218="","",IF($AH1218=20,IF(AND(OR($A1218=21,$A1218=215),$AJ1218=10),"①病院一般",IF(AND($A1218=31,$AJ1218=41),"②病院短期","対象外")),IF($AJ1218=30,"③特定消防",IF(AND(OR($A1218=21,$A1218=215),$AJ1218=10),"④一般",IF(AND($A1218=31,$AJ1218=41),"⑤短期","対象外")))))</f>
        <v>②病院短期</v>
      </c>
      <c r="DC1218" s="0" t="n">
        <f aca="false">IF($A1218="","",IF($AB1218&amp;""=設定!$C$4,1,0))</f>
        <v>0</v>
      </c>
    </row>
    <row r="1219" customFormat="false" ht="15" hidden="false" customHeight="false" outlineLevel="0" collapsed="false">
      <c r="A1219" s="0" t="n">
        <v>31</v>
      </c>
      <c r="AA1219" s="0" t="n">
        <v>21</v>
      </c>
      <c r="AB1219" s="0" t="s">
        <v>303</v>
      </c>
      <c r="AD1219" s="0" t="n">
        <v>0</v>
      </c>
      <c r="AE1219" s="0" t="s">
        <v>295</v>
      </c>
      <c r="AH1219" s="0" t="n">
        <v>20</v>
      </c>
      <c r="AJ1219" s="0" t="n">
        <v>41</v>
      </c>
      <c r="AP1219" s="0" t="n">
        <v>260000</v>
      </c>
      <c r="DB1219" s="0" t="str">
        <f aca="false">IF($A1219="","",IF($AH1219=20,IF(AND(OR($A1219=21,$A1219=215),$AJ1219=10),"①病院一般",IF(AND($A1219=31,$AJ1219=41),"②病院短期","対象外")),IF($AJ1219=30,"③特定消防",IF(AND(OR($A1219=21,$A1219=215),$AJ1219=10),"④一般",IF(AND($A1219=31,$AJ1219=41),"⑤短期","対象外")))))</f>
        <v>②病院短期</v>
      </c>
      <c r="DC1219" s="0" t="n">
        <f aca="false">IF($A1219="","",IF($AB1219&amp;""=設定!$C$4,1,0))</f>
        <v>0</v>
      </c>
    </row>
    <row r="1220" customFormat="false" ht="15" hidden="false" customHeight="false" outlineLevel="0" collapsed="false">
      <c r="A1220" s="0" t="n">
        <v>31</v>
      </c>
      <c r="AA1220" s="0" t="n">
        <v>21</v>
      </c>
      <c r="AB1220" s="0" t="s">
        <v>303</v>
      </c>
      <c r="AD1220" s="0" t="n">
        <v>0</v>
      </c>
      <c r="AE1220" s="0" t="s">
        <v>295</v>
      </c>
      <c r="AH1220" s="0" t="n">
        <v>20</v>
      </c>
      <c r="AJ1220" s="0" t="n">
        <v>41</v>
      </c>
      <c r="AP1220" s="0" t="n">
        <v>260000</v>
      </c>
      <c r="DB1220" s="0" t="str">
        <f aca="false">IF($A1220="","",IF($AH1220=20,IF(AND(OR($A1220=21,$A1220=215),$AJ1220=10),"①病院一般",IF(AND($A1220=31,$AJ1220=41),"②病院短期","対象外")),IF($AJ1220=30,"③特定消防",IF(AND(OR($A1220=21,$A1220=215),$AJ1220=10),"④一般",IF(AND($A1220=31,$AJ1220=41),"⑤短期","対象外")))))</f>
        <v>②病院短期</v>
      </c>
      <c r="DC1220" s="0" t="n">
        <f aca="false">IF($A1220="","",IF($AB1220&amp;""=設定!$C$4,1,0))</f>
        <v>0</v>
      </c>
    </row>
    <row r="1221" customFormat="false" ht="15" hidden="false" customHeight="false" outlineLevel="0" collapsed="false">
      <c r="A1221" s="0" t="n">
        <v>31</v>
      </c>
      <c r="AA1221" s="0" t="n">
        <v>21</v>
      </c>
      <c r="AB1221" s="0" t="s">
        <v>303</v>
      </c>
      <c r="AD1221" s="0" t="n">
        <v>0</v>
      </c>
      <c r="AE1221" s="0" t="s">
        <v>295</v>
      </c>
      <c r="AH1221" s="0" t="n">
        <v>20</v>
      </c>
      <c r="AJ1221" s="0" t="n">
        <v>41</v>
      </c>
      <c r="AP1221" s="0" t="n">
        <v>260000</v>
      </c>
      <c r="DB1221" s="0" t="str">
        <f aca="false">IF($A1221="","",IF($AH1221=20,IF(AND(OR($A1221=21,$A1221=215),$AJ1221=10),"①病院一般",IF(AND($A1221=31,$AJ1221=41),"②病院短期","対象外")),IF($AJ1221=30,"③特定消防",IF(AND(OR($A1221=21,$A1221=215),$AJ1221=10),"④一般",IF(AND($A1221=31,$AJ1221=41),"⑤短期","対象外")))))</f>
        <v>②病院短期</v>
      </c>
      <c r="DC1221" s="0" t="n">
        <f aca="false">IF($A1221="","",IF($AB1221&amp;""=設定!$C$4,1,0))</f>
        <v>0</v>
      </c>
    </row>
    <row r="1222" customFormat="false" ht="15" hidden="false" customHeight="false" outlineLevel="0" collapsed="false">
      <c r="A1222" s="0" t="n">
        <v>31</v>
      </c>
      <c r="AA1222" s="0" t="n">
        <v>21</v>
      </c>
      <c r="AB1222" s="0" t="s">
        <v>357</v>
      </c>
      <c r="AD1222" s="0" t="n">
        <v>0</v>
      </c>
      <c r="AE1222" s="0" t="s">
        <v>295</v>
      </c>
      <c r="AH1222" s="0" t="n">
        <v>20</v>
      </c>
      <c r="AJ1222" s="0" t="n">
        <v>41</v>
      </c>
      <c r="AP1222" s="0" t="n">
        <v>220000</v>
      </c>
      <c r="DB1222" s="0" t="str">
        <f aca="false">IF($A1222="","",IF($AH1222=20,IF(AND(OR($A1222=21,$A1222=215),$AJ1222=10),"①病院一般",IF(AND($A1222=31,$AJ1222=41),"②病院短期","対象外")),IF($AJ1222=30,"③特定消防",IF(AND(OR($A1222=21,$A1222=215),$AJ1222=10),"④一般",IF(AND($A1222=31,$AJ1222=41),"⑤短期","対象外")))))</f>
        <v>②病院短期</v>
      </c>
      <c r="DC1222" s="0" t="n">
        <f aca="false">IF($A1222="","",IF($AB1222&amp;""=設定!$C$4,1,0))</f>
        <v>0</v>
      </c>
    </row>
    <row r="1223" customFormat="false" ht="15" hidden="false" customHeight="false" outlineLevel="0" collapsed="false">
      <c r="A1223" s="0" t="n">
        <v>31</v>
      </c>
      <c r="AA1223" s="0" t="n">
        <v>21</v>
      </c>
      <c r="AB1223" s="0" t="s">
        <v>303</v>
      </c>
      <c r="AD1223" s="0" t="n">
        <v>0</v>
      </c>
      <c r="AE1223" s="0" t="s">
        <v>295</v>
      </c>
      <c r="AH1223" s="0" t="n">
        <v>20</v>
      </c>
      <c r="AJ1223" s="0" t="n">
        <v>41</v>
      </c>
      <c r="AP1223" s="0" t="n">
        <v>190000</v>
      </c>
      <c r="DB1223" s="0" t="str">
        <f aca="false">IF($A1223="","",IF($AH1223=20,IF(AND(OR($A1223=21,$A1223=215),$AJ1223=10),"①病院一般",IF(AND($A1223=31,$AJ1223=41),"②病院短期","対象外")),IF($AJ1223=30,"③特定消防",IF(AND(OR($A1223=21,$A1223=215),$AJ1223=10),"④一般",IF(AND($A1223=31,$AJ1223=41),"⑤短期","対象外")))))</f>
        <v>②病院短期</v>
      </c>
      <c r="DC1223" s="0" t="n">
        <f aca="false">IF($A1223="","",IF($AB1223&amp;""=設定!$C$4,1,0))</f>
        <v>0</v>
      </c>
    </row>
    <row r="1224" customFormat="false" ht="15" hidden="false" customHeight="false" outlineLevel="0" collapsed="false">
      <c r="A1224" s="0" t="n">
        <v>31</v>
      </c>
      <c r="AA1224" s="0" t="n">
        <v>21</v>
      </c>
      <c r="AB1224" s="0" t="s">
        <v>303</v>
      </c>
      <c r="AD1224" s="0" t="n">
        <v>0</v>
      </c>
      <c r="AE1224" s="0" t="s">
        <v>295</v>
      </c>
      <c r="AH1224" s="0" t="n">
        <v>20</v>
      </c>
      <c r="AJ1224" s="0" t="n">
        <v>41</v>
      </c>
      <c r="AP1224" s="0" t="n">
        <v>190000</v>
      </c>
      <c r="DB1224" s="0" t="str">
        <f aca="false">IF($A1224="","",IF($AH1224=20,IF(AND(OR($A1224=21,$A1224=215),$AJ1224=10),"①病院一般",IF(AND($A1224=31,$AJ1224=41),"②病院短期","対象外")),IF($AJ1224=30,"③特定消防",IF(AND(OR($A1224=21,$A1224=215),$AJ1224=10),"④一般",IF(AND($A1224=31,$AJ1224=41),"⑤短期","対象外")))))</f>
        <v>②病院短期</v>
      </c>
      <c r="DC1224" s="0" t="n">
        <f aca="false">IF($A1224="","",IF($AB1224&amp;""=設定!$C$4,1,0))</f>
        <v>0</v>
      </c>
    </row>
    <row r="1225" customFormat="false" ht="15" hidden="false" customHeight="false" outlineLevel="0" collapsed="false">
      <c r="A1225" s="0" t="n">
        <v>31</v>
      </c>
      <c r="AA1225" s="0" t="n">
        <v>21</v>
      </c>
      <c r="AB1225" s="0" t="s">
        <v>358</v>
      </c>
      <c r="AD1225" s="0" t="n">
        <v>0</v>
      </c>
      <c r="AE1225" s="0" t="s">
        <v>295</v>
      </c>
      <c r="AH1225" s="0" t="n">
        <v>20</v>
      </c>
      <c r="AJ1225" s="0" t="n">
        <v>41</v>
      </c>
      <c r="AP1225" s="0" t="n">
        <v>200000</v>
      </c>
      <c r="DB1225" s="0" t="str">
        <f aca="false">IF($A1225="","",IF($AH1225=20,IF(AND(OR($A1225=21,$A1225=215),$AJ1225=10),"①病院一般",IF(AND($A1225=31,$AJ1225=41),"②病院短期","対象外")),IF($AJ1225=30,"③特定消防",IF(AND(OR($A1225=21,$A1225=215),$AJ1225=10),"④一般",IF(AND($A1225=31,$AJ1225=41),"⑤短期","対象外")))))</f>
        <v>②病院短期</v>
      </c>
      <c r="DC1225" s="0" t="n">
        <f aca="false">IF($A1225="","",IF($AB1225&amp;""=設定!$C$4,1,0))</f>
        <v>0</v>
      </c>
    </row>
    <row r="1226" customFormat="false" ht="15" hidden="false" customHeight="false" outlineLevel="0" collapsed="false">
      <c r="A1226" s="0" t="n">
        <v>31</v>
      </c>
      <c r="AA1226" s="0" t="n">
        <v>21</v>
      </c>
      <c r="AB1226" s="0" t="s">
        <v>357</v>
      </c>
      <c r="AD1226" s="0" t="n">
        <v>0</v>
      </c>
      <c r="AE1226" s="0" t="s">
        <v>295</v>
      </c>
      <c r="AH1226" s="0" t="n">
        <v>20</v>
      </c>
      <c r="AJ1226" s="0" t="n">
        <v>41</v>
      </c>
      <c r="AP1226" s="0" t="n">
        <v>200000</v>
      </c>
      <c r="DB1226" s="0" t="str">
        <f aca="false">IF($A1226="","",IF($AH1226=20,IF(AND(OR($A1226=21,$A1226=215),$AJ1226=10),"①病院一般",IF(AND($A1226=31,$AJ1226=41),"②病院短期","対象外")),IF($AJ1226=30,"③特定消防",IF(AND(OR($A1226=21,$A1226=215),$AJ1226=10),"④一般",IF(AND($A1226=31,$AJ1226=41),"⑤短期","対象外")))))</f>
        <v>②病院短期</v>
      </c>
      <c r="DC1226" s="0" t="n">
        <f aca="false">IF($A1226="","",IF($AB1226&amp;""=設定!$C$4,1,0))</f>
        <v>0</v>
      </c>
    </row>
    <row r="1227" customFormat="false" ht="15" hidden="false" customHeight="false" outlineLevel="0" collapsed="false">
      <c r="A1227" s="0" t="n">
        <v>31</v>
      </c>
      <c r="AA1227" s="0" t="n">
        <v>21</v>
      </c>
      <c r="AB1227" s="0" t="s">
        <v>335</v>
      </c>
      <c r="AD1227" s="0" t="n">
        <v>0</v>
      </c>
      <c r="AE1227" s="0" t="s">
        <v>295</v>
      </c>
      <c r="AH1227" s="0" t="n">
        <v>20</v>
      </c>
      <c r="AJ1227" s="0" t="n">
        <v>41</v>
      </c>
      <c r="AP1227" s="0" t="n">
        <v>170000</v>
      </c>
      <c r="DB1227" s="0" t="str">
        <f aca="false">IF($A1227="","",IF($AH1227=20,IF(AND(OR($A1227=21,$A1227=215),$AJ1227=10),"①病院一般",IF(AND($A1227=31,$AJ1227=41),"②病院短期","対象外")),IF($AJ1227=30,"③特定消防",IF(AND(OR($A1227=21,$A1227=215),$AJ1227=10),"④一般",IF(AND($A1227=31,$AJ1227=41),"⑤短期","対象外")))))</f>
        <v>②病院短期</v>
      </c>
      <c r="DC1227" s="0" t="n">
        <f aca="false">IF($A1227="","",IF($AB1227&amp;""=設定!$C$4,1,0))</f>
        <v>0</v>
      </c>
    </row>
    <row r="1228" customFormat="false" ht="15" hidden="false" customHeight="false" outlineLevel="0" collapsed="false">
      <c r="A1228" s="0" t="n">
        <v>31</v>
      </c>
      <c r="AA1228" s="0" t="n">
        <v>21</v>
      </c>
      <c r="AB1228" s="0" t="s">
        <v>359</v>
      </c>
      <c r="AD1228" s="0" t="n">
        <v>0</v>
      </c>
      <c r="AE1228" s="0" t="s">
        <v>295</v>
      </c>
      <c r="AH1228" s="0" t="n">
        <v>20</v>
      </c>
      <c r="AJ1228" s="0" t="n">
        <v>41</v>
      </c>
      <c r="AP1228" s="0" t="n">
        <v>220000</v>
      </c>
      <c r="DB1228" s="0" t="str">
        <f aca="false">IF($A1228="","",IF($AH1228=20,IF(AND(OR($A1228=21,$A1228=215),$AJ1228=10),"①病院一般",IF(AND($A1228=31,$AJ1228=41),"②病院短期","対象外")),IF($AJ1228=30,"③特定消防",IF(AND(OR($A1228=21,$A1228=215),$AJ1228=10),"④一般",IF(AND($A1228=31,$AJ1228=41),"⑤短期","対象外")))))</f>
        <v>②病院短期</v>
      </c>
      <c r="DC1228" s="0" t="n">
        <f aca="false">IF($A1228="","",IF($AB1228&amp;""=設定!$C$4,1,0))</f>
        <v>0</v>
      </c>
    </row>
    <row r="1229" customFormat="false" ht="15" hidden="false" customHeight="false" outlineLevel="0" collapsed="false">
      <c r="A1229" s="0" t="n">
        <v>31</v>
      </c>
      <c r="AA1229" s="0" t="n">
        <v>21</v>
      </c>
      <c r="AB1229" s="0" t="s">
        <v>360</v>
      </c>
      <c r="AD1229" s="0" t="n">
        <v>0</v>
      </c>
      <c r="AE1229" s="0" t="s">
        <v>295</v>
      </c>
      <c r="AH1229" s="0" t="n">
        <v>20</v>
      </c>
      <c r="AJ1229" s="0" t="n">
        <v>41</v>
      </c>
      <c r="AP1229" s="0" t="n">
        <v>240000</v>
      </c>
      <c r="DB1229" s="0" t="str">
        <f aca="false">IF($A1229="","",IF($AH1229=20,IF(AND(OR($A1229=21,$A1229=215),$AJ1229=10),"①病院一般",IF(AND($A1229=31,$AJ1229=41),"②病院短期","対象外")),IF($AJ1229=30,"③特定消防",IF(AND(OR($A1229=21,$A1229=215),$AJ1229=10),"④一般",IF(AND($A1229=31,$AJ1229=41),"⑤短期","対象外")))))</f>
        <v>②病院短期</v>
      </c>
      <c r="DC1229" s="0" t="n">
        <f aca="false">IF($A1229="","",IF($AB1229&amp;""=設定!$C$4,1,0))</f>
        <v>0</v>
      </c>
    </row>
    <row r="1230" customFormat="false" ht="15" hidden="false" customHeight="false" outlineLevel="0" collapsed="false">
      <c r="A1230" s="0" t="n">
        <v>31</v>
      </c>
      <c r="AA1230" s="0" t="n">
        <v>21</v>
      </c>
      <c r="AB1230" s="0" t="s">
        <v>301</v>
      </c>
      <c r="AD1230" s="0" t="n">
        <v>0</v>
      </c>
      <c r="AE1230" s="0" t="s">
        <v>295</v>
      </c>
      <c r="AH1230" s="0" t="n">
        <v>20</v>
      </c>
      <c r="AJ1230" s="0" t="n">
        <v>41</v>
      </c>
      <c r="AP1230" s="0" t="n">
        <v>220000</v>
      </c>
      <c r="DB1230" s="0" t="str">
        <f aca="false">IF($A1230="","",IF($AH1230=20,IF(AND(OR($A1230=21,$A1230=215),$AJ1230=10),"①病院一般",IF(AND($A1230=31,$AJ1230=41),"②病院短期","対象外")),IF($AJ1230=30,"③特定消防",IF(AND(OR($A1230=21,$A1230=215),$AJ1230=10),"④一般",IF(AND($A1230=31,$AJ1230=41),"⑤短期","対象外")))))</f>
        <v>②病院短期</v>
      </c>
      <c r="DC1230" s="0" t="n">
        <f aca="false">IF($A1230="","",IF($AB1230&amp;""=設定!$C$4,1,0))</f>
        <v>0</v>
      </c>
    </row>
    <row r="1231" customFormat="false" ht="15" hidden="false" customHeight="false" outlineLevel="0" collapsed="false">
      <c r="A1231" s="0" t="n">
        <v>31</v>
      </c>
      <c r="AA1231" s="0" t="n">
        <v>21</v>
      </c>
      <c r="AB1231" s="0" t="s">
        <v>301</v>
      </c>
      <c r="AD1231" s="0" t="n">
        <v>0</v>
      </c>
      <c r="AE1231" s="0" t="s">
        <v>295</v>
      </c>
      <c r="AH1231" s="0" t="n">
        <v>20</v>
      </c>
      <c r="AJ1231" s="0" t="n">
        <v>41</v>
      </c>
      <c r="AP1231" s="0" t="n">
        <v>170000</v>
      </c>
      <c r="DB1231" s="0" t="str">
        <f aca="false">IF($A1231="","",IF($AH1231=20,IF(AND(OR($A1231=21,$A1231=215),$AJ1231=10),"①病院一般",IF(AND($A1231=31,$AJ1231=41),"②病院短期","対象外")),IF($AJ1231=30,"③特定消防",IF(AND(OR($A1231=21,$A1231=215),$AJ1231=10),"④一般",IF(AND($A1231=31,$AJ1231=41),"⑤短期","対象外")))))</f>
        <v>②病院短期</v>
      </c>
      <c r="DC1231" s="0" t="n">
        <f aca="false">IF($A1231="","",IF($AB1231&amp;""=設定!$C$4,1,0))</f>
        <v>0</v>
      </c>
    </row>
    <row r="1232" customFormat="false" ht="15" hidden="false" customHeight="false" outlineLevel="0" collapsed="false">
      <c r="A1232" s="0" t="n">
        <v>31</v>
      </c>
      <c r="AA1232" s="0" t="n">
        <v>21</v>
      </c>
      <c r="AB1232" s="0" t="s">
        <v>361</v>
      </c>
      <c r="AD1232" s="0" t="n">
        <v>0</v>
      </c>
      <c r="AE1232" s="0" t="s">
        <v>295</v>
      </c>
      <c r="AH1232" s="0" t="n">
        <v>20</v>
      </c>
      <c r="AJ1232" s="0" t="n">
        <v>41</v>
      </c>
      <c r="AP1232" s="0" t="n">
        <v>200000</v>
      </c>
      <c r="DB1232" s="0" t="str">
        <f aca="false">IF($A1232="","",IF($AH1232=20,IF(AND(OR($A1232=21,$A1232=215),$AJ1232=10),"①病院一般",IF(AND($A1232=31,$AJ1232=41),"②病院短期","対象外")),IF($AJ1232=30,"③特定消防",IF(AND(OR($A1232=21,$A1232=215),$AJ1232=10),"④一般",IF(AND($A1232=31,$AJ1232=41),"⑤短期","対象外")))))</f>
        <v>②病院短期</v>
      </c>
      <c r="DC1232" s="0" t="n">
        <f aca="false">IF($A1232="","",IF($AB1232&amp;""=設定!$C$4,1,0))</f>
        <v>0</v>
      </c>
    </row>
    <row r="1233" customFormat="false" ht="15" hidden="false" customHeight="false" outlineLevel="0" collapsed="false">
      <c r="A1233" s="0" t="n">
        <v>31</v>
      </c>
      <c r="AA1233" s="0" t="n">
        <v>21</v>
      </c>
      <c r="AB1233" s="0" t="s">
        <v>301</v>
      </c>
      <c r="AD1233" s="0" t="n">
        <v>0</v>
      </c>
      <c r="AE1233" s="0" t="s">
        <v>295</v>
      </c>
      <c r="AH1233" s="0" t="n">
        <v>20</v>
      </c>
      <c r="AJ1233" s="0" t="n">
        <v>41</v>
      </c>
      <c r="AP1233" s="0" t="n">
        <v>220000</v>
      </c>
      <c r="DB1233" s="0" t="str">
        <f aca="false">IF($A1233="","",IF($AH1233=20,IF(AND(OR($A1233=21,$A1233=215),$AJ1233=10),"①病院一般",IF(AND($A1233=31,$AJ1233=41),"②病院短期","対象外")),IF($AJ1233=30,"③特定消防",IF(AND(OR($A1233=21,$A1233=215),$AJ1233=10),"④一般",IF(AND($A1233=31,$AJ1233=41),"⑤短期","対象外")))))</f>
        <v>②病院短期</v>
      </c>
      <c r="DC1233" s="0" t="n">
        <f aca="false">IF($A1233="","",IF($AB1233&amp;""=設定!$C$4,1,0))</f>
        <v>0</v>
      </c>
    </row>
    <row r="1234" customFormat="false" ht="15" hidden="false" customHeight="false" outlineLevel="0" collapsed="false">
      <c r="A1234" s="0" t="n">
        <v>31</v>
      </c>
      <c r="AA1234" s="0" t="n">
        <v>21</v>
      </c>
      <c r="AB1234" s="0" t="s">
        <v>328</v>
      </c>
      <c r="AD1234" s="0" t="n">
        <v>0</v>
      </c>
      <c r="AE1234" s="0" t="s">
        <v>295</v>
      </c>
      <c r="AH1234" s="0" t="n">
        <v>20</v>
      </c>
      <c r="AJ1234" s="0" t="n">
        <v>41</v>
      </c>
      <c r="AP1234" s="0" t="n">
        <v>170000</v>
      </c>
      <c r="DB1234" s="0" t="str">
        <f aca="false">IF($A1234="","",IF($AH1234=20,IF(AND(OR($A1234=21,$A1234=215),$AJ1234=10),"①病院一般",IF(AND($A1234=31,$AJ1234=41),"②病院短期","対象外")),IF($AJ1234=30,"③特定消防",IF(AND(OR($A1234=21,$A1234=215),$AJ1234=10),"④一般",IF(AND($A1234=31,$AJ1234=41),"⑤短期","対象外")))))</f>
        <v>②病院短期</v>
      </c>
      <c r="DC1234" s="0" t="n">
        <f aca="false">IF($A1234="","",IF($AB1234&amp;""=設定!$C$4,1,0))</f>
        <v>0</v>
      </c>
    </row>
    <row r="1235" customFormat="false" ht="15" hidden="false" customHeight="false" outlineLevel="0" collapsed="false">
      <c r="A1235" s="0" t="n">
        <v>31</v>
      </c>
      <c r="AA1235" s="0" t="n">
        <v>21</v>
      </c>
      <c r="AB1235" s="0" t="s">
        <v>362</v>
      </c>
      <c r="AD1235" s="0" t="n">
        <v>0</v>
      </c>
      <c r="AE1235" s="0" t="s">
        <v>295</v>
      </c>
      <c r="AH1235" s="0" t="n">
        <v>20</v>
      </c>
      <c r="AJ1235" s="0" t="n">
        <v>41</v>
      </c>
      <c r="AP1235" s="0" t="n">
        <v>170000</v>
      </c>
      <c r="DB1235" s="0" t="str">
        <f aca="false">IF($A1235="","",IF($AH1235=20,IF(AND(OR($A1235=21,$A1235=215),$AJ1235=10),"①病院一般",IF(AND($A1235=31,$AJ1235=41),"②病院短期","対象外")),IF($AJ1235=30,"③特定消防",IF(AND(OR($A1235=21,$A1235=215),$AJ1235=10),"④一般",IF(AND($A1235=31,$AJ1235=41),"⑤短期","対象外")))))</f>
        <v>②病院短期</v>
      </c>
      <c r="DC1235" s="0" t="n">
        <f aca="false">IF($A1235="","",IF($AB1235&amp;""=設定!$C$4,1,0))</f>
        <v>0</v>
      </c>
    </row>
    <row r="1236" customFormat="false" ht="15" hidden="false" customHeight="false" outlineLevel="0" collapsed="false">
      <c r="A1236" s="0" t="n">
        <v>31</v>
      </c>
      <c r="AA1236" s="0" t="n">
        <v>21</v>
      </c>
      <c r="AB1236" s="0" t="s">
        <v>362</v>
      </c>
      <c r="AD1236" s="0" t="n">
        <v>0</v>
      </c>
      <c r="AE1236" s="0" t="s">
        <v>295</v>
      </c>
      <c r="AH1236" s="0" t="n">
        <v>20</v>
      </c>
      <c r="AJ1236" s="0" t="n">
        <v>41</v>
      </c>
      <c r="AP1236" s="0" t="n">
        <v>190000</v>
      </c>
      <c r="DB1236" s="0" t="str">
        <f aca="false">IF($A1236="","",IF($AH1236=20,IF(AND(OR($A1236=21,$A1236=215),$AJ1236=10),"①病院一般",IF(AND($A1236=31,$AJ1236=41),"②病院短期","対象外")),IF($AJ1236=30,"③特定消防",IF(AND(OR($A1236=21,$A1236=215),$AJ1236=10),"④一般",IF(AND($A1236=31,$AJ1236=41),"⑤短期","対象外")))))</f>
        <v>②病院短期</v>
      </c>
      <c r="DC1236" s="0" t="n">
        <f aca="false">IF($A1236="","",IF($AB1236&amp;""=設定!$C$4,1,0))</f>
        <v>0</v>
      </c>
    </row>
    <row r="1237" customFormat="false" ht="15" hidden="false" customHeight="false" outlineLevel="0" collapsed="false">
      <c r="A1237" s="0" t="n">
        <v>31</v>
      </c>
      <c r="AA1237" s="0" t="n">
        <v>21</v>
      </c>
      <c r="AB1237" s="0" t="s">
        <v>362</v>
      </c>
      <c r="AD1237" s="0" t="n">
        <v>0</v>
      </c>
      <c r="AE1237" s="0" t="s">
        <v>295</v>
      </c>
      <c r="AH1237" s="0" t="n">
        <v>20</v>
      </c>
      <c r="AJ1237" s="0" t="n">
        <v>41</v>
      </c>
      <c r="AP1237" s="0" t="n">
        <v>260000</v>
      </c>
      <c r="DB1237" s="0" t="str">
        <f aca="false">IF($A1237="","",IF($AH1237=20,IF(AND(OR($A1237=21,$A1237=215),$AJ1237=10),"①病院一般",IF(AND($A1237=31,$AJ1237=41),"②病院短期","対象外")),IF($AJ1237=30,"③特定消防",IF(AND(OR($A1237=21,$A1237=215),$AJ1237=10),"④一般",IF(AND($A1237=31,$AJ1237=41),"⑤短期","対象外")))))</f>
        <v>②病院短期</v>
      </c>
      <c r="DC1237" s="0" t="n">
        <f aca="false">IF($A1237="","",IF($AB1237&amp;""=設定!$C$4,1,0))</f>
        <v>0</v>
      </c>
    </row>
    <row r="1238" customFormat="false" ht="15" hidden="false" customHeight="false" outlineLevel="0" collapsed="false">
      <c r="A1238" s="0" t="n">
        <v>31</v>
      </c>
      <c r="AA1238" s="0" t="n">
        <v>21</v>
      </c>
      <c r="AB1238" s="0" t="s">
        <v>362</v>
      </c>
      <c r="AD1238" s="0" t="n">
        <v>0</v>
      </c>
      <c r="AE1238" s="0" t="s">
        <v>295</v>
      </c>
      <c r="AH1238" s="0" t="n">
        <v>20</v>
      </c>
      <c r="AJ1238" s="0" t="n">
        <v>41</v>
      </c>
      <c r="AP1238" s="0" t="n">
        <v>260000</v>
      </c>
      <c r="DB1238" s="0" t="str">
        <f aca="false">IF($A1238="","",IF($AH1238=20,IF(AND(OR($A1238=21,$A1238=215),$AJ1238=10),"①病院一般",IF(AND($A1238=31,$AJ1238=41),"②病院短期","対象外")),IF($AJ1238=30,"③特定消防",IF(AND(OR($A1238=21,$A1238=215),$AJ1238=10),"④一般",IF(AND($A1238=31,$AJ1238=41),"⑤短期","対象外")))))</f>
        <v>②病院短期</v>
      </c>
      <c r="DC1238" s="0" t="n">
        <f aca="false">IF($A1238="","",IF($AB1238&amp;""=設定!$C$4,1,0))</f>
        <v>0</v>
      </c>
    </row>
    <row r="1239" customFormat="false" ht="15" hidden="false" customHeight="false" outlineLevel="0" collapsed="false">
      <c r="A1239" s="0" t="n">
        <v>31</v>
      </c>
      <c r="AA1239" s="0" t="n">
        <v>21</v>
      </c>
      <c r="AB1239" s="0" t="s">
        <v>96</v>
      </c>
      <c r="AD1239" s="0" t="n">
        <v>0</v>
      </c>
      <c r="AE1239" s="0" t="s">
        <v>295</v>
      </c>
      <c r="AH1239" s="0" t="n">
        <v>11</v>
      </c>
      <c r="AJ1239" s="0" t="n">
        <v>41</v>
      </c>
      <c r="AP1239" s="0" t="n">
        <v>200000</v>
      </c>
      <c r="DB1239" s="0" t="str">
        <f aca="false">IF($A1239="","",IF($AH1239=20,IF(AND(OR($A1239=21,$A1239=215),$AJ1239=10),"①病院一般",IF(AND($A1239=31,$AJ1239=41),"②病院短期","対象外")),IF($AJ1239=30,"③特定消防",IF(AND(OR($A1239=21,$A1239=215),$AJ1239=10),"④一般",IF(AND($A1239=31,$AJ1239=41),"⑤短期","対象外")))))</f>
        <v>⑤短期</v>
      </c>
      <c r="DC1239" s="0" t="n">
        <f aca="false">IF($A1239="","",IF($AB1239&amp;""=設定!$C$4,1,0))</f>
        <v>1</v>
      </c>
    </row>
    <row r="1240" customFormat="false" ht="15" hidden="false" customHeight="false" outlineLevel="0" collapsed="false">
      <c r="A1240" s="0" t="n">
        <v>31</v>
      </c>
      <c r="AA1240" s="0" t="n">
        <v>21</v>
      </c>
      <c r="AB1240" s="0" t="s">
        <v>96</v>
      </c>
      <c r="AD1240" s="0" t="n">
        <v>0</v>
      </c>
      <c r="AE1240" s="0" t="s">
        <v>295</v>
      </c>
      <c r="AH1240" s="0" t="n">
        <v>11</v>
      </c>
      <c r="AJ1240" s="0" t="n">
        <v>41</v>
      </c>
      <c r="AP1240" s="0" t="n">
        <v>220000</v>
      </c>
      <c r="DB1240" s="0" t="str">
        <f aca="false">IF($A1240="","",IF($AH1240=20,IF(AND(OR($A1240=21,$A1240=215),$AJ1240=10),"①病院一般",IF(AND($A1240=31,$AJ1240=41),"②病院短期","対象外")),IF($AJ1240=30,"③特定消防",IF(AND(OR($A1240=21,$A1240=215),$AJ1240=10),"④一般",IF(AND($A1240=31,$AJ1240=41),"⑤短期","対象外")))))</f>
        <v>⑤短期</v>
      </c>
      <c r="DC1240" s="0" t="n">
        <f aca="false">IF($A1240="","",IF($AB1240&amp;""=設定!$C$4,1,0))</f>
        <v>1</v>
      </c>
    </row>
    <row r="1241" customFormat="false" ht="15" hidden="false" customHeight="false" outlineLevel="0" collapsed="false">
      <c r="A1241" s="0" t="n">
        <v>31</v>
      </c>
      <c r="AA1241" s="0" t="n">
        <v>21</v>
      </c>
      <c r="AB1241" s="0" t="s">
        <v>96</v>
      </c>
      <c r="AD1241" s="0" t="n">
        <v>0</v>
      </c>
      <c r="AE1241" s="0" t="s">
        <v>295</v>
      </c>
      <c r="AH1241" s="0" t="n">
        <v>11</v>
      </c>
      <c r="AJ1241" s="0" t="n">
        <v>41</v>
      </c>
      <c r="AP1241" s="0" t="n">
        <v>240000</v>
      </c>
      <c r="DB1241" s="0" t="str">
        <f aca="false">IF($A1241="","",IF($AH1241=20,IF(AND(OR($A1241=21,$A1241=215),$AJ1241=10),"①病院一般",IF(AND($A1241=31,$AJ1241=41),"②病院短期","対象外")),IF($AJ1241=30,"③特定消防",IF(AND(OR($A1241=21,$A1241=215),$AJ1241=10),"④一般",IF(AND($A1241=31,$AJ1241=41),"⑤短期","対象外")))))</f>
        <v>⑤短期</v>
      </c>
      <c r="DC1241" s="0" t="n">
        <f aca="false">IF($A1241="","",IF($AB1241&amp;""=設定!$C$4,1,0))</f>
        <v>1</v>
      </c>
    </row>
    <row r="1242" customFormat="false" ht="15" hidden="false" customHeight="false" outlineLevel="0" collapsed="false">
      <c r="A1242" s="0" t="n">
        <v>31</v>
      </c>
      <c r="AA1242" s="0" t="n">
        <v>21</v>
      </c>
      <c r="AB1242" s="0" t="s">
        <v>96</v>
      </c>
      <c r="AD1242" s="0" t="n">
        <v>0</v>
      </c>
      <c r="AE1242" s="0" t="s">
        <v>295</v>
      </c>
      <c r="AH1242" s="0" t="n">
        <v>11</v>
      </c>
      <c r="AJ1242" s="0" t="n">
        <v>41</v>
      </c>
      <c r="AP1242" s="0" t="n">
        <v>240000</v>
      </c>
      <c r="DB1242" s="0" t="str">
        <f aca="false">IF($A1242="","",IF($AH1242=20,IF(AND(OR($A1242=21,$A1242=215),$AJ1242=10),"①病院一般",IF(AND($A1242=31,$AJ1242=41),"②病院短期","対象外")),IF($AJ1242=30,"③特定消防",IF(AND(OR($A1242=21,$A1242=215),$AJ1242=10),"④一般",IF(AND($A1242=31,$AJ1242=41),"⑤短期","対象外")))))</f>
        <v>⑤短期</v>
      </c>
      <c r="DC1242" s="0" t="n">
        <f aca="false">IF($A1242="","",IF($AB1242&amp;""=設定!$C$4,1,0))</f>
        <v>1</v>
      </c>
    </row>
    <row r="1243" customFormat="false" ht="15" hidden="false" customHeight="false" outlineLevel="0" collapsed="false">
      <c r="A1243" s="0" t="n">
        <v>31</v>
      </c>
      <c r="AA1243" s="0" t="n">
        <v>21</v>
      </c>
      <c r="AB1243" s="0" t="s">
        <v>96</v>
      </c>
      <c r="AD1243" s="0" t="n">
        <v>0</v>
      </c>
      <c r="AE1243" s="0" t="s">
        <v>295</v>
      </c>
      <c r="AH1243" s="0" t="n">
        <v>5</v>
      </c>
      <c r="AJ1243" s="0" t="n">
        <v>41</v>
      </c>
      <c r="AP1243" s="0" t="n">
        <v>200000</v>
      </c>
      <c r="DB1243" s="0" t="str">
        <f aca="false">IF($A1243="","",IF($AH1243=20,IF(AND(OR($A1243=21,$A1243=215),$AJ1243=10),"①病院一般",IF(AND($A1243=31,$AJ1243=41),"②病院短期","対象外")),IF($AJ1243=30,"③特定消防",IF(AND(OR($A1243=21,$A1243=215),$AJ1243=10),"④一般",IF(AND($A1243=31,$AJ1243=41),"⑤短期","対象外")))))</f>
        <v>⑤短期</v>
      </c>
      <c r="DC1243" s="0" t="n">
        <f aca="false">IF($A1243="","",IF($AB1243&amp;""=設定!$C$4,1,0))</f>
        <v>1</v>
      </c>
    </row>
    <row r="1244" customFormat="false" ht="15" hidden="false" customHeight="false" outlineLevel="0" collapsed="false">
      <c r="A1244" s="0" t="n">
        <v>31</v>
      </c>
      <c r="AA1244" s="0" t="n">
        <v>21</v>
      </c>
      <c r="AB1244" s="0" t="s">
        <v>96</v>
      </c>
      <c r="AD1244" s="0" t="n">
        <v>0</v>
      </c>
      <c r="AE1244" s="0" t="s">
        <v>295</v>
      </c>
      <c r="AH1244" s="0" t="n">
        <v>5</v>
      </c>
      <c r="AJ1244" s="0" t="n">
        <v>41</v>
      </c>
      <c r="AP1244" s="0" t="n">
        <v>200000</v>
      </c>
      <c r="DB1244" s="0" t="str">
        <f aca="false">IF($A1244="","",IF($AH1244=20,IF(AND(OR($A1244=21,$A1244=215),$AJ1244=10),"①病院一般",IF(AND($A1244=31,$AJ1244=41),"②病院短期","対象外")),IF($AJ1244=30,"③特定消防",IF(AND(OR($A1244=21,$A1244=215),$AJ1244=10),"④一般",IF(AND($A1244=31,$AJ1244=41),"⑤短期","対象外")))))</f>
        <v>⑤短期</v>
      </c>
      <c r="DC1244" s="0" t="n">
        <f aca="false">IF($A1244="","",IF($AB1244&amp;""=設定!$C$4,1,0))</f>
        <v>1</v>
      </c>
    </row>
    <row r="1245" customFormat="false" ht="15" hidden="false" customHeight="false" outlineLevel="0" collapsed="false">
      <c r="A1245" s="0" t="n">
        <v>31</v>
      </c>
      <c r="AA1245" s="0" t="n">
        <v>21</v>
      </c>
      <c r="AB1245" s="0" t="s">
        <v>96</v>
      </c>
      <c r="AD1245" s="0" t="n">
        <v>0</v>
      </c>
      <c r="AE1245" s="0" t="s">
        <v>295</v>
      </c>
      <c r="AH1245" s="0" t="n">
        <v>11</v>
      </c>
      <c r="AJ1245" s="0" t="n">
        <v>41</v>
      </c>
      <c r="AP1245" s="0" t="n">
        <v>200000</v>
      </c>
      <c r="DB1245" s="0" t="str">
        <f aca="false">IF($A1245="","",IF($AH1245=20,IF(AND(OR($A1245=21,$A1245=215),$AJ1245=10),"①病院一般",IF(AND($A1245=31,$AJ1245=41),"②病院短期","対象外")),IF($AJ1245=30,"③特定消防",IF(AND(OR($A1245=21,$A1245=215),$AJ1245=10),"④一般",IF(AND($A1245=31,$AJ1245=41),"⑤短期","対象外")))))</f>
        <v>⑤短期</v>
      </c>
      <c r="DC1245" s="0" t="n">
        <f aca="false">IF($A1245="","",IF($AB1245&amp;""=設定!$C$4,1,0))</f>
        <v>1</v>
      </c>
    </row>
    <row r="1246" customFormat="false" ht="15" hidden="false" customHeight="false" outlineLevel="0" collapsed="false">
      <c r="A1246" s="0" t="n">
        <v>31</v>
      </c>
      <c r="AA1246" s="0" t="n">
        <v>21</v>
      </c>
      <c r="AB1246" s="0" t="s">
        <v>96</v>
      </c>
      <c r="AD1246" s="0" t="n">
        <v>0</v>
      </c>
      <c r="AE1246" s="0" t="s">
        <v>295</v>
      </c>
      <c r="AH1246" s="0" t="n">
        <v>11</v>
      </c>
      <c r="AJ1246" s="0" t="n">
        <v>41</v>
      </c>
      <c r="AP1246" s="0" t="n">
        <v>260000</v>
      </c>
      <c r="DB1246" s="0" t="str">
        <f aca="false">IF($A1246="","",IF($AH1246=20,IF(AND(OR($A1246=21,$A1246=215),$AJ1246=10),"①病院一般",IF(AND($A1246=31,$AJ1246=41),"②病院短期","対象外")),IF($AJ1246=30,"③特定消防",IF(AND(OR($A1246=21,$A1246=215),$AJ1246=10),"④一般",IF(AND($A1246=31,$AJ1246=41),"⑤短期","対象外")))))</f>
        <v>⑤短期</v>
      </c>
      <c r="DC1246" s="0" t="n">
        <f aca="false">IF($A1246="","",IF($AB1246&amp;""=設定!$C$4,1,0))</f>
        <v>1</v>
      </c>
    </row>
    <row r="1247" customFormat="false" ht="15" hidden="false" customHeight="false" outlineLevel="0" collapsed="false">
      <c r="A1247" s="0" t="n">
        <v>31</v>
      </c>
      <c r="AA1247" s="0" t="n">
        <v>21</v>
      </c>
      <c r="AB1247" s="0" t="s">
        <v>96</v>
      </c>
      <c r="AD1247" s="0" t="n">
        <v>0</v>
      </c>
      <c r="AE1247" s="0" t="s">
        <v>295</v>
      </c>
      <c r="AH1247" s="0" t="n">
        <v>11</v>
      </c>
      <c r="AJ1247" s="0" t="n">
        <v>41</v>
      </c>
      <c r="AP1247" s="0" t="n">
        <v>180000</v>
      </c>
      <c r="DB1247" s="0" t="str">
        <f aca="false">IF($A1247="","",IF($AH1247=20,IF(AND(OR($A1247=21,$A1247=215),$AJ1247=10),"①病院一般",IF(AND($A1247=31,$AJ1247=41),"②病院短期","対象外")),IF($AJ1247=30,"③特定消防",IF(AND(OR($A1247=21,$A1247=215),$AJ1247=10),"④一般",IF(AND($A1247=31,$AJ1247=41),"⑤短期","対象外")))))</f>
        <v>⑤短期</v>
      </c>
      <c r="DC1247" s="0" t="n">
        <f aca="false">IF($A1247="","",IF($AB1247&amp;""=設定!$C$4,1,0))</f>
        <v>1</v>
      </c>
    </row>
    <row r="1248" customFormat="false" ht="15" hidden="false" customHeight="false" outlineLevel="0" collapsed="false">
      <c r="A1248" s="0" t="n">
        <v>31</v>
      </c>
      <c r="AA1248" s="0" t="n">
        <v>21</v>
      </c>
      <c r="AB1248" s="0" t="s">
        <v>96</v>
      </c>
      <c r="AD1248" s="0" t="n">
        <v>0</v>
      </c>
      <c r="AE1248" s="0" t="s">
        <v>295</v>
      </c>
      <c r="AH1248" s="0" t="n">
        <v>11</v>
      </c>
      <c r="AJ1248" s="0" t="n">
        <v>41</v>
      </c>
      <c r="AP1248" s="0" t="n">
        <v>180000</v>
      </c>
      <c r="DB1248" s="0" t="str">
        <f aca="false">IF($A1248="","",IF($AH1248=20,IF(AND(OR($A1248=21,$A1248=215),$AJ1248=10),"①病院一般",IF(AND($A1248=31,$AJ1248=41),"②病院短期","対象外")),IF($AJ1248=30,"③特定消防",IF(AND(OR($A1248=21,$A1248=215),$AJ1248=10),"④一般",IF(AND($A1248=31,$AJ1248=41),"⑤短期","対象外")))))</f>
        <v>⑤短期</v>
      </c>
      <c r="DC1248" s="0" t="n">
        <f aca="false">IF($A1248="","",IF($AB1248&amp;""=設定!$C$4,1,0))</f>
        <v>1</v>
      </c>
    </row>
    <row r="1249" customFormat="false" ht="15" hidden="false" customHeight="false" outlineLevel="0" collapsed="false">
      <c r="A1249" s="0" t="n">
        <v>31</v>
      </c>
      <c r="AA1249" s="0" t="n">
        <v>21</v>
      </c>
      <c r="AB1249" s="0" t="s">
        <v>96</v>
      </c>
      <c r="AD1249" s="0" t="n">
        <v>0</v>
      </c>
      <c r="AE1249" s="0" t="s">
        <v>295</v>
      </c>
      <c r="AH1249" s="0" t="n">
        <v>11</v>
      </c>
      <c r="AJ1249" s="0" t="n">
        <v>41</v>
      </c>
      <c r="AP1249" s="0" t="n">
        <v>180000</v>
      </c>
      <c r="DB1249" s="0" t="str">
        <f aca="false">IF($A1249="","",IF($AH1249=20,IF(AND(OR($A1249=21,$A1249=215),$AJ1249=10),"①病院一般",IF(AND($A1249=31,$AJ1249=41),"②病院短期","対象外")),IF($AJ1249=30,"③特定消防",IF(AND(OR($A1249=21,$A1249=215),$AJ1249=10),"④一般",IF(AND($A1249=31,$AJ1249=41),"⑤短期","対象外")))))</f>
        <v>⑤短期</v>
      </c>
      <c r="DC1249" s="0" t="n">
        <f aca="false">IF($A1249="","",IF($AB1249&amp;""=設定!$C$4,1,0))</f>
        <v>1</v>
      </c>
    </row>
    <row r="1250" customFormat="false" ht="15" hidden="false" customHeight="false" outlineLevel="0" collapsed="false">
      <c r="A1250" s="0" t="n">
        <v>31</v>
      </c>
      <c r="AA1250" s="0" t="n">
        <v>21</v>
      </c>
      <c r="AB1250" s="0" t="s">
        <v>96</v>
      </c>
      <c r="AD1250" s="0" t="n">
        <v>0</v>
      </c>
      <c r="AE1250" s="0" t="s">
        <v>295</v>
      </c>
      <c r="AH1250" s="0" t="n">
        <v>11</v>
      </c>
      <c r="AJ1250" s="0" t="n">
        <v>41</v>
      </c>
      <c r="AP1250" s="0" t="n">
        <v>180000</v>
      </c>
      <c r="DB1250" s="0" t="str">
        <f aca="false">IF($A1250="","",IF($AH1250=20,IF(AND(OR($A1250=21,$A1250=215),$AJ1250=10),"①病院一般",IF(AND($A1250=31,$AJ1250=41),"②病院短期","対象外")),IF($AJ1250=30,"③特定消防",IF(AND(OR($A1250=21,$A1250=215),$AJ1250=10),"④一般",IF(AND($A1250=31,$AJ1250=41),"⑤短期","対象外")))))</f>
        <v>⑤短期</v>
      </c>
      <c r="DC1250" s="0" t="n">
        <f aca="false">IF($A1250="","",IF($AB1250&amp;""=設定!$C$4,1,0))</f>
        <v>1</v>
      </c>
    </row>
    <row r="1251" customFormat="false" ht="15" hidden="false" customHeight="false" outlineLevel="0" collapsed="false">
      <c r="A1251" s="0" t="n">
        <v>31</v>
      </c>
      <c r="AA1251" s="0" t="n">
        <v>21</v>
      </c>
      <c r="AB1251" s="0" t="s">
        <v>96</v>
      </c>
      <c r="AD1251" s="0" t="n">
        <v>0</v>
      </c>
      <c r="AE1251" s="0" t="s">
        <v>295</v>
      </c>
      <c r="AH1251" s="0" t="n">
        <v>11</v>
      </c>
      <c r="AJ1251" s="0" t="n">
        <v>41</v>
      </c>
      <c r="AP1251" s="0" t="n">
        <v>180000</v>
      </c>
      <c r="DB1251" s="0" t="str">
        <f aca="false">IF($A1251="","",IF($AH1251=20,IF(AND(OR($A1251=21,$A1251=215),$AJ1251=10),"①病院一般",IF(AND($A1251=31,$AJ1251=41),"②病院短期","対象外")),IF($AJ1251=30,"③特定消防",IF(AND(OR($A1251=21,$A1251=215),$AJ1251=10),"④一般",IF(AND($A1251=31,$AJ1251=41),"⑤短期","対象外")))))</f>
        <v>⑤短期</v>
      </c>
      <c r="DC1251" s="0" t="n">
        <f aca="false">IF($A1251="","",IF($AB1251&amp;""=設定!$C$4,1,0))</f>
        <v>1</v>
      </c>
    </row>
    <row r="1252" customFormat="false" ht="15" hidden="false" customHeight="false" outlineLevel="0" collapsed="false">
      <c r="A1252" s="0" t="n">
        <v>31</v>
      </c>
      <c r="AA1252" s="0" t="n">
        <v>21</v>
      </c>
      <c r="AB1252" s="0" t="s">
        <v>96</v>
      </c>
      <c r="AD1252" s="0" t="n">
        <v>0</v>
      </c>
      <c r="AE1252" s="0" t="s">
        <v>295</v>
      </c>
      <c r="AH1252" s="0" t="n">
        <v>11</v>
      </c>
      <c r="AJ1252" s="0" t="n">
        <v>41</v>
      </c>
      <c r="AP1252" s="0" t="n">
        <v>180000</v>
      </c>
      <c r="DB1252" s="0" t="str">
        <f aca="false">IF($A1252="","",IF($AH1252=20,IF(AND(OR($A1252=21,$A1252=215),$AJ1252=10),"①病院一般",IF(AND($A1252=31,$AJ1252=41),"②病院短期","対象外")),IF($AJ1252=30,"③特定消防",IF(AND(OR($A1252=21,$A1252=215),$AJ1252=10),"④一般",IF(AND($A1252=31,$AJ1252=41),"⑤短期","対象外")))))</f>
        <v>⑤短期</v>
      </c>
      <c r="DC1252" s="0" t="n">
        <f aca="false">IF($A1252="","",IF($AB1252&amp;""=設定!$C$4,1,0))</f>
        <v>1</v>
      </c>
    </row>
    <row r="1253" customFormat="false" ht="15" hidden="false" customHeight="false" outlineLevel="0" collapsed="false">
      <c r="A1253" s="0" t="n">
        <v>31</v>
      </c>
      <c r="AA1253" s="0" t="n">
        <v>21</v>
      </c>
      <c r="AB1253" s="0" t="s">
        <v>96</v>
      </c>
      <c r="AD1253" s="0" t="n">
        <v>0</v>
      </c>
      <c r="AE1253" s="0" t="s">
        <v>295</v>
      </c>
      <c r="AH1253" s="0" t="n">
        <v>11</v>
      </c>
      <c r="AJ1253" s="0" t="n">
        <v>41</v>
      </c>
      <c r="AP1253" s="0" t="n">
        <v>200000</v>
      </c>
      <c r="DB1253" s="0" t="str">
        <f aca="false">IF($A1253="","",IF($AH1253=20,IF(AND(OR($A1253=21,$A1253=215),$AJ1253=10),"①病院一般",IF(AND($A1253=31,$AJ1253=41),"②病院短期","対象外")),IF($AJ1253=30,"③特定消防",IF(AND(OR($A1253=21,$A1253=215),$AJ1253=10),"④一般",IF(AND($A1253=31,$AJ1253=41),"⑤短期","対象外")))))</f>
        <v>⑤短期</v>
      </c>
      <c r="DC1253" s="0" t="n">
        <f aca="false">IF($A1253="","",IF($AB1253&amp;""=設定!$C$4,1,0))</f>
        <v>1</v>
      </c>
    </row>
    <row r="1254" customFormat="false" ht="15" hidden="false" customHeight="false" outlineLevel="0" collapsed="false">
      <c r="A1254" s="0" t="n">
        <v>31</v>
      </c>
      <c r="AA1254" s="0" t="n">
        <v>21</v>
      </c>
      <c r="AB1254" s="0" t="s">
        <v>96</v>
      </c>
      <c r="AD1254" s="0" t="n">
        <v>0</v>
      </c>
      <c r="AE1254" s="0" t="s">
        <v>295</v>
      </c>
      <c r="AH1254" s="0" t="n">
        <v>11</v>
      </c>
      <c r="AJ1254" s="0" t="n">
        <v>41</v>
      </c>
      <c r="AP1254" s="0" t="n">
        <v>134000</v>
      </c>
      <c r="DB1254" s="0" t="str">
        <f aca="false">IF($A1254="","",IF($AH1254=20,IF(AND(OR($A1254=21,$A1254=215),$AJ1254=10),"①病院一般",IF(AND($A1254=31,$AJ1254=41),"②病院短期","対象外")),IF($AJ1254=30,"③特定消防",IF(AND(OR($A1254=21,$A1254=215),$AJ1254=10),"④一般",IF(AND($A1254=31,$AJ1254=41),"⑤短期","対象外")))))</f>
        <v>⑤短期</v>
      </c>
      <c r="DC1254" s="0" t="n">
        <f aca="false">IF($A1254="","",IF($AB1254&amp;""=設定!$C$4,1,0))</f>
        <v>1</v>
      </c>
    </row>
    <row r="1255" customFormat="false" ht="15" hidden="false" customHeight="false" outlineLevel="0" collapsed="false">
      <c r="A1255" s="0" t="n">
        <v>31</v>
      </c>
      <c r="AA1255" s="0" t="n">
        <v>21</v>
      </c>
      <c r="AB1255" s="0" t="s">
        <v>96</v>
      </c>
      <c r="AD1255" s="0" t="n">
        <v>0</v>
      </c>
      <c r="AE1255" s="0" t="s">
        <v>295</v>
      </c>
      <c r="AH1255" s="0" t="n">
        <v>1</v>
      </c>
      <c r="AJ1255" s="0" t="n">
        <v>41</v>
      </c>
      <c r="AP1255" s="0" t="n">
        <v>180000</v>
      </c>
      <c r="DB1255" s="0" t="str">
        <f aca="false">IF($A1255="","",IF($AH1255=20,IF(AND(OR($A1255=21,$A1255=215),$AJ1255=10),"①病院一般",IF(AND($A1255=31,$AJ1255=41),"②病院短期","対象外")),IF($AJ1255=30,"③特定消防",IF(AND(OR($A1255=21,$A1255=215),$AJ1255=10),"④一般",IF(AND($A1255=31,$AJ1255=41),"⑤短期","対象外")))))</f>
        <v>⑤短期</v>
      </c>
      <c r="DC1255" s="0" t="n">
        <f aca="false">IF($A1255="","",IF($AB1255&amp;""=設定!$C$4,1,0))</f>
        <v>1</v>
      </c>
    </row>
    <row r="1256" customFormat="false" ht="15" hidden="false" customHeight="false" outlineLevel="0" collapsed="false">
      <c r="A1256" s="0" t="n">
        <v>31</v>
      </c>
      <c r="AA1256" s="0" t="n">
        <v>21</v>
      </c>
      <c r="AB1256" s="0" t="s">
        <v>96</v>
      </c>
      <c r="AD1256" s="0" t="n">
        <v>0</v>
      </c>
      <c r="AE1256" s="0" t="s">
        <v>295</v>
      </c>
      <c r="AH1256" s="0" t="n">
        <v>11</v>
      </c>
      <c r="AJ1256" s="0" t="n">
        <v>41</v>
      </c>
      <c r="AP1256" s="0" t="n">
        <v>190000</v>
      </c>
      <c r="DB1256" s="0" t="str">
        <f aca="false">IF($A1256="","",IF($AH1256=20,IF(AND(OR($A1256=21,$A1256=215),$AJ1256=10),"①病院一般",IF(AND($A1256=31,$AJ1256=41),"②病院短期","対象外")),IF($AJ1256=30,"③特定消防",IF(AND(OR($A1256=21,$A1256=215),$AJ1256=10),"④一般",IF(AND($A1256=31,$AJ1256=41),"⑤短期","対象外")))))</f>
        <v>⑤短期</v>
      </c>
      <c r="DC1256" s="0" t="n">
        <f aca="false">IF($A1256="","",IF($AB1256&amp;""=設定!$C$4,1,0))</f>
        <v>1</v>
      </c>
    </row>
    <row r="1257" customFormat="false" ht="15" hidden="false" customHeight="false" outlineLevel="0" collapsed="false">
      <c r="A1257" s="0" t="n">
        <v>31</v>
      </c>
      <c r="AA1257" s="0" t="n">
        <v>21</v>
      </c>
      <c r="AB1257" s="0" t="s">
        <v>96</v>
      </c>
      <c r="AD1257" s="0" t="n">
        <v>0</v>
      </c>
      <c r="AE1257" s="0" t="s">
        <v>295</v>
      </c>
      <c r="AH1257" s="0" t="n">
        <v>11</v>
      </c>
      <c r="AJ1257" s="0" t="n">
        <v>41</v>
      </c>
      <c r="AP1257" s="0" t="n">
        <v>180000</v>
      </c>
      <c r="DB1257" s="0" t="str">
        <f aca="false">IF($A1257="","",IF($AH1257=20,IF(AND(OR($A1257=21,$A1257=215),$AJ1257=10),"①病院一般",IF(AND($A1257=31,$AJ1257=41),"②病院短期","対象外")),IF($AJ1257=30,"③特定消防",IF(AND(OR($A1257=21,$A1257=215),$AJ1257=10),"④一般",IF(AND($A1257=31,$AJ1257=41),"⑤短期","対象外")))))</f>
        <v>⑤短期</v>
      </c>
      <c r="DC1257" s="0" t="n">
        <f aca="false">IF($A1257="","",IF($AB1257&amp;""=設定!$C$4,1,0))</f>
        <v>1</v>
      </c>
    </row>
    <row r="1258" customFormat="false" ht="15" hidden="false" customHeight="false" outlineLevel="0" collapsed="false">
      <c r="A1258" s="0" t="n">
        <v>31</v>
      </c>
      <c r="AA1258" s="0" t="n">
        <v>21</v>
      </c>
      <c r="AB1258" s="0" t="s">
        <v>96</v>
      </c>
      <c r="AD1258" s="0" t="n">
        <v>0</v>
      </c>
      <c r="AE1258" s="0" t="s">
        <v>295</v>
      </c>
      <c r="AH1258" s="0" t="n">
        <v>1</v>
      </c>
      <c r="AJ1258" s="0" t="n">
        <v>41</v>
      </c>
      <c r="AP1258" s="0" t="n">
        <v>190000</v>
      </c>
      <c r="DB1258" s="0" t="str">
        <f aca="false">IF($A1258="","",IF($AH1258=20,IF(AND(OR($A1258=21,$A1258=215),$AJ1258=10),"①病院一般",IF(AND($A1258=31,$AJ1258=41),"②病院短期","対象外")),IF($AJ1258=30,"③特定消防",IF(AND(OR($A1258=21,$A1258=215),$AJ1258=10),"④一般",IF(AND($A1258=31,$AJ1258=41),"⑤短期","対象外")))))</f>
        <v>⑤短期</v>
      </c>
      <c r="DC1258" s="0" t="n">
        <f aca="false">IF($A1258="","",IF($AB1258&amp;""=設定!$C$4,1,0))</f>
        <v>1</v>
      </c>
    </row>
    <row r="1259" customFormat="false" ht="15" hidden="false" customHeight="false" outlineLevel="0" collapsed="false">
      <c r="A1259" s="0" t="n">
        <v>31</v>
      </c>
      <c r="AA1259" s="0" t="n">
        <v>21</v>
      </c>
      <c r="AB1259" s="0" t="s">
        <v>96</v>
      </c>
      <c r="AD1259" s="0" t="n">
        <v>12</v>
      </c>
      <c r="AE1259" s="0" t="s">
        <v>294</v>
      </c>
      <c r="AH1259" s="0" t="n">
        <v>1</v>
      </c>
      <c r="AJ1259" s="0" t="n">
        <v>41</v>
      </c>
      <c r="AP1259" s="0" t="n">
        <v>134000</v>
      </c>
      <c r="DB1259" s="0" t="str">
        <f aca="false">IF($A1259="","",IF($AH1259=20,IF(AND(OR($A1259=21,$A1259=215),$AJ1259=10),"①病院一般",IF(AND($A1259=31,$AJ1259=41),"②病院短期","対象外")),IF($AJ1259=30,"③特定消防",IF(AND(OR($A1259=21,$A1259=215),$AJ1259=10),"④一般",IF(AND($A1259=31,$AJ1259=41),"⑤短期","対象外")))))</f>
        <v>⑤短期</v>
      </c>
      <c r="DC1259" s="0" t="n">
        <f aca="false">IF($A1259="","",IF($AB1259&amp;""=設定!$C$4,1,0))</f>
        <v>1</v>
      </c>
    </row>
    <row r="1260" customFormat="false" ht="15" hidden="false" customHeight="false" outlineLevel="0" collapsed="false">
      <c r="A1260" s="0" t="n">
        <v>31</v>
      </c>
      <c r="AA1260" s="0" t="n">
        <v>21</v>
      </c>
      <c r="AB1260" s="0" t="s">
        <v>96</v>
      </c>
      <c r="AD1260" s="0" t="n">
        <v>0</v>
      </c>
      <c r="AE1260" s="0" t="s">
        <v>295</v>
      </c>
      <c r="AH1260" s="0" t="n">
        <v>1</v>
      </c>
      <c r="AJ1260" s="0" t="n">
        <v>41</v>
      </c>
      <c r="AP1260" s="0" t="n">
        <v>134000</v>
      </c>
      <c r="DB1260" s="0" t="str">
        <f aca="false">IF($A1260="","",IF($AH1260=20,IF(AND(OR($A1260=21,$A1260=215),$AJ1260=10),"①病院一般",IF(AND($A1260=31,$AJ1260=41),"②病院短期","対象外")),IF($AJ1260=30,"③特定消防",IF(AND(OR($A1260=21,$A1260=215),$AJ1260=10),"④一般",IF(AND($A1260=31,$AJ1260=41),"⑤短期","対象外")))))</f>
        <v>⑤短期</v>
      </c>
      <c r="DC1260" s="0" t="n">
        <f aca="false">IF($A1260="","",IF($AB1260&amp;""=設定!$C$4,1,0))</f>
        <v>1</v>
      </c>
    </row>
    <row r="1261" customFormat="false" ht="15" hidden="false" customHeight="false" outlineLevel="0" collapsed="false">
      <c r="A1261" s="0" t="n">
        <v>31</v>
      </c>
      <c r="AA1261" s="0" t="n">
        <v>21</v>
      </c>
      <c r="AB1261" s="0" t="s">
        <v>96</v>
      </c>
      <c r="AD1261" s="0" t="n">
        <v>0</v>
      </c>
      <c r="AE1261" s="0" t="s">
        <v>295</v>
      </c>
      <c r="AH1261" s="0" t="n">
        <v>1</v>
      </c>
      <c r="AJ1261" s="0" t="n">
        <v>41</v>
      </c>
      <c r="AP1261" s="0" t="n">
        <v>200000</v>
      </c>
      <c r="DB1261" s="0" t="str">
        <f aca="false">IF($A1261="","",IF($AH1261=20,IF(AND(OR($A1261=21,$A1261=215),$AJ1261=10),"①病院一般",IF(AND($A1261=31,$AJ1261=41),"②病院短期","対象外")),IF($AJ1261=30,"③特定消防",IF(AND(OR($A1261=21,$A1261=215),$AJ1261=10),"④一般",IF(AND($A1261=31,$AJ1261=41),"⑤短期","対象外")))))</f>
        <v>⑤短期</v>
      </c>
      <c r="DC1261" s="0" t="n">
        <f aca="false">IF($A1261="","",IF($AB1261&amp;""=設定!$C$4,1,0))</f>
        <v>1</v>
      </c>
    </row>
    <row r="1262" customFormat="false" ht="15" hidden="false" customHeight="false" outlineLevel="0" collapsed="false">
      <c r="A1262" s="0" t="n">
        <v>31</v>
      </c>
      <c r="AA1262" s="0" t="n">
        <v>21</v>
      </c>
      <c r="AB1262" s="0" t="s">
        <v>96</v>
      </c>
      <c r="AD1262" s="0" t="n">
        <v>0</v>
      </c>
      <c r="AE1262" s="0" t="s">
        <v>295</v>
      </c>
      <c r="AH1262" s="0" t="n">
        <v>1</v>
      </c>
      <c r="AJ1262" s="0" t="n">
        <v>41</v>
      </c>
      <c r="AP1262" s="0" t="n">
        <v>200000</v>
      </c>
      <c r="DB1262" s="0" t="str">
        <f aca="false">IF($A1262="","",IF($AH1262=20,IF(AND(OR($A1262=21,$A1262=215),$AJ1262=10),"①病院一般",IF(AND($A1262=31,$AJ1262=41),"②病院短期","対象外")),IF($AJ1262=30,"③特定消防",IF(AND(OR($A1262=21,$A1262=215),$AJ1262=10),"④一般",IF(AND($A1262=31,$AJ1262=41),"⑤短期","対象外")))))</f>
        <v>⑤短期</v>
      </c>
      <c r="DC1262" s="0" t="n">
        <f aca="false">IF($A1262="","",IF($AB1262&amp;""=設定!$C$4,1,0))</f>
        <v>1</v>
      </c>
    </row>
    <row r="1263" customFormat="false" ht="15" hidden="false" customHeight="false" outlineLevel="0" collapsed="false">
      <c r="A1263" s="0" t="n">
        <v>31</v>
      </c>
      <c r="AA1263" s="0" t="n">
        <v>21</v>
      </c>
      <c r="AB1263" s="0" t="s">
        <v>96</v>
      </c>
      <c r="AD1263" s="0" t="n">
        <v>0</v>
      </c>
      <c r="AE1263" s="0" t="s">
        <v>295</v>
      </c>
      <c r="AH1263" s="0" t="n">
        <v>1</v>
      </c>
      <c r="AJ1263" s="0" t="n">
        <v>41</v>
      </c>
      <c r="AP1263" s="0" t="n">
        <v>142000</v>
      </c>
      <c r="DB1263" s="0" t="str">
        <f aca="false">IF($A1263="","",IF($AH1263=20,IF(AND(OR($A1263=21,$A1263=215),$AJ1263=10),"①病院一般",IF(AND($A1263=31,$AJ1263=41),"②病院短期","対象外")),IF($AJ1263=30,"③特定消防",IF(AND(OR($A1263=21,$A1263=215),$AJ1263=10),"④一般",IF(AND($A1263=31,$AJ1263=41),"⑤短期","対象外")))))</f>
        <v>⑤短期</v>
      </c>
      <c r="DC1263" s="0" t="n">
        <f aca="false">IF($A1263="","",IF($AB1263&amp;""=設定!$C$4,1,0))</f>
        <v>1</v>
      </c>
    </row>
    <row r="1264" customFormat="false" ht="15" hidden="false" customHeight="false" outlineLevel="0" collapsed="false">
      <c r="A1264" s="0" t="n">
        <v>31</v>
      </c>
      <c r="AA1264" s="0" t="n">
        <v>21</v>
      </c>
      <c r="AB1264" s="0" t="s">
        <v>96</v>
      </c>
      <c r="AD1264" s="0" t="n">
        <v>0</v>
      </c>
      <c r="AE1264" s="0" t="s">
        <v>295</v>
      </c>
      <c r="AH1264" s="0" t="n">
        <v>1</v>
      </c>
      <c r="AJ1264" s="0" t="n">
        <v>41</v>
      </c>
      <c r="AP1264" s="0" t="n">
        <v>142000</v>
      </c>
      <c r="DB1264" s="0" t="str">
        <f aca="false">IF($A1264="","",IF($AH1264=20,IF(AND(OR($A1264=21,$A1264=215),$AJ1264=10),"①病院一般",IF(AND($A1264=31,$AJ1264=41),"②病院短期","対象外")),IF($AJ1264=30,"③特定消防",IF(AND(OR($A1264=21,$A1264=215),$AJ1264=10),"④一般",IF(AND($A1264=31,$AJ1264=41),"⑤短期","対象外")))))</f>
        <v>⑤短期</v>
      </c>
      <c r="DC1264" s="0" t="n">
        <f aca="false">IF($A1264="","",IF($AB1264&amp;""=設定!$C$4,1,0))</f>
        <v>1</v>
      </c>
    </row>
    <row r="1265" customFormat="false" ht="15" hidden="false" customHeight="false" outlineLevel="0" collapsed="false">
      <c r="A1265" s="0" t="n">
        <v>31</v>
      </c>
      <c r="AA1265" s="0" t="n">
        <v>21</v>
      </c>
      <c r="AB1265" s="0" t="s">
        <v>96</v>
      </c>
      <c r="AD1265" s="0" t="n">
        <v>0</v>
      </c>
      <c r="AE1265" s="0" t="s">
        <v>295</v>
      </c>
      <c r="AH1265" s="0" t="n">
        <v>1</v>
      </c>
      <c r="AJ1265" s="0" t="n">
        <v>41</v>
      </c>
      <c r="AP1265" s="0" t="n">
        <v>200000</v>
      </c>
      <c r="DB1265" s="0" t="str">
        <f aca="false">IF($A1265="","",IF($AH1265=20,IF(AND(OR($A1265=21,$A1265=215),$AJ1265=10),"①病院一般",IF(AND($A1265=31,$AJ1265=41),"②病院短期","対象外")),IF($AJ1265=30,"③特定消防",IF(AND(OR($A1265=21,$A1265=215),$AJ1265=10),"④一般",IF(AND($A1265=31,$AJ1265=41),"⑤短期","対象外")))))</f>
        <v>⑤短期</v>
      </c>
      <c r="DC1265" s="0" t="n">
        <f aca="false">IF($A1265="","",IF($AB1265&amp;""=設定!$C$4,1,0))</f>
        <v>1</v>
      </c>
    </row>
    <row r="1266" customFormat="false" ht="15" hidden="false" customHeight="false" outlineLevel="0" collapsed="false">
      <c r="A1266" s="0" t="n">
        <v>31</v>
      </c>
      <c r="AA1266" s="0" t="n">
        <v>21</v>
      </c>
      <c r="AB1266" s="0" t="s">
        <v>96</v>
      </c>
      <c r="AD1266" s="0" t="n">
        <v>0</v>
      </c>
      <c r="AE1266" s="0" t="s">
        <v>295</v>
      </c>
      <c r="AH1266" s="0" t="n">
        <v>1</v>
      </c>
      <c r="AJ1266" s="0" t="n">
        <v>41</v>
      </c>
      <c r="AP1266" s="0" t="n">
        <v>134000</v>
      </c>
      <c r="DB1266" s="0" t="str">
        <f aca="false">IF($A1266="","",IF($AH1266=20,IF(AND(OR($A1266=21,$A1266=215),$AJ1266=10),"①病院一般",IF(AND($A1266=31,$AJ1266=41),"②病院短期","対象外")),IF($AJ1266=30,"③特定消防",IF(AND(OR($A1266=21,$A1266=215),$AJ1266=10),"④一般",IF(AND($A1266=31,$AJ1266=41),"⑤短期","対象外")))))</f>
        <v>⑤短期</v>
      </c>
      <c r="DC1266" s="0" t="n">
        <f aca="false">IF($A1266="","",IF($AB1266&amp;""=設定!$C$4,1,0))</f>
        <v>1</v>
      </c>
    </row>
    <row r="1267" customFormat="false" ht="15" hidden="false" customHeight="false" outlineLevel="0" collapsed="false">
      <c r="A1267" s="0" t="n">
        <v>31</v>
      </c>
      <c r="AA1267" s="0" t="n">
        <v>21</v>
      </c>
      <c r="AB1267" s="0" t="s">
        <v>96</v>
      </c>
      <c r="AD1267" s="0" t="n">
        <v>0</v>
      </c>
      <c r="AE1267" s="0" t="s">
        <v>295</v>
      </c>
      <c r="AH1267" s="0" t="n">
        <v>1</v>
      </c>
      <c r="AJ1267" s="0" t="n">
        <v>41</v>
      </c>
      <c r="AP1267" s="0" t="n">
        <v>134000</v>
      </c>
      <c r="DB1267" s="0" t="str">
        <f aca="false">IF($A1267="","",IF($AH1267=20,IF(AND(OR($A1267=21,$A1267=215),$AJ1267=10),"①病院一般",IF(AND($A1267=31,$AJ1267=41),"②病院短期","対象外")),IF($AJ1267=30,"③特定消防",IF(AND(OR($A1267=21,$A1267=215),$AJ1267=10),"④一般",IF(AND($A1267=31,$AJ1267=41),"⑤短期","対象外")))))</f>
        <v>⑤短期</v>
      </c>
      <c r="DC1267" s="0" t="n">
        <f aca="false">IF($A1267="","",IF($AB1267&amp;""=設定!$C$4,1,0))</f>
        <v>1</v>
      </c>
    </row>
    <row r="1268" customFormat="false" ht="15" hidden="false" customHeight="false" outlineLevel="0" collapsed="false">
      <c r="A1268" s="0" t="n">
        <v>31</v>
      </c>
      <c r="AA1268" s="0" t="n">
        <v>21</v>
      </c>
      <c r="AB1268" s="0" t="s">
        <v>96</v>
      </c>
      <c r="AD1268" s="0" t="n">
        <v>0</v>
      </c>
      <c r="AE1268" s="0" t="s">
        <v>295</v>
      </c>
      <c r="AH1268" s="0" t="n">
        <v>1</v>
      </c>
      <c r="AJ1268" s="0" t="n">
        <v>41</v>
      </c>
      <c r="AP1268" s="0" t="n">
        <v>200000</v>
      </c>
      <c r="DB1268" s="0" t="str">
        <f aca="false">IF($A1268="","",IF($AH1268=20,IF(AND(OR($A1268=21,$A1268=215),$AJ1268=10),"①病院一般",IF(AND($A1268=31,$AJ1268=41),"②病院短期","対象外")),IF($AJ1268=30,"③特定消防",IF(AND(OR($A1268=21,$A1268=215),$AJ1268=10),"④一般",IF(AND($A1268=31,$AJ1268=41),"⑤短期","対象外")))))</f>
        <v>⑤短期</v>
      </c>
      <c r="DC1268" s="0" t="n">
        <f aca="false">IF($A1268="","",IF($AB1268&amp;""=設定!$C$4,1,0))</f>
        <v>1</v>
      </c>
    </row>
    <row r="1269" customFormat="false" ht="15" hidden="false" customHeight="false" outlineLevel="0" collapsed="false">
      <c r="A1269" s="0" t="n">
        <v>31</v>
      </c>
      <c r="AA1269" s="0" t="n">
        <v>21</v>
      </c>
      <c r="AB1269" s="0" t="s">
        <v>96</v>
      </c>
      <c r="AD1269" s="0" t="n">
        <v>0</v>
      </c>
      <c r="AE1269" s="0" t="s">
        <v>295</v>
      </c>
      <c r="AH1269" s="0" t="n">
        <v>1</v>
      </c>
      <c r="AJ1269" s="0" t="n">
        <v>41</v>
      </c>
      <c r="AP1269" s="0" t="n">
        <v>160000</v>
      </c>
      <c r="DB1269" s="0" t="str">
        <f aca="false">IF($A1269="","",IF($AH1269=20,IF(AND(OR($A1269=21,$A1269=215),$AJ1269=10),"①病院一般",IF(AND($A1269=31,$AJ1269=41),"②病院短期","対象外")),IF($AJ1269=30,"③特定消防",IF(AND(OR($A1269=21,$A1269=215),$AJ1269=10),"④一般",IF(AND($A1269=31,$AJ1269=41),"⑤短期","対象外")))))</f>
        <v>⑤短期</v>
      </c>
      <c r="DC1269" s="0" t="n">
        <f aca="false">IF($A1269="","",IF($AB1269&amp;""=設定!$C$4,1,0))</f>
        <v>1</v>
      </c>
    </row>
    <row r="1270" customFormat="false" ht="15" hidden="false" customHeight="false" outlineLevel="0" collapsed="false">
      <c r="A1270" s="0" t="n">
        <v>31</v>
      </c>
      <c r="AA1270" s="0" t="n">
        <v>21</v>
      </c>
      <c r="AB1270" s="0" t="s">
        <v>96</v>
      </c>
      <c r="AD1270" s="0" t="n">
        <v>0</v>
      </c>
      <c r="AE1270" s="0" t="s">
        <v>295</v>
      </c>
      <c r="AH1270" s="0" t="n">
        <v>1</v>
      </c>
      <c r="AJ1270" s="0" t="n">
        <v>41</v>
      </c>
      <c r="AP1270" s="0" t="n">
        <v>142000</v>
      </c>
      <c r="DB1270" s="0" t="str">
        <f aca="false">IF($A1270="","",IF($AH1270=20,IF(AND(OR($A1270=21,$A1270=215),$AJ1270=10),"①病院一般",IF(AND($A1270=31,$AJ1270=41),"②病院短期","対象外")),IF($AJ1270=30,"③特定消防",IF(AND(OR($A1270=21,$A1270=215),$AJ1270=10),"④一般",IF(AND($A1270=31,$AJ1270=41),"⑤短期","対象外")))))</f>
        <v>⑤短期</v>
      </c>
      <c r="DC1270" s="0" t="n">
        <f aca="false">IF($A1270="","",IF($AB1270&amp;""=設定!$C$4,1,0))</f>
        <v>1</v>
      </c>
    </row>
    <row r="1271" customFormat="false" ht="15" hidden="false" customHeight="false" outlineLevel="0" collapsed="false">
      <c r="A1271" s="0" t="n">
        <v>31</v>
      </c>
      <c r="AA1271" s="0" t="n">
        <v>21</v>
      </c>
      <c r="AB1271" s="0" t="s">
        <v>96</v>
      </c>
      <c r="AD1271" s="0" t="n">
        <v>12</v>
      </c>
      <c r="AE1271" s="0" t="s">
        <v>296</v>
      </c>
      <c r="AH1271" s="0" t="n">
        <v>1</v>
      </c>
      <c r="AJ1271" s="0" t="n">
        <v>41</v>
      </c>
      <c r="AP1271" s="0" t="n">
        <v>142000</v>
      </c>
      <c r="DB1271" s="0" t="str">
        <f aca="false">IF($A1271="","",IF($AH1271=20,IF(AND(OR($A1271=21,$A1271=215),$AJ1271=10),"①病院一般",IF(AND($A1271=31,$AJ1271=41),"②病院短期","対象外")),IF($AJ1271=30,"③特定消防",IF(AND(OR($A1271=21,$A1271=215),$AJ1271=10),"④一般",IF(AND($A1271=31,$AJ1271=41),"⑤短期","対象外")))))</f>
        <v>⑤短期</v>
      </c>
      <c r="DC1271" s="0" t="n">
        <f aca="false">IF($A1271="","",IF($AB1271&amp;""=設定!$C$4,1,0))</f>
        <v>1</v>
      </c>
    </row>
    <row r="1272" customFormat="false" ht="15" hidden="false" customHeight="false" outlineLevel="0" collapsed="false">
      <c r="A1272" s="0" t="n">
        <v>31</v>
      </c>
      <c r="AA1272" s="0" t="n">
        <v>21</v>
      </c>
      <c r="AB1272" s="0" t="s">
        <v>96</v>
      </c>
      <c r="AD1272" s="0" t="n">
        <v>0</v>
      </c>
      <c r="AE1272" s="0" t="s">
        <v>295</v>
      </c>
      <c r="AH1272" s="0" t="n">
        <v>1</v>
      </c>
      <c r="AJ1272" s="0" t="n">
        <v>41</v>
      </c>
      <c r="AP1272" s="0" t="n">
        <v>200000</v>
      </c>
      <c r="DB1272" s="0" t="str">
        <f aca="false">IF($A1272="","",IF($AH1272=20,IF(AND(OR($A1272=21,$A1272=215),$AJ1272=10),"①病院一般",IF(AND($A1272=31,$AJ1272=41),"②病院短期","対象外")),IF($AJ1272=30,"③特定消防",IF(AND(OR($A1272=21,$A1272=215),$AJ1272=10),"④一般",IF(AND($A1272=31,$AJ1272=41),"⑤短期","対象外")))))</f>
        <v>⑤短期</v>
      </c>
      <c r="DC1272" s="0" t="n">
        <f aca="false">IF($A1272="","",IF($AB1272&amp;""=設定!$C$4,1,0))</f>
        <v>1</v>
      </c>
    </row>
    <row r="1273" customFormat="false" ht="15" hidden="false" customHeight="false" outlineLevel="0" collapsed="false">
      <c r="A1273" s="0" t="n">
        <v>31</v>
      </c>
      <c r="AA1273" s="0" t="n">
        <v>21</v>
      </c>
      <c r="AB1273" s="0" t="s">
        <v>96</v>
      </c>
      <c r="AD1273" s="0" t="n">
        <v>0</v>
      </c>
      <c r="AE1273" s="0" t="s">
        <v>295</v>
      </c>
      <c r="AH1273" s="0" t="n">
        <v>1</v>
      </c>
      <c r="AJ1273" s="0" t="n">
        <v>41</v>
      </c>
      <c r="AP1273" s="0" t="n">
        <v>126000</v>
      </c>
      <c r="DB1273" s="0" t="str">
        <f aca="false">IF($A1273="","",IF($AH1273=20,IF(AND(OR($A1273=21,$A1273=215),$AJ1273=10),"①病院一般",IF(AND($A1273=31,$AJ1273=41),"②病院短期","対象外")),IF($AJ1273=30,"③特定消防",IF(AND(OR($A1273=21,$A1273=215),$AJ1273=10),"④一般",IF(AND($A1273=31,$AJ1273=41),"⑤短期","対象外")))))</f>
        <v>⑤短期</v>
      </c>
      <c r="DC1273" s="0" t="n">
        <f aca="false">IF($A1273="","",IF($AB1273&amp;""=設定!$C$4,1,0))</f>
        <v>1</v>
      </c>
    </row>
    <row r="1274" customFormat="false" ht="15" hidden="false" customHeight="false" outlineLevel="0" collapsed="false">
      <c r="A1274" s="0" t="n">
        <v>31</v>
      </c>
      <c r="AA1274" s="0" t="n">
        <v>21</v>
      </c>
      <c r="AB1274" s="0" t="s">
        <v>96</v>
      </c>
      <c r="AD1274" s="0" t="n">
        <v>0</v>
      </c>
      <c r="AE1274" s="0" t="s">
        <v>295</v>
      </c>
      <c r="AH1274" s="0" t="n">
        <v>1</v>
      </c>
      <c r="AJ1274" s="0" t="n">
        <v>41</v>
      </c>
      <c r="AP1274" s="0" t="n">
        <v>142000</v>
      </c>
      <c r="DB1274" s="0" t="str">
        <f aca="false">IF($A1274="","",IF($AH1274=20,IF(AND(OR($A1274=21,$A1274=215),$AJ1274=10),"①病院一般",IF(AND($A1274=31,$AJ1274=41),"②病院短期","対象外")),IF($AJ1274=30,"③特定消防",IF(AND(OR($A1274=21,$A1274=215),$AJ1274=10),"④一般",IF(AND($A1274=31,$AJ1274=41),"⑤短期","対象外")))))</f>
        <v>⑤短期</v>
      </c>
      <c r="DC1274" s="0" t="n">
        <f aca="false">IF($A1274="","",IF($AB1274&amp;""=設定!$C$4,1,0))</f>
        <v>1</v>
      </c>
    </row>
    <row r="1275" customFormat="false" ht="15" hidden="false" customHeight="false" outlineLevel="0" collapsed="false">
      <c r="A1275" s="0" t="n">
        <v>31</v>
      </c>
      <c r="AA1275" s="0" t="n">
        <v>21</v>
      </c>
      <c r="AB1275" s="0" t="s">
        <v>96</v>
      </c>
      <c r="AD1275" s="0" t="n">
        <v>0</v>
      </c>
      <c r="AE1275" s="0" t="s">
        <v>295</v>
      </c>
      <c r="AH1275" s="0" t="n">
        <v>11</v>
      </c>
      <c r="AJ1275" s="0" t="n">
        <v>41</v>
      </c>
      <c r="AP1275" s="0" t="n">
        <v>200000</v>
      </c>
      <c r="DB1275" s="0" t="str">
        <f aca="false">IF($A1275="","",IF($AH1275=20,IF(AND(OR($A1275=21,$A1275=215),$AJ1275=10),"①病院一般",IF(AND($A1275=31,$AJ1275=41),"②病院短期","対象外")),IF($AJ1275=30,"③特定消防",IF(AND(OR($A1275=21,$A1275=215),$AJ1275=10),"④一般",IF(AND($A1275=31,$AJ1275=41),"⑤短期","対象外")))))</f>
        <v>⑤短期</v>
      </c>
      <c r="DC1275" s="0" t="n">
        <f aca="false">IF($A1275="","",IF($AB1275&amp;""=設定!$C$4,1,0))</f>
        <v>1</v>
      </c>
    </row>
    <row r="1276" customFormat="false" ht="15" hidden="false" customHeight="false" outlineLevel="0" collapsed="false">
      <c r="A1276" s="0" t="n">
        <v>31</v>
      </c>
      <c r="AA1276" s="0" t="n">
        <v>21</v>
      </c>
      <c r="AB1276" s="0" t="s">
        <v>96</v>
      </c>
      <c r="AD1276" s="0" t="n">
        <v>0</v>
      </c>
      <c r="AE1276" s="0" t="s">
        <v>295</v>
      </c>
      <c r="AH1276" s="0" t="n">
        <v>1</v>
      </c>
      <c r="AJ1276" s="0" t="n">
        <v>41</v>
      </c>
      <c r="AP1276" s="0" t="n">
        <v>200000</v>
      </c>
      <c r="DB1276" s="0" t="str">
        <f aca="false">IF($A1276="","",IF($AH1276=20,IF(AND(OR($A1276=21,$A1276=215),$AJ1276=10),"①病院一般",IF(AND($A1276=31,$AJ1276=41),"②病院短期","対象外")),IF($AJ1276=30,"③特定消防",IF(AND(OR($A1276=21,$A1276=215),$AJ1276=10),"④一般",IF(AND($A1276=31,$AJ1276=41),"⑤短期","対象外")))))</f>
        <v>⑤短期</v>
      </c>
      <c r="DC1276" s="0" t="n">
        <f aca="false">IF($A1276="","",IF($AB1276&amp;""=設定!$C$4,1,0))</f>
        <v>1</v>
      </c>
    </row>
    <row r="1277" customFormat="false" ht="15" hidden="false" customHeight="false" outlineLevel="0" collapsed="false">
      <c r="A1277" s="0" t="n">
        <v>31</v>
      </c>
      <c r="AA1277" s="0" t="n">
        <v>21</v>
      </c>
      <c r="AB1277" s="0" t="s">
        <v>96</v>
      </c>
      <c r="AD1277" s="0" t="n">
        <v>0</v>
      </c>
      <c r="AE1277" s="0" t="s">
        <v>295</v>
      </c>
      <c r="AH1277" s="0" t="n">
        <v>1</v>
      </c>
      <c r="AJ1277" s="0" t="n">
        <v>41</v>
      </c>
      <c r="AP1277" s="0" t="n">
        <v>142000</v>
      </c>
      <c r="DB1277" s="0" t="str">
        <f aca="false">IF($A1277="","",IF($AH1277=20,IF(AND(OR($A1277=21,$A1277=215),$AJ1277=10),"①病院一般",IF(AND($A1277=31,$AJ1277=41),"②病院短期","対象外")),IF($AJ1277=30,"③特定消防",IF(AND(OR($A1277=21,$A1277=215),$AJ1277=10),"④一般",IF(AND($A1277=31,$AJ1277=41),"⑤短期","対象外")))))</f>
        <v>⑤短期</v>
      </c>
      <c r="DC1277" s="0" t="n">
        <f aca="false">IF($A1277="","",IF($AB1277&amp;""=設定!$C$4,1,0))</f>
        <v>1</v>
      </c>
    </row>
    <row r="1278" customFormat="false" ht="15" hidden="false" customHeight="false" outlineLevel="0" collapsed="false">
      <c r="A1278" s="0" t="n">
        <v>31</v>
      </c>
      <c r="AA1278" s="0" t="n">
        <v>21</v>
      </c>
      <c r="AB1278" s="0" t="s">
        <v>96</v>
      </c>
      <c r="AD1278" s="0" t="n">
        <v>0</v>
      </c>
      <c r="AE1278" s="0" t="s">
        <v>295</v>
      </c>
      <c r="AH1278" s="0" t="n">
        <v>1</v>
      </c>
      <c r="AJ1278" s="0" t="n">
        <v>41</v>
      </c>
      <c r="AP1278" s="0" t="n">
        <v>190000</v>
      </c>
      <c r="DB1278" s="0" t="str">
        <f aca="false">IF($A1278="","",IF($AH1278=20,IF(AND(OR($A1278=21,$A1278=215),$AJ1278=10),"①病院一般",IF(AND($A1278=31,$AJ1278=41),"②病院短期","対象外")),IF($AJ1278=30,"③特定消防",IF(AND(OR($A1278=21,$A1278=215),$AJ1278=10),"④一般",IF(AND($A1278=31,$AJ1278=41),"⑤短期","対象外")))))</f>
        <v>⑤短期</v>
      </c>
      <c r="DC1278" s="0" t="n">
        <f aca="false">IF($A1278="","",IF($AB1278&amp;""=設定!$C$4,1,0))</f>
        <v>1</v>
      </c>
    </row>
    <row r="1279" customFormat="false" ht="15" hidden="false" customHeight="false" outlineLevel="0" collapsed="false">
      <c r="A1279" s="0" t="n">
        <v>31</v>
      </c>
      <c r="AA1279" s="0" t="n">
        <v>21</v>
      </c>
      <c r="AB1279" s="0" t="s">
        <v>96</v>
      </c>
      <c r="AD1279" s="0" t="n">
        <v>0</v>
      </c>
      <c r="AE1279" s="0" t="s">
        <v>295</v>
      </c>
      <c r="AH1279" s="0" t="n">
        <v>1</v>
      </c>
      <c r="AJ1279" s="0" t="n">
        <v>41</v>
      </c>
      <c r="AP1279" s="0" t="n">
        <v>134000</v>
      </c>
      <c r="DB1279" s="0" t="str">
        <f aca="false">IF($A1279="","",IF($AH1279=20,IF(AND(OR($A1279=21,$A1279=215),$AJ1279=10),"①病院一般",IF(AND($A1279=31,$AJ1279=41),"②病院短期","対象外")),IF($AJ1279=30,"③特定消防",IF(AND(OR($A1279=21,$A1279=215),$AJ1279=10),"④一般",IF(AND($A1279=31,$AJ1279=41),"⑤短期","対象外")))))</f>
        <v>⑤短期</v>
      </c>
      <c r="DC1279" s="0" t="n">
        <f aca="false">IF($A1279="","",IF($AB1279&amp;""=設定!$C$4,1,0))</f>
        <v>1</v>
      </c>
    </row>
    <row r="1280" customFormat="false" ht="15" hidden="false" customHeight="false" outlineLevel="0" collapsed="false">
      <c r="A1280" s="0" t="n">
        <v>31</v>
      </c>
      <c r="AA1280" s="0" t="n">
        <v>21</v>
      </c>
      <c r="AB1280" s="0" t="s">
        <v>96</v>
      </c>
      <c r="AD1280" s="0" t="n">
        <v>0</v>
      </c>
      <c r="AE1280" s="0" t="s">
        <v>295</v>
      </c>
      <c r="AH1280" s="0" t="n">
        <v>1</v>
      </c>
      <c r="AJ1280" s="0" t="n">
        <v>41</v>
      </c>
      <c r="AP1280" s="0" t="n">
        <v>170000</v>
      </c>
      <c r="DB1280" s="0" t="str">
        <f aca="false">IF($A1280="","",IF($AH1280=20,IF(AND(OR($A1280=21,$A1280=215),$AJ1280=10),"①病院一般",IF(AND($A1280=31,$AJ1280=41),"②病院短期","対象外")),IF($AJ1280=30,"③特定消防",IF(AND(OR($A1280=21,$A1280=215),$AJ1280=10),"④一般",IF(AND($A1280=31,$AJ1280=41),"⑤短期","対象外")))))</f>
        <v>⑤短期</v>
      </c>
      <c r="DC1280" s="0" t="n">
        <f aca="false">IF($A1280="","",IF($AB1280&amp;""=設定!$C$4,1,0))</f>
        <v>1</v>
      </c>
    </row>
    <row r="1281" customFormat="false" ht="15" hidden="false" customHeight="false" outlineLevel="0" collapsed="false">
      <c r="A1281" s="0" t="n">
        <v>31</v>
      </c>
      <c r="AA1281" s="0" t="n">
        <v>21</v>
      </c>
      <c r="AB1281" s="0" t="s">
        <v>96</v>
      </c>
      <c r="AD1281" s="0" t="n">
        <v>0</v>
      </c>
      <c r="AE1281" s="0" t="s">
        <v>295</v>
      </c>
      <c r="AH1281" s="0" t="n">
        <v>1</v>
      </c>
      <c r="AJ1281" s="0" t="n">
        <v>41</v>
      </c>
      <c r="AP1281" s="0" t="n">
        <v>126000</v>
      </c>
      <c r="DB1281" s="0" t="str">
        <f aca="false">IF($A1281="","",IF($AH1281=20,IF(AND(OR($A1281=21,$A1281=215),$AJ1281=10),"①病院一般",IF(AND($A1281=31,$AJ1281=41),"②病院短期","対象外")),IF($AJ1281=30,"③特定消防",IF(AND(OR($A1281=21,$A1281=215),$AJ1281=10),"④一般",IF(AND($A1281=31,$AJ1281=41),"⑤短期","対象外")))))</f>
        <v>⑤短期</v>
      </c>
      <c r="DC1281" s="0" t="n">
        <f aca="false">IF($A1281="","",IF($AB1281&amp;""=設定!$C$4,1,0))</f>
        <v>1</v>
      </c>
    </row>
    <row r="1282" customFormat="false" ht="15" hidden="false" customHeight="false" outlineLevel="0" collapsed="false">
      <c r="A1282" s="0" t="n">
        <v>31</v>
      </c>
      <c r="AA1282" s="0" t="n">
        <v>21</v>
      </c>
      <c r="AB1282" s="0" t="s">
        <v>96</v>
      </c>
      <c r="AD1282" s="0" t="n">
        <v>0</v>
      </c>
      <c r="AE1282" s="0" t="s">
        <v>295</v>
      </c>
      <c r="AH1282" s="0" t="n">
        <v>1</v>
      </c>
      <c r="AJ1282" s="0" t="n">
        <v>41</v>
      </c>
      <c r="AP1282" s="0" t="n">
        <v>118000</v>
      </c>
      <c r="DB1282" s="0" t="str">
        <f aca="false">IF($A1282="","",IF($AH1282=20,IF(AND(OR($A1282=21,$A1282=215),$AJ1282=10),"①病院一般",IF(AND($A1282=31,$AJ1282=41),"②病院短期","対象外")),IF($AJ1282=30,"③特定消防",IF(AND(OR($A1282=21,$A1282=215),$AJ1282=10),"④一般",IF(AND($A1282=31,$AJ1282=41),"⑤短期","対象外")))))</f>
        <v>⑤短期</v>
      </c>
      <c r="DC1282" s="0" t="n">
        <f aca="false">IF($A1282="","",IF($AB1282&amp;""=設定!$C$4,1,0))</f>
        <v>1</v>
      </c>
    </row>
    <row r="1283" customFormat="false" ht="15" hidden="false" customHeight="false" outlineLevel="0" collapsed="false">
      <c r="A1283" s="0" t="n">
        <v>31</v>
      </c>
      <c r="AA1283" s="0" t="n">
        <v>21</v>
      </c>
      <c r="AB1283" s="0" t="s">
        <v>96</v>
      </c>
      <c r="AD1283" s="0" t="n">
        <v>0</v>
      </c>
      <c r="AE1283" s="0" t="s">
        <v>295</v>
      </c>
      <c r="AH1283" s="0" t="n">
        <v>1</v>
      </c>
      <c r="AJ1283" s="0" t="n">
        <v>41</v>
      </c>
      <c r="AP1283" s="0" t="n">
        <v>200000</v>
      </c>
      <c r="DB1283" s="0" t="str">
        <f aca="false">IF($A1283="","",IF($AH1283=20,IF(AND(OR($A1283=21,$A1283=215),$AJ1283=10),"①病院一般",IF(AND($A1283=31,$AJ1283=41),"②病院短期","対象外")),IF($AJ1283=30,"③特定消防",IF(AND(OR($A1283=21,$A1283=215),$AJ1283=10),"④一般",IF(AND($A1283=31,$AJ1283=41),"⑤短期","対象外")))))</f>
        <v>⑤短期</v>
      </c>
      <c r="DC1283" s="0" t="n">
        <f aca="false">IF($A1283="","",IF($AB1283&amp;""=設定!$C$4,1,0))</f>
        <v>1</v>
      </c>
    </row>
    <row r="1284" customFormat="false" ht="15" hidden="false" customHeight="false" outlineLevel="0" collapsed="false">
      <c r="A1284" s="0" t="n">
        <v>31</v>
      </c>
      <c r="AA1284" s="0" t="n">
        <v>21</v>
      </c>
      <c r="AB1284" s="0" t="s">
        <v>96</v>
      </c>
      <c r="AD1284" s="0" t="n">
        <v>0</v>
      </c>
      <c r="AE1284" s="0" t="s">
        <v>295</v>
      </c>
      <c r="AH1284" s="0" t="n">
        <v>1</v>
      </c>
      <c r="AJ1284" s="0" t="n">
        <v>41</v>
      </c>
      <c r="AP1284" s="0" t="n">
        <v>126000</v>
      </c>
      <c r="DB1284" s="0" t="str">
        <f aca="false">IF($A1284="","",IF($AH1284=20,IF(AND(OR($A1284=21,$A1284=215),$AJ1284=10),"①病院一般",IF(AND($A1284=31,$AJ1284=41),"②病院短期","対象外")),IF($AJ1284=30,"③特定消防",IF(AND(OR($A1284=21,$A1284=215),$AJ1284=10),"④一般",IF(AND($A1284=31,$AJ1284=41),"⑤短期","対象外")))))</f>
        <v>⑤短期</v>
      </c>
      <c r="DC1284" s="0" t="n">
        <f aca="false">IF($A1284="","",IF($AB1284&amp;""=設定!$C$4,1,0))</f>
        <v>1</v>
      </c>
    </row>
    <row r="1285" customFormat="false" ht="15" hidden="false" customHeight="false" outlineLevel="0" collapsed="false">
      <c r="A1285" s="0" t="n">
        <v>31</v>
      </c>
      <c r="AA1285" s="0" t="n">
        <v>21</v>
      </c>
      <c r="AB1285" s="0" t="s">
        <v>96</v>
      </c>
      <c r="AD1285" s="0" t="n">
        <v>0</v>
      </c>
      <c r="AE1285" s="0" t="s">
        <v>295</v>
      </c>
      <c r="AH1285" s="0" t="n">
        <v>1</v>
      </c>
      <c r="AJ1285" s="0" t="n">
        <v>41</v>
      </c>
      <c r="AP1285" s="0" t="n">
        <v>126000</v>
      </c>
      <c r="DB1285" s="0" t="str">
        <f aca="false">IF($A1285="","",IF($AH1285=20,IF(AND(OR($A1285=21,$A1285=215),$AJ1285=10),"①病院一般",IF(AND($A1285=31,$AJ1285=41),"②病院短期","対象外")),IF($AJ1285=30,"③特定消防",IF(AND(OR($A1285=21,$A1285=215),$AJ1285=10),"④一般",IF(AND($A1285=31,$AJ1285=41),"⑤短期","対象外")))))</f>
        <v>⑤短期</v>
      </c>
      <c r="DC1285" s="0" t="n">
        <f aca="false">IF($A1285="","",IF($AB1285&amp;""=設定!$C$4,1,0))</f>
        <v>1</v>
      </c>
    </row>
    <row r="1286" customFormat="false" ht="15" hidden="false" customHeight="false" outlineLevel="0" collapsed="false">
      <c r="A1286" s="0" t="n">
        <v>31</v>
      </c>
      <c r="AA1286" s="0" t="n">
        <v>21</v>
      </c>
      <c r="AB1286" s="0" t="s">
        <v>96</v>
      </c>
      <c r="AD1286" s="0" t="n">
        <v>0</v>
      </c>
      <c r="AE1286" s="0" t="s">
        <v>295</v>
      </c>
      <c r="AH1286" s="0" t="n">
        <v>1</v>
      </c>
      <c r="AJ1286" s="0" t="n">
        <v>41</v>
      </c>
      <c r="AP1286" s="0" t="n">
        <v>134000</v>
      </c>
      <c r="DB1286" s="0" t="str">
        <f aca="false">IF($A1286="","",IF($AH1286=20,IF(AND(OR($A1286=21,$A1286=215),$AJ1286=10),"①病院一般",IF(AND($A1286=31,$AJ1286=41),"②病院短期","対象外")),IF($AJ1286=30,"③特定消防",IF(AND(OR($A1286=21,$A1286=215),$AJ1286=10),"④一般",IF(AND($A1286=31,$AJ1286=41),"⑤短期","対象外")))))</f>
        <v>⑤短期</v>
      </c>
      <c r="DC1286" s="0" t="n">
        <f aca="false">IF($A1286="","",IF($AB1286&amp;""=設定!$C$4,1,0))</f>
        <v>1</v>
      </c>
    </row>
    <row r="1287" customFormat="false" ht="15" hidden="false" customHeight="false" outlineLevel="0" collapsed="false">
      <c r="A1287" s="0" t="n">
        <v>31</v>
      </c>
      <c r="AA1287" s="0" t="n">
        <v>21</v>
      </c>
      <c r="AB1287" s="0" t="s">
        <v>298</v>
      </c>
      <c r="AD1287" s="0" t="n">
        <v>0</v>
      </c>
      <c r="AE1287" s="0" t="s">
        <v>295</v>
      </c>
      <c r="AH1287" s="0" t="n">
        <v>1</v>
      </c>
      <c r="AJ1287" s="0" t="n">
        <v>41</v>
      </c>
      <c r="AP1287" s="0" t="n">
        <v>142000</v>
      </c>
      <c r="DB1287" s="0" t="str">
        <f aca="false">IF($A1287="","",IF($AH1287=20,IF(AND(OR($A1287=21,$A1287=215),$AJ1287=10),"①病院一般",IF(AND($A1287=31,$AJ1287=41),"②病院短期","対象外")),IF($AJ1287=30,"③特定消防",IF(AND(OR($A1287=21,$A1287=215),$AJ1287=10),"④一般",IF(AND($A1287=31,$AJ1287=41),"⑤短期","対象外")))))</f>
        <v>⑤短期</v>
      </c>
      <c r="DC1287" s="0" t="n">
        <f aca="false">IF($A1287="","",IF($AB1287&amp;""=設定!$C$4,1,0))</f>
        <v>0</v>
      </c>
    </row>
    <row r="1288" customFormat="false" ht="15" hidden="false" customHeight="false" outlineLevel="0" collapsed="false">
      <c r="A1288" s="0" t="n">
        <v>31</v>
      </c>
      <c r="AA1288" s="0" t="n">
        <v>21</v>
      </c>
      <c r="AB1288" s="0" t="s">
        <v>96</v>
      </c>
      <c r="AD1288" s="0" t="n">
        <v>0</v>
      </c>
      <c r="AE1288" s="0" t="s">
        <v>295</v>
      </c>
      <c r="AH1288" s="0" t="n">
        <v>1</v>
      </c>
      <c r="AJ1288" s="0" t="n">
        <v>41</v>
      </c>
      <c r="AP1288" s="0" t="n">
        <v>190000</v>
      </c>
      <c r="DB1288" s="0" t="str">
        <f aca="false">IF($A1288="","",IF($AH1288=20,IF(AND(OR($A1288=21,$A1288=215),$AJ1288=10),"①病院一般",IF(AND($A1288=31,$AJ1288=41),"②病院短期","対象外")),IF($AJ1288=30,"③特定消防",IF(AND(OR($A1288=21,$A1288=215),$AJ1288=10),"④一般",IF(AND($A1288=31,$AJ1288=41),"⑤短期","対象外")))))</f>
        <v>⑤短期</v>
      </c>
      <c r="DC1288" s="0" t="n">
        <f aca="false">IF($A1288="","",IF($AB1288&amp;""=設定!$C$4,1,0))</f>
        <v>1</v>
      </c>
    </row>
    <row r="1289" customFormat="false" ht="15" hidden="false" customHeight="false" outlineLevel="0" collapsed="false">
      <c r="A1289" s="0" t="n">
        <v>31</v>
      </c>
      <c r="AA1289" s="0" t="n">
        <v>21</v>
      </c>
      <c r="AB1289" s="0" t="s">
        <v>96</v>
      </c>
      <c r="AD1289" s="0" t="n">
        <v>0</v>
      </c>
      <c r="AE1289" s="0" t="s">
        <v>295</v>
      </c>
      <c r="AH1289" s="0" t="n">
        <v>1</v>
      </c>
      <c r="AJ1289" s="0" t="n">
        <v>41</v>
      </c>
      <c r="AP1289" s="0" t="n">
        <v>190000</v>
      </c>
      <c r="DB1289" s="0" t="str">
        <f aca="false">IF($A1289="","",IF($AH1289=20,IF(AND(OR($A1289=21,$A1289=215),$AJ1289=10),"①病院一般",IF(AND($A1289=31,$AJ1289=41),"②病院短期","対象外")),IF($AJ1289=30,"③特定消防",IF(AND(OR($A1289=21,$A1289=215),$AJ1289=10),"④一般",IF(AND($A1289=31,$AJ1289=41),"⑤短期","対象外")))))</f>
        <v>⑤短期</v>
      </c>
      <c r="DC1289" s="0" t="n">
        <f aca="false">IF($A1289="","",IF($AB1289&amp;""=設定!$C$4,1,0))</f>
        <v>1</v>
      </c>
    </row>
    <row r="1290" customFormat="false" ht="15" hidden="false" customHeight="false" outlineLevel="0" collapsed="false">
      <c r="A1290" s="0" t="n">
        <v>31</v>
      </c>
      <c r="AA1290" s="0" t="n">
        <v>21</v>
      </c>
      <c r="AB1290" s="0" t="s">
        <v>96</v>
      </c>
      <c r="AD1290" s="0" t="n">
        <v>0</v>
      </c>
      <c r="AE1290" s="0" t="s">
        <v>295</v>
      </c>
      <c r="AH1290" s="0" t="n">
        <v>1</v>
      </c>
      <c r="AJ1290" s="0" t="n">
        <v>41</v>
      </c>
      <c r="AP1290" s="0" t="n">
        <v>126000</v>
      </c>
      <c r="DB1290" s="0" t="str">
        <f aca="false">IF($A1290="","",IF($AH1290=20,IF(AND(OR($A1290=21,$A1290=215),$AJ1290=10),"①病院一般",IF(AND($A1290=31,$AJ1290=41),"②病院短期","対象外")),IF($AJ1290=30,"③特定消防",IF(AND(OR($A1290=21,$A1290=215),$AJ1290=10),"④一般",IF(AND($A1290=31,$AJ1290=41),"⑤短期","対象外")))))</f>
        <v>⑤短期</v>
      </c>
      <c r="DC1290" s="0" t="n">
        <f aca="false">IF($A1290="","",IF($AB1290&amp;""=設定!$C$4,1,0))</f>
        <v>1</v>
      </c>
    </row>
    <row r="1291" customFormat="false" ht="15" hidden="false" customHeight="false" outlineLevel="0" collapsed="false">
      <c r="A1291" s="0" t="n">
        <v>31</v>
      </c>
      <c r="AA1291" s="0" t="n">
        <v>21</v>
      </c>
      <c r="AB1291" s="0" t="s">
        <v>96</v>
      </c>
      <c r="AD1291" s="0" t="n">
        <v>0</v>
      </c>
      <c r="AE1291" s="0" t="s">
        <v>295</v>
      </c>
      <c r="AH1291" s="0" t="n">
        <v>1</v>
      </c>
      <c r="AJ1291" s="0" t="n">
        <v>41</v>
      </c>
      <c r="AP1291" s="0" t="n">
        <v>180000</v>
      </c>
      <c r="DB1291" s="0" t="str">
        <f aca="false">IF($A1291="","",IF($AH1291=20,IF(AND(OR($A1291=21,$A1291=215),$AJ1291=10),"①病院一般",IF(AND($A1291=31,$AJ1291=41),"②病院短期","対象外")),IF($AJ1291=30,"③特定消防",IF(AND(OR($A1291=21,$A1291=215),$AJ1291=10),"④一般",IF(AND($A1291=31,$AJ1291=41),"⑤短期","対象外")))))</f>
        <v>⑤短期</v>
      </c>
      <c r="DC1291" s="0" t="n">
        <f aca="false">IF($A1291="","",IF($AB1291&amp;""=設定!$C$4,1,0))</f>
        <v>1</v>
      </c>
    </row>
    <row r="1292" customFormat="false" ht="15" hidden="false" customHeight="false" outlineLevel="0" collapsed="false">
      <c r="A1292" s="0" t="n">
        <v>31</v>
      </c>
      <c r="AA1292" s="0" t="n">
        <v>21</v>
      </c>
      <c r="AB1292" s="0" t="s">
        <v>96</v>
      </c>
      <c r="AD1292" s="0" t="n">
        <v>0</v>
      </c>
      <c r="AE1292" s="0" t="s">
        <v>295</v>
      </c>
      <c r="AH1292" s="0" t="n">
        <v>1</v>
      </c>
      <c r="AJ1292" s="0" t="n">
        <v>41</v>
      </c>
      <c r="AP1292" s="0" t="n">
        <v>190000</v>
      </c>
      <c r="DB1292" s="0" t="str">
        <f aca="false">IF($A1292="","",IF($AH1292=20,IF(AND(OR($A1292=21,$A1292=215),$AJ1292=10),"①病院一般",IF(AND($A1292=31,$AJ1292=41),"②病院短期","対象外")),IF($AJ1292=30,"③特定消防",IF(AND(OR($A1292=21,$A1292=215),$AJ1292=10),"④一般",IF(AND($A1292=31,$AJ1292=41),"⑤短期","対象外")))))</f>
        <v>⑤短期</v>
      </c>
      <c r="DC1292" s="0" t="n">
        <f aca="false">IF($A1292="","",IF($AB1292&amp;""=設定!$C$4,1,0))</f>
        <v>1</v>
      </c>
    </row>
    <row r="1293" customFormat="false" ht="15" hidden="false" customHeight="false" outlineLevel="0" collapsed="false">
      <c r="A1293" s="0" t="n">
        <v>31</v>
      </c>
      <c r="AA1293" s="0" t="n">
        <v>21</v>
      </c>
      <c r="AB1293" s="0" t="s">
        <v>96</v>
      </c>
      <c r="AD1293" s="0" t="n">
        <v>0</v>
      </c>
      <c r="AE1293" s="0" t="s">
        <v>295</v>
      </c>
      <c r="AH1293" s="0" t="n">
        <v>1</v>
      </c>
      <c r="AJ1293" s="0" t="n">
        <v>41</v>
      </c>
      <c r="AP1293" s="0" t="n">
        <v>134000</v>
      </c>
      <c r="DB1293" s="0" t="str">
        <f aca="false">IF($A1293="","",IF($AH1293=20,IF(AND(OR($A1293=21,$A1293=215),$AJ1293=10),"①病院一般",IF(AND($A1293=31,$AJ1293=41),"②病院短期","対象外")),IF($AJ1293=30,"③特定消防",IF(AND(OR($A1293=21,$A1293=215),$AJ1293=10),"④一般",IF(AND($A1293=31,$AJ1293=41),"⑤短期","対象外")))))</f>
        <v>⑤短期</v>
      </c>
      <c r="DC1293" s="0" t="n">
        <f aca="false">IF($A1293="","",IF($AB1293&amp;""=設定!$C$4,1,0))</f>
        <v>1</v>
      </c>
    </row>
    <row r="1294" customFormat="false" ht="15" hidden="false" customHeight="false" outlineLevel="0" collapsed="false">
      <c r="A1294" s="0" t="n">
        <v>31</v>
      </c>
      <c r="AA1294" s="0" t="n">
        <v>21</v>
      </c>
      <c r="AB1294" s="0" t="s">
        <v>96</v>
      </c>
      <c r="AD1294" s="0" t="n">
        <v>0</v>
      </c>
      <c r="AE1294" s="0" t="s">
        <v>295</v>
      </c>
      <c r="AH1294" s="0" t="n">
        <v>1</v>
      </c>
      <c r="AJ1294" s="0" t="n">
        <v>41</v>
      </c>
      <c r="AP1294" s="0" t="n">
        <v>180000</v>
      </c>
      <c r="DB1294" s="0" t="str">
        <f aca="false">IF($A1294="","",IF($AH1294=20,IF(AND(OR($A1294=21,$A1294=215),$AJ1294=10),"①病院一般",IF(AND($A1294=31,$AJ1294=41),"②病院短期","対象外")),IF($AJ1294=30,"③特定消防",IF(AND(OR($A1294=21,$A1294=215),$AJ1294=10),"④一般",IF(AND($A1294=31,$AJ1294=41),"⑤短期","対象外")))))</f>
        <v>⑤短期</v>
      </c>
      <c r="DC1294" s="0" t="n">
        <f aca="false">IF($A1294="","",IF($AB1294&amp;""=設定!$C$4,1,0))</f>
        <v>1</v>
      </c>
    </row>
    <row r="1295" customFormat="false" ht="15" hidden="false" customHeight="false" outlineLevel="0" collapsed="false">
      <c r="A1295" s="0" t="n">
        <v>31</v>
      </c>
      <c r="AA1295" s="0" t="n">
        <v>21</v>
      </c>
      <c r="AB1295" s="0" t="s">
        <v>96</v>
      </c>
      <c r="AD1295" s="0" t="n">
        <v>0</v>
      </c>
      <c r="AE1295" s="0" t="s">
        <v>295</v>
      </c>
      <c r="AH1295" s="0" t="n">
        <v>1</v>
      </c>
      <c r="AJ1295" s="0" t="n">
        <v>41</v>
      </c>
      <c r="AP1295" s="0" t="n">
        <v>142000</v>
      </c>
      <c r="DB1295" s="0" t="str">
        <f aca="false">IF($A1295="","",IF($AH1295=20,IF(AND(OR($A1295=21,$A1295=215),$AJ1295=10),"①病院一般",IF(AND($A1295=31,$AJ1295=41),"②病院短期","対象外")),IF($AJ1295=30,"③特定消防",IF(AND(OR($A1295=21,$A1295=215),$AJ1295=10),"④一般",IF(AND($A1295=31,$AJ1295=41),"⑤短期","対象外")))))</f>
        <v>⑤短期</v>
      </c>
      <c r="DC1295" s="0" t="n">
        <f aca="false">IF($A1295="","",IF($AB1295&amp;""=設定!$C$4,1,0))</f>
        <v>1</v>
      </c>
    </row>
    <row r="1296" customFormat="false" ht="15" hidden="false" customHeight="false" outlineLevel="0" collapsed="false">
      <c r="A1296" s="0" t="n">
        <v>31</v>
      </c>
      <c r="AA1296" s="0" t="n">
        <v>21</v>
      </c>
      <c r="AB1296" s="0" t="s">
        <v>96</v>
      </c>
      <c r="AD1296" s="0" t="n">
        <v>0</v>
      </c>
      <c r="AE1296" s="0" t="s">
        <v>295</v>
      </c>
      <c r="AH1296" s="0" t="n">
        <v>1</v>
      </c>
      <c r="AJ1296" s="0" t="n">
        <v>41</v>
      </c>
      <c r="AP1296" s="0" t="n">
        <v>180000</v>
      </c>
      <c r="DB1296" s="0" t="str">
        <f aca="false">IF($A1296="","",IF($AH1296=20,IF(AND(OR($A1296=21,$A1296=215),$AJ1296=10),"①病院一般",IF(AND($A1296=31,$AJ1296=41),"②病院短期","対象外")),IF($AJ1296=30,"③特定消防",IF(AND(OR($A1296=21,$A1296=215),$AJ1296=10),"④一般",IF(AND($A1296=31,$AJ1296=41),"⑤短期","対象外")))))</f>
        <v>⑤短期</v>
      </c>
      <c r="DC1296" s="0" t="n">
        <f aca="false">IF($A1296="","",IF($AB1296&amp;""=設定!$C$4,1,0))</f>
        <v>1</v>
      </c>
    </row>
    <row r="1297" customFormat="false" ht="15" hidden="false" customHeight="false" outlineLevel="0" collapsed="false">
      <c r="A1297" s="0" t="n">
        <v>31</v>
      </c>
      <c r="AA1297" s="0" t="n">
        <v>21</v>
      </c>
      <c r="AB1297" s="0" t="s">
        <v>96</v>
      </c>
      <c r="AD1297" s="0" t="n">
        <v>0</v>
      </c>
      <c r="AE1297" s="0" t="s">
        <v>295</v>
      </c>
      <c r="AH1297" s="0" t="n">
        <v>1</v>
      </c>
      <c r="AJ1297" s="0" t="n">
        <v>41</v>
      </c>
      <c r="AP1297" s="0" t="n">
        <v>190000</v>
      </c>
      <c r="DB1297" s="0" t="str">
        <f aca="false">IF($A1297="","",IF($AH1297=20,IF(AND(OR($A1297=21,$A1297=215),$AJ1297=10),"①病院一般",IF(AND($A1297=31,$AJ1297=41),"②病院短期","対象外")),IF($AJ1297=30,"③特定消防",IF(AND(OR($A1297=21,$A1297=215),$AJ1297=10),"④一般",IF(AND($A1297=31,$AJ1297=41),"⑤短期","対象外")))))</f>
        <v>⑤短期</v>
      </c>
      <c r="DC1297" s="0" t="n">
        <f aca="false">IF($A1297="","",IF($AB1297&amp;""=設定!$C$4,1,0))</f>
        <v>1</v>
      </c>
    </row>
    <row r="1298" customFormat="false" ht="15" hidden="false" customHeight="false" outlineLevel="0" collapsed="false">
      <c r="A1298" s="0" t="n">
        <v>31</v>
      </c>
      <c r="AA1298" s="0" t="n">
        <v>21</v>
      </c>
      <c r="AB1298" s="0" t="s">
        <v>96</v>
      </c>
      <c r="AD1298" s="0" t="n">
        <v>0</v>
      </c>
      <c r="AE1298" s="0" t="s">
        <v>295</v>
      </c>
      <c r="AH1298" s="0" t="n">
        <v>1</v>
      </c>
      <c r="AJ1298" s="0" t="n">
        <v>41</v>
      </c>
      <c r="AP1298" s="0" t="n">
        <v>190000</v>
      </c>
      <c r="DB1298" s="0" t="str">
        <f aca="false">IF($A1298="","",IF($AH1298=20,IF(AND(OR($A1298=21,$A1298=215),$AJ1298=10),"①病院一般",IF(AND($A1298=31,$AJ1298=41),"②病院短期","対象外")),IF($AJ1298=30,"③特定消防",IF(AND(OR($A1298=21,$A1298=215),$AJ1298=10),"④一般",IF(AND($A1298=31,$AJ1298=41),"⑤短期","対象外")))))</f>
        <v>⑤短期</v>
      </c>
      <c r="DC1298" s="0" t="n">
        <f aca="false">IF($A1298="","",IF($AB1298&amp;""=設定!$C$4,1,0))</f>
        <v>1</v>
      </c>
    </row>
    <row r="1299" customFormat="false" ht="15" hidden="false" customHeight="false" outlineLevel="0" collapsed="false">
      <c r="A1299" s="0" t="n">
        <v>31</v>
      </c>
      <c r="AA1299" s="0" t="n">
        <v>21</v>
      </c>
      <c r="AB1299" s="0" t="s">
        <v>96</v>
      </c>
      <c r="AD1299" s="0" t="n">
        <v>0</v>
      </c>
      <c r="AE1299" s="0" t="s">
        <v>295</v>
      </c>
      <c r="AH1299" s="0" t="n">
        <v>1</v>
      </c>
      <c r="AJ1299" s="0" t="n">
        <v>41</v>
      </c>
      <c r="AP1299" s="0" t="n">
        <v>220000</v>
      </c>
      <c r="DB1299" s="0" t="str">
        <f aca="false">IF($A1299="","",IF($AH1299=20,IF(AND(OR($A1299=21,$A1299=215),$AJ1299=10),"①病院一般",IF(AND($A1299=31,$AJ1299=41),"②病院短期","対象外")),IF($AJ1299=30,"③特定消防",IF(AND(OR($A1299=21,$A1299=215),$AJ1299=10),"④一般",IF(AND($A1299=31,$AJ1299=41),"⑤短期","対象外")))))</f>
        <v>⑤短期</v>
      </c>
      <c r="DC1299" s="0" t="n">
        <f aca="false">IF($A1299="","",IF($AB1299&amp;""=設定!$C$4,1,0))</f>
        <v>1</v>
      </c>
    </row>
    <row r="1300" customFormat="false" ht="15" hidden="false" customHeight="false" outlineLevel="0" collapsed="false">
      <c r="A1300" s="0" t="n">
        <v>31</v>
      </c>
      <c r="AA1300" s="0" t="n">
        <v>21</v>
      </c>
      <c r="AB1300" s="0" t="s">
        <v>96</v>
      </c>
      <c r="AD1300" s="0" t="n">
        <v>0</v>
      </c>
      <c r="AE1300" s="0" t="s">
        <v>295</v>
      </c>
      <c r="AH1300" s="0" t="n">
        <v>1</v>
      </c>
      <c r="AJ1300" s="0" t="n">
        <v>41</v>
      </c>
      <c r="AP1300" s="0" t="n">
        <v>134000</v>
      </c>
      <c r="DB1300" s="0" t="str">
        <f aca="false">IF($A1300="","",IF($AH1300=20,IF(AND(OR($A1300=21,$A1300=215),$AJ1300=10),"①病院一般",IF(AND($A1300=31,$AJ1300=41),"②病院短期","対象外")),IF($AJ1300=30,"③特定消防",IF(AND(OR($A1300=21,$A1300=215),$AJ1300=10),"④一般",IF(AND($A1300=31,$AJ1300=41),"⑤短期","対象外")))))</f>
        <v>⑤短期</v>
      </c>
      <c r="DC1300" s="0" t="n">
        <f aca="false">IF($A1300="","",IF($AB1300&amp;""=設定!$C$4,1,0))</f>
        <v>1</v>
      </c>
    </row>
    <row r="1301" customFormat="false" ht="15" hidden="false" customHeight="false" outlineLevel="0" collapsed="false">
      <c r="A1301" s="0" t="n">
        <v>31</v>
      </c>
      <c r="AA1301" s="0" t="n">
        <v>21</v>
      </c>
      <c r="AB1301" s="0" t="s">
        <v>96</v>
      </c>
      <c r="AD1301" s="0" t="n">
        <v>0</v>
      </c>
      <c r="AE1301" s="0" t="s">
        <v>295</v>
      </c>
      <c r="AH1301" s="0" t="n">
        <v>1</v>
      </c>
      <c r="AJ1301" s="0" t="n">
        <v>41</v>
      </c>
      <c r="AP1301" s="0" t="n">
        <v>200000</v>
      </c>
      <c r="DB1301" s="0" t="str">
        <f aca="false">IF($A1301="","",IF($AH1301=20,IF(AND(OR($A1301=21,$A1301=215),$AJ1301=10),"①病院一般",IF(AND($A1301=31,$AJ1301=41),"②病院短期","対象外")),IF($AJ1301=30,"③特定消防",IF(AND(OR($A1301=21,$A1301=215),$AJ1301=10),"④一般",IF(AND($A1301=31,$AJ1301=41),"⑤短期","対象外")))))</f>
        <v>⑤短期</v>
      </c>
      <c r="DC1301" s="0" t="n">
        <f aca="false">IF($A1301="","",IF($AB1301&amp;""=設定!$C$4,1,0))</f>
        <v>1</v>
      </c>
    </row>
    <row r="1302" customFormat="false" ht="15" hidden="false" customHeight="false" outlineLevel="0" collapsed="false">
      <c r="A1302" s="0" t="n">
        <v>31</v>
      </c>
      <c r="AA1302" s="0" t="n">
        <v>21</v>
      </c>
      <c r="AB1302" s="0" t="s">
        <v>96</v>
      </c>
      <c r="AD1302" s="0" t="n">
        <v>0</v>
      </c>
      <c r="AE1302" s="0" t="s">
        <v>295</v>
      </c>
      <c r="AH1302" s="0" t="n">
        <v>1</v>
      </c>
      <c r="AJ1302" s="0" t="n">
        <v>41</v>
      </c>
      <c r="AP1302" s="0" t="n">
        <v>200000</v>
      </c>
      <c r="DB1302" s="0" t="str">
        <f aca="false">IF($A1302="","",IF($AH1302=20,IF(AND(OR($A1302=21,$A1302=215),$AJ1302=10),"①病院一般",IF(AND($A1302=31,$AJ1302=41),"②病院短期","対象外")),IF($AJ1302=30,"③特定消防",IF(AND(OR($A1302=21,$A1302=215),$AJ1302=10),"④一般",IF(AND($A1302=31,$AJ1302=41),"⑤短期","対象外")))))</f>
        <v>⑤短期</v>
      </c>
      <c r="DC1302" s="0" t="n">
        <f aca="false">IF($A1302="","",IF($AB1302&amp;""=設定!$C$4,1,0))</f>
        <v>1</v>
      </c>
    </row>
    <row r="1303" customFormat="false" ht="15" hidden="false" customHeight="false" outlineLevel="0" collapsed="false">
      <c r="A1303" s="0" t="n">
        <v>31</v>
      </c>
      <c r="AA1303" s="0" t="n">
        <v>21</v>
      </c>
      <c r="AB1303" s="0" t="s">
        <v>96</v>
      </c>
      <c r="AD1303" s="0" t="n">
        <v>0</v>
      </c>
      <c r="AE1303" s="0" t="s">
        <v>295</v>
      </c>
      <c r="AH1303" s="0" t="n">
        <v>1</v>
      </c>
      <c r="AJ1303" s="0" t="n">
        <v>41</v>
      </c>
      <c r="AP1303" s="0" t="n">
        <v>200000</v>
      </c>
      <c r="DB1303" s="0" t="str">
        <f aca="false">IF($A1303="","",IF($AH1303=20,IF(AND(OR($A1303=21,$A1303=215),$AJ1303=10),"①病院一般",IF(AND($A1303=31,$AJ1303=41),"②病院短期","対象外")),IF($AJ1303=30,"③特定消防",IF(AND(OR($A1303=21,$A1303=215),$AJ1303=10),"④一般",IF(AND($A1303=31,$AJ1303=41),"⑤短期","対象外")))))</f>
        <v>⑤短期</v>
      </c>
      <c r="DC1303" s="0" t="n">
        <f aca="false">IF($A1303="","",IF($AB1303&amp;""=設定!$C$4,1,0))</f>
        <v>1</v>
      </c>
    </row>
    <row r="1304" customFormat="false" ht="15" hidden="false" customHeight="false" outlineLevel="0" collapsed="false">
      <c r="A1304" s="0" t="n">
        <v>31</v>
      </c>
      <c r="AA1304" s="0" t="n">
        <v>21</v>
      </c>
      <c r="AB1304" s="0" t="s">
        <v>96</v>
      </c>
      <c r="AD1304" s="0" t="n">
        <v>0</v>
      </c>
      <c r="AE1304" s="0" t="s">
        <v>295</v>
      </c>
      <c r="AH1304" s="0" t="n">
        <v>1</v>
      </c>
      <c r="AJ1304" s="0" t="n">
        <v>41</v>
      </c>
      <c r="AP1304" s="0" t="n">
        <v>126000</v>
      </c>
      <c r="DB1304" s="0" t="str">
        <f aca="false">IF($A1304="","",IF($AH1304=20,IF(AND(OR($A1304=21,$A1304=215),$AJ1304=10),"①病院一般",IF(AND($A1304=31,$AJ1304=41),"②病院短期","対象外")),IF($AJ1304=30,"③特定消防",IF(AND(OR($A1304=21,$A1304=215),$AJ1304=10),"④一般",IF(AND($A1304=31,$AJ1304=41),"⑤短期","対象外")))))</f>
        <v>⑤短期</v>
      </c>
      <c r="DC1304" s="0" t="n">
        <f aca="false">IF($A1304="","",IF($AB1304&amp;""=設定!$C$4,1,0))</f>
        <v>1</v>
      </c>
    </row>
    <row r="1305" customFormat="false" ht="15" hidden="false" customHeight="false" outlineLevel="0" collapsed="false">
      <c r="A1305" s="0" t="n">
        <v>31</v>
      </c>
      <c r="AA1305" s="0" t="n">
        <v>21</v>
      </c>
      <c r="AB1305" s="0" t="s">
        <v>96</v>
      </c>
      <c r="AD1305" s="0" t="n">
        <v>0</v>
      </c>
      <c r="AE1305" s="0" t="s">
        <v>295</v>
      </c>
      <c r="AH1305" s="0" t="n">
        <v>1</v>
      </c>
      <c r="AJ1305" s="0" t="n">
        <v>41</v>
      </c>
      <c r="AP1305" s="0" t="n">
        <v>260000</v>
      </c>
      <c r="DB1305" s="0" t="str">
        <f aca="false">IF($A1305="","",IF($AH1305=20,IF(AND(OR($A1305=21,$A1305=215),$AJ1305=10),"①病院一般",IF(AND($A1305=31,$AJ1305=41),"②病院短期","対象外")),IF($AJ1305=30,"③特定消防",IF(AND(OR($A1305=21,$A1305=215),$AJ1305=10),"④一般",IF(AND($A1305=31,$AJ1305=41),"⑤短期","対象外")))))</f>
        <v>⑤短期</v>
      </c>
      <c r="DC1305" s="0" t="n">
        <f aca="false">IF($A1305="","",IF($AB1305&amp;""=設定!$C$4,1,0))</f>
        <v>1</v>
      </c>
    </row>
    <row r="1306" customFormat="false" ht="15" hidden="false" customHeight="false" outlineLevel="0" collapsed="false">
      <c r="A1306" s="0" t="n">
        <v>31</v>
      </c>
      <c r="AA1306" s="0" t="n">
        <v>21</v>
      </c>
      <c r="AB1306" s="0" t="s">
        <v>96</v>
      </c>
      <c r="AD1306" s="0" t="n">
        <v>0</v>
      </c>
      <c r="AE1306" s="0" t="s">
        <v>295</v>
      </c>
      <c r="AH1306" s="0" t="n">
        <v>1</v>
      </c>
      <c r="AJ1306" s="0" t="n">
        <v>41</v>
      </c>
      <c r="AP1306" s="0" t="n">
        <v>260000</v>
      </c>
      <c r="DB1306" s="0" t="str">
        <f aca="false">IF($A1306="","",IF($AH1306=20,IF(AND(OR($A1306=21,$A1306=215),$AJ1306=10),"①病院一般",IF(AND($A1306=31,$AJ1306=41),"②病院短期","対象外")),IF($AJ1306=30,"③特定消防",IF(AND(OR($A1306=21,$A1306=215),$AJ1306=10),"④一般",IF(AND($A1306=31,$AJ1306=41),"⑤短期","対象外")))))</f>
        <v>⑤短期</v>
      </c>
      <c r="DC1306" s="0" t="n">
        <f aca="false">IF($A1306="","",IF($AB1306&amp;""=設定!$C$4,1,0))</f>
        <v>1</v>
      </c>
    </row>
    <row r="1307" customFormat="false" ht="15" hidden="false" customHeight="false" outlineLevel="0" collapsed="false">
      <c r="A1307" s="0" t="n">
        <v>31</v>
      </c>
      <c r="AA1307" s="0" t="n">
        <v>21</v>
      </c>
      <c r="AB1307" s="0" t="s">
        <v>96</v>
      </c>
      <c r="AD1307" s="0" t="n">
        <v>0</v>
      </c>
      <c r="AE1307" s="0" t="s">
        <v>295</v>
      </c>
      <c r="AH1307" s="0" t="n">
        <v>1</v>
      </c>
      <c r="AJ1307" s="0" t="n">
        <v>41</v>
      </c>
      <c r="AP1307" s="0" t="n">
        <v>260000</v>
      </c>
      <c r="DB1307" s="0" t="str">
        <f aca="false">IF($A1307="","",IF($AH1307=20,IF(AND(OR($A1307=21,$A1307=215),$AJ1307=10),"①病院一般",IF(AND($A1307=31,$AJ1307=41),"②病院短期","対象外")),IF($AJ1307=30,"③特定消防",IF(AND(OR($A1307=21,$A1307=215),$AJ1307=10),"④一般",IF(AND($A1307=31,$AJ1307=41),"⑤短期","対象外")))))</f>
        <v>⑤短期</v>
      </c>
      <c r="DC1307" s="0" t="n">
        <f aca="false">IF($A1307="","",IF($AB1307&amp;""=設定!$C$4,1,0))</f>
        <v>1</v>
      </c>
    </row>
    <row r="1308" customFormat="false" ht="15" hidden="false" customHeight="false" outlineLevel="0" collapsed="false">
      <c r="A1308" s="0" t="n">
        <v>31</v>
      </c>
      <c r="AA1308" s="0" t="n">
        <v>21</v>
      </c>
      <c r="AB1308" s="0" t="s">
        <v>96</v>
      </c>
      <c r="AD1308" s="0" t="n">
        <v>0</v>
      </c>
      <c r="AE1308" s="0" t="s">
        <v>295</v>
      </c>
      <c r="AH1308" s="0" t="n">
        <v>1</v>
      </c>
      <c r="AJ1308" s="0" t="n">
        <v>41</v>
      </c>
      <c r="AP1308" s="0" t="n">
        <v>134000</v>
      </c>
      <c r="DB1308" s="0" t="str">
        <f aca="false">IF($A1308="","",IF($AH1308=20,IF(AND(OR($A1308=21,$A1308=215),$AJ1308=10),"①病院一般",IF(AND($A1308=31,$AJ1308=41),"②病院短期","対象外")),IF($AJ1308=30,"③特定消防",IF(AND(OR($A1308=21,$A1308=215),$AJ1308=10),"④一般",IF(AND($A1308=31,$AJ1308=41),"⑤短期","対象外")))))</f>
        <v>⑤短期</v>
      </c>
      <c r="DC1308" s="0" t="n">
        <f aca="false">IF($A1308="","",IF($AB1308&amp;""=設定!$C$4,1,0))</f>
        <v>1</v>
      </c>
    </row>
    <row r="1309" customFormat="false" ht="15" hidden="false" customHeight="false" outlineLevel="0" collapsed="false">
      <c r="A1309" s="0" t="n">
        <v>31</v>
      </c>
      <c r="AA1309" s="0" t="n">
        <v>21</v>
      </c>
      <c r="AB1309" s="0" t="s">
        <v>96</v>
      </c>
      <c r="AD1309" s="0" t="n">
        <v>0</v>
      </c>
      <c r="AE1309" s="0" t="s">
        <v>295</v>
      </c>
      <c r="AH1309" s="0" t="n">
        <v>1</v>
      </c>
      <c r="AJ1309" s="0" t="n">
        <v>41</v>
      </c>
      <c r="AP1309" s="0" t="n">
        <v>260000</v>
      </c>
      <c r="DB1309" s="0" t="str">
        <f aca="false">IF($A1309="","",IF($AH1309=20,IF(AND(OR($A1309=21,$A1309=215),$AJ1309=10),"①病院一般",IF(AND($A1309=31,$AJ1309=41),"②病院短期","対象外")),IF($AJ1309=30,"③特定消防",IF(AND(OR($A1309=21,$A1309=215),$AJ1309=10),"④一般",IF(AND($A1309=31,$AJ1309=41),"⑤短期","対象外")))))</f>
        <v>⑤短期</v>
      </c>
      <c r="DC1309" s="0" t="n">
        <f aca="false">IF($A1309="","",IF($AB1309&amp;""=設定!$C$4,1,0))</f>
        <v>1</v>
      </c>
    </row>
    <row r="1310" customFormat="false" ht="15" hidden="false" customHeight="false" outlineLevel="0" collapsed="false">
      <c r="A1310" s="0" t="n">
        <v>31</v>
      </c>
      <c r="AA1310" s="0" t="n">
        <v>21</v>
      </c>
      <c r="AB1310" s="0" t="s">
        <v>96</v>
      </c>
      <c r="AD1310" s="0" t="n">
        <v>0</v>
      </c>
      <c r="AE1310" s="0" t="s">
        <v>295</v>
      </c>
      <c r="AH1310" s="0" t="n">
        <v>1</v>
      </c>
      <c r="AJ1310" s="0" t="n">
        <v>41</v>
      </c>
      <c r="AP1310" s="0" t="n">
        <v>200000</v>
      </c>
      <c r="DB1310" s="0" t="str">
        <f aca="false">IF($A1310="","",IF($AH1310=20,IF(AND(OR($A1310=21,$A1310=215),$AJ1310=10),"①病院一般",IF(AND($A1310=31,$AJ1310=41),"②病院短期","対象外")),IF($AJ1310=30,"③特定消防",IF(AND(OR($A1310=21,$A1310=215),$AJ1310=10),"④一般",IF(AND($A1310=31,$AJ1310=41),"⑤短期","対象外")))))</f>
        <v>⑤短期</v>
      </c>
      <c r="DC1310" s="0" t="n">
        <f aca="false">IF($A1310="","",IF($AB1310&amp;""=設定!$C$4,1,0))</f>
        <v>1</v>
      </c>
    </row>
    <row r="1311" customFormat="false" ht="15" hidden="false" customHeight="false" outlineLevel="0" collapsed="false">
      <c r="A1311" s="0" t="n">
        <v>31</v>
      </c>
      <c r="AA1311" s="0" t="n">
        <v>21</v>
      </c>
      <c r="AB1311" s="0" t="s">
        <v>96</v>
      </c>
      <c r="AD1311" s="0" t="n">
        <v>0</v>
      </c>
      <c r="AE1311" s="0" t="s">
        <v>295</v>
      </c>
      <c r="AH1311" s="0" t="n">
        <v>1</v>
      </c>
      <c r="AJ1311" s="0" t="n">
        <v>41</v>
      </c>
      <c r="AP1311" s="0" t="n">
        <v>190000</v>
      </c>
      <c r="DB1311" s="0" t="str">
        <f aca="false">IF($A1311="","",IF($AH1311=20,IF(AND(OR($A1311=21,$A1311=215),$AJ1311=10),"①病院一般",IF(AND($A1311=31,$AJ1311=41),"②病院短期","対象外")),IF($AJ1311=30,"③特定消防",IF(AND(OR($A1311=21,$A1311=215),$AJ1311=10),"④一般",IF(AND($A1311=31,$AJ1311=41),"⑤短期","対象外")))))</f>
        <v>⑤短期</v>
      </c>
      <c r="DC1311" s="0" t="n">
        <f aca="false">IF($A1311="","",IF($AB1311&amp;""=設定!$C$4,1,0))</f>
        <v>1</v>
      </c>
    </row>
    <row r="1312" customFormat="false" ht="15" hidden="false" customHeight="false" outlineLevel="0" collapsed="false">
      <c r="A1312" s="0" t="n">
        <v>31</v>
      </c>
      <c r="AA1312" s="0" t="n">
        <v>21</v>
      </c>
      <c r="AB1312" s="0" t="s">
        <v>96</v>
      </c>
      <c r="AD1312" s="0" t="n">
        <v>0</v>
      </c>
      <c r="AE1312" s="0" t="s">
        <v>295</v>
      </c>
      <c r="AH1312" s="0" t="n">
        <v>1</v>
      </c>
      <c r="AJ1312" s="0" t="n">
        <v>41</v>
      </c>
      <c r="AP1312" s="0" t="n">
        <v>190000</v>
      </c>
      <c r="DB1312" s="0" t="str">
        <f aca="false">IF($A1312="","",IF($AH1312=20,IF(AND(OR($A1312=21,$A1312=215),$AJ1312=10),"①病院一般",IF(AND($A1312=31,$AJ1312=41),"②病院短期","対象外")),IF($AJ1312=30,"③特定消防",IF(AND(OR($A1312=21,$A1312=215),$AJ1312=10),"④一般",IF(AND($A1312=31,$AJ1312=41),"⑤短期","対象外")))))</f>
        <v>⑤短期</v>
      </c>
      <c r="DC1312" s="0" t="n">
        <f aca="false">IF($A1312="","",IF($AB1312&amp;""=設定!$C$4,1,0))</f>
        <v>1</v>
      </c>
    </row>
    <row r="1313" customFormat="false" ht="15" hidden="false" customHeight="false" outlineLevel="0" collapsed="false">
      <c r="A1313" s="0" t="n">
        <v>31</v>
      </c>
      <c r="AA1313" s="0" t="n">
        <v>21</v>
      </c>
      <c r="AB1313" s="0" t="s">
        <v>96</v>
      </c>
      <c r="AD1313" s="0" t="n">
        <v>12</v>
      </c>
      <c r="AE1313" s="0" t="s">
        <v>294</v>
      </c>
      <c r="AH1313" s="0" t="n">
        <v>1</v>
      </c>
      <c r="AJ1313" s="0" t="n">
        <v>41</v>
      </c>
      <c r="AP1313" s="0" t="n">
        <v>190000</v>
      </c>
      <c r="DB1313" s="0" t="str">
        <f aca="false">IF($A1313="","",IF($AH1313=20,IF(AND(OR($A1313=21,$A1313=215),$AJ1313=10),"①病院一般",IF(AND($A1313=31,$AJ1313=41),"②病院短期","対象外")),IF($AJ1313=30,"③特定消防",IF(AND(OR($A1313=21,$A1313=215),$AJ1313=10),"④一般",IF(AND($A1313=31,$AJ1313=41),"⑤短期","対象外")))))</f>
        <v>⑤短期</v>
      </c>
      <c r="DC1313" s="0" t="n">
        <f aca="false">IF($A1313="","",IF($AB1313&amp;""=設定!$C$4,1,0))</f>
        <v>1</v>
      </c>
    </row>
    <row r="1314" customFormat="false" ht="15" hidden="false" customHeight="false" outlineLevel="0" collapsed="false">
      <c r="A1314" s="0" t="n">
        <v>31</v>
      </c>
      <c r="AA1314" s="0" t="n">
        <v>21</v>
      </c>
      <c r="AB1314" s="0" t="s">
        <v>96</v>
      </c>
      <c r="AD1314" s="0" t="n">
        <v>0</v>
      </c>
      <c r="AE1314" s="0" t="s">
        <v>295</v>
      </c>
      <c r="AH1314" s="0" t="n">
        <v>1</v>
      </c>
      <c r="AJ1314" s="0" t="n">
        <v>41</v>
      </c>
      <c r="AP1314" s="0" t="n">
        <v>190000</v>
      </c>
      <c r="DB1314" s="0" t="str">
        <f aca="false">IF($A1314="","",IF($AH1314=20,IF(AND(OR($A1314=21,$A1314=215),$AJ1314=10),"①病院一般",IF(AND($A1314=31,$AJ1314=41),"②病院短期","対象外")),IF($AJ1314=30,"③特定消防",IF(AND(OR($A1314=21,$A1314=215),$AJ1314=10),"④一般",IF(AND($A1314=31,$AJ1314=41),"⑤短期","対象外")))))</f>
        <v>⑤短期</v>
      </c>
      <c r="DC1314" s="0" t="n">
        <f aca="false">IF($A1314="","",IF($AB1314&amp;""=設定!$C$4,1,0))</f>
        <v>1</v>
      </c>
    </row>
    <row r="1315" customFormat="false" ht="15" hidden="false" customHeight="false" outlineLevel="0" collapsed="false">
      <c r="A1315" s="0" t="n">
        <v>31</v>
      </c>
      <c r="AA1315" s="0" t="n">
        <v>21</v>
      </c>
      <c r="AB1315" s="0" t="s">
        <v>96</v>
      </c>
      <c r="AD1315" s="0" t="n">
        <v>0</v>
      </c>
      <c r="AE1315" s="0" t="s">
        <v>295</v>
      </c>
      <c r="AH1315" s="0" t="n">
        <v>1</v>
      </c>
      <c r="AJ1315" s="0" t="n">
        <v>41</v>
      </c>
      <c r="AP1315" s="0" t="n">
        <v>200000</v>
      </c>
      <c r="DB1315" s="0" t="str">
        <f aca="false">IF($A1315="","",IF($AH1315=20,IF(AND(OR($A1315=21,$A1315=215),$AJ1315=10),"①病院一般",IF(AND($A1315=31,$AJ1315=41),"②病院短期","対象外")),IF($AJ1315=30,"③特定消防",IF(AND(OR($A1315=21,$A1315=215),$AJ1315=10),"④一般",IF(AND($A1315=31,$AJ1315=41),"⑤短期","対象外")))))</f>
        <v>⑤短期</v>
      </c>
      <c r="DC1315" s="0" t="n">
        <f aca="false">IF($A1315="","",IF($AB1315&amp;""=設定!$C$4,1,0))</f>
        <v>1</v>
      </c>
    </row>
    <row r="1316" customFormat="false" ht="15" hidden="false" customHeight="false" outlineLevel="0" collapsed="false">
      <c r="A1316" s="0" t="n">
        <v>31</v>
      </c>
      <c r="AA1316" s="0" t="n">
        <v>21</v>
      </c>
      <c r="AB1316" s="0" t="s">
        <v>96</v>
      </c>
      <c r="AD1316" s="0" t="n">
        <v>0</v>
      </c>
      <c r="AE1316" s="0" t="s">
        <v>295</v>
      </c>
      <c r="AH1316" s="0" t="n">
        <v>1</v>
      </c>
      <c r="AJ1316" s="0" t="n">
        <v>41</v>
      </c>
      <c r="AP1316" s="0" t="n">
        <v>190000</v>
      </c>
      <c r="DB1316" s="0" t="str">
        <f aca="false">IF($A1316="","",IF($AH1316=20,IF(AND(OR($A1316=21,$A1316=215),$AJ1316=10),"①病院一般",IF(AND($A1316=31,$AJ1316=41),"②病院短期","対象外")),IF($AJ1316=30,"③特定消防",IF(AND(OR($A1316=21,$A1316=215),$AJ1316=10),"④一般",IF(AND($A1316=31,$AJ1316=41),"⑤短期","対象外")))))</f>
        <v>⑤短期</v>
      </c>
      <c r="DC1316" s="0" t="n">
        <f aca="false">IF($A1316="","",IF($AB1316&amp;""=設定!$C$4,1,0))</f>
        <v>1</v>
      </c>
    </row>
    <row r="1317" customFormat="false" ht="15" hidden="false" customHeight="false" outlineLevel="0" collapsed="false">
      <c r="A1317" s="0" t="n">
        <v>31</v>
      </c>
      <c r="AA1317" s="0" t="n">
        <v>21</v>
      </c>
      <c r="AB1317" s="0" t="s">
        <v>96</v>
      </c>
      <c r="AD1317" s="0" t="n">
        <v>0</v>
      </c>
      <c r="AE1317" s="0" t="s">
        <v>295</v>
      </c>
      <c r="AH1317" s="0" t="n">
        <v>1</v>
      </c>
      <c r="AJ1317" s="0" t="n">
        <v>41</v>
      </c>
      <c r="AP1317" s="0" t="n">
        <v>190000</v>
      </c>
      <c r="DB1317" s="0" t="str">
        <f aca="false">IF($A1317="","",IF($AH1317=20,IF(AND(OR($A1317=21,$A1317=215),$AJ1317=10),"①病院一般",IF(AND($A1317=31,$AJ1317=41),"②病院短期","対象外")),IF($AJ1317=30,"③特定消防",IF(AND(OR($A1317=21,$A1317=215),$AJ1317=10),"④一般",IF(AND($A1317=31,$AJ1317=41),"⑤短期","対象外")))))</f>
        <v>⑤短期</v>
      </c>
      <c r="DC1317" s="0" t="n">
        <f aca="false">IF($A1317="","",IF($AB1317&amp;""=設定!$C$4,1,0))</f>
        <v>1</v>
      </c>
    </row>
    <row r="1318" customFormat="false" ht="15" hidden="false" customHeight="false" outlineLevel="0" collapsed="false">
      <c r="A1318" s="0" t="n">
        <v>31</v>
      </c>
      <c r="AA1318" s="0" t="n">
        <v>21</v>
      </c>
      <c r="AB1318" s="0" t="s">
        <v>96</v>
      </c>
      <c r="AD1318" s="0" t="n">
        <v>0</v>
      </c>
      <c r="AE1318" s="0" t="s">
        <v>295</v>
      </c>
      <c r="AH1318" s="0" t="n">
        <v>1</v>
      </c>
      <c r="AJ1318" s="0" t="n">
        <v>41</v>
      </c>
      <c r="AP1318" s="0" t="n">
        <v>170000</v>
      </c>
      <c r="DB1318" s="0" t="str">
        <f aca="false">IF($A1318="","",IF($AH1318=20,IF(AND(OR($A1318=21,$A1318=215),$AJ1318=10),"①病院一般",IF(AND($A1318=31,$AJ1318=41),"②病院短期","対象外")),IF($AJ1318=30,"③特定消防",IF(AND(OR($A1318=21,$A1318=215),$AJ1318=10),"④一般",IF(AND($A1318=31,$AJ1318=41),"⑤短期","対象外")))))</f>
        <v>⑤短期</v>
      </c>
      <c r="DC1318" s="0" t="n">
        <f aca="false">IF($A1318="","",IF($AB1318&amp;""=設定!$C$4,1,0))</f>
        <v>1</v>
      </c>
    </row>
    <row r="1319" customFormat="false" ht="15" hidden="false" customHeight="false" outlineLevel="0" collapsed="false">
      <c r="A1319" s="0" t="n">
        <v>31</v>
      </c>
      <c r="AA1319" s="0" t="n">
        <v>21</v>
      </c>
      <c r="AB1319" s="0" t="s">
        <v>96</v>
      </c>
      <c r="AD1319" s="0" t="n">
        <v>0</v>
      </c>
      <c r="AE1319" s="0" t="s">
        <v>295</v>
      </c>
      <c r="AH1319" s="0" t="n">
        <v>1</v>
      </c>
      <c r="AJ1319" s="0" t="n">
        <v>41</v>
      </c>
      <c r="AP1319" s="0" t="n">
        <v>190000</v>
      </c>
      <c r="DB1319" s="0" t="str">
        <f aca="false">IF($A1319="","",IF($AH1319=20,IF(AND(OR($A1319=21,$A1319=215),$AJ1319=10),"①病院一般",IF(AND($A1319=31,$AJ1319=41),"②病院短期","対象外")),IF($AJ1319=30,"③特定消防",IF(AND(OR($A1319=21,$A1319=215),$AJ1319=10),"④一般",IF(AND($A1319=31,$AJ1319=41),"⑤短期","対象外")))))</f>
        <v>⑤短期</v>
      </c>
      <c r="DC1319" s="0" t="n">
        <f aca="false">IF($A1319="","",IF($AB1319&amp;""=設定!$C$4,1,0))</f>
        <v>1</v>
      </c>
    </row>
    <row r="1320" customFormat="false" ht="15" hidden="false" customHeight="false" outlineLevel="0" collapsed="false">
      <c r="A1320" s="0" t="n">
        <v>31</v>
      </c>
      <c r="AA1320" s="0" t="n">
        <v>21</v>
      </c>
      <c r="AB1320" s="0" t="s">
        <v>96</v>
      </c>
      <c r="AD1320" s="0" t="n">
        <v>0</v>
      </c>
      <c r="AE1320" s="0" t="s">
        <v>295</v>
      </c>
      <c r="AH1320" s="0" t="n">
        <v>1</v>
      </c>
      <c r="AJ1320" s="0" t="n">
        <v>41</v>
      </c>
      <c r="AP1320" s="0" t="n">
        <v>134000</v>
      </c>
      <c r="DB1320" s="0" t="str">
        <f aca="false">IF($A1320="","",IF($AH1320=20,IF(AND(OR($A1320=21,$A1320=215),$AJ1320=10),"①病院一般",IF(AND($A1320=31,$AJ1320=41),"②病院短期","対象外")),IF($AJ1320=30,"③特定消防",IF(AND(OR($A1320=21,$A1320=215),$AJ1320=10),"④一般",IF(AND($A1320=31,$AJ1320=41),"⑤短期","対象外")))))</f>
        <v>⑤短期</v>
      </c>
      <c r="DC1320" s="0" t="n">
        <f aca="false">IF($A1320="","",IF($AB1320&amp;""=設定!$C$4,1,0))</f>
        <v>1</v>
      </c>
    </row>
    <row r="1321" customFormat="false" ht="15" hidden="false" customHeight="false" outlineLevel="0" collapsed="false">
      <c r="A1321" s="0" t="n">
        <v>31</v>
      </c>
      <c r="AA1321" s="0" t="n">
        <v>21</v>
      </c>
      <c r="AB1321" s="0" t="s">
        <v>96</v>
      </c>
      <c r="AD1321" s="0" t="n">
        <v>0</v>
      </c>
      <c r="AE1321" s="0" t="s">
        <v>295</v>
      </c>
      <c r="AH1321" s="0" t="n">
        <v>1</v>
      </c>
      <c r="AJ1321" s="0" t="n">
        <v>41</v>
      </c>
      <c r="AP1321" s="0" t="n">
        <v>200000</v>
      </c>
      <c r="DB1321" s="0" t="str">
        <f aca="false">IF($A1321="","",IF($AH1321=20,IF(AND(OR($A1321=21,$A1321=215),$AJ1321=10),"①病院一般",IF(AND($A1321=31,$AJ1321=41),"②病院短期","対象外")),IF($AJ1321=30,"③特定消防",IF(AND(OR($A1321=21,$A1321=215),$AJ1321=10),"④一般",IF(AND($A1321=31,$AJ1321=41),"⑤短期","対象外")))))</f>
        <v>⑤短期</v>
      </c>
      <c r="DC1321" s="0" t="n">
        <f aca="false">IF($A1321="","",IF($AB1321&amp;""=設定!$C$4,1,0))</f>
        <v>1</v>
      </c>
    </row>
    <row r="1322" customFormat="false" ht="15" hidden="false" customHeight="false" outlineLevel="0" collapsed="false">
      <c r="A1322" s="0" t="n">
        <v>31</v>
      </c>
      <c r="AA1322" s="0" t="n">
        <v>21</v>
      </c>
      <c r="AB1322" s="0" t="s">
        <v>96</v>
      </c>
      <c r="AD1322" s="0" t="n">
        <v>0</v>
      </c>
      <c r="AE1322" s="0" t="s">
        <v>295</v>
      </c>
      <c r="AH1322" s="0" t="n">
        <v>1</v>
      </c>
      <c r="AJ1322" s="0" t="n">
        <v>41</v>
      </c>
      <c r="AP1322" s="0" t="n">
        <v>190000</v>
      </c>
      <c r="DB1322" s="0" t="str">
        <f aca="false">IF($A1322="","",IF($AH1322=20,IF(AND(OR($A1322=21,$A1322=215),$AJ1322=10),"①病院一般",IF(AND($A1322=31,$AJ1322=41),"②病院短期","対象外")),IF($AJ1322=30,"③特定消防",IF(AND(OR($A1322=21,$A1322=215),$AJ1322=10),"④一般",IF(AND($A1322=31,$AJ1322=41),"⑤短期","対象外")))))</f>
        <v>⑤短期</v>
      </c>
      <c r="DC1322" s="0" t="n">
        <f aca="false">IF($A1322="","",IF($AB1322&amp;""=設定!$C$4,1,0))</f>
        <v>1</v>
      </c>
    </row>
    <row r="1323" customFormat="false" ht="15" hidden="false" customHeight="false" outlineLevel="0" collapsed="false">
      <c r="A1323" s="0" t="n">
        <v>31</v>
      </c>
      <c r="AA1323" s="0" t="n">
        <v>21</v>
      </c>
      <c r="AB1323" s="0" t="s">
        <v>96</v>
      </c>
      <c r="AD1323" s="0" t="n">
        <v>0</v>
      </c>
      <c r="AE1323" s="0" t="s">
        <v>295</v>
      </c>
      <c r="AH1323" s="0" t="n">
        <v>1</v>
      </c>
      <c r="AJ1323" s="0" t="n">
        <v>41</v>
      </c>
      <c r="AP1323" s="0" t="n">
        <v>142000</v>
      </c>
      <c r="DB1323" s="0" t="str">
        <f aca="false">IF($A1323="","",IF($AH1323=20,IF(AND(OR($A1323=21,$A1323=215),$AJ1323=10),"①病院一般",IF(AND($A1323=31,$AJ1323=41),"②病院短期","対象外")),IF($AJ1323=30,"③特定消防",IF(AND(OR($A1323=21,$A1323=215),$AJ1323=10),"④一般",IF(AND($A1323=31,$AJ1323=41),"⑤短期","対象外")))))</f>
        <v>⑤短期</v>
      </c>
      <c r="DC1323" s="0" t="n">
        <f aca="false">IF($A1323="","",IF($AB1323&amp;""=設定!$C$4,1,0))</f>
        <v>1</v>
      </c>
    </row>
    <row r="1324" customFormat="false" ht="15" hidden="false" customHeight="false" outlineLevel="0" collapsed="false">
      <c r="A1324" s="0" t="n">
        <v>31</v>
      </c>
      <c r="AA1324" s="0" t="n">
        <v>21</v>
      </c>
      <c r="AB1324" s="0" t="s">
        <v>96</v>
      </c>
      <c r="AD1324" s="0" t="n">
        <v>0</v>
      </c>
      <c r="AE1324" s="0" t="s">
        <v>295</v>
      </c>
      <c r="AH1324" s="0" t="n">
        <v>1</v>
      </c>
      <c r="AJ1324" s="0" t="n">
        <v>41</v>
      </c>
      <c r="AP1324" s="0" t="n">
        <v>190000</v>
      </c>
      <c r="DB1324" s="0" t="str">
        <f aca="false">IF($A1324="","",IF($AH1324=20,IF(AND(OR($A1324=21,$A1324=215),$AJ1324=10),"①病院一般",IF(AND($A1324=31,$AJ1324=41),"②病院短期","対象外")),IF($AJ1324=30,"③特定消防",IF(AND(OR($A1324=21,$A1324=215),$AJ1324=10),"④一般",IF(AND($A1324=31,$AJ1324=41),"⑤短期","対象外")))))</f>
        <v>⑤短期</v>
      </c>
      <c r="DC1324" s="0" t="n">
        <f aca="false">IF($A1324="","",IF($AB1324&amp;""=設定!$C$4,1,0))</f>
        <v>1</v>
      </c>
    </row>
    <row r="1325" customFormat="false" ht="15" hidden="false" customHeight="false" outlineLevel="0" collapsed="false">
      <c r="A1325" s="0" t="n">
        <v>31</v>
      </c>
      <c r="AA1325" s="0" t="n">
        <v>21</v>
      </c>
      <c r="AB1325" s="0" t="s">
        <v>96</v>
      </c>
      <c r="AD1325" s="0" t="n">
        <v>0</v>
      </c>
      <c r="AE1325" s="0" t="s">
        <v>295</v>
      </c>
      <c r="AH1325" s="0" t="n">
        <v>5</v>
      </c>
      <c r="AJ1325" s="0" t="n">
        <v>41</v>
      </c>
      <c r="AP1325" s="0" t="n">
        <v>150000</v>
      </c>
      <c r="DB1325" s="0" t="str">
        <f aca="false">IF($A1325="","",IF($AH1325=20,IF(AND(OR($A1325=21,$A1325=215),$AJ1325=10),"①病院一般",IF(AND($A1325=31,$AJ1325=41),"②病院短期","対象外")),IF($AJ1325=30,"③特定消防",IF(AND(OR($A1325=21,$A1325=215),$AJ1325=10),"④一般",IF(AND($A1325=31,$AJ1325=41),"⑤短期","対象外")))))</f>
        <v>⑤短期</v>
      </c>
      <c r="DC1325" s="0" t="n">
        <f aca="false">IF($A1325="","",IF($AB1325&amp;""=設定!$C$4,1,0))</f>
        <v>1</v>
      </c>
    </row>
    <row r="1326" customFormat="false" ht="15" hidden="false" customHeight="false" outlineLevel="0" collapsed="false">
      <c r="A1326" s="0" t="n">
        <v>31</v>
      </c>
      <c r="AA1326" s="0" t="n">
        <v>21</v>
      </c>
      <c r="AB1326" s="0" t="s">
        <v>96</v>
      </c>
      <c r="AD1326" s="0" t="n">
        <v>0</v>
      </c>
      <c r="AE1326" s="0" t="s">
        <v>295</v>
      </c>
      <c r="AH1326" s="0" t="n">
        <v>1</v>
      </c>
      <c r="AJ1326" s="0" t="n">
        <v>41</v>
      </c>
      <c r="AP1326" s="0" t="n">
        <v>190000</v>
      </c>
      <c r="DB1326" s="0" t="str">
        <f aca="false">IF($A1326="","",IF($AH1326=20,IF(AND(OR($A1326=21,$A1326=215),$AJ1326=10),"①病院一般",IF(AND($A1326=31,$AJ1326=41),"②病院短期","対象外")),IF($AJ1326=30,"③特定消防",IF(AND(OR($A1326=21,$A1326=215),$AJ1326=10),"④一般",IF(AND($A1326=31,$AJ1326=41),"⑤短期","対象外")))))</f>
        <v>⑤短期</v>
      </c>
      <c r="DC1326" s="0" t="n">
        <f aca="false">IF($A1326="","",IF($AB1326&amp;""=設定!$C$4,1,0))</f>
        <v>1</v>
      </c>
    </row>
    <row r="1327" customFormat="false" ht="15" hidden="false" customHeight="false" outlineLevel="0" collapsed="false">
      <c r="A1327" s="0" t="n">
        <v>31</v>
      </c>
      <c r="AA1327" s="0" t="n">
        <v>21</v>
      </c>
      <c r="AB1327" s="0" t="s">
        <v>96</v>
      </c>
      <c r="AD1327" s="0" t="n">
        <v>0</v>
      </c>
      <c r="AE1327" s="0" t="s">
        <v>295</v>
      </c>
      <c r="AH1327" s="0" t="n">
        <v>1</v>
      </c>
      <c r="AJ1327" s="0" t="n">
        <v>41</v>
      </c>
      <c r="AP1327" s="0" t="n">
        <v>190000</v>
      </c>
      <c r="DB1327" s="0" t="str">
        <f aca="false">IF($A1327="","",IF($AH1327=20,IF(AND(OR($A1327=21,$A1327=215),$AJ1327=10),"①病院一般",IF(AND($A1327=31,$AJ1327=41),"②病院短期","対象外")),IF($AJ1327=30,"③特定消防",IF(AND(OR($A1327=21,$A1327=215),$AJ1327=10),"④一般",IF(AND($A1327=31,$AJ1327=41),"⑤短期","対象外")))))</f>
        <v>⑤短期</v>
      </c>
      <c r="DC1327" s="0" t="n">
        <f aca="false">IF($A1327="","",IF($AB1327&amp;""=設定!$C$4,1,0))</f>
        <v>1</v>
      </c>
    </row>
    <row r="1328" customFormat="false" ht="15" hidden="false" customHeight="false" outlineLevel="0" collapsed="false">
      <c r="A1328" s="0" t="n">
        <v>31</v>
      </c>
      <c r="AA1328" s="0" t="n">
        <v>21</v>
      </c>
      <c r="AB1328" s="0" t="s">
        <v>96</v>
      </c>
      <c r="AD1328" s="0" t="n">
        <v>0</v>
      </c>
      <c r="AE1328" s="0" t="s">
        <v>295</v>
      </c>
      <c r="AH1328" s="0" t="n">
        <v>1</v>
      </c>
      <c r="AJ1328" s="0" t="n">
        <v>41</v>
      </c>
      <c r="AP1328" s="0" t="n">
        <v>190000</v>
      </c>
      <c r="DB1328" s="0" t="str">
        <f aca="false">IF($A1328="","",IF($AH1328=20,IF(AND(OR($A1328=21,$A1328=215),$AJ1328=10),"①病院一般",IF(AND($A1328=31,$AJ1328=41),"②病院短期","対象外")),IF($AJ1328=30,"③特定消防",IF(AND(OR($A1328=21,$A1328=215),$AJ1328=10),"④一般",IF(AND($A1328=31,$AJ1328=41),"⑤短期","対象外")))))</f>
        <v>⑤短期</v>
      </c>
      <c r="DC1328" s="0" t="n">
        <f aca="false">IF($A1328="","",IF($AB1328&amp;""=設定!$C$4,1,0))</f>
        <v>1</v>
      </c>
    </row>
    <row r="1329" customFormat="false" ht="15" hidden="false" customHeight="false" outlineLevel="0" collapsed="false">
      <c r="A1329" s="0" t="n">
        <v>31</v>
      </c>
      <c r="AA1329" s="0" t="n">
        <v>21</v>
      </c>
      <c r="AB1329" s="0" t="s">
        <v>96</v>
      </c>
      <c r="AD1329" s="0" t="n">
        <v>0</v>
      </c>
      <c r="AE1329" s="0" t="s">
        <v>295</v>
      </c>
      <c r="AH1329" s="0" t="n">
        <v>1</v>
      </c>
      <c r="AJ1329" s="0" t="n">
        <v>41</v>
      </c>
      <c r="AP1329" s="0" t="n">
        <v>150000</v>
      </c>
      <c r="DB1329" s="0" t="str">
        <f aca="false">IF($A1329="","",IF($AH1329=20,IF(AND(OR($A1329=21,$A1329=215),$AJ1329=10),"①病院一般",IF(AND($A1329=31,$AJ1329=41),"②病院短期","対象外")),IF($AJ1329=30,"③特定消防",IF(AND(OR($A1329=21,$A1329=215),$AJ1329=10),"④一般",IF(AND($A1329=31,$AJ1329=41),"⑤短期","対象外")))))</f>
        <v>⑤短期</v>
      </c>
      <c r="DC1329" s="0" t="n">
        <f aca="false">IF($A1329="","",IF($AB1329&amp;""=設定!$C$4,1,0))</f>
        <v>1</v>
      </c>
    </row>
    <row r="1330" customFormat="false" ht="15" hidden="false" customHeight="false" outlineLevel="0" collapsed="false">
      <c r="A1330" s="0" t="n">
        <v>31</v>
      </c>
      <c r="AA1330" s="0" t="n">
        <v>21</v>
      </c>
      <c r="AB1330" s="0" t="s">
        <v>96</v>
      </c>
      <c r="AD1330" s="0" t="n">
        <v>0</v>
      </c>
      <c r="AE1330" s="0" t="s">
        <v>295</v>
      </c>
      <c r="AH1330" s="0" t="n">
        <v>1</v>
      </c>
      <c r="AJ1330" s="0" t="n">
        <v>41</v>
      </c>
      <c r="AP1330" s="0" t="n">
        <v>142000</v>
      </c>
      <c r="DB1330" s="0" t="str">
        <f aca="false">IF($A1330="","",IF($AH1330=20,IF(AND(OR($A1330=21,$A1330=215),$AJ1330=10),"①病院一般",IF(AND($A1330=31,$AJ1330=41),"②病院短期","対象外")),IF($AJ1330=30,"③特定消防",IF(AND(OR($A1330=21,$A1330=215),$AJ1330=10),"④一般",IF(AND($A1330=31,$AJ1330=41),"⑤短期","対象外")))))</f>
        <v>⑤短期</v>
      </c>
      <c r="DC1330" s="0" t="n">
        <f aca="false">IF($A1330="","",IF($AB1330&amp;""=設定!$C$4,1,0))</f>
        <v>1</v>
      </c>
    </row>
    <row r="1331" customFormat="false" ht="15" hidden="false" customHeight="false" outlineLevel="0" collapsed="false">
      <c r="A1331" s="0" t="n">
        <v>31</v>
      </c>
      <c r="AA1331" s="0" t="n">
        <v>21</v>
      </c>
      <c r="AB1331" s="0" t="s">
        <v>96</v>
      </c>
      <c r="AD1331" s="0" t="n">
        <v>0</v>
      </c>
      <c r="AE1331" s="0" t="s">
        <v>295</v>
      </c>
      <c r="AH1331" s="0" t="n">
        <v>1</v>
      </c>
      <c r="AJ1331" s="0" t="n">
        <v>41</v>
      </c>
      <c r="AP1331" s="0" t="n">
        <v>134000</v>
      </c>
      <c r="DB1331" s="0" t="str">
        <f aca="false">IF($A1331="","",IF($AH1331=20,IF(AND(OR($A1331=21,$A1331=215),$AJ1331=10),"①病院一般",IF(AND($A1331=31,$AJ1331=41),"②病院短期","対象外")),IF($AJ1331=30,"③特定消防",IF(AND(OR($A1331=21,$A1331=215),$AJ1331=10),"④一般",IF(AND($A1331=31,$AJ1331=41),"⑤短期","対象外")))))</f>
        <v>⑤短期</v>
      </c>
      <c r="DC1331" s="0" t="n">
        <f aca="false">IF($A1331="","",IF($AB1331&amp;""=設定!$C$4,1,0))</f>
        <v>1</v>
      </c>
    </row>
    <row r="1332" customFormat="false" ht="15" hidden="false" customHeight="false" outlineLevel="0" collapsed="false">
      <c r="A1332" s="0" t="n">
        <v>31</v>
      </c>
      <c r="AA1332" s="0" t="n">
        <v>21</v>
      </c>
      <c r="AB1332" s="0" t="s">
        <v>96</v>
      </c>
      <c r="AD1332" s="0" t="n">
        <v>0</v>
      </c>
      <c r="AE1332" s="0" t="s">
        <v>295</v>
      </c>
      <c r="AH1332" s="0" t="n">
        <v>1</v>
      </c>
      <c r="AJ1332" s="0" t="n">
        <v>41</v>
      </c>
      <c r="AP1332" s="0" t="n">
        <v>200000</v>
      </c>
      <c r="DB1332" s="0" t="str">
        <f aca="false">IF($A1332="","",IF($AH1332=20,IF(AND(OR($A1332=21,$A1332=215),$AJ1332=10),"①病院一般",IF(AND($A1332=31,$AJ1332=41),"②病院短期","対象外")),IF($AJ1332=30,"③特定消防",IF(AND(OR($A1332=21,$A1332=215),$AJ1332=10),"④一般",IF(AND($A1332=31,$AJ1332=41),"⑤短期","対象外")))))</f>
        <v>⑤短期</v>
      </c>
      <c r="DC1332" s="0" t="n">
        <f aca="false">IF($A1332="","",IF($AB1332&amp;""=設定!$C$4,1,0))</f>
        <v>1</v>
      </c>
    </row>
    <row r="1333" customFormat="false" ht="15" hidden="false" customHeight="false" outlineLevel="0" collapsed="false">
      <c r="A1333" s="0" t="n">
        <v>31</v>
      </c>
      <c r="AA1333" s="0" t="n">
        <v>21</v>
      </c>
      <c r="AB1333" s="0" t="s">
        <v>96</v>
      </c>
      <c r="AD1333" s="0" t="n">
        <v>0</v>
      </c>
      <c r="AE1333" s="0" t="s">
        <v>295</v>
      </c>
      <c r="AH1333" s="0" t="n">
        <v>1</v>
      </c>
      <c r="AJ1333" s="0" t="n">
        <v>41</v>
      </c>
      <c r="AP1333" s="0" t="n">
        <v>142000</v>
      </c>
      <c r="DB1333" s="0" t="str">
        <f aca="false">IF($A1333="","",IF($AH1333=20,IF(AND(OR($A1333=21,$A1333=215),$AJ1333=10),"①病院一般",IF(AND($A1333=31,$AJ1333=41),"②病院短期","対象外")),IF($AJ1333=30,"③特定消防",IF(AND(OR($A1333=21,$A1333=215),$AJ1333=10),"④一般",IF(AND($A1333=31,$AJ1333=41),"⑤短期","対象外")))))</f>
        <v>⑤短期</v>
      </c>
      <c r="DC1333" s="0" t="n">
        <f aca="false">IF($A1333="","",IF($AB1333&amp;""=設定!$C$4,1,0))</f>
        <v>1</v>
      </c>
    </row>
    <row r="1334" customFormat="false" ht="15" hidden="false" customHeight="false" outlineLevel="0" collapsed="false">
      <c r="A1334" s="0" t="n">
        <v>31</v>
      </c>
      <c r="AA1334" s="0" t="n">
        <v>21</v>
      </c>
      <c r="AB1334" s="0" t="s">
        <v>96</v>
      </c>
      <c r="AD1334" s="0" t="n">
        <v>0</v>
      </c>
      <c r="AE1334" s="0" t="s">
        <v>295</v>
      </c>
      <c r="AH1334" s="0" t="n">
        <v>1</v>
      </c>
      <c r="AJ1334" s="0" t="n">
        <v>41</v>
      </c>
      <c r="AP1334" s="0" t="n">
        <v>190000</v>
      </c>
      <c r="DB1334" s="0" t="str">
        <f aca="false">IF($A1334="","",IF($AH1334=20,IF(AND(OR($A1334=21,$A1334=215),$AJ1334=10),"①病院一般",IF(AND($A1334=31,$AJ1334=41),"②病院短期","対象外")),IF($AJ1334=30,"③特定消防",IF(AND(OR($A1334=21,$A1334=215),$AJ1334=10),"④一般",IF(AND($A1334=31,$AJ1334=41),"⑤短期","対象外")))))</f>
        <v>⑤短期</v>
      </c>
      <c r="DC1334" s="0" t="n">
        <f aca="false">IF($A1334="","",IF($AB1334&amp;""=設定!$C$4,1,0))</f>
        <v>1</v>
      </c>
    </row>
    <row r="1335" customFormat="false" ht="15" hidden="false" customHeight="false" outlineLevel="0" collapsed="false">
      <c r="A1335" s="0" t="n">
        <v>31</v>
      </c>
      <c r="AA1335" s="0" t="n">
        <v>21</v>
      </c>
      <c r="AB1335" s="0" t="s">
        <v>96</v>
      </c>
      <c r="AD1335" s="0" t="n">
        <v>0</v>
      </c>
      <c r="AE1335" s="0" t="s">
        <v>295</v>
      </c>
      <c r="AH1335" s="0" t="n">
        <v>1</v>
      </c>
      <c r="AJ1335" s="0" t="n">
        <v>41</v>
      </c>
      <c r="AP1335" s="0" t="n">
        <v>260000</v>
      </c>
      <c r="DB1335" s="0" t="str">
        <f aca="false">IF($A1335="","",IF($AH1335=20,IF(AND(OR($A1335=21,$A1335=215),$AJ1335=10),"①病院一般",IF(AND($A1335=31,$AJ1335=41),"②病院短期","対象外")),IF($AJ1335=30,"③特定消防",IF(AND(OR($A1335=21,$A1335=215),$AJ1335=10),"④一般",IF(AND($A1335=31,$AJ1335=41),"⑤短期","対象外")))))</f>
        <v>⑤短期</v>
      </c>
      <c r="DC1335" s="0" t="n">
        <f aca="false">IF($A1335="","",IF($AB1335&amp;""=設定!$C$4,1,0))</f>
        <v>1</v>
      </c>
    </row>
    <row r="1336" customFormat="false" ht="15" hidden="false" customHeight="false" outlineLevel="0" collapsed="false">
      <c r="A1336" s="0" t="n">
        <v>31</v>
      </c>
      <c r="AA1336" s="0" t="n">
        <v>21</v>
      </c>
      <c r="AB1336" s="0" t="s">
        <v>96</v>
      </c>
      <c r="AD1336" s="0" t="n">
        <v>0</v>
      </c>
      <c r="AE1336" s="0" t="s">
        <v>295</v>
      </c>
      <c r="AH1336" s="0" t="n">
        <v>1</v>
      </c>
      <c r="AJ1336" s="0" t="n">
        <v>41</v>
      </c>
      <c r="AP1336" s="0" t="n">
        <v>190000</v>
      </c>
      <c r="DB1336" s="0" t="str">
        <f aca="false">IF($A1336="","",IF($AH1336=20,IF(AND(OR($A1336=21,$A1336=215),$AJ1336=10),"①病院一般",IF(AND($A1336=31,$AJ1336=41),"②病院短期","対象外")),IF($AJ1336=30,"③特定消防",IF(AND(OR($A1336=21,$A1336=215),$AJ1336=10),"④一般",IF(AND($A1336=31,$AJ1336=41),"⑤短期","対象外")))))</f>
        <v>⑤短期</v>
      </c>
      <c r="DC1336" s="0" t="n">
        <f aca="false">IF($A1336="","",IF($AB1336&amp;""=設定!$C$4,1,0))</f>
        <v>1</v>
      </c>
    </row>
    <row r="1337" customFormat="false" ht="15" hidden="false" customHeight="false" outlineLevel="0" collapsed="false">
      <c r="A1337" s="0" t="n">
        <v>31</v>
      </c>
      <c r="AA1337" s="0" t="n">
        <v>21</v>
      </c>
      <c r="AB1337" s="0" t="s">
        <v>96</v>
      </c>
      <c r="AD1337" s="0" t="n">
        <v>0</v>
      </c>
      <c r="AE1337" s="0" t="s">
        <v>295</v>
      </c>
      <c r="AH1337" s="0" t="n">
        <v>1</v>
      </c>
      <c r="AJ1337" s="0" t="n">
        <v>41</v>
      </c>
      <c r="AP1337" s="0" t="n">
        <v>260000</v>
      </c>
      <c r="DB1337" s="0" t="str">
        <f aca="false">IF($A1337="","",IF($AH1337=20,IF(AND(OR($A1337=21,$A1337=215),$AJ1337=10),"①病院一般",IF(AND($A1337=31,$AJ1337=41),"②病院短期","対象外")),IF($AJ1337=30,"③特定消防",IF(AND(OR($A1337=21,$A1337=215),$AJ1337=10),"④一般",IF(AND($A1337=31,$AJ1337=41),"⑤短期","対象外")))))</f>
        <v>⑤短期</v>
      </c>
      <c r="DC1337" s="0" t="n">
        <f aca="false">IF($A1337="","",IF($AB1337&amp;""=設定!$C$4,1,0))</f>
        <v>1</v>
      </c>
    </row>
    <row r="1338" customFormat="false" ht="15" hidden="false" customHeight="false" outlineLevel="0" collapsed="false">
      <c r="A1338" s="0" t="n">
        <v>31</v>
      </c>
      <c r="AA1338" s="0" t="n">
        <v>21</v>
      </c>
      <c r="AB1338" s="0" t="s">
        <v>96</v>
      </c>
      <c r="AD1338" s="0" t="n">
        <v>0</v>
      </c>
      <c r="AE1338" s="0" t="s">
        <v>295</v>
      </c>
      <c r="AH1338" s="0" t="n">
        <v>1</v>
      </c>
      <c r="AJ1338" s="0" t="n">
        <v>41</v>
      </c>
      <c r="AP1338" s="0" t="n">
        <v>260000</v>
      </c>
      <c r="DB1338" s="0" t="str">
        <f aca="false">IF($A1338="","",IF($AH1338=20,IF(AND(OR($A1338=21,$A1338=215),$AJ1338=10),"①病院一般",IF(AND($A1338=31,$AJ1338=41),"②病院短期","対象外")),IF($AJ1338=30,"③特定消防",IF(AND(OR($A1338=21,$A1338=215),$AJ1338=10),"④一般",IF(AND($A1338=31,$AJ1338=41),"⑤短期","対象外")))))</f>
        <v>⑤短期</v>
      </c>
      <c r="DC1338" s="0" t="n">
        <f aca="false">IF($A1338="","",IF($AB1338&amp;""=設定!$C$4,1,0))</f>
        <v>1</v>
      </c>
    </row>
    <row r="1339" customFormat="false" ht="15" hidden="false" customHeight="false" outlineLevel="0" collapsed="false">
      <c r="A1339" s="0" t="n">
        <v>31</v>
      </c>
      <c r="AA1339" s="0" t="n">
        <v>21</v>
      </c>
      <c r="AB1339" s="0" t="s">
        <v>96</v>
      </c>
      <c r="AD1339" s="0" t="n">
        <v>0</v>
      </c>
      <c r="AE1339" s="0" t="s">
        <v>295</v>
      </c>
      <c r="AH1339" s="0" t="n">
        <v>1</v>
      </c>
      <c r="AJ1339" s="0" t="n">
        <v>41</v>
      </c>
      <c r="AP1339" s="0" t="n">
        <v>260000</v>
      </c>
      <c r="DB1339" s="0" t="str">
        <f aca="false">IF($A1339="","",IF($AH1339=20,IF(AND(OR($A1339=21,$A1339=215),$AJ1339=10),"①病院一般",IF(AND($A1339=31,$AJ1339=41),"②病院短期","対象外")),IF($AJ1339=30,"③特定消防",IF(AND(OR($A1339=21,$A1339=215),$AJ1339=10),"④一般",IF(AND($A1339=31,$AJ1339=41),"⑤短期","対象外")))))</f>
        <v>⑤短期</v>
      </c>
      <c r="DC1339" s="0" t="n">
        <f aca="false">IF($A1339="","",IF($AB1339&amp;""=設定!$C$4,1,0))</f>
        <v>1</v>
      </c>
    </row>
    <row r="1340" customFormat="false" ht="15" hidden="false" customHeight="false" outlineLevel="0" collapsed="false">
      <c r="A1340" s="0" t="n">
        <v>31</v>
      </c>
      <c r="AA1340" s="0" t="n">
        <v>21</v>
      </c>
      <c r="AB1340" s="0" t="s">
        <v>96</v>
      </c>
      <c r="AD1340" s="0" t="n">
        <v>0</v>
      </c>
      <c r="AE1340" s="0" t="s">
        <v>295</v>
      </c>
      <c r="AH1340" s="0" t="n">
        <v>1</v>
      </c>
      <c r="AJ1340" s="0" t="n">
        <v>41</v>
      </c>
      <c r="AP1340" s="0" t="n">
        <v>260000</v>
      </c>
      <c r="DB1340" s="0" t="str">
        <f aca="false">IF($A1340="","",IF($AH1340=20,IF(AND(OR($A1340=21,$A1340=215),$AJ1340=10),"①病院一般",IF(AND($A1340=31,$AJ1340=41),"②病院短期","対象外")),IF($AJ1340=30,"③特定消防",IF(AND(OR($A1340=21,$A1340=215),$AJ1340=10),"④一般",IF(AND($A1340=31,$AJ1340=41),"⑤短期","対象外")))))</f>
        <v>⑤短期</v>
      </c>
      <c r="DC1340" s="0" t="n">
        <f aca="false">IF($A1340="","",IF($AB1340&amp;""=設定!$C$4,1,0))</f>
        <v>1</v>
      </c>
    </row>
    <row r="1341" customFormat="false" ht="15" hidden="false" customHeight="false" outlineLevel="0" collapsed="false">
      <c r="A1341" s="0" t="n">
        <v>31</v>
      </c>
      <c r="AA1341" s="0" t="n">
        <v>21</v>
      </c>
      <c r="AB1341" s="0" t="s">
        <v>96</v>
      </c>
      <c r="AD1341" s="0" t="n">
        <v>0</v>
      </c>
      <c r="AE1341" s="0" t="s">
        <v>295</v>
      </c>
      <c r="AH1341" s="0" t="n">
        <v>1</v>
      </c>
      <c r="AJ1341" s="0" t="n">
        <v>41</v>
      </c>
      <c r="AP1341" s="0" t="n">
        <v>260000</v>
      </c>
      <c r="DB1341" s="0" t="str">
        <f aca="false">IF($A1341="","",IF($AH1341=20,IF(AND(OR($A1341=21,$A1341=215),$AJ1341=10),"①病院一般",IF(AND($A1341=31,$AJ1341=41),"②病院短期","対象外")),IF($AJ1341=30,"③特定消防",IF(AND(OR($A1341=21,$A1341=215),$AJ1341=10),"④一般",IF(AND($A1341=31,$AJ1341=41),"⑤短期","対象外")))))</f>
        <v>⑤短期</v>
      </c>
      <c r="DC1341" s="0" t="n">
        <f aca="false">IF($A1341="","",IF($AB1341&amp;""=設定!$C$4,1,0))</f>
        <v>1</v>
      </c>
    </row>
    <row r="1342" customFormat="false" ht="15" hidden="false" customHeight="false" outlineLevel="0" collapsed="false">
      <c r="A1342" s="0" t="n">
        <v>31</v>
      </c>
      <c r="AA1342" s="0" t="n">
        <v>21</v>
      </c>
      <c r="AB1342" s="0" t="s">
        <v>96</v>
      </c>
      <c r="AD1342" s="0" t="n">
        <v>0</v>
      </c>
      <c r="AE1342" s="0" t="s">
        <v>295</v>
      </c>
      <c r="AH1342" s="0" t="n">
        <v>1</v>
      </c>
      <c r="AJ1342" s="0" t="n">
        <v>41</v>
      </c>
      <c r="AP1342" s="0" t="n">
        <v>260000</v>
      </c>
      <c r="DB1342" s="0" t="str">
        <f aca="false">IF($A1342="","",IF($AH1342=20,IF(AND(OR($A1342=21,$A1342=215),$AJ1342=10),"①病院一般",IF(AND($A1342=31,$AJ1342=41),"②病院短期","対象外")),IF($AJ1342=30,"③特定消防",IF(AND(OR($A1342=21,$A1342=215),$AJ1342=10),"④一般",IF(AND($A1342=31,$AJ1342=41),"⑤短期","対象外")))))</f>
        <v>⑤短期</v>
      </c>
      <c r="DC1342" s="0" t="n">
        <f aca="false">IF($A1342="","",IF($AB1342&amp;""=設定!$C$4,1,0))</f>
        <v>1</v>
      </c>
    </row>
    <row r="1343" customFormat="false" ht="15" hidden="false" customHeight="false" outlineLevel="0" collapsed="false">
      <c r="A1343" s="0" t="n">
        <v>31</v>
      </c>
      <c r="AA1343" s="0" t="n">
        <v>21</v>
      </c>
      <c r="AB1343" s="0" t="s">
        <v>96</v>
      </c>
      <c r="AD1343" s="0" t="n">
        <v>0</v>
      </c>
      <c r="AE1343" s="0" t="s">
        <v>295</v>
      </c>
      <c r="AH1343" s="0" t="n">
        <v>1</v>
      </c>
      <c r="AJ1343" s="0" t="n">
        <v>41</v>
      </c>
      <c r="AP1343" s="0" t="n">
        <v>260000</v>
      </c>
      <c r="DB1343" s="0" t="str">
        <f aca="false">IF($A1343="","",IF($AH1343=20,IF(AND(OR($A1343=21,$A1343=215),$AJ1343=10),"①病院一般",IF(AND($A1343=31,$AJ1343=41),"②病院短期","対象外")),IF($AJ1343=30,"③特定消防",IF(AND(OR($A1343=21,$A1343=215),$AJ1343=10),"④一般",IF(AND($A1343=31,$AJ1343=41),"⑤短期","対象外")))))</f>
        <v>⑤短期</v>
      </c>
      <c r="DC1343" s="0" t="n">
        <f aca="false">IF($A1343="","",IF($AB1343&amp;""=設定!$C$4,1,0))</f>
        <v>1</v>
      </c>
    </row>
    <row r="1344" customFormat="false" ht="15" hidden="false" customHeight="false" outlineLevel="0" collapsed="false">
      <c r="A1344" s="0" t="n">
        <v>31</v>
      </c>
      <c r="AA1344" s="0" t="n">
        <v>21</v>
      </c>
      <c r="AB1344" s="0" t="s">
        <v>96</v>
      </c>
      <c r="AD1344" s="0" t="n">
        <v>0</v>
      </c>
      <c r="AE1344" s="0" t="s">
        <v>295</v>
      </c>
      <c r="AH1344" s="0" t="n">
        <v>1</v>
      </c>
      <c r="AJ1344" s="0" t="n">
        <v>41</v>
      </c>
      <c r="AP1344" s="0" t="n">
        <v>260000</v>
      </c>
      <c r="DB1344" s="0" t="str">
        <f aca="false">IF($A1344="","",IF($AH1344=20,IF(AND(OR($A1344=21,$A1344=215),$AJ1344=10),"①病院一般",IF(AND($A1344=31,$AJ1344=41),"②病院短期","対象外")),IF($AJ1344=30,"③特定消防",IF(AND(OR($A1344=21,$A1344=215),$AJ1344=10),"④一般",IF(AND($A1344=31,$AJ1344=41),"⑤短期","対象外")))))</f>
        <v>⑤短期</v>
      </c>
      <c r="DC1344" s="0" t="n">
        <f aca="false">IF($A1344="","",IF($AB1344&amp;""=設定!$C$4,1,0))</f>
        <v>1</v>
      </c>
    </row>
    <row r="1345" customFormat="false" ht="15" hidden="false" customHeight="false" outlineLevel="0" collapsed="false">
      <c r="A1345" s="0" t="n">
        <v>31</v>
      </c>
      <c r="AA1345" s="0" t="n">
        <v>21</v>
      </c>
      <c r="AB1345" s="0" t="s">
        <v>96</v>
      </c>
      <c r="AD1345" s="0" t="n">
        <v>0</v>
      </c>
      <c r="AE1345" s="0" t="s">
        <v>295</v>
      </c>
      <c r="AH1345" s="0" t="n">
        <v>1</v>
      </c>
      <c r="AJ1345" s="0" t="n">
        <v>41</v>
      </c>
      <c r="AP1345" s="0" t="n">
        <v>260000</v>
      </c>
      <c r="DB1345" s="0" t="str">
        <f aca="false">IF($A1345="","",IF($AH1345=20,IF(AND(OR($A1345=21,$A1345=215),$AJ1345=10),"①病院一般",IF(AND($A1345=31,$AJ1345=41),"②病院短期","対象外")),IF($AJ1345=30,"③特定消防",IF(AND(OR($A1345=21,$A1345=215),$AJ1345=10),"④一般",IF(AND($A1345=31,$AJ1345=41),"⑤短期","対象外")))))</f>
        <v>⑤短期</v>
      </c>
      <c r="DC1345" s="0" t="n">
        <f aca="false">IF($A1345="","",IF($AB1345&amp;""=設定!$C$4,1,0))</f>
        <v>1</v>
      </c>
    </row>
    <row r="1346" customFormat="false" ht="15" hidden="false" customHeight="false" outlineLevel="0" collapsed="false">
      <c r="A1346" s="0" t="n">
        <v>31</v>
      </c>
      <c r="AA1346" s="0" t="n">
        <v>21</v>
      </c>
      <c r="AB1346" s="0" t="s">
        <v>96</v>
      </c>
      <c r="AD1346" s="0" t="n">
        <v>0</v>
      </c>
      <c r="AE1346" s="0" t="s">
        <v>295</v>
      </c>
      <c r="AH1346" s="0" t="n">
        <v>1</v>
      </c>
      <c r="AJ1346" s="0" t="n">
        <v>41</v>
      </c>
      <c r="AP1346" s="0" t="n">
        <v>260000</v>
      </c>
      <c r="DB1346" s="0" t="str">
        <f aca="false">IF($A1346="","",IF($AH1346=20,IF(AND(OR($A1346=21,$A1346=215),$AJ1346=10),"①病院一般",IF(AND($A1346=31,$AJ1346=41),"②病院短期","対象外")),IF($AJ1346=30,"③特定消防",IF(AND(OR($A1346=21,$A1346=215),$AJ1346=10),"④一般",IF(AND($A1346=31,$AJ1346=41),"⑤短期","対象外")))))</f>
        <v>⑤短期</v>
      </c>
      <c r="DC1346" s="0" t="n">
        <f aca="false">IF($A1346="","",IF($AB1346&amp;""=設定!$C$4,1,0))</f>
        <v>1</v>
      </c>
    </row>
    <row r="1347" customFormat="false" ht="15" hidden="false" customHeight="false" outlineLevel="0" collapsed="false">
      <c r="A1347" s="0" t="n">
        <v>31</v>
      </c>
      <c r="AA1347" s="0" t="n">
        <v>21</v>
      </c>
      <c r="AB1347" s="0" t="s">
        <v>96</v>
      </c>
      <c r="AD1347" s="0" t="n">
        <v>0</v>
      </c>
      <c r="AE1347" s="0" t="s">
        <v>295</v>
      </c>
      <c r="AH1347" s="0" t="n">
        <v>1</v>
      </c>
      <c r="AJ1347" s="0" t="n">
        <v>41</v>
      </c>
      <c r="AP1347" s="0" t="n">
        <v>260000</v>
      </c>
      <c r="DB1347" s="0" t="str">
        <f aca="false">IF($A1347="","",IF($AH1347=20,IF(AND(OR($A1347=21,$A1347=215),$AJ1347=10),"①病院一般",IF(AND($A1347=31,$AJ1347=41),"②病院短期","対象外")),IF($AJ1347=30,"③特定消防",IF(AND(OR($A1347=21,$A1347=215),$AJ1347=10),"④一般",IF(AND($A1347=31,$AJ1347=41),"⑤短期","対象外")))))</f>
        <v>⑤短期</v>
      </c>
      <c r="DC1347" s="0" t="n">
        <f aca="false">IF($A1347="","",IF($AB1347&amp;""=設定!$C$4,1,0))</f>
        <v>1</v>
      </c>
    </row>
    <row r="1348" customFormat="false" ht="15" hidden="false" customHeight="false" outlineLevel="0" collapsed="false">
      <c r="A1348" s="0" t="n">
        <v>31</v>
      </c>
      <c r="AA1348" s="0" t="n">
        <v>21</v>
      </c>
      <c r="AB1348" s="0" t="s">
        <v>96</v>
      </c>
      <c r="AD1348" s="0" t="n">
        <v>0</v>
      </c>
      <c r="AE1348" s="0" t="s">
        <v>295</v>
      </c>
      <c r="AH1348" s="0" t="n">
        <v>1</v>
      </c>
      <c r="AJ1348" s="0" t="n">
        <v>41</v>
      </c>
      <c r="AP1348" s="0" t="n">
        <v>260000</v>
      </c>
      <c r="DB1348" s="0" t="str">
        <f aca="false">IF($A1348="","",IF($AH1348=20,IF(AND(OR($A1348=21,$A1348=215),$AJ1348=10),"①病院一般",IF(AND($A1348=31,$AJ1348=41),"②病院短期","対象外")),IF($AJ1348=30,"③特定消防",IF(AND(OR($A1348=21,$A1348=215),$AJ1348=10),"④一般",IF(AND($A1348=31,$AJ1348=41),"⑤短期","対象外")))))</f>
        <v>⑤短期</v>
      </c>
      <c r="DC1348" s="0" t="n">
        <f aca="false">IF($A1348="","",IF($AB1348&amp;""=設定!$C$4,1,0))</f>
        <v>1</v>
      </c>
    </row>
    <row r="1349" customFormat="false" ht="15" hidden="false" customHeight="false" outlineLevel="0" collapsed="false">
      <c r="A1349" s="0" t="n">
        <v>31</v>
      </c>
      <c r="AA1349" s="0" t="n">
        <v>21</v>
      </c>
      <c r="AB1349" s="0" t="s">
        <v>96</v>
      </c>
      <c r="AD1349" s="0" t="n">
        <v>0</v>
      </c>
      <c r="AE1349" s="0" t="s">
        <v>295</v>
      </c>
      <c r="AH1349" s="0" t="n">
        <v>1</v>
      </c>
      <c r="AJ1349" s="0" t="n">
        <v>41</v>
      </c>
      <c r="AP1349" s="0" t="n">
        <v>280000</v>
      </c>
      <c r="DB1349" s="0" t="str">
        <f aca="false">IF($A1349="","",IF($AH1349=20,IF(AND(OR($A1349=21,$A1349=215),$AJ1349=10),"①病院一般",IF(AND($A1349=31,$AJ1349=41),"②病院短期","対象外")),IF($AJ1349=30,"③特定消防",IF(AND(OR($A1349=21,$A1349=215),$AJ1349=10),"④一般",IF(AND($A1349=31,$AJ1349=41),"⑤短期","対象外")))))</f>
        <v>⑤短期</v>
      </c>
      <c r="DC1349" s="0" t="n">
        <f aca="false">IF($A1349="","",IF($AB1349&amp;""=設定!$C$4,1,0))</f>
        <v>1</v>
      </c>
    </row>
    <row r="1350" customFormat="false" ht="15" hidden="false" customHeight="false" outlineLevel="0" collapsed="false">
      <c r="A1350" s="0" t="n">
        <v>31</v>
      </c>
      <c r="AA1350" s="0" t="n">
        <v>21</v>
      </c>
      <c r="AB1350" s="0" t="s">
        <v>96</v>
      </c>
      <c r="AD1350" s="0" t="n">
        <v>0</v>
      </c>
      <c r="AE1350" s="0" t="s">
        <v>295</v>
      </c>
      <c r="AH1350" s="0" t="n">
        <v>1</v>
      </c>
      <c r="AJ1350" s="0" t="n">
        <v>41</v>
      </c>
      <c r="AP1350" s="0" t="n">
        <v>260000</v>
      </c>
      <c r="DB1350" s="0" t="str">
        <f aca="false">IF($A1350="","",IF($AH1350=20,IF(AND(OR($A1350=21,$A1350=215),$AJ1350=10),"①病院一般",IF(AND($A1350=31,$AJ1350=41),"②病院短期","対象外")),IF($AJ1350=30,"③特定消防",IF(AND(OR($A1350=21,$A1350=215),$AJ1350=10),"④一般",IF(AND($A1350=31,$AJ1350=41),"⑤短期","対象外")))))</f>
        <v>⑤短期</v>
      </c>
      <c r="DC1350" s="0" t="n">
        <f aca="false">IF($A1350="","",IF($AB1350&amp;""=設定!$C$4,1,0))</f>
        <v>1</v>
      </c>
    </row>
    <row r="1351" customFormat="false" ht="15" hidden="false" customHeight="false" outlineLevel="0" collapsed="false">
      <c r="A1351" s="0" t="n">
        <v>31</v>
      </c>
      <c r="AA1351" s="0" t="n">
        <v>21</v>
      </c>
      <c r="AB1351" s="0" t="s">
        <v>96</v>
      </c>
      <c r="AD1351" s="0" t="n">
        <v>0</v>
      </c>
      <c r="AE1351" s="0" t="s">
        <v>295</v>
      </c>
      <c r="AH1351" s="0" t="n">
        <v>1</v>
      </c>
      <c r="AJ1351" s="0" t="n">
        <v>41</v>
      </c>
      <c r="AP1351" s="0" t="n">
        <v>260000</v>
      </c>
      <c r="DB1351" s="0" t="str">
        <f aca="false">IF($A1351="","",IF($AH1351=20,IF(AND(OR($A1351=21,$A1351=215),$AJ1351=10),"①病院一般",IF(AND($A1351=31,$AJ1351=41),"②病院短期","対象外")),IF($AJ1351=30,"③特定消防",IF(AND(OR($A1351=21,$A1351=215),$AJ1351=10),"④一般",IF(AND($A1351=31,$AJ1351=41),"⑤短期","対象外")))))</f>
        <v>⑤短期</v>
      </c>
      <c r="DC1351" s="0" t="n">
        <f aca="false">IF($A1351="","",IF($AB1351&amp;""=設定!$C$4,1,0))</f>
        <v>1</v>
      </c>
    </row>
    <row r="1352" customFormat="false" ht="15" hidden="false" customHeight="false" outlineLevel="0" collapsed="false">
      <c r="A1352" s="0" t="n">
        <v>31</v>
      </c>
      <c r="AA1352" s="0" t="n">
        <v>21</v>
      </c>
      <c r="AB1352" s="0" t="s">
        <v>96</v>
      </c>
      <c r="AD1352" s="0" t="n">
        <v>0</v>
      </c>
      <c r="AE1352" s="0" t="s">
        <v>295</v>
      </c>
      <c r="AH1352" s="0" t="n">
        <v>1</v>
      </c>
      <c r="AJ1352" s="0" t="n">
        <v>41</v>
      </c>
      <c r="AP1352" s="0" t="n">
        <v>260000</v>
      </c>
      <c r="DB1352" s="0" t="str">
        <f aca="false">IF($A1352="","",IF($AH1352=20,IF(AND(OR($A1352=21,$A1352=215),$AJ1352=10),"①病院一般",IF(AND($A1352=31,$AJ1352=41),"②病院短期","対象外")),IF($AJ1352=30,"③特定消防",IF(AND(OR($A1352=21,$A1352=215),$AJ1352=10),"④一般",IF(AND($A1352=31,$AJ1352=41),"⑤短期","対象外")))))</f>
        <v>⑤短期</v>
      </c>
      <c r="DC1352" s="0" t="n">
        <f aca="false">IF($A1352="","",IF($AB1352&amp;""=設定!$C$4,1,0))</f>
        <v>1</v>
      </c>
    </row>
    <row r="1353" customFormat="false" ht="15" hidden="false" customHeight="false" outlineLevel="0" collapsed="false">
      <c r="A1353" s="0" t="n">
        <v>31</v>
      </c>
      <c r="AA1353" s="0" t="n">
        <v>21</v>
      </c>
      <c r="AB1353" s="0" t="s">
        <v>96</v>
      </c>
      <c r="AD1353" s="0" t="n">
        <v>0</v>
      </c>
      <c r="AE1353" s="0" t="s">
        <v>295</v>
      </c>
      <c r="AH1353" s="0" t="n">
        <v>1</v>
      </c>
      <c r="AJ1353" s="0" t="n">
        <v>41</v>
      </c>
      <c r="AP1353" s="0" t="n">
        <v>280000</v>
      </c>
      <c r="DB1353" s="0" t="str">
        <f aca="false">IF($A1353="","",IF($AH1353=20,IF(AND(OR($A1353=21,$A1353=215),$AJ1353=10),"①病院一般",IF(AND($A1353=31,$AJ1353=41),"②病院短期","対象外")),IF($AJ1353=30,"③特定消防",IF(AND(OR($A1353=21,$A1353=215),$AJ1353=10),"④一般",IF(AND($A1353=31,$AJ1353=41),"⑤短期","対象外")))))</f>
        <v>⑤短期</v>
      </c>
      <c r="DC1353" s="0" t="n">
        <f aca="false">IF($A1353="","",IF($AB1353&amp;""=設定!$C$4,1,0))</f>
        <v>1</v>
      </c>
    </row>
    <row r="1354" customFormat="false" ht="15" hidden="false" customHeight="false" outlineLevel="0" collapsed="false">
      <c r="A1354" s="0" t="n">
        <v>31</v>
      </c>
      <c r="AA1354" s="0" t="n">
        <v>21</v>
      </c>
      <c r="AB1354" s="0" t="s">
        <v>96</v>
      </c>
      <c r="AD1354" s="0" t="n">
        <v>0</v>
      </c>
      <c r="AE1354" s="0" t="s">
        <v>295</v>
      </c>
      <c r="AH1354" s="0" t="n">
        <v>1</v>
      </c>
      <c r="AJ1354" s="0" t="n">
        <v>41</v>
      </c>
      <c r="AP1354" s="0" t="n">
        <v>142000</v>
      </c>
      <c r="DB1354" s="0" t="str">
        <f aca="false">IF($A1354="","",IF($AH1354=20,IF(AND(OR($A1354=21,$A1354=215),$AJ1354=10),"①病院一般",IF(AND($A1354=31,$AJ1354=41),"②病院短期","対象外")),IF($AJ1354=30,"③特定消防",IF(AND(OR($A1354=21,$A1354=215),$AJ1354=10),"④一般",IF(AND($A1354=31,$AJ1354=41),"⑤短期","対象外")))))</f>
        <v>⑤短期</v>
      </c>
      <c r="DC1354" s="0" t="n">
        <f aca="false">IF($A1354="","",IF($AB1354&amp;""=設定!$C$4,1,0))</f>
        <v>1</v>
      </c>
    </row>
    <row r="1355" customFormat="false" ht="15" hidden="false" customHeight="false" outlineLevel="0" collapsed="false">
      <c r="A1355" s="0" t="n">
        <v>31</v>
      </c>
      <c r="AA1355" s="0" t="n">
        <v>21</v>
      </c>
      <c r="AB1355" s="0" t="s">
        <v>96</v>
      </c>
      <c r="AD1355" s="0" t="n">
        <v>0</v>
      </c>
      <c r="AE1355" s="0" t="s">
        <v>295</v>
      </c>
      <c r="AH1355" s="0" t="n">
        <v>1</v>
      </c>
      <c r="AJ1355" s="0" t="n">
        <v>41</v>
      </c>
      <c r="AP1355" s="0" t="n">
        <v>260000</v>
      </c>
      <c r="DB1355" s="0" t="str">
        <f aca="false">IF($A1355="","",IF($AH1355=20,IF(AND(OR($A1355=21,$A1355=215),$AJ1355=10),"①病院一般",IF(AND($A1355=31,$AJ1355=41),"②病院短期","対象外")),IF($AJ1355=30,"③特定消防",IF(AND(OR($A1355=21,$A1355=215),$AJ1355=10),"④一般",IF(AND($A1355=31,$AJ1355=41),"⑤短期","対象外")))))</f>
        <v>⑤短期</v>
      </c>
      <c r="DC1355" s="0" t="n">
        <f aca="false">IF($A1355="","",IF($AB1355&amp;""=設定!$C$4,1,0))</f>
        <v>1</v>
      </c>
    </row>
    <row r="1356" customFormat="false" ht="15" hidden="false" customHeight="false" outlineLevel="0" collapsed="false">
      <c r="A1356" s="0" t="n">
        <v>31</v>
      </c>
      <c r="AA1356" s="0" t="n">
        <v>21</v>
      </c>
      <c r="AB1356" s="0" t="s">
        <v>96</v>
      </c>
      <c r="AD1356" s="0" t="n">
        <v>0</v>
      </c>
      <c r="AE1356" s="0" t="s">
        <v>295</v>
      </c>
      <c r="AH1356" s="0" t="n">
        <v>1</v>
      </c>
      <c r="AJ1356" s="0" t="n">
        <v>41</v>
      </c>
      <c r="AP1356" s="0" t="n">
        <v>260000</v>
      </c>
      <c r="DB1356" s="0" t="str">
        <f aca="false">IF($A1356="","",IF($AH1356=20,IF(AND(OR($A1356=21,$A1356=215),$AJ1356=10),"①病院一般",IF(AND($A1356=31,$AJ1356=41),"②病院短期","対象外")),IF($AJ1356=30,"③特定消防",IF(AND(OR($A1356=21,$A1356=215),$AJ1356=10),"④一般",IF(AND($A1356=31,$AJ1356=41),"⑤短期","対象外")))))</f>
        <v>⑤短期</v>
      </c>
      <c r="DC1356" s="0" t="n">
        <f aca="false">IF($A1356="","",IF($AB1356&amp;""=設定!$C$4,1,0))</f>
        <v>1</v>
      </c>
    </row>
    <row r="1357" customFormat="false" ht="15" hidden="false" customHeight="false" outlineLevel="0" collapsed="false">
      <c r="A1357" s="0" t="n">
        <v>31</v>
      </c>
      <c r="AA1357" s="0" t="n">
        <v>21</v>
      </c>
      <c r="AB1357" s="0" t="s">
        <v>96</v>
      </c>
      <c r="AD1357" s="0" t="n">
        <v>0</v>
      </c>
      <c r="AE1357" s="0" t="s">
        <v>295</v>
      </c>
      <c r="AH1357" s="0" t="n">
        <v>1</v>
      </c>
      <c r="AJ1357" s="0" t="n">
        <v>41</v>
      </c>
      <c r="AP1357" s="0" t="n">
        <v>134000</v>
      </c>
      <c r="DB1357" s="0" t="str">
        <f aca="false">IF($A1357="","",IF($AH1357=20,IF(AND(OR($A1357=21,$A1357=215),$AJ1357=10),"①病院一般",IF(AND($A1357=31,$AJ1357=41),"②病院短期","対象外")),IF($AJ1357=30,"③特定消防",IF(AND(OR($A1357=21,$A1357=215),$AJ1357=10),"④一般",IF(AND($A1357=31,$AJ1357=41),"⑤短期","対象外")))))</f>
        <v>⑤短期</v>
      </c>
      <c r="DC1357" s="0" t="n">
        <f aca="false">IF($A1357="","",IF($AB1357&amp;""=設定!$C$4,1,0))</f>
        <v>1</v>
      </c>
    </row>
    <row r="1358" customFormat="false" ht="15" hidden="false" customHeight="false" outlineLevel="0" collapsed="false">
      <c r="A1358" s="0" t="n">
        <v>31</v>
      </c>
      <c r="AA1358" s="0" t="n">
        <v>21</v>
      </c>
      <c r="AB1358" s="0" t="s">
        <v>96</v>
      </c>
      <c r="AD1358" s="0" t="n">
        <v>0</v>
      </c>
      <c r="AE1358" s="0" t="s">
        <v>295</v>
      </c>
      <c r="AH1358" s="0" t="n">
        <v>1</v>
      </c>
      <c r="AJ1358" s="0" t="n">
        <v>41</v>
      </c>
      <c r="AP1358" s="0" t="n">
        <v>200000</v>
      </c>
      <c r="DB1358" s="0" t="str">
        <f aca="false">IF($A1358="","",IF($AH1358=20,IF(AND(OR($A1358=21,$A1358=215),$AJ1358=10),"①病院一般",IF(AND($A1358=31,$AJ1358=41),"②病院短期","対象外")),IF($AJ1358=30,"③特定消防",IF(AND(OR($A1358=21,$A1358=215),$AJ1358=10),"④一般",IF(AND($A1358=31,$AJ1358=41),"⑤短期","対象外")))))</f>
        <v>⑤短期</v>
      </c>
      <c r="DC1358" s="0" t="n">
        <f aca="false">IF($A1358="","",IF($AB1358&amp;""=設定!$C$4,1,0))</f>
        <v>1</v>
      </c>
    </row>
    <row r="1359" customFormat="false" ht="15" hidden="false" customHeight="false" outlineLevel="0" collapsed="false">
      <c r="A1359" s="0" t="n">
        <v>31</v>
      </c>
      <c r="AA1359" s="0" t="n">
        <v>21</v>
      </c>
      <c r="AB1359" s="0" t="s">
        <v>96</v>
      </c>
      <c r="AD1359" s="0" t="n">
        <v>0</v>
      </c>
      <c r="AE1359" s="0" t="s">
        <v>295</v>
      </c>
      <c r="AH1359" s="0" t="n">
        <v>1</v>
      </c>
      <c r="AJ1359" s="0" t="n">
        <v>41</v>
      </c>
      <c r="AP1359" s="0" t="n">
        <v>190000</v>
      </c>
      <c r="DB1359" s="0" t="str">
        <f aca="false">IF($A1359="","",IF($AH1359=20,IF(AND(OR($A1359=21,$A1359=215),$AJ1359=10),"①病院一般",IF(AND($A1359=31,$AJ1359=41),"②病院短期","対象外")),IF($AJ1359=30,"③特定消防",IF(AND(OR($A1359=21,$A1359=215),$AJ1359=10),"④一般",IF(AND($A1359=31,$AJ1359=41),"⑤短期","対象外")))))</f>
        <v>⑤短期</v>
      </c>
      <c r="DC1359" s="0" t="n">
        <f aca="false">IF($A1359="","",IF($AB1359&amp;""=設定!$C$4,1,0))</f>
        <v>1</v>
      </c>
    </row>
    <row r="1360" customFormat="false" ht="15" hidden="false" customHeight="false" outlineLevel="0" collapsed="false">
      <c r="A1360" s="0" t="n">
        <v>31</v>
      </c>
      <c r="AA1360" s="0" t="n">
        <v>21</v>
      </c>
      <c r="AB1360" s="0" t="s">
        <v>96</v>
      </c>
      <c r="AD1360" s="0" t="n">
        <v>0</v>
      </c>
      <c r="AE1360" s="0" t="s">
        <v>295</v>
      </c>
      <c r="AH1360" s="0" t="n">
        <v>1</v>
      </c>
      <c r="AJ1360" s="0" t="n">
        <v>41</v>
      </c>
      <c r="AP1360" s="0" t="n">
        <v>200000</v>
      </c>
      <c r="DB1360" s="0" t="str">
        <f aca="false">IF($A1360="","",IF($AH1360=20,IF(AND(OR($A1360=21,$A1360=215),$AJ1360=10),"①病院一般",IF(AND($A1360=31,$AJ1360=41),"②病院短期","対象外")),IF($AJ1360=30,"③特定消防",IF(AND(OR($A1360=21,$A1360=215),$AJ1360=10),"④一般",IF(AND($A1360=31,$AJ1360=41),"⑤短期","対象外")))))</f>
        <v>⑤短期</v>
      </c>
      <c r="DC1360" s="0" t="n">
        <f aca="false">IF($A1360="","",IF($AB1360&amp;""=設定!$C$4,1,0))</f>
        <v>1</v>
      </c>
    </row>
    <row r="1361" customFormat="false" ht="15" hidden="false" customHeight="false" outlineLevel="0" collapsed="false">
      <c r="A1361" s="0" t="n">
        <v>31</v>
      </c>
      <c r="AA1361" s="0" t="n">
        <v>21</v>
      </c>
      <c r="AB1361" s="0" t="s">
        <v>96</v>
      </c>
      <c r="AD1361" s="0" t="n">
        <v>0</v>
      </c>
      <c r="AE1361" s="0" t="s">
        <v>295</v>
      </c>
      <c r="AH1361" s="0" t="n">
        <v>1</v>
      </c>
      <c r="AJ1361" s="0" t="n">
        <v>41</v>
      </c>
      <c r="AP1361" s="0" t="n">
        <v>260000</v>
      </c>
      <c r="DB1361" s="0" t="str">
        <f aca="false">IF($A1361="","",IF($AH1361=20,IF(AND(OR($A1361=21,$A1361=215),$AJ1361=10),"①病院一般",IF(AND($A1361=31,$AJ1361=41),"②病院短期","対象外")),IF($AJ1361=30,"③特定消防",IF(AND(OR($A1361=21,$A1361=215),$AJ1361=10),"④一般",IF(AND($A1361=31,$AJ1361=41),"⑤短期","対象外")))))</f>
        <v>⑤短期</v>
      </c>
      <c r="DC1361" s="0" t="n">
        <f aca="false">IF($A1361="","",IF($AB1361&amp;""=設定!$C$4,1,0))</f>
        <v>1</v>
      </c>
    </row>
    <row r="1362" customFormat="false" ht="15" hidden="false" customHeight="false" outlineLevel="0" collapsed="false">
      <c r="A1362" s="0" t="n">
        <v>31</v>
      </c>
      <c r="AA1362" s="0" t="n">
        <v>21</v>
      </c>
      <c r="AB1362" s="0" t="s">
        <v>96</v>
      </c>
      <c r="AD1362" s="0" t="n">
        <v>0</v>
      </c>
      <c r="AE1362" s="0" t="s">
        <v>295</v>
      </c>
      <c r="AH1362" s="0" t="n">
        <v>1</v>
      </c>
      <c r="AJ1362" s="0" t="n">
        <v>41</v>
      </c>
      <c r="AP1362" s="0" t="n">
        <v>200000</v>
      </c>
      <c r="DB1362" s="0" t="str">
        <f aca="false">IF($A1362="","",IF($AH1362=20,IF(AND(OR($A1362=21,$A1362=215),$AJ1362=10),"①病院一般",IF(AND($A1362=31,$AJ1362=41),"②病院短期","対象外")),IF($AJ1362=30,"③特定消防",IF(AND(OR($A1362=21,$A1362=215),$AJ1362=10),"④一般",IF(AND($A1362=31,$AJ1362=41),"⑤短期","対象外")))))</f>
        <v>⑤短期</v>
      </c>
      <c r="DC1362" s="0" t="n">
        <f aca="false">IF($A1362="","",IF($AB1362&amp;""=設定!$C$4,1,0))</f>
        <v>1</v>
      </c>
    </row>
    <row r="1363" customFormat="false" ht="15" hidden="false" customHeight="false" outlineLevel="0" collapsed="false">
      <c r="A1363" s="0" t="n">
        <v>31</v>
      </c>
      <c r="AA1363" s="0" t="n">
        <v>21</v>
      </c>
      <c r="AB1363" s="0" t="s">
        <v>96</v>
      </c>
      <c r="AD1363" s="0" t="n">
        <v>0</v>
      </c>
      <c r="AE1363" s="0" t="s">
        <v>295</v>
      </c>
      <c r="AH1363" s="0" t="n">
        <v>1</v>
      </c>
      <c r="AJ1363" s="0" t="n">
        <v>41</v>
      </c>
      <c r="AP1363" s="0" t="n">
        <v>200000</v>
      </c>
      <c r="DB1363" s="0" t="str">
        <f aca="false">IF($A1363="","",IF($AH1363=20,IF(AND(OR($A1363=21,$A1363=215),$AJ1363=10),"①病院一般",IF(AND($A1363=31,$AJ1363=41),"②病院短期","対象外")),IF($AJ1363=30,"③特定消防",IF(AND(OR($A1363=21,$A1363=215),$AJ1363=10),"④一般",IF(AND($A1363=31,$AJ1363=41),"⑤短期","対象外")))))</f>
        <v>⑤短期</v>
      </c>
      <c r="DC1363" s="0" t="n">
        <f aca="false">IF($A1363="","",IF($AB1363&amp;""=設定!$C$4,1,0))</f>
        <v>1</v>
      </c>
    </row>
    <row r="1364" customFormat="false" ht="15" hidden="false" customHeight="false" outlineLevel="0" collapsed="false">
      <c r="A1364" s="0" t="n">
        <v>31</v>
      </c>
      <c r="AA1364" s="0" t="n">
        <v>21</v>
      </c>
      <c r="AB1364" s="0" t="s">
        <v>96</v>
      </c>
      <c r="AD1364" s="0" t="n">
        <v>0</v>
      </c>
      <c r="AE1364" s="0" t="s">
        <v>295</v>
      </c>
      <c r="AH1364" s="0" t="n">
        <v>1</v>
      </c>
      <c r="AJ1364" s="0" t="n">
        <v>41</v>
      </c>
      <c r="AP1364" s="0" t="n">
        <v>190000</v>
      </c>
      <c r="DB1364" s="0" t="str">
        <f aca="false">IF($A1364="","",IF($AH1364=20,IF(AND(OR($A1364=21,$A1364=215),$AJ1364=10),"①病院一般",IF(AND($A1364=31,$AJ1364=41),"②病院短期","対象外")),IF($AJ1364=30,"③特定消防",IF(AND(OR($A1364=21,$A1364=215),$AJ1364=10),"④一般",IF(AND($A1364=31,$AJ1364=41),"⑤短期","対象外")))))</f>
        <v>⑤短期</v>
      </c>
      <c r="DC1364" s="0" t="n">
        <f aca="false">IF($A1364="","",IF($AB1364&amp;""=設定!$C$4,1,0))</f>
        <v>1</v>
      </c>
    </row>
    <row r="1365" customFormat="false" ht="15" hidden="false" customHeight="false" outlineLevel="0" collapsed="false">
      <c r="A1365" s="0" t="n">
        <v>31</v>
      </c>
      <c r="AA1365" s="0" t="n">
        <v>21</v>
      </c>
      <c r="AB1365" s="0" t="s">
        <v>96</v>
      </c>
      <c r="AD1365" s="0" t="n">
        <v>0</v>
      </c>
      <c r="AE1365" s="0" t="s">
        <v>295</v>
      </c>
      <c r="AH1365" s="0" t="n">
        <v>1</v>
      </c>
      <c r="AJ1365" s="0" t="n">
        <v>41</v>
      </c>
      <c r="AP1365" s="0" t="n">
        <v>190000</v>
      </c>
      <c r="DB1365" s="0" t="str">
        <f aca="false">IF($A1365="","",IF($AH1365=20,IF(AND(OR($A1365=21,$A1365=215),$AJ1365=10),"①病院一般",IF(AND($A1365=31,$AJ1365=41),"②病院短期","対象外")),IF($AJ1365=30,"③特定消防",IF(AND(OR($A1365=21,$A1365=215),$AJ1365=10),"④一般",IF(AND($A1365=31,$AJ1365=41),"⑤短期","対象外")))))</f>
        <v>⑤短期</v>
      </c>
      <c r="DC1365" s="0" t="n">
        <f aca="false">IF($A1365="","",IF($AB1365&amp;""=設定!$C$4,1,0))</f>
        <v>1</v>
      </c>
    </row>
    <row r="1366" customFormat="false" ht="15" hidden="false" customHeight="false" outlineLevel="0" collapsed="false">
      <c r="A1366" s="0" t="n">
        <v>31</v>
      </c>
      <c r="AA1366" s="0" t="n">
        <v>21</v>
      </c>
      <c r="AB1366" s="0" t="s">
        <v>96</v>
      </c>
      <c r="AD1366" s="0" t="n">
        <v>0</v>
      </c>
      <c r="AE1366" s="0" t="s">
        <v>295</v>
      </c>
      <c r="AH1366" s="0" t="n">
        <v>1</v>
      </c>
      <c r="AJ1366" s="0" t="n">
        <v>41</v>
      </c>
      <c r="AP1366" s="0" t="n">
        <v>220000</v>
      </c>
      <c r="DB1366" s="0" t="str">
        <f aca="false">IF($A1366="","",IF($AH1366=20,IF(AND(OR($A1366=21,$A1366=215),$AJ1366=10),"①病院一般",IF(AND($A1366=31,$AJ1366=41),"②病院短期","対象外")),IF($AJ1366=30,"③特定消防",IF(AND(OR($A1366=21,$A1366=215),$AJ1366=10),"④一般",IF(AND($A1366=31,$AJ1366=41),"⑤短期","対象外")))))</f>
        <v>⑤短期</v>
      </c>
      <c r="DC1366" s="0" t="n">
        <f aca="false">IF($A1366="","",IF($AB1366&amp;""=設定!$C$4,1,0))</f>
        <v>1</v>
      </c>
    </row>
    <row r="1367" customFormat="false" ht="15" hidden="false" customHeight="false" outlineLevel="0" collapsed="false">
      <c r="A1367" s="0" t="n">
        <v>31</v>
      </c>
      <c r="AA1367" s="0" t="n">
        <v>21</v>
      </c>
      <c r="AB1367" s="0" t="s">
        <v>96</v>
      </c>
      <c r="AD1367" s="0" t="n">
        <v>0</v>
      </c>
      <c r="AE1367" s="0" t="s">
        <v>295</v>
      </c>
      <c r="AH1367" s="0" t="n">
        <v>1</v>
      </c>
      <c r="AJ1367" s="0" t="n">
        <v>41</v>
      </c>
      <c r="AP1367" s="0" t="n">
        <v>190000</v>
      </c>
      <c r="DB1367" s="0" t="str">
        <f aca="false">IF($A1367="","",IF($AH1367=20,IF(AND(OR($A1367=21,$A1367=215),$AJ1367=10),"①病院一般",IF(AND($A1367=31,$AJ1367=41),"②病院短期","対象外")),IF($AJ1367=30,"③特定消防",IF(AND(OR($A1367=21,$A1367=215),$AJ1367=10),"④一般",IF(AND($A1367=31,$AJ1367=41),"⑤短期","対象外")))))</f>
        <v>⑤短期</v>
      </c>
      <c r="DC1367" s="0" t="n">
        <f aca="false">IF($A1367="","",IF($AB1367&amp;""=設定!$C$4,1,0))</f>
        <v>1</v>
      </c>
    </row>
    <row r="1368" customFormat="false" ht="15" hidden="false" customHeight="false" outlineLevel="0" collapsed="false">
      <c r="A1368" s="0" t="n">
        <v>31</v>
      </c>
      <c r="AA1368" s="0" t="n">
        <v>21</v>
      </c>
      <c r="AB1368" s="0" t="s">
        <v>96</v>
      </c>
      <c r="AD1368" s="0" t="n">
        <v>0</v>
      </c>
      <c r="AE1368" s="0" t="s">
        <v>295</v>
      </c>
      <c r="AH1368" s="0" t="n">
        <v>1</v>
      </c>
      <c r="AJ1368" s="0" t="n">
        <v>41</v>
      </c>
      <c r="AP1368" s="0" t="n">
        <v>190000</v>
      </c>
      <c r="DB1368" s="0" t="str">
        <f aca="false">IF($A1368="","",IF($AH1368=20,IF(AND(OR($A1368=21,$A1368=215),$AJ1368=10),"①病院一般",IF(AND($A1368=31,$AJ1368=41),"②病院短期","対象外")),IF($AJ1368=30,"③特定消防",IF(AND(OR($A1368=21,$A1368=215),$AJ1368=10),"④一般",IF(AND($A1368=31,$AJ1368=41),"⑤短期","対象外")))))</f>
        <v>⑤短期</v>
      </c>
      <c r="DC1368" s="0" t="n">
        <f aca="false">IF($A1368="","",IF($AB1368&amp;""=設定!$C$4,1,0))</f>
        <v>1</v>
      </c>
    </row>
    <row r="1369" customFormat="false" ht="15" hidden="false" customHeight="false" outlineLevel="0" collapsed="false">
      <c r="A1369" s="0" t="n">
        <v>31</v>
      </c>
      <c r="AA1369" s="0" t="n">
        <v>21</v>
      </c>
      <c r="AB1369" s="0" t="s">
        <v>96</v>
      </c>
      <c r="AD1369" s="0" t="n">
        <v>0</v>
      </c>
      <c r="AE1369" s="0" t="s">
        <v>295</v>
      </c>
      <c r="AH1369" s="0" t="n">
        <v>1</v>
      </c>
      <c r="AJ1369" s="0" t="n">
        <v>41</v>
      </c>
      <c r="AP1369" s="0" t="n">
        <v>190000</v>
      </c>
      <c r="DB1369" s="0" t="str">
        <f aca="false">IF($A1369="","",IF($AH1369=20,IF(AND(OR($A1369=21,$A1369=215),$AJ1369=10),"①病院一般",IF(AND($A1369=31,$AJ1369=41),"②病院短期","対象外")),IF($AJ1369=30,"③特定消防",IF(AND(OR($A1369=21,$A1369=215),$AJ1369=10),"④一般",IF(AND($A1369=31,$AJ1369=41),"⑤短期","対象外")))))</f>
        <v>⑤短期</v>
      </c>
      <c r="DC1369" s="0" t="n">
        <f aca="false">IF($A1369="","",IF($AB1369&amp;""=設定!$C$4,1,0))</f>
        <v>1</v>
      </c>
    </row>
    <row r="1370" customFormat="false" ht="15" hidden="false" customHeight="false" outlineLevel="0" collapsed="false">
      <c r="A1370" s="0" t="n">
        <v>31</v>
      </c>
      <c r="AA1370" s="0" t="n">
        <v>21</v>
      </c>
      <c r="AB1370" s="0" t="s">
        <v>96</v>
      </c>
      <c r="AD1370" s="0" t="n">
        <v>0</v>
      </c>
      <c r="AE1370" s="0" t="s">
        <v>295</v>
      </c>
      <c r="AH1370" s="0" t="n">
        <v>1</v>
      </c>
      <c r="AJ1370" s="0" t="n">
        <v>41</v>
      </c>
      <c r="AP1370" s="0" t="n">
        <v>200000</v>
      </c>
      <c r="DB1370" s="0" t="str">
        <f aca="false">IF($A1370="","",IF($AH1370=20,IF(AND(OR($A1370=21,$A1370=215),$AJ1370=10),"①病院一般",IF(AND($A1370=31,$AJ1370=41),"②病院短期","対象外")),IF($AJ1370=30,"③特定消防",IF(AND(OR($A1370=21,$A1370=215),$AJ1370=10),"④一般",IF(AND($A1370=31,$AJ1370=41),"⑤短期","対象外")))))</f>
        <v>⑤短期</v>
      </c>
      <c r="DC1370" s="0" t="n">
        <f aca="false">IF($A1370="","",IF($AB1370&amp;""=設定!$C$4,1,0))</f>
        <v>1</v>
      </c>
    </row>
    <row r="1371" customFormat="false" ht="15" hidden="false" customHeight="false" outlineLevel="0" collapsed="false">
      <c r="A1371" s="0" t="n">
        <v>31</v>
      </c>
      <c r="AA1371" s="0" t="n">
        <v>21</v>
      </c>
      <c r="AB1371" s="0" t="s">
        <v>96</v>
      </c>
      <c r="AD1371" s="0" t="n">
        <v>0</v>
      </c>
      <c r="AE1371" s="0" t="s">
        <v>295</v>
      </c>
      <c r="AH1371" s="0" t="n">
        <v>1</v>
      </c>
      <c r="AJ1371" s="0" t="n">
        <v>41</v>
      </c>
      <c r="AP1371" s="0" t="n">
        <v>190000</v>
      </c>
      <c r="DB1371" s="0" t="str">
        <f aca="false">IF($A1371="","",IF($AH1371=20,IF(AND(OR($A1371=21,$A1371=215),$AJ1371=10),"①病院一般",IF(AND($A1371=31,$AJ1371=41),"②病院短期","対象外")),IF($AJ1371=30,"③特定消防",IF(AND(OR($A1371=21,$A1371=215),$AJ1371=10),"④一般",IF(AND($A1371=31,$AJ1371=41),"⑤短期","対象外")))))</f>
        <v>⑤短期</v>
      </c>
      <c r="DC1371" s="0" t="n">
        <f aca="false">IF($A1371="","",IF($AB1371&amp;""=設定!$C$4,1,0))</f>
        <v>1</v>
      </c>
    </row>
    <row r="1372" customFormat="false" ht="15" hidden="false" customHeight="false" outlineLevel="0" collapsed="false">
      <c r="A1372" s="0" t="n">
        <v>31</v>
      </c>
      <c r="AA1372" s="0" t="n">
        <v>21</v>
      </c>
      <c r="AB1372" s="0" t="s">
        <v>96</v>
      </c>
      <c r="AD1372" s="0" t="n">
        <v>0</v>
      </c>
      <c r="AE1372" s="0" t="s">
        <v>295</v>
      </c>
      <c r="AH1372" s="0" t="n">
        <v>1</v>
      </c>
      <c r="AJ1372" s="0" t="n">
        <v>41</v>
      </c>
      <c r="AP1372" s="0" t="n">
        <v>190000</v>
      </c>
      <c r="DB1372" s="0" t="str">
        <f aca="false">IF($A1372="","",IF($AH1372=20,IF(AND(OR($A1372=21,$A1372=215),$AJ1372=10),"①病院一般",IF(AND($A1372=31,$AJ1372=41),"②病院短期","対象外")),IF($AJ1372=30,"③特定消防",IF(AND(OR($A1372=21,$A1372=215),$AJ1372=10),"④一般",IF(AND($A1372=31,$AJ1372=41),"⑤短期","対象外")))))</f>
        <v>⑤短期</v>
      </c>
      <c r="DC1372" s="0" t="n">
        <f aca="false">IF($A1372="","",IF($AB1372&amp;""=設定!$C$4,1,0))</f>
        <v>1</v>
      </c>
    </row>
    <row r="1373" customFormat="false" ht="15" hidden="false" customHeight="false" outlineLevel="0" collapsed="false">
      <c r="A1373" s="0" t="n">
        <v>31</v>
      </c>
      <c r="AA1373" s="0" t="n">
        <v>21</v>
      </c>
      <c r="AB1373" s="0" t="s">
        <v>96</v>
      </c>
      <c r="AD1373" s="0" t="n">
        <v>0</v>
      </c>
      <c r="AE1373" s="0" t="s">
        <v>295</v>
      </c>
      <c r="AH1373" s="0" t="n">
        <v>1</v>
      </c>
      <c r="AJ1373" s="0" t="n">
        <v>41</v>
      </c>
      <c r="AP1373" s="0" t="n">
        <v>200000</v>
      </c>
      <c r="DB1373" s="0" t="str">
        <f aca="false">IF($A1373="","",IF($AH1373=20,IF(AND(OR($A1373=21,$A1373=215),$AJ1373=10),"①病院一般",IF(AND($A1373=31,$AJ1373=41),"②病院短期","対象外")),IF($AJ1373=30,"③特定消防",IF(AND(OR($A1373=21,$A1373=215),$AJ1373=10),"④一般",IF(AND($A1373=31,$AJ1373=41),"⑤短期","対象外")))))</f>
        <v>⑤短期</v>
      </c>
      <c r="DC1373" s="0" t="n">
        <f aca="false">IF($A1373="","",IF($AB1373&amp;""=設定!$C$4,1,0))</f>
        <v>1</v>
      </c>
    </row>
    <row r="1374" customFormat="false" ht="15" hidden="false" customHeight="false" outlineLevel="0" collapsed="false">
      <c r="A1374" s="0" t="n">
        <v>31</v>
      </c>
      <c r="AA1374" s="0" t="n">
        <v>21</v>
      </c>
      <c r="AB1374" s="0" t="s">
        <v>96</v>
      </c>
      <c r="AD1374" s="0" t="n">
        <v>0</v>
      </c>
      <c r="AE1374" s="0" t="s">
        <v>295</v>
      </c>
      <c r="AH1374" s="0" t="n">
        <v>1</v>
      </c>
      <c r="AJ1374" s="0" t="n">
        <v>41</v>
      </c>
      <c r="AP1374" s="0" t="n">
        <v>190000</v>
      </c>
      <c r="DB1374" s="0" t="str">
        <f aca="false">IF($A1374="","",IF($AH1374=20,IF(AND(OR($A1374=21,$A1374=215),$AJ1374=10),"①病院一般",IF(AND($A1374=31,$AJ1374=41),"②病院短期","対象外")),IF($AJ1374=30,"③特定消防",IF(AND(OR($A1374=21,$A1374=215),$AJ1374=10),"④一般",IF(AND($A1374=31,$AJ1374=41),"⑤短期","対象外")))))</f>
        <v>⑤短期</v>
      </c>
      <c r="DC1374" s="0" t="n">
        <f aca="false">IF($A1374="","",IF($AB1374&amp;""=設定!$C$4,1,0))</f>
        <v>1</v>
      </c>
    </row>
    <row r="1375" customFormat="false" ht="15" hidden="false" customHeight="false" outlineLevel="0" collapsed="false">
      <c r="A1375" s="0" t="n">
        <v>31</v>
      </c>
      <c r="AA1375" s="0" t="n">
        <v>21</v>
      </c>
      <c r="AB1375" s="0" t="s">
        <v>96</v>
      </c>
      <c r="AD1375" s="0" t="n">
        <v>0</v>
      </c>
      <c r="AE1375" s="0" t="s">
        <v>295</v>
      </c>
      <c r="AH1375" s="0" t="n">
        <v>1</v>
      </c>
      <c r="AJ1375" s="0" t="n">
        <v>41</v>
      </c>
      <c r="AP1375" s="0" t="n">
        <v>190000</v>
      </c>
      <c r="DB1375" s="0" t="str">
        <f aca="false">IF($A1375="","",IF($AH1375=20,IF(AND(OR($A1375=21,$A1375=215),$AJ1375=10),"①病院一般",IF(AND($A1375=31,$AJ1375=41),"②病院短期","対象外")),IF($AJ1375=30,"③特定消防",IF(AND(OR($A1375=21,$A1375=215),$AJ1375=10),"④一般",IF(AND($A1375=31,$AJ1375=41),"⑤短期","対象外")))))</f>
        <v>⑤短期</v>
      </c>
      <c r="DC1375" s="0" t="n">
        <f aca="false">IF($A1375="","",IF($AB1375&amp;""=設定!$C$4,1,0))</f>
        <v>1</v>
      </c>
    </row>
    <row r="1376" customFormat="false" ht="15" hidden="false" customHeight="false" outlineLevel="0" collapsed="false">
      <c r="A1376" s="0" t="n">
        <v>31</v>
      </c>
      <c r="AA1376" s="0" t="n">
        <v>21</v>
      </c>
      <c r="AB1376" s="0" t="s">
        <v>96</v>
      </c>
      <c r="AD1376" s="0" t="n">
        <v>0</v>
      </c>
      <c r="AE1376" s="0" t="s">
        <v>295</v>
      </c>
      <c r="AH1376" s="0" t="n">
        <v>1</v>
      </c>
      <c r="AJ1376" s="0" t="n">
        <v>41</v>
      </c>
      <c r="AP1376" s="0" t="n">
        <v>190000</v>
      </c>
      <c r="DB1376" s="0" t="str">
        <f aca="false">IF($A1376="","",IF($AH1376=20,IF(AND(OR($A1376=21,$A1376=215),$AJ1376=10),"①病院一般",IF(AND($A1376=31,$AJ1376=41),"②病院短期","対象外")),IF($AJ1376=30,"③特定消防",IF(AND(OR($A1376=21,$A1376=215),$AJ1376=10),"④一般",IF(AND($A1376=31,$AJ1376=41),"⑤短期","対象外")))))</f>
        <v>⑤短期</v>
      </c>
      <c r="DC1376" s="0" t="n">
        <f aca="false">IF($A1376="","",IF($AB1376&amp;""=設定!$C$4,1,0))</f>
        <v>1</v>
      </c>
    </row>
    <row r="1377" customFormat="false" ht="15" hidden="false" customHeight="false" outlineLevel="0" collapsed="false">
      <c r="A1377" s="0" t="n">
        <v>31</v>
      </c>
      <c r="AA1377" s="0" t="n">
        <v>21</v>
      </c>
      <c r="AB1377" s="0" t="s">
        <v>96</v>
      </c>
      <c r="AD1377" s="0" t="n">
        <v>0</v>
      </c>
      <c r="AE1377" s="0" t="s">
        <v>295</v>
      </c>
      <c r="AH1377" s="0" t="n">
        <v>1</v>
      </c>
      <c r="AJ1377" s="0" t="n">
        <v>41</v>
      </c>
      <c r="AP1377" s="0" t="n">
        <v>190000</v>
      </c>
      <c r="DB1377" s="0" t="str">
        <f aca="false">IF($A1377="","",IF($AH1377=20,IF(AND(OR($A1377=21,$A1377=215),$AJ1377=10),"①病院一般",IF(AND($A1377=31,$AJ1377=41),"②病院短期","対象外")),IF($AJ1377=30,"③特定消防",IF(AND(OR($A1377=21,$A1377=215),$AJ1377=10),"④一般",IF(AND($A1377=31,$AJ1377=41),"⑤短期","対象外")))))</f>
        <v>⑤短期</v>
      </c>
      <c r="DC1377" s="0" t="n">
        <f aca="false">IF($A1377="","",IF($AB1377&amp;""=設定!$C$4,1,0))</f>
        <v>1</v>
      </c>
    </row>
    <row r="1378" customFormat="false" ht="15" hidden="false" customHeight="false" outlineLevel="0" collapsed="false">
      <c r="A1378" s="0" t="n">
        <v>31</v>
      </c>
      <c r="AA1378" s="0" t="n">
        <v>21</v>
      </c>
      <c r="AB1378" s="0" t="s">
        <v>96</v>
      </c>
      <c r="AD1378" s="0" t="n">
        <v>0</v>
      </c>
      <c r="AE1378" s="0" t="s">
        <v>295</v>
      </c>
      <c r="AH1378" s="0" t="n">
        <v>1</v>
      </c>
      <c r="AJ1378" s="0" t="n">
        <v>41</v>
      </c>
      <c r="AP1378" s="0" t="n">
        <v>190000</v>
      </c>
      <c r="DB1378" s="0" t="str">
        <f aca="false">IF($A1378="","",IF($AH1378=20,IF(AND(OR($A1378=21,$A1378=215),$AJ1378=10),"①病院一般",IF(AND($A1378=31,$AJ1378=41),"②病院短期","対象外")),IF($AJ1378=30,"③特定消防",IF(AND(OR($A1378=21,$A1378=215),$AJ1378=10),"④一般",IF(AND($A1378=31,$AJ1378=41),"⑤短期","対象外")))))</f>
        <v>⑤短期</v>
      </c>
      <c r="DC1378" s="0" t="n">
        <f aca="false">IF($A1378="","",IF($AB1378&amp;""=設定!$C$4,1,0))</f>
        <v>1</v>
      </c>
    </row>
    <row r="1379" customFormat="false" ht="15" hidden="false" customHeight="false" outlineLevel="0" collapsed="false">
      <c r="A1379" s="0" t="n">
        <v>31</v>
      </c>
      <c r="AA1379" s="0" t="n">
        <v>21</v>
      </c>
      <c r="AB1379" s="0" t="s">
        <v>96</v>
      </c>
      <c r="AD1379" s="0" t="n">
        <v>0</v>
      </c>
      <c r="AE1379" s="0" t="s">
        <v>295</v>
      </c>
      <c r="AH1379" s="0" t="n">
        <v>1</v>
      </c>
      <c r="AJ1379" s="0" t="n">
        <v>41</v>
      </c>
      <c r="AP1379" s="0" t="n">
        <v>190000</v>
      </c>
      <c r="DB1379" s="0" t="str">
        <f aca="false">IF($A1379="","",IF($AH1379=20,IF(AND(OR($A1379=21,$A1379=215),$AJ1379=10),"①病院一般",IF(AND($A1379=31,$AJ1379=41),"②病院短期","対象外")),IF($AJ1379=30,"③特定消防",IF(AND(OR($A1379=21,$A1379=215),$AJ1379=10),"④一般",IF(AND($A1379=31,$AJ1379=41),"⑤短期","対象外")))))</f>
        <v>⑤短期</v>
      </c>
      <c r="DC1379" s="0" t="n">
        <f aca="false">IF($A1379="","",IF($AB1379&amp;""=設定!$C$4,1,0))</f>
        <v>1</v>
      </c>
    </row>
    <row r="1380" customFormat="false" ht="15" hidden="false" customHeight="false" outlineLevel="0" collapsed="false">
      <c r="A1380" s="0" t="n">
        <v>31</v>
      </c>
      <c r="AA1380" s="0" t="n">
        <v>21</v>
      </c>
      <c r="AB1380" s="0" t="s">
        <v>96</v>
      </c>
      <c r="AD1380" s="0" t="n">
        <v>0</v>
      </c>
      <c r="AE1380" s="0" t="s">
        <v>295</v>
      </c>
      <c r="AH1380" s="0" t="n">
        <v>1</v>
      </c>
      <c r="AJ1380" s="0" t="n">
        <v>41</v>
      </c>
      <c r="AP1380" s="0" t="n">
        <v>200000</v>
      </c>
      <c r="DB1380" s="0" t="str">
        <f aca="false">IF($A1380="","",IF($AH1380=20,IF(AND(OR($A1380=21,$A1380=215),$AJ1380=10),"①病院一般",IF(AND($A1380=31,$AJ1380=41),"②病院短期","対象外")),IF($AJ1380=30,"③特定消防",IF(AND(OR($A1380=21,$A1380=215),$AJ1380=10),"④一般",IF(AND($A1380=31,$AJ1380=41),"⑤短期","対象外")))))</f>
        <v>⑤短期</v>
      </c>
      <c r="DC1380" s="0" t="n">
        <f aca="false">IF($A1380="","",IF($AB1380&amp;""=設定!$C$4,1,0))</f>
        <v>1</v>
      </c>
    </row>
    <row r="1381" customFormat="false" ht="15" hidden="false" customHeight="false" outlineLevel="0" collapsed="false">
      <c r="A1381" s="0" t="n">
        <v>31</v>
      </c>
      <c r="AA1381" s="0" t="n">
        <v>21</v>
      </c>
      <c r="AB1381" s="0" t="s">
        <v>96</v>
      </c>
      <c r="AD1381" s="0" t="n">
        <v>0</v>
      </c>
      <c r="AE1381" s="0" t="s">
        <v>295</v>
      </c>
      <c r="AH1381" s="0" t="n">
        <v>1</v>
      </c>
      <c r="AJ1381" s="0" t="n">
        <v>41</v>
      </c>
      <c r="AP1381" s="0" t="n">
        <v>190000</v>
      </c>
      <c r="DB1381" s="0" t="str">
        <f aca="false">IF($A1381="","",IF($AH1381=20,IF(AND(OR($A1381=21,$A1381=215),$AJ1381=10),"①病院一般",IF(AND($A1381=31,$AJ1381=41),"②病院短期","対象外")),IF($AJ1381=30,"③特定消防",IF(AND(OR($A1381=21,$A1381=215),$AJ1381=10),"④一般",IF(AND($A1381=31,$AJ1381=41),"⑤短期","対象外")))))</f>
        <v>⑤短期</v>
      </c>
      <c r="DC1381" s="0" t="n">
        <f aca="false">IF($A1381="","",IF($AB1381&amp;""=設定!$C$4,1,0))</f>
        <v>1</v>
      </c>
    </row>
    <row r="1382" customFormat="false" ht="15" hidden="false" customHeight="false" outlineLevel="0" collapsed="false">
      <c r="A1382" s="0" t="n">
        <v>31</v>
      </c>
      <c r="AA1382" s="0" t="n">
        <v>21</v>
      </c>
      <c r="AB1382" s="0" t="s">
        <v>96</v>
      </c>
      <c r="AD1382" s="0" t="n">
        <v>0</v>
      </c>
      <c r="AE1382" s="0" t="s">
        <v>295</v>
      </c>
      <c r="AH1382" s="0" t="n">
        <v>1</v>
      </c>
      <c r="AJ1382" s="0" t="n">
        <v>41</v>
      </c>
      <c r="AP1382" s="0" t="n">
        <v>200000</v>
      </c>
      <c r="DB1382" s="0" t="str">
        <f aca="false">IF($A1382="","",IF($AH1382=20,IF(AND(OR($A1382=21,$A1382=215),$AJ1382=10),"①病院一般",IF(AND($A1382=31,$AJ1382=41),"②病院短期","対象外")),IF($AJ1382=30,"③特定消防",IF(AND(OR($A1382=21,$A1382=215),$AJ1382=10),"④一般",IF(AND($A1382=31,$AJ1382=41),"⑤短期","対象外")))))</f>
        <v>⑤短期</v>
      </c>
      <c r="DC1382" s="0" t="n">
        <f aca="false">IF($A1382="","",IF($AB1382&amp;""=設定!$C$4,1,0))</f>
        <v>1</v>
      </c>
    </row>
    <row r="1383" customFormat="false" ht="15" hidden="false" customHeight="false" outlineLevel="0" collapsed="false">
      <c r="A1383" s="0" t="n">
        <v>31</v>
      </c>
      <c r="AA1383" s="0" t="n">
        <v>21</v>
      </c>
      <c r="AB1383" s="0" t="s">
        <v>96</v>
      </c>
      <c r="AD1383" s="0" t="n">
        <v>0</v>
      </c>
      <c r="AE1383" s="0" t="s">
        <v>295</v>
      </c>
      <c r="AH1383" s="0" t="n">
        <v>1</v>
      </c>
      <c r="AJ1383" s="0" t="n">
        <v>41</v>
      </c>
      <c r="AP1383" s="0" t="n">
        <v>190000</v>
      </c>
      <c r="DB1383" s="0" t="str">
        <f aca="false">IF($A1383="","",IF($AH1383=20,IF(AND(OR($A1383=21,$A1383=215),$AJ1383=10),"①病院一般",IF(AND($A1383=31,$AJ1383=41),"②病院短期","対象外")),IF($AJ1383=30,"③特定消防",IF(AND(OR($A1383=21,$A1383=215),$AJ1383=10),"④一般",IF(AND($A1383=31,$AJ1383=41),"⑤短期","対象外")))))</f>
        <v>⑤短期</v>
      </c>
      <c r="DC1383" s="0" t="n">
        <f aca="false">IF($A1383="","",IF($AB1383&amp;""=設定!$C$4,1,0))</f>
        <v>1</v>
      </c>
    </row>
    <row r="1384" customFormat="false" ht="15" hidden="false" customHeight="false" outlineLevel="0" collapsed="false">
      <c r="A1384" s="0" t="n">
        <v>31</v>
      </c>
      <c r="AA1384" s="0" t="n">
        <v>21</v>
      </c>
      <c r="AB1384" s="0" t="s">
        <v>96</v>
      </c>
      <c r="AD1384" s="0" t="n">
        <v>0</v>
      </c>
      <c r="AE1384" s="0" t="s">
        <v>295</v>
      </c>
      <c r="AH1384" s="0" t="n">
        <v>1</v>
      </c>
      <c r="AJ1384" s="0" t="n">
        <v>41</v>
      </c>
      <c r="AP1384" s="0" t="n">
        <v>200000</v>
      </c>
      <c r="DB1384" s="0" t="str">
        <f aca="false">IF($A1384="","",IF($AH1384=20,IF(AND(OR($A1384=21,$A1384=215),$AJ1384=10),"①病院一般",IF(AND($A1384=31,$AJ1384=41),"②病院短期","対象外")),IF($AJ1384=30,"③特定消防",IF(AND(OR($A1384=21,$A1384=215),$AJ1384=10),"④一般",IF(AND($A1384=31,$AJ1384=41),"⑤短期","対象外")))))</f>
        <v>⑤短期</v>
      </c>
      <c r="DC1384" s="0" t="n">
        <f aca="false">IF($A1384="","",IF($AB1384&amp;""=設定!$C$4,1,0))</f>
        <v>1</v>
      </c>
    </row>
    <row r="1385" customFormat="false" ht="15" hidden="false" customHeight="false" outlineLevel="0" collapsed="false">
      <c r="A1385" s="0" t="n">
        <v>31</v>
      </c>
      <c r="AA1385" s="0" t="n">
        <v>21</v>
      </c>
      <c r="AB1385" s="0" t="s">
        <v>96</v>
      </c>
      <c r="AD1385" s="0" t="n">
        <v>0</v>
      </c>
      <c r="AE1385" s="0" t="s">
        <v>295</v>
      </c>
      <c r="AH1385" s="0" t="n">
        <v>1</v>
      </c>
      <c r="AJ1385" s="0" t="n">
        <v>41</v>
      </c>
      <c r="AP1385" s="0" t="n">
        <v>190000</v>
      </c>
      <c r="DB1385" s="0" t="str">
        <f aca="false">IF($A1385="","",IF($AH1385=20,IF(AND(OR($A1385=21,$A1385=215),$AJ1385=10),"①病院一般",IF(AND($A1385=31,$AJ1385=41),"②病院短期","対象外")),IF($AJ1385=30,"③特定消防",IF(AND(OR($A1385=21,$A1385=215),$AJ1385=10),"④一般",IF(AND($A1385=31,$AJ1385=41),"⑤短期","対象外")))))</f>
        <v>⑤短期</v>
      </c>
      <c r="DC1385" s="0" t="n">
        <f aca="false">IF($A1385="","",IF($AB1385&amp;""=設定!$C$4,1,0))</f>
        <v>1</v>
      </c>
    </row>
    <row r="1386" customFormat="false" ht="15" hidden="false" customHeight="false" outlineLevel="0" collapsed="false">
      <c r="A1386" s="0" t="n">
        <v>31</v>
      </c>
      <c r="AA1386" s="0" t="n">
        <v>21</v>
      </c>
      <c r="AB1386" s="0" t="s">
        <v>96</v>
      </c>
      <c r="AD1386" s="0" t="n">
        <v>0</v>
      </c>
      <c r="AE1386" s="0" t="s">
        <v>295</v>
      </c>
      <c r="AH1386" s="0" t="n">
        <v>1</v>
      </c>
      <c r="AJ1386" s="0" t="n">
        <v>41</v>
      </c>
      <c r="AP1386" s="0" t="n">
        <v>190000</v>
      </c>
      <c r="DB1386" s="0" t="str">
        <f aca="false">IF($A1386="","",IF($AH1386=20,IF(AND(OR($A1386=21,$A1386=215),$AJ1386=10),"①病院一般",IF(AND($A1386=31,$AJ1386=41),"②病院短期","対象外")),IF($AJ1386=30,"③特定消防",IF(AND(OR($A1386=21,$A1386=215),$AJ1386=10),"④一般",IF(AND($A1386=31,$AJ1386=41),"⑤短期","対象外")))))</f>
        <v>⑤短期</v>
      </c>
      <c r="DC1386" s="0" t="n">
        <f aca="false">IF($A1386="","",IF($AB1386&amp;""=設定!$C$4,1,0))</f>
        <v>1</v>
      </c>
    </row>
    <row r="1387" customFormat="false" ht="15" hidden="false" customHeight="false" outlineLevel="0" collapsed="false">
      <c r="A1387" s="0" t="n">
        <v>31</v>
      </c>
      <c r="AA1387" s="0" t="n">
        <v>21</v>
      </c>
      <c r="AB1387" s="0" t="s">
        <v>96</v>
      </c>
      <c r="AD1387" s="0" t="n">
        <v>0</v>
      </c>
      <c r="AE1387" s="0" t="s">
        <v>295</v>
      </c>
      <c r="AH1387" s="0" t="n">
        <v>1</v>
      </c>
      <c r="AJ1387" s="0" t="n">
        <v>41</v>
      </c>
      <c r="AP1387" s="0" t="n">
        <v>190000</v>
      </c>
      <c r="DB1387" s="0" t="str">
        <f aca="false">IF($A1387="","",IF($AH1387=20,IF(AND(OR($A1387=21,$A1387=215),$AJ1387=10),"①病院一般",IF(AND($A1387=31,$AJ1387=41),"②病院短期","対象外")),IF($AJ1387=30,"③特定消防",IF(AND(OR($A1387=21,$A1387=215),$AJ1387=10),"④一般",IF(AND($A1387=31,$AJ1387=41),"⑤短期","対象外")))))</f>
        <v>⑤短期</v>
      </c>
      <c r="DC1387" s="0" t="n">
        <f aca="false">IF($A1387="","",IF($AB1387&amp;""=設定!$C$4,1,0))</f>
        <v>1</v>
      </c>
    </row>
    <row r="1388" customFormat="false" ht="15" hidden="false" customHeight="false" outlineLevel="0" collapsed="false">
      <c r="A1388" s="0" t="n">
        <v>31</v>
      </c>
      <c r="AA1388" s="0" t="n">
        <v>21</v>
      </c>
      <c r="AB1388" s="0" t="s">
        <v>96</v>
      </c>
      <c r="AD1388" s="0" t="n">
        <v>0</v>
      </c>
      <c r="AE1388" s="0" t="s">
        <v>295</v>
      </c>
      <c r="AH1388" s="0" t="n">
        <v>1</v>
      </c>
      <c r="AJ1388" s="0" t="n">
        <v>41</v>
      </c>
      <c r="AP1388" s="0" t="n">
        <v>200000</v>
      </c>
      <c r="DB1388" s="0" t="str">
        <f aca="false">IF($A1388="","",IF($AH1388=20,IF(AND(OR($A1388=21,$A1388=215),$AJ1388=10),"①病院一般",IF(AND($A1388=31,$AJ1388=41),"②病院短期","対象外")),IF($AJ1388=30,"③特定消防",IF(AND(OR($A1388=21,$A1388=215),$AJ1388=10),"④一般",IF(AND($A1388=31,$AJ1388=41),"⑤短期","対象外")))))</f>
        <v>⑤短期</v>
      </c>
      <c r="DC1388" s="0" t="n">
        <f aca="false">IF($A1388="","",IF($AB1388&amp;""=設定!$C$4,1,0))</f>
        <v>1</v>
      </c>
    </row>
    <row r="1389" customFormat="false" ht="15" hidden="false" customHeight="false" outlineLevel="0" collapsed="false">
      <c r="A1389" s="0" t="n">
        <v>31</v>
      </c>
      <c r="AA1389" s="0" t="n">
        <v>21</v>
      </c>
      <c r="AB1389" s="0" t="s">
        <v>96</v>
      </c>
      <c r="AD1389" s="0" t="n">
        <v>0</v>
      </c>
      <c r="AE1389" s="0" t="s">
        <v>295</v>
      </c>
      <c r="AH1389" s="0" t="n">
        <v>1</v>
      </c>
      <c r="AJ1389" s="0" t="n">
        <v>41</v>
      </c>
      <c r="AP1389" s="0" t="n">
        <v>200000</v>
      </c>
      <c r="DB1389" s="0" t="str">
        <f aca="false">IF($A1389="","",IF($AH1389=20,IF(AND(OR($A1389=21,$A1389=215),$AJ1389=10),"①病院一般",IF(AND($A1389=31,$AJ1389=41),"②病院短期","対象外")),IF($AJ1389=30,"③特定消防",IF(AND(OR($A1389=21,$A1389=215),$AJ1389=10),"④一般",IF(AND($A1389=31,$AJ1389=41),"⑤短期","対象外")))))</f>
        <v>⑤短期</v>
      </c>
      <c r="DC1389" s="0" t="n">
        <f aca="false">IF($A1389="","",IF($AB1389&amp;""=設定!$C$4,1,0))</f>
        <v>1</v>
      </c>
    </row>
    <row r="1390" customFormat="false" ht="15" hidden="false" customHeight="false" outlineLevel="0" collapsed="false">
      <c r="A1390" s="0" t="n">
        <v>31</v>
      </c>
      <c r="AA1390" s="0" t="n">
        <v>21</v>
      </c>
      <c r="AB1390" s="0" t="s">
        <v>96</v>
      </c>
      <c r="AD1390" s="0" t="n">
        <v>0</v>
      </c>
      <c r="AE1390" s="0" t="s">
        <v>295</v>
      </c>
      <c r="AH1390" s="0" t="n">
        <v>1</v>
      </c>
      <c r="AJ1390" s="0" t="n">
        <v>41</v>
      </c>
      <c r="AP1390" s="0" t="n">
        <v>190000</v>
      </c>
      <c r="DB1390" s="0" t="str">
        <f aca="false">IF($A1390="","",IF($AH1390=20,IF(AND(OR($A1390=21,$A1390=215),$AJ1390=10),"①病院一般",IF(AND($A1390=31,$AJ1390=41),"②病院短期","対象外")),IF($AJ1390=30,"③特定消防",IF(AND(OR($A1390=21,$A1390=215),$AJ1390=10),"④一般",IF(AND($A1390=31,$AJ1390=41),"⑤短期","対象外")))))</f>
        <v>⑤短期</v>
      </c>
      <c r="DC1390" s="0" t="n">
        <f aca="false">IF($A1390="","",IF($AB1390&amp;""=設定!$C$4,1,0))</f>
        <v>1</v>
      </c>
    </row>
    <row r="1391" customFormat="false" ht="15" hidden="false" customHeight="false" outlineLevel="0" collapsed="false">
      <c r="A1391" s="0" t="n">
        <v>31</v>
      </c>
      <c r="AA1391" s="0" t="n">
        <v>21</v>
      </c>
      <c r="AB1391" s="0" t="s">
        <v>96</v>
      </c>
      <c r="AD1391" s="0" t="n">
        <v>0</v>
      </c>
      <c r="AE1391" s="0" t="s">
        <v>295</v>
      </c>
      <c r="AH1391" s="0" t="n">
        <v>1</v>
      </c>
      <c r="AJ1391" s="0" t="n">
        <v>41</v>
      </c>
      <c r="AP1391" s="0" t="n">
        <v>200000</v>
      </c>
      <c r="DB1391" s="0" t="str">
        <f aca="false">IF($A1391="","",IF($AH1391=20,IF(AND(OR($A1391=21,$A1391=215),$AJ1391=10),"①病院一般",IF(AND($A1391=31,$AJ1391=41),"②病院短期","対象外")),IF($AJ1391=30,"③特定消防",IF(AND(OR($A1391=21,$A1391=215),$AJ1391=10),"④一般",IF(AND($A1391=31,$AJ1391=41),"⑤短期","対象外")))))</f>
        <v>⑤短期</v>
      </c>
      <c r="DC1391" s="0" t="n">
        <f aca="false">IF($A1391="","",IF($AB1391&amp;""=設定!$C$4,1,0))</f>
        <v>1</v>
      </c>
    </row>
    <row r="1392" customFormat="false" ht="15" hidden="false" customHeight="false" outlineLevel="0" collapsed="false">
      <c r="A1392" s="0" t="n">
        <v>31</v>
      </c>
      <c r="AA1392" s="0" t="n">
        <v>21</v>
      </c>
      <c r="AB1392" s="0" t="s">
        <v>96</v>
      </c>
      <c r="AD1392" s="0" t="n">
        <v>0</v>
      </c>
      <c r="AE1392" s="0" t="s">
        <v>295</v>
      </c>
      <c r="AH1392" s="0" t="n">
        <v>1</v>
      </c>
      <c r="AJ1392" s="0" t="n">
        <v>41</v>
      </c>
      <c r="AP1392" s="0" t="n">
        <v>190000</v>
      </c>
      <c r="DB1392" s="0" t="str">
        <f aca="false">IF($A1392="","",IF($AH1392=20,IF(AND(OR($A1392=21,$A1392=215),$AJ1392=10),"①病院一般",IF(AND($A1392=31,$AJ1392=41),"②病院短期","対象外")),IF($AJ1392=30,"③特定消防",IF(AND(OR($A1392=21,$A1392=215),$AJ1392=10),"④一般",IF(AND($A1392=31,$AJ1392=41),"⑤短期","対象外")))))</f>
        <v>⑤短期</v>
      </c>
      <c r="DC1392" s="0" t="n">
        <f aca="false">IF($A1392="","",IF($AB1392&amp;""=設定!$C$4,1,0))</f>
        <v>1</v>
      </c>
    </row>
    <row r="1393" customFormat="false" ht="15" hidden="false" customHeight="false" outlineLevel="0" collapsed="false">
      <c r="A1393" s="0" t="n">
        <v>31</v>
      </c>
      <c r="AA1393" s="0" t="n">
        <v>21</v>
      </c>
      <c r="AB1393" s="0" t="s">
        <v>96</v>
      </c>
      <c r="AD1393" s="0" t="n">
        <v>0</v>
      </c>
      <c r="AE1393" s="0" t="s">
        <v>295</v>
      </c>
      <c r="AH1393" s="0" t="n">
        <v>1</v>
      </c>
      <c r="AJ1393" s="0" t="n">
        <v>41</v>
      </c>
      <c r="AP1393" s="0" t="n">
        <v>200000</v>
      </c>
      <c r="DB1393" s="0" t="str">
        <f aca="false">IF($A1393="","",IF($AH1393=20,IF(AND(OR($A1393=21,$A1393=215),$AJ1393=10),"①病院一般",IF(AND($A1393=31,$AJ1393=41),"②病院短期","対象外")),IF($AJ1393=30,"③特定消防",IF(AND(OR($A1393=21,$A1393=215),$AJ1393=10),"④一般",IF(AND($A1393=31,$AJ1393=41),"⑤短期","対象外")))))</f>
        <v>⑤短期</v>
      </c>
      <c r="DC1393" s="0" t="n">
        <f aca="false">IF($A1393="","",IF($AB1393&amp;""=設定!$C$4,1,0))</f>
        <v>1</v>
      </c>
    </row>
    <row r="1394" customFormat="false" ht="15" hidden="false" customHeight="false" outlineLevel="0" collapsed="false">
      <c r="A1394" s="0" t="n">
        <v>31</v>
      </c>
      <c r="AA1394" s="0" t="n">
        <v>21</v>
      </c>
      <c r="AB1394" s="0" t="s">
        <v>96</v>
      </c>
      <c r="AD1394" s="0" t="n">
        <v>0</v>
      </c>
      <c r="AE1394" s="0" t="s">
        <v>295</v>
      </c>
      <c r="AH1394" s="0" t="n">
        <v>1</v>
      </c>
      <c r="AJ1394" s="0" t="n">
        <v>41</v>
      </c>
      <c r="AP1394" s="0" t="n">
        <v>190000</v>
      </c>
      <c r="DB1394" s="0" t="str">
        <f aca="false">IF($A1394="","",IF($AH1394=20,IF(AND(OR($A1394=21,$A1394=215),$AJ1394=10),"①病院一般",IF(AND($A1394=31,$AJ1394=41),"②病院短期","対象外")),IF($AJ1394=30,"③特定消防",IF(AND(OR($A1394=21,$A1394=215),$AJ1394=10),"④一般",IF(AND($A1394=31,$AJ1394=41),"⑤短期","対象外")))))</f>
        <v>⑤短期</v>
      </c>
      <c r="DC1394" s="0" t="n">
        <f aca="false">IF($A1394="","",IF($AB1394&amp;""=設定!$C$4,1,0))</f>
        <v>1</v>
      </c>
    </row>
    <row r="1395" customFormat="false" ht="15" hidden="false" customHeight="false" outlineLevel="0" collapsed="false">
      <c r="A1395" s="0" t="n">
        <v>31</v>
      </c>
      <c r="AA1395" s="0" t="n">
        <v>21</v>
      </c>
      <c r="AB1395" s="0" t="s">
        <v>96</v>
      </c>
      <c r="AD1395" s="0" t="n">
        <v>0</v>
      </c>
      <c r="AE1395" s="0" t="s">
        <v>295</v>
      </c>
      <c r="AH1395" s="0" t="n">
        <v>1</v>
      </c>
      <c r="AJ1395" s="0" t="n">
        <v>41</v>
      </c>
      <c r="AP1395" s="0" t="n">
        <v>190000</v>
      </c>
      <c r="DB1395" s="0" t="str">
        <f aca="false">IF($A1395="","",IF($AH1395=20,IF(AND(OR($A1395=21,$A1395=215),$AJ1395=10),"①病院一般",IF(AND($A1395=31,$AJ1395=41),"②病院短期","対象外")),IF($AJ1395=30,"③特定消防",IF(AND(OR($A1395=21,$A1395=215),$AJ1395=10),"④一般",IF(AND($A1395=31,$AJ1395=41),"⑤短期","対象外")))))</f>
        <v>⑤短期</v>
      </c>
      <c r="DC1395" s="0" t="n">
        <f aca="false">IF($A1395="","",IF($AB1395&amp;""=設定!$C$4,1,0))</f>
        <v>1</v>
      </c>
    </row>
    <row r="1396" customFormat="false" ht="15" hidden="false" customHeight="false" outlineLevel="0" collapsed="false">
      <c r="A1396" s="0" t="n">
        <v>31</v>
      </c>
      <c r="AA1396" s="0" t="n">
        <v>21</v>
      </c>
      <c r="AB1396" s="0" t="s">
        <v>96</v>
      </c>
      <c r="AD1396" s="0" t="n">
        <v>0</v>
      </c>
      <c r="AE1396" s="0" t="s">
        <v>295</v>
      </c>
      <c r="AH1396" s="0" t="n">
        <v>1</v>
      </c>
      <c r="AJ1396" s="0" t="n">
        <v>41</v>
      </c>
      <c r="AP1396" s="0" t="n">
        <v>200000</v>
      </c>
      <c r="DB1396" s="0" t="str">
        <f aca="false">IF($A1396="","",IF($AH1396=20,IF(AND(OR($A1396=21,$A1396=215),$AJ1396=10),"①病院一般",IF(AND($A1396=31,$AJ1396=41),"②病院短期","対象外")),IF($AJ1396=30,"③特定消防",IF(AND(OR($A1396=21,$A1396=215),$AJ1396=10),"④一般",IF(AND($A1396=31,$AJ1396=41),"⑤短期","対象外")))))</f>
        <v>⑤短期</v>
      </c>
      <c r="DC1396" s="0" t="n">
        <f aca="false">IF($A1396="","",IF($AB1396&amp;""=設定!$C$4,1,0))</f>
        <v>1</v>
      </c>
    </row>
    <row r="1397" customFormat="false" ht="15" hidden="false" customHeight="false" outlineLevel="0" collapsed="false">
      <c r="A1397" s="0" t="n">
        <v>31</v>
      </c>
      <c r="AA1397" s="0" t="n">
        <v>21</v>
      </c>
      <c r="AB1397" s="0" t="s">
        <v>96</v>
      </c>
      <c r="AD1397" s="0" t="n">
        <v>0</v>
      </c>
      <c r="AE1397" s="0" t="s">
        <v>295</v>
      </c>
      <c r="AH1397" s="0" t="n">
        <v>1</v>
      </c>
      <c r="AJ1397" s="0" t="n">
        <v>41</v>
      </c>
      <c r="AP1397" s="0" t="n">
        <v>190000</v>
      </c>
      <c r="DB1397" s="0" t="str">
        <f aca="false">IF($A1397="","",IF($AH1397=20,IF(AND(OR($A1397=21,$A1397=215),$AJ1397=10),"①病院一般",IF(AND($A1397=31,$AJ1397=41),"②病院短期","対象外")),IF($AJ1397=30,"③特定消防",IF(AND(OR($A1397=21,$A1397=215),$AJ1397=10),"④一般",IF(AND($A1397=31,$AJ1397=41),"⑤短期","対象外")))))</f>
        <v>⑤短期</v>
      </c>
      <c r="DC1397" s="0" t="n">
        <f aca="false">IF($A1397="","",IF($AB1397&amp;""=設定!$C$4,1,0))</f>
        <v>1</v>
      </c>
    </row>
    <row r="1398" customFormat="false" ht="15" hidden="false" customHeight="false" outlineLevel="0" collapsed="false">
      <c r="A1398" s="0" t="n">
        <v>31</v>
      </c>
      <c r="AA1398" s="0" t="n">
        <v>21</v>
      </c>
      <c r="AB1398" s="0" t="s">
        <v>96</v>
      </c>
      <c r="AD1398" s="0" t="n">
        <v>0</v>
      </c>
      <c r="AE1398" s="0" t="s">
        <v>295</v>
      </c>
      <c r="AH1398" s="0" t="n">
        <v>1</v>
      </c>
      <c r="AJ1398" s="0" t="n">
        <v>41</v>
      </c>
      <c r="AP1398" s="0" t="n">
        <v>190000</v>
      </c>
      <c r="DB1398" s="0" t="str">
        <f aca="false">IF($A1398="","",IF($AH1398=20,IF(AND(OR($A1398=21,$A1398=215),$AJ1398=10),"①病院一般",IF(AND($A1398=31,$AJ1398=41),"②病院短期","対象外")),IF($AJ1398=30,"③特定消防",IF(AND(OR($A1398=21,$A1398=215),$AJ1398=10),"④一般",IF(AND($A1398=31,$AJ1398=41),"⑤短期","対象外")))))</f>
        <v>⑤短期</v>
      </c>
      <c r="DC1398" s="0" t="n">
        <f aca="false">IF($A1398="","",IF($AB1398&amp;""=設定!$C$4,1,0))</f>
        <v>1</v>
      </c>
    </row>
    <row r="1399" customFormat="false" ht="15" hidden="false" customHeight="false" outlineLevel="0" collapsed="false">
      <c r="A1399" s="0" t="n">
        <v>31</v>
      </c>
      <c r="AA1399" s="0" t="n">
        <v>21</v>
      </c>
      <c r="AB1399" s="0" t="s">
        <v>96</v>
      </c>
      <c r="AD1399" s="0" t="n">
        <v>0</v>
      </c>
      <c r="AE1399" s="0" t="s">
        <v>295</v>
      </c>
      <c r="AH1399" s="0" t="n">
        <v>1</v>
      </c>
      <c r="AJ1399" s="0" t="n">
        <v>41</v>
      </c>
      <c r="AP1399" s="0" t="n">
        <v>190000</v>
      </c>
      <c r="DB1399" s="0" t="str">
        <f aca="false">IF($A1399="","",IF($AH1399=20,IF(AND(OR($A1399=21,$A1399=215),$AJ1399=10),"①病院一般",IF(AND($A1399=31,$AJ1399=41),"②病院短期","対象外")),IF($AJ1399=30,"③特定消防",IF(AND(OR($A1399=21,$A1399=215),$AJ1399=10),"④一般",IF(AND($A1399=31,$AJ1399=41),"⑤短期","対象外")))))</f>
        <v>⑤短期</v>
      </c>
      <c r="DC1399" s="0" t="n">
        <f aca="false">IF($A1399="","",IF($AB1399&amp;""=設定!$C$4,1,0))</f>
        <v>1</v>
      </c>
    </row>
    <row r="1400" customFormat="false" ht="15" hidden="false" customHeight="false" outlineLevel="0" collapsed="false">
      <c r="A1400" s="0" t="n">
        <v>31</v>
      </c>
      <c r="AA1400" s="0" t="n">
        <v>21</v>
      </c>
      <c r="AB1400" s="0" t="s">
        <v>96</v>
      </c>
      <c r="AD1400" s="0" t="n">
        <v>0</v>
      </c>
      <c r="AE1400" s="0" t="s">
        <v>295</v>
      </c>
      <c r="AH1400" s="0" t="n">
        <v>1</v>
      </c>
      <c r="AJ1400" s="0" t="n">
        <v>41</v>
      </c>
      <c r="AP1400" s="0" t="n">
        <v>190000</v>
      </c>
      <c r="DB1400" s="0" t="str">
        <f aca="false">IF($A1400="","",IF($AH1400=20,IF(AND(OR($A1400=21,$A1400=215),$AJ1400=10),"①病院一般",IF(AND($A1400=31,$AJ1400=41),"②病院短期","対象外")),IF($AJ1400=30,"③特定消防",IF(AND(OR($A1400=21,$A1400=215),$AJ1400=10),"④一般",IF(AND($A1400=31,$AJ1400=41),"⑤短期","対象外")))))</f>
        <v>⑤短期</v>
      </c>
      <c r="DC1400" s="0" t="n">
        <f aca="false">IF($A1400="","",IF($AB1400&amp;""=設定!$C$4,1,0))</f>
        <v>1</v>
      </c>
    </row>
    <row r="1401" customFormat="false" ht="15" hidden="false" customHeight="false" outlineLevel="0" collapsed="false">
      <c r="A1401" s="0" t="n">
        <v>31</v>
      </c>
      <c r="AA1401" s="0" t="n">
        <v>21</v>
      </c>
      <c r="AB1401" s="0" t="s">
        <v>96</v>
      </c>
      <c r="AD1401" s="0" t="n">
        <v>0</v>
      </c>
      <c r="AE1401" s="0" t="s">
        <v>295</v>
      </c>
      <c r="AH1401" s="0" t="n">
        <v>1</v>
      </c>
      <c r="AJ1401" s="0" t="n">
        <v>41</v>
      </c>
      <c r="AP1401" s="0" t="n">
        <v>200000</v>
      </c>
      <c r="DB1401" s="0" t="str">
        <f aca="false">IF($A1401="","",IF($AH1401=20,IF(AND(OR($A1401=21,$A1401=215),$AJ1401=10),"①病院一般",IF(AND($A1401=31,$AJ1401=41),"②病院短期","対象外")),IF($AJ1401=30,"③特定消防",IF(AND(OR($A1401=21,$A1401=215),$AJ1401=10),"④一般",IF(AND($A1401=31,$AJ1401=41),"⑤短期","対象外")))))</f>
        <v>⑤短期</v>
      </c>
      <c r="DC1401" s="0" t="n">
        <f aca="false">IF($A1401="","",IF($AB1401&amp;""=設定!$C$4,1,0))</f>
        <v>1</v>
      </c>
    </row>
    <row r="1402" customFormat="false" ht="15" hidden="false" customHeight="false" outlineLevel="0" collapsed="false">
      <c r="A1402" s="0" t="n">
        <v>31</v>
      </c>
      <c r="AA1402" s="0" t="n">
        <v>21</v>
      </c>
      <c r="AB1402" s="0" t="s">
        <v>96</v>
      </c>
      <c r="AD1402" s="0" t="n">
        <v>0</v>
      </c>
      <c r="AE1402" s="0" t="s">
        <v>295</v>
      </c>
      <c r="AH1402" s="0" t="n">
        <v>1</v>
      </c>
      <c r="AJ1402" s="0" t="n">
        <v>41</v>
      </c>
      <c r="AP1402" s="0" t="n">
        <v>190000</v>
      </c>
      <c r="DB1402" s="0" t="str">
        <f aca="false">IF($A1402="","",IF($AH1402=20,IF(AND(OR($A1402=21,$A1402=215),$AJ1402=10),"①病院一般",IF(AND($A1402=31,$AJ1402=41),"②病院短期","対象外")),IF($AJ1402=30,"③特定消防",IF(AND(OR($A1402=21,$A1402=215),$AJ1402=10),"④一般",IF(AND($A1402=31,$AJ1402=41),"⑤短期","対象外")))))</f>
        <v>⑤短期</v>
      </c>
      <c r="DC1402" s="0" t="n">
        <f aca="false">IF($A1402="","",IF($AB1402&amp;""=設定!$C$4,1,0))</f>
        <v>1</v>
      </c>
    </row>
    <row r="1403" customFormat="false" ht="15" hidden="false" customHeight="false" outlineLevel="0" collapsed="false">
      <c r="A1403" s="0" t="n">
        <v>31</v>
      </c>
      <c r="AA1403" s="0" t="n">
        <v>21</v>
      </c>
      <c r="AB1403" s="0" t="s">
        <v>96</v>
      </c>
      <c r="AD1403" s="0" t="n">
        <v>0</v>
      </c>
      <c r="AE1403" s="0" t="s">
        <v>295</v>
      </c>
      <c r="AH1403" s="0" t="n">
        <v>1</v>
      </c>
      <c r="AJ1403" s="0" t="n">
        <v>41</v>
      </c>
      <c r="AP1403" s="0" t="n">
        <v>190000</v>
      </c>
      <c r="DB1403" s="0" t="str">
        <f aca="false">IF($A1403="","",IF($AH1403=20,IF(AND(OR($A1403=21,$A1403=215),$AJ1403=10),"①病院一般",IF(AND($A1403=31,$AJ1403=41),"②病院短期","対象外")),IF($AJ1403=30,"③特定消防",IF(AND(OR($A1403=21,$A1403=215),$AJ1403=10),"④一般",IF(AND($A1403=31,$AJ1403=41),"⑤短期","対象外")))))</f>
        <v>⑤短期</v>
      </c>
      <c r="DC1403" s="0" t="n">
        <f aca="false">IF($A1403="","",IF($AB1403&amp;""=設定!$C$4,1,0))</f>
        <v>1</v>
      </c>
    </row>
    <row r="1404" customFormat="false" ht="15" hidden="false" customHeight="false" outlineLevel="0" collapsed="false">
      <c r="A1404" s="0" t="n">
        <v>31</v>
      </c>
      <c r="AA1404" s="0" t="n">
        <v>21</v>
      </c>
      <c r="AB1404" s="0" t="s">
        <v>96</v>
      </c>
      <c r="AD1404" s="0" t="n">
        <v>0</v>
      </c>
      <c r="AE1404" s="0" t="s">
        <v>295</v>
      </c>
      <c r="AH1404" s="0" t="n">
        <v>1</v>
      </c>
      <c r="AJ1404" s="0" t="n">
        <v>41</v>
      </c>
      <c r="AP1404" s="0" t="n">
        <v>190000</v>
      </c>
      <c r="DB1404" s="0" t="str">
        <f aca="false">IF($A1404="","",IF($AH1404=20,IF(AND(OR($A1404=21,$A1404=215),$AJ1404=10),"①病院一般",IF(AND($A1404=31,$AJ1404=41),"②病院短期","対象外")),IF($AJ1404=30,"③特定消防",IF(AND(OR($A1404=21,$A1404=215),$AJ1404=10),"④一般",IF(AND($A1404=31,$AJ1404=41),"⑤短期","対象外")))))</f>
        <v>⑤短期</v>
      </c>
      <c r="DC1404" s="0" t="n">
        <f aca="false">IF($A1404="","",IF($AB1404&amp;""=設定!$C$4,1,0))</f>
        <v>1</v>
      </c>
    </row>
    <row r="1405" customFormat="false" ht="15" hidden="false" customHeight="false" outlineLevel="0" collapsed="false">
      <c r="A1405" s="0" t="n">
        <v>31</v>
      </c>
      <c r="AA1405" s="0" t="n">
        <v>21</v>
      </c>
      <c r="AB1405" s="0" t="s">
        <v>96</v>
      </c>
      <c r="AD1405" s="0" t="n">
        <v>12</v>
      </c>
      <c r="AE1405" s="0" t="s">
        <v>301</v>
      </c>
      <c r="AH1405" s="0" t="n">
        <v>1</v>
      </c>
      <c r="AJ1405" s="0" t="n">
        <v>41</v>
      </c>
      <c r="AP1405" s="0" t="n">
        <v>190000</v>
      </c>
      <c r="DB1405" s="0" t="str">
        <f aca="false">IF($A1405="","",IF($AH1405=20,IF(AND(OR($A1405=21,$A1405=215),$AJ1405=10),"①病院一般",IF(AND($A1405=31,$AJ1405=41),"②病院短期","対象外")),IF($AJ1405=30,"③特定消防",IF(AND(OR($A1405=21,$A1405=215),$AJ1405=10),"④一般",IF(AND($A1405=31,$AJ1405=41),"⑤短期","対象外")))))</f>
        <v>⑤短期</v>
      </c>
      <c r="DC1405" s="0" t="n">
        <f aca="false">IF($A1405="","",IF($AB1405&amp;""=設定!$C$4,1,0))</f>
        <v>1</v>
      </c>
    </row>
    <row r="1406" customFormat="false" ht="15" hidden="false" customHeight="false" outlineLevel="0" collapsed="false">
      <c r="A1406" s="0" t="n">
        <v>31</v>
      </c>
      <c r="AA1406" s="0" t="n">
        <v>21</v>
      </c>
      <c r="AB1406" s="0" t="s">
        <v>96</v>
      </c>
      <c r="AD1406" s="0" t="n">
        <v>0</v>
      </c>
      <c r="AE1406" s="0" t="s">
        <v>295</v>
      </c>
      <c r="AH1406" s="0" t="n">
        <v>1</v>
      </c>
      <c r="AJ1406" s="0" t="n">
        <v>41</v>
      </c>
      <c r="AP1406" s="0" t="n">
        <v>190000</v>
      </c>
      <c r="DB1406" s="0" t="str">
        <f aca="false">IF($A1406="","",IF($AH1406=20,IF(AND(OR($A1406=21,$A1406=215),$AJ1406=10),"①病院一般",IF(AND($A1406=31,$AJ1406=41),"②病院短期","対象外")),IF($AJ1406=30,"③特定消防",IF(AND(OR($A1406=21,$A1406=215),$AJ1406=10),"④一般",IF(AND($A1406=31,$AJ1406=41),"⑤短期","対象外")))))</f>
        <v>⑤短期</v>
      </c>
      <c r="DC1406" s="0" t="n">
        <f aca="false">IF($A1406="","",IF($AB1406&amp;""=設定!$C$4,1,0))</f>
        <v>1</v>
      </c>
    </row>
    <row r="1407" customFormat="false" ht="15" hidden="false" customHeight="false" outlineLevel="0" collapsed="false">
      <c r="A1407" s="0" t="n">
        <v>31</v>
      </c>
      <c r="AA1407" s="0" t="n">
        <v>21</v>
      </c>
      <c r="AB1407" s="0" t="s">
        <v>96</v>
      </c>
      <c r="AD1407" s="0" t="n">
        <v>0</v>
      </c>
      <c r="AE1407" s="0" t="s">
        <v>295</v>
      </c>
      <c r="AH1407" s="0" t="n">
        <v>1</v>
      </c>
      <c r="AJ1407" s="0" t="n">
        <v>41</v>
      </c>
      <c r="AP1407" s="0" t="n">
        <v>134000</v>
      </c>
      <c r="DB1407" s="0" t="str">
        <f aca="false">IF($A1407="","",IF($AH1407=20,IF(AND(OR($A1407=21,$A1407=215),$AJ1407=10),"①病院一般",IF(AND($A1407=31,$AJ1407=41),"②病院短期","対象外")),IF($AJ1407=30,"③特定消防",IF(AND(OR($A1407=21,$A1407=215),$AJ1407=10),"④一般",IF(AND($A1407=31,$AJ1407=41),"⑤短期","対象外")))))</f>
        <v>⑤短期</v>
      </c>
      <c r="DC1407" s="0" t="n">
        <f aca="false">IF($A1407="","",IF($AB1407&amp;""=設定!$C$4,1,0))</f>
        <v>1</v>
      </c>
    </row>
    <row r="1408" customFormat="false" ht="15" hidden="false" customHeight="false" outlineLevel="0" collapsed="false">
      <c r="A1408" s="0" t="n">
        <v>31</v>
      </c>
      <c r="AA1408" s="0" t="n">
        <v>21</v>
      </c>
      <c r="AB1408" s="0" t="s">
        <v>96</v>
      </c>
      <c r="AD1408" s="0" t="n">
        <v>12</v>
      </c>
      <c r="AE1408" s="0" t="s">
        <v>302</v>
      </c>
      <c r="AH1408" s="0" t="n">
        <v>1</v>
      </c>
      <c r="AJ1408" s="0" t="n">
        <v>41</v>
      </c>
      <c r="AP1408" s="0" t="n">
        <v>190000</v>
      </c>
      <c r="DB1408" s="0" t="str">
        <f aca="false">IF($A1408="","",IF($AH1408=20,IF(AND(OR($A1408=21,$A1408=215),$AJ1408=10),"①病院一般",IF(AND($A1408=31,$AJ1408=41),"②病院短期","対象外")),IF($AJ1408=30,"③特定消防",IF(AND(OR($A1408=21,$A1408=215),$AJ1408=10),"④一般",IF(AND($A1408=31,$AJ1408=41),"⑤短期","対象外")))))</f>
        <v>⑤短期</v>
      </c>
      <c r="DC1408" s="0" t="n">
        <f aca="false">IF($A1408="","",IF($AB1408&amp;""=設定!$C$4,1,0))</f>
        <v>1</v>
      </c>
    </row>
    <row r="1409" customFormat="false" ht="15" hidden="false" customHeight="false" outlineLevel="0" collapsed="false">
      <c r="A1409" s="0" t="n">
        <v>31</v>
      </c>
      <c r="AA1409" s="0" t="n">
        <v>21</v>
      </c>
      <c r="AB1409" s="0" t="s">
        <v>96</v>
      </c>
      <c r="AD1409" s="0" t="n">
        <v>0</v>
      </c>
      <c r="AE1409" s="0" t="s">
        <v>295</v>
      </c>
      <c r="AH1409" s="0" t="n">
        <v>1</v>
      </c>
      <c r="AJ1409" s="0" t="n">
        <v>41</v>
      </c>
      <c r="AP1409" s="0" t="n">
        <v>142000</v>
      </c>
      <c r="DB1409" s="0" t="str">
        <f aca="false">IF($A1409="","",IF($AH1409=20,IF(AND(OR($A1409=21,$A1409=215),$AJ1409=10),"①病院一般",IF(AND($A1409=31,$AJ1409=41),"②病院短期","対象外")),IF($AJ1409=30,"③特定消防",IF(AND(OR($A1409=21,$A1409=215),$AJ1409=10),"④一般",IF(AND($A1409=31,$AJ1409=41),"⑤短期","対象外")))))</f>
        <v>⑤短期</v>
      </c>
      <c r="DC1409" s="0" t="n">
        <f aca="false">IF($A1409="","",IF($AB1409&amp;""=設定!$C$4,1,0))</f>
        <v>1</v>
      </c>
    </row>
    <row r="1410" customFormat="false" ht="15" hidden="false" customHeight="false" outlineLevel="0" collapsed="false">
      <c r="A1410" s="0" t="n">
        <v>31</v>
      </c>
      <c r="AA1410" s="0" t="n">
        <v>21</v>
      </c>
      <c r="AB1410" s="0" t="s">
        <v>96</v>
      </c>
      <c r="AD1410" s="0" t="n">
        <v>0</v>
      </c>
      <c r="AE1410" s="0" t="s">
        <v>295</v>
      </c>
      <c r="AH1410" s="0" t="n">
        <v>1</v>
      </c>
      <c r="AJ1410" s="0" t="n">
        <v>41</v>
      </c>
      <c r="AP1410" s="0" t="n">
        <v>142000</v>
      </c>
      <c r="DB1410" s="0" t="str">
        <f aca="false">IF($A1410="","",IF($AH1410=20,IF(AND(OR($A1410=21,$A1410=215),$AJ1410=10),"①病院一般",IF(AND($A1410=31,$AJ1410=41),"②病院短期","対象外")),IF($AJ1410=30,"③特定消防",IF(AND(OR($A1410=21,$A1410=215),$AJ1410=10),"④一般",IF(AND($A1410=31,$AJ1410=41),"⑤短期","対象外")))))</f>
        <v>⑤短期</v>
      </c>
      <c r="DC1410" s="0" t="n">
        <f aca="false">IF($A1410="","",IF($AB1410&amp;""=設定!$C$4,1,0))</f>
        <v>1</v>
      </c>
    </row>
    <row r="1411" customFormat="false" ht="15" hidden="false" customHeight="false" outlineLevel="0" collapsed="false">
      <c r="A1411" s="0" t="n">
        <v>31</v>
      </c>
      <c r="AA1411" s="0" t="n">
        <v>21</v>
      </c>
      <c r="AB1411" s="0" t="s">
        <v>96</v>
      </c>
      <c r="AD1411" s="0" t="n">
        <v>0</v>
      </c>
      <c r="AE1411" s="0" t="s">
        <v>295</v>
      </c>
      <c r="AH1411" s="0" t="n">
        <v>1</v>
      </c>
      <c r="AJ1411" s="0" t="n">
        <v>41</v>
      </c>
      <c r="AP1411" s="0" t="n">
        <v>200000</v>
      </c>
      <c r="DB1411" s="0" t="str">
        <f aca="false">IF($A1411="","",IF($AH1411=20,IF(AND(OR($A1411=21,$A1411=215),$AJ1411=10),"①病院一般",IF(AND($A1411=31,$AJ1411=41),"②病院短期","対象外")),IF($AJ1411=30,"③特定消防",IF(AND(OR($A1411=21,$A1411=215),$AJ1411=10),"④一般",IF(AND($A1411=31,$AJ1411=41),"⑤短期","対象外")))))</f>
        <v>⑤短期</v>
      </c>
      <c r="DC1411" s="0" t="n">
        <f aca="false">IF($A1411="","",IF($AB1411&amp;""=設定!$C$4,1,0))</f>
        <v>1</v>
      </c>
    </row>
    <row r="1412" customFormat="false" ht="15" hidden="false" customHeight="false" outlineLevel="0" collapsed="false">
      <c r="A1412" s="0" t="n">
        <v>31</v>
      </c>
      <c r="AA1412" s="0" t="n">
        <v>21</v>
      </c>
      <c r="AB1412" s="0" t="s">
        <v>96</v>
      </c>
      <c r="AD1412" s="0" t="n">
        <v>0</v>
      </c>
      <c r="AE1412" s="0" t="s">
        <v>295</v>
      </c>
      <c r="AH1412" s="0" t="n">
        <v>1</v>
      </c>
      <c r="AJ1412" s="0" t="n">
        <v>41</v>
      </c>
      <c r="AP1412" s="0" t="n">
        <v>200000</v>
      </c>
      <c r="DB1412" s="0" t="str">
        <f aca="false">IF($A1412="","",IF($AH1412=20,IF(AND(OR($A1412=21,$A1412=215),$AJ1412=10),"①病院一般",IF(AND($A1412=31,$AJ1412=41),"②病院短期","対象外")),IF($AJ1412=30,"③特定消防",IF(AND(OR($A1412=21,$A1412=215),$AJ1412=10),"④一般",IF(AND($A1412=31,$AJ1412=41),"⑤短期","対象外")))))</f>
        <v>⑤短期</v>
      </c>
      <c r="DC1412" s="0" t="n">
        <f aca="false">IF($A1412="","",IF($AB1412&amp;""=設定!$C$4,1,0))</f>
        <v>1</v>
      </c>
    </row>
    <row r="1413" customFormat="false" ht="15" hidden="false" customHeight="false" outlineLevel="0" collapsed="false">
      <c r="A1413" s="0" t="n">
        <v>31</v>
      </c>
      <c r="AA1413" s="0" t="n">
        <v>21</v>
      </c>
      <c r="AB1413" s="0" t="s">
        <v>96</v>
      </c>
      <c r="AD1413" s="0" t="n">
        <v>0</v>
      </c>
      <c r="AE1413" s="0" t="s">
        <v>295</v>
      </c>
      <c r="AH1413" s="0" t="n">
        <v>1</v>
      </c>
      <c r="AJ1413" s="0" t="n">
        <v>41</v>
      </c>
      <c r="AP1413" s="0" t="n">
        <v>200000</v>
      </c>
      <c r="DB1413" s="0" t="str">
        <f aca="false">IF($A1413="","",IF($AH1413=20,IF(AND(OR($A1413=21,$A1413=215),$AJ1413=10),"①病院一般",IF(AND($A1413=31,$AJ1413=41),"②病院短期","対象外")),IF($AJ1413=30,"③特定消防",IF(AND(OR($A1413=21,$A1413=215),$AJ1413=10),"④一般",IF(AND($A1413=31,$AJ1413=41),"⑤短期","対象外")))))</f>
        <v>⑤短期</v>
      </c>
      <c r="DC1413" s="0" t="n">
        <f aca="false">IF($A1413="","",IF($AB1413&amp;""=設定!$C$4,1,0))</f>
        <v>1</v>
      </c>
    </row>
    <row r="1414" customFormat="false" ht="15" hidden="false" customHeight="false" outlineLevel="0" collapsed="false">
      <c r="A1414" s="0" t="n">
        <v>31</v>
      </c>
      <c r="AA1414" s="0" t="n">
        <v>21</v>
      </c>
      <c r="AB1414" s="0" t="s">
        <v>318</v>
      </c>
      <c r="AD1414" s="0" t="n">
        <v>0</v>
      </c>
      <c r="AE1414" s="0" t="s">
        <v>295</v>
      </c>
      <c r="AH1414" s="0" t="n">
        <v>11</v>
      </c>
      <c r="AJ1414" s="0" t="n">
        <v>41</v>
      </c>
      <c r="AP1414" s="0" t="n">
        <v>126000</v>
      </c>
      <c r="DB1414" s="0" t="str">
        <f aca="false">IF($A1414="","",IF($AH1414=20,IF(AND(OR($A1414=21,$A1414=215),$AJ1414=10),"①病院一般",IF(AND($A1414=31,$AJ1414=41),"②病院短期","対象外")),IF($AJ1414=30,"③特定消防",IF(AND(OR($A1414=21,$A1414=215),$AJ1414=10),"④一般",IF(AND($A1414=31,$AJ1414=41),"⑤短期","対象外")))))</f>
        <v>⑤短期</v>
      </c>
      <c r="DC1414" s="0" t="n">
        <f aca="false">IF($A1414="","",IF($AB1414&amp;""=設定!$C$4,1,0))</f>
        <v>0</v>
      </c>
    </row>
    <row r="1415" customFormat="false" ht="15" hidden="false" customHeight="false" outlineLevel="0" collapsed="false">
      <c r="A1415" s="0" t="n">
        <v>31</v>
      </c>
      <c r="AA1415" s="0" t="n">
        <v>21</v>
      </c>
      <c r="AB1415" s="0" t="s">
        <v>96</v>
      </c>
      <c r="AD1415" s="0" t="n">
        <v>0</v>
      </c>
      <c r="AE1415" s="0" t="s">
        <v>295</v>
      </c>
      <c r="AH1415" s="0" t="n">
        <v>1</v>
      </c>
      <c r="AJ1415" s="0" t="n">
        <v>41</v>
      </c>
      <c r="AP1415" s="0" t="n">
        <v>260000</v>
      </c>
      <c r="DB1415" s="0" t="str">
        <f aca="false">IF($A1415="","",IF($AH1415=20,IF(AND(OR($A1415=21,$A1415=215),$AJ1415=10),"①病院一般",IF(AND($A1415=31,$AJ1415=41),"②病院短期","対象外")),IF($AJ1415=30,"③特定消防",IF(AND(OR($A1415=21,$A1415=215),$AJ1415=10),"④一般",IF(AND($A1415=31,$AJ1415=41),"⑤短期","対象外")))))</f>
        <v>⑤短期</v>
      </c>
      <c r="DC1415" s="0" t="n">
        <f aca="false">IF($A1415="","",IF($AB1415&amp;""=設定!$C$4,1,0))</f>
        <v>1</v>
      </c>
    </row>
    <row r="1416" customFormat="false" ht="15" hidden="false" customHeight="false" outlineLevel="0" collapsed="false">
      <c r="A1416" s="0" t="n">
        <v>31</v>
      </c>
      <c r="AA1416" s="0" t="n">
        <v>21</v>
      </c>
      <c r="AB1416" s="0" t="s">
        <v>96</v>
      </c>
      <c r="AD1416" s="0" t="n">
        <v>0</v>
      </c>
      <c r="AE1416" s="0" t="s">
        <v>295</v>
      </c>
      <c r="AH1416" s="0" t="n">
        <v>1</v>
      </c>
      <c r="AJ1416" s="0" t="n">
        <v>41</v>
      </c>
      <c r="AP1416" s="0" t="n">
        <v>126000</v>
      </c>
      <c r="DB1416" s="0" t="str">
        <f aca="false">IF($A1416="","",IF($AH1416=20,IF(AND(OR($A1416=21,$A1416=215),$AJ1416=10),"①病院一般",IF(AND($A1416=31,$AJ1416=41),"②病院短期","対象外")),IF($AJ1416=30,"③特定消防",IF(AND(OR($A1416=21,$A1416=215),$AJ1416=10),"④一般",IF(AND($A1416=31,$AJ1416=41),"⑤短期","対象外")))))</f>
        <v>⑤短期</v>
      </c>
      <c r="DC1416" s="0" t="n">
        <f aca="false">IF($A1416="","",IF($AB1416&amp;""=設定!$C$4,1,0))</f>
        <v>1</v>
      </c>
    </row>
    <row r="1417" customFormat="false" ht="15" hidden="false" customHeight="false" outlineLevel="0" collapsed="false">
      <c r="A1417" s="0" t="n">
        <v>31</v>
      </c>
      <c r="AA1417" s="0" t="n">
        <v>21</v>
      </c>
      <c r="AB1417" s="0" t="s">
        <v>96</v>
      </c>
      <c r="AD1417" s="0" t="n">
        <v>0</v>
      </c>
      <c r="AE1417" s="0" t="s">
        <v>295</v>
      </c>
      <c r="AH1417" s="0" t="n">
        <v>1</v>
      </c>
      <c r="AJ1417" s="0" t="n">
        <v>41</v>
      </c>
      <c r="AP1417" s="0" t="n">
        <v>260000</v>
      </c>
      <c r="DB1417" s="0" t="str">
        <f aca="false">IF($A1417="","",IF($AH1417=20,IF(AND(OR($A1417=21,$A1417=215),$AJ1417=10),"①病院一般",IF(AND($A1417=31,$AJ1417=41),"②病院短期","対象外")),IF($AJ1417=30,"③特定消防",IF(AND(OR($A1417=21,$A1417=215),$AJ1417=10),"④一般",IF(AND($A1417=31,$AJ1417=41),"⑤短期","対象外")))))</f>
        <v>⑤短期</v>
      </c>
      <c r="DC1417" s="0" t="n">
        <f aca="false">IF($A1417="","",IF($AB1417&amp;""=設定!$C$4,1,0))</f>
        <v>1</v>
      </c>
    </row>
    <row r="1418" customFormat="false" ht="15" hidden="false" customHeight="false" outlineLevel="0" collapsed="false">
      <c r="A1418" s="0" t="n">
        <v>31</v>
      </c>
      <c r="AA1418" s="0" t="n">
        <v>21</v>
      </c>
      <c r="AB1418" s="0" t="s">
        <v>96</v>
      </c>
      <c r="AD1418" s="0" t="n">
        <v>0</v>
      </c>
      <c r="AE1418" s="0" t="s">
        <v>295</v>
      </c>
      <c r="AH1418" s="0" t="n">
        <v>1</v>
      </c>
      <c r="AJ1418" s="0" t="n">
        <v>41</v>
      </c>
      <c r="AP1418" s="0" t="n">
        <v>190000</v>
      </c>
      <c r="DB1418" s="0" t="str">
        <f aca="false">IF($A1418="","",IF($AH1418=20,IF(AND(OR($A1418=21,$A1418=215),$AJ1418=10),"①病院一般",IF(AND($A1418=31,$AJ1418=41),"②病院短期","対象外")),IF($AJ1418=30,"③特定消防",IF(AND(OR($A1418=21,$A1418=215),$AJ1418=10),"④一般",IF(AND($A1418=31,$AJ1418=41),"⑤短期","対象外")))))</f>
        <v>⑤短期</v>
      </c>
      <c r="DC1418" s="0" t="n">
        <f aca="false">IF($A1418="","",IF($AB1418&amp;""=設定!$C$4,1,0))</f>
        <v>1</v>
      </c>
    </row>
    <row r="1419" customFormat="false" ht="15" hidden="false" customHeight="false" outlineLevel="0" collapsed="false">
      <c r="A1419" s="0" t="n">
        <v>31</v>
      </c>
      <c r="AA1419" s="0" t="n">
        <v>21</v>
      </c>
      <c r="AB1419" s="0" t="s">
        <v>96</v>
      </c>
      <c r="AD1419" s="0" t="n">
        <v>0</v>
      </c>
      <c r="AE1419" s="0" t="s">
        <v>295</v>
      </c>
      <c r="AH1419" s="0" t="n">
        <v>1</v>
      </c>
      <c r="AJ1419" s="0" t="n">
        <v>41</v>
      </c>
      <c r="AP1419" s="0" t="n">
        <v>200000</v>
      </c>
      <c r="DB1419" s="0" t="str">
        <f aca="false">IF($A1419="","",IF($AH1419=20,IF(AND(OR($A1419=21,$A1419=215),$AJ1419=10),"①病院一般",IF(AND($A1419=31,$AJ1419=41),"②病院短期","対象外")),IF($AJ1419=30,"③特定消防",IF(AND(OR($A1419=21,$A1419=215),$AJ1419=10),"④一般",IF(AND($A1419=31,$AJ1419=41),"⑤短期","対象外")))))</f>
        <v>⑤短期</v>
      </c>
      <c r="DC1419" s="0" t="n">
        <f aca="false">IF($A1419="","",IF($AB1419&amp;""=設定!$C$4,1,0))</f>
        <v>1</v>
      </c>
    </row>
    <row r="1420" customFormat="false" ht="15" hidden="false" customHeight="false" outlineLevel="0" collapsed="false">
      <c r="A1420" s="0" t="n">
        <v>31</v>
      </c>
      <c r="AA1420" s="0" t="n">
        <v>21</v>
      </c>
      <c r="AB1420" s="0" t="s">
        <v>96</v>
      </c>
      <c r="AD1420" s="0" t="n">
        <v>0</v>
      </c>
      <c r="AE1420" s="0" t="s">
        <v>295</v>
      </c>
      <c r="AH1420" s="0" t="n">
        <v>1</v>
      </c>
      <c r="AJ1420" s="0" t="n">
        <v>41</v>
      </c>
      <c r="AP1420" s="0" t="n">
        <v>142000</v>
      </c>
      <c r="DB1420" s="0" t="str">
        <f aca="false">IF($A1420="","",IF($AH1420=20,IF(AND(OR($A1420=21,$A1420=215),$AJ1420=10),"①病院一般",IF(AND($A1420=31,$AJ1420=41),"②病院短期","対象外")),IF($AJ1420=30,"③特定消防",IF(AND(OR($A1420=21,$A1420=215),$AJ1420=10),"④一般",IF(AND($A1420=31,$AJ1420=41),"⑤短期","対象外")))))</f>
        <v>⑤短期</v>
      </c>
      <c r="DC1420" s="0" t="n">
        <f aca="false">IF($A1420="","",IF($AB1420&amp;""=設定!$C$4,1,0))</f>
        <v>1</v>
      </c>
    </row>
    <row r="1421" customFormat="false" ht="15" hidden="false" customHeight="false" outlineLevel="0" collapsed="false">
      <c r="A1421" s="0" t="n">
        <v>31</v>
      </c>
      <c r="AA1421" s="0" t="n">
        <v>21</v>
      </c>
      <c r="AB1421" s="0" t="s">
        <v>96</v>
      </c>
      <c r="AD1421" s="0" t="n">
        <v>0</v>
      </c>
      <c r="AE1421" s="0" t="s">
        <v>295</v>
      </c>
      <c r="AH1421" s="0" t="n">
        <v>1</v>
      </c>
      <c r="AJ1421" s="0" t="n">
        <v>41</v>
      </c>
      <c r="AP1421" s="0" t="n">
        <v>134000</v>
      </c>
      <c r="DB1421" s="0" t="str">
        <f aca="false">IF($A1421="","",IF($AH1421=20,IF(AND(OR($A1421=21,$A1421=215),$AJ1421=10),"①病院一般",IF(AND($A1421=31,$AJ1421=41),"②病院短期","対象外")),IF($AJ1421=30,"③特定消防",IF(AND(OR($A1421=21,$A1421=215),$AJ1421=10),"④一般",IF(AND($A1421=31,$AJ1421=41),"⑤短期","対象外")))))</f>
        <v>⑤短期</v>
      </c>
      <c r="DC1421" s="0" t="n">
        <f aca="false">IF($A1421="","",IF($AB1421&amp;""=設定!$C$4,1,0))</f>
        <v>1</v>
      </c>
    </row>
    <row r="1422" customFormat="false" ht="15" hidden="false" customHeight="false" outlineLevel="0" collapsed="false">
      <c r="A1422" s="0" t="n">
        <v>31</v>
      </c>
      <c r="AA1422" s="0" t="n">
        <v>21</v>
      </c>
      <c r="AB1422" s="0" t="s">
        <v>96</v>
      </c>
      <c r="AD1422" s="0" t="n">
        <v>0</v>
      </c>
      <c r="AE1422" s="0" t="s">
        <v>295</v>
      </c>
      <c r="AH1422" s="0" t="n">
        <v>1</v>
      </c>
      <c r="AJ1422" s="0" t="n">
        <v>41</v>
      </c>
      <c r="AP1422" s="0" t="n">
        <v>200000</v>
      </c>
      <c r="DB1422" s="0" t="str">
        <f aca="false">IF($A1422="","",IF($AH1422=20,IF(AND(OR($A1422=21,$A1422=215),$AJ1422=10),"①病院一般",IF(AND($A1422=31,$AJ1422=41),"②病院短期","対象外")),IF($AJ1422=30,"③特定消防",IF(AND(OR($A1422=21,$A1422=215),$AJ1422=10),"④一般",IF(AND($A1422=31,$AJ1422=41),"⑤短期","対象外")))))</f>
        <v>⑤短期</v>
      </c>
      <c r="DC1422" s="0" t="n">
        <f aca="false">IF($A1422="","",IF($AB1422&amp;""=設定!$C$4,1,0))</f>
        <v>1</v>
      </c>
    </row>
    <row r="1423" customFormat="false" ht="15" hidden="false" customHeight="false" outlineLevel="0" collapsed="false">
      <c r="A1423" s="0" t="n">
        <v>31</v>
      </c>
      <c r="AA1423" s="0" t="n">
        <v>21</v>
      </c>
      <c r="AB1423" s="0" t="s">
        <v>96</v>
      </c>
      <c r="AD1423" s="0" t="n">
        <v>0</v>
      </c>
      <c r="AE1423" s="0" t="s">
        <v>295</v>
      </c>
      <c r="AH1423" s="0" t="n">
        <v>1</v>
      </c>
      <c r="AJ1423" s="0" t="n">
        <v>41</v>
      </c>
      <c r="AP1423" s="0" t="n">
        <v>142000</v>
      </c>
      <c r="DB1423" s="0" t="str">
        <f aca="false">IF($A1423="","",IF($AH1423=20,IF(AND(OR($A1423=21,$A1423=215),$AJ1423=10),"①病院一般",IF(AND($A1423=31,$AJ1423=41),"②病院短期","対象外")),IF($AJ1423=30,"③特定消防",IF(AND(OR($A1423=21,$A1423=215),$AJ1423=10),"④一般",IF(AND($A1423=31,$AJ1423=41),"⑤短期","対象外")))))</f>
        <v>⑤短期</v>
      </c>
      <c r="DC1423" s="0" t="n">
        <f aca="false">IF($A1423="","",IF($AB1423&amp;""=設定!$C$4,1,0))</f>
        <v>1</v>
      </c>
    </row>
    <row r="1424" customFormat="false" ht="15" hidden="false" customHeight="false" outlineLevel="0" collapsed="false">
      <c r="A1424" s="0" t="n">
        <v>31</v>
      </c>
      <c r="AA1424" s="0" t="n">
        <v>21</v>
      </c>
      <c r="AB1424" s="0" t="s">
        <v>96</v>
      </c>
      <c r="AD1424" s="0" t="n">
        <v>0</v>
      </c>
      <c r="AE1424" s="0" t="s">
        <v>295</v>
      </c>
      <c r="AH1424" s="0" t="n">
        <v>11</v>
      </c>
      <c r="AJ1424" s="0" t="n">
        <v>41</v>
      </c>
      <c r="AP1424" s="0" t="n">
        <v>190000</v>
      </c>
      <c r="DB1424" s="0" t="str">
        <f aca="false">IF($A1424="","",IF($AH1424=20,IF(AND(OR($A1424=21,$A1424=215),$AJ1424=10),"①病院一般",IF(AND($A1424=31,$AJ1424=41),"②病院短期","対象外")),IF($AJ1424=30,"③特定消防",IF(AND(OR($A1424=21,$A1424=215),$AJ1424=10),"④一般",IF(AND($A1424=31,$AJ1424=41),"⑤短期","対象外")))))</f>
        <v>⑤短期</v>
      </c>
      <c r="DC1424" s="0" t="n">
        <f aca="false">IF($A1424="","",IF($AB1424&amp;""=設定!$C$4,1,0))</f>
        <v>1</v>
      </c>
    </row>
    <row r="1425" customFormat="false" ht="15" hidden="false" customHeight="false" outlineLevel="0" collapsed="false">
      <c r="A1425" s="0" t="n">
        <v>31</v>
      </c>
      <c r="AA1425" s="0" t="n">
        <v>21</v>
      </c>
      <c r="AB1425" s="0" t="s">
        <v>96</v>
      </c>
      <c r="AD1425" s="0" t="n">
        <v>0</v>
      </c>
      <c r="AE1425" s="0" t="s">
        <v>295</v>
      </c>
      <c r="AH1425" s="0" t="n">
        <v>11</v>
      </c>
      <c r="AJ1425" s="0" t="n">
        <v>41</v>
      </c>
      <c r="AP1425" s="0" t="n">
        <v>142000</v>
      </c>
      <c r="DB1425" s="0" t="str">
        <f aca="false">IF($A1425="","",IF($AH1425=20,IF(AND(OR($A1425=21,$A1425=215),$AJ1425=10),"①病院一般",IF(AND($A1425=31,$AJ1425=41),"②病院短期","対象外")),IF($AJ1425=30,"③特定消防",IF(AND(OR($A1425=21,$A1425=215),$AJ1425=10),"④一般",IF(AND($A1425=31,$AJ1425=41),"⑤短期","対象外")))))</f>
        <v>⑤短期</v>
      </c>
      <c r="DC1425" s="0" t="n">
        <f aca="false">IF($A1425="","",IF($AB1425&amp;""=設定!$C$4,1,0))</f>
        <v>1</v>
      </c>
    </row>
    <row r="1426" customFormat="false" ht="15" hidden="false" customHeight="false" outlineLevel="0" collapsed="false">
      <c r="A1426" s="0" t="n">
        <v>31</v>
      </c>
      <c r="AA1426" s="0" t="n">
        <v>21</v>
      </c>
      <c r="AB1426" s="0" t="s">
        <v>96</v>
      </c>
      <c r="AD1426" s="0" t="n">
        <v>0</v>
      </c>
      <c r="AE1426" s="0" t="s">
        <v>295</v>
      </c>
      <c r="AH1426" s="0" t="n">
        <v>11</v>
      </c>
      <c r="AJ1426" s="0" t="n">
        <v>41</v>
      </c>
      <c r="AP1426" s="0" t="n">
        <v>180000</v>
      </c>
      <c r="DB1426" s="0" t="str">
        <f aca="false">IF($A1426="","",IF($AH1426=20,IF(AND(OR($A1426=21,$A1426=215),$AJ1426=10),"①病院一般",IF(AND($A1426=31,$AJ1426=41),"②病院短期","対象外")),IF($AJ1426=30,"③特定消防",IF(AND(OR($A1426=21,$A1426=215),$AJ1426=10),"④一般",IF(AND($A1426=31,$AJ1426=41),"⑤短期","対象外")))))</f>
        <v>⑤短期</v>
      </c>
      <c r="DC1426" s="0" t="n">
        <f aca="false">IF($A1426="","",IF($AB1426&amp;""=設定!$C$4,1,0))</f>
        <v>1</v>
      </c>
    </row>
    <row r="1427" customFormat="false" ht="15" hidden="false" customHeight="false" outlineLevel="0" collapsed="false">
      <c r="A1427" s="0" t="n">
        <v>31</v>
      </c>
      <c r="AA1427" s="0" t="n">
        <v>21</v>
      </c>
      <c r="AB1427" s="0" t="s">
        <v>96</v>
      </c>
      <c r="AD1427" s="0" t="n">
        <v>0</v>
      </c>
      <c r="AE1427" s="0" t="s">
        <v>295</v>
      </c>
      <c r="AH1427" s="0" t="n">
        <v>11</v>
      </c>
      <c r="AJ1427" s="0" t="n">
        <v>41</v>
      </c>
      <c r="AP1427" s="0" t="n">
        <v>180000</v>
      </c>
      <c r="DB1427" s="0" t="str">
        <f aca="false">IF($A1427="","",IF($AH1427=20,IF(AND(OR($A1427=21,$A1427=215),$AJ1427=10),"①病院一般",IF(AND($A1427=31,$AJ1427=41),"②病院短期","対象外")),IF($AJ1427=30,"③特定消防",IF(AND(OR($A1427=21,$A1427=215),$AJ1427=10),"④一般",IF(AND($A1427=31,$AJ1427=41),"⑤短期","対象外")))))</f>
        <v>⑤短期</v>
      </c>
      <c r="DC1427" s="0" t="n">
        <f aca="false">IF($A1427="","",IF($AB1427&amp;""=設定!$C$4,1,0))</f>
        <v>1</v>
      </c>
    </row>
    <row r="1428" customFormat="false" ht="15" hidden="false" customHeight="false" outlineLevel="0" collapsed="false">
      <c r="A1428" s="0" t="n">
        <v>31</v>
      </c>
      <c r="AA1428" s="0" t="n">
        <v>21</v>
      </c>
      <c r="AB1428" s="0" t="s">
        <v>96</v>
      </c>
      <c r="AD1428" s="0" t="n">
        <v>0</v>
      </c>
      <c r="AE1428" s="0" t="s">
        <v>295</v>
      </c>
      <c r="AH1428" s="0" t="n">
        <v>1</v>
      </c>
      <c r="AJ1428" s="0" t="n">
        <v>41</v>
      </c>
      <c r="AP1428" s="0" t="n">
        <v>170000</v>
      </c>
      <c r="DB1428" s="0" t="str">
        <f aca="false">IF($A1428="","",IF($AH1428=20,IF(AND(OR($A1428=21,$A1428=215),$AJ1428=10),"①病院一般",IF(AND($A1428=31,$AJ1428=41),"②病院短期","対象外")),IF($AJ1428=30,"③特定消防",IF(AND(OR($A1428=21,$A1428=215),$AJ1428=10),"④一般",IF(AND($A1428=31,$AJ1428=41),"⑤短期","対象外")))))</f>
        <v>⑤短期</v>
      </c>
      <c r="DC1428" s="0" t="n">
        <f aca="false">IF($A1428="","",IF($AB1428&amp;""=設定!$C$4,1,0))</f>
        <v>1</v>
      </c>
    </row>
    <row r="1429" customFormat="false" ht="15" hidden="false" customHeight="false" outlineLevel="0" collapsed="false">
      <c r="A1429" s="0" t="n">
        <v>31</v>
      </c>
      <c r="AA1429" s="0" t="n">
        <v>21</v>
      </c>
      <c r="AB1429" s="0" t="s">
        <v>96</v>
      </c>
      <c r="AD1429" s="0" t="n">
        <v>0</v>
      </c>
      <c r="AE1429" s="0" t="s">
        <v>295</v>
      </c>
      <c r="AH1429" s="0" t="n">
        <v>1</v>
      </c>
      <c r="AJ1429" s="0" t="n">
        <v>41</v>
      </c>
      <c r="AP1429" s="0" t="n">
        <v>126000</v>
      </c>
      <c r="DB1429" s="0" t="str">
        <f aca="false">IF($A1429="","",IF($AH1429=20,IF(AND(OR($A1429=21,$A1429=215),$AJ1429=10),"①病院一般",IF(AND($A1429=31,$AJ1429=41),"②病院短期","対象外")),IF($AJ1429=30,"③特定消防",IF(AND(OR($A1429=21,$A1429=215),$AJ1429=10),"④一般",IF(AND($A1429=31,$AJ1429=41),"⑤短期","対象外")))))</f>
        <v>⑤短期</v>
      </c>
      <c r="DC1429" s="0" t="n">
        <f aca="false">IF($A1429="","",IF($AB1429&amp;""=設定!$C$4,1,0))</f>
        <v>1</v>
      </c>
    </row>
    <row r="1430" customFormat="false" ht="15" hidden="false" customHeight="false" outlineLevel="0" collapsed="false">
      <c r="A1430" s="0" t="n">
        <v>31</v>
      </c>
      <c r="AA1430" s="0" t="n">
        <v>21</v>
      </c>
      <c r="AB1430" s="0" t="s">
        <v>318</v>
      </c>
      <c r="AD1430" s="0" t="n">
        <v>0</v>
      </c>
      <c r="AE1430" s="0" t="s">
        <v>295</v>
      </c>
      <c r="AH1430" s="0" t="n">
        <v>11</v>
      </c>
      <c r="AJ1430" s="0" t="n">
        <v>41</v>
      </c>
      <c r="AP1430" s="0" t="n">
        <v>126000</v>
      </c>
      <c r="DB1430" s="0" t="str">
        <f aca="false">IF($A1430="","",IF($AH1430=20,IF(AND(OR($A1430=21,$A1430=215),$AJ1430=10),"①病院一般",IF(AND($A1430=31,$AJ1430=41),"②病院短期","対象外")),IF($AJ1430=30,"③特定消防",IF(AND(OR($A1430=21,$A1430=215),$AJ1430=10),"④一般",IF(AND($A1430=31,$AJ1430=41),"⑤短期","対象外")))))</f>
        <v>⑤短期</v>
      </c>
      <c r="DC1430" s="0" t="n">
        <f aca="false">IF($A1430="","",IF($AB1430&amp;""=設定!$C$4,1,0))</f>
        <v>0</v>
      </c>
    </row>
    <row r="1431" customFormat="false" ht="15" hidden="false" customHeight="false" outlineLevel="0" collapsed="false">
      <c r="A1431" s="0" t="n">
        <v>31</v>
      </c>
      <c r="AA1431" s="0" t="n">
        <v>21</v>
      </c>
      <c r="AB1431" s="0" t="s">
        <v>318</v>
      </c>
      <c r="AD1431" s="0" t="n">
        <v>0</v>
      </c>
      <c r="AE1431" s="0" t="s">
        <v>295</v>
      </c>
      <c r="AH1431" s="0" t="n">
        <v>11</v>
      </c>
      <c r="AJ1431" s="0" t="n">
        <v>41</v>
      </c>
      <c r="AP1431" s="0" t="n">
        <v>134000</v>
      </c>
      <c r="DB1431" s="0" t="str">
        <f aca="false">IF($A1431="","",IF($AH1431=20,IF(AND(OR($A1431=21,$A1431=215),$AJ1431=10),"①病院一般",IF(AND($A1431=31,$AJ1431=41),"②病院短期","対象外")),IF($AJ1431=30,"③特定消防",IF(AND(OR($A1431=21,$A1431=215),$AJ1431=10),"④一般",IF(AND($A1431=31,$AJ1431=41),"⑤短期","対象外")))))</f>
        <v>⑤短期</v>
      </c>
      <c r="DC1431" s="0" t="n">
        <f aca="false">IF($A1431="","",IF($AB1431&amp;""=設定!$C$4,1,0))</f>
        <v>0</v>
      </c>
    </row>
    <row r="1432" customFormat="false" ht="15" hidden="false" customHeight="false" outlineLevel="0" collapsed="false">
      <c r="A1432" s="0" t="n">
        <v>31</v>
      </c>
      <c r="AA1432" s="0" t="n">
        <v>21</v>
      </c>
      <c r="AB1432" s="0" t="s">
        <v>96</v>
      </c>
      <c r="AD1432" s="0" t="n">
        <v>0</v>
      </c>
      <c r="AE1432" s="0" t="s">
        <v>295</v>
      </c>
      <c r="AH1432" s="0" t="n">
        <v>4</v>
      </c>
      <c r="AJ1432" s="0" t="n">
        <v>41</v>
      </c>
      <c r="AP1432" s="0" t="n">
        <v>200000</v>
      </c>
      <c r="DB1432" s="0" t="str">
        <f aca="false">IF($A1432="","",IF($AH1432=20,IF(AND(OR($A1432=21,$A1432=215),$AJ1432=10),"①病院一般",IF(AND($A1432=31,$AJ1432=41),"②病院短期","対象外")),IF($AJ1432=30,"③特定消防",IF(AND(OR($A1432=21,$A1432=215),$AJ1432=10),"④一般",IF(AND($A1432=31,$AJ1432=41),"⑤短期","対象外")))))</f>
        <v>⑤短期</v>
      </c>
      <c r="DC1432" s="0" t="n">
        <f aca="false">IF($A1432="","",IF($AB1432&amp;""=設定!$C$4,1,0))</f>
        <v>1</v>
      </c>
    </row>
    <row r="1433" customFormat="false" ht="15" hidden="false" customHeight="false" outlineLevel="0" collapsed="false">
      <c r="A1433" s="0" t="n">
        <v>31</v>
      </c>
      <c r="AA1433" s="0" t="n">
        <v>21</v>
      </c>
      <c r="AB1433" s="0" t="s">
        <v>96</v>
      </c>
      <c r="AD1433" s="0" t="n">
        <v>0</v>
      </c>
      <c r="AE1433" s="0" t="s">
        <v>295</v>
      </c>
      <c r="AH1433" s="0" t="n">
        <v>1</v>
      </c>
      <c r="AJ1433" s="0" t="n">
        <v>41</v>
      </c>
      <c r="AP1433" s="0" t="n">
        <v>134000</v>
      </c>
      <c r="DB1433" s="0" t="str">
        <f aca="false">IF($A1433="","",IF($AH1433=20,IF(AND(OR($A1433=21,$A1433=215),$AJ1433=10),"①病院一般",IF(AND($A1433=31,$AJ1433=41),"②病院短期","対象外")),IF($AJ1433=30,"③特定消防",IF(AND(OR($A1433=21,$A1433=215),$AJ1433=10),"④一般",IF(AND($A1433=31,$AJ1433=41),"⑤短期","対象外")))))</f>
        <v>⑤短期</v>
      </c>
      <c r="DC1433" s="0" t="n">
        <f aca="false">IF($A1433="","",IF($AB1433&amp;""=設定!$C$4,1,0))</f>
        <v>1</v>
      </c>
    </row>
    <row r="1434" customFormat="false" ht="15" hidden="false" customHeight="false" outlineLevel="0" collapsed="false">
      <c r="A1434" s="0" t="n">
        <v>31</v>
      </c>
      <c r="AA1434" s="0" t="n">
        <v>21</v>
      </c>
      <c r="AB1434" s="0" t="s">
        <v>318</v>
      </c>
      <c r="AD1434" s="0" t="n">
        <v>0</v>
      </c>
      <c r="AE1434" s="0" t="s">
        <v>295</v>
      </c>
      <c r="AH1434" s="0" t="n">
        <v>11</v>
      </c>
      <c r="AJ1434" s="0" t="n">
        <v>41</v>
      </c>
      <c r="AP1434" s="0" t="n">
        <v>126000</v>
      </c>
      <c r="DB1434" s="0" t="str">
        <f aca="false">IF($A1434="","",IF($AH1434=20,IF(AND(OR($A1434=21,$A1434=215),$AJ1434=10),"①病院一般",IF(AND($A1434=31,$AJ1434=41),"②病院短期","対象外")),IF($AJ1434=30,"③特定消防",IF(AND(OR($A1434=21,$A1434=215),$AJ1434=10),"④一般",IF(AND($A1434=31,$AJ1434=41),"⑤短期","対象外")))))</f>
        <v>⑤短期</v>
      </c>
      <c r="DC1434" s="0" t="n">
        <f aca="false">IF($A1434="","",IF($AB1434&amp;""=設定!$C$4,1,0))</f>
        <v>0</v>
      </c>
    </row>
    <row r="1435" customFormat="false" ht="15" hidden="false" customHeight="false" outlineLevel="0" collapsed="false">
      <c r="A1435" s="0" t="n">
        <v>31</v>
      </c>
      <c r="AA1435" s="0" t="n">
        <v>21</v>
      </c>
      <c r="AB1435" s="0" t="s">
        <v>96</v>
      </c>
      <c r="AD1435" s="0" t="n">
        <v>0</v>
      </c>
      <c r="AE1435" s="0" t="s">
        <v>295</v>
      </c>
      <c r="AH1435" s="0" t="n">
        <v>11</v>
      </c>
      <c r="AJ1435" s="0" t="n">
        <v>41</v>
      </c>
      <c r="AP1435" s="0" t="n">
        <v>142000</v>
      </c>
      <c r="DB1435" s="0" t="str">
        <f aca="false">IF($A1435="","",IF($AH1435=20,IF(AND(OR($A1435=21,$A1435=215),$AJ1435=10),"①病院一般",IF(AND($A1435=31,$AJ1435=41),"②病院短期","対象外")),IF($AJ1435=30,"③特定消防",IF(AND(OR($A1435=21,$A1435=215),$AJ1435=10),"④一般",IF(AND($A1435=31,$AJ1435=41),"⑤短期","対象外")))))</f>
        <v>⑤短期</v>
      </c>
      <c r="DC1435" s="0" t="n">
        <f aca="false">IF($A1435="","",IF($AB1435&amp;""=設定!$C$4,1,0))</f>
        <v>1</v>
      </c>
    </row>
    <row r="1436" customFormat="false" ht="15" hidden="false" customHeight="false" outlineLevel="0" collapsed="false">
      <c r="A1436" s="0" t="n">
        <v>31</v>
      </c>
      <c r="AA1436" s="0" t="n">
        <v>21</v>
      </c>
      <c r="AB1436" s="0" t="s">
        <v>96</v>
      </c>
      <c r="AD1436" s="0" t="n">
        <v>0</v>
      </c>
      <c r="AE1436" s="0" t="s">
        <v>295</v>
      </c>
      <c r="AH1436" s="0" t="n">
        <v>1</v>
      </c>
      <c r="AJ1436" s="0" t="n">
        <v>41</v>
      </c>
      <c r="AP1436" s="0" t="n">
        <v>134000</v>
      </c>
      <c r="DB1436" s="0" t="str">
        <f aca="false">IF($A1436="","",IF($AH1436=20,IF(AND(OR($A1436=21,$A1436=215),$AJ1436=10),"①病院一般",IF(AND($A1436=31,$AJ1436=41),"②病院短期","対象外")),IF($AJ1436=30,"③特定消防",IF(AND(OR($A1436=21,$A1436=215),$AJ1436=10),"④一般",IF(AND($A1436=31,$AJ1436=41),"⑤短期","対象外")))))</f>
        <v>⑤短期</v>
      </c>
      <c r="DC1436" s="0" t="n">
        <f aca="false">IF($A1436="","",IF($AB1436&amp;""=設定!$C$4,1,0))</f>
        <v>1</v>
      </c>
    </row>
    <row r="1437" customFormat="false" ht="15" hidden="false" customHeight="false" outlineLevel="0" collapsed="false">
      <c r="A1437" s="0" t="n">
        <v>31</v>
      </c>
      <c r="AA1437" s="0" t="n">
        <v>21</v>
      </c>
      <c r="AB1437" s="0" t="s">
        <v>96</v>
      </c>
      <c r="AD1437" s="0" t="n">
        <v>0</v>
      </c>
      <c r="AE1437" s="0" t="s">
        <v>295</v>
      </c>
      <c r="AH1437" s="0" t="n">
        <v>1</v>
      </c>
      <c r="AJ1437" s="0" t="n">
        <v>41</v>
      </c>
      <c r="AP1437" s="0" t="n">
        <v>134000</v>
      </c>
      <c r="DB1437" s="0" t="str">
        <f aca="false">IF($A1437="","",IF($AH1437=20,IF(AND(OR($A1437=21,$A1437=215),$AJ1437=10),"①病院一般",IF(AND($A1437=31,$AJ1437=41),"②病院短期","対象外")),IF($AJ1437=30,"③特定消防",IF(AND(OR($A1437=21,$A1437=215),$AJ1437=10),"④一般",IF(AND($A1437=31,$AJ1437=41),"⑤短期","対象外")))))</f>
        <v>⑤短期</v>
      </c>
      <c r="DC1437" s="0" t="n">
        <f aca="false">IF($A1437="","",IF($AB1437&amp;""=設定!$C$4,1,0))</f>
        <v>1</v>
      </c>
    </row>
    <row r="1438" customFormat="false" ht="15" hidden="false" customHeight="false" outlineLevel="0" collapsed="false">
      <c r="A1438" s="0" t="n">
        <v>31</v>
      </c>
      <c r="AA1438" s="0" t="n">
        <v>21</v>
      </c>
      <c r="AB1438" s="0" t="s">
        <v>316</v>
      </c>
      <c r="AD1438" s="0" t="n">
        <v>0</v>
      </c>
      <c r="AE1438" s="0" t="s">
        <v>295</v>
      </c>
      <c r="AH1438" s="0" t="n">
        <v>1</v>
      </c>
      <c r="AJ1438" s="0" t="n">
        <v>41</v>
      </c>
      <c r="AP1438" s="0" t="n">
        <v>190000</v>
      </c>
      <c r="DB1438" s="0" t="str">
        <f aca="false">IF($A1438="","",IF($AH1438=20,IF(AND(OR($A1438=21,$A1438=215),$AJ1438=10),"①病院一般",IF(AND($A1438=31,$AJ1438=41),"②病院短期","対象外")),IF($AJ1438=30,"③特定消防",IF(AND(OR($A1438=21,$A1438=215),$AJ1438=10),"④一般",IF(AND($A1438=31,$AJ1438=41),"⑤短期","対象外")))))</f>
        <v>⑤短期</v>
      </c>
      <c r="DC1438" s="0" t="n">
        <f aca="false">IF($A1438="","",IF($AB1438&amp;""=設定!$C$4,1,0))</f>
        <v>0</v>
      </c>
    </row>
    <row r="1439" customFormat="false" ht="15" hidden="false" customHeight="false" outlineLevel="0" collapsed="false">
      <c r="A1439" s="0" t="n">
        <v>31</v>
      </c>
      <c r="AA1439" s="0" t="n">
        <v>21</v>
      </c>
      <c r="AB1439" s="0" t="s">
        <v>96</v>
      </c>
      <c r="AD1439" s="0" t="n">
        <v>0</v>
      </c>
      <c r="AE1439" s="0" t="s">
        <v>295</v>
      </c>
      <c r="AH1439" s="0" t="n">
        <v>1</v>
      </c>
      <c r="AJ1439" s="0" t="n">
        <v>41</v>
      </c>
      <c r="AP1439" s="0" t="n">
        <v>260000</v>
      </c>
      <c r="DB1439" s="0" t="str">
        <f aca="false">IF($A1439="","",IF($AH1439=20,IF(AND(OR($A1439=21,$A1439=215),$AJ1439=10),"①病院一般",IF(AND($A1439=31,$AJ1439=41),"②病院短期","対象外")),IF($AJ1439=30,"③特定消防",IF(AND(OR($A1439=21,$A1439=215),$AJ1439=10),"④一般",IF(AND($A1439=31,$AJ1439=41),"⑤短期","対象外")))))</f>
        <v>⑤短期</v>
      </c>
      <c r="DC1439" s="0" t="n">
        <f aca="false">IF($A1439="","",IF($AB1439&amp;""=設定!$C$4,1,0))</f>
        <v>1</v>
      </c>
    </row>
    <row r="1440" customFormat="false" ht="15" hidden="false" customHeight="false" outlineLevel="0" collapsed="false">
      <c r="A1440" s="0" t="n">
        <v>31</v>
      </c>
      <c r="AA1440" s="0" t="n">
        <v>21</v>
      </c>
      <c r="AB1440" s="0" t="s">
        <v>96</v>
      </c>
      <c r="AD1440" s="0" t="n">
        <v>12</v>
      </c>
      <c r="AE1440" s="0" t="s">
        <v>296</v>
      </c>
      <c r="AH1440" s="0" t="n">
        <v>1</v>
      </c>
      <c r="AJ1440" s="0" t="n">
        <v>41</v>
      </c>
      <c r="AP1440" s="0" t="n">
        <v>134000</v>
      </c>
      <c r="DB1440" s="0" t="str">
        <f aca="false">IF($A1440="","",IF($AH1440=20,IF(AND(OR($A1440=21,$A1440=215),$AJ1440=10),"①病院一般",IF(AND($A1440=31,$AJ1440=41),"②病院短期","対象外")),IF($AJ1440=30,"③特定消防",IF(AND(OR($A1440=21,$A1440=215),$AJ1440=10),"④一般",IF(AND($A1440=31,$AJ1440=41),"⑤短期","対象外")))))</f>
        <v>⑤短期</v>
      </c>
      <c r="DC1440" s="0" t="n">
        <f aca="false">IF($A1440="","",IF($AB1440&amp;""=設定!$C$4,1,0))</f>
        <v>1</v>
      </c>
    </row>
    <row r="1441" customFormat="false" ht="15" hidden="false" customHeight="false" outlineLevel="0" collapsed="false">
      <c r="A1441" s="0" t="n">
        <v>31</v>
      </c>
      <c r="AA1441" s="0" t="n">
        <v>21</v>
      </c>
      <c r="AB1441" s="0" t="s">
        <v>96</v>
      </c>
      <c r="AD1441" s="0" t="n">
        <v>0</v>
      </c>
      <c r="AE1441" s="0" t="s">
        <v>295</v>
      </c>
      <c r="AH1441" s="0" t="n">
        <v>1</v>
      </c>
      <c r="AJ1441" s="0" t="n">
        <v>41</v>
      </c>
      <c r="AP1441" s="0" t="n">
        <v>260000</v>
      </c>
      <c r="DB1441" s="0" t="str">
        <f aca="false">IF($A1441="","",IF($AH1441=20,IF(AND(OR($A1441=21,$A1441=215),$AJ1441=10),"①病院一般",IF(AND($A1441=31,$AJ1441=41),"②病院短期","対象外")),IF($AJ1441=30,"③特定消防",IF(AND(OR($A1441=21,$A1441=215),$AJ1441=10),"④一般",IF(AND($A1441=31,$AJ1441=41),"⑤短期","対象外")))))</f>
        <v>⑤短期</v>
      </c>
      <c r="DC1441" s="0" t="n">
        <f aca="false">IF($A1441="","",IF($AB1441&amp;""=設定!$C$4,1,0))</f>
        <v>1</v>
      </c>
    </row>
    <row r="1442" customFormat="false" ht="15" hidden="false" customHeight="false" outlineLevel="0" collapsed="false">
      <c r="A1442" s="0" t="n">
        <v>31</v>
      </c>
      <c r="AA1442" s="0" t="n">
        <v>21</v>
      </c>
      <c r="AB1442" s="0" t="s">
        <v>96</v>
      </c>
      <c r="AD1442" s="0" t="n">
        <v>0</v>
      </c>
      <c r="AE1442" s="0" t="s">
        <v>295</v>
      </c>
      <c r="AH1442" s="0" t="n">
        <v>1</v>
      </c>
      <c r="AJ1442" s="0" t="n">
        <v>41</v>
      </c>
      <c r="AP1442" s="0" t="n">
        <v>142000</v>
      </c>
      <c r="DB1442" s="0" t="str">
        <f aca="false">IF($A1442="","",IF($AH1442=20,IF(AND(OR($A1442=21,$A1442=215),$AJ1442=10),"①病院一般",IF(AND($A1442=31,$AJ1442=41),"②病院短期","対象外")),IF($AJ1442=30,"③特定消防",IF(AND(OR($A1442=21,$A1442=215),$AJ1442=10),"④一般",IF(AND($A1442=31,$AJ1442=41),"⑤短期","対象外")))))</f>
        <v>⑤短期</v>
      </c>
      <c r="DC1442" s="0" t="n">
        <f aca="false">IF($A1442="","",IF($AB1442&amp;""=設定!$C$4,1,0))</f>
        <v>1</v>
      </c>
    </row>
    <row r="1443" customFormat="false" ht="15" hidden="false" customHeight="false" outlineLevel="0" collapsed="false">
      <c r="A1443" s="0" t="n">
        <v>31</v>
      </c>
      <c r="AA1443" s="0" t="n">
        <v>21</v>
      </c>
      <c r="AB1443" s="0" t="s">
        <v>96</v>
      </c>
      <c r="AD1443" s="0" t="n">
        <v>0</v>
      </c>
      <c r="AE1443" s="0" t="s">
        <v>295</v>
      </c>
      <c r="AH1443" s="0" t="n">
        <v>1</v>
      </c>
      <c r="AJ1443" s="0" t="n">
        <v>41</v>
      </c>
      <c r="AP1443" s="0" t="n">
        <v>260000</v>
      </c>
      <c r="DB1443" s="0" t="str">
        <f aca="false">IF($A1443="","",IF($AH1443=20,IF(AND(OR($A1443=21,$A1443=215),$AJ1443=10),"①病院一般",IF(AND($A1443=31,$AJ1443=41),"②病院短期","対象外")),IF($AJ1443=30,"③特定消防",IF(AND(OR($A1443=21,$A1443=215),$AJ1443=10),"④一般",IF(AND($A1443=31,$AJ1443=41),"⑤短期","対象外")))))</f>
        <v>⑤短期</v>
      </c>
      <c r="DC1443" s="0" t="n">
        <f aca="false">IF($A1443="","",IF($AB1443&amp;""=設定!$C$4,1,0))</f>
        <v>1</v>
      </c>
    </row>
    <row r="1444" customFormat="false" ht="15" hidden="false" customHeight="false" outlineLevel="0" collapsed="false">
      <c r="A1444" s="0" t="n">
        <v>31</v>
      </c>
      <c r="AA1444" s="0" t="n">
        <v>21</v>
      </c>
      <c r="AB1444" s="0" t="s">
        <v>96</v>
      </c>
      <c r="AD1444" s="0" t="n">
        <v>12</v>
      </c>
      <c r="AE1444" s="0" t="s">
        <v>301</v>
      </c>
      <c r="AH1444" s="0" t="n">
        <v>1</v>
      </c>
      <c r="AJ1444" s="0" t="n">
        <v>41</v>
      </c>
      <c r="AP1444" s="0" t="n">
        <v>200000</v>
      </c>
      <c r="DB1444" s="0" t="str">
        <f aca="false">IF($A1444="","",IF($AH1444=20,IF(AND(OR($A1444=21,$A1444=215),$AJ1444=10),"①病院一般",IF(AND($A1444=31,$AJ1444=41),"②病院短期","対象外")),IF($AJ1444=30,"③特定消防",IF(AND(OR($A1444=21,$A1444=215),$AJ1444=10),"④一般",IF(AND($A1444=31,$AJ1444=41),"⑤短期","対象外")))))</f>
        <v>⑤短期</v>
      </c>
      <c r="DC1444" s="0" t="n">
        <f aca="false">IF($A1444="","",IF($AB1444&amp;""=設定!$C$4,1,0))</f>
        <v>1</v>
      </c>
    </row>
    <row r="1445" customFormat="false" ht="15" hidden="false" customHeight="false" outlineLevel="0" collapsed="false">
      <c r="A1445" s="0" t="n">
        <v>31</v>
      </c>
      <c r="AA1445" s="0" t="n">
        <v>21</v>
      </c>
      <c r="AB1445" s="0" t="s">
        <v>96</v>
      </c>
      <c r="AD1445" s="0" t="n">
        <v>12</v>
      </c>
      <c r="AE1445" s="0" t="s">
        <v>301</v>
      </c>
      <c r="AH1445" s="0" t="n">
        <v>1</v>
      </c>
      <c r="AJ1445" s="0" t="n">
        <v>41</v>
      </c>
      <c r="AP1445" s="0" t="n">
        <v>200000</v>
      </c>
      <c r="DB1445" s="0" t="str">
        <f aca="false">IF($A1445="","",IF($AH1445=20,IF(AND(OR($A1445=21,$A1445=215),$AJ1445=10),"①病院一般",IF(AND($A1445=31,$AJ1445=41),"②病院短期","対象外")),IF($AJ1445=30,"③特定消防",IF(AND(OR($A1445=21,$A1445=215),$AJ1445=10),"④一般",IF(AND($A1445=31,$AJ1445=41),"⑤短期","対象外")))))</f>
        <v>⑤短期</v>
      </c>
      <c r="DC1445" s="0" t="n">
        <f aca="false">IF($A1445="","",IF($AB1445&amp;""=設定!$C$4,1,0))</f>
        <v>1</v>
      </c>
    </row>
    <row r="1446" customFormat="false" ht="15" hidden="false" customHeight="false" outlineLevel="0" collapsed="false">
      <c r="A1446" s="0" t="n">
        <v>31</v>
      </c>
      <c r="AA1446" s="0" t="n">
        <v>21</v>
      </c>
      <c r="AB1446" s="0" t="s">
        <v>338</v>
      </c>
      <c r="AD1446" s="0" t="n">
        <v>0</v>
      </c>
      <c r="AE1446" s="0" t="s">
        <v>295</v>
      </c>
      <c r="AH1446" s="0" t="n">
        <v>1</v>
      </c>
      <c r="AJ1446" s="0" t="n">
        <v>41</v>
      </c>
      <c r="AP1446" s="0" t="n">
        <v>134000</v>
      </c>
      <c r="DB1446" s="0" t="str">
        <f aca="false">IF($A1446="","",IF($AH1446=20,IF(AND(OR($A1446=21,$A1446=215),$AJ1446=10),"①病院一般",IF(AND($A1446=31,$AJ1446=41),"②病院短期","対象外")),IF($AJ1446=30,"③特定消防",IF(AND(OR($A1446=21,$A1446=215),$AJ1446=10),"④一般",IF(AND($A1446=31,$AJ1446=41),"⑤短期","対象外")))))</f>
        <v>⑤短期</v>
      </c>
      <c r="DC1446" s="0" t="n">
        <f aca="false">IF($A1446="","",IF($AB1446&amp;""=設定!$C$4,1,0))</f>
        <v>0</v>
      </c>
    </row>
    <row r="1447" customFormat="false" ht="15" hidden="false" customHeight="false" outlineLevel="0" collapsed="false">
      <c r="A1447" s="0" t="n">
        <v>31</v>
      </c>
      <c r="AA1447" s="0" t="n">
        <v>21</v>
      </c>
      <c r="AB1447" s="0" t="s">
        <v>323</v>
      </c>
      <c r="AD1447" s="0" t="n">
        <v>0</v>
      </c>
      <c r="AE1447" s="0" t="s">
        <v>295</v>
      </c>
      <c r="AH1447" s="0" t="n">
        <v>1</v>
      </c>
      <c r="AJ1447" s="0" t="n">
        <v>41</v>
      </c>
      <c r="AP1447" s="0" t="n">
        <v>190000</v>
      </c>
      <c r="DB1447" s="0" t="str">
        <f aca="false">IF($A1447="","",IF($AH1447=20,IF(AND(OR($A1447=21,$A1447=215),$AJ1447=10),"①病院一般",IF(AND($A1447=31,$AJ1447=41),"②病院短期","対象外")),IF($AJ1447=30,"③特定消防",IF(AND(OR($A1447=21,$A1447=215),$AJ1447=10),"④一般",IF(AND($A1447=31,$AJ1447=41),"⑤短期","対象外")))))</f>
        <v>⑤短期</v>
      </c>
      <c r="DC1447" s="0" t="n">
        <f aca="false">IF($A1447="","",IF($AB1447&amp;""=設定!$C$4,1,0))</f>
        <v>0</v>
      </c>
    </row>
    <row r="1448" customFormat="false" ht="15" hidden="false" customHeight="false" outlineLevel="0" collapsed="false">
      <c r="A1448" s="0" t="n">
        <v>31</v>
      </c>
      <c r="AA1448" s="0" t="n">
        <v>21</v>
      </c>
      <c r="AB1448" s="0" t="s">
        <v>318</v>
      </c>
      <c r="AD1448" s="0" t="n">
        <v>12</v>
      </c>
      <c r="AE1448" s="0" t="s">
        <v>363</v>
      </c>
      <c r="AH1448" s="0" t="n">
        <v>11</v>
      </c>
      <c r="AJ1448" s="0" t="n">
        <v>41</v>
      </c>
      <c r="AP1448" s="0" t="n">
        <v>110000</v>
      </c>
      <c r="DB1448" s="0" t="str">
        <f aca="false">IF($A1448="","",IF($AH1448=20,IF(AND(OR($A1448=21,$A1448=215),$AJ1448=10),"①病院一般",IF(AND($A1448=31,$AJ1448=41),"②病院短期","対象外")),IF($AJ1448=30,"③特定消防",IF(AND(OR($A1448=21,$A1448=215),$AJ1448=10),"④一般",IF(AND($A1448=31,$AJ1448=41),"⑤短期","対象外")))))</f>
        <v>⑤短期</v>
      </c>
      <c r="DC1448" s="0" t="n">
        <f aca="false">IF($A1448="","",IF($AB1448&amp;""=設定!$C$4,1,0))</f>
        <v>0</v>
      </c>
    </row>
    <row r="1449" customFormat="false" ht="15" hidden="false" customHeight="false" outlineLevel="0" collapsed="false">
      <c r="A1449" s="0" t="n">
        <v>31</v>
      </c>
      <c r="AA1449" s="0" t="n">
        <v>21</v>
      </c>
      <c r="AB1449" s="0" t="s">
        <v>318</v>
      </c>
      <c r="AD1449" s="0" t="n">
        <v>0</v>
      </c>
      <c r="AE1449" s="0" t="s">
        <v>295</v>
      </c>
      <c r="AH1449" s="0" t="n">
        <v>11</v>
      </c>
      <c r="AJ1449" s="0" t="n">
        <v>41</v>
      </c>
      <c r="AP1449" s="0" t="n">
        <v>126000</v>
      </c>
      <c r="DB1449" s="0" t="str">
        <f aca="false">IF($A1449="","",IF($AH1449=20,IF(AND(OR($A1449=21,$A1449=215),$AJ1449=10),"①病院一般",IF(AND($A1449=31,$AJ1449=41),"②病院短期","対象外")),IF($AJ1449=30,"③特定消防",IF(AND(OR($A1449=21,$A1449=215),$AJ1449=10),"④一般",IF(AND($A1449=31,$AJ1449=41),"⑤短期","対象外")))))</f>
        <v>⑤短期</v>
      </c>
      <c r="DC1449" s="0" t="n">
        <f aca="false">IF($A1449="","",IF($AB1449&amp;""=設定!$C$4,1,0))</f>
        <v>0</v>
      </c>
    </row>
    <row r="1450" customFormat="false" ht="15" hidden="false" customHeight="false" outlineLevel="0" collapsed="false">
      <c r="A1450" s="0" t="n">
        <v>31</v>
      </c>
      <c r="AA1450" s="0" t="n">
        <v>21</v>
      </c>
      <c r="AB1450" s="0" t="s">
        <v>318</v>
      </c>
      <c r="AD1450" s="0" t="n">
        <v>12</v>
      </c>
      <c r="AE1450" s="0" t="s">
        <v>301</v>
      </c>
      <c r="AH1450" s="0" t="n">
        <v>11</v>
      </c>
      <c r="AJ1450" s="0" t="n">
        <v>41</v>
      </c>
      <c r="AP1450" s="0" t="n">
        <v>126000</v>
      </c>
      <c r="DB1450" s="0" t="str">
        <f aca="false">IF($A1450="","",IF($AH1450=20,IF(AND(OR($A1450=21,$A1450=215),$AJ1450=10),"①病院一般",IF(AND($A1450=31,$AJ1450=41),"②病院短期","対象外")),IF($AJ1450=30,"③特定消防",IF(AND(OR($A1450=21,$A1450=215),$AJ1450=10),"④一般",IF(AND($A1450=31,$AJ1450=41),"⑤短期","対象外")))))</f>
        <v>⑤短期</v>
      </c>
      <c r="DC1450" s="0" t="n">
        <f aca="false">IF($A1450="","",IF($AB1450&amp;""=設定!$C$4,1,0))</f>
        <v>0</v>
      </c>
    </row>
    <row r="1451" customFormat="false" ht="15" hidden="false" customHeight="false" outlineLevel="0" collapsed="false">
      <c r="A1451" s="0" t="n">
        <v>31</v>
      </c>
      <c r="AA1451" s="0" t="n">
        <v>21</v>
      </c>
      <c r="AB1451" s="0" t="s">
        <v>318</v>
      </c>
      <c r="AD1451" s="0" t="n">
        <v>0</v>
      </c>
      <c r="AE1451" s="0" t="s">
        <v>295</v>
      </c>
      <c r="AH1451" s="0" t="n">
        <v>11</v>
      </c>
      <c r="AJ1451" s="0" t="n">
        <v>41</v>
      </c>
      <c r="AP1451" s="0" t="n">
        <v>134000</v>
      </c>
      <c r="DB1451" s="0" t="str">
        <f aca="false">IF($A1451="","",IF($AH1451=20,IF(AND(OR($A1451=21,$A1451=215),$AJ1451=10),"①病院一般",IF(AND($A1451=31,$AJ1451=41),"②病院短期","対象外")),IF($AJ1451=30,"③特定消防",IF(AND(OR($A1451=21,$A1451=215),$AJ1451=10),"④一般",IF(AND($A1451=31,$AJ1451=41),"⑤短期","対象外")))))</f>
        <v>⑤短期</v>
      </c>
      <c r="DC1451" s="0" t="n">
        <f aca="false">IF($A1451="","",IF($AB1451&amp;""=設定!$C$4,1,0))</f>
        <v>0</v>
      </c>
    </row>
    <row r="1452" customFormat="false" ht="15" hidden="false" customHeight="false" outlineLevel="0" collapsed="false">
      <c r="A1452" s="0" t="n">
        <v>31</v>
      </c>
      <c r="AA1452" s="0" t="n">
        <v>21</v>
      </c>
      <c r="AB1452" s="0" t="s">
        <v>318</v>
      </c>
      <c r="AD1452" s="0" t="n">
        <v>0</v>
      </c>
      <c r="AE1452" s="0" t="s">
        <v>295</v>
      </c>
      <c r="AH1452" s="0" t="n">
        <v>11</v>
      </c>
      <c r="AJ1452" s="0" t="n">
        <v>41</v>
      </c>
      <c r="AP1452" s="0" t="n">
        <v>180000</v>
      </c>
      <c r="DB1452" s="0" t="str">
        <f aca="false">IF($A1452="","",IF($AH1452=20,IF(AND(OR($A1452=21,$A1452=215),$AJ1452=10),"①病院一般",IF(AND($A1452=31,$AJ1452=41),"②病院短期","対象外")),IF($AJ1452=30,"③特定消防",IF(AND(OR($A1452=21,$A1452=215),$AJ1452=10),"④一般",IF(AND($A1452=31,$AJ1452=41),"⑤短期","対象外")))))</f>
        <v>⑤短期</v>
      </c>
      <c r="DC1452" s="0" t="n">
        <f aca="false">IF($A1452="","",IF($AB1452&amp;""=設定!$C$4,1,0))</f>
        <v>0</v>
      </c>
    </row>
    <row r="1453" customFormat="false" ht="15" hidden="false" customHeight="false" outlineLevel="0" collapsed="false">
      <c r="A1453" s="0" t="n">
        <v>31</v>
      </c>
      <c r="AA1453" s="0" t="n">
        <v>21</v>
      </c>
      <c r="AB1453" s="0" t="s">
        <v>318</v>
      </c>
      <c r="AD1453" s="0" t="n">
        <v>0</v>
      </c>
      <c r="AE1453" s="0" t="s">
        <v>295</v>
      </c>
      <c r="AH1453" s="0" t="n">
        <v>11</v>
      </c>
      <c r="AJ1453" s="0" t="n">
        <v>41</v>
      </c>
      <c r="AP1453" s="0" t="n">
        <v>126000</v>
      </c>
      <c r="DB1453" s="0" t="str">
        <f aca="false">IF($A1453="","",IF($AH1453=20,IF(AND(OR($A1453=21,$A1453=215),$AJ1453=10),"①病院一般",IF(AND($A1453=31,$AJ1453=41),"②病院短期","対象外")),IF($AJ1453=30,"③特定消防",IF(AND(OR($A1453=21,$A1453=215),$AJ1453=10),"④一般",IF(AND($A1453=31,$AJ1453=41),"⑤短期","対象外")))))</f>
        <v>⑤短期</v>
      </c>
      <c r="DC1453" s="0" t="n">
        <f aca="false">IF($A1453="","",IF($AB1453&amp;""=設定!$C$4,1,0))</f>
        <v>0</v>
      </c>
    </row>
    <row r="1454" customFormat="false" ht="15" hidden="false" customHeight="false" outlineLevel="0" collapsed="false">
      <c r="A1454" s="0" t="n">
        <v>31</v>
      </c>
      <c r="AA1454" s="0" t="n">
        <v>21</v>
      </c>
      <c r="AB1454" s="0" t="s">
        <v>318</v>
      </c>
      <c r="AD1454" s="0" t="n">
        <v>0</v>
      </c>
      <c r="AE1454" s="0" t="s">
        <v>295</v>
      </c>
      <c r="AH1454" s="0" t="n">
        <v>11</v>
      </c>
      <c r="AJ1454" s="0" t="n">
        <v>41</v>
      </c>
      <c r="AP1454" s="0" t="n">
        <v>126000</v>
      </c>
      <c r="DB1454" s="0" t="str">
        <f aca="false">IF($A1454="","",IF($AH1454=20,IF(AND(OR($A1454=21,$A1454=215),$AJ1454=10),"①病院一般",IF(AND($A1454=31,$AJ1454=41),"②病院短期","対象外")),IF($AJ1454=30,"③特定消防",IF(AND(OR($A1454=21,$A1454=215),$AJ1454=10),"④一般",IF(AND($A1454=31,$AJ1454=41),"⑤短期","対象外")))))</f>
        <v>⑤短期</v>
      </c>
      <c r="DC1454" s="0" t="n">
        <f aca="false">IF($A1454="","",IF($AB1454&amp;""=設定!$C$4,1,0))</f>
        <v>0</v>
      </c>
    </row>
    <row r="1455" customFormat="false" ht="15" hidden="false" customHeight="false" outlineLevel="0" collapsed="false">
      <c r="A1455" s="0" t="n">
        <v>31</v>
      </c>
      <c r="AA1455" s="0" t="n">
        <v>21</v>
      </c>
      <c r="AB1455" s="0" t="s">
        <v>298</v>
      </c>
      <c r="AD1455" s="0" t="n">
        <v>0</v>
      </c>
      <c r="AE1455" s="0" t="s">
        <v>295</v>
      </c>
      <c r="AH1455" s="0" t="n">
        <v>11</v>
      </c>
      <c r="AJ1455" s="0" t="n">
        <v>41</v>
      </c>
      <c r="AP1455" s="0" t="n">
        <v>126000</v>
      </c>
      <c r="DB1455" s="0" t="str">
        <f aca="false">IF($A1455="","",IF($AH1455=20,IF(AND(OR($A1455=21,$A1455=215),$AJ1455=10),"①病院一般",IF(AND($A1455=31,$AJ1455=41),"②病院短期","対象外")),IF($AJ1455=30,"③特定消防",IF(AND(OR($A1455=21,$A1455=215),$AJ1455=10),"④一般",IF(AND($A1455=31,$AJ1455=41),"⑤短期","対象外")))))</f>
        <v>⑤短期</v>
      </c>
      <c r="DC1455" s="0" t="n">
        <f aca="false">IF($A1455="","",IF($AB1455&amp;""=設定!$C$4,1,0))</f>
        <v>0</v>
      </c>
    </row>
    <row r="1456" customFormat="false" ht="15" hidden="false" customHeight="false" outlineLevel="0" collapsed="false">
      <c r="A1456" s="0" t="n">
        <v>31</v>
      </c>
      <c r="AA1456" s="0" t="n">
        <v>21</v>
      </c>
      <c r="AB1456" s="0" t="s">
        <v>318</v>
      </c>
      <c r="AD1456" s="0" t="n">
        <v>0</v>
      </c>
      <c r="AE1456" s="0" t="s">
        <v>295</v>
      </c>
      <c r="AH1456" s="0" t="n">
        <v>11</v>
      </c>
      <c r="AJ1456" s="0" t="n">
        <v>41</v>
      </c>
      <c r="AP1456" s="0" t="n">
        <v>126000</v>
      </c>
      <c r="DB1456" s="0" t="str">
        <f aca="false">IF($A1456="","",IF($AH1456=20,IF(AND(OR($A1456=21,$A1456=215),$AJ1456=10),"①病院一般",IF(AND($A1456=31,$AJ1456=41),"②病院短期","対象外")),IF($AJ1456=30,"③特定消防",IF(AND(OR($A1456=21,$A1456=215),$AJ1456=10),"④一般",IF(AND($A1456=31,$AJ1456=41),"⑤短期","対象外")))))</f>
        <v>⑤短期</v>
      </c>
      <c r="DC1456" s="0" t="n">
        <f aca="false">IF($A1456="","",IF($AB1456&amp;""=設定!$C$4,1,0))</f>
        <v>0</v>
      </c>
    </row>
    <row r="1457" customFormat="false" ht="15" hidden="false" customHeight="false" outlineLevel="0" collapsed="false">
      <c r="A1457" s="0" t="n">
        <v>31</v>
      </c>
      <c r="AA1457" s="0" t="n">
        <v>21</v>
      </c>
      <c r="AB1457" s="0" t="s">
        <v>318</v>
      </c>
      <c r="AD1457" s="0" t="n">
        <v>0</v>
      </c>
      <c r="AE1457" s="0" t="s">
        <v>295</v>
      </c>
      <c r="AH1457" s="0" t="n">
        <v>11</v>
      </c>
      <c r="AJ1457" s="0" t="n">
        <v>41</v>
      </c>
      <c r="AP1457" s="0" t="n">
        <v>126000</v>
      </c>
      <c r="DB1457" s="0" t="str">
        <f aca="false">IF($A1457="","",IF($AH1457=20,IF(AND(OR($A1457=21,$A1457=215),$AJ1457=10),"①病院一般",IF(AND($A1457=31,$AJ1457=41),"②病院短期","対象外")),IF($AJ1457=30,"③特定消防",IF(AND(OR($A1457=21,$A1457=215),$AJ1457=10),"④一般",IF(AND($A1457=31,$AJ1457=41),"⑤短期","対象外")))))</f>
        <v>⑤短期</v>
      </c>
      <c r="DC1457" s="0" t="n">
        <f aca="false">IF($A1457="","",IF($AB1457&amp;""=設定!$C$4,1,0))</f>
        <v>0</v>
      </c>
    </row>
    <row r="1458" customFormat="false" ht="15" hidden="false" customHeight="false" outlineLevel="0" collapsed="false">
      <c r="A1458" s="0" t="n">
        <v>31</v>
      </c>
      <c r="AA1458" s="0" t="n">
        <v>24</v>
      </c>
      <c r="AB1458" s="0" t="s">
        <v>301</v>
      </c>
      <c r="AD1458" s="0" t="n">
        <v>0</v>
      </c>
      <c r="AE1458" s="0" t="s">
        <v>295</v>
      </c>
      <c r="AH1458" s="0" t="n">
        <v>1</v>
      </c>
      <c r="AJ1458" s="0" t="n">
        <v>41</v>
      </c>
      <c r="AP1458" s="0" t="n">
        <v>200000</v>
      </c>
      <c r="DB1458" s="0" t="str">
        <f aca="false">IF($A1458="","",IF($AH1458=20,IF(AND(OR($A1458=21,$A1458=215),$AJ1458=10),"①病院一般",IF(AND($A1458=31,$AJ1458=41),"②病院短期","対象外")),IF($AJ1458=30,"③特定消防",IF(AND(OR($A1458=21,$A1458=215),$AJ1458=10),"④一般",IF(AND($A1458=31,$AJ1458=41),"⑤短期","対象外")))))</f>
        <v>⑤短期</v>
      </c>
      <c r="DC1458" s="0" t="n">
        <f aca="false">IF($A1458="","",IF($AB1458&amp;""=設定!$C$4,1,0))</f>
        <v>0</v>
      </c>
    </row>
    <row r="1459" customFormat="false" ht="15" hidden="false" customHeight="false" outlineLevel="0" collapsed="false">
      <c r="A1459" s="0" t="n">
        <v>31</v>
      </c>
      <c r="AA1459" s="0" t="n">
        <v>21</v>
      </c>
      <c r="AB1459" s="0" t="s">
        <v>298</v>
      </c>
      <c r="AD1459" s="0" t="n">
        <v>12</v>
      </c>
      <c r="AE1459" s="0" t="s">
        <v>364</v>
      </c>
      <c r="AH1459" s="0" t="n">
        <v>11</v>
      </c>
      <c r="AJ1459" s="0" t="n">
        <v>41</v>
      </c>
      <c r="AP1459" s="0" t="n">
        <v>104000</v>
      </c>
      <c r="DB1459" s="0" t="str">
        <f aca="false">IF($A1459="","",IF($AH1459=20,IF(AND(OR($A1459=21,$A1459=215),$AJ1459=10),"①病院一般",IF(AND($A1459=31,$AJ1459=41),"②病院短期","対象外")),IF($AJ1459=30,"③特定消防",IF(AND(OR($A1459=21,$A1459=215),$AJ1459=10),"④一般",IF(AND($A1459=31,$AJ1459=41),"⑤短期","対象外")))))</f>
        <v>⑤短期</v>
      </c>
      <c r="DC1459" s="0" t="n">
        <f aca="false">IF($A1459="","",IF($AB1459&amp;""=設定!$C$4,1,0))</f>
        <v>0</v>
      </c>
    </row>
    <row r="1460" customFormat="false" ht="15" hidden="false" customHeight="false" outlineLevel="0" collapsed="false">
      <c r="A1460" s="0" t="n">
        <v>31</v>
      </c>
      <c r="AA1460" s="0" t="n">
        <v>21</v>
      </c>
      <c r="AB1460" s="0" t="s">
        <v>344</v>
      </c>
      <c r="AD1460" s="0" t="n">
        <v>0</v>
      </c>
      <c r="AE1460" s="0" t="s">
        <v>295</v>
      </c>
      <c r="AH1460" s="0" t="n">
        <v>1</v>
      </c>
      <c r="AJ1460" s="0" t="n">
        <v>41</v>
      </c>
      <c r="AP1460" s="0" t="n">
        <v>200000</v>
      </c>
      <c r="DB1460" s="0" t="str">
        <f aca="false">IF($A1460="","",IF($AH1460=20,IF(AND(OR($A1460=21,$A1460=215),$AJ1460=10),"①病院一般",IF(AND($A1460=31,$AJ1460=41),"②病院短期","対象外")),IF($AJ1460=30,"③特定消防",IF(AND(OR($A1460=21,$A1460=215),$AJ1460=10),"④一般",IF(AND($A1460=31,$AJ1460=41),"⑤短期","対象外")))))</f>
        <v>⑤短期</v>
      </c>
      <c r="DC1460" s="0" t="n">
        <f aca="false">IF($A1460="","",IF($AB1460&amp;""=設定!$C$4,1,0))</f>
        <v>0</v>
      </c>
    </row>
    <row r="1461" customFormat="false" ht="15" hidden="false" customHeight="false" outlineLevel="0" collapsed="false">
      <c r="A1461" s="0" t="n">
        <v>31</v>
      </c>
      <c r="AA1461" s="0" t="n">
        <v>21</v>
      </c>
      <c r="AB1461" s="0" t="s">
        <v>365</v>
      </c>
      <c r="AD1461" s="0" t="n">
        <v>0</v>
      </c>
      <c r="AE1461" s="0" t="s">
        <v>295</v>
      </c>
      <c r="AH1461" s="0" t="n">
        <v>1</v>
      </c>
      <c r="AJ1461" s="0" t="n">
        <v>41</v>
      </c>
      <c r="AP1461" s="0" t="n">
        <v>142000</v>
      </c>
      <c r="DB1461" s="0" t="str">
        <f aca="false">IF($A1461="","",IF($AH1461=20,IF(AND(OR($A1461=21,$A1461=215),$AJ1461=10),"①病院一般",IF(AND($A1461=31,$AJ1461=41),"②病院短期","対象外")),IF($AJ1461=30,"③特定消防",IF(AND(OR($A1461=21,$A1461=215),$AJ1461=10),"④一般",IF(AND($A1461=31,$AJ1461=41),"⑤短期","対象外")))))</f>
        <v>⑤短期</v>
      </c>
      <c r="DC1461" s="0" t="n">
        <f aca="false">IF($A1461="","",IF($AB1461&amp;""=設定!$C$4,1,0))</f>
        <v>0</v>
      </c>
    </row>
    <row r="1462" customFormat="false" ht="15" hidden="false" customHeight="false" outlineLevel="0" collapsed="false">
      <c r="A1462" s="0" t="n">
        <v>31</v>
      </c>
      <c r="AA1462" s="0" t="n">
        <v>21</v>
      </c>
      <c r="AB1462" s="0" t="s">
        <v>349</v>
      </c>
      <c r="AD1462" s="0" t="n">
        <v>0</v>
      </c>
      <c r="AE1462" s="0" t="s">
        <v>295</v>
      </c>
      <c r="AH1462" s="0" t="n">
        <v>11</v>
      </c>
      <c r="AJ1462" s="0" t="n">
        <v>41</v>
      </c>
      <c r="AP1462" s="0" t="n">
        <v>126000</v>
      </c>
      <c r="DB1462" s="0" t="str">
        <f aca="false">IF($A1462="","",IF($AH1462=20,IF(AND(OR($A1462=21,$A1462=215),$AJ1462=10),"①病院一般",IF(AND($A1462=31,$AJ1462=41),"②病院短期","対象外")),IF($AJ1462=30,"③特定消防",IF(AND(OR($A1462=21,$A1462=215),$AJ1462=10),"④一般",IF(AND($A1462=31,$AJ1462=41),"⑤短期","対象外")))))</f>
        <v>⑤短期</v>
      </c>
      <c r="DC1462" s="0" t="n">
        <f aca="false">IF($A1462="","",IF($AB1462&amp;""=設定!$C$4,1,0))</f>
        <v>0</v>
      </c>
    </row>
    <row r="1463" customFormat="false" ht="15" hidden="false" customHeight="false" outlineLevel="0" collapsed="false">
      <c r="A1463" s="0" t="n">
        <v>31</v>
      </c>
      <c r="AA1463" s="0" t="n">
        <v>21</v>
      </c>
      <c r="AB1463" s="0" t="s">
        <v>366</v>
      </c>
      <c r="AD1463" s="0" t="n">
        <v>0</v>
      </c>
      <c r="AE1463" s="0" t="s">
        <v>295</v>
      </c>
      <c r="AH1463" s="0" t="n">
        <v>11</v>
      </c>
      <c r="AJ1463" s="0" t="n">
        <v>41</v>
      </c>
      <c r="AP1463" s="0" t="n">
        <v>142000</v>
      </c>
      <c r="DB1463" s="0" t="str">
        <f aca="false">IF($A1463="","",IF($AH1463=20,IF(AND(OR($A1463=21,$A1463=215),$AJ1463=10),"①病院一般",IF(AND($A1463=31,$AJ1463=41),"②病院短期","対象外")),IF($AJ1463=30,"③特定消防",IF(AND(OR($A1463=21,$A1463=215),$AJ1463=10),"④一般",IF(AND($A1463=31,$AJ1463=41),"⑤短期","対象外")))))</f>
        <v>⑤短期</v>
      </c>
      <c r="DC1463" s="0" t="n">
        <f aca="false">IF($A1463="","",IF($AB1463&amp;""=設定!$C$4,1,0))</f>
        <v>0</v>
      </c>
    </row>
    <row r="1464" customFormat="false" ht="15" hidden="false" customHeight="false" outlineLevel="0" collapsed="false">
      <c r="A1464" s="0" t="n">
        <v>31</v>
      </c>
      <c r="AA1464" s="0" t="n">
        <v>21</v>
      </c>
      <c r="AB1464" s="0" t="s">
        <v>367</v>
      </c>
      <c r="AD1464" s="0" t="n">
        <v>12</v>
      </c>
      <c r="AE1464" s="0" t="s">
        <v>368</v>
      </c>
      <c r="AH1464" s="0" t="n">
        <v>11</v>
      </c>
      <c r="AJ1464" s="0" t="n">
        <v>41</v>
      </c>
      <c r="AP1464" s="0" t="n">
        <v>110000</v>
      </c>
      <c r="DB1464" s="0" t="str">
        <f aca="false">IF($A1464="","",IF($AH1464=20,IF(AND(OR($A1464=21,$A1464=215),$AJ1464=10),"①病院一般",IF(AND($A1464=31,$AJ1464=41),"②病院短期","対象外")),IF($AJ1464=30,"③特定消防",IF(AND(OR($A1464=21,$A1464=215),$AJ1464=10),"④一般",IF(AND($A1464=31,$AJ1464=41),"⑤短期","対象外")))))</f>
        <v>⑤短期</v>
      </c>
      <c r="DC1464" s="0" t="n">
        <f aca="false">IF($A1464="","",IF($AB1464&amp;""=設定!$C$4,1,0))</f>
        <v>0</v>
      </c>
    </row>
    <row r="1465" customFormat="false" ht="15" hidden="false" customHeight="false" outlineLevel="0" collapsed="false">
      <c r="A1465" s="0" t="n">
        <v>31</v>
      </c>
      <c r="AA1465" s="0" t="n">
        <v>21</v>
      </c>
      <c r="AB1465" s="0" t="s">
        <v>298</v>
      </c>
      <c r="AD1465" s="0" t="n">
        <v>0</v>
      </c>
      <c r="AE1465" s="0" t="s">
        <v>295</v>
      </c>
      <c r="AH1465" s="0" t="n">
        <v>11</v>
      </c>
      <c r="AJ1465" s="0" t="n">
        <v>41</v>
      </c>
      <c r="AP1465" s="0" t="n">
        <v>126000</v>
      </c>
      <c r="DB1465" s="0" t="str">
        <f aca="false">IF($A1465="","",IF($AH1465=20,IF(AND(OR($A1465=21,$A1465=215),$AJ1465=10),"①病院一般",IF(AND($A1465=31,$AJ1465=41),"②病院短期","対象外")),IF($AJ1465=30,"③特定消防",IF(AND(OR($A1465=21,$A1465=215),$AJ1465=10),"④一般",IF(AND($A1465=31,$AJ1465=41),"⑤短期","対象外")))))</f>
        <v>⑤短期</v>
      </c>
      <c r="DC1465" s="0" t="n">
        <f aca="false">IF($A1465="","",IF($AB1465&amp;""=設定!$C$4,1,0))</f>
        <v>0</v>
      </c>
    </row>
    <row r="1466" customFormat="false" ht="15" hidden="false" customHeight="false" outlineLevel="0" collapsed="false">
      <c r="A1466" s="0" t="n">
        <v>31</v>
      </c>
      <c r="AA1466" s="0" t="n">
        <v>21</v>
      </c>
      <c r="AB1466" s="0" t="s">
        <v>365</v>
      </c>
      <c r="AD1466" s="0" t="n">
        <v>12</v>
      </c>
      <c r="AE1466" s="0" t="s">
        <v>303</v>
      </c>
      <c r="AH1466" s="0" t="n">
        <v>1</v>
      </c>
      <c r="AJ1466" s="0" t="n">
        <v>41</v>
      </c>
      <c r="AP1466" s="0" t="n">
        <v>134000</v>
      </c>
      <c r="DB1466" s="0" t="str">
        <f aca="false">IF($A1466="","",IF($AH1466=20,IF(AND(OR($A1466=21,$A1466=215),$AJ1466=10),"①病院一般",IF(AND($A1466=31,$AJ1466=41),"②病院短期","対象外")),IF($AJ1466=30,"③特定消防",IF(AND(OR($A1466=21,$A1466=215),$AJ1466=10),"④一般",IF(AND($A1466=31,$AJ1466=41),"⑤短期","対象外")))))</f>
        <v>⑤短期</v>
      </c>
      <c r="DC1466" s="0" t="n">
        <f aca="false">IF($A1466="","",IF($AB1466&amp;""=設定!$C$4,1,0))</f>
        <v>0</v>
      </c>
    </row>
    <row r="1467" customFormat="false" ht="15" hidden="false" customHeight="false" outlineLevel="0" collapsed="false">
      <c r="A1467" s="0" t="n">
        <v>31</v>
      </c>
      <c r="AA1467" s="0" t="n">
        <v>21</v>
      </c>
      <c r="AB1467" s="0" t="s">
        <v>298</v>
      </c>
      <c r="AD1467" s="0" t="n">
        <v>12</v>
      </c>
      <c r="AE1467" s="0" t="s">
        <v>303</v>
      </c>
      <c r="AH1467" s="0" t="n">
        <v>1</v>
      </c>
      <c r="AJ1467" s="0" t="n">
        <v>41</v>
      </c>
      <c r="AP1467" s="0" t="n">
        <v>260000</v>
      </c>
      <c r="DB1467" s="0" t="str">
        <f aca="false">IF($A1467="","",IF($AH1467=20,IF(AND(OR($A1467=21,$A1467=215),$AJ1467=10),"①病院一般",IF(AND($A1467=31,$AJ1467=41),"②病院短期","対象外")),IF($AJ1467=30,"③特定消防",IF(AND(OR($A1467=21,$A1467=215),$AJ1467=10),"④一般",IF(AND($A1467=31,$AJ1467=41),"⑤短期","対象外")))))</f>
        <v>⑤短期</v>
      </c>
      <c r="DC1467" s="0" t="n">
        <f aca="false">IF($A1467="","",IF($AB1467&amp;""=設定!$C$4,1,0))</f>
        <v>0</v>
      </c>
    </row>
    <row r="1468" customFormat="false" ht="15" hidden="false" customHeight="false" outlineLevel="0" collapsed="false">
      <c r="A1468" s="0" t="n">
        <v>31</v>
      </c>
      <c r="AA1468" s="0" t="n">
        <v>21</v>
      </c>
      <c r="AB1468" s="0" t="s">
        <v>298</v>
      </c>
      <c r="AD1468" s="0" t="n">
        <v>0</v>
      </c>
      <c r="AE1468" s="0" t="s">
        <v>295</v>
      </c>
      <c r="AH1468" s="0" t="n">
        <v>1</v>
      </c>
      <c r="AJ1468" s="0" t="n">
        <v>41</v>
      </c>
      <c r="AP1468" s="0" t="n">
        <v>190000</v>
      </c>
      <c r="DB1468" s="0" t="str">
        <f aca="false">IF($A1468="","",IF($AH1468=20,IF(AND(OR($A1468=21,$A1468=215),$AJ1468=10),"①病院一般",IF(AND($A1468=31,$AJ1468=41),"②病院短期","対象外")),IF($AJ1468=30,"③特定消防",IF(AND(OR($A1468=21,$A1468=215),$AJ1468=10),"④一般",IF(AND($A1468=31,$AJ1468=41),"⑤短期","対象外")))))</f>
        <v>⑤短期</v>
      </c>
      <c r="DC1468" s="0" t="n">
        <f aca="false">IF($A1468="","",IF($AB1468&amp;""=設定!$C$4,1,0))</f>
        <v>0</v>
      </c>
    </row>
    <row r="1469" customFormat="false" ht="15" hidden="false" customHeight="false" outlineLevel="0" collapsed="false">
      <c r="A1469" s="0" t="n">
        <v>31</v>
      </c>
      <c r="AA1469" s="0" t="n">
        <v>21</v>
      </c>
      <c r="AB1469" s="0" t="s">
        <v>298</v>
      </c>
      <c r="AD1469" s="0" t="n">
        <v>0</v>
      </c>
      <c r="AE1469" s="0" t="s">
        <v>295</v>
      </c>
      <c r="AH1469" s="0" t="n">
        <v>1</v>
      </c>
      <c r="AJ1469" s="0" t="n">
        <v>41</v>
      </c>
      <c r="AP1469" s="0" t="n">
        <v>200000</v>
      </c>
      <c r="DB1469" s="0" t="str">
        <f aca="false">IF($A1469="","",IF($AH1469=20,IF(AND(OR($A1469=21,$A1469=215),$AJ1469=10),"①病院一般",IF(AND($A1469=31,$AJ1469=41),"②病院短期","対象外")),IF($AJ1469=30,"③特定消防",IF(AND(OR($A1469=21,$A1469=215),$AJ1469=10),"④一般",IF(AND($A1469=31,$AJ1469=41),"⑤短期","対象外")))))</f>
        <v>⑤短期</v>
      </c>
      <c r="DC1469" s="0" t="n">
        <f aca="false">IF($A1469="","",IF($AB1469&amp;""=設定!$C$4,1,0))</f>
        <v>0</v>
      </c>
    </row>
    <row r="1470" customFormat="false" ht="15" hidden="false" customHeight="false" outlineLevel="0" collapsed="false">
      <c r="A1470" s="0" t="n">
        <v>31</v>
      </c>
      <c r="AA1470" s="0" t="n">
        <v>21</v>
      </c>
      <c r="AB1470" s="0" t="s">
        <v>298</v>
      </c>
      <c r="AD1470" s="0" t="n">
        <v>0</v>
      </c>
      <c r="AE1470" s="0" t="s">
        <v>295</v>
      </c>
      <c r="AH1470" s="0" t="n">
        <v>1</v>
      </c>
      <c r="AJ1470" s="0" t="n">
        <v>41</v>
      </c>
      <c r="AP1470" s="0" t="n">
        <v>190000</v>
      </c>
      <c r="DB1470" s="0" t="str">
        <f aca="false">IF($A1470="","",IF($AH1470=20,IF(AND(OR($A1470=21,$A1470=215),$AJ1470=10),"①病院一般",IF(AND($A1470=31,$AJ1470=41),"②病院短期","対象外")),IF($AJ1470=30,"③特定消防",IF(AND(OR($A1470=21,$A1470=215),$AJ1470=10),"④一般",IF(AND($A1470=31,$AJ1470=41),"⑤短期","対象外")))))</f>
        <v>⑤短期</v>
      </c>
      <c r="DC1470" s="0" t="n">
        <f aca="false">IF($A1470="","",IF($AB1470&amp;""=設定!$C$4,1,0))</f>
        <v>0</v>
      </c>
    </row>
    <row r="1471" customFormat="false" ht="15" hidden="false" customHeight="false" outlineLevel="0" collapsed="false">
      <c r="A1471" s="0" t="n">
        <v>31</v>
      </c>
      <c r="AA1471" s="0" t="n">
        <v>21</v>
      </c>
      <c r="AB1471" s="0" t="s">
        <v>298</v>
      </c>
      <c r="AD1471" s="0" t="n">
        <v>0</v>
      </c>
      <c r="AE1471" s="0" t="s">
        <v>295</v>
      </c>
      <c r="AH1471" s="0" t="n">
        <v>1</v>
      </c>
      <c r="AJ1471" s="0" t="n">
        <v>41</v>
      </c>
      <c r="AP1471" s="0" t="n">
        <v>142000</v>
      </c>
      <c r="DB1471" s="0" t="str">
        <f aca="false">IF($A1471="","",IF($AH1471=20,IF(AND(OR($A1471=21,$A1471=215),$AJ1471=10),"①病院一般",IF(AND($A1471=31,$AJ1471=41),"②病院短期","対象外")),IF($AJ1471=30,"③特定消防",IF(AND(OR($A1471=21,$A1471=215),$AJ1471=10),"④一般",IF(AND($A1471=31,$AJ1471=41),"⑤短期","対象外")))))</f>
        <v>⑤短期</v>
      </c>
      <c r="DC1471" s="0" t="n">
        <f aca="false">IF($A1471="","",IF($AB1471&amp;""=設定!$C$4,1,0))</f>
        <v>0</v>
      </c>
    </row>
    <row r="1472" customFormat="false" ht="15" hidden="false" customHeight="false" outlineLevel="0" collapsed="false">
      <c r="A1472" s="0" t="n">
        <v>31</v>
      </c>
      <c r="AA1472" s="0" t="n">
        <v>21</v>
      </c>
      <c r="AB1472" s="0" t="s">
        <v>369</v>
      </c>
      <c r="AD1472" s="0" t="n">
        <v>0</v>
      </c>
      <c r="AE1472" s="0" t="s">
        <v>295</v>
      </c>
      <c r="AH1472" s="0" t="n">
        <v>11</v>
      </c>
      <c r="AJ1472" s="0" t="n">
        <v>41</v>
      </c>
      <c r="AP1472" s="0" t="n">
        <v>126000</v>
      </c>
      <c r="DB1472" s="0" t="str">
        <f aca="false">IF($A1472="","",IF($AH1472=20,IF(AND(OR($A1472=21,$A1472=215),$AJ1472=10),"①病院一般",IF(AND($A1472=31,$AJ1472=41),"②病院短期","対象外")),IF($AJ1472=30,"③特定消防",IF(AND(OR($A1472=21,$A1472=215),$AJ1472=10),"④一般",IF(AND($A1472=31,$AJ1472=41),"⑤短期","対象外")))))</f>
        <v>⑤短期</v>
      </c>
      <c r="DC1472" s="0" t="n">
        <f aca="false">IF($A1472="","",IF($AB1472&amp;""=設定!$C$4,1,0))</f>
        <v>0</v>
      </c>
    </row>
    <row r="1473" customFormat="false" ht="15" hidden="false" customHeight="false" outlineLevel="0" collapsed="false">
      <c r="A1473" s="0" t="n">
        <v>31</v>
      </c>
      <c r="AA1473" s="0" t="n">
        <v>21</v>
      </c>
      <c r="AB1473" s="0" t="s">
        <v>298</v>
      </c>
      <c r="AD1473" s="0" t="n">
        <v>0</v>
      </c>
      <c r="AE1473" s="0" t="s">
        <v>295</v>
      </c>
      <c r="AH1473" s="0" t="n">
        <v>1</v>
      </c>
      <c r="AJ1473" s="0" t="n">
        <v>41</v>
      </c>
      <c r="AP1473" s="0" t="n">
        <v>260000</v>
      </c>
      <c r="DB1473" s="0" t="str">
        <f aca="false">IF($A1473="","",IF($AH1473=20,IF(AND(OR($A1473=21,$A1473=215),$AJ1473=10),"①病院一般",IF(AND($A1473=31,$AJ1473=41),"②病院短期","対象外")),IF($AJ1473=30,"③特定消防",IF(AND(OR($A1473=21,$A1473=215),$AJ1473=10),"④一般",IF(AND($A1473=31,$AJ1473=41),"⑤短期","対象外")))))</f>
        <v>⑤短期</v>
      </c>
      <c r="DC1473" s="0" t="n">
        <f aca="false">IF($A1473="","",IF($AB1473&amp;""=設定!$C$4,1,0))</f>
        <v>0</v>
      </c>
    </row>
    <row r="1474" customFormat="false" ht="15" hidden="false" customHeight="false" outlineLevel="0" collapsed="false">
      <c r="A1474" s="0" t="n">
        <v>31</v>
      </c>
      <c r="AA1474" s="0" t="n">
        <v>21</v>
      </c>
      <c r="AB1474" s="0" t="s">
        <v>349</v>
      </c>
      <c r="AD1474" s="0" t="n">
        <v>12</v>
      </c>
      <c r="AE1474" s="0" t="s">
        <v>370</v>
      </c>
      <c r="AH1474" s="0" t="n">
        <v>11</v>
      </c>
      <c r="AJ1474" s="0" t="n">
        <v>41</v>
      </c>
      <c r="AP1474" s="0" t="n">
        <v>104000</v>
      </c>
      <c r="DB1474" s="0" t="str">
        <f aca="false">IF($A1474="","",IF($AH1474=20,IF(AND(OR($A1474=21,$A1474=215),$AJ1474=10),"①病院一般",IF(AND($A1474=31,$AJ1474=41),"②病院短期","対象外")),IF($AJ1474=30,"③特定消防",IF(AND(OR($A1474=21,$A1474=215),$AJ1474=10),"④一般",IF(AND($A1474=31,$AJ1474=41),"⑤短期","対象外")))))</f>
        <v>⑤短期</v>
      </c>
      <c r="DC1474" s="0" t="n">
        <f aca="false">IF($A1474="","",IF($AB1474&amp;""=設定!$C$4,1,0))</f>
        <v>0</v>
      </c>
    </row>
    <row r="1475" customFormat="false" ht="15" hidden="false" customHeight="false" outlineLevel="0" collapsed="false">
      <c r="A1475" s="0" t="n">
        <v>31</v>
      </c>
      <c r="AA1475" s="0" t="n">
        <v>21</v>
      </c>
      <c r="AB1475" s="0" t="s">
        <v>298</v>
      </c>
      <c r="AD1475" s="0" t="n">
        <v>0</v>
      </c>
      <c r="AE1475" s="0" t="s">
        <v>295</v>
      </c>
      <c r="AH1475" s="0" t="n">
        <v>1</v>
      </c>
      <c r="AJ1475" s="0" t="n">
        <v>41</v>
      </c>
      <c r="AP1475" s="0" t="n">
        <v>134000</v>
      </c>
      <c r="DB1475" s="0" t="str">
        <f aca="false">IF($A1475="","",IF($AH1475=20,IF(AND(OR($A1475=21,$A1475=215),$AJ1475=10),"①病院一般",IF(AND($A1475=31,$AJ1475=41),"②病院短期","対象外")),IF($AJ1475=30,"③特定消防",IF(AND(OR($A1475=21,$A1475=215),$AJ1475=10),"④一般",IF(AND($A1475=31,$AJ1475=41),"⑤短期","対象外")))))</f>
        <v>⑤短期</v>
      </c>
      <c r="DC1475" s="0" t="n">
        <f aca="false">IF($A1475="","",IF($AB1475&amp;""=設定!$C$4,1,0))</f>
        <v>0</v>
      </c>
    </row>
    <row r="1476" customFormat="false" ht="15" hidden="false" customHeight="false" outlineLevel="0" collapsed="false">
      <c r="A1476" s="0" t="n">
        <v>31</v>
      </c>
      <c r="AA1476" s="0" t="n">
        <v>21</v>
      </c>
      <c r="AB1476" s="0" t="s">
        <v>353</v>
      </c>
      <c r="AD1476" s="0" t="n">
        <v>0</v>
      </c>
      <c r="AE1476" s="0" t="s">
        <v>295</v>
      </c>
      <c r="AH1476" s="0" t="n">
        <v>1</v>
      </c>
      <c r="AJ1476" s="0" t="n">
        <v>41</v>
      </c>
      <c r="AP1476" s="0" t="n">
        <v>134000</v>
      </c>
      <c r="DB1476" s="0" t="str">
        <f aca="false">IF($A1476="","",IF($AH1476=20,IF(AND(OR($A1476=21,$A1476=215),$AJ1476=10),"①病院一般",IF(AND($A1476=31,$AJ1476=41),"②病院短期","対象外")),IF($AJ1476=30,"③特定消防",IF(AND(OR($A1476=21,$A1476=215),$AJ1476=10),"④一般",IF(AND($A1476=31,$AJ1476=41),"⑤短期","対象外")))))</f>
        <v>⑤短期</v>
      </c>
      <c r="DC1476" s="0" t="n">
        <f aca="false">IF($A1476="","",IF($AB1476&amp;""=設定!$C$4,1,0))</f>
        <v>0</v>
      </c>
    </row>
    <row r="1477" customFormat="false" ht="15" hidden="false" customHeight="false" outlineLevel="0" collapsed="false">
      <c r="A1477" s="0" t="n">
        <v>31</v>
      </c>
      <c r="AA1477" s="0" t="n">
        <v>21</v>
      </c>
      <c r="AB1477" s="0" t="s">
        <v>299</v>
      </c>
      <c r="AD1477" s="0" t="n">
        <v>0</v>
      </c>
      <c r="AE1477" s="0" t="s">
        <v>295</v>
      </c>
      <c r="AH1477" s="0" t="n">
        <v>1</v>
      </c>
      <c r="AJ1477" s="0" t="n">
        <v>41</v>
      </c>
      <c r="AP1477" s="0" t="n">
        <v>170000</v>
      </c>
      <c r="DB1477" s="0" t="str">
        <f aca="false">IF($A1477="","",IF($AH1477=20,IF(AND(OR($A1477=21,$A1477=215),$AJ1477=10),"①病院一般",IF(AND($A1477=31,$AJ1477=41),"②病院短期","対象外")),IF($AJ1477=30,"③特定消防",IF(AND(OR($A1477=21,$A1477=215),$AJ1477=10),"④一般",IF(AND($A1477=31,$AJ1477=41),"⑤短期","対象外")))))</f>
        <v>⑤短期</v>
      </c>
      <c r="DC1477" s="0" t="n">
        <f aca="false">IF($A1477="","",IF($AB1477&amp;""=設定!$C$4,1,0))</f>
        <v>0</v>
      </c>
    </row>
    <row r="1478" customFormat="false" ht="15" hidden="false" customHeight="false" outlineLevel="0" collapsed="false">
      <c r="A1478" s="0" t="n">
        <v>31</v>
      </c>
      <c r="AA1478" s="0" t="n">
        <v>21</v>
      </c>
      <c r="AB1478" s="0" t="s">
        <v>299</v>
      </c>
      <c r="AD1478" s="0" t="n">
        <v>0</v>
      </c>
      <c r="AE1478" s="0" t="s">
        <v>295</v>
      </c>
      <c r="AH1478" s="0" t="n">
        <v>11</v>
      </c>
      <c r="AJ1478" s="0" t="n">
        <v>41</v>
      </c>
      <c r="AP1478" s="0" t="n">
        <v>200000</v>
      </c>
      <c r="DB1478" s="0" t="str">
        <f aca="false">IF($A1478="","",IF($AH1478=20,IF(AND(OR($A1478=21,$A1478=215),$AJ1478=10),"①病院一般",IF(AND($A1478=31,$AJ1478=41),"②病院短期","対象外")),IF($AJ1478=30,"③特定消防",IF(AND(OR($A1478=21,$A1478=215),$AJ1478=10),"④一般",IF(AND($A1478=31,$AJ1478=41),"⑤短期","対象外")))))</f>
        <v>⑤短期</v>
      </c>
      <c r="DC1478" s="0" t="n">
        <f aca="false">IF($A1478="","",IF($AB1478&amp;""=設定!$C$4,1,0))</f>
        <v>0</v>
      </c>
    </row>
    <row r="1479" customFormat="false" ht="15" hidden="false" customHeight="false" outlineLevel="0" collapsed="false">
      <c r="A1479" s="0" t="n">
        <v>31</v>
      </c>
      <c r="AA1479" s="0" t="n">
        <v>21</v>
      </c>
      <c r="AB1479" s="0" t="s">
        <v>299</v>
      </c>
      <c r="AD1479" s="0" t="n">
        <v>0</v>
      </c>
      <c r="AE1479" s="0" t="s">
        <v>295</v>
      </c>
      <c r="AH1479" s="0" t="n">
        <v>11</v>
      </c>
      <c r="AJ1479" s="0" t="n">
        <v>41</v>
      </c>
      <c r="AP1479" s="0" t="n">
        <v>200000</v>
      </c>
      <c r="DB1479" s="0" t="str">
        <f aca="false">IF($A1479="","",IF($AH1479=20,IF(AND(OR($A1479=21,$A1479=215),$AJ1479=10),"①病院一般",IF(AND($A1479=31,$AJ1479=41),"②病院短期","対象外")),IF($AJ1479=30,"③特定消防",IF(AND(OR($A1479=21,$A1479=215),$AJ1479=10),"④一般",IF(AND($A1479=31,$AJ1479=41),"⑤短期","対象外")))))</f>
        <v>⑤短期</v>
      </c>
      <c r="DC1479" s="0" t="n">
        <f aca="false">IF($A1479="","",IF($AB1479&amp;""=設定!$C$4,1,0))</f>
        <v>0</v>
      </c>
    </row>
    <row r="1480" customFormat="false" ht="15" hidden="false" customHeight="false" outlineLevel="0" collapsed="false">
      <c r="A1480" s="0" t="n">
        <v>31</v>
      </c>
      <c r="AA1480" s="0" t="n">
        <v>21</v>
      </c>
      <c r="AB1480" s="0" t="s">
        <v>299</v>
      </c>
      <c r="AD1480" s="0" t="n">
        <v>0</v>
      </c>
      <c r="AE1480" s="0" t="s">
        <v>295</v>
      </c>
      <c r="AH1480" s="0" t="n">
        <v>1</v>
      </c>
      <c r="AJ1480" s="0" t="n">
        <v>41</v>
      </c>
      <c r="AP1480" s="0" t="n">
        <v>220000</v>
      </c>
      <c r="DB1480" s="0" t="str">
        <f aca="false">IF($A1480="","",IF($AH1480=20,IF(AND(OR($A1480=21,$A1480=215),$AJ1480=10),"①病院一般",IF(AND($A1480=31,$AJ1480=41),"②病院短期","対象外")),IF($AJ1480=30,"③特定消防",IF(AND(OR($A1480=21,$A1480=215),$AJ1480=10),"④一般",IF(AND($A1480=31,$AJ1480=41),"⑤短期","対象外")))))</f>
        <v>⑤短期</v>
      </c>
      <c r="DC1480" s="0" t="n">
        <f aca="false">IF($A1480="","",IF($AB1480&amp;""=設定!$C$4,1,0))</f>
        <v>0</v>
      </c>
    </row>
    <row r="1481" customFormat="false" ht="15" hidden="false" customHeight="false" outlineLevel="0" collapsed="false">
      <c r="A1481" s="0" t="n">
        <v>31</v>
      </c>
      <c r="AA1481" s="0" t="n">
        <v>21</v>
      </c>
      <c r="AB1481" s="0" t="s">
        <v>332</v>
      </c>
      <c r="AD1481" s="0" t="n">
        <v>0</v>
      </c>
      <c r="AE1481" s="0" t="s">
        <v>295</v>
      </c>
      <c r="AH1481" s="0" t="n">
        <v>11</v>
      </c>
      <c r="AJ1481" s="0" t="n">
        <v>41</v>
      </c>
      <c r="AP1481" s="0" t="n">
        <v>134000</v>
      </c>
      <c r="DB1481" s="0" t="str">
        <f aca="false">IF($A1481="","",IF($AH1481=20,IF(AND(OR($A1481=21,$A1481=215),$AJ1481=10),"①病院一般",IF(AND($A1481=31,$AJ1481=41),"②病院短期","対象外")),IF($AJ1481=30,"③特定消防",IF(AND(OR($A1481=21,$A1481=215),$AJ1481=10),"④一般",IF(AND($A1481=31,$AJ1481=41),"⑤短期","対象外")))))</f>
        <v>⑤短期</v>
      </c>
      <c r="DC1481" s="0" t="n">
        <f aca="false">IF($A1481="","",IF($AB1481&amp;""=設定!$C$4,1,0))</f>
        <v>0</v>
      </c>
    </row>
    <row r="1482" customFormat="false" ht="15" hidden="false" customHeight="false" outlineLevel="0" collapsed="false">
      <c r="A1482" s="0" t="n">
        <v>31</v>
      </c>
      <c r="AA1482" s="0" t="n">
        <v>21</v>
      </c>
      <c r="AB1482" s="0" t="s">
        <v>299</v>
      </c>
      <c r="AD1482" s="0" t="n">
        <v>0</v>
      </c>
      <c r="AE1482" s="0" t="s">
        <v>295</v>
      </c>
      <c r="AH1482" s="0" t="n">
        <v>1</v>
      </c>
      <c r="AJ1482" s="0" t="n">
        <v>41</v>
      </c>
      <c r="AP1482" s="0" t="n">
        <v>200000</v>
      </c>
      <c r="DB1482" s="0" t="str">
        <f aca="false">IF($A1482="","",IF($AH1482=20,IF(AND(OR($A1482=21,$A1482=215),$AJ1482=10),"①病院一般",IF(AND($A1482=31,$AJ1482=41),"②病院短期","対象外")),IF($AJ1482=30,"③特定消防",IF(AND(OR($A1482=21,$A1482=215),$AJ1482=10),"④一般",IF(AND($A1482=31,$AJ1482=41),"⑤短期","対象外")))))</f>
        <v>⑤短期</v>
      </c>
      <c r="DC1482" s="0" t="n">
        <f aca="false">IF($A1482="","",IF($AB1482&amp;""=設定!$C$4,1,0))</f>
        <v>0</v>
      </c>
    </row>
    <row r="1483" customFormat="false" ht="15" hidden="false" customHeight="false" outlineLevel="0" collapsed="false">
      <c r="A1483" s="0" t="n">
        <v>31</v>
      </c>
      <c r="AA1483" s="0" t="n">
        <v>21</v>
      </c>
      <c r="AB1483" s="0" t="s">
        <v>299</v>
      </c>
      <c r="AD1483" s="0" t="n">
        <v>0</v>
      </c>
      <c r="AE1483" s="0" t="s">
        <v>295</v>
      </c>
      <c r="AH1483" s="0" t="n">
        <v>1</v>
      </c>
      <c r="AJ1483" s="0" t="n">
        <v>41</v>
      </c>
      <c r="AP1483" s="0" t="n">
        <v>134000</v>
      </c>
      <c r="DB1483" s="0" t="str">
        <f aca="false">IF($A1483="","",IF($AH1483=20,IF(AND(OR($A1483=21,$A1483=215),$AJ1483=10),"①病院一般",IF(AND($A1483=31,$AJ1483=41),"②病院短期","対象外")),IF($AJ1483=30,"③特定消防",IF(AND(OR($A1483=21,$A1483=215),$AJ1483=10),"④一般",IF(AND($A1483=31,$AJ1483=41),"⑤短期","対象外")))))</f>
        <v>⑤短期</v>
      </c>
      <c r="DC1483" s="0" t="n">
        <f aca="false">IF($A1483="","",IF($AB1483&amp;""=設定!$C$4,1,0))</f>
        <v>0</v>
      </c>
    </row>
    <row r="1484" customFormat="false" ht="15" hidden="false" customHeight="false" outlineLevel="0" collapsed="false">
      <c r="A1484" s="0" t="n">
        <v>31</v>
      </c>
      <c r="AA1484" s="0" t="n">
        <v>21</v>
      </c>
      <c r="AB1484" s="0" t="s">
        <v>371</v>
      </c>
      <c r="AD1484" s="0" t="n">
        <v>0</v>
      </c>
      <c r="AE1484" s="0" t="s">
        <v>295</v>
      </c>
      <c r="AH1484" s="0" t="n">
        <v>11</v>
      </c>
      <c r="AJ1484" s="0" t="n">
        <v>41</v>
      </c>
      <c r="AP1484" s="0" t="n">
        <v>126000</v>
      </c>
      <c r="DB1484" s="0" t="str">
        <f aca="false">IF($A1484="","",IF($AH1484=20,IF(AND(OR($A1484=21,$A1484=215),$AJ1484=10),"①病院一般",IF(AND($A1484=31,$AJ1484=41),"②病院短期","対象外")),IF($AJ1484=30,"③特定消防",IF(AND(OR($A1484=21,$A1484=215),$AJ1484=10),"④一般",IF(AND($A1484=31,$AJ1484=41),"⑤短期","対象外")))))</f>
        <v>⑤短期</v>
      </c>
      <c r="DC1484" s="0" t="n">
        <f aca="false">IF($A1484="","",IF($AB1484&amp;""=設定!$C$4,1,0))</f>
        <v>0</v>
      </c>
    </row>
    <row r="1485" customFormat="false" ht="15" hidden="false" customHeight="false" outlineLevel="0" collapsed="false">
      <c r="A1485" s="0" t="n">
        <v>31</v>
      </c>
      <c r="AA1485" s="0" t="n">
        <v>21</v>
      </c>
      <c r="AB1485" s="0" t="s">
        <v>299</v>
      </c>
      <c r="AD1485" s="0" t="n">
        <v>0</v>
      </c>
      <c r="AE1485" s="0" t="s">
        <v>295</v>
      </c>
      <c r="AH1485" s="0" t="n">
        <v>1</v>
      </c>
      <c r="AJ1485" s="0" t="n">
        <v>41</v>
      </c>
      <c r="AP1485" s="0" t="n">
        <v>142000</v>
      </c>
      <c r="DB1485" s="0" t="str">
        <f aca="false">IF($A1485="","",IF($AH1485=20,IF(AND(OR($A1485=21,$A1485=215),$AJ1485=10),"①病院一般",IF(AND($A1485=31,$AJ1485=41),"②病院短期","対象外")),IF($AJ1485=30,"③特定消防",IF(AND(OR($A1485=21,$A1485=215),$AJ1485=10),"④一般",IF(AND($A1485=31,$AJ1485=41),"⑤短期","対象外")))))</f>
        <v>⑤短期</v>
      </c>
      <c r="DC1485" s="0" t="n">
        <f aca="false">IF($A1485="","",IF($AB1485&amp;""=設定!$C$4,1,0))</f>
        <v>0</v>
      </c>
    </row>
    <row r="1486" customFormat="false" ht="15" hidden="false" customHeight="false" outlineLevel="0" collapsed="false">
      <c r="A1486" s="0" t="n">
        <v>31</v>
      </c>
      <c r="AA1486" s="0" t="n">
        <v>21</v>
      </c>
      <c r="AB1486" s="0" t="s">
        <v>299</v>
      </c>
      <c r="AD1486" s="0" t="n">
        <v>0</v>
      </c>
      <c r="AE1486" s="0" t="s">
        <v>295</v>
      </c>
      <c r="AH1486" s="0" t="n">
        <v>1</v>
      </c>
      <c r="AJ1486" s="0" t="n">
        <v>41</v>
      </c>
      <c r="AP1486" s="0" t="n">
        <v>190000</v>
      </c>
      <c r="DB1486" s="0" t="str">
        <f aca="false">IF($A1486="","",IF($AH1486=20,IF(AND(OR($A1486=21,$A1486=215),$AJ1486=10),"①病院一般",IF(AND($A1486=31,$AJ1486=41),"②病院短期","対象外")),IF($AJ1486=30,"③特定消防",IF(AND(OR($A1486=21,$A1486=215),$AJ1486=10),"④一般",IF(AND($A1486=31,$AJ1486=41),"⑤短期","対象外")))))</f>
        <v>⑤短期</v>
      </c>
      <c r="DC1486" s="0" t="n">
        <f aca="false">IF($A1486="","",IF($AB1486&amp;""=設定!$C$4,1,0))</f>
        <v>0</v>
      </c>
    </row>
    <row r="1487" customFormat="false" ht="15" hidden="false" customHeight="false" outlineLevel="0" collapsed="false">
      <c r="A1487" s="0" t="n">
        <v>31</v>
      </c>
      <c r="AA1487" s="0" t="n">
        <v>21</v>
      </c>
      <c r="AB1487" s="0" t="s">
        <v>299</v>
      </c>
      <c r="AD1487" s="0" t="n">
        <v>0</v>
      </c>
      <c r="AE1487" s="0" t="s">
        <v>295</v>
      </c>
      <c r="AH1487" s="0" t="n">
        <v>1</v>
      </c>
      <c r="AJ1487" s="0" t="n">
        <v>41</v>
      </c>
      <c r="AP1487" s="0" t="n">
        <v>190000</v>
      </c>
      <c r="DB1487" s="0" t="str">
        <f aca="false">IF($A1487="","",IF($AH1487=20,IF(AND(OR($A1487=21,$A1487=215),$AJ1487=10),"①病院一般",IF(AND($A1487=31,$AJ1487=41),"②病院短期","対象外")),IF($AJ1487=30,"③特定消防",IF(AND(OR($A1487=21,$A1487=215),$AJ1487=10),"④一般",IF(AND($A1487=31,$AJ1487=41),"⑤短期","対象外")))))</f>
        <v>⑤短期</v>
      </c>
      <c r="DC1487" s="0" t="n">
        <f aca="false">IF($A1487="","",IF($AB1487&amp;""=設定!$C$4,1,0))</f>
        <v>0</v>
      </c>
    </row>
    <row r="1488" customFormat="false" ht="15" hidden="false" customHeight="false" outlineLevel="0" collapsed="false">
      <c r="A1488" s="0" t="n">
        <v>31</v>
      </c>
      <c r="AA1488" s="0" t="n">
        <v>21</v>
      </c>
      <c r="AB1488" s="0" t="s">
        <v>299</v>
      </c>
      <c r="AD1488" s="0" t="n">
        <v>0</v>
      </c>
      <c r="AE1488" s="0" t="s">
        <v>295</v>
      </c>
      <c r="AH1488" s="0" t="n">
        <v>1</v>
      </c>
      <c r="AJ1488" s="0" t="n">
        <v>41</v>
      </c>
      <c r="AP1488" s="0" t="n">
        <v>190000</v>
      </c>
      <c r="DB1488" s="0" t="str">
        <f aca="false">IF($A1488="","",IF($AH1488=20,IF(AND(OR($A1488=21,$A1488=215),$AJ1488=10),"①病院一般",IF(AND($A1488=31,$AJ1488=41),"②病院短期","対象外")),IF($AJ1488=30,"③特定消防",IF(AND(OR($A1488=21,$A1488=215),$AJ1488=10),"④一般",IF(AND($A1488=31,$AJ1488=41),"⑤短期","対象外")))))</f>
        <v>⑤短期</v>
      </c>
      <c r="DC1488" s="0" t="n">
        <f aca="false">IF($A1488="","",IF($AB1488&amp;""=設定!$C$4,1,0))</f>
        <v>0</v>
      </c>
    </row>
    <row r="1489" customFormat="false" ht="15" hidden="false" customHeight="false" outlineLevel="0" collapsed="false">
      <c r="A1489" s="0" t="n">
        <v>31</v>
      </c>
      <c r="AA1489" s="0" t="n">
        <v>21</v>
      </c>
      <c r="AB1489" s="0" t="s">
        <v>299</v>
      </c>
      <c r="AD1489" s="0" t="n">
        <v>0</v>
      </c>
      <c r="AE1489" s="0" t="s">
        <v>295</v>
      </c>
      <c r="AH1489" s="0" t="n">
        <v>1</v>
      </c>
      <c r="AJ1489" s="0" t="n">
        <v>41</v>
      </c>
      <c r="AP1489" s="0" t="n">
        <v>190000</v>
      </c>
      <c r="DB1489" s="0" t="str">
        <f aca="false">IF($A1489="","",IF($AH1489=20,IF(AND(OR($A1489=21,$A1489=215),$AJ1489=10),"①病院一般",IF(AND($A1489=31,$AJ1489=41),"②病院短期","対象外")),IF($AJ1489=30,"③特定消防",IF(AND(OR($A1489=21,$A1489=215),$AJ1489=10),"④一般",IF(AND($A1489=31,$AJ1489=41),"⑤短期","対象外")))))</f>
        <v>⑤短期</v>
      </c>
      <c r="DC1489" s="0" t="n">
        <f aca="false">IF($A1489="","",IF($AB1489&amp;""=設定!$C$4,1,0))</f>
        <v>0</v>
      </c>
    </row>
    <row r="1490" customFormat="false" ht="15" hidden="false" customHeight="false" outlineLevel="0" collapsed="false">
      <c r="A1490" s="0" t="n">
        <v>31</v>
      </c>
      <c r="AA1490" s="0" t="n">
        <v>21</v>
      </c>
      <c r="AB1490" s="0" t="s">
        <v>299</v>
      </c>
      <c r="AD1490" s="0" t="n">
        <v>0</v>
      </c>
      <c r="AE1490" s="0" t="s">
        <v>295</v>
      </c>
      <c r="AH1490" s="0" t="n">
        <v>1</v>
      </c>
      <c r="AJ1490" s="0" t="n">
        <v>41</v>
      </c>
      <c r="AP1490" s="0" t="n">
        <v>200000</v>
      </c>
      <c r="DB1490" s="0" t="str">
        <f aca="false">IF($A1490="","",IF($AH1490=20,IF(AND(OR($A1490=21,$A1490=215),$AJ1490=10),"①病院一般",IF(AND($A1490=31,$AJ1490=41),"②病院短期","対象外")),IF($AJ1490=30,"③特定消防",IF(AND(OR($A1490=21,$A1490=215),$AJ1490=10),"④一般",IF(AND($A1490=31,$AJ1490=41),"⑤短期","対象外")))))</f>
        <v>⑤短期</v>
      </c>
      <c r="DC1490" s="0" t="n">
        <f aca="false">IF($A1490="","",IF($AB1490&amp;""=設定!$C$4,1,0))</f>
        <v>0</v>
      </c>
    </row>
    <row r="1491" customFormat="false" ht="15" hidden="false" customHeight="false" outlineLevel="0" collapsed="false">
      <c r="A1491" s="0" t="n">
        <v>31</v>
      </c>
      <c r="AA1491" s="0" t="n">
        <v>21</v>
      </c>
      <c r="AB1491" s="0" t="s">
        <v>299</v>
      </c>
      <c r="AD1491" s="0" t="n">
        <v>0</v>
      </c>
      <c r="AE1491" s="0" t="s">
        <v>295</v>
      </c>
      <c r="AH1491" s="0" t="n">
        <v>11</v>
      </c>
      <c r="AJ1491" s="0" t="n">
        <v>41</v>
      </c>
      <c r="AP1491" s="0" t="n">
        <v>200000</v>
      </c>
      <c r="DB1491" s="0" t="str">
        <f aca="false">IF($A1491="","",IF($AH1491=20,IF(AND(OR($A1491=21,$A1491=215),$AJ1491=10),"①病院一般",IF(AND($A1491=31,$AJ1491=41),"②病院短期","対象外")),IF($AJ1491=30,"③特定消防",IF(AND(OR($A1491=21,$A1491=215),$AJ1491=10),"④一般",IF(AND($A1491=31,$AJ1491=41),"⑤短期","対象外")))))</f>
        <v>⑤短期</v>
      </c>
      <c r="DC1491" s="0" t="n">
        <f aca="false">IF($A1491="","",IF($AB1491&amp;""=設定!$C$4,1,0))</f>
        <v>0</v>
      </c>
    </row>
    <row r="1492" customFormat="false" ht="15" hidden="false" customHeight="false" outlineLevel="0" collapsed="false">
      <c r="A1492" s="0" t="n">
        <v>31</v>
      </c>
      <c r="AA1492" s="0" t="n">
        <v>21</v>
      </c>
      <c r="AB1492" s="0" t="s">
        <v>314</v>
      </c>
      <c r="AD1492" s="0" t="n">
        <v>0</v>
      </c>
      <c r="AE1492" s="0" t="s">
        <v>295</v>
      </c>
      <c r="AH1492" s="0" t="n">
        <v>11</v>
      </c>
      <c r="AJ1492" s="0" t="n">
        <v>41</v>
      </c>
      <c r="AP1492" s="0" t="n">
        <v>110000</v>
      </c>
      <c r="DB1492" s="0" t="str">
        <f aca="false">IF($A1492="","",IF($AH1492=20,IF(AND(OR($A1492=21,$A1492=215),$AJ1492=10),"①病院一般",IF(AND($A1492=31,$AJ1492=41),"②病院短期","対象外")),IF($AJ1492=30,"③特定消防",IF(AND(OR($A1492=21,$A1492=215),$AJ1492=10),"④一般",IF(AND($A1492=31,$AJ1492=41),"⑤短期","対象外")))))</f>
        <v>⑤短期</v>
      </c>
      <c r="DC1492" s="0" t="n">
        <f aca="false">IF($A1492="","",IF($AB1492&amp;""=設定!$C$4,1,0))</f>
        <v>0</v>
      </c>
    </row>
    <row r="1493" customFormat="false" ht="15" hidden="false" customHeight="false" outlineLevel="0" collapsed="false">
      <c r="A1493" s="0" t="n">
        <v>31</v>
      </c>
      <c r="AA1493" s="0" t="n">
        <v>21</v>
      </c>
      <c r="AB1493" s="0" t="s">
        <v>372</v>
      </c>
      <c r="AD1493" s="0" t="n">
        <v>12</v>
      </c>
      <c r="AE1493" s="0" t="s">
        <v>319</v>
      </c>
      <c r="AH1493" s="0" t="n">
        <v>1</v>
      </c>
      <c r="AJ1493" s="0" t="n">
        <v>41</v>
      </c>
      <c r="AP1493" s="0" t="n">
        <v>180000</v>
      </c>
      <c r="DB1493" s="0" t="str">
        <f aca="false">IF($A1493="","",IF($AH1493=20,IF(AND(OR($A1493=21,$A1493=215),$AJ1493=10),"①病院一般",IF(AND($A1493=31,$AJ1493=41),"②病院短期","対象外")),IF($AJ1493=30,"③特定消防",IF(AND(OR($A1493=21,$A1493=215),$AJ1493=10),"④一般",IF(AND($A1493=31,$AJ1493=41),"⑤短期","対象外")))))</f>
        <v>⑤短期</v>
      </c>
      <c r="DC1493" s="0" t="n">
        <f aca="false">IF($A1493="","",IF($AB1493&amp;""=設定!$C$4,1,0))</f>
        <v>0</v>
      </c>
    </row>
    <row r="1494" customFormat="false" ht="15" hidden="false" customHeight="false" outlineLevel="0" collapsed="false">
      <c r="A1494" s="0" t="n">
        <v>31</v>
      </c>
      <c r="AA1494" s="0" t="n">
        <v>21</v>
      </c>
      <c r="AB1494" s="0" t="s">
        <v>326</v>
      </c>
      <c r="AD1494" s="0" t="n">
        <v>0</v>
      </c>
      <c r="AE1494" s="0" t="s">
        <v>295</v>
      </c>
      <c r="AH1494" s="0" t="n">
        <v>11</v>
      </c>
      <c r="AJ1494" s="0" t="n">
        <v>41</v>
      </c>
      <c r="AP1494" s="0" t="n">
        <v>110000</v>
      </c>
      <c r="DB1494" s="0" t="str">
        <f aca="false">IF($A1494="","",IF($AH1494=20,IF(AND(OR($A1494=21,$A1494=215),$AJ1494=10),"①病院一般",IF(AND($A1494=31,$AJ1494=41),"②病院短期","対象外")),IF($AJ1494=30,"③特定消防",IF(AND(OR($A1494=21,$A1494=215),$AJ1494=10),"④一般",IF(AND($A1494=31,$AJ1494=41),"⑤短期","対象外")))))</f>
        <v>⑤短期</v>
      </c>
      <c r="DC1494" s="0" t="n">
        <f aca="false">IF($A1494="","",IF($AB1494&amp;""=設定!$C$4,1,0))</f>
        <v>0</v>
      </c>
    </row>
    <row r="1495" customFormat="false" ht="15" hidden="false" customHeight="false" outlineLevel="0" collapsed="false">
      <c r="A1495" s="0" t="n">
        <v>31</v>
      </c>
      <c r="AA1495" s="0" t="n">
        <v>21</v>
      </c>
      <c r="AB1495" s="0" t="s">
        <v>373</v>
      </c>
      <c r="AD1495" s="0" t="n">
        <v>12</v>
      </c>
      <c r="AE1495" s="0" t="s">
        <v>294</v>
      </c>
      <c r="AH1495" s="0" t="n">
        <v>11</v>
      </c>
      <c r="AJ1495" s="0" t="n">
        <v>41</v>
      </c>
      <c r="AP1495" s="0" t="n">
        <v>104000</v>
      </c>
      <c r="DB1495" s="0" t="str">
        <f aca="false">IF($A1495="","",IF($AH1495=20,IF(AND(OR($A1495=21,$A1495=215),$AJ1495=10),"①病院一般",IF(AND($A1495=31,$AJ1495=41),"②病院短期","対象外")),IF($AJ1495=30,"③特定消防",IF(AND(OR($A1495=21,$A1495=215),$AJ1495=10),"④一般",IF(AND($A1495=31,$AJ1495=41),"⑤短期","対象外")))))</f>
        <v>⑤短期</v>
      </c>
      <c r="DC1495" s="0" t="n">
        <f aca="false">IF($A1495="","",IF($AB1495&amp;""=設定!$C$4,1,0))</f>
        <v>0</v>
      </c>
    </row>
    <row r="1496" customFormat="false" ht="15" hidden="false" customHeight="false" outlineLevel="0" collapsed="false">
      <c r="A1496" s="0" t="n">
        <v>31</v>
      </c>
      <c r="AA1496" s="0" t="n">
        <v>21</v>
      </c>
      <c r="AB1496" s="0" t="s">
        <v>299</v>
      </c>
      <c r="AD1496" s="0" t="n">
        <v>0</v>
      </c>
      <c r="AE1496" s="0" t="s">
        <v>295</v>
      </c>
      <c r="AH1496" s="0" t="n">
        <v>1</v>
      </c>
      <c r="AJ1496" s="0" t="n">
        <v>41</v>
      </c>
      <c r="AP1496" s="0" t="n">
        <v>190000</v>
      </c>
      <c r="DB1496" s="0" t="str">
        <f aca="false">IF($A1496="","",IF($AH1496=20,IF(AND(OR($A1496=21,$A1496=215),$AJ1496=10),"①病院一般",IF(AND($A1496=31,$AJ1496=41),"②病院短期","対象外")),IF($AJ1496=30,"③特定消防",IF(AND(OR($A1496=21,$A1496=215),$AJ1496=10),"④一般",IF(AND($A1496=31,$AJ1496=41),"⑤短期","対象外")))))</f>
        <v>⑤短期</v>
      </c>
      <c r="DC1496" s="0" t="n">
        <f aca="false">IF($A1496="","",IF($AB1496&amp;""=設定!$C$4,1,0))</f>
        <v>0</v>
      </c>
    </row>
    <row r="1497" customFormat="false" ht="15" hidden="false" customHeight="false" outlineLevel="0" collapsed="false">
      <c r="A1497" s="0" t="n">
        <v>31</v>
      </c>
      <c r="AA1497" s="0" t="n">
        <v>21</v>
      </c>
      <c r="AB1497" s="0" t="s">
        <v>374</v>
      </c>
      <c r="AD1497" s="0" t="n">
        <v>12</v>
      </c>
      <c r="AE1497" s="0" t="s">
        <v>301</v>
      </c>
      <c r="AH1497" s="0" t="n">
        <v>1</v>
      </c>
      <c r="AJ1497" s="0" t="n">
        <v>41</v>
      </c>
      <c r="AP1497" s="0" t="n">
        <v>190000</v>
      </c>
      <c r="DB1497" s="0" t="str">
        <f aca="false">IF($A1497="","",IF($AH1497=20,IF(AND(OR($A1497=21,$A1497=215),$AJ1497=10),"①病院一般",IF(AND($A1497=31,$AJ1497=41),"②病院短期","対象外")),IF($AJ1497=30,"③特定消防",IF(AND(OR($A1497=21,$A1497=215),$AJ1497=10),"④一般",IF(AND($A1497=31,$AJ1497=41),"⑤短期","対象外")))))</f>
        <v>⑤短期</v>
      </c>
      <c r="DC1497" s="0" t="n">
        <f aca="false">IF($A1497="","",IF($AB1497&amp;""=設定!$C$4,1,0))</f>
        <v>0</v>
      </c>
    </row>
    <row r="1498" customFormat="false" ht="15" hidden="false" customHeight="false" outlineLevel="0" collapsed="false">
      <c r="A1498" s="0" t="n">
        <v>31</v>
      </c>
      <c r="AA1498" s="0" t="n">
        <v>21</v>
      </c>
      <c r="AB1498" s="0" t="s">
        <v>308</v>
      </c>
      <c r="AD1498" s="0" t="n">
        <v>0</v>
      </c>
      <c r="AE1498" s="0" t="s">
        <v>295</v>
      </c>
      <c r="AH1498" s="0" t="n">
        <v>1</v>
      </c>
      <c r="AJ1498" s="0" t="n">
        <v>41</v>
      </c>
      <c r="AP1498" s="0" t="n">
        <v>104000</v>
      </c>
      <c r="DB1498" s="0" t="str">
        <f aca="false">IF($A1498="","",IF($AH1498=20,IF(AND(OR($A1498=21,$A1498=215),$AJ1498=10),"①病院一般",IF(AND($A1498=31,$AJ1498=41),"②病院短期","対象外")),IF($AJ1498=30,"③特定消防",IF(AND(OR($A1498=21,$A1498=215),$AJ1498=10),"④一般",IF(AND($A1498=31,$AJ1498=41),"⑤短期","対象外")))))</f>
        <v>⑤短期</v>
      </c>
      <c r="DC1498" s="0" t="n">
        <f aca="false">IF($A1498="","",IF($AB1498&amp;""=設定!$C$4,1,0))</f>
        <v>0</v>
      </c>
    </row>
    <row r="1499" customFormat="false" ht="15" hidden="false" customHeight="false" outlineLevel="0" collapsed="false">
      <c r="A1499" s="0" t="n">
        <v>31</v>
      </c>
      <c r="AA1499" s="0" t="n">
        <v>21</v>
      </c>
      <c r="AB1499" s="0" t="s">
        <v>294</v>
      </c>
      <c r="AD1499" s="0" t="n">
        <v>0</v>
      </c>
      <c r="AE1499" s="0" t="s">
        <v>295</v>
      </c>
      <c r="AH1499" s="0" t="n">
        <v>1</v>
      </c>
      <c r="AJ1499" s="0" t="n">
        <v>41</v>
      </c>
      <c r="AP1499" s="0" t="n">
        <v>190000</v>
      </c>
      <c r="DB1499" s="0" t="str">
        <f aca="false">IF($A1499="","",IF($AH1499=20,IF(AND(OR($A1499=21,$A1499=215),$AJ1499=10),"①病院一般",IF(AND($A1499=31,$AJ1499=41),"②病院短期","対象外")),IF($AJ1499=30,"③特定消防",IF(AND(OR($A1499=21,$A1499=215),$AJ1499=10),"④一般",IF(AND($A1499=31,$AJ1499=41),"⑤短期","対象外")))))</f>
        <v>⑤短期</v>
      </c>
      <c r="DC1499" s="0" t="n">
        <f aca="false">IF($A1499="","",IF($AB1499&amp;""=設定!$C$4,1,0))</f>
        <v>0</v>
      </c>
    </row>
    <row r="1500" customFormat="false" ht="15" hidden="false" customHeight="false" outlineLevel="0" collapsed="false">
      <c r="A1500" s="0" t="n">
        <v>31</v>
      </c>
      <c r="AA1500" s="0" t="n">
        <v>21</v>
      </c>
      <c r="AB1500" s="0" t="s">
        <v>294</v>
      </c>
      <c r="AD1500" s="0" t="n">
        <v>12</v>
      </c>
      <c r="AE1500" s="0" t="s">
        <v>296</v>
      </c>
      <c r="AH1500" s="0" t="n">
        <v>1</v>
      </c>
      <c r="AJ1500" s="0" t="n">
        <v>41</v>
      </c>
      <c r="AP1500" s="0" t="n">
        <v>190000</v>
      </c>
      <c r="DB1500" s="0" t="str">
        <f aca="false">IF($A1500="","",IF($AH1500=20,IF(AND(OR($A1500=21,$A1500=215),$AJ1500=10),"①病院一般",IF(AND($A1500=31,$AJ1500=41),"②病院短期","対象外")),IF($AJ1500=30,"③特定消防",IF(AND(OR($A1500=21,$A1500=215),$AJ1500=10),"④一般",IF(AND($A1500=31,$AJ1500=41),"⑤短期","対象外")))))</f>
        <v>⑤短期</v>
      </c>
      <c r="DC1500" s="0" t="n">
        <f aca="false">IF($A1500="","",IF($AB1500&amp;""=設定!$C$4,1,0))</f>
        <v>0</v>
      </c>
    </row>
    <row r="1501" customFormat="false" ht="15" hidden="false" customHeight="false" outlineLevel="0" collapsed="false">
      <c r="A1501" s="0" t="n">
        <v>31</v>
      </c>
      <c r="AA1501" s="0" t="n">
        <v>21</v>
      </c>
      <c r="AB1501" s="0" t="s">
        <v>294</v>
      </c>
      <c r="AD1501" s="0" t="n">
        <v>0</v>
      </c>
      <c r="AE1501" s="0" t="s">
        <v>295</v>
      </c>
      <c r="AH1501" s="0" t="n">
        <v>1</v>
      </c>
      <c r="AJ1501" s="0" t="n">
        <v>41</v>
      </c>
      <c r="AP1501" s="0" t="n">
        <v>190000</v>
      </c>
      <c r="DB1501" s="0" t="str">
        <f aca="false">IF($A1501="","",IF($AH1501=20,IF(AND(OR($A1501=21,$A1501=215),$AJ1501=10),"①病院一般",IF(AND($A1501=31,$AJ1501=41),"②病院短期","対象外")),IF($AJ1501=30,"③特定消防",IF(AND(OR($A1501=21,$A1501=215),$AJ1501=10),"④一般",IF(AND($A1501=31,$AJ1501=41),"⑤短期","対象外")))))</f>
        <v>⑤短期</v>
      </c>
      <c r="DC1501" s="0" t="n">
        <f aca="false">IF($A1501="","",IF($AB1501&amp;""=設定!$C$4,1,0))</f>
        <v>0</v>
      </c>
    </row>
    <row r="1502" customFormat="false" ht="15" hidden="false" customHeight="false" outlineLevel="0" collapsed="false">
      <c r="A1502" s="0" t="n">
        <v>31</v>
      </c>
      <c r="AA1502" s="0" t="n">
        <v>21</v>
      </c>
      <c r="AB1502" s="0" t="s">
        <v>294</v>
      </c>
      <c r="AD1502" s="0" t="n">
        <v>0</v>
      </c>
      <c r="AE1502" s="0" t="s">
        <v>295</v>
      </c>
      <c r="AH1502" s="0" t="n">
        <v>1</v>
      </c>
      <c r="AJ1502" s="0" t="n">
        <v>41</v>
      </c>
      <c r="AP1502" s="0" t="n">
        <v>190000</v>
      </c>
      <c r="DB1502" s="0" t="str">
        <f aca="false">IF($A1502="","",IF($AH1502=20,IF(AND(OR($A1502=21,$A1502=215),$AJ1502=10),"①病院一般",IF(AND($A1502=31,$AJ1502=41),"②病院短期","対象外")),IF($AJ1502=30,"③特定消防",IF(AND(OR($A1502=21,$A1502=215),$AJ1502=10),"④一般",IF(AND($A1502=31,$AJ1502=41),"⑤短期","対象外")))))</f>
        <v>⑤短期</v>
      </c>
      <c r="DC1502" s="0" t="n">
        <f aca="false">IF($A1502="","",IF($AB1502&amp;""=設定!$C$4,1,0))</f>
        <v>0</v>
      </c>
    </row>
    <row r="1503" customFormat="false" ht="15" hidden="false" customHeight="false" outlineLevel="0" collapsed="false">
      <c r="A1503" s="0" t="n">
        <v>31</v>
      </c>
      <c r="AA1503" s="0" t="n">
        <v>21</v>
      </c>
      <c r="AB1503" s="0" t="s">
        <v>294</v>
      </c>
      <c r="AD1503" s="0" t="n">
        <v>0</v>
      </c>
      <c r="AE1503" s="0" t="s">
        <v>295</v>
      </c>
      <c r="AH1503" s="0" t="n">
        <v>1</v>
      </c>
      <c r="AJ1503" s="0" t="n">
        <v>41</v>
      </c>
      <c r="AP1503" s="0" t="n">
        <v>190000</v>
      </c>
      <c r="DB1503" s="0" t="str">
        <f aca="false">IF($A1503="","",IF($AH1503=20,IF(AND(OR($A1503=21,$A1503=215),$AJ1503=10),"①病院一般",IF(AND($A1503=31,$AJ1503=41),"②病院短期","対象外")),IF($AJ1503=30,"③特定消防",IF(AND(OR($A1503=21,$A1503=215),$AJ1503=10),"④一般",IF(AND($A1503=31,$AJ1503=41),"⑤短期","対象外")))))</f>
        <v>⑤短期</v>
      </c>
      <c r="DC1503" s="0" t="n">
        <f aca="false">IF($A1503="","",IF($AB1503&amp;""=設定!$C$4,1,0))</f>
        <v>0</v>
      </c>
    </row>
    <row r="1504" customFormat="false" ht="15" hidden="false" customHeight="false" outlineLevel="0" collapsed="false">
      <c r="A1504" s="0" t="n">
        <v>31</v>
      </c>
      <c r="AA1504" s="0" t="n">
        <v>21</v>
      </c>
      <c r="AB1504" s="0" t="s">
        <v>294</v>
      </c>
      <c r="AD1504" s="0" t="n">
        <v>0</v>
      </c>
      <c r="AE1504" s="0" t="s">
        <v>295</v>
      </c>
      <c r="AH1504" s="0" t="n">
        <v>1</v>
      </c>
      <c r="AJ1504" s="0" t="n">
        <v>41</v>
      </c>
      <c r="AP1504" s="0" t="n">
        <v>190000</v>
      </c>
      <c r="DB1504" s="0" t="str">
        <f aca="false">IF($A1504="","",IF($AH1504=20,IF(AND(OR($A1504=21,$A1504=215),$AJ1504=10),"①病院一般",IF(AND($A1504=31,$AJ1504=41),"②病院短期","対象外")),IF($AJ1504=30,"③特定消防",IF(AND(OR($A1504=21,$A1504=215),$AJ1504=10),"④一般",IF(AND($A1504=31,$AJ1504=41),"⑤短期","対象外")))))</f>
        <v>⑤短期</v>
      </c>
      <c r="DC1504" s="0" t="n">
        <f aca="false">IF($A1504="","",IF($AB1504&amp;""=設定!$C$4,1,0))</f>
        <v>0</v>
      </c>
    </row>
    <row r="1505" customFormat="false" ht="15" hidden="false" customHeight="false" outlineLevel="0" collapsed="false">
      <c r="A1505" s="0" t="n">
        <v>31</v>
      </c>
      <c r="AA1505" s="0" t="n">
        <v>21</v>
      </c>
      <c r="AB1505" s="0" t="s">
        <v>294</v>
      </c>
      <c r="AD1505" s="0" t="n">
        <v>0</v>
      </c>
      <c r="AE1505" s="0" t="s">
        <v>295</v>
      </c>
      <c r="AH1505" s="0" t="n">
        <v>1</v>
      </c>
      <c r="AJ1505" s="0" t="n">
        <v>41</v>
      </c>
      <c r="AP1505" s="0" t="n">
        <v>200000</v>
      </c>
      <c r="DB1505" s="0" t="str">
        <f aca="false">IF($A1505="","",IF($AH1505=20,IF(AND(OR($A1505=21,$A1505=215),$AJ1505=10),"①病院一般",IF(AND($A1505=31,$AJ1505=41),"②病院短期","対象外")),IF($AJ1505=30,"③特定消防",IF(AND(OR($A1505=21,$A1505=215),$AJ1505=10),"④一般",IF(AND($A1505=31,$AJ1505=41),"⑤短期","対象外")))))</f>
        <v>⑤短期</v>
      </c>
      <c r="DC1505" s="0" t="n">
        <f aca="false">IF($A1505="","",IF($AB1505&amp;""=設定!$C$4,1,0))</f>
        <v>0</v>
      </c>
    </row>
    <row r="1506" customFormat="false" ht="15" hidden="false" customHeight="false" outlineLevel="0" collapsed="false">
      <c r="A1506" s="0" t="n">
        <v>31</v>
      </c>
      <c r="AA1506" s="0" t="n">
        <v>21</v>
      </c>
      <c r="AB1506" s="0" t="s">
        <v>294</v>
      </c>
      <c r="AD1506" s="0" t="n">
        <v>0</v>
      </c>
      <c r="AE1506" s="0" t="s">
        <v>295</v>
      </c>
      <c r="AH1506" s="0" t="n">
        <v>1</v>
      </c>
      <c r="AJ1506" s="0" t="n">
        <v>41</v>
      </c>
      <c r="AP1506" s="0" t="n">
        <v>190000</v>
      </c>
      <c r="DB1506" s="0" t="str">
        <f aca="false">IF($A1506="","",IF($AH1506=20,IF(AND(OR($A1506=21,$A1506=215),$AJ1506=10),"①病院一般",IF(AND($A1506=31,$AJ1506=41),"②病院短期","対象外")),IF($AJ1506=30,"③特定消防",IF(AND(OR($A1506=21,$A1506=215),$AJ1506=10),"④一般",IF(AND($A1506=31,$AJ1506=41),"⑤短期","対象外")))))</f>
        <v>⑤短期</v>
      </c>
      <c r="DC1506" s="0" t="n">
        <f aca="false">IF($A1506="","",IF($AB1506&amp;""=設定!$C$4,1,0))</f>
        <v>0</v>
      </c>
    </row>
    <row r="1507" customFormat="false" ht="15" hidden="false" customHeight="false" outlineLevel="0" collapsed="false">
      <c r="A1507" s="0" t="n">
        <v>31</v>
      </c>
      <c r="AA1507" s="0" t="n">
        <v>21</v>
      </c>
      <c r="AB1507" s="0" t="s">
        <v>294</v>
      </c>
      <c r="AD1507" s="0" t="n">
        <v>0</v>
      </c>
      <c r="AE1507" s="0" t="s">
        <v>295</v>
      </c>
      <c r="AH1507" s="0" t="n">
        <v>1</v>
      </c>
      <c r="AJ1507" s="0" t="n">
        <v>41</v>
      </c>
      <c r="AP1507" s="0" t="n">
        <v>190000</v>
      </c>
      <c r="DB1507" s="0" t="str">
        <f aca="false">IF($A1507="","",IF($AH1507=20,IF(AND(OR($A1507=21,$A1507=215),$AJ1507=10),"①病院一般",IF(AND($A1507=31,$AJ1507=41),"②病院短期","対象外")),IF($AJ1507=30,"③特定消防",IF(AND(OR($A1507=21,$A1507=215),$AJ1507=10),"④一般",IF(AND($A1507=31,$AJ1507=41),"⑤短期","対象外")))))</f>
        <v>⑤短期</v>
      </c>
      <c r="DC1507" s="0" t="n">
        <f aca="false">IF($A1507="","",IF($AB1507&amp;""=設定!$C$4,1,0))</f>
        <v>0</v>
      </c>
    </row>
    <row r="1508" customFormat="false" ht="15" hidden="false" customHeight="false" outlineLevel="0" collapsed="false">
      <c r="A1508" s="0" t="n">
        <v>31</v>
      </c>
      <c r="AA1508" s="0" t="n">
        <v>21</v>
      </c>
      <c r="AB1508" s="0" t="s">
        <v>311</v>
      </c>
      <c r="AD1508" s="0" t="n">
        <v>0</v>
      </c>
      <c r="AE1508" s="0" t="s">
        <v>295</v>
      </c>
      <c r="AH1508" s="0" t="n">
        <v>1</v>
      </c>
      <c r="AJ1508" s="0" t="n">
        <v>41</v>
      </c>
      <c r="AP1508" s="0" t="n">
        <v>190000</v>
      </c>
      <c r="DB1508" s="0" t="str">
        <f aca="false">IF($A1508="","",IF($AH1508=20,IF(AND(OR($A1508=21,$A1508=215),$AJ1508=10),"①病院一般",IF(AND($A1508=31,$AJ1508=41),"②病院短期","対象外")),IF($AJ1508=30,"③特定消防",IF(AND(OR($A1508=21,$A1508=215),$AJ1508=10),"④一般",IF(AND($A1508=31,$AJ1508=41),"⑤短期","対象外")))))</f>
        <v>⑤短期</v>
      </c>
      <c r="DC1508" s="0" t="n">
        <f aca="false">IF($A1508="","",IF($AB1508&amp;""=設定!$C$4,1,0))</f>
        <v>0</v>
      </c>
    </row>
    <row r="1509" customFormat="false" ht="15" hidden="false" customHeight="false" outlineLevel="0" collapsed="false">
      <c r="A1509" s="0" t="n">
        <v>31</v>
      </c>
      <c r="AA1509" s="0" t="n">
        <v>21</v>
      </c>
      <c r="AB1509" s="0" t="s">
        <v>294</v>
      </c>
      <c r="AD1509" s="0" t="n">
        <v>0</v>
      </c>
      <c r="AE1509" s="0" t="s">
        <v>295</v>
      </c>
      <c r="AH1509" s="0" t="n">
        <v>1</v>
      </c>
      <c r="AJ1509" s="0" t="n">
        <v>41</v>
      </c>
      <c r="AP1509" s="0" t="n">
        <v>190000</v>
      </c>
      <c r="DB1509" s="0" t="str">
        <f aca="false">IF($A1509="","",IF($AH1509=20,IF(AND(OR($A1509=21,$A1509=215),$AJ1509=10),"①病院一般",IF(AND($A1509=31,$AJ1509=41),"②病院短期","対象外")),IF($AJ1509=30,"③特定消防",IF(AND(OR($A1509=21,$A1509=215),$AJ1509=10),"④一般",IF(AND($A1509=31,$AJ1509=41),"⑤短期","対象外")))))</f>
        <v>⑤短期</v>
      </c>
      <c r="DC1509" s="0" t="n">
        <f aca="false">IF($A1509="","",IF($AB1509&amp;""=設定!$C$4,1,0))</f>
        <v>0</v>
      </c>
    </row>
    <row r="1510" customFormat="false" ht="15" hidden="false" customHeight="false" outlineLevel="0" collapsed="false">
      <c r="A1510" s="0" t="n">
        <v>31</v>
      </c>
      <c r="AA1510" s="0" t="n">
        <v>21</v>
      </c>
      <c r="AB1510" s="0" t="s">
        <v>294</v>
      </c>
      <c r="AD1510" s="0" t="n">
        <v>0</v>
      </c>
      <c r="AE1510" s="0" t="s">
        <v>295</v>
      </c>
      <c r="AH1510" s="0" t="n">
        <v>1</v>
      </c>
      <c r="AJ1510" s="0" t="n">
        <v>41</v>
      </c>
      <c r="AP1510" s="0" t="n">
        <v>180000</v>
      </c>
      <c r="DB1510" s="0" t="str">
        <f aca="false">IF($A1510="","",IF($AH1510=20,IF(AND(OR($A1510=21,$A1510=215),$AJ1510=10),"①病院一般",IF(AND($A1510=31,$AJ1510=41),"②病院短期","対象外")),IF($AJ1510=30,"③特定消防",IF(AND(OR($A1510=21,$A1510=215),$AJ1510=10),"④一般",IF(AND($A1510=31,$AJ1510=41),"⑤短期","対象外")))))</f>
        <v>⑤短期</v>
      </c>
      <c r="DC1510" s="0" t="n">
        <f aca="false">IF($A1510="","",IF($AB1510&amp;""=設定!$C$4,1,0))</f>
        <v>0</v>
      </c>
    </row>
    <row r="1511" customFormat="false" ht="15" hidden="false" customHeight="false" outlineLevel="0" collapsed="false">
      <c r="A1511" s="0" t="n">
        <v>31</v>
      </c>
      <c r="AA1511" s="0" t="n">
        <v>21</v>
      </c>
      <c r="AB1511" s="0" t="s">
        <v>294</v>
      </c>
      <c r="AD1511" s="0" t="n">
        <v>0</v>
      </c>
      <c r="AE1511" s="0" t="s">
        <v>295</v>
      </c>
      <c r="AH1511" s="0" t="n">
        <v>1</v>
      </c>
      <c r="AJ1511" s="0" t="n">
        <v>41</v>
      </c>
      <c r="AP1511" s="0" t="n">
        <v>220000</v>
      </c>
      <c r="DB1511" s="0" t="str">
        <f aca="false">IF($A1511="","",IF($AH1511=20,IF(AND(OR($A1511=21,$A1511=215),$AJ1511=10),"①病院一般",IF(AND($A1511=31,$AJ1511=41),"②病院短期","対象外")),IF($AJ1511=30,"③特定消防",IF(AND(OR($A1511=21,$A1511=215),$AJ1511=10),"④一般",IF(AND($A1511=31,$AJ1511=41),"⑤短期","対象外")))))</f>
        <v>⑤短期</v>
      </c>
      <c r="DC1511" s="0" t="n">
        <f aca="false">IF($A1511="","",IF($AB1511&amp;""=設定!$C$4,1,0))</f>
        <v>0</v>
      </c>
    </row>
    <row r="1512" customFormat="false" ht="15" hidden="false" customHeight="false" outlineLevel="0" collapsed="false">
      <c r="A1512" s="0" t="n">
        <v>31</v>
      </c>
      <c r="AA1512" s="0" t="n">
        <v>21</v>
      </c>
      <c r="AB1512" s="0" t="s">
        <v>294</v>
      </c>
      <c r="AD1512" s="0" t="n">
        <v>0</v>
      </c>
      <c r="AE1512" s="0" t="s">
        <v>295</v>
      </c>
      <c r="AH1512" s="0" t="n">
        <v>1</v>
      </c>
      <c r="AJ1512" s="0" t="n">
        <v>41</v>
      </c>
      <c r="AP1512" s="0" t="n">
        <v>200000</v>
      </c>
      <c r="DB1512" s="0" t="str">
        <f aca="false">IF($A1512="","",IF($AH1512=20,IF(AND(OR($A1512=21,$A1512=215),$AJ1512=10),"①病院一般",IF(AND($A1512=31,$AJ1512=41),"②病院短期","対象外")),IF($AJ1512=30,"③特定消防",IF(AND(OR($A1512=21,$A1512=215),$AJ1512=10),"④一般",IF(AND($A1512=31,$AJ1512=41),"⑤短期","対象外")))))</f>
        <v>⑤短期</v>
      </c>
      <c r="DC1512" s="0" t="n">
        <f aca="false">IF($A1512="","",IF($AB1512&amp;""=設定!$C$4,1,0))</f>
        <v>0</v>
      </c>
    </row>
    <row r="1513" customFormat="false" ht="15" hidden="false" customHeight="false" outlineLevel="0" collapsed="false">
      <c r="A1513" s="0" t="n">
        <v>31</v>
      </c>
      <c r="AA1513" s="0" t="n">
        <v>21</v>
      </c>
      <c r="AB1513" s="0" t="s">
        <v>294</v>
      </c>
      <c r="AD1513" s="0" t="n">
        <v>0</v>
      </c>
      <c r="AE1513" s="0" t="s">
        <v>295</v>
      </c>
      <c r="AH1513" s="0" t="n">
        <v>1</v>
      </c>
      <c r="AJ1513" s="0" t="n">
        <v>41</v>
      </c>
      <c r="AP1513" s="0" t="n">
        <v>200000</v>
      </c>
      <c r="DB1513" s="0" t="str">
        <f aca="false">IF($A1513="","",IF($AH1513=20,IF(AND(OR($A1513=21,$A1513=215),$AJ1513=10),"①病院一般",IF(AND($A1513=31,$AJ1513=41),"②病院短期","対象外")),IF($AJ1513=30,"③特定消防",IF(AND(OR($A1513=21,$A1513=215),$AJ1513=10),"④一般",IF(AND($A1513=31,$AJ1513=41),"⑤短期","対象外")))))</f>
        <v>⑤短期</v>
      </c>
      <c r="DC1513" s="0" t="n">
        <f aca="false">IF($A1513="","",IF($AB1513&amp;""=設定!$C$4,1,0))</f>
        <v>0</v>
      </c>
    </row>
    <row r="1514" customFormat="false" ht="15" hidden="false" customHeight="false" outlineLevel="0" collapsed="false">
      <c r="A1514" s="0" t="n">
        <v>31</v>
      </c>
      <c r="AA1514" s="0" t="n">
        <v>21</v>
      </c>
      <c r="AB1514" s="0" t="s">
        <v>294</v>
      </c>
      <c r="AD1514" s="0" t="n">
        <v>0</v>
      </c>
      <c r="AE1514" s="0" t="s">
        <v>295</v>
      </c>
      <c r="AH1514" s="0" t="n">
        <v>1</v>
      </c>
      <c r="AJ1514" s="0" t="n">
        <v>41</v>
      </c>
      <c r="AP1514" s="0" t="n">
        <v>200000</v>
      </c>
      <c r="DB1514" s="0" t="str">
        <f aca="false">IF($A1514="","",IF($AH1514=20,IF(AND(OR($A1514=21,$A1514=215),$AJ1514=10),"①病院一般",IF(AND($A1514=31,$AJ1514=41),"②病院短期","対象外")),IF($AJ1514=30,"③特定消防",IF(AND(OR($A1514=21,$A1514=215),$AJ1514=10),"④一般",IF(AND($A1514=31,$AJ1514=41),"⑤短期","対象外")))))</f>
        <v>⑤短期</v>
      </c>
      <c r="DC1514" s="0" t="n">
        <f aca="false">IF($A1514="","",IF($AB1514&amp;""=設定!$C$4,1,0))</f>
        <v>0</v>
      </c>
    </row>
    <row r="1515" customFormat="false" ht="15" hidden="false" customHeight="false" outlineLevel="0" collapsed="false">
      <c r="A1515" s="0" t="n">
        <v>31</v>
      </c>
      <c r="AA1515" s="0" t="n">
        <v>21</v>
      </c>
      <c r="AB1515" s="0" t="s">
        <v>311</v>
      </c>
      <c r="AD1515" s="0" t="n">
        <v>0</v>
      </c>
      <c r="AE1515" s="0" t="s">
        <v>295</v>
      </c>
      <c r="AH1515" s="0" t="n">
        <v>1</v>
      </c>
      <c r="AJ1515" s="0" t="n">
        <v>41</v>
      </c>
      <c r="AP1515" s="0" t="n">
        <v>134000</v>
      </c>
      <c r="DB1515" s="0" t="str">
        <f aca="false">IF($A1515="","",IF($AH1515=20,IF(AND(OR($A1515=21,$A1515=215),$AJ1515=10),"①病院一般",IF(AND($A1515=31,$AJ1515=41),"②病院短期","対象外")),IF($AJ1515=30,"③特定消防",IF(AND(OR($A1515=21,$A1515=215),$AJ1515=10),"④一般",IF(AND($A1515=31,$AJ1515=41),"⑤短期","対象外")))))</f>
        <v>⑤短期</v>
      </c>
      <c r="DC1515" s="0" t="n">
        <f aca="false">IF($A1515="","",IF($AB1515&amp;""=設定!$C$4,1,0))</f>
        <v>0</v>
      </c>
    </row>
    <row r="1516" customFormat="false" ht="15" hidden="false" customHeight="false" outlineLevel="0" collapsed="false">
      <c r="A1516" s="0" t="n">
        <v>31</v>
      </c>
      <c r="AA1516" s="0" t="n">
        <v>21</v>
      </c>
      <c r="AB1516" s="0" t="s">
        <v>296</v>
      </c>
      <c r="AD1516" s="0" t="n">
        <v>0</v>
      </c>
      <c r="AE1516" s="0" t="s">
        <v>295</v>
      </c>
      <c r="AH1516" s="0" t="n">
        <v>11</v>
      </c>
      <c r="AJ1516" s="0" t="n">
        <v>41</v>
      </c>
      <c r="AP1516" s="0" t="n">
        <v>180000</v>
      </c>
      <c r="DB1516" s="0" t="str">
        <f aca="false">IF($A1516="","",IF($AH1516=20,IF(AND(OR($A1516=21,$A1516=215),$AJ1516=10),"①病院一般",IF(AND($A1516=31,$AJ1516=41),"②病院短期","対象外")),IF($AJ1516=30,"③特定消防",IF(AND(OR($A1516=21,$A1516=215),$AJ1516=10),"④一般",IF(AND($A1516=31,$AJ1516=41),"⑤短期","対象外")))))</f>
        <v>⑤短期</v>
      </c>
      <c r="DC1516" s="0" t="n">
        <f aca="false">IF($A1516="","",IF($AB1516&amp;""=設定!$C$4,1,0))</f>
        <v>0</v>
      </c>
    </row>
    <row r="1517" customFormat="false" ht="15" hidden="false" customHeight="false" outlineLevel="0" collapsed="false">
      <c r="A1517" s="0" t="n">
        <v>31</v>
      </c>
      <c r="AA1517" s="0" t="n">
        <v>21</v>
      </c>
      <c r="AB1517" s="0" t="s">
        <v>296</v>
      </c>
      <c r="AD1517" s="0" t="n">
        <v>0</v>
      </c>
      <c r="AE1517" s="0" t="s">
        <v>295</v>
      </c>
      <c r="AH1517" s="0" t="n">
        <v>1</v>
      </c>
      <c r="AJ1517" s="0" t="n">
        <v>41</v>
      </c>
      <c r="AP1517" s="0" t="n">
        <v>190000</v>
      </c>
      <c r="DB1517" s="0" t="str">
        <f aca="false">IF($A1517="","",IF($AH1517=20,IF(AND(OR($A1517=21,$A1517=215),$AJ1517=10),"①病院一般",IF(AND($A1517=31,$AJ1517=41),"②病院短期","対象外")),IF($AJ1517=30,"③特定消防",IF(AND(OR($A1517=21,$A1517=215),$AJ1517=10),"④一般",IF(AND($A1517=31,$AJ1517=41),"⑤短期","対象外")))))</f>
        <v>⑤短期</v>
      </c>
      <c r="DC1517" s="0" t="n">
        <f aca="false">IF($A1517="","",IF($AB1517&amp;""=設定!$C$4,1,0))</f>
        <v>0</v>
      </c>
    </row>
    <row r="1518" customFormat="false" ht="15" hidden="false" customHeight="false" outlineLevel="0" collapsed="false">
      <c r="A1518" s="0" t="n">
        <v>31</v>
      </c>
      <c r="AA1518" s="0" t="n">
        <v>21</v>
      </c>
      <c r="AB1518" s="0" t="s">
        <v>296</v>
      </c>
      <c r="AD1518" s="0" t="n">
        <v>0</v>
      </c>
      <c r="AE1518" s="0" t="s">
        <v>295</v>
      </c>
      <c r="AH1518" s="0" t="n">
        <v>1</v>
      </c>
      <c r="AJ1518" s="0" t="n">
        <v>41</v>
      </c>
      <c r="AP1518" s="0" t="n">
        <v>142000</v>
      </c>
      <c r="DB1518" s="0" t="str">
        <f aca="false">IF($A1518="","",IF($AH1518=20,IF(AND(OR($A1518=21,$A1518=215),$AJ1518=10),"①病院一般",IF(AND($A1518=31,$AJ1518=41),"②病院短期","対象外")),IF($AJ1518=30,"③特定消防",IF(AND(OR($A1518=21,$A1518=215),$AJ1518=10),"④一般",IF(AND($A1518=31,$AJ1518=41),"⑤短期","対象外")))))</f>
        <v>⑤短期</v>
      </c>
      <c r="DC1518" s="0" t="n">
        <f aca="false">IF($A1518="","",IF($AB1518&amp;""=設定!$C$4,1,0))</f>
        <v>0</v>
      </c>
    </row>
    <row r="1519" customFormat="false" ht="15" hidden="false" customHeight="false" outlineLevel="0" collapsed="false">
      <c r="A1519" s="0" t="n">
        <v>31</v>
      </c>
      <c r="AA1519" s="0" t="n">
        <v>21</v>
      </c>
      <c r="AB1519" s="0" t="s">
        <v>296</v>
      </c>
      <c r="AD1519" s="0" t="n">
        <v>0</v>
      </c>
      <c r="AE1519" s="0" t="s">
        <v>295</v>
      </c>
      <c r="AH1519" s="0" t="n">
        <v>1</v>
      </c>
      <c r="AJ1519" s="0" t="n">
        <v>41</v>
      </c>
      <c r="AP1519" s="0" t="n">
        <v>142000</v>
      </c>
      <c r="DB1519" s="0" t="str">
        <f aca="false">IF($A1519="","",IF($AH1519=20,IF(AND(OR($A1519=21,$A1519=215),$AJ1519=10),"①病院一般",IF(AND($A1519=31,$AJ1519=41),"②病院短期","対象外")),IF($AJ1519=30,"③特定消防",IF(AND(OR($A1519=21,$A1519=215),$AJ1519=10),"④一般",IF(AND($A1519=31,$AJ1519=41),"⑤短期","対象外")))))</f>
        <v>⑤短期</v>
      </c>
      <c r="DC1519" s="0" t="n">
        <f aca="false">IF($A1519="","",IF($AB1519&amp;""=設定!$C$4,1,0))</f>
        <v>0</v>
      </c>
    </row>
    <row r="1520" customFormat="false" ht="15" hidden="false" customHeight="false" outlineLevel="0" collapsed="false">
      <c r="A1520" s="0" t="n">
        <v>31</v>
      </c>
      <c r="AA1520" s="0" t="n">
        <v>21</v>
      </c>
      <c r="AB1520" s="0" t="s">
        <v>296</v>
      </c>
      <c r="AD1520" s="0" t="n">
        <v>0</v>
      </c>
      <c r="AE1520" s="0" t="s">
        <v>295</v>
      </c>
      <c r="AH1520" s="0" t="n">
        <v>1</v>
      </c>
      <c r="AJ1520" s="0" t="n">
        <v>41</v>
      </c>
      <c r="AP1520" s="0" t="n">
        <v>142000</v>
      </c>
      <c r="DB1520" s="0" t="str">
        <f aca="false">IF($A1520="","",IF($AH1520=20,IF(AND(OR($A1520=21,$A1520=215),$AJ1520=10),"①病院一般",IF(AND($A1520=31,$AJ1520=41),"②病院短期","対象外")),IF($AJ1520=30,"③特定消防",IF(AND(OR($A1520=21,$A1520=215),$AJ1520=10),"④一般",IF(AND($A1520=31,$AJ1520=41),"⑤短期","対象外")))))</f>
        <v>⑤短期</v>
      </c>
      <c r="DC1520" s="0" t="n">
        <f aca="false">IF($A1520="","",IF($AB1520&amp;""=設定!$C$4,1,0))</f>
        <v>0</v>
      </c>
    </row>
    <row r="1521" customFormat="false" ht="15" hidden="false" customHeight="false" outlineLevel="0" collapsed="false">
      <c r="A1521" s="0" t="n">
        <v>31</v>
      </c>
      <c r="AA1521" s="0" t="n">
        <v>21</v>
      </c>
      <c r="AB1521" s="0" t="s">
        <v>296</v>
      </c>
      <c r="AD1521" s="0" t="n">
        <v>0</v>
      </c>
      <c r="AE1521" s="0" t="s">
        <v>295</v>
      </c>
      <c r="AH1521" s="0" t="n">
        <v>1</v>
      </c>
      <c r="AJ1521" s="0" t="n">
        <v>41</v>
      </c>
      <c r="AP1521" s="0" t="n">
        <v>142000</v>
      </c>
      <c r="DB1521" s="0" t="str">
        <f aca="false">IF($A1521="","",IF($AH1521=20,IF(AND(OR($A1521=21,$A1521=215),$AJ1521=10),"①病院一般",IF(AND($A1521=31,$AJ1521=41),"②病院短期","対象外")),IF($AJ1521=30,"③特定消防",IF(AND(OR($A1521=21,$A1521=215),$AJ1521=10),"④一般",IF(AND($A1521=31,$AJ1521=41),"⑤短期","対象外")))))</f>
        <v>⑤短期</v>
      </c>
      <c r="DC1521" s="0" t="n">
        <f aca="false">IF($A1521="","",IF($AB1521&amp;""=設定!$C$4,1,0))</f>
        <v>0</v>
      </c>
    </row>
    <row r="1522" customFormat="false" ht="15" hidden="false" customHeight="false" outlineLevel="0" collapsed="false">
      <c r="A1522" s="0" t="n">
        <v>31</v>
      </c>
      <c r="AA1522" s="0" t="n">
        <v>21</v>
      </c>
      <c r="AB1522" s="0" t="s">
        <v>296</v>
      </c>
      <c r="AD1522" s="0" t="n">
        <v>0</v>
      </c>
      <c r="AE1522" s="0" t="s">
        <v>295</v>
      </c>
      <c r="AH1522" s="0" t="n">
        <v>1</v>
      </c>
      <c r="AJ1522" s="0" t="n">
        <v>41</v>
      </c>
      <c r="AP1522" s="0" t="n">
        <v>260000</v>
      </c>
      <c r="DB1522" s="0" t="str">
        <f aca="false">IF($A1522="","",IF($AH1522=20,IF(AND(OR($A1522=21,$A1522=215),$AJ1522=10),"①病院一般",IF(AND($A1522=31,$AJ1522=41),"②病院短期","対象外")),IF($AJ1522=30,"③特定消防",IF(AND(OR($A1522=21,$A1522=215),$AJ1522=10),"④一般",IF(AND($A1522=31,$AJ1522=41),"⑤短期","対象外")))))</f>
        <v>⑤短期</v>
      </c>
      <c r="DC1522" s="0" t="n">
        <f aca="false">IF($A1522="","",IF($AB1522&amp;""=設定!$C$4,1,0))</f>
        <v>0</v>
      </c>
    </row>
    <row r="1523" customFormat="false" ht="15" hidden="false" customHeight="false" outlineLevel="0" collapsed="false">
      <c r="A1523" s="0" t="n">
        <v>31</v>
      </c>
      <c r="AA1523" s="0" t="n">
        <v>21</v>
      </c>
      <c r="AB1523" s="0" t="s">
        <v>296</v>
      </c>
      <c r="AD1523" s="0" t="n">
        <v>0</v>
      </c>
      <c r="AE1523" s="0" t="s">
        <v>295</v>
      </c>
      <c r="AH1523" s="0" t="n">
        <v>1</v>
      </c>
      <c r="AJ1523" s="0" t="n">
        <v>41</v>
      </c>
      <c r="AP1523" s="0" t="n">
        <v>126000</v>
      </c>
      <c r="DB1523" s="0" t="str">
        <f aca="false">IF($A1523="","",IF($AH1523=20,IF(AND(OR($A1523=21,$A1523=215),$AJ1523=10),"①病院一般",IF(AND($A1523=31,$AJ1523=41),"②病院短期","対象外")),IF($AJ1523=30,"③特定消防",IF(AND(OR($A1523=21,$A1523=215),$AJ1523=10),"④一般",IF(AND($A1523=31,$AJ1523=41),"⑤短期","対象外")))))</f>
        <v>⑤短期</v>
      </c>
      <c r="DC1523" s="0" t="n">
        <f aca="false">IF($A1523="","",IF($AB1523&amp;""=設定!$C$4,1,0))</f>
        <v>0</v>
      </c>
    </row>
    <row r="1524" customFormat="false" ht="15" hidden="false" customHeight="false" outlineLevel="0" collapsed="false">
      <c r="A1524" s="0" t="n">
        <v>31</v>
      </c>
      <c r="AA1524" s="0" t="n">
        <v>21</v>
      </c>
      <c r="AB1524" s="0" t="s">
        <v>296</v>
      </c>
      <c r="AD1524" s="0" t="n">
        <v>0</v>
      </c>
      <c r="AE1524" s="0" t="s">
        <v>295</v>
      </c>
      <c r="AH1524" s="0" t="n">
        <v>1</v>
      </c>
      <c r="AJ1524" s="0" t="n">
        <v>41</v>
      </c>
      <c r="AP1524" s="0" t="n">
        <v>126000</v>
      </c>
      <c r="DB1524" s="0" t="str">
        <f aca="false">IF($A1524="","",IF($AH1524=20,IF(AND(OR($A1524=21,$A1524=215),$AJ1524=10),"①病院一般",IF(AND($A1524=31,$AJ1524=41),"②病院短期","対象外")),IF($AJ1524=30,"③特定消防",IF(AND(OR($A1524=21,$A1524=215),$AJ1524=10),"④一般",IF(AND($A1524=31,$AJ1524=41),"⑤短期","対象外")))))</f>
        <v>⑤短期</v>
      </c>
      <c r="DC1524" s="0" t="n">
        <f aca="false">IF($A1524="","",IF($AB1524&amp;""=設定!$C$4,1,0))</f>
        <v>0</v>
      </c>
    </row>
    <row r="1525" customFormat="false" ht="15" hidden="false" customHeight="false" outlineLevel="0" collapsed="false">
      <c r="A1525" s="0" t="n">
        <v>31</v>
      </c>
      <c r="AA1525" s="0" t="n">
        <v>21</v>
      </c>
      <c r="AB1525" s="0" t="s">
        <v>296</v>
      </c>
      <c r="AD1525" s="0" t="n">
        <v>0</v>
      </c>
      <c r="AE1525" s="0" t="s">
        <v>295</v>
      </c>
      <c r="AH1525" s="0" t="n">
        <v>1</v>
      </c>
      <c r="AJ1525" s="0" t="n">
        <v>41</v>
      </c>
      <c r="AP1525" s="0" t="n">
        <v>118000</v>
      </c>
      <c r="DB1525" s="0" t="str">
        <f aca="false">IF($A1525="","",IF($AH1525=20,IF(AND(OR($A1525=21,$A1525=215),$AJ1525=10),"①病院一般",IF(AND($A1525=31,$AJ1525=41),"②病院短期","対象外")),IF($AJ1525=30,"③特定消防",IF(AND(OR($A1525=21,$A1525=215),$AJ1525=10),"④一般",IF(AND($A1525=31,$AJ1525=41),"⑤短期","対象外")))))</f>
        <v>⑤短期</v>
      </c>
      <c r="DC1525" s="0" t="n">
        <f aca="false">IF($A1525="","",IF($AB1525&amp;""=設定!$C$4,1,0))</f>
        <v>0</v>
      </c>
    </row>
    <row r="1526" customFormat="false" ht="15" hidden="false" customHeight="false" outlineLevel="0" collapsed="false">
      <c r="A1526" s="0" t="n">
        <v>31</v>
      </c>
      <c r="AA1526" s="0" t="n">
        <v>21</v>
      </c>
      <c r="AB1526" s="0" t="s">
        <v>296</v>
      </c>
      <c r="AD1526" s="0" t="n">
        <v>0</v>
      </c>
      <c r="AE1526" s="0" t="s">
        <v>295</v>
      </c>
      <c r="AH1526" s="0" t="n">
        <v>1</v>
      </c>
      <c r="AJ1526" s="0" t="n">
        <v>41</v>
      </c>
      <c r="AP1526" s="0" t="n">
        <v>126000</v>
      </c>
      <c r="DB1526" s="0" t="str">
        <f aca="false">IF($A1526="","",IF($AH1526=20,IF(AND(OR($A1526=21,$A1526=215),$AJ1526=10),"①病院一般",IF(AND($A1526=31,$AJ1526=41),"②病院短期","対象外")),IF($AJ1526=30,"③特定消防",IF(AND(OR($A1526=21,$A1526=215),$AJ1526=10),"④一般",IF(AND($A1526=31,$AJ1526=41),"⑤短期","対象外")))))</f>
        <v>⑤短期</v>
      </c>
      <c r="DC1526" s="0" t="n">
        <f aca="false">IF($A1526="","",IF($AB1526&amp;""=設定!$C$4,1,0))</f>
        <v>0</v>
      </c>
    </row>
    <row r="1527" customFormat="false" ht="15" hidden="false" customHeight="false" outlineLevel="0" collapsed="false">
      <c r="A1527" s="0" t="n">
        <v>31</v>
      </c>
      <c r="AA1527" s="0" t="n">
        <v>21</v>
      </c>
      <c r="AB1527" s="0" t="s">
        <v>296</v>
      </c>
      <c r="AD1527" s="0" t="n">
        <v>0</v>
      </c>
      <c r="AE1527" s="0" t="s">
        <v>295</v>
      </c>
      <c r="AH1527" s="0" t="n">
        <v>1</v>
      </c>
      <c r="AJ1527" s="0" t="n">
        <v>41</v>
      </c>
      <c r="AP1527" s="0" t="n">
        <v>118000</v>
      </c>
      <c r="DB1527" s="0" t="str">
        <f aca="false">IF($A1527="","",IF($AH1527=20,IF(AND(OR($A1527=21,$A1527=215),$AJ1527=10),"①病院一般",IF(AND($A1527=31,$AJ1527=41),"②病院短期","対象外")),IF($AJ1527=30,"③特定消防",IF(AND(OR($A1527=21,$A1527=215),$AJ1527=10),"④一般",IF(AND($A1527=31,$AJ1527=41),"⑤短期","対象外")))))</f>
        <v>⑤短期</v>
      </c>
      <c r="DC1527" s="0" t="n">
        <f aca="false">IF($A1527="","",IF($AB1527&amp;""=設定!$C$4,1,0))</f>
        <v>0</v>
      </c>
    </row>
    <row r="1528" customFormat="false" ht="15" hidden="false" customHeight="false" outlineLevel="0" collapsed="false">
      <c r="A1528" s="0" t="n">
        <v>31</v>
      </c>
      <c r="AA1528" s="0" t="n">
        <v>21</v>
      </c>
      <c r="AB1528" s="0" t="s">
        <v>296</v>
      </c>
      <c r="AD1528" s="0" t="n">
        <v>0</v>
      </c>
      <c r="AE1528" s="0" t="s">
        <v>295</v>
      </c>
      <c r="AH1528" s="0" t="n">
        <v>1</v>
      </c>
      <c r="AJ1528" s="0" t="n">
        <v>41</v>
      </c>
      <c r="AP1528" s="0" t="n">
        <v>118000</v>
      </c>
      <c r="DB1528" s="0" t="str">
        <f aca="false">IF($A1528="","",IF($AH1528=20,IF(AND(OR($A1528=21,$A1528=215),$AJ1528=10),"①病院一般",IF(AND($A1528=31,$AJ1528=41),"②病院短期","対象外")),IF($AJ1528=30,"③特定消防",IF(AND(OR($A1528=21,$A1528=215),$AJ1528=10),"④一般",IF(AND($A1528=31,$AJ1528=41),"⑤短期","対象外")))))</f>
        <v>⑤短期</v>
      </c>
      <c r="DC1528" s="0" t="n">
        <f aca="false">IF($A1528="","",IF($AB1528&amp;""=設定!$C$4,1,0))</f>
        <v>0</v>
      </c>
    </row>
    <row r="1529" customFormat="false" ht="15" hidden="false" customHeight="false" outlineLevel="0" collapsed="false">
      <c r="A1529" s="0" t="n">
        <v>31</v>
      </c>
      <c r="AA1529" s="0" t="n">
        <v>21</v>
      </c>
      <c r="AB1529" s="0" t="s">
        <v>333</v>
      </c>
      <c r="AD1529" s="0" t="n">
        <v>0</v>
      </c>
      <c r="AE1529" s="0" t="s">
        <v>295</v>
      </c>
      <c r="AH1529" s="0" t="n">
        <v>11</v>
      </c>
      <c r="AJ1529" s="0" t="n">
        <v>41</v>
      </c>
      <c r="AP1529" s="0" t="n">
        <v>180000</v>
      </c>
      <c r="DB1529" s="0" t="str">
        <f aca="false">IF($A1529="","",IF($AH1529=20,IF(AND(OR($A1529=21,$A1529=215),$AJ1529=10),"①病院一般",IF(AND($A1529=31,$AJ1529=41),"②病院短期","対象外")),IF($AJ1529=30,"③特定消防",IF(AND(OR($A1529=21,$A1529=215),$AJ1529=10),"④一般",IF(AND($A1529=31,$AJ1529=41),"⑤短期","対象外")))))</f>
        <v>⑤短期</v>
      </c>
      <c r="DC1529" s="0" t="n">
        <f aca="false">IF($A1529="","",IF($AB1529&amp;""=設定!$C$4,1,0))</f>
        <v>0</v>
      </c>
    </row>
    <row r="1530" customFormat="false" ht="15" hidden="false" customHeight="false" outlineLevel="0" collapsed="false">
      <c r="A1530" s="0" t="n">
        <v>31</v>
      </c>
      <c r="AA1530" s="0" t="n">
        <v>21</v>
      </c>
      <c r="AB1530" s="0" t="s">
        <v>333</v>
      </c>
      <c r="AD1530" s="0" t="n">
        <v>0</v>
      </c>
      <c r="AE1530" s="0" t="s">
        <v>295</v>
      </c>
      <c r="AH1530" s="0" t="n">
        <v>11</v>
      </c>
      <c r="AJ1530" s="0" t="n">
        <v>41</v>
      </c>
      <c r="AP1530" s="0" t="n">
        <v>180000</v>
      </c>
      <c r="DB1530" s="0" t="str">
        <f aca="false">IF($A1530="","",IF($AH1530=20,IF(AND(OR($A1530=21,$A1530=215),$AJ1530=10),"①病院一般",IF(AND($A1530=31,$AJ1530=41),"②病院短期","対象外")),IF($AJ1530=30,"③特定消防",IF(AND(OR($A1530=21,$A1530=215),$AJ1530=10),"④一般",IF(AND($A1530=31,$AJ1530=41),"⑤短期","対象外")))))</f>
        <v>⑤短期</v>
      </c>
      <c r="DC1530" s="0" t="n">
        <f aca="false">IF($A1530="","",IF($AB1530&amp;""=設定!$C$4,1,0))</f>
        <v>0</v>
      </c>
    </row>
    <row r="1531" customFormat="false" ht="15" hidden="false" customHeight="false" outlineLevel="0" collapsed="false">
      <c r="A1531" s="0" t="n">
        <v>31</v>
      </c>
      <c r="AA1531" s="0" t="n">
        <v>21</v>
      </c>
      <c r="AB1531" s="0" t="s">
        <v>303</v>
      </c>
      <c r="AD1531" s="0" t="n">
        <v>0</v>
      </c>
      <c r="AE1531" s="0" t="s">
        <v>295</v>
      </c>
      <c r="AH1531" s="0" t="n">
        <v>1</v>
      </c>
      <c r="AJ1531" s="0" t="n">
        <v>41</v>
      </c>
      <c r="AP1531" s="0" t="n">
        <v>200000</v>
      </c>
      <c r="DB1531" s="0" t="str">
        <f aca="false">IF($A1531="","",IF($AH1531=20,IF(AND(OR($A1531=21,$A1531=215),$AJ1531=10),"①病院一般",IF(AND($A1531=31,$AJ1531=41),"②病院短期","対象外")),IF($AJ1531=30,"③特定消防",IF(AND(OR($A1531=21,$A1531=215),$AJ1531=10),"④一般",IF(AND($A1531=31,$AJ1531=41),"⑤短期","対象外")))))</f>
        <v>⑤短期</v>
      </c>
      <c r="DC1531" s="0" t="n">
        <f aca="false">IF($A1531="","",IF($AB1531&amp;""=設定!$C$4,1,0))</f>
        <v>0</v>
      </c>
    </row>
    <row r="1532" customFormat="false" ht="15" hidden="false" customHeight="false" outlineLevel="0" collapsed="false">
      <c r="A1532" s="0" t="n">
        <v>31</v>
      </c>
      <c r="AA1532" s="0" t="n">
        <v>21</v>
      </c>
      <c r="AB1532" s="0" t="s">
        <v>375</v>
      </c>
      <c r="AD1532" s="0" t="n">
        <v>0</v>
      </c>
      <c r="AE1532" s="0" t="s">
        <v>295</v>
      </c>
      <c r="AH1532" s="0" t="n">
        <v>11</v>
      </c>
      <c r="AJ1532" s="0" t="n">
        <v>41</v>
      </c>
      <c r="AP1532" s="0" t="n">
        <v>110000</v>
      </c>
      <c r="DB1532" s="0" t="str">
        <f aca="false">IF($A1532="","",IF($AH1532=20,IF(AND(OR($A1532=21,$A1532=215),$AJ1532=10),"①病院一般",IF(AND($A1532=31,$AJ1532=41),"②病院短期","対象外")),IF($AJ1532=30,"③特定消防",IF(AND(OR($A1532=21,$A1532=215),$AJ1532=10),"④一般",IF(AND($A1532=31,$AJ1532=41),"⑤短期","対象外")))))</f>
        <v>⑤短期</v>
      </c>
      <c r="DC1532" s="0" t="n">
        <f aca="false">IF($A1532="","",IF($AB1532&amp;""=設定!$C$4,1,0))</f>
        <v>0</v>
      </c>
    </row>
    <row r="1533" customFormat="false" ht="15" hidden="false" customHeight="false" outlineLevel="0" collapsed="false">
      <c r="A1533" s="0" t="n">
        <v>31</v>
      </c>
      <c r="AA1533" s="0" t="n">
        <v>21</v>
      </c>
      <c r="AB1533" s="0" t="s">
        <v>319</v>
      </c>
      <c r="AD1533" s="0" t="n">
        <v>0</v>
      </c>
      <c r="AE1533" s="0" t="s">
        <v>295</v>
      </c>
      <c r="AH1533" s="0" t="n">
        <v>11</v>
      </c>
      <c r="AJ1533" s="0" t="n">
        <v>41</v>
      </c>
      <c r="AP1533" s="0" t="n">
        <v>110000</v>
      </c>
      <c r="DB1533" s="0" t="str">
        <f aca="false">IF($A1533="","",IF($AH1533=20,IF(AND(OR($A1533=21,$A1533=215),$AJ1533=10),"①病院一般",IF(AND($A1533=31,$AJ1533=41),"②病院短期","対象外")),IF($AJ1533=30,"③特定消防",IF(AND(OR($A1533=21,$A1533=215),$AJ1533=10),"④一般",IF(AND($A1533=31,$AJ1533=41),"⑤短期","対象外")))))</f>
        <v>⑤短期</v>
      </c>
      <c r="DC1533" s="0" t="n">
        <f aca="false">IF($A1533="","",IF($AB1533&amp;""=設定!$C$4,1,0))</f>
        <v>0</v>
      </c>
    </row>
    <row r="1534" customFormat="false" ht="15" hidden="false" customHeight="false" outlineLevel="0" collapsed="false">
      <c r="A1534" s="0" t="n">
        <v>31</v>
      </c>
      <c r="AA1534" s="0" t="n">
        <v>21</v>
      </c>
      <c r="AB1534" s="0" t="s">
        <v>319</v>
      </c>
      <c r="AD1534" s="0" t="n">
        <v>0</v>
      </c>
      <c r="AE1534" s="0" t="s">
        <v>295</v>
      </c>
      <c r="AH1534" s="0" t="n">
        <v>11</v>
      </c>
      <c r="AJ1534" s="0" t="n">
        <v>41</v>
      </c>
      <c r="AP1534" s="0" t="n">
        <v>110000</v>
      </c>
      <c r="DB1534" s="0" t="str">
        <f aca="false">IF($A1534="","",IF($AH1534=20,IF(AND(OR($A1534=21,$A1534=215),$AJ1534=10),"①病院一般",IF(AND($A1534=31,$AJ1534=41),"②病院短期","対象外")),IF($AJ1534=30,"③特定消防",IF(AND(OR($A1534=21,$A1534=215),$AJ1534=10),"④一般",IF(AND($A1534=31,$AJ1534=41),"⑤短期","対象外")))))</f>
        <v>⑤短期</v>
      </c>
      <c r="DC1534" s="0" t="n">
        <f aca="false">IF($A1534="","",IF($AB1534&amp;""=設定!$C$4,1,0))</f>
        <v>0</v>
      </c>
    </row>
    <row r="1535" customFormat="false" ht="15" hidden="false" customHeight="false" outlineLevel="0" collapsed="false">
      <c r="A1535" s="0" t="n">
        <v>31</v>
      </c>
      <c r="AA1535" s="0" t="n">
        <v>21</v>
      </c>
      <c r="AB1535" s="0" t="s">
        <v>319</v>
      </c>
      <c r="AD1535" s="0" t="n">
        <v>0</v>
      </c>
      <c r="AE1535" s="0" t="s">
        <v>295</v>
      </c>
      <c r="AH1535" s="0" t="n">
        <v>11</v>
      </c>
      <c r="AJ1535" s="0" t="n">
        <v>41</v>
      </c>
      <c r="AP1535" s="0" t="n">
        <v>104000</v>
      </c>
      <c r="DB1535" s="0" t="str">
        <f aca="false">IF($A1535="","",IF($AH1535=20,IF(AND(OR($A1535=21,$A1535=215),$AJ1535=10),"①病院一般",IF(AND($A1535=31,$AJ1535=41),"②病院短期","対象外")),IF($AJ1535=30,"③特定消防",IF(AND(OR($A1535=21,$A1535=215),$AJ1535=10),"④一般",IF(AND($A1535=31,$AJ1535=41),"⑤短期","対象外")))))</f>
        <v>⑤短期</v>
      </c>
      <c r="DC1535" s="0" t="n">
        <f aca="false">IF($A1535="","",IF($AB1535&amp;""=設定!$C$4,1,0))</f>
        <v>0</v>
      </c>
    </row>
    <row r="1536" customFormat="false" ht="15" hidden="false" customHeight="false" outlineLevel="0" collapsed="false">
      <c r="A1536" s="0" t="n">
        <v>31</v>
      </c>
      <c r="AA1536" s="0" t="n">
        <v>21</v>
      </c>
      <c r="AB1536" s="0" t="s">
        <v>303</v>
      </c>
      <c r="AD1536" s="0" t="n">
        <v>0</v>
      </c>
      <c r="AE1536" s="0" t="s">
        <v>295</v>
      </c>
      <c r="AH1536" s="0" t="n">
        <v>1</v>
      </c>
      <c r="AJ1536" s="0" t="n">
        <v>41</v>
      </c>
      <c r="AP1536" s="0" t="n">
        <v>190000</v>
      </c>
      <c r="DB1536" s="0" t="str">
        <f aca="false">IF($A1536="","",IF($AH1536=20,IF(AND(OR($A1536=21,$A1536=215),$AJ1536=10),"①病院一般",IF(AND($A1536=31,$AJ1536=41),"②病院短期","対象外")),IF($AJ1536=30,"③特定消防",IF(AND(OR($A1536=21,$A1536=215),$AJ1536=10),"④一般",IF(AND($A1536=31,$AJ1536=41),"⑤短期","対象外")))))</f>
        <v>⑤短期</v>
      </c>
      <c r="DC1536" s="0" t="n">
        <f aca="false">IF($A1536="","",IF($AB1536&amp;""=設定!$C$4,1,0))</f>
        <v>0</v>
      </c>
    </row>
    <row r="1537" customFormat="false" ht="15" hidden="false" customHeight="false" outlineLevel="0" collapsed="false">
      <c r="A1537" s="0" t="n">
        <v>31</v>
      </c>
      <c r="AA1537" s="0" t="n">
        <v>21</v>
      </c>
      <c r="AB1537" s="0" t="s">
        <v>303</v>
      </c>
      <c r="AD1537" s="0" t="n">
        <v>0</v>
      </c>
      <c r="AE1537" s="0" t="s">
        <v>295</v>
      </c>
      <c r="AH1537" s="0" t="n">
        <v>1</v>
      </c>
      <c r="AJ1537" s="0" t="n">
        <v>41</v>
      </c>
      <c r="AP1537" s="0" t="n">
        <v>190000</v>
      </c>
      <c r="DB1537" s="0" t="str">
        <f aca="false">IF($A1537="","",IF($AH1537=20,IF(AND(OR($A1537=21,$A1537=215),$AJ1537=10),"①病院一般",IF(AND($A1537=31,$AJ1537=41),"②病院短期","対象外")),IF($AJ1537=30,"③特定消防",IF(AND(OR($A1537=21,$A1537=215),$AJ1537=10),"④一般",IF(AND($A1537=31,$AJ1537=41),"⑤短期","対象外")))))</f>
        <v>⑤短期</v>
      </c>
      <c r="DC1537" s="0" t="n">
        <f aca="false">IF($A1537="","",IF($AB1537&amp;""=設定!$C$4,1,0))</f>
        <v>0</v>
      </c>
    </row>
    <row r="1538" customFormat="false" ht="15" hidden="false" customHeight="false" outlineLevel="0" collapsed="false">
      <c r="A1538" s="0" t="n">
        <v>31</v>
      </c>
      <c r="AA1538" s="0" t="n">
        <v>21</v>
      </c>
      <c r="AB1538" s="0" t="s">
        <v>303</v>
      </c>
      <c r="AD1538" s="0" t="n">
        <v>0</v>
      </c>
      <c r="AE1538" s="0" t="s">
        <v>295</v>
      </c>
      <c r="AH1538" s="0" t="n">
        <v>1</v>
      </c>
      <c r="AJ1538" s="0" t="n">
        <v>41</v>
      </c>
      <c r="AP1538" s="0" t="n">
        <v>190000</v>
      </c>
      <c r="DB1538" s="0" t="str">
        <f aca="false">IF($A1538="","",IF($AH1538=20,IF(AND(OR($A1538=21,$A1538=215),$AJ1538=10),"①病院一般",IF(AND($A1538=31,$AJ1538=41),"②病院短期","対象外")),IF($AJ1538=30,"③特定消防",IF(AND(OR($A1538=21,$A1538=215),$AJ1538=10),"④一般",IF(AND($A1538=31,$AJ1538=41),"⑤短期","対象外")))))</f>
        <v>⑤短期</v>
      </c>
      <c r="DC1538" s="0" t="n">
        <f aca="false">IF($A1538="","",IF($AB1538&amp;""=設定!$C$4,1,0))</f>
        <v>0</v>
      </c>
    </row>
    <row r="1539" customFormat="false" ht="15" hidden="false" customHeight="false" outlineLevel="0" collapsed="false">
      <c r="A1539" s="0" t="n">
        <v>31</v>
      </c>
      <c r="AA1539" s="0" t="n">
        <v>21</v>
      </c>
      <c r="AB1539" s="0" t="s">
        <v>303</v>
      </c>
      <c r="AD1539" s="0" t="n">
        <v>0</v>
      </c>
      <c r="AE1539" s="0" t="s">
        <v>295</v>
      </c>
      <c r="AH1539" s="0" t="n">
        <v>1</v>
      </c>
      <c r="AJ1539" s="0" t="n">
        <v>41</v>
      </c>
      <c r="AP1539" s="0" t="n">
        <v>190000</v>
      </c>
      <c r="DB1539" s="0" t="str">
        <f aca="false">IF($A1539="","",IF($AH1539=20,IF(AND(OR($A1539=21,$A1539=215),$AJ1539=10),"①病院一般",IF(AND($A1539=31,$AJ1539=41),"②病院短期","対象外")),IF($AJ1539=30,"③特定消防",IF(AND(OR($A1539=21,$A1539=215),$AJ1539=10),"④一般",IF(AND($A1539=31,$AJ1539=41),"⑤短期","対象外")))))</f>
        <v>⑤短期</v>
      </c>
      <c r="DC1539" s="0" t="n">
        <f aca="false">IF($A1539="","",IF($AB1539&amp;""=設定!$C$4,1,0))</f>
        <v>0</v>
      </c>
    </row>
    <row r="1540" customFormat="false" ht="15" hidden="false" customHeight="false" outlineLevel="0" collapsed="false">
      <c r="A1540" s="0" t="n">
        <v>31</v>
      </c>
      <c r="AA1540" s="0" t="n">
        <v>21</v>
      </c>
      <c r="AB1540" s="0" t="s">
        <v>303</v>
      </c>
      <c r="AD1540" s="0" t="n">
        <v>0</v>
      </c>
      <c r="AE1540" s="0" t="s">
        <v>295</v>
      </c>
      <c r="AH1540" s="0" t="n">
        <v>1</v>
      </c>
      <c r="AJ1540" s="0" t="n">
        <v>41</v>
      </c>
      <c r="AP1540" s="0" t="n">
        <v>200000</v>
      </c>
      <c r="DB1540" s="0" t="str">
        <f aca="false">IF($A1540="","",IF($AH1540=20,IF(AND(OR($A1540=21,$A1540=215),$AJ1540=10),"①病院一般",IF(AND($A1540=31,$AJ1540=41),"②病院短期","対象外")),IF($AJ1540=30,"③特定消防",IF(AND(OR($A1540=21,$A1540=215),$AJ1540=10),"④一般",IF(AND($A1540=31,$AJ1540=41),"⑤短期","対象外")))))</f>
        <v>⑤短期</v>
      </c>
      <c r="DC1540" s="0" t="n">
        <f aca="false">IF($A1540="","",IF($AB1540&amp;""=設定!$C$4,1,0))</f>
        <v>0</v>
      </c>
    </row>
    <row r="1541" customFormat="false" ht="15" hidden="false" customHeight="false" outlineLevel="0" collapsed="false">
      <c r="A1541" s="0" t="n">
        <v>31</v>
      </c>
      <c r="AA1541" s="0" t="n">
        <v>21</v>
      </c>
      <c r="AB1541" s="0" t="s">
        <v>303</v>
      </c>
      <c r="AD1541" s="0" t="n">
        <v>0</v>
      </c>
      <c r="AE1541" s="0" t="s">
        <v>295</v>
      </c>
      <c r="AH1541" s="0" t="n">
        <v>11</v>
      </c>
      <c r="AJ1541" s="0" t="n">
        <v>41</v>
      </c>
      <c r="AP1541" s="0" t="n">
        <v>110000</v>
      </c>
      <c r="DB1541" s="0" t="str">
        <f aca="false">IF($A1541="","",IF($AH1541=20,IF(AND(OR($A1541=21,$A1541=215),$AJ1541=10),"①病院一般",IF(AND($A1541=31,$AJ1541=41),"②病院短期","対象外")),IF($AJ1541=30,"③特定消防",IF(AND(OR($A1541=21,$A1541=215),$AJ1541=10),"④一般",IF(AND($A1541=31,$AJ1541=41),"⑤短期","対象外")))))</f>
        <v>⑤短期</v>
      </c>
      <c r="DC1541" s="0" t="n">
        <f aca="false">IF($A1541="","",IF($AB1541&amp;""=設定!$C$4,1,0))</f>
        <v>0</v>
      </c>
    </row>
    <row r="1542" customFormat="false" ht="15" hidden="false" customHeight="false" outlineLevel="0" collapsed="false">
      <c r="A1542" s="0" t="n">
        <v>31</v>
      </c>
      <c r="AA1542" s="0" t="n">
        <v>21</v>
      </c>
      <c r="AB1542" s="0" t="s">
        <v>303</v>
      </c>
      <c r="AD1542" s="0" t="n">
        <v>0</v>
      </c>
      <c r="AE1542" s="0" t="s">
        <v>295</v>
      </c>
      <c r="AH1542" s="0" t="n">
        <v>11</v>
      </c>
      <c r="AJ1542" s="0" t="n">
        <v>41</v>
      </c>
      <c r="AP1542" s="0" t="n">
        <v>118000</v>
      </c>
      <c r="DB1542" s="0" t="str">
        <f aca="false">IF($A1542="","",IF($AH1542=20,IF(AND(OR($A1542=21,$A1542=215),$AJ1542=10),"①病院一般",IF(AND($A1542=31,$AJ1542=41),"②病院短期","対象外")),IF($AJ1542=30,"③特定消防",IF(AND(OR($A1542=21,$A1542=215),$AJ1542=10),"④一般",IF(AND($A1542=31,$AJ1542=41),"⑤短期","対象外")))))</f>
        <v>⑤短期</v>
      </c>
      <c r="DC1542" s="0" t="n">
        <f aca="false">IF($A1542="","",IF($AB1542&amp;""=設定!$C$4,1,0))</f>
        <v>0</v>
      </c>
    </row>
    <row r="1543" customFormat="false" ht="15" hidden="false" customHeight="false" outlineLevel="0" collapsed="false">
      <c r="A1543" s="0" t="n">
        <v>31</v>
      </c>
      <c r="AA1543" s="0" t="n">
        <v>21</v>
      </c>
      <c r="AB1543" s="0" t="s">
        <v>303</v>
      </c>
      <c r="AD1543" s="0" t="n">
        <v>0</v>
      </c>
      <c r="AE1543" s="0" t="s">
        <v>295</v>
      </c>
      <c r="AH1543" s="0" t="n">
        <v>11</v>
      </c>
      <c r="AJ1543" s="0" t="n">
        <v>41</v>
      </c>
      <c r="AP1543" s="0" t="n">
        <v>150000</v>
      </c>
      <c r="DB1543" s="0" t="str">
        <f aca="false">IF($A1543="","",IF($AH1543=20,IF(AND(OR($A1543=21,$A1543=215),$AJ1543=10),"①病院一般",IF(AND($A1543=31,$AJ1543=41),"②病院短期","対象外")),IF($AJ1543=30,"③特定消防",IF(AND(OR($A1543=21,$A1543=215),$AJ1543=10),"④一般",IF(AND($A1543=31,$AJ1543=41),"⑤短期","対象外")))))</f>
        <v>⑤短期</v>
      </c>
      <c r="DC1543" s="0" t="n">
        <f aca="false">IF($A1543="","",IF($AB1543&amp;""=設定!$C$4,1,0))</f>
        <v>0</v>
      </c>
    </row>
    <row r="1544" customFormat="false" ht="15" hidden="false" customHeight="false" outlineLevel="0" collapsed="false">
      <c r="A1544" s="0" t="n">
        <v>31</v>
      </c>
      <c r="AA1544" s="0" t="n">
        <v>21</v>
      </c>
      <c r="AB1544" s="0" t="s">
        <v>303</v>
      </c>
      <c r="AD1544" s="0" t="n">
        <v>0</v>
      </c>
      <c r="AE1544" s="0" t="s">
        <v>295</v>
      </c>
      <c r="AH1544" s="0" t="n">
        <v>1</v>
      </c>
      <c r="AJ1544" s="0" t="n">
        <v>41</v>
      </c>
      <c r="AP1544" s="0" t="n">
        <v>200000</v>
      </c>
      <c r="DB1544" s="0" t="str">
        <f aca="false">IF($A1544="","",IF($AH1544=20,IF(AND(OR($A1544=21,$A1544=215),$AJ1544=10),"①病院一般",IF(AND($A1544=31,$AJ1544=41),"②病院短期","対象外")),IF($AJ1544=30,"③特定消防",IF(AND(OR($A1544=21,$A1544=215),$AJ1544=10),"④一般",IF(AND($A1544=31,$AJ1544=41),"⑤短期","対象外")))))</f>
        <v>⑤短期</v>
      </c>
      <c r="DC1544" s="0" t="n">
        <f aca="false">IF($A1544="","",IF($AB1544&amp;""=設定!$C$4,1,0))</f>
        <v>0</v>
      </c>
    </row>
    <row r="1545" customFormat="false" ht="15" hidden="false" customHeight="false" outlineLevel="0" collapsed="false">
      <c r="A1545" s="0" t="n">
        <v>31</v>
      </c>
      <c r="AA1545" s="0" t="n">
        <v>21</v>
      </c>
      <c r="AB1545" s="0" t="s">
        <v>303</v>
      </c>
      <c r="AD1545" s="0" t="n">
        <v>0</v>
      </c>
      <c r="AE1545" s="0" t="s">
        <v>295</v>
      </c>
      <c r="AH1545" s="0" t="n">
        <v>1</v>
      </c>
      <c r="AJ1545" s="0" t="n">
        <v>41</v>
      </c>
      <c r="AP1545" s="0" t="n">
        <v>134000</v>
      </c>
      <c r="DB1545" s="0" t="str">
        <f aca="false">IF($A1545="","",IF($AH1545=20,IF(AND(OR($A1545=21,$A1545=215),$AJ1545=10),"①病院一般",IF(AND($A1545=31,$AJ1545=41),"②病院短期","対象外")),IF($AJ1545=30,"③特定消防",IF(AND(OR($A1545=21,$A1545=215),$AJ1545=10),"④一般",IF(AND($A1545=31,$AJ1545=41),"⑤短期","対象外")))))</f>
        <v>⑤短期</v>
      </c>
      <c r="DC1545" s="0" t="n">
        <f aca="false">IF($A1545="","",IF($AB1545&amp;""=設定!$C$4,1,0))</f>
        <v>0</v>
      </c>
    </row>
    <row r="1546" customFormat="false" ht="15" hidden="false" customHeight="false" outlineLevel="0" collapsed="false">
      <c r="A1546" s="0" t="n">
        <v>31</v>
      </c>
      <c r="AA1546" s="0" t="n">
        <v>21</v>
      </c>
      <c r="AB1546" s="0" t="s">
        <v>330</v>
      </c>
      <c r="AD1546" s="0" t="n">
        <v>0</v>
      </c>
      <c r="AE1546" s="0" t="s">
        <v>295</v>
      </c>
      <c r="AH1546" s="0" t="n">
        <v>1</v>
      </c>
      <c r="AJ1546" s="0" t="n">
        <v>41</v>
      </c>
      <c r="AP1546" s="0" t="n">
        <v>126000</v>
      </c>
      <c r="DB1546" s="0" t="str">
        <f aca="false">IF($A1546="","",IF($AH1546=20,IF(AND(OR($A1546=21,$A1546=215),$AJ1546=10),"①病院一般",IF(AND($A1546=31,$AJ1546=41),"②病院短期","対象外")),IF($AJ1546=30,"③特定消防",IF(AND(OR($A1546=21,$A1546=215),$AJ1546=10),"④一般",IF(AND($A1546=31,$AJ1546=41),"⑤短期","対象外")))))</f>
        <v>⑤短期</v>
      </c>
      <c r="DC1546" s="0" t="n">
        <f aca="false">IF($A1546="","",IF($AB1546&amp;""=設定!$C$4,1,0))</f>
        <v>0</v>
      </c>
    </row>
    <row r="1547" customFormat="false" ht="15" hidden="false" customHeight="false" outlineLevel="0" collapsed="false">
      <c r="A1547" s="0" t="n">
        <v>31</v>
      </c>
      <c r="AA1547" s="0" t="n">
        <v>21</v>
      </c>
      <c r="AB1547" s="0" t="s">
        <v>376</v>
      </c>
      <c r="AD1547" s="0" t="n">
        <v>0</v>
      </c>
      <c r="AE1547" s="0" t="s">
        <v>295</v>
      </c>
      <c r="AH1547" s="0" t="n">
        <v>1</v>
      </c>
      <c r="AJ1547" s="0" t="n">
        <v>41</v>
      </c>
      <c r="AP1547" s="0" t="n">
        <v>126000</v>
      </c>
      <c r="DB1547" s="0" t="str">
        <f aca="false">IF($A1547="","",IF($AH1547=20,IF(AND(OR($A1547=21,$A1547=215),$AJ1547=10),"①病院一般",IF(AND($A1547=31,$AJ1547=41),"②病院短期","対象外")),IF($AJ1547=30,"③特定消防",IF(AND(OR($A1547=21,$A1547=215),$AJ1547=10),"④一般",IF(AND($A1547=31,$AJ1547=41),"⑤短期","対象外")))))</f>
        <v>⑤短期</v>
      </c>
      <c r="DC1547" s="0" t="n">
        <f aca="false">IF($A1547="","",IF($AB1547&amp;""=設定!$C$4,1,0))</f>
        <v>0</v>
      </c>
    </row>
    <row r="1548" customFormat="false" ht="15" hidden="false" customHeight="false" outlineLevel="0" collapsed="false">
      <c r="A1548" s="0" t="n">
        <v>31</v>
      </c>
      <c r="AA1548" s="0" t="n">
        <v>21</v>
      </c>
      <c r="AB1548" s="0" t="s">
        <v>303</v>
      </c>
      <c r="AD1548" s="0" t="n">
        <v>0</v>
      </c>
      <c r="AE1548" s="0" t="s">
        <v>295</v>
      </c>
      <c r="AH1548" s="0" t="n">
        <v>1</v>
      </c>
      <c r="AJ1548" s="0" t="n">
        <v>41</v>
      </c>
      <c r="AP1548" s="0" t="n">
        <v>190000</v>
      </c>
      <c r="DB1548" s="0" t="str">
        <f aca="false">IF($A1548="","",IF($AH1548=20,IF(AND(OR($A1548=21,$A1548=215),$AJ1548=10),"①病院一般",IF(AND($A1548=31,$AJ1548=41),"②病院短期","対象外")),IF($AJ1548=30,"③特定消防",IF(AND(OR($A1548=21,$A1548=215),$AJ1548=10),"④一般",IF(AND($A1548=31,$AJ1548=41),"⑤短期","対象外")))))</f>
        <v>⑤短期</v>
      </c>
      <c r="DC1548" s="0" t="n">
        <f aca="false">IF($A1548="","",IF($AB1548&amp;""=設定!$C$4,1,0))</f>
        <v>0</v>
      </c>
    </row>
    <row r="1549" customFormat="false" ht="15" hidden="false" customHeight="false" outlineLevel="0" collapsed="false">
      <c r="A1549" s="0" t="n">
        <v>31</v>
      </c>
      <c r="AA1549" s="0" t="n">
        <v>21</v>
      </c>
      <c r="AB1549" s="0" t="s">
        <v>301</v>
      </c>
      <c r="AD1549" s="0" t="n">
        <v>0</v>
      </c>
      <c r="AE1549" s="0" t="s">
        <v>295</v>
      </c>
      <c r="AH1549" s="0" t="n">
        <v>1</v>
      </c>
      <c r="AJ1549" s="0" t="n">
        <v>41</v>
      </c>
      <c r="AP1549" s="0" t="n">
        <v>200000</v>
      </c>
      <c r="DB1549" s="0" t="str">
        <f aca="false">IF($A1549="","",IF($AH1549=20,IF(AND(OR($A1549=21,$A1549=215),$AJ1549=10),"①病院一般",IF(AND($A1549=31,$AJ1549=41),"②病院短期","対象外")),IF($AJ1549=30,"③特定消防",IF(AND(OR($A1549=21,$A1549=215),$AJ1549=10),"④一般",IF(AND($A1549=31,$AJ1549=41),"⑤短期","対象外")))))</f>
        <v>⑤短期</v>
      </c>
      <c r="DC1549" s="0" t="n">
        <f aca="false">IF($A1549="","",IF($AB1549&amp;""=設定!$C$4,1,0))</f>
        <v>0</v>
      </c>
    </row>
    <row r="1550" customFormat="false" ht="15" hidden="false" customHeight="false" outlineLevel="0" collapsed="false">
      <c r="A1550" s="0" t="n">
        <v>31</v>
      </c>
      <c r="AA1550" s="0" t="n">
        <v>21</v>
      </c>
      <c r="AB1550" s="0" t="s">
        <v>301</v>
      </c>
      <c r="AD1550" s="0" t="n">
        <v>0</v>
      </c>
      <c r="AE1550" s="0" t="s">
        <v>295</v>
      </c>
      <c r="AH1550" s="0" t="n">
        <v>11</v>
      </c>
      <c r="AJ1550" s="0" t="n">
        <v>41</v>
      </c>
      <c r="AP1550" s="0" t="n">
        <v>220000</v>
      </c>
      <c r="DB1550" s="0" t="str">
        <f aca="false">IF($A1550="","",IF($AH1550=20,IF(AND(OR($A1550=21,$A1550=215),$AJ1550=10),"①病院一般",IF(AND($A1550=31,$AJ1550=41),"②病院短期","対象外")),IF($AJ1550=30,"③特定消防",IF(AND(OR($A1550=21,$A1550=215),$AJ1550=10),"④一般",IF(AND($A1550=31,$AJ1550=41),"⑤短期","対象外")))))</f>
        <v>⑤短期</v>
      </c>
      <c r="DC1550" s="0" t="n">
        <f aca="false">IF($A1550="","",IF($AB1550&amp;""=設定!$C$4,1,0))</f>
        <v>0</v>
      </c>
    </row>
    <row r="1551" customFormat="false" ht="15" hidden="false" customHeight="false" outlineLevel="0" collapsed="false">
      <c r="A1551" s="0" t="n">
        <v>31</v>
      </c>
      <c r="AA1551" s="0" t="n">
        <v>21</v>
      </c>
      <c r="AB1551" s="0" t="s">
        <v>301</v>
      </c>
      <c r="AD1551" s="0" t="n">
        <v>0</v>
      </c>
      <c r="AE1551" s="0" t="s">
        <v>295</v>
      </c>
      <c r="AH1551" s="0" t="n">
        <v>11</v>
      </c>
      <c r="AJ1551" s="0" t="n">
        <v>41</v>
      </c>
      <c r="AP1551" s="0" t="n">
        <v>220000</v>
      </c>
      <c r="DB1551" s="0" t="str">
        <f aca="false">IF($A1551="","",IF($AH1551=20,IF(AND(OR($A1551=21,$A1551=215),$AJ1551=10),"①病院一般",IF(AND($A1551=31,$AJ1551=41),"②病院短期","対象外")),IF($AJ1551=30,"③特定消防",IF(AND(OR($A1551=21,$A1551=215),$AJ1551=10),"④一般",IF(AND($A1551=31,$AJ1551=41),"⑤短期","対象外")))))</f>
        <v>⑤短期</v>
      </c>
      <c r="DC1551" s="0" t="n">
        <f aca="false">IF($A1551="","",IF($AB1551&amp;""=設定!$C$4,1,0))</f>
        <v>0</v>
      </c>
    </row>
    <row r="1552" customFormat="false" ht="15" hidden="false" customHeight="false" outlineLevel="0" collapsed="false">
      <c r="A1552" s="0" t="n">
        <v>31</v>
      </c>
      <c r="AA1552" s="0" t="n">
        <v>21</v>
      </c>
      <c r="AB1552" s="0" t="s">
        <v>301</v>
      </c>
      <c r="AD1552" s="0" t="n">
        <v>0</v>
      </c>
      <c r="AE1552" s="0" t="s">
        <v>295</v>
      </c>
      <c r="AH1552" s="0" t="n">
        <v>1</v>
      </c>
      <c r="AJ1552" s="0" t="n">
        <v>41</v>
      </c>
      <c r="AP1552" s="0" t="n">
        <v>200000</v>
      </c>
      <c r="DB1552" s="0" t="str">
        <f aca="false">IF($A1552="","",IF($AH1552=20,IF(AND(OR($A1552=21,$A1552=215),$AJ1552=10),"①病院一般",IF(AND($A1552=31,$AJ1552=41),"②病院短期","対象外")),IF($AJ1552=30,"③特定消防",IF(AND(OR($A1552=21,$A1552=215),$AJ1552=10),"④一般",IF(AND($A1552=31,$AJ1552=41),"⑤短期","対象外")))))</f>
        <v>⑤短期</v>
      </c>
      <c r="DC1552" s="0" t="n">
        <f aca="false">IF($A1552="","",IF($AB1552&amp;""=設定!$C$4,1,0))</f>
        <v>0</v>
      </c>
    </row>
    <row r="1553" customFormat="false" ht="15" hidden="false" customHeight="false" outlineLevel="0" collapsed="false">
      <c r="A1553" s="0" t="n">
        <v>31</v>
      </c>
      <c r="AA1553" s="0" t="n">
        <v>21</v>
      </c>
      <c r="AB1553" s="0" t="s">
        <v>301</v>
      </c>
      <c r="AD1553" s="0" t="n">
        <v>0</v>
      </c>
      <c r="AE1553" s="0" t="s">
        <v>295</v>
      </c>
      <c r="AH1553" s="0" t="n">
        <v>1</v>
      </c>
      <c r="AJ1553" s="0" t="n">
        <v>41</v>
      </c>
      <c r="AP1553" s="0" t="n">
        <v>200000</v>
      </c>
      <c r="DB1553" s="0" t="str">
        <f aca="false">IF($A1553="","",IF($AH1553=20,IF(AND(OR($A1553=21,$A1553=215),$AJ1553=10),"①病院一般",IF(AND($A1553=31,$AJ1553=41),"②病院短期","対象外")),IF($AJ1553=30,"③特定消防",IF(AND(OR($A1553=21,$A1553=215),$AJ1553=10),"④一般",IF(AND($A1553=31,$AJ1553=41),"⑤短期","対象外")))))</f>
        <v>⑤短期</v>
      </c>
      <c r="DC1553" s="0" t="n">
        <f aca="false">IF($A1553="","",IF($AB1553&amp;""=設定!$C$4,1,0))</f>
        <v>0</v>
      </c>
    </row>
    <row r="1554" customFormat="false" ht="15" hidden="false" customHeight="false" outlineLevel="0" collapsed="false">
      <c r="A1554" s="0" t="n">
        <v>31</v>
      </c>
      <c r="AA1554" s="0" t="n">
        <v>21</v>
      </c>
      <c r="AB1554" s="0" t="s">
        <v>301</v>
      </c>
      <c r="AD1554" s="0" t="n">
        <v>0</v>
      </c>
      <c r="AE1554" s="0" t="s">
        <v>295</v>
      </c>
      <c r="AH1554" s="0" t="n">
        <v>1</v>
      </c>
      <c r="AJ1554" s="0" t="n">
        <v>41</v>
      </c>
      <c r="AP1554" s="0" t="n">
        <v>220000</v>
      </c>
      <c r="DB1554" s="0" t="str">
        <f aca="false">IF($A1554="","",IF($AH1554=20,IF(AND(OR($A1554=21,$A1554=215),$AJ1554=10),"①病院一般",IF(AND($A1554=31,$AJ1554=41),"②病院短期","対象外")),IF($AJ1554=30,"③特定消防",IF(AND(OR($A1554=21,$A1554=215),$AJ1554=10),"④一般",IF(AND($A1554=31,$AJ1554=41),"⑤短期","対象外")))))</f>
        <v>⑤短期</v>
      </c>
      <c r="DC1554" s="0" t="n">
        <f aca="false">IF($A1554="","",IF($AB1554&amp;""=設定!$C$4,1,0))</f>
        <v>0</v>
      </c>
    </row>
    <row r="1555" customFormat="false" ht="15" hidden="false" customHeight="false" outlineLevel="0" collapsed="false">
      <c r="A1555" s="0" t="n">
        <v>31</v>
      </c>
      <c r="AA1555" s="0" t="n">
        <v>21</v>
      </c>
      <c r="AB1555" s="0" t="s">
        <v>377</v>
      </c>
      <c r="AD1555" s="0" t="n">
        <v>0</v>
      </c>
      <c r="AE1555" s="0" t="s">
        <v>295</v>
      </c>
      <c r="AH1555" s="0" t="n">
        <v>1</v>
      </c>
      <c r="AJ1555" s="0" t="n">
        <v>41</v>
      </c>
      <c r="AP1555" s="0" t="n">
        <v>126000</v>
      </c>
      <c r="DB1555" s="0" t="str">
        <f aca="false">IF($A1555="","",IF($AH1555=20,IF(AND(OR($A1555=21,$A1555=215),$AJ1555=10),"①病院一般",IF(AND($A1555=31,$AJ1555=41),"②病院短期","対象外")),IF($AJ1555=30,"③特定消防",IF(AND(OR($A1555=21,$A1555=215),$AJ1555=10),"④一般",IF(AND($A1555=31,$AJ1555=41),"⑤短期","対象外")))))</f>
        <v>⑤短期</v>
      </c>
      <c r="DC1555" s="0" t="n">
        <f aca="false">IF($A1555="","",IF($AB1555&amp;""=設定!$C$4,1,0))</f>
        <v>0</v>
      </c>
    </row>
    <row r="1556" customFormat="false" ht="15" hidden="false" customHeight="false" outlineLevel="0" collapsed="false">
      <c r="A1556" s="0" t="n">
        <v>31</v>
      </c>
      <c r="AA1556" s="0" t="n">
        <v>21</v>
      </c>
      <c r="AB1556" s="0" t="s">
        <v>358</v>
      </c>
      <c r="AD1556" s="0" t="n">
        <v>12</v>
      </c>
      <c r="AE1556" s="0" t="s">
        <v>378</v>
      </c>
      <c r="AH1556" s="0" t="n">
        <v>1</v>
      </c>
      <c r="AJ1556" s="0" t="n">
        <v>41</v>
      </c>
      <c r="AP1556" s="0" t="n">
        <v>180000</v>
      </c>
      <c r="DB1556" s="0" t="str">
        <f aca="false">IF($A1556="","",IF($AH1556=20,IF(AND(OR($A1556=21,$A1556=215),$AJ1556=10),"①病院一般",IF(AND($A1556=31,$AJ1556=41),"②病院短期","対象外")),IF($AJ1556=30,"③特定消防",IF(AND(OR($A1556=21,$A1556=215),$AJ1556=10),"④一般",IF(AND($A1556=31,$AJ1556=41),"⑤短期","対象外")))))</f>
        <v>⑤短期</v>
      </c>
      <c r="DC1556" s="0" t="n">
        <f aca="false">IF($A1556="","",IF($AB1556&amp;""=設定!$C$4,1,0))</f>
        <v>0</v>
      </c>
    </row>
    <row r="1557" customFormat="false" ht="15" hidden="false" customHeight="false" outlineLevel="0" collapsed="false">
      <c r="A1557" s="0" t="n">
        <v>31</v>
      </c>
      <c r="AA1557" s="0" t="n">
        <v>21</v>
      </c>
      <c r="AB1557" s="0" t="s">
        <v>301</v>
      </c>
      <c r="AD1557" s="0" t="n">
        <v>0</v>
      </c>
      <c r="AE1557" s="0" t="s">
        <v>295</v>
      </c>
      <c r="AH1557" s="0" t="n">
        <v>1</v>
      </c>
      <c r="AJ1557" s="0" t="n">
        <v>41</v>
      </c>
      <c r="AP1557" s="0" t="n">
        <v>190000</v>
      </c>
      <c r="DB1557" s="0" t="str">
        <f aca="false">IF($A1557="","",IF($AH1557=20,IF(AND(OR($A1557=21,$A1557=215),$AJ1557=10),"①病院一般",IF(AND($A1557=31,$AJ1557=41),"②病院短期","対象外")),IF($AJ1557=30,"③特定消防",IF(AND(OR($A1557=21,$A1557=215),$AJ1557=10),"④一般",IF(AND($A1557=31,$AJ1557=41),"⑤短期","対象外")))))</f>
        <v>⑤短期</v>
      </c>
      <c r="DC1557" s="0" t="n">
        <f aca="false">IF($A1557="","",IF($AB1557&amp;""=設定!$C$4,1,0))</f>
        <v>0</v>
      </c>
    </row>
    <row r="1558" customFormat="false" ht="15" hidden="false" customHeight="false" outlineLevel="0" collapsed="false">
      <c r="A1558" s="0" t="n">
        <v>31</v>
      </c>
      <c r="AA1558" s="0" t="n">
        <v>21</v>
      </c>
      <c r="AB1558" s="0" t="s">
        <v>301</v>
      </c>
      <c r="AD1558" s="0" t="n">
        <v>0</v>
      </c>
      <c r="AE1558" s="0" t="s">
        <v>295</v>
      </c>
      <c r="AH1558" s="0" t="n">
        <v>1</v>
      </c>
      <c r="AJ1558" s="0" t="n">
        <v>41</v>
      </c>
      <c r="AP1558" s="0" t="n">
        <v>260000</v>
      </c>
      <c r="DB1558" s="0" t="str">
        <f aca="false">IF($A1558="","",IF($AH1558=20,IF(AND(OR($A1558=21,$A1558=215),$AJ1558=10),"①病院一般",IF(AND($A1558=31,$AJ1558=41),"②病院短期","対象外")),IF($AJ1558=30,"③特定消防",IF(AND(OR($A1558=21,$A1558=215),$AJ1558=10),"④一般",IF(AND($A1558=31,$AJ1558=41),"⑤短期","対象外")))))</f>
        <v>⑤短期</v>
      </c>
      <c r="DC1558" s="0" t="n">
        <f aca="false">IF($A1558="","",IF($AB1558&amp;""=設定!$C$4,1,0))</f>
        <v>0</v>
      </c>
    </row>
    <row r="1559" customFormat="false" ht="15" hidden="false" customHeight="false" outlineLevel="0" collapsed="false">
      <c r="A1559" s="0" t="n">
        <v>31</v>
      </c>
      <c r="AA1559" s="0" t="n">
        <v>21</v>
      </c>
      <c r="AB1559" s="0" t="s">
        <v>301</v>
      </c>
      <c r="AD1559" s="0" t="n">
        <v>0</v>
      </c>
      <c r="AE1559" s="0" t="s">
        <v>295</v>
      </c>
      <c r="AH1559" s="0" t="n">
        <v>1</v>
      </c>
      <c r="AJ1559" s="0" t="n">
        <v>41</v>
      </c>
      <c r="AP1559" s="0" t="n">
        <v>126000</v>
      </c>
      <c r="DB1559" s="0" t="str">
        <f aca="false">IF($A1559="","",IF($AH1559=20,IF(AND(OR($A1559=21,$A1559=215),$AJ1559=10),"①病院一般",IF(AND($A1559=31,$AJ1559=41),"②病院短期","対象外")),IF($AJ1559=30,"③特定消防",IF(AND(OR($A1559=21,$A1559=215),$AJ1559=10),"④一般",IF(AND($A1559=31,$AJ1559=41),"⑤短期","対象外")))))</f>
        <v>⑤短期</v>
      </c>
      <c r="DC1559" s="0" t="n">
        <f aca="false">IF($A1559="","",IF($AB1559&amp;""=設定!$C$4,1,0))</f>
        <v>0</v>
      </c>
    </row>
    <row r="1560" customFormat="false" ht="15" hidden="false" customHeight="false" outlineLevel="0" collapsed="false">
      <c r="A1560" s="0" t="n">
        <v>31</v>
      </c>
      <c r="AA1560" s="0" t="n">
        <v>21</v>
      </c>
      <c r="AB1560" s="0" t="s">
        <v>379</v>
      </c>
      <c r="AD1560" s="0" t="n">
        <v>0</v>
      </c>
      <c r="AE1560" s="0" t="s">
        <v>295</v>
      </c>
      <c r="AH1560" s="0" t="n">
        <v>11</v>
      </c>
      <c r="AJ1560" s="0" t="n">
        <v>41</v>
      </c>
      <c r="AP1560" s="0" t="n">
        <v>104000</v>
      </c>
      <c r="DB1560" s="0" t="str">
        <f aca="false">IF($A1560="","",IF($AH1560=20,IF(AND(OR($A1560=21,$A1560=215),$AJ1560=10),"①病院一般",IF(AND($A1560=31,$AJ1560=41),"②病院短期","対象外")),IF($AJ1560=30,"③特定消防",IF(AND(OR($A1560=21,$A1560=215),$AJ1560=10),"④一般",IF(AND($A1560=31,$AJ1560=41),"⑤短期","対象外")))))</f>
        <v>⑤短期</v>
      </c>
      <c r="DC1560" s="0" t="n">
        <f aca="false">IF($A1560="","",IF($AB1560&amp;""=設定!$C$4,1,0))</f>
        <v>0</v>
      </c>
    </row>
    <row r="1561" customFormat="false" ht="15" hidden="false" customHeight="false" outlineLevel="0" collapsed="false">
      <c r="A1561" s="0" t="n">
        <v>31</v>
      </c>
      <c r="AA1561" s="0" t="n">
        <v>21</v>
      </c>
      <c r="AB1561" s="0" t="s">
        <v>301</v>
      </c>
      <c r="AD1561" s="0" t="n">
        <v>0</v>
      </c>
      <c r="AE1561" s="0" t="s">
        <v>295</v>
      </c>
      <c r="AH1561" s="0" t="n">
        <v>1</v>
      </c>
      <c r="AJ1561" s="0" t="n">
        <v>41</v>
      </c>
      <c r="AP1561" s="0" t="n">
        <v>260000</v>
      </c>
      <c r="DB1561" s="0" t="str">
        <f aca="false">IF($A1561="","",IF($AH1561=20,IF(AND(OR($A1561=21,$A1561=215),$AJ1561=10),"①病院一般",IF(AND($A1561=31,$AJ1561=41),"②病院短期","対象外")),IF($AJ1561=30,"③特定消防",IF(AND(OR($A1561=21,$A1561=215),$AJ1561=10),"④一般",IF(AND($A1561=31,$AJ1561=41),"⑤短期","対象外")))))</f>
        <v>⑤短期</v>
      </c>
      <c r="DC1561" s="0" t="n">
        <f aca="false">IF($A1561="","",IF($AB1561&amp;""=設定!$C$4,1,0))</f>
        <v>0</v>
      </c>
    </row>
    <row r="1562" customFormat="false" ht="15" hidden="false" customHeight="false" outlineLevel="0" collapsed="false">
      <c r="A1562" s="0" t="n">
        <v>31</v>
      </c>
      <c r="AA1562" s="0" t="n">
        <v>21</v>
      </c>
      <c r="AB1562" s="0" t="s">
        <v>96</v>
      </c>
      <c r="AD1562" s="0" t="n">
        <v>12</v>
      </c>
      <c r="AE1562" s="0" t="s">
        <v>294</v>
      </c>
      <c r="AH1562" s="0" t="n">
        <v>1</v>
      </c>
      <c r="AJ1562" s="0" t="n">
        <v>41</v>
      </c>
      <c r="AP1562" s="0" t="n">
        <v>126000</v>
      </c>
      <c r="DB1562" s="0" t="str">
        <f aca="false">IF($A1562="","",IF($AH1562=20,IF(AND(OR($A1562=21,$A1562=215),$AJ1562=10),"①病院一般",IF(AND($A1562=31,$AJ1562=41),"②病院短期","対象外")),IF($AJ1562=30,"③特定消防",IF(AND(OR($A1562=21,$A1562=215),$AJ1562=10),"④一般",IF(AND($A1562=31,$AJ1562=41),"⑤短期","対象外")))))</f>
        <v>⑤短期</v>
      </c>
      <c r="DC1562" s="0" t="n">
        <f aca="false">IF($A1562="","",IF($AB1562&amp;""=設定!$C$4,1,0))</f>
        <v>1</v>
      </c>
    </row>
    <row r="1563" customFormat="false" ht="15" hidden="false" customHeight="false" outlineLevel="0" collapsed="false">
      <c r="A1563" s="0" t="n">
        <v>31</v>
      </c>
      <c r="AA1563" s="0" t="n">
        <v>21</v>
      </c>
      <c r="AB1563" s="0" t="s">
        <v>296</v>
      </c>
      <c r="AD1563" s="0" t="n">
        <v>0</v>
      </c>
      <c r="AE1563" s="0" t="s">
        <v>295</v>
      </c>
      <c r="AH1563" s="0" t="n">
        <v>1</v>
      </c>
      <c r="AJ1563" s="0" t="n">
        <v>41</v>
      </c>
      <c r="AP1563" s="0" t="n">
        <v>142000</v>
      </c>
      <c r="DB1563" s="0" t="str">
        <f aca="false">IF($A1563="","",IF($AH1563=20,IF(AND(OR($A1563=21,$A1563=215),$AJ1563=10),"①病院一般",IF(AND($A1563=31,$AJ1563=41),"②病院短期","対象外")),IF($AJ1563=30,"③特定消防",IF(AND(OR($A1563=21,$A1563=215),$AJ1563=10),"④一般",IF(AND($A1563=31,$AJ1563=41),"⑤短期","対象外")))))</f>
        <v>⑤短期</v>
      </c>
      <c r="DC1563" s="0" t="n">
        <f aca="false">IF($A1563="","",IF($AB1563&amp;""=設定!$C$4,1,0))</f>
        <v>0</v>
      </c>
    </row>
    <row r="1564" customFormat="false" ht="15" hidden="false" customHeight="false" outlineLevel="0" collapsed="false">
      <c r="A1564" s="0" t="n">
        <v>31</v>
      </c>
      <c r="AA1564" s="0" t="n">
        <v>21</v>
      </c>
      <c r="AB1564" s="0" t="s">
        <v>369</v>
      </c>
      <c r="AD1564" s="0" t="n">
        <v>0</v>
      </c>
      <c r="AE1564" s="0" t="s">
        <v>295</v>
      </c>
      <c r="AH1564" s="0" t="n">
        <v>1</v>
      </c>
      <c r="AJ1564" s="0" t="n">
        <v>41</v>
      </c>
      <c r="AP1564" s="0" t="n">
        <v>110000</v>
      </c>
      <c r="DB1564" s="0" t="str">
        <f aca="false">IF($A1564="","",IF($AH1564=20,IF(AND(OR($A1564=21,$A1564=215),$AJ1564=10),"①病院一般",IF(AND($A1564=31,$AJ1564=41),"②病院短期","対象外")),IF($AJ1564=30,"③特定消防",IF(AND(OR($A1564=21,$A1564=215),$AJ1564=10),"④一般",IF(AND($A1564=31,$AJ1564=41),"⑤短期","対象外")))))</f>
        <v>⑤短期</v>
      </c>
      <c r="DC1564" s="0" t="n">
        <f aca="false">IF($A1564="","",IF($AB1564&amp;""=設定!$C$4,1,0))</f>
        <v>0</v>
      </c>
    </row>
    <row r="1565" customFormat="false" ht="15" hidden="false" customHeight="false" outlineLevel="0" collapsed="false">
      <c r="A1565" s="0" t="n">
        <v>31</v>
      </c>
      <c r="AA1565" s="0" t="n">
        <v>21</v>
      </c>
      <c r="AB1565" s="0" t="s">
        <v>298</v>
      </c>
      <c r="AD1565" s="0" t="n">
        <v>0</v>
      </c>
      <c r="AE1565" s="0" t="s">
        <v>295</v>
      </c>
      <c r="AH1565" s="0" t="n">
        <v>11</v>
      </c>
      <c r="AJ1565" s="0" t="n">
        <v>41</v>
      </c>
      <c r="AP1565" s="0" t="n">
        <v>190000</v>
      </c>
      <c r="DB1565" s="0" t="str">
        <f aca="false">IF($A1565="","",IF($AH1565=20,IF(AND(OR($A1565=21,$A1565=215),$AJ1565=10),"①病院一般",IF(AND($A1565=31,$AJ1565=41),"②病院短期","対象外")),IF($AJ1565=30,"③特定消防",IF(AND(OR($A1565=21,$A1565=215),$AJ1565=10),"④一般",IF(AND($A1565=31,$AJ1565=41),"⑤短期","対象外")))))</f>
        <v>⑤短期</v>
      </c>
      <c r="DC1565" s="0" t="n">
        <f aca="false">IF($A1565="","",IF($AB1565&amp;""=設定!$C$4,1,0))</f>
        <v>0</v>
      </c>
    </row>
    <row r="1566" customFormat="false" ht="15" hidden="false" customHeight="false" outlineLevel="0" collapsed="false">
      <c r="A1566" s="0" t="n">
        <v>31</v>
      </c>
      <c r="AA1566" s="0" t="n">
        <v>21</v>
      </c>
      <c r="AB1566" s="0" t="s">
        <v>363</v>
      </c>
      <c r="AD1566" s="0" t="n">
        <v>12</v>
      </c>
      <c r="AE1566" s="0" t="s">
        <v>301</v>
      </c>
      <c r="AH1566" s="0" t="n">
        <v>1</v>
      </c>
      <c r="AJ1566" s="0" t="n">
        <v>41</v>
      </c>
      <c r="AP1566" s="0" t="n">
        <v>220000</v>
      </c>
      <c r="DB1566" s="0" t="str">
        <f aca="false">IF($A1566="","",IF($AH1566=20,IF(AND(OR($A1566=21,$A1566=215),$AJ1566=10),"①病院一般",IF(AND($A1566=31,$AJ1566=41),"②病院短期","対象外")),IF($AJ1566=30,"③特定消防",IF(AND(OR($A1566=21,$A1566=215),$AJ1566=10),"④一般",IF(AND($A1566=31,$AJ1566=41),"⑤短期","対象外")))))</f>
        <v>⑤短期</v>
      </c>
      <c r="DC1566" s="0" t="n">
        <f aca="false">IF($A1566="","",IF($AB1566&amp;""=設定!$C$4,1,0))</f>
        <v>0</v>
      </c>
    </row>
    <row r="1567" customFormat="false" ht="15" hidden="false" customHeight="false" outlineLevel="0" collapsed="false">
      <c r="A1567" s="0" t="n">
        <v>31</v>
      </c>
      <c r="AA1567" s="0" t="n">
        <v>21</v>
      </c>
      <c r="AB1567" s="0" t="s">
        <v>307</v>
      </c>
      <c r="AD1567" s="0" t="n">
        <v>0</v>
      </c>
      <c r="AE1567" s="0" t="s">
        <v>295</v>
      </c>
      <c r="AH1567" s="0" t="n">
        <v>11</v>
      </c>
      <c r="AJ1567" s="0" t="n">
        <v>41</v>
      </c>
      <c r="AP1567" s="0" t="n">
        <v>98000</v>
      </c>
      <c r="DB1567" s="0" t="str">
        <f aca="false">IF($A1567="","",IF($AH1567=20,IF(AND(OR($A1567=21,$A1567=215),$AJ1567=10),"①病院一般",IF(AND($A1567=31,$AJ1567=41),"②病院短期","対象外")),IF($AJ1567=30,"③特定消防",IF(AND(OR($A1567=21,$A1567=215),$AJ1567=10),"④一般",IF(AND($A1567=31,$AJ1567=41),"⑤短期","対象外")))))</f>
        <v>⑤短期</v>
      </c>
      <c r="DC1567" s="0" t="n">
        <f aca="false">IF($A1567="","",IF($AB1567&amp;""=設定!$C$4,1,0))</f>
        <v>0</v>
      </c>
    </row>
    <row r="1568" customFormat="false" ht="15" hidden="false" customHeight="false" outlineLevel="0" collapsed="false">
      <c r="A1568" s="0" t="n">
        <v>31</v>
      </c>
      <c r="AA1568" s="0" t="n">
        <v>21</v>
      </c>
      <c r="AB1568" s="0" t="s">
        <v>298</v>
      </c>
      <c r="AD1568" s="0" t="n">
        <v>0</v>
      </c>
      <c r="AE1568" s="0" t="s">
        <v>295</v>
      </c>
      <c r="AH1568" s="0" t="n">
        <v>11</v>
      </c>
      <c r="AJ1568" s="0" t="n">
        <v>41</v>
      </c>
      <c r="AP1568" s="0" t="n">
        <v>160000</v>
      </c>
      <c r="DB1568" s="0" t="str">
        <f aca="false">IF($A1568="","",IF($AH1568=20,IF(AND(OR($A1568=21,$A1568=215),$AJ1568=10),"①病院一般",IF(AND($A1568=31,$AJ1568=41),"②病院短期","対象外")),IF($AJ1568=30,"③特定消防",IF(AND(OR($A1568=21,$A1568=215),$AJ1568=10),"④一般",IF(AND($A1568=31,$AJ1568=41),"⑤短期","対象外")))))</f>
        <v>⑤短期</v>
      </c>
      <c r="DC1568" s="0" t="n">
        <f aca="false">IF($A1568="","",IF($AB1568&amp;""=設定!$C$4,1,0))</f>
        <v>0</v>
      </c>
    </row>
    <row r="1569" customFormat="false" ht="15" hidden="false" customHeight="false" outlineLevel="0" collapsed="false">
      <c r="A1569" s="0" t="n">
        <v>31</v>
      </c>
      <c r="AA1569" s="0" t="n">
        <v>21</v>
      </c>
      <c r="AB1569" s="0" t="s">
        <v>380</v>
      </c>
      <c r="AD1569" s="0" t="n">
        <v>0</v>
      </c>
      <c r="AE1569" s="0" t="s">
        <v>295</v>
      </c>
      <c r="AH1569" s="0" t="n">
        <v>1</v>
      </c>
      <c r="AJ1569" s="0" t="n">
        <v>41</v>
      </c>
      <c r="AP1569" s="0" t="n">
        <v>142000</v>
      </c>
      <c r="DB1569" s="0" t="str">
        <f aca="false">IF($A1569="","",IF($AH1569=20,IF(AND(OR($A1569=21,$A1569=215),$AJ1569=10),"①病院一般",IF(AND($A1569=31,$AJ1569=41),"②病院短期","対象外")),IF($AJ1569=30,"③特定消防",IF(AND(OR($A1569=21,$A1569=215),$AJ1569=10),"④一般",IF(AND($A1569=31,$AJ1569=41),"⑤短期","対象外")))))</f>
        <v>⑤短期</v>
      </c>
      <c r="DC1569" s="0" t="n">
        <f aca="false">IF($A1569="","",IF($AB1569&amp;""=設定!$C$4,1,0))</f>
        <v>0</v>
      </c>
    </row>
    <row r="1570" customFormat="false" ht="15" hidden="false" customHeight="false" outlineLevel="0" collapsed="false">
      <c r="A1570" s="0" t="n">
        <v>31</v>
      </c>
      <c r="AA1570" s="0" t="n">
        <v>21</v>
      </c>
      <c r="AB1570" s="0" t="s">
        <v>326</v>
      </c>
      <c r="AD1570" s="0" t="n">
        <v>12</v>
      </c>
      <c r="AE1570" s="0" t="s">
        <v>301</v>
      </c>
      <c r="AH1570" s="0" t="n">
        <v>1</v>
      </c>
      <c r="AJ1570" s="0" t="n">
        <v>41</v>
      </c>
      <c r="AP1570" s="0" t="n">
        <v>160000</v>
      </c>
      <c r="DB1570" s="0" t="str">
        <f aca="false">IF($A1570="","",IF($AH1570=20,IF(AND(OR($A1570=21,$A1570=215),$AJ1570=10),"①病院一般",IF(AND($A1570=31,$AJ1570=41),"②病院短期","対象外")),IF($AJ1570=30,"③特定消防",IF(AND(OR($A1570=21,$A1570=215),$AJ1570=10),"④一般",IF(AND($A1570=31,$AJ1570=41),"⑤短期","対象外")))))</f>
        <v>⑤短期</v>
      </c>
      <c r="DC1570" s="0" t="n">
        <f aca="false">IF($A1570="","",IF($AB1570&amp;""=設定!$C$4,1,0))</f>
        <v>0</v>
      </c>
    </row>
    <row r="1571" customFormat="false" ht="15" hidden="false" customHeight="false" outlineLevel="0" collapsed="false">
      <c r="A1571" s="0" t="n">
        <v>31</v>
      </c>
      <c r="AA1571" s="0" t="n">
        <v>21</v>
      </c>
      <c r="AB1571" s="0" t="s">
        <v>299</v>
      </c>
      <c r="AD1571" s="0" t="n">
        <v>12</v>
      </c>
      <c r="AE1571" s="0" t="s">
        <v>301</v>
      </c>
      <c r="AH1571" s="0" t="n">
        <v>1</v>
      </c>
      <c r="AJ1571" s="0" t="n">
        <v>41</v>
      </c>
      <c r="AP1571" s="0" t="n">
        <v>190000</v>
      </c>
      <c r="DB1571" s="0" t="str">
        <f aca="false">IF($A1571="","",IF($AH1571=20,IF(AND(OR($A1571=21,$A1571=215),$AJ1571=10),"①病院一般",IF(AND($A1571=31,$AJ1571=41),"②病院短期","対象外")),IF($AJ1571=30,"③特定消防",IF(AND(OR($A1571=21,$A1571=215),$AJ1571=10),"④一般",IF(AND($A1571=31,$AJ1571=41),"⑤短期","対象外")))))</f>
        <v>⑤短期</v>
      </c>
      <c r="DC1571" s="0" t="n">
        <f aca="false">IF($A1571="","",IF($AB1571&amp;""=設定!$C$4,1,0))</f>
        <v>0</v>
      </c>
    </row>
    <row r="1572" customFormat="false" ht="15" hidden="false" customHeight="false" outlineLevel="0" collapsed="false">
      <c r="A1572" s="0" t="n">
        <v>31</v>
      </c>
      <c r="AA1572" s="0" t="n">
        <v>21</v>
      </c>
      <c r="AB1572" s="0" t="s">
        <v>303</v>
      </c>
      <c r="AD1572" s="0" t="n">
        <v>0</v>
      </c>
      <c r="AE1572" s="0" t="s">
        <v>295</v>
      </c>
      <c r="AH1572" s="0" t="n">
        <v>1</v>
      </c>
      <c r="AJ1572" s="0" t="n">
        <v>41</v>
      </c>
      <c r="AP1572" s="0" t="n">
        <v>150000</v>
      </c>
      <c r="DB1572" s="0" t="str">
        <f aca="false">IF($A1572="","",IF($AH1572=20,IF(AND(OR($A1572=21,$A1572=215),$AJ1572=10),"①病院一般",IF(AND($A1572=31,$AJ1572=41),"②病院短期","対象外")),IF($AJ1572=30,"③特定消防",IF(AND(OR($A1572=21,$A1572=215),$AJ1572=10),"④一般",IF(AND($A1572=31,$AJ1572=41),"⑤短期","対象外")))))</f>
        <v>⑤短期</v>
      </c>
      <c r="DC1572" s="0" t="n">
        <f aca="false">IF($A1572="","",IF($AB1572&amp;""=設定!$C$4,1,0))</f>
        <v>0</v>
      </c>
    </row>
    <row r="1573" customFormat="false" ht="15" hidden="false" customHeight="false" outlineLevel="0" collapsed="false">
      <c r="A1573" s="0" t="n">
        <v>31</v>
      </c>
      <c r="AA1573" s="0" t="n">
        <v>21</v>
      </c>
      <c r="AB1573" s="0" t="s">
        <v>381</v>
      </c>
      <c r="AD1573" s="0" t="n">
        <v>0</v>
      </c>
      <c r="AE1573" s="0" t="s">
        <v>295</v>
      </c>
      <c r="AH1573" s="0" t="n">
        <v>1</v>
      </c>
      <c r="AJ1573" s="0" t="n">
        <v>41</v>
      </c>
      <c r="AP1573" s="0" t="n">
        <v>134000</v>
      </c>
      <c r="DB1573" s="0" t="str">
        <f aca="false">IF($A1573="","",IF($AH1573=20,IF(AND(OR($A1573=21,$A1573=215),$AJ1573=10),"①病院一般",IF(AND($A1573=31,$AJ1573=41),"②病院短期","対象外")),IF($AJ1573=30,"③特定消防",IF(AND(OR($A1573=21,$A1573=215),$AJ1573=10),"④一般",IF(AND($A1573=31,$AJ1573=41),"⑤短期","対象外")))))</f>
        <v>⑤短期</v>
      </c>
      <c r="DC1573" s="0" t="n">
        <f aca="false">IF($A1573="","",IF($AB1573&amp;""=設定!$C$4,1,0))</f>
        <v>0</v>
      </c>
    </row>
    <row r="1574" customFormat="false" ht="15" hidden="false" customHeight="false" outlineLevel="0" collapsed="false">
      <c r="A1574" s="0" t="n">
        <v>31</v>
      </c>
      <c r="AA1574" s="0" t="n">
        <v>21</v>
      </c>
      <c r="AB1574" s="0" t="s">
        <v>294</v>
      </c>
      <c r="AD1574" s="0" t="n">
        <v>0</v>
      </c>
      <c r="AE1574" s="0" t="s">
        <v>295</v>
      </c>
      <c r="AH1574" s="0" t="n">
        <v>1</v>
      </c>
      <c r="AJ1574" s="0" t="n">
        <v>41</v>
      </c>
      <c r="AP1574" s="0" t="n">
        <v>134000</v>
      </c>
      <c r="DB1574" s="0" t="str">
        <f aca="false">IF($A1574="","",IF($AH1574=20,IF(AND(OR($A1574=21,$A1574=215),$AJ1574=10),"①病院一般",IF(AND($A1574=31,$AJ1574=41),"②病院短期","対象外")),IF($AJ1574=30,"③特定消防",IF(AND(OR($A1574=21,$A1574=215),$AJ1574=10),"④一般",IF(AND($A1574=31,$AJ1574=41),"⑤短期","対象外")))))</f>
        <v>⑤短期</v>
      </c>
      <c r="DC1574" s="0" t="n">
        <f aca="false">IF($A1574="","",IF($AB1574&amp;""=設定!$C$4,1,0))</f>
        <v>0</v>
      </c>
    </row>
    <row r="1575" customFormat="false" ht="15" hidden="false" customHeight="false" outlineLevel="0" collapsed="false">
      <c r="A1575" s="0" t="n">
        <v>31</v>
      </c>
      <c r="AA1575" s="0" t="n">
        <v>21</v>
      </c>
      <c r="AB1575" s="0" t="s">
        <v>301</v>
      </c>
      <c r="AD1575" s="0" t="n">
        <v>0</v>
      </c>
      <c r="AE1575" s="0" t="s">
        <v>295</v>
      </c>
      <c r="AH1575" s="0" t="n">
        <v>1</v>
      </c>
      <c r="AJ1575" s="0" t="n">
        <v>41</v>
      </c>
      <c r="AP1575" s="0" t="n">
        <v>126000</v>
      </c>
      <c r="DB1575" s="0" t="str">
        <f aca="false">IF($A1575="","",IF($AH1575=20,IF(AND(OR($A1575=21,$A1575=215),$AJ1575=10),"①病院一般",IF(AND($A1575=31,$AJ1575=41),"②病院短期","対象外")),IF($AJ1575=30,"③特定消防",IF(AND(OR($A1575=21,$A1575=215),$AJ1575=10),"④一般",IF(AND($A1575=31,$AJ1575=41),"⑤短期","対象外")))))</f>
        <v>⑤短期</v>
      </c>
      <c r="DC1575" s="0" t="n">
        <f aca="false">IF($A1575="","",IF($AB1575&amp;""=設定!$C$4,1,0))</f>
        <v>0</v>
      </c>
    </row>
    <row r="1576" customFormat="false" ht="15" hidden="false" customHeight="false" outlineLevel="0" collapsed="false">
      <c r="A1576" s="0" t="n">
        <v>31</v>
      </c>
      <c r="AA1576" s="0" t="n">
        <v>21</v>
      </c>
      <c r="AB1576" s="0" t="s">
        <v>324</v>
      </c>
      <c r="AD1576" s="0" t="n">
        <v>0</v>
      </c>
      <c r="AE1576" s="0" t="s">
        <v>295</v>
      </c>
      <c r="AH1576" s="0" t="n">
        <v>11</v>
      </c>
      <c r="AJ1576" s="0" t="n">
        <v>41</v>
      </c>
      <c r="AP1576" s="0" t="n">
        <v>240000</v>
      </c>
      <c r="DB1576" s="0" t="str">
        <f aca="false">IF($A1576="","",IF($AH1576=20,IF(AND(OR($A1576=21,$A1576=215),$AJ1576=10),"①病院一般",IF(AND($A1576=31,$AJ1576=41),"②病院短期","対象外")),IF($AJ1576=30,"③特定消防",IF(AND(OR($A1576=21,$A1576=215),$AJ1576=10),"④一般",IF(AND($A1576=31,$AJ1576=41),"⑤短期","対象外")))))</f>
        <v>⑤短期</v>
      </c>
      <c r="DC1576" s="0" t="n">
        <f aca="false">IF($A1576="","",IF($AB1576&amp;""=設定!$C$4,1,0))</f>
        <v>0</v>
      </c>
    </row>
    <row r="1577" customFormat="false" ht="15" hidden="false" customHeight="false" outlineLevel="0" collapsed="false">
      <c r="A1577" s="0" t="n">
        <v>31</v>
      </c>
      <c r="AA1577" s="0" t="n">
        <v>21</v>
      </c>
      <c r="AB1577" s="0" t="s">
        <v>382</v>
      </c>
      <c r="AD1577" s="0" t="n">
        <v>0</v>
      </c>
      <c r="AE1577" s="0" t="s">
        <v>295</v>
      </c>
      <c r="AH1577" s="0" t="n">
        <v>1</v>
      </c>
      <c r="AJ1577" s="0" t="n">
        <v>41</v>
      </c>
      <c r="AP1577" s="0" t="n">
        <v>126000</v>
      </c>
      <c r="DB1577" s="0" t="str">
        <f aca="false">IF($A1577="","",IF($AH1577=20,IF(AND(OR($A1577=21,$A1577=215),$AJ1577=10),"①病院一般",IF(AND($A1577=31,$AJ1577=41),"②病院短期","対象外")),IF($AJ1577=30,"③特定消防",IF(AND(OR($A1577=21,$A1577=215),$AJ1577=10),"④一般",IF(AND($A1577=31,$AJ1577=41),"⑤短期","対象外")))))</f>
        <v>⑤短期</v>
      </c>
      <c r="DC1577" s="0" t="n">
        <f aca="false">IF($A1577="","",IF($AB1577&amp;""=設定!$C$4,1,0))</f>
        <v>0</v>
      </c>
    </row>
    <row r="1578" customFormat="false" ht="15" hidden="false" customHeight="false" outlineLevel="0" collapsed="false">
      <c r="A1578" s="0" t="n">
        <v>31</v>
      </c>
      <c r="AA1578" s="0" t="n">
        <v>21</v>
      </c>
      <c r="AB1578" s="0" t="s">
        <v>303</v>
      </c>
      <c r="AD1578" s="0" t="n">
        <v>0</v>
      </c>
      <c r="AE1578" s="0" t="s">
        <v>295</v>
      </c>
      <c r="AH1578" s="0" t="n">
        <v>1</v>
      </c>
      <c r="AJ1578" s="0" t="n">
        <v>41</v>
      </c>
      <c r="AP1578" s="0" t="n">
        <v>190000</v>
      </c>
      <c r="DB1578" s="0" t="str">
        <f aca="false">IF($A1578="","",IF($AH1578=20,IF(AND(OR($A1578=21,$A1578=215),$AJ1578=10),"①病院一般",IF(AND($A1578=31,$AJ1578=41),"②病院短期","対象外")),IF($AJ1578=30,"③特定消防",IF(AND(OR($A1578=21,$A1578=215),$AJ1578=10),"④一般",IF(AND($A1578=31,$AJ1578=41),"⑤短期","対象外")))))</f>
        <v>⑤短期</v>
      </c>
      <c r="DC1578" s="0" t="n">
        <f aca="false">IF($A1578="","",IF($AB1578&amp;""=設定!$C$4,1,0))</f>
        <v>0</v>
      </c>
    </row>
    <row r="1579" customFormat="false" ht="15" hidden="false" customHeight="false" outlineLevel="0" collapsed="false">
      <c r="A1579" s="0" t="n">
        <v>31</v>
      </c>
      <c r="AA1579" s="0" t="n">
        <v>21</v>
      </c>
      <c r="AB1579" s="0" t="s">
        <v>301</v>
      </c>
      <c r="AD1579" s="0" t="n">
        <v>0</v>
      </c>
      <c r="AE1579" s="0" t="s">
        <v>295</v>
      </c>
      <c r="AH1579" s="0" t="n">
        <v>11</v>
      </c>
      <c r="AJ1579" s="0" t="n">
        <v>41</v>
      </c>
      <c r="AP1579" s="0" t="n">
        <v>142000</v>
      </c>
      <c r="DB1579" s="0" t="str">
        <f aca="false">IF($A1579="","",IF($AH1579=20,IF(AND(OR($A1579=21,$A1579=215),$AJ1579=10),"①病院一般",IF(AND($A1579=31,$AJ1579=41),"②病院短期","対象外")),IF($AJ1579=30,"③特定消防",IF(AND(OR($A1579=21,$A1579=215),$AJ1579=10),"④一般",IF(AND($A1579=31,$AJ1579=41),"⑤短期","対象外")))))</f>
        <v>⑤短期</v>
      </c>
      <c r="DC1579" s="0" t="n">
        <f aca="false">IF($A1579="","",IF($AB1579&amp;""=設定!$C$4,1,0))</f>
        <v>0</v>
      </c>
    </row>
    <row r="1580" customFormat="false" ht="15" hidden="false" customHeight="false" outlineLevel="0" collapsed="false">
      <c r="A1580" s="0" t="n">
        <v>31</v>
      </c>
      <c r="AA1580" s="0" t="n">
        <v>21</v>
      </c>
      <c r="AB1580" s="0" t="s">
        <v>339</v>
      </c>
      <c r="AD1580" s="0" t="n">
        <v>0</v>
      </c>
      <c r="AE1580" s="0" t="s">
        <v>295</v>
      </c>
      <c r="AH1580" s="0" t="n">
        <v>11</v>
      </c>
      <c r="AJ1580" s="0" t="n">
        <v>41</v>
      </c>
      <c r="AP1580" s="0" t="n">
        <v>200000</v>
      </c>
      <c r="DB1580" s="0" t="str">
        <f aca="false">IF($A1580="","",IF($AH1580=20,IF(AND(OR($A1580=21,$A1580=215),$AJ1580=10),"①病院一般",IF(AND($A1580=31,$AJ1580=41),"②病院短期","対象外")),IF($AJ1580=30,"③特定消防",IF(AND(OR($A1580=21,$A1580=215),$AJ1580=10),"④一般",IF(AND($A1580=31,$AJ1580=41),"⑤短期","対象外")))))</f>
        <v>⑤短期</v>
      </c>
      <c r="DC1580" s="0" t="n">
        <f aca="false">IF($A1580="","",IF($AB1580&amp;""=設定!$C$4,1,0))</f>
        <v>0</v>
      </c>
    </row>
    <row r="1581" customFormat="false" ht="15" hidden="false" customHeight="false" outlineLevel="0" collapsed="false">
      <c r="A1581" s="0" t="n">
        <v>31</v>
      </c>
      <c r="AA1581" s="0" t="n">
        <v>21</v>
      </c>
      <c r="AB1581" s="0" t="s">
        <v>301</v>
      </c>
      <c r="AD1581" s="0" t="n">
        <v>0</v>
      </c>
      <c r="AE1581" s="0" t="s">
        <v>295</v>
      </c>
      <c r="AH1581" s="0" t="n">
        <v>1</v>
      </c>
      <c r="AJ1581" s="0" t="n">
        <v>41</v>
      </c>
      <c r="AP1581" s="0" t="n">
        <v>142000</v>
      </c>
      <c r="DB1581" s="0" t="str">
        <f aca="false">IF($A1581="","",IF($AH1581=20,IF(AND(OR($A1581=21,$A1581=215),$AJ1581=10),"①病院一般",IF(AND($A1581=31,$AJ1581=41),"②病院短期","対象外")),IF($AJ1581=30,"③特定消防",IF(AND(OR($A1581=21,$A1581=215),$AJ1581=10),"④一般",IF(AND($A1581=31,$AJ1581=41),"⑤短期","対象外")))))</f>
        <v>⑤短期</v>
      </c>
      <c r="DC1581" s="0" t="n">
        <f aca="false">IF($A1581="","",IF($AB1581&amp;""=設定!$C$4,1,0))</f>
        <v>0</v>
      </c>
    </row>
    <row r="1582" customFormat="false" ht="15" hidden="false" customHeight="false" outlineLevel="0" collapsed="false">
      <c r="A1582" s="0" t="n">
        <v>31</v>
      </c>
      <c r="AA1582" s="0" t="n">
        <v>21</v>
      </c>
      <c r="AB1582" s="0" t="s">
        <v>383</v>
      </c>
      <c r="AD1582" s="0" t="n">
        <v>0</v>
      </c>
      <c r="AE1582" s="0" t="s">
        <v>295</v>
      </c>
      <c r="AH1582" s="0" t="n">
        <v>1</v>
      </c>
      <c r="AJ1582" s="0" t="n">
        <v>41</v>
      </c>
      <c r="AP1582" s="0" t="n">
        <v>260000</v>
      </c>
      <c r="DB1582" s="0" t="str">
        <f aca="false">IF($A1582="","",IF($AH1582=20,IF(AND(OR($A1582=21,$A1582=215),$AJ1582=10),"①病院一般",IF(AND($A1582=31,$AJ1582=41),"②病院短期","対象外")),IF($AJ1582=30,"③特定消防",IF(AND(OR($A1582=21,$A1582=215),$AJ1582=10),"④一般",IF(AND($A1582=31,$AJ1582=41),"⑤短期","対象外")))))</f>
        <v>⑤短期</v>
      </c>
      <c r="DC1582" s="0" t="n">
        <f aca="false">IF($A1582="","",IF($AB1582&amp;""=設定!$C$4,1,0))</f>
        <v>0</v>
      </c>
    </row>
    <row r="1583" customFormat="false" ht="15" hidden="false" customHeight="false" outlineLevel="0" collapsed="false">
      <c r="A1583" s="0" t="n">
        <v>31</v>
      </c>
      <c r="AA1583" s="0" t="n">
        <v>21</v>
      </c>
      <c r="AB1583" s="0" t="s">
        <v>384</v>
      </c>
      <c r="AD1583" s="0" t="n">
        <v>0</v>
      </c>
      <c r="AE1583" s="0" t="s">
        <v>295</v>
      </c>
      <c r="AH1583" s="0" t="n">
        <v>1</v>
      </c>
      <c r="AJ1583" s="0" t="n">
        <v>41</v>
      </c>
      <c r="AP1583" s="0" t="n">
        <v>260000</v>
      </c>
      <c r="DB1583" s="0" t="str">
        <f aca="false">IF($A1583="","",IF($AH1583=20,IF(AND(OR($A1583=21,$A1583=215),$AJ1583=10),"①病院一般",IF(AND($A1583=31,$AJ1583=41),"②病院短期","対象外")),IF($AJ1583=30,"③特定消防",IF(AND(OR($A1583=21,$A1583=215),$AJ1583=10),"④一般",IF(AND($A1583=31,$AJ1583=41),"⑤短期","対象外")))))</f>
        <v>⑤短期</v>
      </c>
      <c r="DC1583" s="0" t="n">
        <f aca="false">IF($A1583="","",IF($AB1583&amp;""=設定!$C$4,1,0))</f>
        <v>0</v>
      </c>
    </row>
    <row r="1584" customFormat="false" ht="15" hidden="false" customHeight="false" outlineLevel="0" collapsed="false">
      <c r="A1584" s="0" t="n">
        <v>31</v>
      </c>
      <c r="AA1584" s="0" t="n">
        <v>21</v>
      </c>
      <c r="AB1584" s="0" t="s">
        <v>383</v>
      </c>
      <c r="AD1584" s="0" t="n">
        <v>0</v>
      </c>
      <c r="AE1584" s="0" t="s">
        <v>295</v>
      </c>
      <c r="AH1584" s="0" t="n">
        <v>1</v>
      </c>
      <c r="AJ1584" s="0" t="n">
        <v>41</v>
      </c>
      <c r="AP1584" s="0" t="n">
        <v>260000</v>
      </c>
      <c r="DB1584" s="0" t="str">
        <f aca="false">IF($A1584="","",IF($AH1584=20,IF(AND(OR($A1584=21,$A1584=215),$AJ1584=10),"①病院一般",IF(AND($A1584=31,$AJ1584=41),"②病院短期","対象外")),IF($AJ1584=30,"③特定消防",IF(AND(OR($A1584=21,$A1584=215),$AJ1584=10),"④一般",IF(AND($A1584=31,$AJ1584=41),"⑤短期","対象外")))))</f>
        <v>⑤短期</v>
      </c>
      <c r="DC1584" s="0" t="n">
        <f aca="false">IF($A1584="","",IF($AB1584&amp;""=設定!$C$4,1,0))</f>
        <v>0</v>
      </c>
    </row>
    <row r="1585" customFormat="false" ht="15" hidden="false" customHeight="false" outlineLevel="0" collapsed="false">
      <c r="A1585" s="0" t="n">
        <v>215</v>
      </c>
      <c r="AA1585" s="0" t="n">
        <v>24</v>
      </c>
      <c r="AB1585" s="0" t="s">
        <v>96</v>
      </c>
      <c r="AD1585" s="0" t="n">
        <v>0</v>
      </c>
      <c r="AE1585" s="0" t="s">
        <v>295</v>
      </c>
      <c r="AH1585" s="0" t="n">
        <v>1</v>
      </c>
      <c r="AJ1585" s="0" t="n">
        <v>10</v>
      </c>
      <c r="AP1585" s="0" t="n">
        <v>300000</v>
      </c>
      <c r="DB1585" s="0" t="str">
        <f aca="false">IF($A1585="","",IF($AH1585=20,IF(AND(OR($A1585=21,$A1585=215),$AJ1585=10),"①病院一般",IF(AND($A1585=31,$AJ1585=41),"②病院短期","対象外")),IF($AJ1585=30,"③特定消防",IF(AND(OR($A1585=21,$A1585=215),$AJ1585=10),"④一般",IF(AND($A1585=31,$AJ1585=41),"⑤短期","対象外")))))</f>
        <v>④一般</v>
      </c>
      <c r="DC1585" s="0" t="n">
        <f aca="false">IF($A1585="","",IF($AB1585&amp;""=設定!$C$4,1,0))</f>
        <v>1</v>
      </c>
    </row>
    <row r="1586" customFormat="false" ht="15" hidden="false" customHeight="false" outlineLevel="0" collapsed="false">
      <c r="A1586" s="0" t="n">
        <v>215</v>
      </c>
      <c r="AA1586" s="0" t="n">
        <v>21</v>
      </c>
      <c r="AB1586" s="0" t="s">
        <v>96</v>
      </c>
      <c r="AD1586" s="0" t="n">
        <v>0</v>
      </c>
      <c r="AE1586" s="0" t="s">
        <v>295</v>
      </c>
      <c r="AH1586" s="0" t="n">
        <v>1</v>
      </c>
      <c r="AJ1586" s="0" t="n">
        <v>10</v>
      </c>
      <c r="AP1586" s="0" t="n">
        <v>320000</v>
      </c>
      <c r="DB1586" s="0" t="str">
        <f aca="false">IF($A1586="","",IF($AH1586=20,IF(AND(OR($A1586=21,$A1586=215),$AJ1586=10),"①病院一般",IF(AND($A1586=31,$AJ1586=41),"②病院短期","対象外")),IF($AJ1586=30,"③特定消防",IF(AND(OR($A1586=21,$A1586=215),$AJ1586=10),"④一般",IF(AND($A1586=31,$AJ1586=41),"⑤短期","対象外")))))</f>
        <v>④一般</v>
      </c>
      <c r="DC1586" s="0" t="n">
        <f aca="false">IF($A1586="","",IF($AB1586&amp;""=設定!$C$4,1,0))</f>
        <v>1</v>
      </c>
    </row>
    <row r="1587" customFormat="false" ht="15" hidden="false" customHeight="false" outlineLevel="0" collapsed="false">
      <c r="A1587" s="0" t="n">
        <v>215</v>
      </c>
      <c r="AA1587" s="0" t="n">
        <v>21</v>
      </c>
      <c r="AB1587" s="0" t="s">
        <v>96</v>
      </c>
      <c r="AD1587" s="0" t="n">
        <v>0</v>
      </c>
      <c r="AE1587" s="0" t="s">
        <v>295</v>
      </c>
      <c r="AH1587" s="0" t="n">
        <v>1</v>
      </c>
      <c r="AJ1587" s="0" t="n">
        <v>10</v>
      </c>
      <c r="AP1587" s="0" t="n">
        <v>340000</v>
      </c>
      <c r="DB1587" s="0" t="str">
        <f aca="false">IF($A1587="","",IF($AH1587=20,IF(AND(OR($A1587=21,$A1587=215),$AJ1587=10),"①病院一般",IF(AND($A1587=31,$AJ1587=41),"②病院短期","対象外")),IF($AJ1587=30,"③特定消防",IF(AND(OR($A1587=21,$A1587=215),$AJ1587=10),"④一般",IF(AND($A1587=31,$AJ1587=41),"⑤短期","対象外")))))</f>
        <v>④一般</v>
      </c>
      <c r="DC1587" s="0" t="n">
        <f aca="false">IF($A1587="","",IF($AB1587&amp;""=設定!$C$4,1,0))</f>
        <v>1</v>
      </c>
    </row>
    <row r="1588" customFormat="false" ht="15" hidden="false" customHeight="false" outlineLevel="0" collapsed="false">
      <c r="A1588" s="0" t="n">
        <v>215</v>
      </c>
      <c r="AA1588" s="0" t="n">
        <v>21</v>
      </c>
      <c r="AB1588" s="0" t="s">
        <v>96</v>
      </c>
      <c r="AD1588" s="0" t="n">
        <v>0</v>
      </c>
      <c r="AE1588" s="0" t="s">
        <v>295</v>
      </c>
      <c r="AH1588" s="0" t="n">
        <v>1</v>
      </c>
      <c r="AJ1588" s="0" t="n">
        <v>10</v>
      </c>
      <c r="AP1588" s="0" t="n">
        <v>300000</v>
      </c>
      <c r="DB1588" s="0" t="str">
        <f aca="false">IF($A1588="","",IF($AH1588=20,IF(AND(OR($A1588=21,$A1588=215),$AJ1588=10),"①病院一般",IF(AND($A1588=31,$AJ1588=41),"②病院短期","対象外")),IF($AJ1588=30,"③特定消防",IF(AND(OR($A1588=21,$A1588=215),$AJ1588=10),"④一般",IF(AND($A1588=31,$AJ1588=41),"⑤短期","対象外")))))</f>
        <v>④一般</v>
      </c>
      <c r="DC1588" s="0" t="n">
        <f aca="false">IF($A1588="","",IF($AB1588&amp;""=設定!$C$4,1,0))</f>
        <v>1</v>
      </c>
    </row>
    <row r="1589" customFormat="false" ht="15" hidden="false" customHeight="false" outlineLevel="0" collapsed="false">
      <c r="A1589" s="0" t="n">
        <v>215</v>
      </c>
      <c r="AA1589" s="0" t="n">
        <v>21</v>
      </c>
      <c r="AB1589" s="0" t="s">
        <v>96</v>
      </c>
      <c r="AD1589" s="0" t="n">
        <v>0</v>
      </c>
      <c r="AE1589" s="0" t="s">
        <v>295</v>
      </c>
      <c r="AH1589" s="0" t="n">
        <v>1</v>
      </c>
      <c r="AJ1589" s="0" t="n">
        <v>10</v>
      </c>
      <c r="AP1589" s="0" t="n">
        <v>340000</v>
      </c>
      <c r="DB1589" s="0" t="str">
        <f aca="false">IF($A1589="","",IF($AH1589=20,IF(AND(OR($A1589=21,$A1589=215),$AJ1589=10),"①病院一般",IF(AND($A1589=31,$AJ1589=41),"②病院短期","対象外")),IF($AJ1589=30,"③特定消防",IF(AND(OR($A1589=21,$A1589=215),$AJ1589=10),"④一般",IF(AND($A1589=31,$AJ1589=41),"⑤短期","対象外")))))</f>
        <v>④一般</v>
      </c>
      <c r="DC1589" s="0" t="n">
        <f aca="false">IF($A1589="","",IF($AB1589&amp;""=設定!$C$4,1,0))</f>
        <v>1</v>
      </c>
    </row>
    <row r="1590" customFormat="false" ht="15" hidden="false" customHeight="false" outlineLevel="0" collapsed="false">
      <c r="A1590" s="0" t="n">
        <v>215</v>
      </c>
      <c r="AA1590" s="0" t="n">
        <v>21</v>
      </c>
      <c r="AB1590" s="0" t="s">
        <v>96</v>
      </c>
      <c r="AD1590" s="0" t="n">
        <v>0</v>
      </c>
      <c r="AE1590" s="0" t="s">
        <v>295</v>
      </c>
      <c r="AH1590" s="0" t="n">
        <v>1</v>
      </c>
      <c r="AJ1590" s="0" t="n">
        <v>10</v>
      </c>
      <c r="AP1590" s="0" t="n">
        <v>300000</v>
      </c>
      <c r="DB1590" s="0" t="str">
        <f aca="false">IF($A1590="","",IF($AH1590=20,IF(AND(OR($A1590=21,$A1590=215),$AJ1590=10),"①病院一般",IF(AND($A1590=31,$AJ1590=41),"②病院短期","対象外")),IF($AJ1590=30,"③特定消防",IF(AND(OR($A1590=21,$A1590=215),$AJ1590=10),"④一般",IF(AND($A1590=31,$AJ1590=41),"⑤短期","対象外")))))</f>
        <v>④一般</v>
      </c>
      <c r="DC1590" s="0" t="n">
        <f aca="false">IF($A1590="","",IF($AB1590&amp;""=設定!$C$4,1,0))</f>
        <v>1</v>
      </c>
    </row>
    <row r="1591" customFormat="false" ht="15" hidden="false" customHeight="false" outlineLevel="0" collapsed="false">
      <c r="A1591" s="0" t="n">
        <v>215</v>
      </c>
      <c r="AA1591" s="0" t="n">
        <v>21</v>
      </c>
      <c r="AB1591" s="0" t="s">
        <v>96</v>
      </c>
      <c r="AD1591" s="0" t="n">
        <v>0</v>
      </c>
      <c r="AE1591" s="0" t="s">
        <v>295</v>
      </c>
      <c r="AH1591" s="0" t="n">
        <v>1</v>
      </c>
      <c r="AJ1591" s="0" t="n">
        <v>10</v>
      </c>
      <c r="AP1591" s="0" t="n">
        <v>300000</v>
      </c>
      <c r="DB1591" s="0" t="str">
        <f aca="false">IF($A1591="","",IF($AH1591=20,IF(AND(OR($A1591=21,$A1591=215),$AJ1591=10),"①病院一般",IF(AND($A1591=31,$AJ1591=41),"②病院短期","対象外")),IF($AJ1591=30,"③特定消防",IF(AND(OR($A1591=21,$A1591=215),$AJ1591=10),"④一般",IF(AND($A1591=31,$AJ1591=41),"⑤短期","対象外")))))</f>
        <v>④一般</v>
      </c>
      <c r="DC1591" s="0" t="n">
        <f aca="false">IF($A1591="","",IF($AB1591&amp;""=設定!$C$4,1,0))</f>
        <v>1</v>
      </c>
    </row>
    <row r="1592" customFormat="false" ht="15" hidden="false" customHeight="false" outlineLevel="0" collapsed="false">
      <c r="A1592" s="0" t="n">
        <v>215</v>
      </c>
      <c r="AA1592" s="0" t="n">
        <v>21</v>
      </c>
      <c r="AB1592" s="0" t="s">
        <v>96</v>
      </c>
      <c r="AD1592" s="0" t="n">
        <v>0</v>
      </c>
      <c r="AE1592" s="0" t="s">
        <v>295</v>
      </c>
      <c r="AH1592" s="0" t="n">
        <v>1</v>
      </c>
      <c r="AJ1592" s="0" t="n">
        <v>10</v>
      </c>
      <c r="AP1592" s="0" t="n">
        <v>280000</v>
      </c>
      <c r="DB1592" s="0" t="str">
        <f aca="false">IF($A1592="","",IF($AH1592=20,IF(AND(OR($A1592=21,$A1592=215),$AJ1592=10),"①病院一般",IF(AND($A1592=31,$AJ1592=41),"②病院短期","対象外")),IF($AJ1592=30,"③特定消防",IF(AND(OR($A1592=21,$A1592=215),$AJ1592=10),"④一般",IF(AND($A1592=31,$AJ1592=41),"⑤短期","対象外")))))</f>
        <v>④一般</v>
      </c>
      <c r="DC1592" s="0" t="n">
        <f aca="false">IF($A1592="","",IF($AB1592&amp;""=設定!$C$4,1,0))</f>
        <v>1</v>
      </c>
    </row>
    <row r="1593" customFormat="false" ht="15" hidden="false" customHeight="false" outlineLevel="0" collapsed="false">
      <c r="A1593" s="0" t="n">
        <v>215</v>
      </c>
      <c r="AA1593" s="0" t="n">
        <v>21</v>
      </c>
      <c r="AB1593" s="0" t="s">
        <v>96</v>
      </c>
      <c r="AD1593" s="0" t="n">
        <v>0</v>
      </c>
      <c r="AE1593" s="0" t="s">
        <v>295</v>
      </c>
      <c r="AH1593" s="0" t="n">
        <v>1</v>
      </c>
      <c r="AJ1593" s="0" t="n">
        <v>10</v>
      </c>
      <c r="AP1593" s="0" t="n">
        <v>300000</v>
      </c>
      <c r="DB1593" s="0" t="str">
        <f aca="false">IF($A1593="","",IF($AH1593=20,IF(AND(OR($A1593=21,$A1593=215),$AJ1593=10),"①病院一般",IF(AND($A1593=31,$AJ1593=41),"②病院短期","対象外")),IF($AJ1593=30,"③特定消防",IF(AND(OR($A1593=21,$A1593=215),$AJ1593=10),"④一般",IF(AND($A1593=31,$AJ1593=41),"⑤短期","対象外")))))</f>
        <v>④一般</v>
      </c>
      <c r="DC1593" s="0" t="n">
        <f aca="false">IF($A1593="","",IF($AB1593&amp;""=設定!$C$4,1,0))</f>
        <v>1</v>
      </c>
    </row>
    <row r="1594" customFormat="false" ht="15" hidden="false" customHeight="false" outlineLevel="0" collapsed="false">
      <c r="A1594" s="0" t="n">
        <v>215</v>
      </c>
      <c r="AA1594" s="0" t="n">
        <v>21</v>
      </c>
      <c r="AB1594" s="0" t="s">
        <v>96</v>
      </c>
      <c r="AD1594" s="0" t="n">
        <v>0</v>
      </c>
      <c r="AE1594" s="0" t="s">
        <v>295</v>
      </c>
      <c r="AH1594" s="0" t="n">
        <v>1</v>
      </c>
      <c r="AJ1594" s="0" t="n">
        <v>10</v>
      </c>
      <c r="AP1594" s="0" t="n">
        <v>300000</v>
      </c>
      <c r="DB1594" s="0" t="str">
        <f aca="false">IF($A1594="","",IF($AH1594=20,IF(AND(OR($A1594=21,$A1594=215),$AJ1594=10),"①病院一般",IF(AND($A1594=31,$AJ1594=41),"②病院短期","対象外")),IF($AJ1594=30,"③特定消防",IF(AND(OR($A1594=21,$A1594=215),$AJ1594=10),"④一般",IF(AND($A1594=31,$AJ1594=41),"⑤短期","対象外")))))</f>
        <v>④一般</v>
      </c>
      <c r="DC1594" s="0" t="n">
        <f aca="false">IF($A1594="","",IF($AB1594&amp;""=設定!$C$4,1,0))</f>
        <v>1</v>
      </c>
    </row>
    <row r="1595" customFormat="false" ht="15" hidden="false" customHeight="false" outlineLevel="0" collapsed="false">
      <c r="A1595" s="0" t="n">
        <v>215</v>
      </c>
      <c r="AA1595" s="0" t="n">
        <v>21</v>
      </c>
      <c r="AB1595" s="0" t="s">
        <v>96</v>
      </c>
      <c r="AD1595" s="0" t="n">
        <v>0</v>
      </c>
      <c r="AE1595" s="0" t="s">
        <v>295</v>
      </c>
      <c r="AH1595" s="0" t="n">
        <v>5</v>
      </c>
      <c r="AJ1595" s="0" t="n">
        <v>30</v>
      </c>
      <c r="AP1595" s="0" t="n">
        <v>280000</v>
      </c>
      <c r="DB1595" s="0" t="str">
        <f aca="false">IF($A1595="","",IF($AH1595=20,IF(AND(OR($A1595=21,$A1595=215),$AJ1595=10),"①病院一般",IF(AND($A1595=31,$AJ1595=41),"②病院短期","対象外")),IF($AJ1595=30,"③特定消防",IF(AND(OR($A1595=21,$A1595=215),$AJ1595=10),"④一般",IF(AND($A1595=31,$AJ1595=41),"⑤短期","対象外")))))</f>
        <v>③特定消防</v>
      </c>
      <c r="DC1595" s="0" t="n">
        <f aca="false">IF($A1595="","",IF($AB1595&amp;""=設定!$C$4,1,0))</f>
        <v>1</v>
      </c>
    </row>
    <row r="1596" customFormat="false" ht="15" hidden="false" customHeight="false" outlineLevel="0" collapsed="false">
      <c r="A1596" s="0" t="n">
        <v>215</v>
      </c>
      <c r="AA1596" s="0" t="n">
        <v>21</v>
      </c>
      <c r="AB1596" s="0" t="s">
        <v>96</v>
      </c>
      <c r="AD1596" s="0" t="n">
        <v>0</v>
      </c>
      <c r="AE1596" s="0" t="s">
        <v>295</v>
      </c>
      <c r="AH1596" s="0" t="n">
        <v>5</v>
      </c>
      <c r="AJ1596" s="0" t="n">
        <v>30</v>
      </c>
      <c r="AP1596" s="0" t="n">
        <v>320000</v>
      </c>
      <c r="DB1596" s="0" t="str">
        <f aca="false">IF($A1596="","",IF($AH1596=20,IF(AND(OR($A1596=21,$A1596=215),$AJ1596=10),"①病院一般",IF(AND($A1596=31,$AJ1596=41),"②病院短期","対象外")),IF($AJ1596=30,"③特定消防",IF(AND(OR($A1596=21,$A1596=215),$AJ1596=10),"④一般",IF(AND($A1596=31,$AJ1596=41),"⑤短期","対象外")))))</f>
        <v>③特定消防</v>
      </c>
      <c r="DC1596" s="0" t="n">
        <f aca="false">IF($A1596="","",IF($AB1596&amp;""=設定!$C$4,1,0))</f>
        <v>1</v>
      </c>
    </row>
    <row r="1597" customFormat="false" ht="15" hidden="false" customHeight="false" outlineLevel="0" collapsed="false">
      <c r="A1597" s="0" t="n">
        <v>215</v>
      </c>
      <c r="AA1597" s="0" t="n">
        <v>21</v>
      </c>
      <c r="AB1597" s="0" t="s">
        <v>96</v>
      </c>
      <c r="AD1597" s="0" t="n">
        <v>0</v>
      </c>
      <c r="AE1597" s="0" t="s">
        <v>295</v>
      </c>
      <c r="AH1597" s="0" t="n">
        <v>5</v>
      </c>
      <c r="AJ1597" s="0" t="n">
        <v>30</v>
      </c>
      <c r="AP1597" s="0" t="n">
        <v>340000</v>
      </c>
      <c r="DB1597" s="0" t="str">
        <f aca="false">IF($A1597="","",IF($AH1597=20,IF(AND(OR($A1597=21,$A1597=215),$AJ1597=10),"①病院一般",IF(AND($A1597=31,$AJ1597=41),"②病院短期","対象外")),IF($AJ1597=30,"③特定消防",IF(AND(OR($A1597=21,$A1597=215),$AJ1597=10),"④一般",IF(AND($A1597=31,$AJ1597=41),"⑤短期","対象外")))))</f>
        <v>③特定消防</v>
      </c>
      <c r="DC1597" s="0" t="n">
        <f aca="false">IF($A1597="","",IF($AB1597&amp;""=設定!$C$4,1,0))</f>
        <v>1</v>
      </c>
    </row>
    <row r="1598" customFormat="false" ht="15" hidden="false" customHeight="false" outlineLevel="0" collapsed="false">
      <c r="A1598" s="0" t="n">
        <v>215</v>
      </c>
      <c r="AA1598" s="0" t="n">
        <v>21</v>
      </c>
      <c r="AB1598" s="0" t="s">
        <v>96</v>
      </c>
      <c r="AD1598" s="0" t="n">
        <v>0</v>
      </c>
      <c r="AE1598" s="0" t="s">
        <v>295</v>
      </c>
      <c r="AH1598" s="0" t="n">
        <v>4</v>
      </c>
      <c r="AJ1598" s="0" t="n">
        <v>10</v>
      </c>
      <c r="AP1598" s="0" t="n">
        <v>300000</v>
      </c>
      <c r="DB1598" s="0" t="str">
        <f aca="false">IF($A1598="","",IF($AH1598=20,IF(AND(OR($A1598=21,$A1598=215),$AJ1598=10),"①病院一般",IF(AND($A1598=31,$AJ1598=41),"②病院短期","対象外")),IF($AJ1598=30,"③特定消防",IF(AND(OR($A1598=21,$A1598=215),$AJ1598=10),"④一般",IF(AND($A1598=31,$AJ1598=41),"⑤短期","対象外")))))</f>
        <v>④一般</v>
      </c>
      <c r="DC1598" s="0" t="n">
        <f aca="false">IF($A1598="","",IF($AB1598&amp;""=設定!$C$4,1,0))</f>
        <v>1</v>
      </c>
    </row>
    <row r="1599" customFormat="false" ht="15" hidden="false" customHeight="false" outlineLevel="0" collapsed="false">
      <c r="A1599" s="0" t="n">
        <v>215</v>
      </c>
      <c r="AA1599" s="0" t="n">
        <v>21</v>
      </c>
      <c r="AB1599" s="0" t="s">
        <v>96</v>
      </c>
      <c r="AD1599" s="0" t="n">
        <v>0</v>
      </c>
      <c r="AE1599" s="0" t="s">
        <v>295</v>
      </c>
      <c r="AH1599" s="0" t="n">
        <v>11</v>
      </c>
      <c r="AJ1599" s="0" t="n">
        <v>10</v>
      </c>
      <c r="AP1599" s="0" t="n">
        <v>280000</v>
      </c>
      <c r="DB1599" s="0" t="str">
        <f aca="false">IF($A1599="","",IF($AH1599=20,IF(AND(OR($A1599=21,$A1599=215),$AJ1599=10),"①病院一般",IF(AND($A1599=31,$AJ1599=41),"②病院短期","対象外")),IF($AJ1599=30,"③特定消防",IF(AND(OR($A1599=21,$A1599=215),$AJ1599=10),"④一般",IF(AND($A1599=31,$AJ1599=41),"⑤短期","対象外")))))</f>
        <v>④一般</v>
      </c>
      <c r="DC1599" s="0" t="n">
        <f aca="false">IF($A1599="","",IF($AB1599&amp;""=設定!$C$4,1,0))</f>
        <v>1</v>
      </c>
    </row>
    <row r="1600" customFormat="false" ht="15" hidden="false" customHeight="false" outlineLevel="0" collapsed="false">
      <c r="A1600" s="0" t="n">
        <v>215</v>
      </c>
      <c r="AA1600" s="0" t="n">
        <v>21</v>
      </c>
      <c r="AB1600" s="0" t="s">
        <v>96</v>
      </c>
      <c r="AD1600" s="0" t="n">
        <v>0</v>
      </c>
      <c r="AE1600" s="0" t="s">
        <v>295</v>
      </c>
      <c r="AH1600" s="0" t="n">
        <v>1</v>
      </c>
      <c r="AJ1600" s="0" t="n">
        <v>10</v>
      </c>
      <c r="AP1600" s="0" t="n">
        <v>320000</v>
      </c>
      <c r="DB1600" s="0" t="str">
        <f aca="false">IF($A1600="","",IF($AH1600=20,IF(AND(OR($A1600=21,$A1600=215),$AJ1600=10),"①病院一般",IF(AND($A1600=31,$AJ1600=41),"②病院短期","対象外")),IF($AJ1600=30,"③特定消防",IF(AND(OR($A1600=21,$A1600=215),$AJ1600=10),"④一般",IF(AND($A1600=31,$AJ1600=41),"⑤短期","対象外")))))</f>
        <v>④一般</v>
      </c>
      <c r="DC1600" s="0" t="n">
        <f aca="false">IF($A1600="","",IF($AB1600&amp;""=設定!$C$4,1,0))</f>
        <v>1</v>
      </c>
    </row>
    <row r="1601" customFormat="false" ht="15" hidden="false" customHeight="false" outlineLevel="0" collapsed="false">
      <c r="A1601" s="0" t="n">
        <v>215</v>
      </c>
      <c r="AA1601" s="0" t="n">
        <v>21</v>
      </c>
      <c r="AB1601" s="0" t="s">
        <v>96</v>
      </c>
      <c r="AD1601" s="0" t="n">
        <v>0</v>
      </c>
      <c r="AE1601" s="0" t="s">
        <v>295</v>
      </c>
      <c r="AH1601" s="0" t="n">
        <v>20</v>
      </c>
      <c r="AJ1601" s="0" t="n">
        <v>10</v>
      </c>
      <c r="AP1601" s="0" t="n">
        <v>380000</v>
      </c>
      <c r="DB1601" s="0" t="str">
        <f aca="false">IF($A1601="","",IF($AH1601=20,IF(AND(OR($A1601=21,$A1601=215),$AJ1601=10),"①病院一般",IF(AND($A1601=31,$AJ1601=41),"②病院短期","対象外")),IF($AJ1601=30,"③特定消防",IF(AND(OR($A1601=21,$A1601=215),$AJ1601=10),"④一般",IF(AND($A1601=31,$AJ1601=41),"⑤短期","対象外")))))</f>
        <v>①病院一般</v>
      </c>
      <c r="DC1601" s="0" t="n">
        <f aca="false">IF($A1601="","",IF($AB1601&amp;""=設定!$C$4,1,0))</f>
        <v>1</v>
      </c>
    </row>
    <row r="1602" customFormat="false" ht="15" hidden="false" customHeight="false" outlineLevel="0" collapsed="false">
      <c r="A1602" s="0" t="n">
        <v>215</v>
      </c>
      <c r="AA1602" s="0" t="n">
        <v>21</v>
      </c>
      <c r="AB1602" s="0" t="s">
        <v>96</v>
      </c>
      <c r="AD1602" s="0" t="n">
        <v>0</v>
      </c>
      <c r="AE1602" s="0" t="s">
        <v>295</v>
      </c>
      <c r="AH1602" s="0" t="n">
        <v>5</v>
      </c>
      <c r="AJ1602" s="0" t="n">
        <v>30</v>
      </c>
      <c r="AP1602" s="0" t="n">
        <v>300000</v>
      </c>
      <c r="DB1602" s="0" t="str">
        <f aca="false">IF($A1602="","",IF($AH1602=20,IF(AND(OR($A1602=21,$A1602=215),$AJ1602=10),"①病院一般",IF(AND($A1602=31,$AJ1602=41),"②病院短期","対象外")),IF($AJ1602=30,"③特定消防",IF(AND(OR($A1602=21,$A1602=215),$AJ1602=10),"④一般",IF(AND($A1602=31,$AJ1602=41),"⑤短期","対象外")))))</f>
        <v>③特定消防</v>
      </c>
      <c r="DC1602" s="0" t="n">
        <f aca="false">IF($A1602="","",IF($AB1602&amp;""=設定!$C$4,1,0))</f>
        <v>1</v>
      </c>
    </row>
    <row r="1603" customFormat="false" ht="15" hidden="false" customHeight="false" outlineLevel="0" collapsed="false">
      <c r="A1603" s="0" t="n">
        <v>215</v>
      </c>
      <c r="AA1603" s="0" t="n">
        <v>21</v>
      </c>
      <c r="AB1603" s="0" t="s">
        <v>96</v>
      </c>
      <c r="AD1603" s="0" t="n">
        <v>0</v>
      </c>
      <c r="AE1603" s="0" t="s">
        <v>295</v>
      </c>
      <c r="AH1603" s="0" t="n">
        <v>5</v>
      </c>
      <c r="AJ1603" s="0" t="n">
        <v>30</v>
      </c>
      <c r="AP1603" s="0" t="n">
        <v>300000</v>
      </c>
      <c r="DB1603" s="0" t="str">
        <f aca="false">IF($A1603="","",IF($AH1603=20,IF(AND(OR($A1603=21,$A1603=215),$AJ1603=10),"①病院一般",IF(AND($A1603=31,$AJ1603=41),"②病院短期","対象外")),IF($AJ1603=30,"③特定消防",IF(AND(OR($A1603=21,$A1603=215),$AJ1603=10),"④一般",IF(AND($A1603=31,$AJ1603=41),"⑤短期","対象外")))))</f>
        <v>③特定消防</v>
      </c>
      <c r="DC1603" s="0" t="n">
        <f aca="false">IF($A1603="","",IF($AB1603&amp;""=設定!$C$4,1,0))</f>
        <v>1</v>
      </c>
    </row>
    <row r="1604" customFormat="false" ht="15" hidden="false" customHeight="false" outlineLevel="0" collapsed="false">
      <c r="A1604" s="0" t="n">
        <v>215</v>
      </c>
      <c r="AA1604" s="0" t="n">
        <v>21</v>
      </c>
      <c r="AB1604" s="0" t="s">
        <v>96</v>
      </c>
      <c r="AD1604" s="0" t="n">
        <v>0</v>
      </c>
      <c r="AE1604" s="0" t="s">
        <v>295</v>
      </c>
      <c r="AH1604" s="0" t="n">
        <v>5</v>
      </c>
      <c r="AJ1604" s="0" t="n">
        <v>30</v>
      </c>
      <c r="AP1604" s="0" t="n">
        <v>320000</v>
      </c>
      <c r="DB1604" s="0" t="str">
        <f aca="false">IF($A1604="","",IF($AH1604=20,IF(AND(OR($A1604=21,$A1604=215),$AJ1604=10),"①病院一般",IF(AND($A1604=31,$AJ1604=41),"②病院短期","対象外")),IF($AJ1604=30,"③特定消防",IF(AND(OR($A1604=21,$A1604=215),$AJ1604=10),"④一般",IF(AND($A1604=31,$AJ1604=41),"⑤短期","対象外")))))</f>
        <v>③特定消防</v>
      </c>
      <c r="DC1604" s="0" t="n">
        <f aca="false">IF($A1604="","",IF($AB1604&amp;""=設定!$C$4,1,0))</f>
        <v>1</v>
      </c>
    </row>
    <row r="1605" customFormat="false" ht="15" hidden="false" customHeight="false" outlineLevel="0" collapsed="false">
      <c r="A1605" s="0" t="n">
        <v>215</v>
      </c>
      <c r="AA1605" s="0" t="n">
        <v>21</v>
      </c>
      <c r="AB1605" s="0" t="s">
        <v>96</v>
      </c>
      <c r="AD1605" s="0" t="n">
        <v>0</v>
      </c>
      <c r="AE1605" s="0" t="s">
        <v>295</v>
      </c>
      <c r="AH1605" s="0" t="n">
        <v>1</v>
      </c>
      <c r="AJ1605" s="0" t="n">
        <v>10</v>
      </c>
      <c r="AP1605" s="0" t="n">
        <v>300000</v>
      </c>
      <c r="DB1605" s="0" t="str">
        <f aca="false">IF($A1605="","",IF($AH1605=20,IF(AND(OR($A1605=21,$A1605=215),$AJ1605=10),"①病院一般",IF(AND($A1605=31,$AJ1605=41),"②病院短期","対象外")),IF($AJ1605=30,"③特定消防",IF(AND(OR($A1605=21,$A1605=215),$AJ1605=10),"④一般",IF(AND($A1605=31,$AJ1605=41),"⑤短期","対象外")))))</f>
        <v>④一般</v>
      </c>
      <c r="DC1605" s="0" t="n">
        <f aca="false">IF($A1605="","",IF($AB1605&amp;""=設定!$C$4,1,0))</f>
        <v>1</v>
      </c>
    </row>
    <row r="1606" customFormat="false" ht="15" hidden="false" customHeight="false" outlineLevel="0" collapsed="false">
      <c r="A1606" s="0" t="n">
        <v>215</v>
      </c>
      <c r="AA1606" s="0" t="n">
        <v>21</v>
      </c>
      <c r="AB1606" s="0" t="s">
        <v>96</v>
      </c>
      <c r="AD1606" s="0" t="n">
        <v>0</v>
      </c>
      <c r="AE1606" s="0" t="s">
        <v>295</v>
      </c>
      <c r="AH1606" s="0" t="n">
        <v>1</v>
      </c>
      <c r="AJ1606" s="0" t="n">
        <v>10</v>
      </c>
      <c r="AP1606" s="0" t="n">
        <v>360000</v>
      </c>
      <c r="DB1606" s="0" t="str">
        <f aca="false">IF($A1606="","",IF($AH1606=20,IF(AND(OR($A1606=21,$A1606=215),$AJ1606=10),"①病院一般",IF(AND($A1606=31,$AJ1606=41),"②病院短期","対象外")),IF($AJ1606=30,"③特定消防",IF(AND(OR($A1606=21,$A1606=215),$AJ1606=10),"④一般",IF(AND($A1606=31,$AJ1606=41),"⑤短期","対象外")))))</f>
        <v>④一般</v>
      </c>
      <c r="DC1606" s="0" t="n">
        <f aca="false">IF($A1606="","",IF($AB1606&amp;""=設定!$C$4,1,0))</f>
        <v>1</v>
      </c>
    </row>
    <row r="1607" customFormat="false" ht="15" hidden="false" customHeight="false" outlineLevel="0" collapsed="false">
      <c r="A1607" s="0" t="n">
        <v>215</v>
      </c>
      <c r="AA1607" s="0" t="n">
        <v>21</v>
      </c>
      <c r="AB1607" s="0" t="s">
        <v>96</v>
      </c>
      <c r="AD1607" s="0" t="n">
        <v>0</v>
      </c>
      <c r="AE1607" s="0" t="s">
        <v>295</v>
      </c>
      <c r="AH1607" s="0" t="n">
        <v>4</v>
      </c>
      <c r="AJ1607" s="0" t="n">
        <v>10</v>
      </c>
      <c r="AP1607" s="0" t="n">
        <v>320000</v>
      </c>
      <c r="DB1607" s="0" t="str">
        <f aca="false">IF($A1607="","",IF($AH1607=20,IF(AND(OR($A1607=21,$A1607=215),$AJ1607=10),"①病院一般",IF(AND($A1607=31,$AJ1607=41),"②病院短期","対象外")),IF($AJ1607=30,"③特定消防",IF(AND(OR($A1607=21,$A1607=215),$AJ1607=10),"④一般",IF(AND($A1607=31,$AJ1607=41),"⑤短期","対象外")))))</f>
        <v>④一般</v>
      </c>
      <c r="DC1607" s="0" t="n">
        <f aca="false">IF($A1607="","",IF($AB1607&amp;""=設定!$C$4,1,0))</f>
        <v>1</v>
      </c>
    </row>
    <row r="1608" customFormat="false" ht="15" hidden="false" customHeight="false" outlineLevel="0" collapsed="false">
      <c r="A1608" s="0" t="n">
        <v>215</v>
      </c>
      <c r="AA1608" s="0" t="n">
        <v>21</v>
      </c>
      <c r="AB1608" s="0" t="s">
        <v>96</v>
      </c>
      <c r="AD1608" s="0" t="n">
        <v>0</v>
      </c>
      <c r="AE1608" s="0" t="s">
        <v>295</v>
      </c>
      <c r="AH1608" s="0" t="n">
        <v>1</v>
      </c>
      <c r="AJ1608" s="0" t="n">
        <v>10</v>
      </c>
      <c r="AP1608" s="0" t="n">
        <v>300000</v>
      </c>
      <c r="DB1608" s="0" t="str">
        <f aca="false">IF($A1608="","",IF($AH1608=20,IF(AND(OR($A1608=21,$A1608=215),$AJ1608=10),"①病院一般",IF(AND($A1608=31,$AJ1608=41),"②病院短期","対象外")),IF($AJ1608=30,"③特定消防",IF(AND(OR($A1608=21,$A1608=215),$AJ1608=10),"④一般",IF(AND($A1608=31,$AJ1608=41),"⑤短期","対象外")))))</f>
        <v>④一般</v>
      </c>
      <c r="DC1608" s="0" t="n">
        <f aca="false">IF($A1608="","",IF($AB1608&amp;""=設定!$C$4,1,0))</f>
        <v>1</v>
      </c>
    </row>
    <row r="1609" customFormat="false" ht="15" hidden="false" customHeight="false" outlineLevel="0" collapsed="false">
      <c r="A1609" s="0" t="n">
        <v>215</v>
      </c>
      <c r="AA1609" s="0" t="n">
        <v>21</v>
      </c>
      <c r="AB1609" s="0" t="s">
        <v>96</v>
      </c>
      <c r="AD1609" s="0" t="n">
        <v>0</v>
      </c>
      <c r="AE1609" s="0" t="s">
        <v>295</v>
      </c>
      <c r="AH1609" s="0" t="n">
        <v>1</v>
      </c>
      <c r="AJ1609" s="0" t="n">
        <v>10</v>
      </c>
      <c r="AP1609" s="0" t="n">
        <v>300000</v>
      </c>
      <c r="DB1609" s="0" t="str">
        <f aca="false">IF($A1609="","",IF($AH1609=20,IF(AND(OR($A1609=21,$A1609=215),$AJ1609=10),"①病院一般",IF(AND($A1609=31,$AJ1609=41),"②病院短期","対象外")),IF($AJ1609=30,"③特定消防",IF(AND(OR($A1609=21,$A1609=215),$AJ1609=10),"④一般",IF(AND($A1609=31,$AJ1609=41),"⑤短期","対象外")))))</f>
        <v>④一般</v>
      </c>
      <c r="DC1609" s="0" t="n">
        <f aca="false">IF($A1609="","",IF($AB1609&amp;""=設定!$C$4,1,0))</f>
        <v>1</v>
      </c>
    </row>
    <row r="1610" customFormat="false" ht="15" hidden="false" customHeight="false" outlineLevel="0" collapsed="false">
      <c r="A1610" s="0" t="n">
        <v>215</v>
      </c>
      <c r="AA1610" s="0" t="n">
        <v>21</v>
      </c>
      <c r="AB1610" s="0" t="s">
        <v>96</v>
      </c>
      <c r="AD1610" s="0" t="n">
        <v>0</v>
      </c>
      <c r="AE1610" s="0" t="s">
        <v>295</v>
      </c>
      <c r="AH1610" s="0" t="n">
        <v>1</v>
      </c>
      <c r="AJ1610" s="0" t="n">
        <v>15</v>
      </c>
      <c r="AP1610" s="0" t="n">
        <v>320000</v>
      </c>
      <c r="DB1610" s="0" t="str">
        <f aca="false">IF($A1610="","",IF($AH1610=20,IF(AND(OR($A1610=21,$A1610=215),$AJ1610=10),"①病院一般",IF(AND($A1610=31,$AJ1610=41),"②病院短期","対象外")),IF($AJ1610=30,"③特定消防",IF(AND(OR($A1610=21,$A1610=215),$AJ1610=10),"④一般",IF(AND($A1610=31,$AJ1610=41),"⑤短期","対象外")))))</f>
        <v>対象外</v>
      </c>
      <c r="DC1610" s="0" t="n">
        <f aca="false">IF($A1610="","",IF($AB1610&amp;""=設定!$C$4,1,0))</f>
        <v>1</v>
      </c>
    </row>
    <row r="1611" customFormat="false" ht="15" hidden="false" customHeight="false" outlineLevel="0" collapsed="false">
      <c r="A1611" s="0" t="n">
        <v>215</v>
      </c>
      <c r="AA1611" s="0" t="n">
        <v>21</v>
      </c>
      <c r="AB1611" s="0" t="s">
        <v>96</v>
      </c>
      <c r="AD1611" s="0" t="n">
        <v>0</v>
      </c>
      <c r="AE1611" s="0" t="s">
        <v>295</v>
      </c>
      <c r="AH1611" s="0" t="n">
        <v>1</v>
      </c>
      <c r="AJ1611" s="0" t="n">
        <v>10</v>
      </c>
      <c r="AP1611" s="0" t="n">
        <v>360000</v>
      </c>
      <c r="DB1611" s="0" t="str">
        <f aca="false">IF($A1611="","",IF($AH1611=20,IF(AND(OR($A1611=21,$A1611=215),$AJ1611=10),"①病院一般",IF(AND($A1611=31,$AJ1611=41),"②病院短期","対象外")),IF($AJ1611=30,"③特定消防",IF(AND(OR($A1611=21,$A1611=215),$AJ1611=10),"④一般",IF(AND($A1611=31,$AJ1611=41),"⑤短期","対象外")))))</f>
        <v>④一般</v>
      </c>
      <c r="DC1611" s="0" t="n">
        <f aca="false">IF($A1611="","",IF($AB1611&amp;""=設定!$C$4,1,0))</f>
        <v>1</v>
      </c>
    </row>
    <row r="1612" customFormat="false" ht="15" hidden="false" customHeight="false" outlineLevel="0" collapsed="false">
      <c r="A1612" s="0" t="n">
        <v>215</v>
      </c>
      <c r="AA1612" s="0" t="n">
        <v>21</v>
      </c>
      <c r="AB1612" s="0" t="s">
        <v>96</v>
      </c>
      <c r="AD1612" s="0" t="n">
        <v>0</v>
      </c>
      <c r="AE1612" s="0" t="s">
        <v>295</v>
      </c>
      <c r="AH1612" s="0" t="n">
        <v>4</v>
      </c>
      <c r="AJ1612" s="0" t="n">
        <v>10</v>
      </c>
      <c r="AP1612" s="0" t="n">
        <v>320000</v>
      </c>
      <c r="DB1612" s="0" t="str">
        <f aca="false">IF($A1612="","",IF($AH1612=20,IF(AND(OR($A1612=21,$A1612=215),$AJ1612=10),"①病院一般",IF(AND($A1612=31,$AJ1612=41),"②病院短期","対象外")),IF($AJ1612=30,"③特定消防",IF(AND(OR($A1612=21,$A1612=215),$AJ1612=10),"④一般",IF(AND($A1612=31,$AJ1612=41),"⑤短期","対象外")))))</f>
        <v>④一般</v>
      </c>
      <c r="DC1612" s="0" t="n">
        <f aca="false">IF($A1612="","",IF($AB1612&amp;""=設定!$C$4,1,0))</f>
        <v>1</v>
      </c>
    </row>
    <row r="1613" customFormat="false" ht="15" hidden="false" customHeight="false" outlineLevel="0" collapsed="false">
      <c r="A1613" s="0" t="n">
        <v>215</v>
      </c>
      <c r="AA1613" s="0" t="n">
        <v>21</v>
      </c>
      <c r="AB1613" s="0" t="s">
        <v>96</v>
      </c>
      <c r="AD1613" s="0" t="n">
        <v>0</v>
      </c>
      <c r="AE1613" s="0" t="s">
        <v>295</v>
      </c>
      <c r="AH1613" s="0" t="n">
        <v>4</v>
      </c>
      <c r="AJ1613" s="0" t="n">
        <v>10</v>
      </c>
      <c r="AP1613" s="0" t="n">
        <v>300000</v>
      </c>
      <c r="DB1613" s="0" t="str">
        <f aca="false">IF($A1613="","",IF($AH1613=20,IF(AND(OR($A1613=21,$A1613=215),$AJ1613=10),"①病院一般",IF(AND($A1613=31,$AJ1613=41),"②病院短期","対象外")),IF($AJ1613=30,"③特定消防",IF(AND(OR($A1613=21,$A1613=215),$AJ1613=10),"④一般",IF(AND($A1613=31,$AJ1613=41),"⑤短期","対象外")))))</f>
        <v>④一般</v>
      </c>
      <c r="DC1613" s="0" t="n">
        <f aca="false">IF($A1613="","",IF($AB1613&amp;""=設定!$C$4,1,0))</f>
        <v>1</v>
      </c>
    </row>
    <row r="1614" customFormat="false" ht="15" hidden="false" customHeight="false" outlineLevel="0" collapsed="false">
      <c r="A1614" s="0" t="n">
        <v>215</v>
      </c>
      <c r="AA1614" s="0" t="n">
        <v>21</v>
      </c>
      <c r="AB1614" s="0" t="s">
        <v>96</v>
      </c>
      <c r="AD1614" s="0" t="n">
        <v>0</v>
      </c>
      <c r="AE1614" s="0" t="s">
        <v>295</v>
      </c>
      <c r="AH1614" s="0" t="n">
        <v>1</v>
      </c>
      <c r="AJ1614" s="0" t="n">
        <v>10</v>
      </c>
      <c r="AP1614" s="0" t="n">
        <v>300000</v>
      </c>
      <c r="DB1614" s="0" t="str">
        <f aca="false">IF($A1614="","",IF($AH1614=20,IF(AND(OR($A1614=21,$A1614=215),$AJ1614=10),"①病院一般",IF(AND($A1614=31,$AJ1614=41),"②病院短期","対象外")),IF($AJ1614=30,"③特定消防",IF(AND(OR($A1614=21,$A1614=215),$AJ1614=10),"④一般",IF(AND($A1614=31,$AJ1614=41),"⑤短期","対象外")))))</f>
        <v>④一般</v>
      </c>
      <c r="DC1614" s="0" t="n">
        <f aca="false">IF($A1614="","",IF($AB1614&amp;""=設定!$C$4,1,0))</f>
        <v>1</v>
      </c>
    </row>
    <row r="1615" customFormat="false" ht="15" hidden="false" customHeight="false" outlineLevel="0" collapsed="false">
      <c r="A1615" s="0" t="n">
        <v>215</v>
      </c>
      <c r="AA1615" s="0" t="n">
        <v>22</v>
      </c>
      <c r="AB1615" s="0" t="s">
        <v>96</v>
      </c>
      <c r="AD1615" s="0" t="n">
        <v>0</v>
      </c>
      <c r="AE1615" s="0" t="s">
        <v>295</v>
      </c>
      <c r="AH1615" s="0" t="n">
        <v>20</v>
      </c>
      <c r="AJ1615" s="0" t="n">
        <v>10</v>
      </c>
      <c r="AP1615" s="0" t="n">
        <v>300000</v>
      </c>
      <c r="DB1615" s="0" t="str">
        <f aca="false">IF($A1615="","",IF($AH1615=20,IF(AND(OR($A1615=21,$A1615=215),$AJ1615=10),"①病院一般",IF(AND($A1615=31,$AJ1615=41),"②病院短期","対象外")),IF($AJ1615=30,"③特定消防",IF(AND(OR($A1615=21,$A1615=215),$AJ1615=10),"④一般",IF(AND($A1615=31,$AJ1615=41),"⑤短期","対象外")))))</f>
        <v>①病院一般</v>
      </c>
      <c r="DC1615" s="0" t="n">
        <f aca="false">IF($A1615="","",IF($AB1615&amp;""=設定!$C$4,1,0))</f>
        <v>1</v>
      </c>
    </row>
    <row r="1616" customFormat="false" ht="15" hidden="false" customHeight="false" outlineLevel="0" collapsed="false">
      <c r="A1616" s="0" t="n">
        <v>215</v>
      </c>
      <c r="AA1616" s="0" t="n">
        <v>21</v>
      </c>
      <c r="AB1616" s="0" t="s">
        <v>96</v>
      </c>
      <c r="AD1616" s="0" t="n">
        <v>0</v>
      </c>
      <c r="AE1616" s="0" t="s">
        <v>295</v>
      </c>
      <c r="AH1616" s="0" t="n">
        <v>20</v>
      </c>
      <c r="AJ1616" s="0" t="n">
        <v>10</v>
      </c>
      <c r="AP1616" s="0" t="n">
        <v>320000</v>
      </c>
      <c r="DB1616" s="0" t="str">
        <f aca="false">IF($A1616="","",IF($AH1616=20,IF(AND(OR($A1616=21,$A1616=215),$AJ1616=10),"①病院一般",IF(AND($A1616=31,$AJ1616=41),"②病院短期","対象外")),IF($AJ1616=30,"③特定消防",IF(AND(OR($A1616=21,$A1616=215),$AJ1616=10),"④一般",IF(AND($A1616=31,$AJ1616=41),"⑤短期","対象外")))))</f>
        <v>①病院一般</v>
      </c>
      <c r="DC1616" s="0" t="n">
        <f aca="false">IF($A1616="","",IF($AB1616&amp;""=設定!$C$4,1,0))</f>
        <v>1</v>
      </c>
    </row>
    <row r="1617" customFormat="false" ht="15" hidden="false" customHeight="false" outlineLevel="0" collapsed="false">
      <c r="A1617" s="0" t="n">
        <v>215</v>
      </c>
      <c r="AA1617" s="0" t="n">
        <v>21</v>
      </c>
      <c r="AB1617" s="0" t="s">
        <v>96</v>
      </c>
      <c r="AD1617" s="0" t="n">
        <v>0</v>
      </c>
      <c r="AE1617" s="0" t="s">
        <v>295</v>
      </c>
      <c r="AH1617" s="0" t="n">
        <v>20</v>
      </c>
      <c r="AJ1617" s="0" t="n">
        <v>10</v>
      </c>
      <c r="AP1617" s="0" t="n">
        <v>440000</v>
      </c>
      <c r="DB1617" s="0" t="str">
        <f aca="false">IF($A1617="","",IF($AH1617=20,IF(AND(OR($A1617=21,$A1617=215),$AJ1617=10),"①病院一般",IF(AND($A1617=31,$AJ1617=41),"②病院短期","対象外")),IF($AJ1617=30,"③特定消防",IF(AND(OR($A1617=21,$A1617=215),$AJ1617=10),"④一般",IF(AND($A1617=31,$AJ1617=41),"⑤短期","対象外")))))</f>
        <v>①病院一般</v>
      </c>
      <c r="DC1617" s="0" t="n">
        <f aca="false">IF($A1617="","",IF($AB1617&amp;""=設定!$C$4,1,0))</f>
        <v>1</v>
      </c>
    </row>
    <row r="1618" customFormat="false" ht="15" hidden="false" customHeight="false" outlineLevel="0" collapsed="false">
      <c r="A1618" s="0" t="n">
        <v>215</v>
      </c>
      <c r="AA1618" s="0" t="n">
        <v>21</v>
      </c>
      <c r="AB1618" s="0" t="s">
        <v>96</v>
      </c>
      <c r="AD1618" s="0" t="n">
        <v>0</v>
      </c>
      <c r="AE1618" s="0" t="s">
        <v>295</v>
      </c>
      <c r="AH1618" s="0" t="n">
        <v>5</v>
      </c>
      <c r="AJ1618" s="0" t="n">
        <v>30</v>
      </c>
      <c r="AP1618" s="0" t="n">
        <v>300000</v>
      </c>
      <c r="DB1618" s="0" t="str">
        <f aca="false">IF($A1618="","",IF($AH1618=20,IF(AND(OR($A1618=21,$A1618=215),$AJ1618=10),"①病院一般",IF(AND($A1618=31,$AJ1618=41),"②病院短期","対象外")),IF($AJ1618=30,"③特定消防",IF(AND(OR($A1618=21,$A1618=215),$AJ1618=10),"④一般",IF(AND($A1618=31,$AJ1618=41),"⑤短期","対象外")))))</f>
        <v>③特定消防</v>
      </c>
      <c r="DC1618" s="0" t="n">
        <f aca="false">IF($A1618="","",IF($AB1618&amp;""=設定!$C$4,1,0))</f>
        <v>1</v>
      </c>
    </row>
    <row r="1619" customFormat="false" ht="15" hidden="false" customHeight="false" outlineLevel="0" collapsed="false">
      <c r="A1619" s="0" t="n">
        <v>215</v>
      </c>
      <c r="AA1619" s="0" t="n">
        <v>21</v>
      </c>
      <c r="AB1619" s="0" t="s">
        <v>96</v>
      </c>
      <c r="AD1619" s="0" t="n">
        <v>0</v>
      </c>
      <c r="AE1619" s="0" t="s">
        <v>295</v>
      </c>
      <c r="AH1619" s="0" t="n">
        <v>5</v>
      </c>
      <c r="AJ1619" s="0" t="n">
        <v>30</v>
      </c>
      <c r="AP1619" s="0" t="n">
        <v>300000</v>
      </c>
      <c r="DB1619" s="0" t="str">
        <f aca="false">IF($A1619="","",IF($AH1619=20,IF(AND(OR($A1619=21,$A1619=215),$AJ1619=10),"①病院一般",IF(AND($A1619=31,$AJ1619=41),"②病院短期","対象外")),IF($AJ1619=30,"③特定消防",IF(AND(OR($A1619=21,$A1619=215),$AJ1619=10),"④一般",IF(AND($A1619=31,$AJ1619=41),"⑤短期","対象外")))))</f>
        <v>③特定消防</v>
      </c>
      <c r="DC1619" s="0" t="n">
        <f aca="false">IF($A1619="","",IF($AB1619&amp;""=設定!$C$4,1,0))</f>
        <v>1</v>
      </c>
    </row>
    <row r="1620" customFormat="false" ht="15" hidden="false" customHeight="false" outlineLevel="0" collapsed="false">
      <c r="A1620" s="0" t="n">
        <v>215</v>
      </c>
      <c r="AA1620" s="0" t="n">
        <v>21</v>
      </c>
      <c r="AB1620" s="0" t="s">
        <v>96</v>
      </c>
      <c r="AD1620" s="0" t="n">
        <v>0</v>
      </c>
      <c r="AE1620" s="0" t="s">
        <v>295</v>
      </c>
      <c r="AH1620" s="0" t="n">
        <v>1</v>
      </c>
      <c r="AJ1620" s="0" t="n">
        <v>10</v>
      </c>
      <c r="AP1620" s="0" t="n">
        <v>320000</v>
      </c>
      <c r="DB1620" s="0" t="str">
        <f aca="false">IF($A1620="","",IF($AH1620=20,IF(AND(OR($A1620=21,$A1620=215),$AJ1620=10),"①病院一般",IF(AND($A1620=31,$AJ1620=41),"②病院短期","対象外")),IF($AJ1620=30,"③特定消防",IF(AND(OR($A1620=21,$A1620=215),$AJ1620=10),"④一般",IF(AND($A1620=31,$AJ1620=41),"⑤短期","対象外")))))</f>
        <v>④一般</v>
      </c>
      <c r="DC1620" s="0" t="n">
        <f aca="false">IF($A1620="","",IF($AB1620&amp;""=設定!$C$4,1,0))</f>
        <v>1</v>
      </c>
    </row>
    <row r="1621" customFormat="false" ht="15" hidden="false" customHeight="false" outlineLevel="0" collapsed="false">
      <c r="A1621" s="0" t="n">
        <v>215</v>
      </c>
      <c r="AA1621" s="0" t="n">
        <v>21</v>
      </c>
      <c r="AB1621" s="0" t="s">
        <v>96</v>
      </c>
      <c r="AD1621" s="0" t="n">
        <v>0</v>
      </c>
      <c r="AE1621" s="0" t="s">
        <v>295</v>
      </c>
      <c r="AH1621" s="0" t="n">
        <v>14</v>
      </c>
      <c r="AJ1621" s="0" t="n">
        <v>10</v>
      </c>
      <c r="AP1621" s="0" t="n">
        <v>300000</v>
      </c>
      <c r="DB1621" s="0" t="str">
        <f aca="false">IF($A1621="","",IF($AH1621=20,IF(AND(OR($A1621=21,$A1621=215),$AJ1621=10),"①病院一般",IF(AND($A1621=31,$AJ1621=41),"②病院短期","対象外")),IF($AJ1621=30,"③特定消防",IF(AND(OR($A1621=21,$A1621=215),$AJ1621=10),"④一般",IF(AND($A1621=31,$AJ1621=41),"⑤短期","対象外")))))</f>
        <v>④一般</v>
      </c>
      <c r="DC1621" s="0" t="n">
        <f aca="false">IF($A1621="","",IF($AB1621&amp;""=設定!$C$4,1,0))</f>
        <v>1</v>
      </c>
    </row>
    <row r="1622" customFormat="false" ht="15" hidden="false" customHeight="false" outlineLevel="0" collapsed="false">
      <c r="A1622" s="0" t="n">
        <v>215</v>
      </c>
      <c r="AA1622" s="0" t="n">
        <v>21</v>
      </c>
      <c r="AB1622" s="0" t="s">
        <v>96</v>
      </c>
      <c r="AD1622" s="0" t="n">
        <v>0</v>
      </c>
      <c r="AE1622" s="0" t="s">
        <v>295</v>
      </c>
      <c r="AH1622" s="0" t="n">
        <v>20</v>
      </c>
      <c r="AJ1622" s="0" t="n">
        <v>10</v>
      </c>
      <c r="AP1622" s="0" t="n">
        <v>440000</v>
      </c>
      <c r="DB1622" s="0" t="str">
        <f aca="false">IF($A1622="","",IF($AH1622=20,IF(AND(OR($A1622=21,$A1622=215),$AJ1622=10),"①病院一般",IF(AND($A1622=31,$AJ1622=41),"②病院短期","対象外")),IF($AJ1622=30,"③特定消防",IF(AND(OR($A1622=21,$A1622=215),$AJ1622=10),"④一般",IF(AND($A1622=31,$AJ1622=41),"⑤短期","対象外")))))</f>
        <v>①病院一般</v>
      </c>
      <c r="DC1622" s="0" t="n">
        <f aca="false">IF($A1622="","",IF($AB1622&amp;""=設定!$C$4,1,0))</f>
        <v>1</v>
      </c>
    </row>
    <row r="1623" customFormat="false" ht="15" hidden="false" customHeight="false" outlineLevel="0" collapsed="false">
      <c r="A1623" s="0" t="n">
        <v>215</v>
      </c>
      <c r="AA1623" s="0" t="n">
        <v>21</v>
      </c>
      <c r="AB1623" s="0" t="s">
        <v>96</v>
      </c>
      <c r="AD1623" s="0" t="n">
        <v>0</v>
      </c>
      <c r="AE1623" s="0" t="s">
        <v>295</v>
      </c>
      <c r="AH1623" s="0" t="n">
        <v>11</v>
      </c>
      <c r="AJ1623" s="0" t="n">
        <v>10</v>
      </c>
      <c r="AP1623" s="0" t="n">
        <v>320000</v>
      </c>
      <c r="DB1623" s="0" t="str">
        <f aca="false">IF($A1623="","",IF($AH1623=20,IF(AND(OR($A1623=21,$A1623=215),$AJ1623=10),"①病院一般",IF(AND($A1623=31,$AJ1623=41),"②病院短期","対象外")),IF($AJ1623=30,"③特定消防",IF(AND(OR($A1623=21,$A1623=215),$AJ1623=10),"④一般",IF(AND($A1623=31,$AJ1623=41),"⑤短期","対象外")))))</f>
        <v>④一般</v>
      </c>
      <c r="DC1623" s="0" t="n">
        <f aca="false">IF($A1623="","",IF($AB1623&amp;""=設定!$C$4,1,0))</f>
        <v>1</v>
      </c>
    </row>
    <row r="1624" customFormat="false" ht="15" hidden="false" customHeight="false" outlineLevel="0" collapsed="false">
      <c r="A1624" s="0" t="n">
        <v>215</v>
      </c>
      <c r="AA1624" s="0" t="n">
        <v>21</v>
      </c>
      <c r="AB1624" s="0" t="s">
        <v>96</v>
      </c>
      <c r="AD1624" s="0" t="n">
        <v>0</v>
      </c>
      <c r="AE1624" s="0" t="s">
        <v>295</v>
      </c>
      <c r="AH1624" s="0" t="n">
        <v>1</v>
      </c>
      <c r="AJ1624" s="0" t="n">
        <v>10</v>
      </c>
      <c r="AP1624" s="0" t="n">
        <v>380000</v>
      </c>
      <c r="DB1624" s="0" t="str">
        <f aca="false">IF($A1624="","",IF($AH1624=20,IF(AND(OR($A1624=21,$A1624=215),$AJ1624=10),"①病院一般",IF(AND($A1624=31,$AJ1624=41),"②病院短期","対象外")),IF($AJ1624=30,"③特定消防",IF(AND(OR($A1624=21,$A1624=215),$AJ1624=10),"④一般",IF(AND($A1624=31,$AJ1624=41),"⑤短期","対象外")))))</f>
        <v>④一般</v>
      </c>
      <c r="DC1624" s="0" t="n">
        <f aca="false">IF($A1624="","",IF($AB1624&amp;""=設定!$C$4,1,0))</f>
        <v>1</v>
      </c>
    </row>
    <row r="1625" customFormat="false" ht="15" hidden="false" customHeight="false" outlineLevel="0" collapsed="false">
      <c r="A1625" s="0" t="n">
        <v>215</v>
      </c>
      <c r="AA1625" s="0" t="n">
        <v>21</v>
      </c>
      <c r="AB1625" s="0" t="s">
        <v>96</v>
      </c>
      <c r="AD1625" s="0" t="n">
        <v>0</v>
      </c>
      <c r="AE1625" s="0" t="s">
        <v>295</v>
      </c>
      <c r="AH1625" s="0" t="n">
        <v>1</v>
      </c>
      <c r="AJ1625" s="0" t="n">
        <v>10</v>
      </c>
      <c r="AP1625" s="0" t="n">
        <v>280000</v>
      </c>
      <c r="DB1625" s="0" t="str">
        <f aca="false">IF($A1625="","",IF($AH1625=20,IF(AND(OR($A1625=21,$A1625=215),$AJ1625=10),"①病院一般",IF(AND($A1625=31,$AJ1625=41),"②病院短期","対象外")),IF($AJ1625=30,"③特定消防",IF(AND(OR($A1625=21,$A1625=215),$AJ1625=10),"④一般",IF(AND($A1625=31,$AJ1625=41),"⑤短期","対象外")))))</f>
        <v>④一般</v>
      </c>
      <c r="DC1625" s="0" t="n">
        <f aca="false">IF($A1625="","",IF($AB1625&amp;""=設定!$C$4,1,0))</f>
        <v>1</v>
      </c>
    </row>
    <row r="1626" customFormat="false" ht="15" hidden="false" customHeight="false" outlineLevel="0" collapsed="false">
      <c r="A1626" s="0" t="n">
        <v>215</v>
      </c>
      <c r="AA1626" s="0" t="n">
        <v>21</v>
      </c>
      <c r="AB1626" s="0" t="s">
        <v>96</v>
      </c>
      <c r="AD1626" s="0" t="n">
        <v>0</v>
      </c>
      <c r="AE1626" s="0" t="s">
        <v>295</v>
      </c>
      <c r="AH1626" s="0" t="n">
        <v>1</v>
      </c>
      <c r="AJ1626" s="0" t="n">
        <v>10</v>
      </c>
      <c r="AP1626" s="0" t="n">
        <v>280000</v>
      </c>
      <c r="DB1626" s="0" t="str">
        <f aca="false">IF($A1626="","",IF($AH1626=20,IF(AND(OR($A1626=21,$A1626=215),$AJ1626=10),"①病院一般",IF(AND($A1626=31,$AJ1626=41),"②病院短期","対象外")),IF($AJ1626=30,"③特定消防",IF(AND(OR($A1626=21,$A1626=215),$AJ1626=10),"④一般",IF(AND($A1626=31,$AJ1626=41),"⑤短期","対象外")))))</f>
        <v>④一般</v>
      </c>
      <c r="DC1626" s="0" t="n">
        <f aca="false">IF($A1626="","",IF($AB1626&amp;""=設定!$C$4,1,0))</f>
        <v>1</v>
      </c>
    </row>
    <row r="1627" customFormat="false" ht="15" hidden="false" customHeight="false" outlineLevel="0" collapsed="false">
      <c r="A1627" s="0" t="n">
        <v>215</v>
      </c>
      <c r="AA1627" s="0" t="n">
        <v>21</v>
      </c>
      <c r="AB1627" s="0" t="s">
        <v>96</v>
      </c>
      <c r="AD1627" s="0" t="n">
        <v>0</v>
      </c>
      <c r="AE1627" s="0" t="s">
        <v>295</v>
      </c>
      <c r="AH1627" s="0" t="n">
        <v>3</v>
      </c>
      <c r="AJ1627" s="0" t="n">
        <v>10</v>
      </c>
      <c r="AP1627" s="0" t="n">
        <v>340000</v>
      </c>
      <c r="DB1627" s="0" t="str">
        <f aca="false">IF($A1627="","",IF($AH1627=20,IF(AND(OR($A1627=21,$A1627=215),$AJ1627=10),"①病院一般",IF(AND($A1627=31,$AJ1627=41),"②病院短期","対象外")),IF($AJ1627=30,"③特定消防",IF(AND(OR($A1627=21,$A1627=215),$AJ1627=10),"④一般",IF(AND($A1627=31,$AJ1627=41),"⑤短期","対象外")))))</f>
        <v>④一般</v>
      </c>
      <c r="DC1627" s="0" t="n">
        <f aca="false">IF($A1627="","",IF($AB1627&amp;""=設定!$C$4,1,0))</f>
        <v>1</v>
      </c>
    </row>
    <row r="1628" customFormat="false" ht="15" hidden="false" customHeight="false" outlineLevel="0" collapsed="false">
      <c r="A1628" s="0" t="n">
        <v>215</v>
      </c>
      <c r="AA1628" s="0" t="n">
        <v>21</v>
      </c>
      <c r="AB1628" s="0" t="s">
        <v>96</v>
      </c>
      <c r="AD1628" s="0" t="n">
        <v>0</v>
      </c>
      <c r="AE1628" s="0" t="s">
        <v>295</v>
      </c>
      <c r="AH1628" s="0" t="n">
        <v>4</v>
      </c>
      <c r="AJ1628" s="0" t="n">
        <v>10</v>
      </c>
      <c r="AP1628" s="0" t="n">
        <v>300000</v>
      </c>
      <c r="DB1628" s="0" t="str">
        <f aca="false">IF($A1628="","",IF($AH1628=20,IF(AND(OR($A1628=21,$A1628=215),$AJ1628=10),"①病院一般",IF(AND($A1628=31,$AJ1628=41),"②病院短期","対象外")),IF($AJ1628=30,"③特定消防",IF(AND(OR($A1628=21,$A1628=215),$AJ1628=10),"④一般",IF(AND($A1628=31,$AJ1628=41),"⑤短期","対象外")))))</f>
        <v>④一般</v>
      </c>
      <c r="DC1628" s="0" t="n">
        <f aca="false">IF($A1628="","",IF($AB1628&amp;""=設定!$C$4,1,0))</f>
        <v>1</v>
      </c>
    </row>
    <row r="1629" customFormat="false" ht="15" hidden="false" customHeight="false" outlineLevel="0" collapsed="false">
      <c r="A1629" s="0" t="n">
        <v>215</v>
      </c>
      <c r="AA1629" s="0" t="n">
        <v>21</v>
      </c>
      <c r="AB1629" s="0" t="s">
        <v>96</v>
      </c>
      <c r="AD1629" s="0" t="n">
        <v>0</v>
      </c>
      <c r="AE1629" s="0" t="s">
        <v>295</v>
      </c>
      <c r="AH1629" s="0" t="n">
        <v>20</v>
      </c>
      <c r="AJ1629" s="0" t="n">
        <v>10</v>
      </c>
      <c r="AP1629" s="0" t="n">
        <v>300000</v>
      </c>
      <c r="DB1629" s="0" t="str">
        <f aca="false">IF($A1629="","",IF($AH1629=20,IF(AND(OR($A1629=21,$A1629=215),$AJ1629=10),"①病院一般",IF(AND($A1629=31,$AJ1629=41),"②病院短期","対象外")),IF($AJ1629=30,"③特定消防",IF(AND(OR($A1629=21,$A1629=215),$AJ1629=10),"④一般",IF(AND($A1629=31,$AJ1629=41),"⑤短期","対象外")))))</f>
        <v>①病院一般</v>
      </c>
      <c r="DC1629" s="0" t="n">
        <f aca="false">IF($A1629="","",IF($AB1629&amp;""=設定!$C$4,1,0))</f>
        <v>1</v>
      </c>
    </row>
    <row r="1630" customFormat="false" ht="15" hidden="false" customHeight="false" outlineLevel="0" collapsed="false">
      <c r="A1630" s="0" t="n">
        <v>215</v>
      </c>
      <c r="AA1630" s="0" t="n">
        <v>21</v>
      </c>
      <c r="AB1630" s="0" t="s">
        <v>96</v>
      </c>
      <c r="AD1630" s="0" t="n">
        <v>0</v>
      </c>
      <c r="AE1630" s="0" t="s">
        <v>295</v>
      </c>
      <c r="AH1630" s="0" t="n">
        <v>5</v>
      </c>
      <c r="AJ1630" s="0" t="n">
        <v>30</v>
      </c>
      <c r="AP1630" s="0" t="n">
        <v>340000</v>
      </c>
      <c r="DB1630" s="0" t="str">
        <f aca="false">IF($A1630="","",IF($AH1630=20,IF(AND(OR($A1630=21,$A1630=215),$AJ1630=10),"①病院一般",IF(AND($A1630=31,$AJ1630=41),"②病院短期","対象外")),IF($AJ1630=30,"③特定消防",IF(AND(OR($A1630=21,$A1630=215),$AJ1630=10),"④一般",IF(AND($A1630=31,$AJ1630=41),"⑤短期","対象外")))))</f>
        <v>③特定消防</v>
      </c>
      <c r="DC1630" s="0" t="n">
        <f aca="false">IF($A1630="","",IF($AB1630&amp;""=設定!$C$4,1,0))</f>
        <v>1</v>
      </c>
    </row>
    <row r="1631" customFormat="false" ht="15" hidden="false" customHeight="false" outlineLevel="0" collapsed="false">
      <c r="A1631" s="0" t="n">
        <v>215</v>
      </c>
      <c r="AA1631" s="0" t="n">
        <v>21</v>
      </c>
      <c r="AB1631" s="0" t="s">
        <v>96</v>
      </c>
      <c r="AD1631" s="0" t="n">
        <v>0</v>
      </c>
      <c r="AE1631" s="0" t="s">
        <v>295</v>
      </c>
      <c r="AH1631" s="0" t="n">
        <v>1</v>
      </c>
      <c r="AJ1631" s="0" t="n">
        <v>10</v>
      </c>
      <c r="AP1631" s="0" t="n">
        <v>360000</v>
      </c>
      <c r="DB1631" s="0" t="str">
        <f aca="false">IF($A1631="","",IF($AH1631=20,IF(AND(OR($A1631=21,$A1631=215),$AJ1631=10),"①病院一般",IF(AND($A1631=31,$AJ1631=41),"②病院短期","対象外")),IF($AJ1631=30,"③特定消防",IF(AND(OR($A1631=21,$A1631=215),$AJ1631=10),"④一般",IF(AND($A1631=31,$AJ1631=41),"⑤短期","対象外")))))</f>
        <v>④一般</v>
      </c>
      <c r="DC1631" s="0" t="n">
        <f aca="false">IF($A1631="","",IF($AB1631&amp;""=設定!$C$4,1,0))</f>
        <v>1</v>
      </c>
    </row>
    <row r="1632" customFormat="false" ht="15" hidden="false" customHeight="false" outlineLevel="0" collapsed="false">
      <c r="A1632" s="0" t="n">
        <v>215</v>
      </c>
      <c r="AA1632" s="0" t="n">
        <v>21</v>
      </c>
      <c r="AB1632" s="0" t="s">
        <v>96</v>
      </c>
      <c r="AD1632" s="0" t="n">
        <v>0</v>
      </c>
      <c r="AE1632" s="0" t="s">
        <v>295</v>
      </c>
      <c r="AH1632" s="0" t="n">
        <v>1</v>
      </c>
      <c r="AJ1632" s="0" t="n">
        <v>10</v>
      </c>
      <c r="AP1632" s="0" t="n">
        <v>300000</v>
      </c>
      <c r="DB1632" s="0" t="str">
        <f aca="false">IF($A1632="","",IF($AH1632=20,IF(AND(OR($A1632=21,$A1632=215),$AJ1632=10),"①病院一般",IF(AND($A1632=31,$AJ1632=41),"②病院短期","対象外")),IF($AJ1632=30,"③特定消防",IF(AND(OR($A1632=21,$A1632=215),$AJ1632=10),"④一般",IF(AND($A1632=31,$AJ1632=41),"⑤短期","対象外")))))</f>
        <v>④一般</v>
      </c>
      <c r="DC1632" s="0" t="n">
        <f aca="false">IF($A1632="","",IF($AB1632&amp;""=設定!$C$4,1,0))</f>
        <v>1</v>
      </c>
    </row>
    <row r="1633" customFormat="false" ht="15" hidden="false" customHeight="false" outlineLevel="0" collapsed="false">
      <c r="A1633" s="0" t="n">
        <v>215</v>
      </c>
      <c r="AA1633" s="0" t="n">
        <v>21</v>
      </c>
      <c r="AB1633" s="0" t="s">
        <v>96</v>
      </c>
      <c r="AD1633" s="0" t="n">
        <v>0</v>
      </c>
      <c r="AE1633" s="0" t="s">
        <v>295</v>
      </c>
      <c r="AH1633" s="0" t="n">
        <v>20</v>
      </c>
      <c r="AJ1633" s="0" t="n">
        <v>11</v>
      </c>
      <c r="AP1633" s="0" t="n">
        <v>620000</v>
      </c>
      <c r="DB1633" s="0" t="str">
        <f aca="false">IF($A1633="","",IF($AH1633=20,IF(AND(OR($A1633=21,$A1633=215),$AJ1633=10),"①病院一般",IF(AND($A1633=31,$AJ1633=41),"②病院短期","対象外")),IF($AJ1633=30,"③特定消防",IF(AND(OR($A1633=21,$A1633=215),$AJ1633=10),"④一般",IF(AND($A1633=31,$AJ1633=41),"⑤短期","対象外")))))</f>
        <v>対象外</v>
      </c>
      <c r="DC1633" s="0" t="n">
        <f aca="false">IF($A1633="","",IF($AB1633&amp;""=設定!$C$4,1,0))</f>
        <v>1</v>
      </c>
    </row>
    <row r="1634" customFormat="false" ht="15" hidden="false" customHeight="false" outlineLevel="0" collapsed="false">
      <c r="A1634" s="0" t="n">
        <v>215</v>
      </c>
      <c r="AA1634" s="0" t="n">
        <v>21</v>
      </c>
      <c r="AB1634" s="0" t="s">
        <v>96</v>
      </c>
      <c r="AD1634" s="0" t="n">
        <v>0</v>
      </c>
      <c r="AE1634" s="0" t="s">
        <v>295</v>
      </c>
      <c r="AH1634" s="0" t="n">
        <v>1</v>
      </c>
      <c r="AJ1634" s="0" t="n">
        <v>10</v>
      </c>
      <c r="AP1634" s="0" t="n">
        <v>320000</v>
      </c>
      <c r="DB1634" s="0" t="str">
        <f aca="false">IF($A1634="","",IF($AH1634=20,IF(AND(OR($A1634=21,$A1634=215),$AJ1634=10),"①病院一般",IF(AND($A1634=31,$AJ1634=41),"②病院短期","対象外")),IF($AJ1634=30,"③特定消防",IF(AND(OR($A1634=21,$A1634=215),$AJ1634=10),"④一般",IF(AND($A1634=31,$AJ1634=41),"⑤短期","対象外")))))</f>
        <v>④一般</v>
      </c>
      <c r="DC1634" s="0" t="n">
        <f aca="false">IF($A1634="","",IF($AB1634&amp;""=設定!$C$4,1,0))</f>
        <v>1</v>
      </c>
    </row>
    <row r="1635" customFormat="false" ht="15" hidden="false" customHeight="false" outlineLevel="0" collapsed="false">
      <c r="A1635" s="0" t="n">
        <v>215</v>
      </c>
      <c r="AA1635" s="0" t="n">
        <v>21</v>
      </c>
      <c r="AB1635" s="0" t="s">
        <v>96</v>
      </c>
      <c r="AD1635" s="0" t="n">
        <v>0</v>
      </c>
      <c r="AE1635" s="0" t="s">
        <v>295</v>
      </c>
      <c r="AH1635" s="0" t="n">
        <v>1</v>
      </c>
      <c r="AJ1635" s="0" t="n">
        <v>10</v>
      </c>
      <c r="AP1635" s="0" t="n">
        <v>340000</v>
      </c>
      <c r="DB1635" s="0" t="str">
        <f aca="false">IF($A1635="","",IF($AH1635=20,IF(AND(OR($A1635=21,$A1635=215),$AJ1635=10),"①病院一般",IF(AND($A1635=31,$AJ1635=41),"②病院短期","対象外")),IF($AJ1635=30,"③特定消防",IF(AND(OR($A1635=21,$A1635=215),$AJ1635=10),"④一般",IF(AND($A1635=31,$AJ1635=41),"⑤短期","対象外")))))</f>
        <v>④一般</v>
      </c>
      <c r="DC1635" s="0" t="n">
        <f aca="false">IF($A1635="","",IF($AB1635&amp;""=設定!$C$4,1,0))</f>
        <v>1</v>
      </c>
    </row>
    <row r="1636" customFormat="false" ht="15" hidden="false" customHeight="false" outlineLevel="0" collapsed="false">
      <c r="A1636" s="0" t="n">
        <v>215</v>
      </c>
      <c r="AA1636" s="0" t="n">
        <v>21</v>
      </c>
      <c r="AB1636" s="0" t="s">
        <v>96</v>
      </c>
      <c r="AD1636" s="0" t="n">
        <v>0</v>
      </c>
      <c r="AE1636" s="0" t="s">
        <v>295</v>
      </c>
      <c r="AH1636" s="0" t="n">
        <v>1</v>
      </c>
      <c r="AJ1636" s="0" t="n">
        <v>10</v>
      </c>
      <c r="AP1636" s="0" t="n">
        <v>360000</v>
      </c>
      <c r="DB1636" s="0" t="str">
        <f aca="false">IF($A1636="","",IF($AH1636=20,IF(AND(OR($A1636=21,$A1636=215),$AJ1636=10),"①病院一般",IF(AND($A1636=31,$AJ1636=41),"②病院短期","対象外")),IF($AJ1636=30,"③特定消防",IF(AND(OR($A1636=21,$A1636=215),$AJ1636=10),"④一般",IF(AND($A1636=31,$AJ1636=41),"⑤短期","対象外")))))</f>
        <v>④一般</v>
      </c>
      <c r="DC1636" s="0" t="n">
        <f aca="false">IF($A1636="","",IF($AB1636&amp;""=設定!$C$4,1,0))</f>
        <v>1</v>
      </c>
    </row>
    <row r="1637" customFormat="false" ht="15" hidden="false" customHeight="false" outlineLevel="0" collapsed="false">
      <c r="A1637" s="0" t="n">
        <v>215</v>
      </c>
      <c r="AA1637" s="0" t="n">
        <v>21</v>
      </c>
      <c r="AB1637" s="0" t="s">
        <v>96</v>
      </c>
      <c r="AD1637" s="0" t="n">
        <v>0</v>
      </c>
      <c r="AE1637" s="0" t="s">
        <v>295</v>
      </c>
      <c r="AH1637" s="0" t="n">
        <v>1</v>
      </c>
      <c r="AJ1637" s="0" t="n">
        <v>10</v>
      </c>
      <c r="AP1637" s="0" t="n">
        <v>300000</v>
      </c>
      <c r="DB1637" s="0" t="str">
        <f aca="false">IF($A1637="","",IF($AH1637=20,IF(AND(OR($A1637=21,$A1637=215),$AJ1637=10),"①病院一般",IF(AND($A1637=31,$AJ1637=41),"②病院短期","対象外")),IF($AJ1637=30,"③特定消防",IF(AND(OR($A1637=21,$A1637=215),$AJ1637=10),"④一般",IF(AND($A1637=31,$AJ1637=41),"⑤短期","対象外")))))</f>
        <v>④一般</v>
      </c>
      <c r="DC1637" s="0" t="n">
        <f aca="false">IF($A1637="","",IF($AB1637&amp;""=設定!$C$4,1,0))</f>
        <v>1</v>
      </c>
    </row>
    <row r="1638" customFormat="false" ht="15" hidden="false" customHeight="false" outlineLevel="0" collapsed="false">
      <c r="A1638" s="0" t="n">
        <v>215</v>
      </c>
      <c r="AA1638" s="0" t="n">
        <v>21</v>
      </c>
      <c r="AB1638" s="0" t="s">
        <v>96</v>
      </c>
      <c r="AD1638" s="0" t="n">
        <v>0</v>
      </c>
      <c r="AE1638" s="0" t="s">
        <v>295</v>
      </c>
      <c r="AH1638" s="0" t="n">
        <v>3</v>
      </c>
      <c r="AJ1638" s="0" t="n">
        <v>10</v>
      </c>
      <c r="AP1638" s="0" t="n">
        <v>340000</v>
      </c>
      <c r="DB1638" s="0" t="str">
        <f aca="false">IF($A1638="","",IF($AH1638=20,IF(AND(OR($A1638=21,$A1638=215),$AJ1638=10),"①病院一般",IF(AND($A1638=31,$AJ1638=41),"②病院短期","対象外")),IF($AJ1638=30,"③特定消防",IF(AND(OR($A1638=21,$A1638=215),$AJ1638=10),"④一般",IF(AND($A1638=31,$AJ1638=41),"⑤短期","対象外")))))</f>
        <v>④一般</v>
      </c>
      <c r="DC1638" s="0" t="n">
        <f aca="false">IF($A1638="","",IF($AB1638&amp;""=設定!$C$4,1,0))</f>
        <v>1</v>
      </c>
    </row>
    <row r="1639" customFormat="false" ht="15" hidden="false" customHeight="false" outlineLevel="0" collapsed="false">
      <c r="A1639" s="0" t="n">
        <v>215</v>
      </c>
      <c r="AA1639" s="0" t="n">
        <v>21</v>
      </c>
      <c r="AB1639" s="0" t="s">
        <v>96</v>
      </c>
      <c r="AD1639" s="0" t="n">
        <v>0</v>
      </c>
      <c r="AE1639" s="0" t="s">
        <v>295</v>
      </c>
      <c r="AH1639" s="0" t="n">
        <v>4</v>
      </c>
      <c r="AJ1639" s="0" t="n">
        <v>10</v>
      </c>
      <c r="AP1639" s="0" t="n">
        <v>320000</v>
      </c>
      <c r="DB1639" s="0" t="str">
        <f aca="false">IF($A1639="","",IF($AH1639=20,IF(AND(OR($A1639=21,$A1639=215),$AJ1639=10),"①病院一般",IF(AND($A1639=31,$AJ1639=41),"②病院短期","対象外")),IF($AJ1639=30,"③特定消防",IF(AND(OR($A1639=21,$A1639=215),$AJ1639=10),"④一般",IF(AND($A1639=31,$AJ1639=41),"⑤短期","対象外")))))</f>
        <v>④一般</v>
      </c>
      <c r="DC1639" s="0" t="n">
        <f aca="false">IF($A1639="","",IF($AB1639&amp;""=設定!$C$4,1,0))</f>
        <v>1</v>
      </c>
    </row>
    <row r="1640" customFormat="false" ht="15" hidden="false" customHeight="false" outlineLevel="0" collapsed="false">
      <c r="A1640" s="0" t="n">
        <v>215</v>
      </c>
      <c r="AA1640" s="0" t="n">
        <v>21</v>
      </c>
      <c r="AB1640" s="0" t="s">
        <v>96</v>
      </c>
      <c r="AD1640" s="0" t="n">
        <v>0</v>
      </c>
      <c r="AE1640" s="0" t="s">
        <v>295</v>
      </c>
      <c r="AH1640" s="0" t="n">
        <v>1</v>
      </c>
      <c r="AJ1640" s="0" t="n">
        <v>10</v>
      </c>
      <c r="AP1640" s="0" t="n">
        <v>340000</v>
      </c>
      <c r="DB1640" s="0" t="str">
        <f aca="false">IF($A1640="","",IF($AH1640=20,IF(AND(OR($A1640=21,$A1640=215),$AJ1640=10),"①病院一般",IF(AND($A1640=31,$AJ1640=41),"②病院短期","対象外")),IF($AJ1640=30,"③特定消防",IF(AND(OR($A1640=21,$A1640=215),$AJ1640=10),"④一般",IF(AND($A1640=31,$AJ1640=41),"⑤短期","対象外")))))</f>
        <v>④一般</v>
      </c>
      <c r="DC1640" s="0" t="n">
        <f aca="false">IF($A1640="","",IF($AB1640&amp;""=設定!$C$4,1,0))</f>
        <v>1</v>
      </c>
    </row>
    <row r="1641" customFormat="false" ht="15" hidden="false" customHeight="false" outlineLevel="0" collapsed="false">
      <c r="A1641" s="0" t="n">
        <v>215</v>
      </c>
      <c r="AA1641" s="0" t="n">
        <v>21</v>
      </c>
      <c r="AB1641" s="0" t="s">
        <v>96</v>
      </c>
      <c r="AD1641" s="0" t="n">
        <v>0</v>
      </c>
      <c r="AE1641" s="0" t="s">
        <v>295</v>
      </c>
      <c r="AH1641" s="0" t="n">
        <v>20</v>
      </c>
      <c r="AJ1641" s="0" t="n">
        <v>10</v>
      </c>
      <c r="AP1641" s="0" t="n">
        <v>300000</v>
      </c>
      <c r="DB1641" s="0" t="str">
        <f aca="false">IF($A1641="","",IF($AH1641=20,IF(AND(OR($A1641=21,$A1641=215),$AJ1641=10),"①病院一般",IF(AND($A1641=31,$AJ1641=41),"②病院短期","対象外")),IF($AJ1641=30,"③特定消防",IF(AND(OR($A1641=21,$A1641=215),$AJ1641=10),"④一般",IF(AND($A1641=31,$AJ1641=41),"⑤短期","対象外")))))</f>
        <v>①病院一般</v>
      </c>
      <c r="DC1641" s="0" t="n">
        <f aca="false">IF($A1641="","",IF($AB1641&amp;""=設定!$C$4,1,0))</f>
        <v>1</v>
      </c>
    </row>
    <row r="1642" customFormat="false" ht="15" hidden="false" customHeight="false" outlineLevel="0" collapsed="false">
      <c r="A1642" s="0" t="n">
        <v>215</v>
      </c>
      <c r="AA1642" s="0" t="n">
        <v>21</v>
      </c>
      <c r="AB1642" s="0" t="s">
        <v>96</v>
      </c>
      <c r="AD1642" s="0" t="n">
        <v>0</v>
      </c>
      <c r="AE1642" s="0" t="s">
        <v>295</v>
      </c>
      <c r="AH1642" s="0" t="n">
        <v>1</v>
      </c>
      <c r="AJ1642" s="0" t="n">
        <v>10</v>
      </c>
      <c r="AP1642" s="0" t="n">
        <v>320000</v>
      </c>
      <c r="DB1642" s="0" t="str">
        <f aca="false">IF($A1642="","",IF($AH1642=20,IF(AND(OR($A1642=21,$A1642=215),$AJ1642=10),"①病院一般",IF(AND($A1642=31,$AJ1642=41),"②病院短期","対象外")),IF($AJ1642=30,"③特定消防",IF(AND(OR($A1642=21,$A1642=215),$AJ1642=10),"④一般",IF(AND($A1642=31,$AJ1642=41),"⑤短期","対象外")))))</f>
        <v>④一般</v>
      </c>
      <c r="DC1642" s="0" t="n">
        <f aca="false">IF($A1642="","",IF($AB1642&amp;""=設定!$C$4,1,0))</f>
        <v>1</v>
      </c>
    </row>
    <row r="1643" customFormat="false" ht="15" hidden="false" customHeight="false" outlineLevel="0" collapsed="false">
      <c r="A1643" s="0" t="n">
        <v>215</v>
      </c>
      <c r="AA1643" s="0" t="n">
        <v>21</v>
      </c>
      <c r="AB1643" s="0" t="s">
        <v>96</v>
      </c>
      <c r="AD1643" s="0" t="n">
        <v>0</v>
      </c>
      <c r="AE1643" s="0" t="s">
        <v>295</v>
      </c>
      <c r="AH1643" s="0" t="n">
        <v>1</v>
      </c>
      <c r="AJ1643" s="0" t="n">
        <v>10</v>
      </c>
      <c r="AP1643" s="0" t="n">
        <v>300000</v>
      </c>
      <c r="DB1643" s="0" t="str">
        <f aca="false">IF($A1643="","",IF($AH1643=20,IF(AND(OR($A1643=21,$A1643=215),$AJ1643=10),"①病院一般",IF(AND($A1643=31,$AJ1643=41),"②病院短期","対象外")),IF($AJ1643=30,"③特定消防",IF(AND(OR($A1643=21,$A1643=215),$AJ1643=10),"④一般",IF(AND($A1643=31,$AJ1643=41),"⑤短期","対象外")))))</f>
        <v>④一般</v>
      </c>
      <c r="DC1643" s="0" t="n">
        <f aca="false">IF($A1643="","",IF($AB1643&amp;""=設定!$C$4,1,0))</f>
        <v>1</v>
      </c>
    </row>
    <row r="1644" customFormat="false" ht="15" hidden="false" customHeight="false" outlineLevel="0" collapsed="false">
      <c r="A1644" s="0" t="n">
        <v>215</v>
      </c>
      <c r="AA1644" s="0" t="n">
        <v>21</v>
      </c>
      <c r="AB1644" s="0" t="s">
        <v>96</v>
      </c>
      <c r="AD1644" s="0" t="n">
        <v>0</v>
      </c>
      <c r="AE1644" s="0" t="s">
        <v>295</v>
      </c>
      <c r="AH1644" s="0" t="n">
        <v>1</v>
      </c>
      <c r="AJ1644" s="0" t="n">
        <v>10</v>
      </c>
      <c r="AP1644" s="0" t="n">
        <v>300000</v>
      </c>
      <c r="DB1644" s="0" t="str">
        <f aca="false">IF($A1644="","",IF($AH1644=20,IF(AND(OR($A1644=21,$A1644=215),$AJ1644=10),"①病院一般",IF(AND($A1644=31,$AJ1644=41),"②病院短期","対象外")),IF($AJ1644=30,"③特定消防",IF(AND(OR($A1644=21,$A1644=215),$AJ1644=10),"④一般",IF(AND($A1644=31,$AJ1644=41),"⑤短期","対象外")))))</f>
        <v>④一般</v>
      </c>
      <c r="DC1644" s="0" t="n">
        <f aca="false">IF($A1644="","",IF($AB1644&amp;""=設定!$C$4,1,0))</f>
        <v>1</v>
      </c>
    </row>
    <row r="1645" customFormat="false" ht="15" hidden="false" customHeight="false" outlineLevel="0" collapsed="false">
      <c r="A1645" s="0" t="n">
        <v>215</v>
      </c>
      <c r="AA1645" s="0" t="n">
        <v>21</v>
      </c>
      <c r="AB1645" s="0" t="s">
        <v>96</v>
      </c>
      <c r="AD1645" s="0" t="n">
        <v>0</v>
      </c>
      <c r="AE1645" s="0" t="s">
        <v>295</v>
      </c>
      <c r="AH1645" s="0" t="n">
        <v>1</v>
      </c>
      <c r="AJ1645" s="0" t="n">
        <v>10</v>
      </c>
      <c r="AP1645" s="0" t="n">
        <v>320000</v>
      </c>
      <c r="DB1645" s="0" t="str">
        <f aca="false">IF($A1645="","",IF($AH1645=20,IF(AND(OR($A1645=21,$A1645=215),$AJ1645=10),"①病院一般",IF(AND($A1645=31,$AJ1645=41),"②病院短期","対象外")),IF($AJ1645=30,"③特定消防",IF(AND(OR($A1645=21,$A1645=215),$AJ1645=10),"④一般",IF(AND($A1645=31,$AJ1645=41),"⑤短期","対象外")))))</f>
        <v>④一般</v>
      </c>
      <c r="DC1645" s="0" t="n">
        <f aca="false">IF($A1645="","",IF($AB1645&amp;""=設定!$C$4,1,0))</f>
        <v>1</v>
      </c>
    </row>
    <row r="1646" customFormat="false" ht="15" hidden="false" customHeight="false" outlineLevel="0" collapsed="false">
      <c r="A1646" s="0" t="n">
        <v>215</v>
      </c>
      <c r="AA1646" s="0" t="n">
        <v>21</v>
      </c>
      <c r="AB1646" s="0" t="s">
        <v>96</v>
      </c>
      <c r="AD1646" s="0" t="n">
        <v>0</v>
      </c>
      <c r="AE1646" s="0" t="s">
        <v>295</v>
      </c>
      <c r="AH1646" s="0" t="n">
        <v>1</v>
      </c>
      <c r="AJ1646" s="0" t="n">
        <v>10</v>
      </c>
      <c r="AP1646" s="0" t="n">
        <v>340000</v>
      </c>
      <c r="DB1646" s="0" t="str">
        <f aca="false">IF($A1646="","",IF($AH1646=20,IF(AND(OR($A1646=21,$A1646=215),$AJ1646=10),"①病院一般",IF(AND($A1646=31,$AJ1646=41),"②病院短期","対象外")),IF($AJ1646=30,"③特定消防",IF(AND(OR($A1646=21,$A1646=215),$AJ1646=10),"④一般",IF(AND($A1646=31,$AJ1646=41),"⑤短期","対象外")))))</f>
        <v>④一般</v>
      </c>
      <c r="DC1646" s="0" t="n">
        <f aca="false">IF($A1646="","",IF($AB1646&amp;""=設定!$C$4,1,0))</f>
        <v>1</v>
      </c>
    </row>
    <row r="1647" customFormat="false" ht="15" hidden="false" customHeight="false" outlineLevel="0" collapsed="false">
      <c r="A1647" s="0" t="n">
        <v>215</v>
      </c>
      <c r="AA1647" s="0" t="n">
        <v>21</v>
      </c>
      <c r="AB1647" s="0" t="s">
        <v>96</v>
      </c>
      <c r="AD1647" s="0" t="n">
        <v>0</v>
      </c>
      <c r="AE1647" s="0" t="s">
        <v>295</v>
      </c>
      <c r="AH1647" s="0" t="n">
        <v>3</v>
      </c>
      <c r="AJ1647" s="0" t="n">
        <v>10</v>
      </c>
      <c r="AP1647" s="0" t="n">
        <v>340000</v>
      </c>
      <c r="DB1647" s="0" t="str">
        <f aca="false">IF($A1647="","",IF($AH1647=20,IF(AND(OR($A1647=21,$A1647=215),$AJ1647=10),"①病院一般",IF(AND($A1647=31,$AJ1647=41),"②病院短期","対象外")),IF($AJ1647=30,"③特定消防",IF(AND(OR($A1647=21,$A1647=215),$AJ1647=10),"④一般",IF(AND($A1647=31,$AJ1647=41),"⑤短期","対象外")))))</f>
        <v>④一般</v>
      </c>
      <c r="DC1647" s="0" t="n">
        <f aca="false">IF($A1647="","",IF($AB1647&amp;""=設定!$C$4,1,0))</f>
        <v>1</v>
      </c>
    </row>
    <row r="1648" customFormat="false" ht="15" hidden="false" customHeight="false" outlineLevel="0" collapsed="false">
      <c r="A1648" s="0" t="n">
        <v>215</v>
      </c>
      <c r="AA1648" s="0" t="n">
        <v>21</v>
      </c>
      <c r="AB1648" s="0" t="s">
        <v>96</v>
      </c>
      <c r="AD1648" s="0" t="n">
        <v>0</v>
      </c>
      <c r="AE1648" s="0" t="s">
        <v>295</v>
      </c>
      <c r="AH1648" s="0" t="n">
        <v>1</v>
      </c>
      <c r="AJ1648" s="0" t="n">
        <v>10</v>
      </c>
      <c r="AP1648" s="0" t="n">
        <v>280000</v>
      </c>
      <c r="DB1648" s="0" t="str">
        <f aca="false">IF($A1648="","",IF($AH1648=20,IF(AND(OR($A1648=21,$A1648=215),$AJ1648=10),"①病院一般",IF(AND($A1648=31,$AJ1648=41),"②病院短期","対象外")),IF($AJ1648=30,"③特定消防",IF(AND(OR($A1648=21,$A1648=215),$AJ1648=10),"④一般",IF(AND($A1648=31,$AJ1648=41),"⑤短期","対象外")))))</f>
        <v>④一般</v>
      </c>
      <c r="DC1648" s="0" t="n">
        <f aca="false">IF($A1648="","",IF($AB1648&amp;""=設定!$C$4,1,0))</f>
        <v>1</v>
      </c>
    </row>
    <row r="1649" customFormat="false" ht="15" hidden="false" customHeight="false" outlineLevel="0" collapsed="false">
      <c r="A1649" s="0" t="n">
        <v>215</v>
      </c>
      <c r="AA1649" s="0" t="n">
        <v>21</v>
      </c>
      <c r="AB1649" s="0" t="s">
        <v>96</v>
      </c>
      <c r="AD1649" s="0" t="n">
        <v>0</v>
      </c>
      <c r="AE1649" s="0" t="s">
        <v>295</v>
      </c>
      <c r="AH1649" s="0" t="n">
        <v>1</v>
      </c>
      <c r="AJ1649" s="0" t="n">
        <v>10</v>
      </c>
      <c r="AP1649" s="0" t="n">
        <v>360000</v>
      </c>
      <c r="DB1649" s="0" t="str">
        <f aca="false">IF($A1649="","",IF($AH1649=20,IF(AND(OR($A1649=21,$A1649=215),$AJ1649=10),"①病院一般",IF(AND($A1649=31,$AJ1649=41),"②病院短期","対象外")),IF($AJ1649=30,"③特定消防",IF(AND(OR($A1649=21,$A1649=215),$AJ1649=10),"④一般",IF(AND($A1649=31,$AJ1649=41),"⑤短期","対象外")))))</f>
        <v>④一般</v>
      </c>
      <c r="DC1649" s="0" t="n">
        <f aca="false">IF($A1649="","",IF($AB1649&amp;""=設定!$C$4,1,0))</f>
        <v>1</v>
      </c>
    </row>
    <row r="1650" customFormat="false" ht="15" hidden="false" customHeight="false" outlineLevel="0" collapsed="false">
      <c r="A1650" s="0" t="n">
        <v>215</v>
      </c>
      <c r="AA1650" s="0" t="n">
        <v>21</v>
      </c>
      <c r="AB1650" s="0" t="s">
        <v>96</v>
      </c>
      <c r="AD1650" s="0" t="n">
        <v>0</v>
      </c>
      <c r="AE1650" s="0" t="s">
        <v>295</v>
      </c>
      <c r="AH1650" s="0" t="n">
        <v>1</v>
      </c>
      <c r="AJ1650" s="0" t="n">
        <v>10</v>
      </c>
      <c r="AP1650" s="0" t="n">
        <v>380000</v>
      </c>
      <c r="DB1650" s="0" t="str">
        <f aca="false">IF($A1650="","",IF($AH1650=20,IF(AND(OR($A1650=21,$A1650=215),$AJ1650=10),"①病院一般",IF(AND($A1650=31,$AJ1650=41),"②病院短期","対象外")),IF($AJ1650=30,"③特定消防",IF(AND(OR($A1650=21,$A1650=215),$AJ1650=10),"④一般",IF(AND($A1650=31,$AJ1650=41),"⑤短期","対象外")))))</f>
        <v>④一般</v>
      </c>
      <c r="DC1650" s="0" t="n">
        <f aca="false">IF($A1650="","",IF($AB1650&amp;""=設定!$C$4,1,0))</f>
        <v>1</v>
      </c>
    </row>
    <row r="1651" customFormat="false" ht="15" hidden="false" customHeight="false" outlineLevel="0" collapsed="false">
      <c r="A1651" s="0" t="n">
        <v>215</v>
      </c>
      <c r="AA1651" s="0" t="n">
        <v>21</v>
      </c>
      <c r="AB1651" s="0" t="s">
        <v>96</v>
      </c>
      <c r="AD1651" s="0" t="n">
        <v>0</v>
      </c>
      <c r="AE1651" s="0" t="s">
        <v>295</v>
      </c>
      <c r="AH1651" s="0" t="n">
        <v>1</v>
      </c>
      <c r="AJ1651" s="0" t="n">
        <v>10</v>
      </c>
      <c r="AP1651" s="0" t="n">
        <v>320000</v>
      </c>
      <c r="DB1651" s="0" t="str">
        <f aca="false">IF($A1651="","",IF($AH1651=20,IF(AND(OR($A1651=21,$A1651=215),$AJ1651=10),"①病院一般",IF(AND($A1651=31,$AJ1651=41),"②病院短期","対象外")),IF($AJ1651=30,"③特定消防",IF(AND(OR($A1651=21,$A1651=215),$AJ1651=10),"④一般",IF(AND($A1651=31,$AJ1651=41),"⑤短期","対象外")))))</f>
        <v>④一般</v>
      </c>
      <c r="DC1651" s="0" t="n">
        <f aca="false">IF($A1651="","",IF($AB1651&amp;""=設定!$C$4,1,0))</f>
        <v>1</v>
      </c>
    </row>
    <row r="1652" customFormat="false" ht="15" hidden="false" customHeight="false" outlineLevel="0" collapsed="false">
      <c r="A1652" s="0" t="n">
        <v>215</v>
      </c>
      <c r="AA1652" s="0" t="n">
        <v>21</v>
      </c>
      <c r="AB1652" s="0" t="s">
        <v>96</v>
      </c>
      <c r="AD1652" s="0" t="n">
        <v>0</v>
      </c>
      <c r="AE1652" s="0" t="s">
        <v>295</v>
      </c>
      <c r="AH1652" s="0" t="n">
        <v>3</v>
      </c>
      <c r="AJ1652" s="0" t="n">
        <v>10</v>
      </c>
      <c r="AP1652" s="0" t="n">
        <v>340000</v>
      </c>
      <c r="DB1652" s="0" t="str">
        <f aca="false">IF($A1652="","",IF($AH1652=20,IF(AND(OR($A1652=21,$A1652=215),$AJ1652=10),"①病院一般",IF(AND($A1652=31,$AJ1652=41),"②病院短期","対象外")),IF($AJ1652=30,"③特定消防",IF(AND(OR($A1652=21,$A1652=215),$AJ1652=10),"④一般",IF(AND($A1652=31,$AJ1652=41),"⑤短期","対象外")))))</f>
        <v>④一般</v>
      </c>
      <c r="DC1652" s="0" t="n">
        <f aca="false">IF($A1652="","",IF($AB1652&amp;""=設定!$C$4,1,0))</f>
        <v>1</v>
      </c>
    </row>
    <row r="1653" customFormat="false" ht="15" hidden="false" customHeight="false" outlineLevel="0" collapsed="false">
      <c r="A1653" s="0" t="n">
        <v>215</v>
      </c>
      <c r="AA1653" s="0" t="n">
        <v>21</v>
      </c>
      <c r="AB1653" s="0" t="s">
        <v>96</v>
      </c>
      <c r="AD1653" s="0" t="n">
        <v>0</v>
      </c>
      <c r="AE1653" s="0" t="s">
        <v>295</v>
      </c>
      <c r="AH1653" s="0" t="n">
        <v>20</v>
      </c>
      <c r="AJ1653" s="0" t="n">
        <v>10</v>
      </c>
      <c r="AP1653" s="0" t="n">
        <v>380000</v>
      </c>
      <c r="DB1653" s="0" t="str">
        <f aca="false">IF($A1653="","",IF($AH1653=20,IF(AND(OR($A1653=21,$A1653=215),$AJ1653=10),"①病院一般",IF(AND($A1653=31,$AJ1653=41),"②病院短期","対象外")),IF($AJ1653=30,"③特定消防",IF(AND(OR($A1653=21,$A1653=215),$AJ1653=10),"④一般",IF(AND($A1653=31,$AJ1653=41),"⑤短期","対象外")))))</f>
        <v>①病院一般</v>
      </c>
      <c r="DC1653" s="0" t="n">
        <f aca="false">IF($A1653="","",IF($AB1653&amp;""=設定!$C$4,1,0))</f>
        <v>1</v>
      </c>
    </row>
    <row r="1654" customFormat="false" ht="15" hidden="false" customHeight="false" outlineLevel="0" collapsed="false">
      <c r="A1654" s="0" t="n">
        <v>215</v>
      </c>
      <c r="AA1654" s="0" t="n">
        <v>21</v>
      </c>
      <c r="AB1654" s="0" t="s">
        <v>96</v>
      </c>
      <c r="AD1654" s="0" t="n">
        <v>0</v>
      </c>
      <c r="AE1654" s="0" t="s">
        <v>295</v>
      </c>
      <c r="AH1654" s="0" t="n">
        <v>1</v>
      </c>
      <c r="AJ1654" s="0" t="n">
        <v>10</v>
      </c>
      <c r="AP1654" s="0" t="n">
        <v>360000</v>
      </c>
      <c r="DB1654" s="0" t="str">
        <f aca="false">IF($A1654="","",IF($AH1654=20,IF(AND(OR($A1654=21,$A1654=215),$AJ1654=10),"①病院一般",IF(AND($A1654=31,$AJ1654=41),"②病院短期","対象外")),IF($AJ1654=30,"③特定消防",IF(AND(OR($A1654=21,$A1654=215),$AJ1654=10),"④一般",IF(AND($A1654=31,$AJ1654=41),"⑤短期","対象外")))))</f>
        <v>④一般</v>
      </c>
      <c r="DC1654" s="0" t="n">
        <f aca="false">IF($A1654="","",IF($AB1654&amp;""=設定!$C$4,1,0))</f>
        <v>1</v>
      </c>
    </row>
    <row r="1655" customFormat="false" ht="15" hidden="false" customHeight="false" outlineLevel="0" collapsed="false">
      <c r="A1655" s="0" t="n">
        <v>215</v>
      </c>
      <c r="AA1655" s="0" t="n">
        <v>21</v>
      </c>
      <c r="AB1655" s="0" t="s">
        <v>96</v>
      </c>
      <c r="AD1655" s="0" t="n">
        <v>0</v>
      </c>
      <c r="AE1655" s="0" t="s">
        <v>295</v>
      </c>
      <c r="AH1655" s="0" t="n">
        <v>1</v>
      </c>
      <c r="AJ1655" s="0" t="n">
        <v>10</v>
      </c>
      <c r="AP1655" s="0" t="n">
        <v>300000</v>
      </c>
      <c r="DB1655" s="0" t="str">
        <f aca="false">IF($A1655="","",IF($AH1655=20,IF(AND(OR($A1655=21,$A1655=215),$AJ1655=10),"①病院一般",IF(AND($A1655=31,$AJ1655=41),"②病院短期","対象外")),IF($AJ1655=30,"③特定消防",IF(AND(OR($A1655=21,$A1655=215),$AJ1655=10),"④一般",IF(AND($A1655=31,$AJ1655=41),"⑤短期","対象外")))))</f>
        <v>④一般</v>
      </c>
      <c r="DC1655" s="0" t="n">
        <f aca="false">IF($A1655="","",IF($AB1655&amp;""=設定!$C$4,1,0))</f>
        <v>1</v>
      </c>
    </row>
    <row r="1656" customFormat="false" ht="15" hidden="false" customHeight="false" outlineLevel="0" collapsed="false">
      <c r="A1656" s="0" t="n">
        <v>215</v>
      </c>
      <c r="AA1656" s="0" t="n">
        <v>21</v>
      </c>
      <c r="AB1656" s="0" t="s">
        <v>96</v>
      </c>
      <c r="AD1656" s="0" t="n">
        <v>0</v>
      </c>
      <c r="AE1656" s="0" t="s">
        <v>295</v>
      </c>
      <c r="AH1656" s="0" t="n">
        <v>1</v>
      </c>
      <c r="AJ1656" s="0" t="n">
        <v>10</v>
      </c>
      <c r="AP1656" s="0" t="n">
        <v>360000</v>
      </c>
      <c r="DB1656" s="0" t="str">
        <f aca="false">IF($A1656="","",IF($AH1656=20,IF(AND(OR($A1656=21,$A1656=215),$AJ1656=10),"①病院一般",IF(AND($A1656=31,$AJ1656=41),"②病院短期","対象外")),IF($AJ1656=30,"③特定消防",IF(AND(OR($A1656=21,$A1656=215),$AJ1656=10),"④一般",IF(AND($A1656=31,$AJ1656=41),"⑤短期","対象外")))))</f>
        <v>④一般</v>
      </c>
      <c r="DC1656" s="0" t="n">
        <f aca="false">IF($A1656="","",IF($AB1656&amp;""=設定!$C$4,1,0))</f>
        <v>1</v>
      </c>
    </row>
    <row r="1657" customFormat="false" ht="15" hidden="false" customHeight="false" outlineLevel="0" collapsed="false">
      <c r="A1657" s="0" t="n">
        <v>215</v>
      </c>
      <c r="AA1657" s="0" t="n">
        <v>21</v>
      </c>
      <c r="AB1657" s="0" t="s">
        <v>96</v>
      </c>
      <c r="AD1657" s="0" t="n">
        <v>0</v>
      </c>
      <c r="AE1657" s="0" t="s">
        <v>295</v>
      </c>
      <c r="AH1657" s="0" t="n">
        <v>3</v>
      </c>
      <c r="AJ1657" s="0" t="n">
        <v>10</v>
      </c>
      <c r="AP1657" s="0" t="n">
        <v>340000</v>
      </c>
      <c r="DB1657" s="0" t="str">
        <f aca="false">IF($A1657="","",IF($AH1657=20,IF(AND(OR($A1657=21,$A1657=215),$AJ1657=10),"①病院一般",IF(AND($A1657=31,$AJ1657=41),"②病院短期","対象外")),IF($AJ1657=30,"③特定消防",IF(AND(OR($A1657=21,$A1657=215),$AJ1657=10),"④一般",IF(AND($A1657=31,$AJ1657=41),"⑤短期","対象外")))))</f>
        <v>④一般</v>
      </c>
      <c r="DC1657" s="0" t="n">
        <f aca="false">IF($A1657="","",IF($AB1657&amp;""=設定!$C$4,1,0))</f>
        <v>1</v>
      </c>
    </row>
    <row r="1658" customFormat="false" ht="15" hidden="false" customHeight="false" outlineLevel="0" collapsed="false">
      <c r="A1658" s="0" t="n">
        <v>215</v>
      </c>
      <c r="AA1658" s="0" t="n">
        <v>21</v>
      </c>
      <c r="AB1658" s="0" t="s">
        <v>96</v>
      </c>
      <c r="AD1658" s="0" t="n">
        <v>0</v>
      </c>
      <c r="AE1658" s="0" t="s">
        <v>295</v>
      </c>
      <c r="AH1658" s="0" t="n">
        <v>1</v>
      </c>
      <c r="AJ1658" s="0" t="n">
        <v>10</v>
      </c>
      <c r="AP1658" s="0" t="n">
        <v>320000</v>
      </c>
      <c r="DB1658" s="0" t="str">
        <f aca="false">IF($A1658="","",IF($AH1658=20,IF(AND(OR($A1658=21,$A1658=215),$AJ1658=10),"①病院一般",IF(AND($A1658=31,$AJ1658=41),"②病院短期","対象外")),IF($AJ1658=30,"③特定消防",IF(AND(OR($A1658=21,$A1658=215),$AJ1658=10),"④一般",IF(AND($A1658=31,$AJ1658=41),"⑤短期","対象外")))))</f>
        <v>④一般</v>
      </c>
      <c r="DC1658" s="0" t="n">
        <f aca="false">IF($A1658="","",IF($AB1658&amp;""=設定!$C$4,1,0))</f>
        <v>1</v>
      </c>
    </row>
    <row r="1659" customFormat="false" ht="15" hidden="false" customHeight="false" outlineLevel="0" collapsed="false">
      <c r="A1659" s="0" t="n">
        <v>215</v>
      </c>
      <c r="AA1659" s="0" t="n">
        <v>21</v>
      </c>
      <c r="AB1659" s="0" t="s">
        <v>96</v>
      </c>
      <c r="AD1659" s="0" t="n">
        <v>0</v>
      </c>
      <c r="AE1659" s="0" t="s">
        <v>295</v>
      </c>
      <c r="AH1659" s="0" t="n">
        <v>11</v>
      </c>
      <c r="AJ1659" s="0" t="n">
        <v>10</v>
      </c>
      <c r="AP1659" s="0" t="n">
        <v>300000</v>
      </c>
      <c r="DB1659" s="0" t="str">
        <f aca="false">IF($A1659="","",IF($AH1659=20,IF(AND(OR($A1659=21,$A1659=215),$AJ1659=10),"①病院一般",IF(AND($A1659=31,$AJ1659=41),"②病院短期","対象外")),IF($AJ1659=30,"③特定消防",IF(AND(OR($A1659=21,$A1659=215),$AJ1659=10),"④一般",IF(AND($A1659=31,$AJ1659=41),"⑤短期","対象外")))))</f>
        <v>④一般</v>
      </c>
      <c r="DC1659" s="0" t="n">
        <f aca="false">IF($A1659="","",IF($AB1659&amp;""=設定!$C$4,1,0))</f>
        <v>1</v>
      </c>
    </row>
    <row r="1660" customFormat="false" ht="15" hidden="false" customHeight="false" outlineLevel="0" collapsed="false">
      <c r="A1660" s="0" t="n">
        <v>215</v>
      </c>
      <c r="AA1660" s="0" t="n">
        <v>21</v>
      </c>
      <c r="AB1660" s="0" t="s">
        <v>96</v>
      </c>
      <c r="AD1660" s="0" t="n">
        <v>0</v>
      </c>
      <c r="AE1660" s="0" t="s">
        <v>295</v>
      </c>
      <c r="AH1660" s="0" t="n">
        <v>1</v>
      </c>
      <c r="AJ1660" s="0" t="n">
        <v>10</v>
      </c>
      <c r="AP1660" s="0" t="n">
        <v>340000</v>
      </c>
      <c r="DB1660" s="0" t="str">
        <f aca="false">IF($A1660="","",IF($AH1660=20,IF(AND(OR($A1660=21,$A1660=215),$AJ1660=10),"①病院一般",IF(AND($A1660=31,$AJ1660=41),"②病院短期","対象外")),IF($AJ1660=30,"③特定消防",IF(AND(OR($A1660=21,$A1660=215),$AJ1660=10),"④一般",IF(AND($A1660=31,$AJ1660=41),"⑤短期","対象外")))))</f>
        <v>④一般</v>
      </c>
      <c r="DC1660" s="0" t="n">
        <f aca="false">IF($A1660="","",IF($AB1660&amp;""=設定!$C$4,1,0))</f>
        <v>1</v>
      </c>
    </row>
    <row r="1661" customFormat="false" ht="15" hidden="false" customHeight="false" outlineLevel="0" collapsed="false">
      <c r="A1661" s="0" t="n">
        <v>215</v>
      </c>
      <c r="AA1661" s="0" t="n">
        <v>21</v>
      </c>
      <c r="AB1661" s="0" t="s">
        <v>96</v>
      </c>
      <c r="AD1661" s="0" t="n">
        <v>0</v>
      </c>
      <c r="AE1661" s="0" t="s">
        <v>295</v>
      </c>
      <c r="AH1661" s="0" t="n">
        <v>11</v>
      </c>
      <c r="AJ1661" s="0" t="n">
        <v>10</v>
      </c>
      <c r="AP1661" s="0" t="n">
        <v>280000</v>
      </c>
      <c r="DB1661" s="0" t="str">
        <f aca="false">IF($A1661="","",IF($AH1661=20,IF(AND(OR($A1661=21,$A1661=215),$AJ1661=10),"①病院一般",IF(AND($A1661=31,$AJ1661=41),"②病院短期","対象外")),IF($AJ1661=30,"③特定消防",IF(AND(OR($A1661=21,$A1661=215),$AJ1661=10),"④一般",IF(AND($A1661=31,$AJ1661=41),"⑤短期","対象外")))))</f>
        <v>④一般</v>
      </c>
      <c r="DC1661" s="0" t="n">
        <f aca="false">IF($A1661="","",IF($AB1661&amp;""=設定!$C$4,1,0))</f>
        <v>1</v>
      </c>
    </row>
    <row r="1662" customFormat="false" ht="15" hidden="false" customHeight="false" outlineLevel="0" collapsed="false">
      <c r="A1662" s="0" t="n">
        <v>215</v>
      </c>
      <c r="AA1662" s="0" t="n">
        <v>21</v>
      </c>
      <c r="AB1662" s="0" t="s">
        <v>96</v>
      </c>
      <c r="AD1662" s="0" t="n">
        <v>0</v>
      </c>
      <c r="AE1662" s="0" t="s">
        <v>295</v>
      </c>
      <c r="AH1662" s="0" t="n">
        <v>11</v>
      </c>
      <c r="AJ1662" s="0" t="n">
        <v>10</v>
      </c>
      <c r="AP1662" s="0" t="n">
        <v>280000</v>
      </c>
      <c r="DB1662" s="0" t="str">
        <f aca="false">IF($A1662="","",IF($AH1662=20,IF(AND(OR($A1662=21,$A1662=215),$AJ1662=10),"①病院一般",IF(AND($A1662=31,$AJ1662=41),"②病院短期","対象外")),IF($AJ1662=30,"③特定消防",IF(AND(OR($A1662=21,$A1662=215),$AJ1662=10),"④一般",IF(AND($A1662=31,$AJ1662=41),"⑤短期","対象外")))))</f>
        <v>④一般</v>
      </c>
      <c r="DC1662" s="0" t="n">
        <f aca="false">IF($A1662="","",IF($AB1662&amp;""=設定!$C$4,1,0))</f>
        <v>1</v>
      </c>
    </row>
    <row r="1663" customFormat="false" ht="15" hidden="false" customHeight="false" outlineLevel="0" collapsed="false">
      <c r="A1663" s="0" t="n">
        <v>215</v>
      </c>
      <c r="AA1663" s="0" t="n">
        <v>21</v>
      </c>
      <c r="AB1663" s="0" t="s">
        <v>96</v>
      </c>
      <c r="AD1663" s="0" t="n">
        <v>0</v>
      </c>
      <c r="AE1663" s="0" t="s">
        <v>295</v>
      </c>
      <c r="AH1663" s="0" t="n">
        <v>20</v>
      </c>
      <c r="AJ1663" s="0" t="n">
        <v>10</v>
      </c>
      <c r="AP1663" s="0" t="n">
        <v>750000</v>
      </c>
      <c r="DB1663" s="0" t="str">
        <f aca="false">IF($A1663="","",IF($AH1663=20,IF(AND(OR($A1663=21,$A1663=215),$AJ1663=10),"①病院一般",IF(AND($A1663=31,$AJ1663=41),"②病院短期","対象外")),IF($AJ1663=30,"③特定消防",IF(AND(OR($A1663=21,$A1663=215),$AJ1663=10),"④一般",IF(AND($A1663=31,$AJ1663=41),"⑤短期","対象外")))))</f>
        <v>①病院一般</v>
      </c>
      <c r="DC1663" s="0" t="n">
        <f aca="false">IF($A1663="","",IF($AB1663&amp;""=設定!$C$4,1,0))</f>
        <v>1</v>
      </c>
    </row>
    <row r="1664" customFormat="false" ht="15" hidden="false" customHeight="false" outlineLevel="0" collapsed="false">
      <c r="A1664" s="0" t="n">
        <v>215</v>
      </c>
      <c r="AA1664" s="0" t="n">
        <v>21</v>
      </c>
      <c r="AB1664" s="0" t="s">
        <v>96</v>
      </c>
      <c r="AD1664" s="0" t="n">
        <v>0</v>
      </c>
      <c r="AE1664" s="0" t="s">
        <v>295</v>
      </c>
      <c r="AH1664" s="0" t="n">
        <v>1</v>
      </c>
      <c r="AJ1664" s="0" t="n">
        <v>10</v>
      </c>
      <c r="AP1664" s="0" t="n">
        <v>280000</v>
      </c>
      <c r="DB1664" s="0" t="str">
        <f aca="false">IF($A1664="","",IF($AH1664=20,IF(AND(OR($A1664=21,$A1664=215),$AJ1664=10),"①病院一般",IF(AND($A1664=31,$AJ1664=41),"②病院短期","対象外")),IF($AJ1664=30,"③特定消防",IF(AND(OR($A1664=21,$A1664=215),$AJ1664=10),"④一般",IF(AND($A1664=31,$AJ1664=41),"⑤短期","対象外")))))</f>
        <v>④一般</v>
      </c>
      <c r="DC1664" s="0" t="n">
        <f aca="false">IF($A1664="","",IF($AB1664&amp;""=設定!$C$4,1,0))</f>
        <v>1</v>
      </c>
    </row>
    <row r="1665" customFormat="false" ht="15" hidden="false" customHeight="false" outlineLevel="0" collapsed="false">
      <c r="A1665" s="0" t="n">
        <v>215</v>
      </c>
      <c r="AA1665" s="0" t="n">
        <v>21</v>
      </c>
      <c r="AB1665" s="0" t="s">
        <v>96</v>
      </c>
      <c r="AD1665" s="0" t="n">
        <v>0</v>
      </c>
      <c r="AE1665" s="0" t="s">
        <v>295</v>
      </c>
      <c r="AH1665" s="0" t="n">
        <v>1</v>
      </c>
      <c r="AJ1665" s="0" t="n">
        <v>10</v>
      </c>
      <c r="AP1665" s="0" t="n">
        <v>320000</v>
      </c>
      <c r="DB1665" s="0" t="str">
        <f aca="false">IF($A1665="","",IF($AH1665=20,IF(AND(OR($A1665=21,$A1665=215),$AJ1665=10),"①病院一般",IF(AND($A1665=31,$AJ1665=41),"②病院短期","対象外")),IF($AJ1665=30,"③特定消防",IF(AND(OR($A1665=21,$A1665=215),$AJ1665=10),"④一般",IF(AND($A1665=31,$AJ1665=41),"⑤短期","対象外")))))</f>
        <v>④一般</v>
      </c>
      <c r="DC1665" s="0" t="n">
        <f aca="false">IF($A1665="","",IF($AB1665&amp;""=設定!$C$4,1,0))</f>
        <v>1</v>
      </c>
    </row>
    <row r="1666" customFormat="false" ht="15" hidden="false" customHeight="false" outlineLevel="0" collapsed="false">
      <c r="A1666" s="0" t="n">
        <v>215</v>
      </c>
      <c r="AA1666" s="0" t="n">
        <v>21</v>
      </c>
      <c r="AB1666" s="0" t="s">
        <v>96</v>
      </c>
      <c r="AD1666" s="0" t="n">
        <v>0</v>
      </c>
      <c r="AE1666" s="0" t="s">
        <v>295</v>
      </c>
      <c r="AH1666" s="0" t="n">
        <v>1</v>
      </c>
      <c r="AJ1666" s="0" t="n">
        <v>10</v>
      </c>
      <c r="AP1666" s="0" t="n">
        <v>360000</v>
      </c>
      <c r="DB1666" s="0" t="str">
        <f aca="false">IF($A1666="","",IF($AH1666=20,IF(AND(OR($A1666=21,$A1666=215),$AJ1666=10),"①病院一般",IF(AND($A1666=31,$AJ1666=41),"②病院短期","対象外")),IF($AJ1666=30,"③特定消防",IF(AND(OR($A1666=21,$A1666=215),$AJ1666=10),"④一般",IF(AND($A1666=31,$AJ1666=41),"⑤短期","対象外")))))</f>
        <v>④一般</v>
      </c>
      <c r="DC1666" s="0" t="n">
        <f aca="false">IF($A1666="","",IF($AB1666&amp;""=設定!$C$4,1,0))</f>
        <v>1</v>
      </c>
    </row>
    <row r="1667" customFormat="false" ht="15" hidden="false" customHeight="false" outlineLevel="0" collapsed="false">
      <c r="A1667" s="0" t="n">
        <v>215</v>
      </c>
      <c r="AA1667" s="0" t="n">
        <v>21</v>
      </c>
      <c r="AB1667" s="0" t="s">
        <v>96</v>
      </c>
      <c r="AD1667" s="0" t="n">
        <v>0</v>
      </c>
      <c r="AE1667" s="0" t="s">
        <v>295</v>
      </c>
      <c r="AH1667" s="0" t="n">
        <v>1</v>
      </c>
      <c r="AJ1667" s="0" t="n">
        <v>10</v>
      </c>
      <c r="AP1667" s="0" t="n">
        <v>320000</v>
      </c>
      <c r="DB1667" s="0" t="str">
        <f aca="false">IF($A1667="","",IF($AH1667=20,IF(AND(OR($A1667=21,$A1667=215),$AJ1667=10),"①病院一般",IF(AND($A1667=31,$AJ1667=41),"②病院短期","対象外")),IF($AJ1667=30,"③特定消防",IF(AND(OR($A1667=21,$A1667=215),$AJ1667=10),"④一般",IF(AND($A1667=31,$AJ1667=41),"⑤短期","対象外")))))</f>
        <v>④一般</v>
      </c>
      <c r="DC1667" s="0" t="n">
        <f aca="false">IF($A1667="","",IF($AB1667&amp;""=設定!$C$4,1,0))</f>
        <v>1</v>
      </c>
    </row>
    <row r="1668" customFormat="false" ht="15" hidden="false" customHeight="false" outlineLevel="0" collapsed="false">
      <c r="A1668" s="0" t="n">
        <v>215</v>
      </c>
      <c r="AA1668" s="0" t="n">
        <v>21</v>
      </c>
      <c r="AB1668" s="0" t="s">
        <v>96</v>
      </c>
      <c r="AD1668" s="0" t="n">
        <v>0</v>
      </c>
      <c r="AE1668" s="0" t="s">
        <v>295</v>
      </c>
      <c r="AH1668" s="0" t="n">
        <v>11</v>
      </c>
      <c r="AJ1668" s="0" t="n">
        <v>10</v>
      </c>
      <c r="AP1668" s="0" t="n">
        <v>300000</v>
      </c>
      <c r="DB1668" s="0" t="str">
        <f aca="false">IF($A1668="","",IF($AH1668=20,IF(AND(OR($A1668=21,$A1668=215),$AJ1668=10),"①病院一般",IF(AND($A1668=31,$AJ1668=41),"②病院短期","対象外")),IF($AJ1668=30,"③特定消防",IF(AND(OR($A1668=21,$A1668=215),$AJ1668=10),"④一般",IF(AND($A1668=31,$AJ1668=41),"⑤短期","対象外")))))</f>
        <v>④一般</v>
      </c>
      <c r="DC1668" s="0" t="n">
        <f aca="false">IF($A1668="","",IF($AB1668&amp;""=設定!$C$4,1,0))</f>
        <v>1</v>
      </c>
    </row>
    <row r="1669" customFormat="false" ht="15" hidden="false" customHeight="false" outlineLevel="0" collapsed="false">
      <c r="A1669" s="0" t="n">
        <v>215</v>
      </c>
      <c r="AA1669" s="0" t="n">
        <v>21</v>
      </c>
      <c r="AB1669" s="0" t="s">
        <v>96</v>
      </c>
      <c r="AD1669" s="0" t="n">
        <v>0</v>
      </c>
      <c r="AE1669" s="0" t="s">
        <v>295</v>
      </c>
      <c r="AH1669" s="0" t="n">
        <v>1</v>
      </c>
      <c r="AJ1669" s="0" t="n">
        <v>10</v>
      </c>
      <c r="AP1669" s="0" t="n">
        <v>360000</v>
      </c>
      <c r="DB1669" s="0" t="str">
        <f aca="false">IF($A1669="","",IF($AH1669=20,IF(AND(OR($A1669=21,$A1669=215),$AJ1669=10),"①病院一般",IF(AND($A1669=31,$AJ1669=41),"②病院短期","対象外")),IF($AJ1669=30,"③特定消防",IF(AND(OR($A1669=21,$A1669=215),$AJ1669=10),"④一般",IF(AND($A1669=31,$AJ1669=41),"⑤短期","対象外")))))</f>
        <v>④一般</v>
      </c>
      <c r="DC1669" s="0" t="n">
        <f aca="false">IF($A1669="","",IF($AB1669&amp;""=設定!$C$4,1,0))</f>
        <v>1</v>
      </c>
    </row>
    <row r="1670" customFormat="false" ht="15" hidden="false" customHeight="false" outlineLevel="0" collapsed="false">
      <c r="A1670" s="0" t="n">
        <v>215</v>
      </c>
      <c r="AA1670" s="0" t="n">
        <v>21</v>
      </c>
      <c r="AB1670" s="0" t="s">
        <v>96</v>
      </c>
      <c r="AD1670" s="0" t="n">
        <v>0</v>
      </c>
      <c r="AE1670" s="0" t="s">
        <v>295</v>
      </c>
      <c r="AH1670" s="0" t="n">
        <v>11</v>
      </c>
      <c r="AJ1670" s="0" t="n">
        <v>10</v>
      </c>
      <c r="AP1670" s="0" t="n">
        <v>280000</v>
      </c>
      <c r="DB1670" s="0" t="str">
        <f aca="false">IF($A1670="","",IF($AH1670=20,IF(AND(OR($A1670=21,$A1670=215),$AJ1670=10),"①病院一般",IF(AND($A1670=31,$AJ1670=41),"②病院短期","対象外")),IF($AJ1670=30,"③特定消防",IF(AND(OR($A1670=21,$A1670=215),$AJ1670=10),"④一般",IF(AND($A1670=31,$AJ1670=41),"⑤短期","対象外")))))</f>
        <v>④一般</v>
      </c>
      <c r="DC1670" s="0" t="n">
        <f aca="false">IF($A1670="","",IF($AB1670&amp;""=設定!$C$4,1,0))</f>
        <v>1</v>
      </c>
    </row>
    <row r="1671" customFormat="false" ht="15" hidden="false" customHeight="false" outlineLevel="0" collapsed="false">
      <c r="A1671" s="0" t="n">
        <v>215</v>
      </c>
      <c r="AA1671" s="0" t="n">
        <v>21</v>
      </c>
      <c r="AB1671" s="0" t="s">
        <v>96</v>
      </c>
      <c r="AD1671" s="0" t="n">
        <v>0</v>
      </c>
      <c r="AE1671" s="0" t="s">
        <v>295</v>
      </c>
      <c r="AH1671" s="0" t="n">
        <v>1</v>
      </c>
      <c r="AJ1671" s="0" t="n">
        <v>10</v>
      </c>
      <c r="AP1671" s="0" t="n">
        <v>280000</v>
      </c>
      <c r="DB1671" s="0" t="str">
        <f aca="false">IF($A1671="","",IF($AH1671=20,IF(AND(OR($A1671=21,$A1671=215),$AJ1671=10),"①病院一般",IF(AND($A1671=31,$AJ1671=41),"②病院短期","対象外")),IF($AJ1671=30,"③特定消防",IF(AND(OR($A1671=21,$A1671=215),$AJ1671=10),"④一般",IF(AND($A1671=31,$AJ1671=41),"⑤短期","対象外")))))</f>
        <v>④一般</v>
      </c>
      <c r="DC1671" s="0" t="n">
        <f aca="false">IF($A1671="","",IF($AB1671&amp;""=設定!$C$4,1,0))</f>
        <v>1</v>
      </c>
    </row>
    <row r="1672" customFormat="false" ht="15" hidden="false" customHeight="false" outlineLevel="0" collapsed="false">
      <c r="A1672" s="0" t="n">
        <v>215</v>
      </c>
      <c r="AA1672" s="0" t="n">
        <v>21</v>
      </c>
      <c r="AB1672" s="0" t="s">
        <v>96</v>
      </c>
      <c r="AD1672" s="0" t="n">
        <v>0</v>
      </c>
      <c r="AE1672" s="0" t="s">
        <v>295</v>
      </c>
      <c r="AH1672" s="0" t="n">
        <v>20</v>
      </c>
      <c r="AJ1672" s="0" t="n">
        <v>10</v>
      </c>
      <c r="AP1672" s="0" t="n">
        <v>980000</v>
      </c>
      <c r="DB1672" s="0" t="str">
        <f aca="false">IF($A1672="","",IF($AH1672=20,IF(AND(OR($A1672=21,$A1672=215),$AJ1672=10),"①病院一般",IF(AND($A1672=31,$AJ1672=41),"②病院短期","対象外")),IF($AJ1672=30,"③特定消防",IF(AND(OR($A1672=21,$A1672=215),$AJ1672=10),"④一般",IF(AND($A1672=31,$AJ1672=41),"⑤短期","対象外")))))</f>
        <v>①病院一般</v>
      </c>
      <c r="DC1672" s="0" t="n">
        <f aca="false">IF($A1672="","",IF($AB1672&amp;""=設定!$C$4,1,0))</f>
        <v>1</v>
      </c>
    </row>
    <row r="1673" customFormat="false" ht="15" hidden="false" customHeight="false" outlineLevel="0" collapsed="false">
      <c r="A1673" s="0" t="n">
        <v>215</v>
      </c>
      <c r="AA1673" s="0" t="n">
        <v>21</v>
      </c>
      <c r="AB1673" s="0" t="s">
        <v>96</v>
      </c>
      <c r="AD1673" s="0" t="n">
        <v>0</v>
      </c>
      <c r="AE1673" s="0" t="s">
        <v>295</v>
      </c>
      <c r="AH1673" s="0" t="n">
        <v>1</v>
      </c>
      <c r="AJ1673" s="0" t="n">
        <v>10</v>
      </c>
      <c r="AP1673" s="0" t="n">
        <v>300000</v>
      </c>
      <c r="DB1673" s="0" t="str">
        <f aca="false">IF($A1673="","",IF($AH1673=20,IF(AND(OR($A1673=21,$A1673=215),$AJ1673=10),"①病院一般",IF(AND($A1673=31,$AJ1673=41),"②病院短期","対象外")),IF($AJ1673=30,"③特定消防",IF(AND(OR($A1673=21,$A1673=215),$AJ1673=10),"④一般",IF(AND($A1673=31,$AJ1673=41),"⑤短期","対象外")))))</f>
        <v>④一般</v>
      </c>
      <c r="DC1673" s="0" t="n">
        <f aca="false">IF($A1673="","",IF($AB1673&amp;""=設定!$C$4,1,0))</f>
        <v>1</v>
      </c>
    </row>
    <row r="1674" customFormat="false" ht="15" hidden="false" customHeight="false" outlineLevel="0" collapsed="false">
      <c r="A1674" s="0" t="n">
        <v>215</v>
      </c>
      <c r="AA1674" s="0" t="n">
        <v>21</v>
      </c>
      <c r="AB1674" s="0" t="s">
        <v>96</v>
      </c>
      <c r="AD1674" s="0" t="n">
        <v>0</v>
      </c>
      <c r="AE1674" s="0" t="s">
        <v>295</v>
      </c>
      <c r="AH1674" s="0" t="n">
        <v>1</v>
      </c>
      <c r="AJ1674" s="0" t="n">
        <v>10</v>
      </c>
      <c r="AP1674" s="0" t="n">
        <v>360000</v>
      </c>
      <c r="DB1674" s="0" t="str">
        <f aca="false">IF($A1674="","",IF($AH1674=20,IF(AND(OR($A1674=21,$A1674=215),$AJ1674=10),"①病院一般",IF(AND($A1674=31,$AJ1674=41),"②病院短期","対象外")),IF($AJ1674=30,"③特定消防",IF(AND(OR($A1674=21,$A1674=215),$AJ1674=10),"④一般",IF(AND($A1674=31,$AJ1674=41),"⑤短期","対象外")))))</f>
        <v>④一般</v>
      </c>
      <c r="DC1674" s="0" t="n">
        <f aca="false">IF($A1674="","",IF($AB1674&amp;""=設定!$C$4,1,0))</f>
        <v>1</v>
      </c>
    </row>
    <row r="1675" customFormat="false" ht="15" hidden="false" customHeight="false" outlineLevel="0" collapsed="false">
      <c r="A1675" s="0" t="n">
        <v>215</v>
      </c>
      <c r="AA1675" s="0" t="n">
        <v>21</v>
      </c>
      <c r="AB1675" s="0" t="s">
        <v>96</v>
      </c>
      <c r="AD1675" s="0" t="n">
        <v>0</v>
      </c>
      <c r="AE1675" s="0" t="s">
        <v>295</v>
      </c>
      <c r="AH1675" s="0" t="n">
        <v>20</v>
      </c>
      <c r="AJ1675" s="0" t="n">
        <v>10</v>
      </c>
      <c r="AP1675" s="0" t="n">
        <v>790000</v>
      </c>
      <c r="DB1675" s="0" t="str">
        <f aca="false">IF($A1675="","",IF($AH1675=20,IF(AND(OR($A1675=21,$A1675=215),$AJ1675=10),"①病院一般",IF(AND($A1675=31,$AJ1675=41),"②病院短期","対象外")),IF($AJ1675=30,"③特定消防",IF(AND(OR($A1675=21,$A1675=215),$AJ1675=10),"④一般",IF(AND($A1675=31,$AJ1675=41),"⑤短期","対象外")))))</f>
        <v>①病院一般</v>
      </c>
      <c r="DC1675" s="0" t="n">
        <f aca="false">IF($A1675="","",IF($AB1675&amp;""=設定!$C$4,1,0))</f>
        <v>1</v>
      </c>
    </row>
    <row r="1676" customFormat="false" ht="15" hidden="false" customHeight="false" outlineLevel="0" collapsed="false">
      <c r="A1676" s="0" t="n">
        <v>215</v>
      </c>
      <c r="AA1676" s="0" t="n">
        <v>21</v>
      </c>
      <c r="AB1676" s="0" t="s">
        <v>96</v>
      </c>
      <c r="AD1676" s="0" t="n">
        <v>0</v>
      </c>
      <c r="AE1676" s="0" t="s">
        <v>295</v>
      </c>
      <c r="AH1676" s="0" t="n">
        <v>20</v>
      </c>
      <c r="AJ1676" s="0" t="n">
        <v>10</v>
      </c>
      <c r="AP1676" s="0" t="n">
        <v>300000</v>
      </c>
      <c r="DB1676" s="0" t="str">
        <f aca="false">IF($A1676="","",IF($AH1676=20,IF(AND(OR($A1676=21,$A1676=215),$AJ1676=10),"①病院一般",IF(AND($A1676=31,$AJ1676=41),"②病院短期","対象外")),IF($AJ1676=30,"③特定消防",IF(AND(OR($A1676=21,$A1676=215),$AJ1676=10),"④一般",IF(AND($A1676=31,$AJ1676=41),"⑤短期","対象外")))))</f>
        <v>①病院一般</v>
      </c>
      <c r="DC1676" s="0" t="n">
        <f aca="false">IF($A1676="","",IF($AB1676&amp;""=設定!$C$4,1,0))</f>
        <v>1</v>
      </c>
    </row>
    <row r="1677" customFormat="false" ht="15" hidden="false" customHeight="false" outlineLevel="0" collapsed="false">
      <c r="A1677" s="0" t="n">
        <v>215</v>
      </c>
      <c r="AA1677" s="0" t="n">
        <v>21</v>
      </c>
      <c r="AB1677" s="0" t="s">
        <v>96</v>
      </c>
      <c r="AD1677" s="0" t="n">
        <v>0</v>
      </c>
      <c r="AE1677" s="0" t="s">
        <v>295</v>
      </c>
      <c r="AH1677" s="0" t="n">
        <v>1</v>
      </c>
      <c r="AJ1677" s="0" t="n">
        <v>10</v>
      </c>
      <c r="AP1677" s="0" t="n">
        <v>320000</v>
      </c>
      <c r="DB1677" s="0" t="str">
        <f aca="false">IF($A1677="","",IF($AH1677=20,IF(AND(OR($A1677=21,$A1677=215),$AJ1677=10),"①病院一般",IF(AND($A1677=31,$AJ1677=41),"②病院短期","対象外")),IF($AJ1677=30,"③特定消防",IF(AND(OR($A1677=21,$A1677=215),$AJ1677=10),"④一般",IF(AND($A1677=31,$AJ1677=41),"⑤短期","対象外")))))</f>
        <v>④一般</v>
      </c>
      <c r="DC1677" s="0" t="n">
        <f aca="false">IF($A1677="","",IF($AB1677&amp;""=設定!$C$4,1,0))</f>
        <v>1</v>
      </c>
    </row>
    <row r="1678" customFormat="false" ht="15" hidden="false" customHeight="false" outlineLevel="0" collapsed="false">
      <c r="DB1678" s="0" t="str">
        <f aca="false">IF($A1678="","",IF($AH1678=20,IF(AND(OR($A1678=21,$A1678=215),$AJ1678=10),"①病院一般",IF(AND($A1678=31,$AJ1678=41),"②病院短期","対象外")),IF($AJ1678=30,"③特定消防",IF(AND(OR($A1678=21,$A1678=215),$AJ1678=10),"④一般",IF(AND($A1678=31,$AJ1678=41),"⑤短期","対象外")))))</f>
        <v/>
      </c>
      <c r="DC1678" s="0" t="str">
        <f aca="false">IF($A1678="","",IF($AB1678&amp;""=設定!$C$4,1,0))</f>
        <v/>
      </c>
    </row>
    <row r="1679" customFormat="false" ht="15" hidden="false" customHeight="false" outlineLevel="0" collapsed="false">
      <c r="DB1679" s="0" t="str">
        <f aca="false">IF($A1679="","",IF($AH1679=20,IF(AND(OR($A1679=21,$A1679=215),$AJ1679=10),"①病院一般",IF(AND($A1679=31,$AJ1679=41),"②病院短期","対象外")),IF($AJ1679=30,"③特定消防",IF(AND(OR($A1679=21,$A1679=215),$AJ1679=10),"④一般",IF(AND($A1679=31,$AJ1679=41),"⑤短期","対象外")))))</f>
        <v/>
      </c>
      <c r="DC1679" s="0" t="str">
        <f aca="false">IF($A1679="","",IF($AB1679&amp;""=設定!$C$4,1,0))</f>
        <v/>
      </c>
    </row>
    <row r="1680" customFormat="false" ht="15" hidden="false" customHeight="false" outlineLevel="0" collapsed="false">
      <c r="DB1680" s="0" t="str">
        <f aca="false">IF($A1680="","",IF($AH1680=20,IF(AND(OR($A1680=21,$A1680=215),$AJ1680=10),"①病院一般",IF(AND($A1680=31,$AJ1680=41),"②病院短期","対象外")),IF($AJ1680=30,"③特定消防",IF(AND(OR($A1680=21,$A1680=215),$AJ1680=10),"④一般",IF(AND($A1680=31,$AJ1680=41),"⑤短期","対象外")))))</f>
        <v/>
      </c>
      <c r="DC1680" s="0" t="str">
        <f aca="false">IF($A1680="","",IF($AB1680&amp;""=設定!$C$4,1,0))</f>
        <v/>
      </c>
    </row>
    <row r="1681" customFormat="false" ht="15" hidden="false" customHeight="false" outlineLevel="0" collapsed="false">
      <c r="DB1681" s="0" t="str">
        <f aca="false">IF($A1681="","",IF($AH1681=20,IF(AND(OR($A1681=21,$A1681=215),$AJ1681=10),"①病院一般",IF(AND($A1681=31,$AJ1681=41),"②病院短期","対象外")),IF($AJ1681=30,"③特定消防",IF(AND(OR($A1681=21,$A1681=215),$AJ1681=10),"④一般",IF(AND($A1681=31,$AJ1681=41),"⑤短期","対象外")))))</f>
        <v/>
      </c>
      <c r="DC1681" s="0" t="str">
        <f aca="false">IF($A1681="","",IF($AB1681&amp;""=設定!$C$4,1,0))</f>
        <v/>
      </c>
    </row>
    <row r="1682" customFormat="false" ht="15" hidden="false" customHeight="false" outlineLevel="0" collapsed="false">
      <c r="DB1682" s="0" t="str">
        <f aca="false">IF($A1682="","",IF($AH1682=20,IF(AND(OR($A1682=21,$A1682=215),$AJ1682=10),"①病院一般",IF(AND($A1682=31,$AJ1682=41),"②病院短期","対象外")),IF($AJ1682=30,"③特定消防",IF(AND(OR($A1682=21,$A1682=215),$AJ1682=10),"④一般",IF(AND($A1682=31,$AJ1682=41),"⑤短期","対象外")))))</f>
        <v/>
      </c>
      <c r="DC1682" s="0" t="str">
        <f aca="false">IF($A1682="","",IF($AB1682&amp;""=設定!$C$4,1,0))</f>
        <v/>
      </c>
    </row>
    <row r="1683" customFormat="false" ht="15" hidden="false" customHeight="false" outlineLevel="0" collapsed="false">
      <c r="DB1683" s="0" t="str">
        <f aca="false">IF($A1683="","",IF($AH1683=20,IF(AND(OR($A1683=21,$A1683=215),$AJ1683=10),"①病院一般",IF(AND($A1683=31,$AJ1683=41),"②病院短期","対象外")),IF($AJ1683=30,"③特定消防",IF(AND(OR($A1683=21,$A1683=215),$AJ1683=10),"④一般",IF(AND($A1683=31,$AJ1683=41),"⑤短期","対象外")))))</f>
        <v/>
      </c>
      <c r="DC1683" s="0" t="str">
        <f aca="false">IF($A1683="","",IF($AB1683&amp;""=設定!$C$4,1,0))</f>
        <v/>
      </c>
    </row>
    <row r="1684" customFormat="false" ht="15" hidden="false" customHeight="false" outlineLevel="0" collapsed="false">
      <c r="DB1684" s="0" t="str">
        <f aca="false">IF($A1684="","",IF($AH1684=20,IF(AND(OR($A1684=21,$A1684=215),$AJ1684=10),"①病院一般",IF(AND($A1684=31,$AJ1684=41),"②病院短期","対象外")),IF($AJ1684=30,"③特定消防",IF(AND(OR($A1684=21,$A1684=215),$AJ1684=10),"④一般",IF(AND($A1684=31,$AJ1684=41),"⑤短期","対象外")))))</f>
        <v/>
      </c>
      <c r="DC1684" s="0" t="str">
        <f aca="false">IF($A1684="","",IF($AB1684&amp;""=設定!$C$4,1,0))</f>
        <v/>
      </c>
    </row>
    <row r="1685" customFormat="false" ht="15" hidden="false" customHeight="false" outlineLevel="0" collapsed="false">
      <c r="DB1685" s="0" t="str">
        <f aca="false">IF($A1685="","",IF($AH1685=20,IF(AND(OR($A1685=21,$A1685=215),$AJ1685=10),"①病院一般",IF(AND($A1685=31,$AJ1685=41),"②病院短期","対象外")),IF($AJ1685=30,"③特定消防",IF(AND(OR($A1685=21,$A1685=215),$AJ1685=10),"④一般",IF(AND($A1685=31,$AJ1685=41),"⑤短期","対象外")))))</f>
        <v/>
      </c>
      <c r="DC1685" s="0" t="str">
        <f aca="false">IF($A1685="","",IF($AB1685&amp;""=設定!$C$4,1,0))</f>
        <v/>
      </c>
    </row>
    <row r="1686" customFormat="false" ht="15" hidden="false" customHeight="false" outlineLevel="0" collapsed="false">
      <c r="DB1686" s="0" t="str">
        <f aca="false">IF($A1686="","",IF($AH1686=20,IF(AND(OR($A1686=21,$A1686=215),$AJ1686=10),"①病院一般",IF(AND($A1686=31,$AJ1686=41),"②病院短期","対象外")),IF($AJ1686=30,"③特定消防",IF(AND(OR($A1686=21,$A1686=215),$AJ1686=10),"④一般",IF(AND($A1686=31,$AJ1686=41),"⑤短期","対象外")))))</f>
        <v/>
      </c>
      <c r="DC1686" s="0" t="str">
        <f aca="false">IF($A1686="","",IF($AB1686&amp;""=設定!$C$4,1,0))</f>
        <v/>
      </c>
    </row>
    <row r="1687" customFormat="false" ht="15" hidden="false" customHeight="false" outlineLevel="0" collapsed="false">
      <c r="DB1687" s="0" t="str">
        <f aca="false">IF($A1687="","",IF($AH1687=20,IF(AND(OR($A1687=21,$A1687=215),$AJ1687=10),"①病院一般",IF(AND($A1687=31,$AJ1687=41),"②病院短期","対象外")),IF($AJ1687=30,"③特定消防",IF(AND(OR($A1687=21,$A1687=215),$AJ1687=10),"④一般",IF(AND($A1687=31,$AJ1687=41),"⑤短期","対象外")))))</f>
        <v/>
      </c>
      <c r="DC1687" s="0" t="str">
        <f aca="false">IF($A1687="","",IF($AB1687&amp;""=設定!$C$4,1,0))</f>
        <v/>
      </c>
    </row>
    <row r="1688" customFormat="false" ht="15" hidden="false" customHeight="false" outlineLevel="0" collapsed="false">
      <c r="DB1688" s="0" t="str">
        <f aca="false">IF($A1688="","",IF($AH1688=20,IF(AND(OR($A1688=21,$A1688=215),$AJ1688=10),"①病院一般",IF(AND($A1688=31,$AJ1688=41),"②病院短期","対象外")),IF($AJ1688=30,"③特定消防",IF(AND(OR($A1688=21,$A1688=215),$AJ1688=10),"④一般",IF(AND($A1688=31,$AJ1688=41),"⑤短期","対象外")))))</f>
        <v/>
      </c>
      <c r="DC1688" s="0" t="str">
        <f aca="false">IF($A1688="","",IF($AB1688&amp;""=設定!$C$4,1,0))</f>
        <v/>
      </c>
    </row>
    <row r="1689" customFormat="false" ht="15" hidden="false" customHeight="false" outlineLevel="0" collapsed="false">
      <c r="DB1689" s="0" t="str">
        <f aca="false">IF($A1689="","",IF($AH1689=20,IF(AND(OR($A1689=21,$A1689=215),$AJ1689=10),"①病院一般",IF(AND($A1689=31,$AJ1689=41),"②病院短期","対象外")),IF($AJ1689=30,"③特定消防",IF(AND(OR($A1689=21,$A1689=215),$AJ1689=10),"④一般",IF(AND($A1689=31,$AJ1689=41),"⑤短期","対象外")))))</f>
        <v/>
      </c>
      <c r="DC1689" s="0" t="str">
        <f aca="false">IF($A1689="","",IF($AB1689&amp;""=設定!$C$4,1,0))</f>
        <v/>
      </c>
    </row>
    <row r="1690" customFormat="false" ht="15" hidden="false" customHeight="false" outlineLevel="0" collapsed="false">
      <c r="DB1690" s="0" t="str">
        <f aca="false">IF($A1690="","",IF($AH1690=20,IF(AND(OR($A1690=21,$A1690=215),$AJ1690=10),"①病院一般",IF(AND($A1690=31,$AJ1690=41),"②病院短期","対象外")),IF($AJ1690=30,"③特定消防",IF(AND(OR($A1690=21,$A1690=215),$AJ1690=10),"④一般",IF(AND($A1690=31,$AJ1690=41),"⑤短期","対象外")))))</f>
        <v/>
      </c>
      <c r="DC1690" s="0" t="str">
        <f aca="false">IF($A1690="","",IF($AB1690&amp;""=設定!$C$4,1,0))</f>
        <v/>
      </c>
    </row>
    <row r="1691" customFormat="false" ht="15" hidden="false" customHeight="false" outlineLevel="0" collapsed="false">
      <c r="DB1691" s="0" t="str">
        <f aca="false">IF($A1691="","",IF($AH1691=20,IF(AND(OR($A1691=21,$A1691=215),$AJ1691=10),"①病院一般",IF(AND($A1691=31,$AJ1691=41),"②病院短期","対象外")),IF($AJ1691=30,"③特定消防",IF(AND(OR($A1691=21,$A1691=215),$AJ1691=10),"④一般",IF(AND($A1691=31,$AJ1691=41),"⑤短期","対象外")))))</f>
        <v/>
      </c>
      <c r="DC1691" s="0" t="str">
        <f aca="false">IF($A1691="","",IF($AB1691&amp;""=設定!$C$4,1,0))</f>
        <v/>
      </c>
    </row>
    <row r="1692" customFormat="false" ht="15" hidden="false" customHeight="false" outlineLevel="0" collapsed="false">
      <c r="DB1692" s="0" t="str">
        <f aca="false">IF($A1692="","",IF($AH1692=20,IF(AND(OR($A1692=21,$A1692=215),$AJ1692=10),"①病院一般",IF(AND($A1692=31,$AJ1692=41),"②病院短期","対象外")),IF($AJ1692=30,"③特定消防",IF(AND(OR($A1692=21,$A1692=215),$AJ1692=10),"④一般",IF(AND($A1692=31,$AJ1692=41),"⑤短期","対象外")))))</f>
        <v/>
      </c>
      <c r="DC1692" s="0" t="str">
        <f aca="false">IF($A1692="","",IF($AB1692&amp;""=設定!$C$4,1,0))</f>
        <v/>
      </c>
    </row>
    <row r="1693" customFormat="false" ht="15" hidden="false" customHeight="false" outlineLevel="0" collapsed="false">
      <c r="DB1693" s="0" t="str">
        <f aca="false">IF($A1693="","",IF($AH1693=20,IF(AND(OR($A1693=21,$A1693=215),$AJ1693=10),"①病院一般",IF(AND($A1693=31,$AJ1693=41),"②病院短期","対象外")),IF($AJ1693=30,"③特定消防",IF(AND(OR($A1693=21,$A1693=215),$AJ1693=10),"④一般",IF(AND($A1693=31,$AJ1693=41),"⑤短期","対象外")))))</f>
        <v/>
      </c>
      <c r="DC1693" s="0" t="str">
        <f aca="false">IF($A1693="","",IF($AB1693&amp;""=設定!$C$4,1,0))</f>
        <v/>
      </c>
    </row>
    <row r="1694" customFormat="false" ht="15" hidden="false" customHeight="false" outlineLevel="0" collapsed="false">
      <c r="DB1694" s="0" t="str">
        <f aca="false">IF($A1694="","",IF($AH1694=20,IF(AND(OR($A1694=21,$A1694=215),$AJ1694=10),"①病院一般",IF(AND($A1694=31,$AJ1694=41),"②病院短期","対象外")),IF($AJ1694=30,"③特定消防",IF(AND(OR($A1694=21,$A1694=215),$AJ1694=10),"④一般",IF(AND($A1694=31,$AJ1694=41),"⑤短期","対象外")))))</f>
        <v/>
      </c>
      <c r="DC1694" s="0" t="str">
        <f aca="false">IF($A1694="","",IF($AB1694&amp;""=設定!$C$4,1,0))</f>
        <v/>
      </c>
    </row>
    <row r="1695" customFormat="false" ht="15" hidden="false" customHeight="false" outlineLevel="0" collapsed="false">
      <c r="DB1695" s="0" t="str">
        <f aca="false">IF($A1695="","",IF($AH1695=20,IF(AND(OR($A1695=21,$A1695=215),$AJ1695=10),"①病院一般",IF(AND($A1695=31,$AJ1695=41),"②病院短期","対象外")),IF($AJ1695=30,"③特定消防",IF(AND(OR($A1695=21,$A1695=215),$AJ1695=10),"④一般",IF(AND($A1695=31,$AJ1695=41),"⑤短期","対象外")))))</f>
        <v/>
      </c>
      <c r="DC1695" s="0" t="str">
        <f aca="false">IF($A1695="","",IF($AB1695&amp;""=設定!$C$4,1,0))</f>
        <v/>
      </c>
    </row>
    <row r="1696" customFormat="false" ht="15" hidden="false" customHeight="false" outlineLevel="0" collapsed="false">
      <c r="DB1696" s="0" t="str">
        <f aca="false">IF($A1696="","",IF($AH1696=20,IF(AND(OR($A1696=21,$A1696=215),$AJ1696=10),"①病院一般",IF(AND($A1696=31,$AJ1696=41),"②病院短期","対象外")),IF($AJ1696=30,"③特定消防",IF(AND(OR($A1696=21,$A1696=215),$AJ1696=10),"④一般",IF(AND($A1696=31,$AJ1696=41),"⑤短期","対象外")))))</f>
        <v/>
      </c>
      <c r="DC1696" s="0" t="str">
        <f aca="false">IF($A1696="","",IF($AB1696&amp;""=設定!$C$4,1,0))</f>
        <v/>
      </c>
    </row>
    <row r="1697" customFormat="false" ht="15" hidden="false" customHeight="false" outlineLevel="0" collapsed="false">
      <c r="DB1697" s="0" t="str">
        <f aca="false">IF($A1697="","",IF($AH1697=20,IF(AND(OR($A1697=21,$A1697=215),$AJ1697=10),"①病院一般",IF(AND($A1697=31,$AJ1697=41),"②病院短期","対象外")),IF($AJ1697=30,"③特定消防",IF(AND(OR($A1697=21,$A1697=215),$AJ1697=10),"④一般",IF(AND($A1697=31,$AJ1697=41),"⑤短期","対象外")))))</f>
        <v/>
      </c>
      <c r="DC1697" s="0" t="str">
        <f aca="false">IF($A1697="","",IF($AB1697&amp;""=設定!$C$4,1,0))</f>
        <v/>
      </c>
    </row>
    <row r="1698" customFormat="false" ht="15" hidden="false" customHeight="false" outlineLevel="0" collapsed="false">
      <c r="DB1698" s="0" t="str">
        <f aca="false">IF($A1698="","",IF($AH1698=20,IF(AND(OR($A1698=21,$A1698=215),$AJ1698=10),"①病院一般",IF(AND($A1698=31,$AJ1698=41),"②病院短期","対象外")),IF($AJ1698=30,"③特定消防",IF(AND(OR($A1698=21,$A1698=215),$AJ1698=10),"④一般",IF(AND($A1698=31,$AJ1698=41),"⑤短期","対象外")))))</f>
        <v/>
      </c>
      <c r="DC1698" s="0" t="str">
        <f aca="false">IF($A1698="","",IF($AB1698&amp;""=設定!$C$4,1,0))</f>
        <v/>
      </c>
    </row>
    <row r="1699" customFormat="false" ht="15" hidden="false" customHeight="false" outlineLevel="0" collapsed="false">
      <c r="DB1699" s="0" t="str">
        <f aca="false">IF($A1699="","",IF($AH1699=20,IF(AND(OR($A1699=21,$A1699=215),$AJ1699=10),"①病院一般",IF(AND($A1699=31,$AJ1699=41),"②病院短期","対象外")),IF($AJ1699=30,"③特定消防",IF(AND(OR($A1699=21,$A1699=215),$AJ1699=10),"④一般",IF(AND($A1699=31,$AJ1699=41),"⑤短期","対象外")))))</f>
        <v/>
      </c>
      <c r="DC1699" s="0" t="str">
        <f aca="false">IF($A1699="","",IF($AB1699&amp;""=設定!$C$4,1,0))</f>
        <v/>
      </c>
    </row>
    <row r="1700" customFormat="false" ht="15" hidden="false" customHeight="false" outlineLevel="0" collapsed="false">
      <c r="DB1700" s="0" t="str">
        <f aca="false">IF($A1700="","",IF($AH1700=20,IF(AND(OR($A1700=21,$A1700=215),$AJ1700=10),"①病院一般",IF(AND($A1700=31,$AJ1700=41),"②病院短期","対象外")),IF($AJ1700=30,"③特定消防",IF(AND(OR($A1700=21,$A1700=215),$AJ1700=10),"④一般",IF(AND($A1700=31,$AJ1700=41),"⑤短期","対象外")))))</f>
        <v/>
      </c>
      <c r="DC1700" s="0" t="str">
        <f aca="false">IF($A1700="","",IF($AB1700&amp;""=設定!$C$4,1,0))</f>
        <v/>
      </c>
    </row>
    <row r="1701" customFormat="false" ht="15" hidden="false" customHeight="false" outlineLevel="0" collapsed="false">
      <c r="DB1701" s="0" t="str">
        <f aca="false">IF($A1701="","",IF($AH1701=20,IF(AND(OR($A1701=21,$A1701=215),$AJ1701=10),"①病院一般",IF(AND($A1701=31,$AJ1701=41),"②病院短期","対象外")),IF($AJ1701=30,"③特定消防",IF(AND(OR($A1701=21,$A1701=215),$AJ1701=10),"④一般",IF(AND($A1701=31,$AJ1701=41),"⑤短期","対象外")))))</f>
        <v/>
      </c>
      <c r="DC1701" s="0" t="str">
        <f aca="false">IF($A1701="","",IF($AB1701&amp;""=設定!$C$4,1,0))</f>
        <v/>
      </c>
    </row>
    <row r="1702" customFormat="false" ht="15" hidden="false" customHeight="false" outlineLevel="0" collapsed="false">
      <c r="DB1702" s="0" t="str">
        <f aca="false">IF($A1702="","",IF($AH1702=20,IF(AND(OR($A1702=21,$A1702=215),$AJ1702=10),"①病院一般",IF(AND($A1702=31,$AJ1702=41),"②病院短期","対象外")),IF($AJ1702=30,"③特定消防",IF(AND(OR($A1702=21,$A1702=215),$AJ1702=10),"④一般",IF(AND($A1702=31,$AJ1702=41),"⑤短期","対象外")))))</f>
        <v/>
      </c>
      <c r="DC1702" s="0" t="str">
        <f aca="false">IF($A1702="","",IF($AB1702&amp;""=設定!$C$4,1,0))</f>
        <v/>
      </c>
    </row>
    <row r="1703" customFormat="false" ht="15" hidden="false" customHeight="false" outlineLevel="0" collapsed="false">
      <c r="DB1703" s="0" t="str">
        <f aca="false">IF($A1703="","",IF($AH1703=20,IF(AND(OR($A1703=21,$A1703=215),$AJ1703=10),"①病院一般",IF(AND($A1703=31,$AJ1703=41),"②病院短期","対象外")),IF($AJ1703=30,"③特定消防",IF(AND(OR($A1703=21,$A1703=215),$AJ1703=10),"④一般",IF(AND($A1703=31,$AJ1703=41),"⑤短期","対象外")))))</f>
        <v/>
      </c>
      <c r="DC1703" s="0" t="str">
        <f aca="false">IF($A1703="","",IF($AB1703&amp;""=設定!$C$4,1,0))</f>
        <v/>
      </c>
    </row>
    <row r="1704" customFormat="false" ht="15" hidden="false" customHeight="false" outlineLevel="0" collapsed="false">
      <c r="DB1704" s="0" t="str">
        <f aca="false">IF($A1704="","",IF($AH1704=20,IF(AND(OR($A1704=21,$A1704=215),$AJ1704=10),"①病院一般",IF(AND($A1704=31,$AJ1704=41),"②病院短期","対象外")),IF($AJ1704=30,"③特定消防",IF(AND(OR($A1704=21,$A1704=215),$AJ1704=10),"④一般",IF(AND($A1704=31,$AJ1704=41),"⑤短期","対象外")))))</f>
        <v/>
      </c>
      <c r="DC1704" s="0" t="str">
        <f aca="false">IF($A1704="","",IF($AB1704&amp;""=設定!$C$4,1,0))</f>
        <v/>
      </c>
    </row>
    <row r="1705" customFormat="false" ht="15" hidden="false" customHeight="false" outlineLevel="0" collapsed="false">
      <c r="DB1705" s="0" t="str">
        <f aca="false">IF($A1705="","",IF($AH1705=20,IF(AND(OR($A1705=21,$A1705=215),$AJ1705=10),"①病院一般",IF(AND($A1705=31,$AJ1705=41),"②病院短期","対象外")),IF($AJ1705=30,"③特定消防",IF(AND(OR($A1705=21,$A1705=215),$AJ1705=10),"④一般",IF(AND($A1705=31,$AJ1705=41),"⑤短期","対象外")))))</f>
        <v/>
      </c>
      <c r="DC1705" s="0" t="str">
        <f aca="false">IF($A1705="","",IF($AB1705&amp;""=設定!$C$4,1,0))</f>
        <v/>
      </c>
    </row>
    <row r="1706" customFormat="false" ht="15" hidden="false" customHeight="false" outlineLevel="0" collapsed="false">
      <c r="DB1706" s="0" t="str">
        <f aca="false">IF($A1706="","",IF($AH1706=20,IF(AND(OR($A1706=21,$A1706=215),$AJ1706=10),"①病院一般",IF(AND($A1706=31,$AJ1706=41),"②病院短期","対象外")),IF($AJ1706=30,"③特定消防",IF(AND(OR($A1706=21,$A1706=215),$AJ1706=10),"④一般",IF(AND($A1706=31,$AJ1706=41),"⑤短期","対象外")))))</f>
        <v/>
      </c>
      <c r="DC1706" s="0" t="str">
        <f aca="false">IF($A1706="","",IF($AB1706&amp;""=設定!$C$4,1,0))</f>
        <v/>
      </c>
    </row>
    <row r="1707" customFormat="false" ht="15" hidden="false" customHeight="false" outlineLevel="0" collapsed="false">
      <c r="DB1707" s="0" t="str">
        <f aca="false">IF($A1707="","",IF($AH1707=20,IF(AND(OR($A1707=21,$A1707=215),$AJ1707=10),"①病院一般",IF(AND($A1707=31,$AJ1707=41),"②病院短期","対象外")),IF($AJ1707=30,"③特定消防",IF(AND(OR($A1707=21,$A1707=215),$AJ1707=10),"④一般",IF(AND($A1707=31,$AJ1707=41),"⑤短期","対象外")))))</f>
        <v/>
      </c>
      <c r="DC1707" s="0" t="str">
        <f aca="false">IF($A1707="","",IF($AB1707&amp;""=設定!$C$4,1,0))</f>
        <v/>
      </c>
    </row>
    <row r="1708" customFormat="false" ht="15" hidden="false" customHeight="false" outlineLevel="0" collapsed="false">
      <c r="DB1708" s="0" t="str">
        <f aca="false">IF($A1708="","",IF($AH1708=20,IF(AND(OR($A1708=21,$A1708=215),$AJ1708=10),"①病院一般",IF(AND($A1708=31,$AJ1708=41),"②病院短期","対象外")),IF($AJ1708=30,"③特定消防",IF(AND(OR($A1708=21,$A1708=215),$AJ1708=10),"④一般",IF(AND($A1708=31,$AJ1708=41),"⑤短期","対象外")))))</f>
        <v/>
      </c>
      <c r="DC1708" s="0" t="str">
        <f aca="false">IF($A1708="","",IF($AB1708&amp;""=設定!$C$4,1,0))</f>
        <v/>
      </c>
    </row>
    <row r="1709" customFormat="false" ht="15" hidden="false" customHeight="false" outlineLevel="0" collapsed="false">
      <c r="DB1709" s="0" t="str">
        <f aca="false">IF($A1709="","",IF($AH1709=20,IF(AND(OR($A1709=21,$A1709=215),$AJ1709=10),"①病院一般",IF(AND($A1709=31,$AJ1709=41),"②病院短期","対象外")),IF($AJ1709=30,"③特定消防",IF(AND(OR($A1709=21,$A1709=215),$AJ1709=10),"④一般",IF(AND($A1709=31,$AJ1709=41),"⑤短期","対象外")))))</f>
        <v/>
      </c>
      <c r="DC1709" s="0" t="str">
        <f aca="false">IF($A1709="","",IF($AB1709&amp;""=設定!$C$4,1,0))</f>
        <v/>
      </c>
    </row>
    <row r="1710" customFormat="false" ht="15" hidden="false" customHeight="false" outlineLevel="0" collapsed="false">
      <c r="DB1710" s="0" t="str">
        <f aca="false">IF($A1710="","",IF($AH1710=20,IF(AND(OR($A1710=21,$A1710=215),$AJ1710=10),"①病院一般",IF(AND($A1710=31,$AJ1710=41),"②病院短期","対象外")),IF($AJ1710=30,"③特定消防",IF(AND(OR($A1710=21,$A1710=215),$AJ1710=10),"④一般",IF(AND($A1710=31,$AJ1710=41),"⑤短期","対象外")))))</f>
        <v/>
      </c>
      <c r="DC1710" s="0" t="str">
        <f aca="false">IF($A1710="","",IF($AB1710&amp;""=設定!$C$4,1,0))</f>
        <v/>
      </c>
    </row>
    <row r="1711" customFormat="false" ht="15" hidden="false" customHeight="false" outlineLevel="0" collapsed="false">
      <c r="DB1711" s="0" t="str">
        <f aca="false">IF($A1711="","",IF($AH1711=20,IF(AND(OR($A1711=21,$A1711=215),$AJ1711=10),"①病院一般",IF(AND($A1711=31,$AJ1711=41),"②病院短期","対象外")),IF($AJ1711=30,"③特定消防",IF(AND(OR($A1711=21,$A1711=215),$AJ1711=10),"④一般",IF(AND($A1711=31,$AJ1711=41),"⑤短期","対象外")))))</f>
        <v/>
      </c>
      <c r="DC1711" s="0" t="str">
        <f aca="false">IF($A1711="","",IF($AB1711&amp;""=設定!$C$4,1,0))</f>
        <v/>
      </c>
    </row>
    <row r="1712" customFormat="false" ht="15" hidden="false" customHeight="false" outlineLevel="0" collapsed="false">
      <c r="DB1712" s="0" t="str">
        <f aca="false">IF($A1712="","",IF($AH1712=20,IF(AND(OR($A1712=21,$A1712=215),$AJ1712=10),"①病院一般",IF(AND($A1712=31,$AJ1712=41),"②病院短期","対象外")),IF($AJ1712=30,"③特定消防",IF(AND(OR($A1712=21,$A1712=215),$AJ1712=10),"④一般",IF(AND($A1712=31,$AJ1712=41),"⑤短期","対象外")))))</f>
        <v/>
      </c>
      <c r="DC1712" s="0" t="str">
        <f aca="false">IF($A1712="","",IF($AB1712&amp;""=設定!$C$4,1,0))</f>
        <v/>
      </c>
    </row>
    <row r="1713" customFormat="false" ht="15" hidden="false" customHeight="false" outlineLevel="0" collapsed="false">
      <c r="DB1713" s="0" t="str">
        <f aca="false">IF($A1713="","",IF($AH1713=20,IF(AND(OR($A1713=21,$A1713=215),$AJ1713=10),"①病院一般",IF(AND($A1713=31,$AJ1713=41),"②病院短期","対象外")),IF($AJ1713=30,"③特定消防",IF(AND(OR($A1713=21,$A1713=215),$AJ1713=10),"④一般",IF(AND($A1713=31,$AJ1713=41),"⑤短期","対象外")))))</f>
        <v/>
      </c>
      <c r="DC1713" s="0" t="str">
        <f aca="false">IF($A1713="","",IF($AB1713&amp;""=設定!$C$4,1,0))</f>
        <v/>
      </c>
    </row>
    <row r="1714" customFormat="false" ht="15" hidden="false" customHeight="false" outlineLevel="0" collapsed="false">
      <c r="DB1714" s="0" t="str">
        <f aca="false">IF($A1714="","",IF($AH1714=20,IF(AND(OR($A1714=21,$A1714=215),$AJ1714=10),"①病院一般",IF(AND($A1714=31,$AJ1714=41),"②病院短期","対象外")),IF($AJ1714=30,"③特定消防",IF(AND(OR($A1714=21,$A1714=215),$AJ1714=10),"④一般",IF(AND($A1714=31,$AJ1714=41),"⑤短期","対象外")))))</f>
        <v/>
      </c>
      <c r="DC1714" s="0" t="str">
        <f aca="false">IF($A1714="","",IF($AB1714&amp;""=設定!$C$4,1,0))</f>
        <v/>
      </c>
    </row>
    <row r="1715" customFormat="false" ht="15" hidden="false" customHeight="false" outlineLevel="0" collapsed="false">
      <c r="DB1715" s="0" t="str">
        <f aca="false">IF($A1715="","",IF($AH1715=20,IF(AND(OR($A1715=21,$A1715=215),$AJ1715=10),"①病院一般",IF(AND($A1715=31,$AJ1715=41),"②病院短期","対象外")),IF($AJ1715=30,"③特定消防",IF(AND(OR($A1715=21,$A1715=215),$AJ1715=10),"④一般",IF(AND($A1715=31,$AJ1715=41),"⑤短期","対象外")))))</f>
        <v/>
      </c>
      <c r="DC1715" s="0" t="str">
        <f aca="false">IF($A1715="","",IF($AB1715&amp;""=設定!$C$4,1,0))</f>
        <v/>
      </c>
    </row>
    <row r="1716" customFormat="false" ht="15" hidden="false" customHeight="false" outlineLevel="0" collapsed="false">
      <c r="DB1716" s="0" t="str">
        <f aca="false">IF($A1716="","",IF($AH1716=20,IF(AND(OR($A1716=21,$A1716=215),$AJ1716=10),"①病院一般",IF(AND($A1716=31,$AJ1716=41),"②病院短期","対象外")),IF($AJ1716=30,"③特定消防",IF(AND(OR($A1716=21,$A1716=215),$AJ1716=10),"④一般",IF(AND($A1716=31,$AJ1716=41),"⑤短期","対象外")))))</f>
        <v/>
      </c>
      <c r="DC1716" s="0" t="str">
        <f aca="false">IF($A1716="","",IF($AB1716&amp;""=設定!$C$4,1,0))</f>
        <v/>
      </c>
    </row>
    <row r="1717" customFormat="false" ht="15" hidden="false" customHeight="false" outlineLevel="0" collapsed="false">
      <c r="DB1717" s="0" t="str">
        <f aca="false">IF($A1717="","",IF($AH1717=20,IF(AND(OR($A1717=21,$A1717=215),$AJ1717=10),"①病院一般",IF(AND($A1717=31,$AJ1717=41),"②病院短期","対象外")),IF($AJ1717=30,"③特定消防",IF(AND(OR($A1717=21,$A1717=215),$AJ1717=10),"④一般",IF(AND($A1717=31,$AJ1717=41),"⑤短期","対象外")))))</f>
        <v/>
      </c>
      <c r="DC1717" s="0" t="str">
        <f aca="false">IF($A1717="","",IF($AB1717&amp;""=設定!$C$4,1,0))</f>
        <v/>
      </c>
    </row>
    <row r="1718" customFormat="false" ht="15" hidden="false" customHeight="false" outlineLevel="0" collapsed="false">
      <c r="DB1718" s="0" t="str">
        <f aca="false">IF($A1718="","",IF($AH1718=20,IF(AND(OR($A1718=21,$A1718=215),$AJ1718=10),"①病院一般",IF(AND($A1718=31,$AJ1718=41),"②病院短期","対象外")),IF($AJ1718=30,"③特定消防",IF(AND(OR($A1718=21,$A1718=215),$AJ1718=10),"④一般",IF(AND($A1718=31,$AJ1718=41),"⑤短期","対象外")))))</f>
        <v/>
      </c>
      <c r="DC1718" s="0" t="str">
        <f aca="false">IF($A1718="","",IF($AB1718&amp;""=設定!$C$4,1,0))</f>
        <v/>
      </c>
    </row>
    <row r="1719" customFormat="false" ht="15" hidden="false" customHeight="false" outlineLevel="0" collapsed="false">
      <c r="DB1719" s="0" t="str">
        <f aca="false">IF($A1719="","",IF($AH1719=20,IF(AND(OR($A1719=21,$A1719=215),$AJ1719=10),"①病院一般",IF(AND($A1719=31,$AJ1719=41),"②病院短期","対象外")),IF($AJ1719=30,"③特定消防",IF(AND(OR($A1719=21,$A1719=215),$AJ1719=10),"④一般",IF(AND($A1719=31,$AJ1719=41),"⑤短期","対象外")))))</f>
        <v/>
      </c>
      <c r="DC1719" s="0" t="str">
        <f aca="false">IF($A1719="","",IF($AB1719&amp;""=設定!$C$4,1,0))</f>
        <v/>
      </c>
    </row>
    <row r="1720" customFormat="false" ht="15" hidden="false" customHeight="false" outlineLevel="0" collapsed="false">
      <c r="DB1720" s="0" t="str">
        <f aca="false">IF($A1720="","",IF($AH1720=20,IF(AND(OR($A1720=21,$A1720=215),$AJ1720=10),"①病院一般",IF(AND($A1720=31,$AJ1720=41),"②病院短期","対象外")),IF($AJ1720=30,"③特定消防",IF(AND(OR($A1720=21,$A1720=215),$AJ1720=10),"④一般",IF(AND($A1720=31,$AJ1720=41),"⑤短期","対象外")))))</f>
        <v/>
      </c>
      <c r="DC1720" s="0" t="str">
        <f aca="false">IF($A1720="","",IF($AB1720&amp;""=設定!$C$4,1,0))</f>
        <v/>
      </c>
    </row>
    <row r="1721" customFormat="false" ht="15" hidden="false" customHeight="false" outlineLevel="0" collapsed="false">
      <c r="DB1721" s="0" t="str">
        <f aca="false">IF($A1721="","",IF($AH1721=20,IF(AND(OR($A1721=21,$A1721=215),$AJ1721=10),"①病院一般",IF(AND($A1721=31,$AJ1721=41),"②病院短期","対象外")),IF($AJ1721=30,"③特定消防",IF(AND(OR($A1721=21,$A1721=215),$AJ1721=10),"④一般",IF(AND($A1721=31,$AJ1721=41),"⑤短期","対象外")))))</f>
        <v/>
      </c>
      <c r="DC1721" s="0" t="str">
        <f aca="false">IF($A1721="","",IF($AB1721&amp;""=設定!$C$4,1,0))</f>
        <v/>
      </c>
    </row>
    <row r="1722" customFormat="false" ht="15" hidden="false" customHeight="false" outlineLevel="0" collapsed="false">
      <c r="DB1722" s="0" t="str">
        <f aca="false">IF($A1722="","",IF($AH1722=20,IF(AND(OR($A1722=21,$A1722=215),$AJ1722=10),"①病院一般",IF(AND($A1722=31,$AJ1722=41),"②病院短期","対象外")),IF($AJ1722=30,"③特定消防",IF(AND(OR($A1722=21,$A1722=215),$AJ1722=10),"④一般",IF(AND($A1722=31,$AJ1722=41),"⑤短期","対象外")))))</f>
        <v/>
      </c>
      <c r="DC1722" s="0" t="str">
        <f aca="false">IF($A1722="","",IF($AB1722&amp;""=設定!$C$4,1,0))</f>
        <v/>
      </c>
    </row>
    <row r="1723" customFormat="false" ht="15" hidden="false" customHeight="false" outlineLevel="0" collapsed="false">
      <c r="DB1723" s="0" t="str">
        <f aca="false">IF($A1723="","",IF($AH1723=20,IF(AND(OR($A1723=21,$A1723=215),$AJ1723=10),"①病院一般",IF(AND($A1723=31,$AJ1723=41),"②病院短期","対象外")),IF($AJ1723=30,"③特定消防",IF(AND(OR($A1723=21,$A1723=215),$AJ1723=10),"④一般",IF(AND($A1723=31,$AJ1723=41),"⑤短期","対象外")))))</f>
        <v/>
      </c>
      <c r="DC1723" s="0" t="str">
        <f aca="false">IF($A1723="","",IF($AB1723&amp;""=設定!$C$4,1,0))</f>
        <v/>
      </c>
    </row>
    <row r="1724" customFormat="false" ht="15" hidden="false" customHeight="false" outlineLevel="0" collapsed="false">
      <c r="DB1724" s="0" t="str">
        <f aca="false">IF($A1724="","",IF($AH1724=20,IF(AND(OR($A1724=21,$A1724=215),$AJ1724=10),"①病院一般",IF(AND($A1724=31,$AJ1724=41),"②病院短期","対象外")),IF($AJ1724=30,"③特定消防",IF(AND(OR($A1724=21,$A1724=215),$AJ1724=10),"④一般",IF(AND($A1724=31,$AJ1724=41),"⑤短期","対象外")))))</f>
        <v/>
      </c>
      <c r="DC1724" s="0" t="str">
        <f aca="false">IF($A1724="","",IF($AB1724&amp;""=設定!$C$4,1,0))</f>
        <v/>
      </c>
    </row>
    <row r="1725" customFormat="false" ht="15" hidden="false" customHeight="false" outlineLevel="0" collapsed="false">
      <c r="DB1725" s="0" t="str">
        <f aca="false">IF($A1725="","",IF($AH1725=20,IF(AND(OR($A1725=21,$A1725=215),$AJ1725=10),"①病院一般",IF(AND($A1725=31,$AJ1725=41),"②病院短期","対象外")),IF($AJ1725=30,"③特定消防",IF(AND(OR($A1725=21,$A1725=215),$AJ1725=10),"④一般",IF(AND($A1725=31,$AJ1725=41),"⑤短期","対象外")))))</f>
        <v/>
      </c>
      <c r="DC1725" s="0" t="str">
        <f aca="false">IF($A1725="","",IF($AB1725&amp;""=設定!$C$4,1,0))</f>
        <v/>
      </c>
    </row>
    <row r="1726" customFormat="false" ht="15" hidden="false" customHeight="false" outlineLevel="0" collapsed="false">
      <c r="DB1726" s="0" t="str">
        <f aca="false">IF($A1726="","",IF($AH1726=20,IF(AND(OR($A1726=21,$A1726=215),$AJ1726=10),"①病院一般",IF(AND($A1726=31,$AJ1726=41),"②病院短期","対象外")),IF($AJ1726=30,"③特定消防",IF(AND(OR($A1726=21,$A1726=215),$AJ1726=10),"④一般",IF(AND($A1726=31,$AJ1726=41),"⑤短期","対象外")))))</f>
        <v/>
      </c>
      <c r="DC1726" s="0" t="str">
        <f aca="false">IF($A1726="","",IF($AB1726&amp;""=設定!$C$4,1,0))</f>
        <v/>
      </c>
    </row>
    <row r="1727" customFormat="false" ht="15" hidden="false" customHeight="false" outlineLevel="0" collapsed="false">
      <c r="DB1727" s="0" t="str">
        <f aca="false">IF($A1727="","",IF($AH1727=20,IF(AND(OR($A1727=21,$A1727=215),$AJ1727=10),"①病院一般",IF(AND($A1727=31,$AJ1727=41),"②病院短期","対象外")),IF($AJ1727=30,"③特定消防",IF(AND(OR($A1727=21,$A1727=215),$AJ1727=10),"④一般",IF(AND($A1727=31,$AJ1727=41),"⑤短期","対象外")))))</f>
        <v/>
      </c>
      <c r="DC1727" s="0" t="str">
        <f aca="false">IF($A1727="","",IF($AB1727&amp;""=設定!$C$4,1,0))</f>
        <v/>
      </c>
    </row>
    <row r="1728" customFormat="false" ht="15" hidden="false" customHeight="false" outlineLevel="0" collapsed="false">
      <c r="DB1728" s="0" t="str">
        <f aca="false">IF($A1728="","",IF($AH1728=20,IF(AND(OR($A1728=21,$A1728=215),$AJ1728=10),"①病院一般",IF(AND($A1728=31,$AJ1728=41),"②病院短期","対象外")),IF($AJ1728=30,"③特定消防",IF(AND(OR($A1728=21,$A1728=215),$AJ1728=10),"④一般",IF(AND($A1728=31,$AJ1728=41),"⑤短期","対象外")))))</f>
        <v/>
      </c>
      <c r="DC1728" s="0" t="str">
        <f aca="false">IF($A1728="","",IF($AB1728&amp;""=設定!$C$4,1,0))</f>
        <v/>
      </c>
    </row>
    <row r="1729" customFormat="false" ht="15" hidden="false" customHeight="false" outlineLevel="0" collapsed="false">
      <c r="DB1729" s="0" t="str">
        <f aca="false">IF($A1729="","",IF($AH1729=20,IF(AND(OR($A1729=21,$A1729=215),$AJ1729=10),"①病院一般",IF(AND($A1729=31,$AJ1729=41),"②病院短期","対象外")),IF($AJ1729=30,"③特定消防",IF(AND(OR($A1729=21,$A1729=215),$AJ1729=10),"④一般",IF(AND($A1729=31,$AJ1729=41),"⑤短期","対象外")))))</f>
        <v/>
      </c>
      <c r="DC1729" s="0" t="str">
        <f aca="false">IF($A1729="","",IF($AB1729&amp;""=設定!$C$4,1,0))</f>
        <v/>
      </c>
    </row>
    <row r="1730" customFormat="false" ht="15" hidden="false" customHeight="false" outlineLevel="0" collapsed="false">
      <c r="DB1730" s="0" t="str">
        <f aca="false">IF($A1730="","",IF($AH1730=20,IF(AND(OR($A1730=21,$A1730=215),$AJ1730=10),"①病院一般",IF(AND($A1730=31,$AJ1730=41),"②病院短期","対象外")),IF($AJ1730=30,"③特定消防",IF(AND(OR($A1730=21,$A1730=215),$AJ1730=10),"④一般",IF(AND($A1730=31,$AJ1730=41),"⑤短期","対象外")))))</f>
        <v/>
      </c>
      <c r="DC1730" s="0" t="str">
        <f aca="false">IF($A1730="","",IF($AB1730&amp;""=設定!$C$4,1,0))</f>
        <v/>
      </c>
    </row>
    <row r="1731" customFormat="false" ht="15" hidden="false" customHeight="false" outlineLevel="0" collapsed="false">
      <c r="DB1731" s="0" t="str">
        <f aca="false">IF($A1731="","",IF($AH1731=20,IF(AND(OR($A1731=21,$A1731=215),$AJ1731=10),"①病院一般",IF(AND($A1731=31,$AJ1731=41),"②病院短期","対象外")),IF($AJ1731=30,"③特定消防",IF(AND(OR($A1731=21,$A1731=215),$AJ1731=10),"④一般",IF(AND($A1731=31,$AJ1731=41),"⑤短期","対象外")))))</f>
        <v/>
      </c>
      <c r="DC1731" s="0" t="str">
        <f aca="false">IF($A1731="","",IF($AB1731&amp;""=設定!$C$4,1,0))</f>
        <v/>
      </c>
    </row>
    <row r="1732" customFormat="false" ht="15" hidden="false" customHeight="false" outlineLevel="0" collapsed="false">
      <c r="DB1732" s="0" t="str">
        <f aca="false">IF($A1732="","",IF($AH1732=20,IF(AND(OR($A1732=21,$A1732=215),$AJ1732=10),"①病院一般",IF(AND($A1732=31,$AJ1732=41),"②病院短期","対象外")),IF($AJ1732=30,"③特定消防",IF(AND(OR($A1732=21,$A1732=215),$AJ1732=10),"④一般",IF(AND($A1732=31,$AJ1732=41),"⑤短期","対象外")))))</f>
        <v/>
      </c>
      <c r="DC1732" s="0" t="str">
        <f aca="false">IF($A1732="","",IF($AB1732&amp;""=設定!$C$4,1,0))</f>
        <v/>
      </c>
    </row>
    <row r="1733" customFormat="false" ht="15" hidden="false" customHeight="false" outlineLevel="0" collapsed="false">
      <c r="DB1733" s="0" t="str">
        <f aca="false">IF($A1733="","",IF($AH1733=20,IF(AND(OR($A1733=21,$A1733=215),$AJ1733=10),"①病院一般",IF(AND($A1733=31,$AJ1733=41),"②病院短期","対象外")),IF($AJ1733=30,"③特定消防",IF(AND(OR($A1733=21,$A1733=215),$AJ1733=10),"④一般",IF(AND($A1733=31,$AJ1733=41),"⑤短期","対象外")))))</f>
        <v/>
      </c>
      <c r="DC1733" s="0" t="str">
        <f aca="false">IF($A1733="","",IF($AB1733&amp;""=設定!$C$4,1,0))</f>
        <v/>
      </c>
    </row>
    <row r="1734" customFormat="false" ht="15" hidden="false" customHeight="false" outlineLevel="0" collapsed="false">
      <c r="DB1734" s="0" t="str">
        <f aca="false">IF($A1734="","",IF($AH1734=20,IF(AND(OR($A1734=21,$A1734=215),$AJ1734=10),"①病院一般",IF(AND($A1734=31,$AJ1734=41),"②病院短期","対象外")),IF($AJ1734=30,"③特定消防",IF(AND(OR($A1734=21,$A1734=215),$AJ1734=10),"④一般",IF(AND($A1734=31,$AJ1734=41),"⑤短期","対象外")))))</f>
        <v/>
      </c>
      <c r="DC1734" s="0" t="str">
        <f aca="false">IF($A1734="","",IF($AB1734&amp;""=設定!$C$4,1,0))</f>
        <v/>
      </c>
    </row>
    <row r="1735" customFormat="false" ht="15" hidden="false" customHeight="false" outlineLevel="0" collapsed="false">
      <c r="DB1735" s="0" t="str">
        <f aca="false">IF($A1735="","",IF($AH1735=20,IF(AND(OR($A1735=21,$A1735=215),$AJ1735=10),"①病院一般",IF(AND($A1735=31,$AJ1735=41),"②病院短期","対象外")),IF($AJ1735=30,"③特定消防",IF(AND(OR($A1735=21,$A1735=215),$AJ1735=10),"④一般",IF(AND($A1735=31,$AJ1735=41),"⑤短期","対象外")))))</f>
        <v/>
      </c>
      <c r="DC1735" s="0" t="str">
        <f aca="false">IF($A1735="","",IF($AB1735&amp;""=設定!$C$4,1,0))</f>
        <v/>
      </c>
    </row>
    <row r="1736" customFormat="false" ht="15" hidden="false" customHeight="false" outlineLevel="0" collapsed="false">
      <c r="DB1736" s="0" t="str">
        <f aca="false">IF($A1736="","",IF($AH1736=20,IF(AND(OR($A1736=21,$A1736=215),$AJ1736=10),"①病院一般",IF(AND($A1736=31,$AJ1736=41),"②病院短期","対象外")),IF($AJ1736=30,"③特定消防",IF(AND(OR($A1736=21,$A1736=215),$AJ1736=10),"④一般",IF(AND($A1736=31,$AJ1736=41),"⑤短期","対象外")))))</f>
        <v/>
      </c>
      <c r="DC1736" s="0" t="str">
        <f aca="false">IF($A1736="","",IF($AB1736&amp;""=設定!$C$4,1,0))</f>
        <v/>
      </c>
    </row>
    <row r="1737" customFormat="false" ht="15" hidden="false" customHeight="false" outlineLevel="0" collapsed="false">
      <c r="DB1737" s="0" t="str">
        <f aca="false">IF($A1737="","",IF($AH1737=20,IF(AND(OR($A1737=21,$A1737=215),$AJ1737=10),"①病院一般",IF(AND($A1737=31,$AJ1737=41),"②病院短期","対象外")),IF($AJ1737=30,"③特定消防",IF(AND(OR($A1737=21,$A1737=215),$AJ1737=10),"④一般",IF(AND($A1737=31,$AJ1737=41),"⑤短期","対象外")))))</f>
        <v/>
      </c>
      <c r="DC1737" s="0" t="str">
        <f aca="false">IF($A1737="","",IF($AB1737&amp;""=設定!$C$4,1,0))</f>
        <v/>
      </c>
    </row>
    <row r="1738" customFormat="false" ht="15" hidden="false" customHeight="false" outlineLevel="0" collapsed="false">
      <c r="DB1738" s="0" t="str">
        <f aca="false">IF($A1738="","",IF($AH1738=20,IF(AND(OR($A1738=21,$A1738=215),$AJ1738=10),"①病院一般",IF(AND($A1738=31,$AJ1738=41),"②病院短期","対象外")),IF($AJ1738=30,"③特定消防",IF(AND(OR($A1738=21,$A1738=215),$AJ1738=10),"④一般",IF(AND($A1738=31,$AJ1738=41),"⑤短期","対象外")))))</f>
        <v/>
      </c>
      <c r="DC1738" s="0" t="str">
        <f aca="false">IF($A1738="","",IF($AB1738&amp;""=設定!$C$4,1,0))</f>
        <v/>
      </c>
    </row>
    <row r="1739" customFormat="false" ht="15" hidden="false" customHeight="false" outlineLevel="0" collapsed="false">
      <c r="DB1739" s="0" t="str">
        <f aca="false">IF($A1739="","",IF($AH1739=20,IF(AND(OR($A1739=21,$A1739=215),$AJ1739=10),"①病院一般",IF(AND($A1739=31,$AJ1739=41),"②病院短期","対象外")),IF($AJ1739=30,"③特定消防",IF(AND(OR($A1739=21,$A1739=215),$AJ1739=10),"④一般",IF(AND($A1739=31,$AJ1739=41),"⑤短期","対象外")))))</f>
        <v/>
      </c>
      <c r="DC1739" s="0" t="str">
        <f aca="false">IF($A1739="","",IF($AB1739&amp;""=設定!$C$4,1,0))</f>
        <v/>
      </c>
    </row>
    <row r="1740" customFormat="false" ht="15" hidden="false" customHeight="false" outlineLevel="0" collapsed="false">
      <c r="DB1740" s="0" t="str">
        <f aca="false">IF($A1740="","",IF($AH1740=20,IF(AND(OR($A1740=21,$A1740=215),$AJ1740=10),"①病院一般",IF(AND($A1740=31,$AJ1740=41),"②病院短期","対象外")),IF($AJ1740=30,"③特定消防",IF(AND(OR($A1740=21,$A1740=215),$AJ1740=10),"④一般",IF(AND($A1740=31,$AJ1740=41),"⑤短期","対象外")))))</f>
        <v/>
      </c>
      <c r="DC1740" s="0" t="str">
        <f aca="false">IF($A1740="","",IF($AB1740&amp;""=設定!$C$4,1,0))</f>
        <v/>
      </c>
    </row>
    <row r="1741" customFormat="false" ht="15" hidden="false" customHeight="false" outlineLevel="0" collapsed="false">
      <c r="DB1741" s="0" t="str">
        <f aca="false">IF($A1741="","",IF($AH1741=20,IF(AND(OR($A1741=21,$A1741=215),$AJ1741=10),"①病院一般",IF(AND($A1741=31,$AJ1741=41),"②病院短期","対象外")),IF($AJ1741=30,"③特定消防",IF(AND(OR($A1741=21,$A1741=215),$AJ1741=10),"④一般",IF(AND($A1741=31,$AJ1741=41),"⑤短期","対象外")))))</f>
        <v/>
      </c>
      <c r="DC1741" s="0" t="str">
        <f aca="false">IF($A1741="","",IF($AB1741&amp;""=設定!$C$4,1,0))</f>
        <v/>
      </c>
    </row>
    <row r="1742" customFormat="false" ht="15" hidden="false" customHeight="false" outlineLevel="0" collapsed="false">
      <c r="DB1742" s="0" t="str">
        <f aca="false">IF($A1742="","",IF($AH1742=20,IF(AND(OR($A1742=21,$A1742=215),$AJ1742=10),"①病院一般",IF(AND($A1742=31,$AJ1742=41),"②病院短期","対象外")),IF($AJ1742=30,"③特定消防",IF(AND(OR($A1742=21,$A1742=215),$AJ1742=10),"④一般",IF(AND($A1742=31,$AJ1742=41),"⑤短期","対象外")))))</f>
        <v/>
      </c>
      <c r="DC1742" s="0" t="str">
        <f aca="false">IF($A1742="","",IF($AB1742&amp;""=設定!$C$4,1,0))</f>
        <v/>
      </c>
    </row>
    <row r="1743" customFormat="false" ht="15" hidden="false" customHeight="false" outlineLevel="0" collapsed="false">
      <c r="DB1743" s="0" t="str">
        <f aca="false">IF($A1743="","",IF($AH1743=20,IF(AND(OR($A1743=21,$A1743=215),$AJ1743=10),"①病院一般",IF(AND($A1743=31,$AJ1743=41),"②病院短期","対象外")),IF($AJ1743=30,"③特定消防",IF(AND(OR($A1743=21,$A1743=215),$AJ1743=10),"④一般",IF(AND($A1743=31,$AJ1743=41),"⑤短期","対象外")))))</f>
        <v/>
      </c>
      <c r="DC1743" s="0" t="str">
        <f aca="false">IF($A1743="","",IF($AB1743&amp;""=設定!$C$4,1,0))</f>
        <v/>
      </c>
    </row>
    <row r="1744" customFormat="false" ht="15" hidden="false" customHeight="false" outlineLevel="0" collapsed="false">
      <c r="DB1744" s="0" t="str">
        <f aca="false">IF($A1744="","",IF($AH1744=20,IF(AND(OR($A1744=21,$A1744=215),$AJ1744=10),"①病院一般",IF(AND($A1744=31,$AJ1744=41),"②病院短期","対象外")),IF($AJ1744=30,"③特定消防",IF(AND(OR($A1744=21,$A1744=215),$AJ1744=10),"④一般",IF(AND($A1744=31,$AJ1744=41),"⑤短期","対象外")))))</f>
        <v/>
      </c>
      <c r="DC1744" s="0" t="str">
        <f aca="false">IF($A1744="","",IF($AB1744&amp;""=設定!$C$4,1,0))</f>
        <v/>
      </c>
    </row>
    <row r="1745" customFormat="false" ht="15" hidden="false" customHeight="false" outlineLevel="0" collapsed="false">
      <c r="DB1745" s="0" t="str">
        <f aca="false">IF($A1745="","",IF($AH1745=20,IF(AND(OR($A1745=21,$A1745=215),$AJ1745=10),"①病院一般",IF(AND($A1745=31,$AJ1745=41),"②病院短期","対象外")),IF($AJ1745=30,"③特定消防",IF(AND(OR($A1745=21,$A1745=215),$AJ1745=10),"④一般",IF(AND($A1745=31,$AJ1745=41),"⑤短期","対象外")))))</f>
        <v/>
      </c>
      <c r="DC1745" s="0" t="str">
        <f aca="false">IF($A1745="","",IF($AB1745&amp;""=設定!$C$4,1,0))</f>
        <v/>
      </c>
    </row>
    <row r="1746" customFormat="false" ht="15" hidden="false" customHeight="false" outlineLevel="0" collapsed="false">
      <c r="DB1746" s="0" t="str">
        <f aca="false">IF($A1746="","",IF($AH1746=20,IF(AND(OR($A1746=21,$A1746=215),$AJ1746=10),"①病院一般",IF(AND($A1746=31,$AJ1746=41),"②病院短期","対象外")),IF($AJ1746=30,"③特定消防",IF(AND(OR($A1746=21,$A1746=215),$AJ1746=10),"④一般",IF(AND($A1746=31,$AJ1746=41),"⑤短期","対象外")))))</f>
        <v/>
      </c>
      <c r="DC1746" s="0" t="str">
        <f aca="false">IF($A1746="","",IF($AB1746&amp;""=設定!$C$4,1,0))</f>
        <v/>
      </c>
    </row>
    <row r="1747" customFormat="false" ht="15" hidden="false" customHeight="false" outlineLevel="0" collapsed="false">
      <c r="DB1747" s="0" t="str">
        <f aca="false">IF($A1747="","",IF($AH1747=20,IF(AND(OR($A1747=21,$A1747=215),$AJ1747=10),"①病院一般",IF(AND($A1747=31,$AJ1747=41),"②病院短期","対象外")),IF($AJ1747=30,"③特定消防",IF(AND(OR($A1747=21,$A1747=215),$AJ1747=10),"④一般",IF(AND($A1747=31,$AJ1747=41),"⑤短期","対象外")))))</f>
        <v/>
      </c>
      <c r="DC1747" s="0" t="str">
        <f aca="false">IF($A1747="","",IF($AB1747&amp;""=設定!$C$4,1,0))</f>
        <v/>
      </c>
    </row>
    <row r="1748" customFormat="false" ht="15" hidden="false" customHeight="false" outlineLevel="0" collapsed="false">
      <c r="DB1748" s="0" t="str">
        <f aca="false">IF($A1748="","",IF($AH1748=20,IF(AND(OR($A1748=21,$A1748=215),$AJ1748=10),"①病院一般",IF(AND($A1748=31,$AJ1748=41),"②病院短期","対象外")),IF($AJ1748=30,"③特定消防",IF(AND(OR($A1748=21,$A1748=215),$AJ1748=10),"④一般",IF(AND($A1748=31,$AJ1748=41),"⑤短期","対象外")))))</f>
        <v/>
      </c>
      <c r="DC1748" s="0" t="str">
        <f aca="false">IF($A1748="","",IF($AB1748&amp;""=設定!$C$4,1,0))</f>
        <v/>
      </c>
    </row>
    <row r="1749" customFormat="false" ht="15" hidden="false" customHeight="false" outlineLevel="0" collapsed="false">
      <c r="DB1749" s="0" t="str">
        <f aca="false">IF($A1749="","",IF($AH1749=20,IF(AND(OR($A1749=21,$A1749=215),$AJ1749=10),"①病院一般",IF(AND($A1749=31,$AJ1749=41),"②病院短期","対象外")),IF($AJ1749=30,"③特定消防",IF(AND(OR($A1749=21,$A1749=215),$AJ1749=10),"④一般",IF(AND($A1749=31,$AJ1749=41),"⑤短期","対象外")))))</f>
        <v/>
      </c>
      <c r="DC1749" s="0" t="str">
        <f aca="false">IF($A1749="","",IF($AB1749&amp;""=設定!$C$4,1,0))</f>
        <v/>
      </c>
    </row>
    <row r="1750" customFormat="false" ht="15" hidden="false" customHeight="false" outlineLevel="0" collapsed="false">
      <c r="DB1750" s="0" t="str">
        <f aca="false">IF($A1750="","",IF($AH1750=20,IF(AND(OR($A1750=21,$A1750=215),$AJ1750=10),"①病院一般",IF(AND($A1750=31,$AJ1750=41),"②病院短期","対象外")),IF($AJ1750=30,"③特定消防",IF(AND(OR($A1750=21,$A1750=215),$AJ1750=10),"④一般",IF(AND($A1750=31,$AJ1750=41),"⑤短期","対象外")))))</f>
        <v/>
      </c>
      <c r="DC1750" s="0" t="str">
        <f aca="false">IF($A1750="","",IF($AB1750&amp;""=設定!$C$4,1,0))</f>
        <v/>
      </c>
    </row>
    <row r="1751" customFormat="false" ht="15" hidden="false" customHeight="false" outlineLevel="0" collapsed="false">
      <c r="DB1751" s="0" t="str">
        <f aca="false">IF($A1751="","",IF($AH1751=20,IF(AND(OR($A1751=21,$A1751=215),$AJ1751=10),"①病院一般",IF(AND($A1751=31,$AJ1751=41),"②病院短期","対象外")),IF($AJ1751=30,"③特定消防",IF(AND(OR($A1751=21,$A1751=215),$AJ1751=10),"④一般",IF(AND($A1751=31,$AJ1751=41),"⑤短期","対象外")))))</f>
        <v/>
      </c>
      <c r="DC1751" s="0" t="str">
        <f aca="false">IF($A1751="","",IF($AB1751&amp;""=設定!$C$4,1,0))</f>
        <v/>
      </c>
    </row>
    <row r="1752" customFormat="false" ht="15" hidden="false" customHeight="false" outlineLevel="0" collapsed="false">
      <c r="DB1752" s="0" t="str">
        <f aca="false">IF($A1752="","",IF($AH1752=20,IF(AND(OR($A1752=21,$A1752=215),$AJ1752=10),"①病院一般",IF(AND($A1752=31,$AJ1752=41),"②病院短期","対象外")),IF($AJ1752=30,"③特定消防",IF(AND(OR($A1752=21,$A1752=215),$AJ1752=10),"④一般",IF(AND($A1752=31,$AJ1752=41),"⑤短期","対象外")))))</f>
        <v/>
      </c>
      <c r="DC1752" s="0" t="str">
        <f aca="false">IF($A1752="","",IF($AB1752&amp;""=設定!$C$4,1,0))</f>
        <v/>
      </c>
    </row>
    <row r="1753" customFormat="false" ht="15" hidden="false" customHeight="false" outlineLevel="0" collapsed="false">
      <c r="DB1753" s="0" t="str">
        <f aca="false">IF($A1753="","",IF($AH1753=20,IF(AND(OR($A1753=21,$A1753=215),$AJ1753=10),"①病院一般",IF(AND($A1753=31,$AJ1753=41),"②病院短期","対象外")),IF($AJ1753=30,"③特定消防",IF(AND(OR($A1753=21,$A1753=215),$AJ1753=10),"④一般",IF(AND($A1753=31,$AJ1753=41),"⑤短期","対象外")))))</f>
        <v/>
      </c>
      <c r="DC1753" s="0" t="str">
        <f aca="false">IF($A1753="","",IF($AB1753&amp;""=設定!$C$4,1,0))</f>
        <v/>
      </c>
    </row>
    <row r="1754" customFormat="false" ht="15" hidden="false" customHeight="false" outlineLevel="0" collapsed="false">
      <c r="DB1754" s="0" t="str">
        <f aca="false">IF($A1754="","",IF($AH1754=20,IF(AND(OR($A1754=21,$A1754=215),$AJ1754=10),"①病院一般",IF(AND($A1754=31,$AJ1754=41),"②病院短期","対象外")),IF($AJ1754=30,"③特定消防",IF(AND(OR($A1754=21,$A1754=215),$AJ1754=10),"④一般",IF(AND($A1754=31,$AJ1754=41),"⑤短期","対象外")))))</f>
        <v/>
      </c>
      <c r="DC1754" s="0" t="str">
        <f aca="false">IF($A1754="","",IF($AB1754&amp;""=設定!$C$4,1,0))</f>
        <v/>
      </c>
    </row>
    <row r="1755" customFormat="false" ht="15" hidden="false" customHeight="false" outlineLevel="0" collapsed="false">
      <c r="DB1755" s="0" t="str">
        <f aca="false">IF($A1755="","",IF($AH1755=20,IF(AND(OR($A1755=21,$A1755=215),$AJ1755=10),"①病院一般",IF(AND($A1755=31,$AJ1755=41),"②病院短期","対象外")),IF($AJ1755=30,"③特定消防",IF(AND(OR($A1755=21,$A1755=215),$AJ1755=10),"④一般",IF(AND($A1755=31,$AJ1755=41),"⑤短期","対象外")))))</f>
        <v/>
      </c>
      <c r="DC1755" s="0" t="str">
        <f aca="false">IF($A1755="","",IF($AB1755&amp;""=設定!$C$4,1,0))</f>
        <v/>
      </c>
    </row>
    <row r="1756" customFormat="false" ht="15" hidden="false" customHeight="false" outlineLevel="0" collapsed="false">
      <c r="DB1756" s="0" t="str">
        <f aca="false">IF($A1756="","",IF($AH1756=20,IF(AND(OR($A1756=21,$A1756=215),$AJ1756=10),"①病院一般",IF(AND($A1756=31,$AJ1756=41),"②病院短期","対象外")),IF($AJ1756=30,"③特定消防",IF(AND(OR($A1756=21,$A1756=215),$AJ1756=10),"④一般",IF(AND($A1756=31,$AJ1756=41),"⑤短期","対象外")))))</f>
        <v/>
      </c>
      <c r="DC1756" s="0" t="str">
        <f aca="false">IF($A1756="","",IF($AB1756&amp;""=設定!$C$4,1,0))</f>
        <v/>
      </c>
    </row>
    <row r="1757" customFormat="false" ht="15" hidden="false" customHeight="false" outlineLevel="0" collapsed="false">
      <c r="DB1757" s="0" t="str">
        <f aca="false">IF($A1757="","",IF($AH1757=20,IF(AND(OR($A1757=21,$A1757=215),$AJ1757=10),"①病院一般",IF(AND($A1757=31,$AJ1757=41),"②病院短期","対象外")),IF($AJ1757=30,"③特定消防",IF(AND(OR($A1757=21,$A1757=215),$AJ1757=10),"④一般",IF(AND($A1757=31,$AJ1757=41),"⑤短期","対象外")))))</f>
        <v/>
      </c>
      <c r="DC1757" s="0" t="str">
        <f aca="false">IF($A1757="","",IF($AB1757&amp;""=設定!$C$4,1,0))</f>
        <v/>
      </c>
    </row>
    <row r="1758" customFormat="false" ht="15" hidden="false" customHeight="false" outlineLevel="0" collapsed="false">
      <c r="DB1758" s="0" t="str">
        <f aca="false">IF($A1758="","",IF($AH1758=20,IF(AND(OR($A1758=21,$A1758=215),$AJ1758=10),"①病院一般",IF(AND($A1758=31,$AJ1758=41),"②病院短期","対象外")),IF($AJ1758=30,"③特定消防",IF(AND(OR($A1758=21,$A1758=215),$AJ1758=10),"④一般",IF(AND($A1758=31,$AJ1758=41),"⑤短期","対象外")))))</f>
        <v/>
      </c>
      <c r="DC1758" s="0" t="str">
        <f aca="false">IF($A1758="","",IF($AB1758&amp;""=設定!$C$4,1,0))</f>
        <v/>
      </c>
    </row>
    <row r="1759" customFormat="false" ht="15" hidden="false" customHeight="false" outlineLevel="0" collapsed="false">
      <c r="DB1759" s="0" t="str">
        <f aca="false">IF($A1759="","",IF($AH1759=20,IF(AND(OR($A1759=21,$A1759=215),$AJ1759=10),"①病院一般",IF(AND($A1759=31,$AJ1759=41),"②病院短期","対象外")),IF($AJ1759=30,"③特定消防",IF(AND(OR($A1759=21,$A1759=215),$AJ1759=10),"④一般",IF(AND($A1759=31,$AJ1759=41),"⑤短期","対象外")))))</f>
        <v/>
      </c>
      <c r="DC1759" s="0" t="str">
        <f aca="false">IF($A1759="","",IF($AB1759&amp;""=設定!$C$4,1,0))</f>
        <v/>
      </c>
    </row>
    <row r="1760" customFormat="false" ht="15" hidden="false" customHeight="false" outlineLevel="0" collapsed="false">
      <c r="DB1760" s="0" t="str">
        <f aca="false">IF($A1760="","",IF($AH1760=20,IF(AND(OR($A1760=21,$A1760=215),$AJ1760=10),"①病院一般",IF(AND($A1760=31,$AJ1760=41),"②病院短期","対象外")),IF($AJ1760=30,"③特定消防",IF(AND(OR($A1760=21,$A1760=215),$AJ1760=10),"④一般",IF(AND($A1760=31,$AJ1760=41),"⑤短期","対象外")))))</f>
        <v/>
      </c>
      <c r="DC1760" s="0" t="str">
        <f aca="false">IF($A1760="","",IF($AB1760&amp;""=設定!$C$4,1,0))</f>
        <v/>
      </c>
    </row>
    <row r="1761" customFormat="false" ht="15" hidden="false" customHeight="false" outlineLevel="0" collapsed="false">
      <c r="DB1761" s="0" t="str">
        <f aca="false">IF($A1761="","",IF($AH1761=20,IF(AND(OR($A1761=21,$A1761=215),$AJ1761=10),"①病院一般",IF(AND($A1761=31,$AJ1761=41),"②病院短期","対象外")),IF($AJ1761=30,"③特定消防",IF(AND(OR($A1761=21,$A1761=215),$AJ1761=10),"④一般",IF(AND($A1761=31,$AJ1761=41),"⑤短期","対象外")))))</f>
        <v/>
      </c>
      <c r="DC1761" s="0" t="str">
        <f aca="false">IF($A1761="","",IF($AB1761&amp;""=設定!$C$4,1,0))</f>
        <v/>
      </c>
    </row>
    <row r="1762" customFormat="false" ht="15" hidden="false" customHeight="false" outlineLevel="0" collapsed="false">
      <c r="DB1762" s="0" t="str">
        <f aca="false">IF($A1762="","",IF($AH1762=20,IF(AND(OR($A1762=21,$A1762=215),$AJ1762=10),"①病院一般",IF(AND($A1762=31,$AJ1762=41),"②病院短期","対象外")),IF($AJ1762=30,"③特定消防",IF(AND(OR($A1762=21,$A1762=215),$AJ1762=10),"④一般",IF(AND($A1762=31,$AJ1762=41),"⑤短期","対象外")))))</f>
        <v/>
      </c>
      <c r="DC1762" s="0" t="str">
        <f aca="false">IF($A1762="","",IF($AB1762&amp;""=設定!$C$4,1,0))</f>
        <v/>
      </c>
    </row>
    <row r="1763" customFormat="false" ht="15" hidden="false" customHeight="false" outlineLevel="0" collapsed="false">
      <c r="DB1763" s="0" t="str">
        <f aca="false">IF($A1763="","",IF($AH1763=20,IF(AND(OR($A1763=21,$A1763=215),$AJ1763=10),"①病院一般",IF(AND($A1763=31,$AJ1763=41),"②病院短期","対象外")),IF($AJ1763=30,"③特定消防",IF(AND(OR($A1763=21,$A1763=215),$AJ1763=10),"④一般",IF(AND($A1763=31,$AJ1763=41),"⑤短期","対象外")))))</f>
        <v/>
      </c>
      <c r="DC1763" s="0" t="str">
        <f aca="false">IF($A1763="","",IF($AB1763&amp;""=設定!$C$4,1,0))</f>
        <v/>
      </c>
    </row>
    <row r="1764" customFormat="false" ht="15" hidden="false" customHeight="false" outlineLevel="0" collapsed="false">
      <c r="DB1764" s="0" t="str">
        <f aca="false">IF($A1764="","",IF($AH1764=20,IF(AND(OR($A1764=21,$A1764=215),$AJ1764=10),"①病院一般",IF(AND($A1764=31,$AJ1764=41),"②病院短期","対象外")),IF($AJ1764=30,"③特定消防",IF(AND(OR($A1764=21,$A1764=215),$AJ1764=10),"④一般",IF(AND($A1764=31,$AJ1764=41),"⑤短期","対象外")))))</f>
        <v/>
      </c>
      <c r="DC1764" s="0" t="str">
        <f aca="false">IF($A1764="","",IF($AB1764&amp;""=設定!$C$4,1,0))</f>
        <v/>
      </c>
    </row>
    <row r="1765" customFormat="false" ht="15" hidden="false" customHeight="false" outlineLevel="0" collapsed="false">
      <c r="DB1765" s="0" t="str">
        <f aca="false">IF($A1765="","",IF($AH1765=20,IF(AND(OR($A1765=21,$A1765=215),$AJ1765=10),"①病院一般",IF(AND($A1765=31,$AJ1765=41),"②病院短期","対象外")),IF($AJ1765=30,"③特定消防",IF(AND(OR($A1765=21,$A1765=215),$AJ1765=10),"④一般",IF(AND($A1765=31,$AJ1765=41),"⑤短期","対象外")))))</f>
        <v/>
      </c>
      <c r="DC1765" s="0" t="str">
        <f aca="false">IF($A1765="","",IF($AB1765&amp;""=設定!$C$4,1,0))</f>
        <v/>
      </c>
    </row>
    <row r="1766" customFormat="false" ht="15" hidden="false" customHeight="false" outlineLevel="0" collapsed="false">
      <c r="DB1766" s="0" t="str">
        <f aca="false">IF($A1766="","",IF($AH1766=20,IF(AND(OR($A1766=21,$A1766=215),$AJ1766=10),"①病院一般",IF(AND($A1766=31,$AJ1766=41),"②病院短期","対象外")),IF($AJ1766=30,"③特定消防",IF(AND(OR($A1766=21,$A1766=215),$AJ1766=10),"④一般",IF(AND($A1766=31,$AJ1766=41),"⑤短期","対象外")))))</f>
        <v/>
      </c>
      <c r="DC1766" s="0" t="str">
        <f aca="false">IF($A1766="","",IF($AB1766&amp;""=設定!$C$4,1,0))</f>
        <v/>
      </c>
    </row>
    <row r="1767" customFormat="false" ht="15" hidden="false" customHeight="false" outlineLevel="0" collapsed="false">
      <c r="DB1767" s="0" t="str">
        <f aca="false">IF($A1767="","",IF($AH1767=20,IF(AND(OR($A1767=21,$A1767=215),$AJ1767=10),"①病院一般",IF(AND($A1767=31,$AJ1767=41),"②病院短期","対象外")),IF($AJ1767=30,"③特定消防",IF(AND(OR($A1767=21,$A1767=215),$AJ1767=10),"④一般",IF(AND($A1767=31,$AJ1767=41),"⑤短期","対象外")))))</f>
        <v/>
      </c>
      <c r="DC1767" s="0" t="str">
        <f aca="false">IF($A1767="","",IF($AB1767&amp;""=設定!$C$4,1,0))</f>
        <v/>
      </c>
    </row>
    <row r="1768" customFormat="false" ht="15" hidden="false" customHeight="false" outlineLevel="0" collapsed="false">
      <c r="DB1768" s="0" t="str">
        <f aca="false">IF($A1768="","",IF($AH1768=20,IF(AND(OR($A1768=21,$A1768=215),$AJ1768=10),"①病院一般",IF(AND($A1768=31,$AJ1768=41),"②病院短期","対象外")),IF($AJ1768=30,"③特定消防",IF(AND(OR($A1768=21,$A1768=215),$AJ1768=10),"④一般",IF(AND($A1768=31,$AJ1768=41),"⑤短期","対象外")))))</f>
        <v/>
      </c>
      <c r="DC1768" s="0" t="str">
        <f aca="false">IF($A1768="","",IF($AB1768&amp;""=設定!$C$4,1,0))</f>
        <v/>
      </c>
    </row>
    <row r="1769" customFormat="false" ht="15" hidden="false" customHeight="false" outlineLevel="0" collapsed="false">
      <c r="DB1769" s="0" t="str">
        <f aca="false">IF($A1769="","",IF($AH1769=20,IF(AND(OR($A1769=21,$A1769=215),$AJ1769=10),"①病院一般",IF(AND($A1769=31,$AJ1769=41),"②病院短期","対象外")),IF($AJ1769=30,"③特定消防",IF(AND(OR($A1769=21,$A1769=215),$AJ1769=10),"④一般",IF(AND($A1769=31,$AJ1769=41),"⑤短期","対象外")))))</f>
        <v/>
      </c>
      <c r="DC1769" s="0" t="str">
        <f aca="false">IF($A1769="","",IF($AB1769&amp;""=設定!$C$4,1,0))</f>
        <v/>
      </c>
    </row>
    <row r="1770" customFormat="false" ht="15" hidden="false" customHeight="false" outlineLevel="0" collapsed="false">
      <c r="DB1770" s="0" t="str">
        <f aca="false">IF($A1770="","",IF($AH1770=20,IF(AND(OR($A1770=21,$A1770=215),$AJ1770=10),"①病院一般",IF(AND($A1770=31,$AJ1770=41),"②病院短期","対象外")),IF($AJ1770=30,"③特定消防",IF(AND(OR($A1770=21,$A1770=215),$AJ1770=10),"④一般",IF(AND($A1770=31,$AJ1770=41),"⑤短期","対象外")))))</f>
        <v/>
      </c>
      <c r="DC1770" s="0" t="str">
        <f aca="false">IF($A1770="","",IF($AB1770&amp;""=設定!$C$4,1,0))</f>
        <v/>
      </c>
    </row>
    <row r="1771" customFormat="false" ht="15" hidden="false" customHeight="false" outlineLevel="0" collapsed="false">
      <c r="DB1771" s="0" t="str">
        <f aca="false">IF($A1771="","",IF($AH1771=20,IF(AND(OR($A1771=21,$A1771=215),$AJ1771=10),"①病院一般",IF(AND($A1771=31,$AJ1771=41),"②病院短期","対象外")),IF($AJ1771=30,"③特定消防",IF(AND(OR($A1771=21,$A1771=215),$AJ1771=10),"④一般",IF(AND($A1771=31,$AJ1771=41),"⑤短期","対象外")))))</f>
        <v/>
      </c>
      <c r="DC1771" s="0" t="str">
        <f aca="false">IF($A1771="","",IF($AB1771&amp;""=設定!$C$4,1,0))</f>
        <v/>
      </c>
    </row>
    <row r="1772" customFormat="false" ht="15" hidden="false" customHeight="false" outlineLevel="0" collapsed="false">
      <c r="DB1772" s="0" t="str">
        <f aca="false">IF($A1772="","",IF($AH1772=20,IF(AND(OR($A1772=21,$A1772=215),$AJ1772=10),"①病院一般",IF(AND($A1772=31,$AJ1772=41),"②病院短期","対象外")),IF($AJ1772=30,"③特定消防",IF(AND(OR($A1772=21,$A1772=215),$AJ1772=10),"④一般",IF(AND($A1772=31,$AJ1772=41),"⑤短期","対象外")))))</f>
        <v/>
      </c>
      <c r="DC1772" s="0" t="str">
        <f aca="false">IF($A1772="","",IF($AB1772&amp;""=設定!$C$4,1,0))</f>
        <v/>
      </c>
    </row>
    <row r="1773" customFormat="false" ht="15" hidden="false" customHeight="false" outlineLevel="0" collapsed="false">
      <c r="DB1773" s="0" t="str">
        <f aca="false">IF($A1773="","",IF($AH1773=20,IF(AND(OR($A1773=21,$A1773=215),$AJ1773=10),"①病院一般",IF(AND($A1773=31,$AJ1773=41),"②病院短期","対象外")),IF($AJ1773=30,"③特定消防",IF(AND(OR($A1773=21,$A1773=215),$AJ1773=10),"④一般",IF(AND($A1773=31,$AJ1773=41),"⑤短期","対象外")))))</f>
        <v/>
      </c>
      <c r="DC1773" s="0" t="str">
        <f aca="false">IF($A1773="","",IF($AB1773&amp;""=設定!$C$4,1,0))</f>
        <v/>
      </c>
    </row>
    <row r="1774" customFormat="false" ht="15" hidden="false" customHeight="false" outlineLevel="0" collapsed="false">
      <c r="DB1774" s="0" t="str">
        <f aca="false">IF($A1774="","",IF($AH1774=20,IF(AND(OR($A1774=21,$A1774=215),$AJ1774=10),"①病院一般",IF(AND($A1774=31,$AJ1774=41),"②病院短期","対象外")),IF($AJ1774=30,"③特定消防",IF(AND(OR($A1774=21,$A1774=215),$AJ1774=10),"④一般",IF(AND($A1774=31,$AJ1774=41),"⑤短期","対象外")))))</f>
        <v/>
      </c>
      <c r="DC1774" s="0" t="str">
        <f aca="false">IF($A1774="","",IF($AB1774&amp;""=設定!$C$4,1,0))</f>
        <v/>
      </c>
    </row>
    <row r="1775" customFormat="false" ht="15" hidden="false" customHeight="false" outlineLevel="0" collapsed="false">
      <c r="DB1775" s="0" t="str">
        <f aca="false">IF($A1775="","",IF($AH1775=20,IF(AND(OR($A1775=21,$A1775=215),$AJ1775=10),"①病院一般",IF(AND($A1775=31,$AJ1775=41),"②病院短期","対象外")),IF($AJ1775=30,"③特定消防",IF(AND(OR($A1775=21,$A1775=215),$AJ1775=10),"④一般",IF(AND($A1775=31,$AJ1775=41),"⑤短期","対象外")))))</f>
        <v/>
      </c>
      <c r="DC1775" s="0" t="str">
        <f aca="false">IF($A1775="","",IF($AB1775&amp;""=設定!$C$4,1,0))</f>
        <v/>
      </c>
    </row>
    <row r="1776" customFormat="false" ht="15" hidden="false" customHeight="false" outlineLevel="0" collapsed="false">
      <c r="DB1776" s="0" t="str">
        <f aca="false">IF($A1776="","",IF($AH1776=20,IF(AND(OR($A1776=21,$A1776=215),$AJ1776=10),"①病院一般",IF(AND($A1776=31,$AJ1776=41),"②病院短期","対象外")),IF($AJ1776=30,"③特定消防",IF(AND(OR($A1776=21,$A1776=215),$AJ1776=10),"④一般",IF(AND($A1776=31,$AJ1776=41),"⑤短期","対象外")))))</f>
        <v/>
      </c>
      <c r="DC1776" s="0" t="str">
        <f aca="false">IF($A1776="","",IF($AB1776&amp;""=設定!$C$4,1,0))</f>
        <v/>
      </c>
    </row>
    <row r="1777" customFormat="false" ht="15" hidden="false" customHeight="false" outlineLevel="0" collapsed="false">
      <c r="DB1777" s="0" t="str">
        <f aca="false">IF($A1777="","",IF($AH1777=20,IF(AND(OR($A1777=21,$A1777=215),$AJ1777=10),"①病院一般",IF(AND($A1777=31,$AJ1777=41),"②病院短期","対象外")),IF($AJ1777=30,"③特定消防",IF(AND(OR($A1777=21,$A1777=215),$AJ1777=10),"④一般",IF(AND($A1777=31,$AJ1777=41),"⑤短期","対象外")))))</f>
        <v/>
      </c>
      <c r="DC1777" s="0" t="str">
        <f aca="false">IF($A1777="","",IF($AB1777&amp;""=設定!$C$4,1,0))</f>
        <v/>
      </c>
    </row>
    <row r="1778" customFormat="false" ht="15" hidden="false" customHeight="false" outlineLevel="0" collapsed="false">
      <c r="DB1778" s="0" t="str">
        <f aca="false">IF($A1778="","",IF($AH1778=20,IF(AND(OR($A1778=21,$A1778=215),$AJ1778=10),"①病院一般",IF(AND($A1778=31,$AJ1778=41),"②病院短期","対象外")),IF($AJ1778=30,"③特定消防",IF(AND(OR($A1778=21,$A1778=215),$AJ1778=10),"④一般",IF(AND($A1778=31,$AJ1778=41),"⑤短期","対象外")))))</f>
        <v/>
      </c>
      <c r="DC1778" s="0" t="str">
        <f aca="false">IF($A1778="","",IF($AB1778&amp;""=設定!$C$4,1,0))</f>
        <v/>
      </c>
    </row>
    <row r="1779" customFormat="false" ht="15" hidden="false" customHeight="false" outlineLevel="0" collapsed="false">
      <c r="DB1779" s="0" t="str">
        <f aca="false">IF($A1779="","",IF($AH1779=20,IF(AND(OR($A1779=21,$A1779=215),$AJ1779=10),"①病院一般",IF(AND($A1779=31,$AJ1779=41),"②病院短期","対象外")),IF($AJ1779=30,"③特定消防",IF(AND(OR($A1779=21,$A1779=215),$AJ1779=10),"④一般",IF(AND($A1779=31,$AJ1779=41),"⑤短期","対象外")))))</f>
        <v/>
      </c>
      <c r="DC1779" s="0" t="str">
        <f aca="false">IF($A1779="","",IF($AB1779&amp;""=設定!$C$4,1,0))</f>
        <v/>
      </c>
    </row>
    <row r="1780" customFormat="false" ht="15" hidden="false" customHeight="false" outlineLevel="0" collapsed="false">
      <c r="DB1780" s="0" t="str">
        <f aca="false">IF($A1780="","",IF($AH1780=20,IF(AND(OR($A1780=21,$A1780=215),$AJ1780=10),"①病院一般",IF(AND($A1780=31,$AJ1780=41),"②病院短期","対象外")),IF($AJ1780=30,"③特定消防",IF(AND(OR($A1780=21,$A1780=215),$AJ1780=10),"④一般",IF(AND($A1780=31,$AJ1780=41),"⑤短期","対象外")))))</f>
        <v/>
      </c>
      <c r="DC1780" s="0" t="str">
        <f aca="false">IF($A1780="","",IF($AB1780&amp;""=設定!$C$4,1,0))</f>
        <v/>
      </c>
    </row>
    <row r="1781" customFormat="false" ht="15" hidden="false" customHeight="false" outlineLevel="0" collapsed="false">
      <c r="DB1781" s="0" t="str">
        <f aca="false">IF($A1781="","",IF($AH1781=20,IF(AND(OR($A1781=21,$A1781=215),$AJ1781=10),"①病院一般",IF(AND($A1781=31,$AJ1781=41),"②病院短期","対象外")),IF($AJ1781=30,"③特定消防",IF(AND(OR($A1781=21,$A1781=215),$AJ1781=10),"④一般",IF(AND($A1781=31,$AJ1781=41),"⑤短期","対象外")))))</f>
        <v/>
      </c>
      <c r="DC1781" s="0" t="str">
        <f aca="false">IF($A1781="","",IF($AB1781&amp;""=設定!$C$4,1,0))</f>
        <v/>
      </c>
    </row>
    <row r="1782" customFormat="false" ht="15" hidden="false" customHeight="false" outlineLevel="0" collapsed="false">
      <c r="DB1782" s="0" t="str">
        <f aca="false">IF($A1782="","",IF($AH1782=20,IF(AND(OR($A1782=21,$A1782=215),$AJ1782=10),"①病院一般",IF(AND($A1782=31,$AJ1782=41),"②病院短期","対象外")),IF($AJ1782=30,"③特定消防",IF(AND(OR($A1782=21,$A1782=215),$AJ1782=10),"④一般",IF(AND($A1782=31,$AJ1782=41),"⑤短期","対象外")))))</f>
        <v/>
      </c>
      <c r="DC1782" s="0" t="str">
        <f aca="false">IF($A1782="","",IF($AB1782&amp;""=設定!$C$4,1,0))</f>
        <v/>
      </c>
    </row>
    <row r="1783" customFormat="false" ht="15" hidden="false" customHeight="false" outlineLevel="0" collapsed="false">
      <c r="DB1783" s="0" t="str">
        <f aca="false">IF($A1783="","",IF($AH1783=20,IF(AND(OR($A1783=21,$A1783=215),$AJ1783=10),"①病院一般",IF(AND($A1783=31,$AJ1783=41),"②病院短期","対象外")),IF($AJ1783=30,"③特定消防",IF(AND(OR($A1783=21,$A1783=215),$AJ1783=10),"④一般",IF(AND($A1783=31,$AJ1783=41),"⑤短期","対象外")))))</f>
        <v/>
      </c>
      <c r="DC1783" s="0" t="str">
        <f aca="false">IF($A1783="","",IF($AB1783&amp;""=設定!$C$4,1,0))</f>
        <v/>
      </c>
    </row>
    <row r="1784" customFormat="false" ht="15" hidden="false" customHeight="false" outlineLevel="0" collapsed="false">
      <c r="DB1784" s="0" t="str">
        <f aca="false">IF($A1784="","",IF($AH1784=20,IF(AND(OR($A1784=21,$A1784=215),$AJ1784=10),"①病院一般",IF(AND($A1784=31,$AJ1784=41),"②病院短期","対象外")),IF($AJ1784=30,"③特定消防",IF(AND(OR($A1784=21,$A1784=215),$AJ1784=10),"④一般",IF(AND($A1784=31,$AJ1784=41),"⑤短期","対象外")))))</f>
        <v/>
      </c>
      <c r="DC1784" s="0" t="str">
        <f aca="false">IF($A1784="","",IF($AB1784&amp;""=設定!$C$4,1,0))</f>
        <v/>
      </c>
    </row>
    <row r="1785" customFormat="false" ht="15" hidden="false" customHeight="false" outlineLevel="0" collapsed="false">
      <c r="DB1785" s="0" t="str">
        <f aca="false">IF($A1785="","",IF($AH1785=20,IF(AND(OR($A1785=21,$A1785=215),$AJ1785=10),"①病院一般",IF(AND($A1785=31,$AJ1785=41),"②病院短期","対象外")),IF($AJ1785=30,"③特定消防",IF(AND(OR($A1785=21,$A1785=215),$AJ1785=10),"④一般",IF(AND($A1785=31,$AJ1785=41),"⑤短期","対象外")))))</f>
        <v/>
      </c>
      <c r="DC1785" s="0" t="str">
        <f aca="false">IF($A1785="","",IF($AB1785&amp;""=設定!$C$4,1,0))</f>
        <v/>
      </c>
    </row>
    <row r="1786" customFormat="false" ht="15" hidden="false" customHeight="false" outlineLevel="0" collapsed="false">
      <c r="DB1786" s="0" t="str">
        <f aca="false">IF($A1786="","",IF($AH1786=20,IF(AND(OR($A1786=21,$A1786=215),$AJ1786=10),"①病院一般",IF(AND($A1786=31,$AJ1786=41),"②病院短期","対象外")),IF($AJ1786=30,"③特定消防",IF(AND(OR($A1786=21,$A1786=215),$AJ1786=10),"④一般",IF(AND($A1786=31,$AJ1786=41),"⑤短期","対象外")))))</f>
        <v/>
      </c>
      <c r="DC1786" s="0" t="str">
        <f aca="false">IF($A1786="","",IF($AB1786&amp;""=設定!$C$4,1,0))</f>
        <v/>
      </c>
    </row>
    <row r="1787" customFormat="false" ht="15" hidden="false" customHeight="false" outlineLevel="0" collapsed="false">
      <c r="DB1787" s="0" t="str">
        <f aca="false">IF($A1787="","",IF($AH1787=20,IF(AND(OR($A1787=21,$A1787=215),$AJ1787=10),"①病院一般",IF(AND($A1787=31,$AJ1787=41),"②病院短期","対象外")),IF($AJ1787=30,"③特定消防",IF(AND(OR($A1787=21,$A1787=215),$AJ1787=10),"④一般",IF(AND($A1787=31,$AJ1787=41),"⑤短期","対象外")))))</f>
        <v/>
      </c>
      <c r="DC1787" s="0" t="str">
        <f aca="false">IF($A1787="","",IF($AB1787&amp;""=設定!$C$4,1,0))</f>
        <v/>
      </c>
    </row>
    <row r="1788" customFormat="false" ht="15" hidden="false" customHeight="false" outlineLevel="0" collapsed="false">
      <c r="DB1788" s="0" t="str">
        <f aca="false">IF($A1788="","",IF($AH1788=20,IF(AND(OR($A1788=21,$A1788=215),$AJ1788=10),"①病院一般",IF(AND($A1788=31,$AJ1788=41),"②病院短期","対象外")),IF($AJ1788=30,"③特定消防",IF(AND(OR($A1788=21,$A1788=215),$AJ1788=10),"④一般",IF(AND($A1788=31,$AJ1788=41),"⑤短期","対象外")))))</f>
        <v/>
      </c>
      <c r="DC1788" s="0" t="str">
        <f aca="false">IF($A1788="","",IF($AB1788&amp;""=設定!$C$4,1,0))</f>
        <v/>
      </c>
    </row>
    <row r="1789" customFormat="false" ht="15" hidden="false" customHeight="false" outlineLevel="0" collapsed="false">
      <c r="DB1789" s="0" t="str">
        <f aca="false">IF($A1789="","",IF($AH1789=20,IF(AND(OR($A1789=21,$A1789=215),$AJ1789=10),"①病院一般",IF(AND($A1789=31,$AJ1789=41),"②病院短期","対象外")),IF($AJ1789=30,"③特定消防",IF(AND(OR($A1789=21,$A1789=215),$AJ1789=10),"④一般",IF(AND($A1789=31,$AJ1789=41),"⑤短期","対象外")))))</f>
        <v/>
      </c>
      <c r="DC1789" s="0" t="str">
        <f aca="false">IF($A1789="","",IF($AB1789&amp;""=設定!$C$4,1,0))</f>
        <v/>
      </c>
    </row>
    <row r="1790" customFormat="false" ht="15" hidden="false" customHeight="false" outlineLevel="0" collapsed="false">
      <c r="DB1790" s="0" t="str">
        <f aca="false">IF($A1790="","",IF($AH1790=20,IF(AND(OR($A1790=21,$A1790=215),$AJ1790=10),"①病院一般",IF(AND($A1790=31,$AJ1790=41),"②病院短期","対象外")),IF($AJ1790=30,"③特定消防",IF(AND(OR($A1790=21,$A1790=215),$AJ1790=10),"④一般",IF(AND($A1790=31,$AJ1790=41),"⑤短期","対象外")))))</f>
        <v/>
      </c>
      <c r="DC1790" s="0" t="str">
        <f aca="false">IF($A1790="","",IF($AB1790&amp;""=設定!$C$4,1,0))</f>
        <v/>
      </c>
    </row>
    <row r="1791" customFormat="false" ht="15" hidden="false" customHeight="false" outlineLevel="0" collapsed="false">
      <c r="DB1791" s="0" t="str">
        <f aca="false">IF($A1791="","",IF($AH1791=20,IF(AND(OR($A1791=21,$A1791=215),$AJ1791=10),"①病院一般",IF(AND($A1791=31,$AJ1791=41),"②病院短期","対象外")),IF($AJ1791=30,"③特定消防",IF(AND(OR($A1791=21,$A1791=215),$AJ1791=10),"④一般",IF(AND($A1791=31,$AJ1791=41),"⑤短期","対象外")))))</f>
        <v/>
      </c>
      <c r="DC1791" s="0" t="str">
        <f aca="false">IF($A1791="","",IF($AB1791&amp;""=設定!$C$4,1,0))</f>
        <v/>
      </c>
    </row>
    <row r="1792" customFormat="false" ht="15" hidden="false" customHeight="false" outlineLevel="0" collapsed="false">
      <c r="DB1792" s="0" t="str">
        <f aca="false">IF($A1792="","",IF($AH1792=20,IF(AND(OR($A1792=21,$A1792=215),$AJ1792=10),"①病院一般",IF(AND($A1792=31,$AJ1792=41),"②病院短期","対象外")),IF($AJ1792=30,"③特定消防",IF(AND(OR($A1792=21,$A1792=215),$AJ1792=10),"④一般",IF(AND($A1792=31,$AJ1792=41),"⑤短期","対象外")))))</f>
        <v/>
      </c>
      <c r="DC1792" s="0" t="str">
        <f aca="false">IF($A1792="","",IF($AB1792&amp;""=設定!$C$4,1,0))</f>
        <v/>
      </c>
    </row>
    <row r="1793" customFormat="false" ht="15" hidden="false" customHeight="false" outlineLevel="0" collapsed="false">
      <c r="DB1793" s="0" t="str">
        <f aca="false">IF($A1793="","",IF($AH1793=20,IF(AND(OR($A1793=21,$A1793=215),$AJ1793=10),"①病院一般",IF(AND($A1793=31,$AJ1793=41),"②病院短期","対象外")),IF($AJ1793=30,"③特定消防",IF(AND(OR($A1793=21,$A1793=215),$AJ1793=10),"④一般",IF(AND($A1793=31,$AJ1793=41),"⑤短期","対象外")))))</f>
        <v/>
      </c>
      <c r="DC1793" s="0" t="str">
        <f aca="false">IF($A1793="","",IF($AB1793&amp;""=設定!$C$4,1,0))</f>
        <v/>
      </c>
    </row>
    <row r="1794" customFormat="false" ht="15" hidden="false" customHeight="false" outlineLevel="0" collapsed="false">
      <c r="DB1794" s="0" t="str">
        <f aca="false">IF($A1794="","",IF($AH1794=20,IF(AND(OR($A1794=21,$A1794=215),$AJ1794=10),"①病院一般",IF(AND($A1794=31,$AJ1794=41),"②病院短期","対象外")),IF($AJ1794=30,"③特定消防",IF(AND(OR($A1794=21,$A1794=215),$AJ1794=10),"④一般",IF(AND($A1794=31,$AJ1794=41),"⑤短期","対象外")))))</f>
        <v/>
      </c>
      <c r="DC1794" s="0" t="str">
        <f aca="false">IF($A1794="","",IF($AB1794&amp;""=設定!$C$4,1,0))</f>
        <v/>
      </c>
    </row>
    <row r="1795" customFormat="false" ht="15" hidden="false" customHeight="false" outlineLevel="0" collapsed="false">
      <c r="DB1795" s="0" t="str">
        <f aca="false">IF($A1795="","",IF($AH1795=20,IF(AND(OR($A1795=21,$A1795=215),$AJ1795=10),"①病院一般",IF(AND($A1795=31,$AJ1795=41),"②病院短期","対象外")),IF($AJ1795=30,"③特定消防",IF(AND(OR($A1795=21,$A1795=215),$AJ1795=10),"④一般",IF(AND($A1795=31,$AJ1795=41),"⑤短期","対象外")))))</f>
        <v/>
      </c>
      <c r="DC1795" s="0" t="str">
        <f aca="false">IF($A1795="","",IF($AB1795&amp;""=設定!$C$4,1,0))</f>
        <v/>
      </c>
    </row>
    <row r="1796" customFormat="false" ht="15" hidden="false" customHeight="false" outlineLevel="0" collapsed="false">
      <c r="DB1796" s="0" t="str">
        <f aca="false">IF($A1796="","",IF($AH1796=20,IF(AND(OR($A1796=21,$A1796=215),$AJ1796=10),"①病院一般",IF(AND($A1796=31,$AJ1796=41),"②病院短期","対象外")),IF($AJ1796=30,"③特定消防",IF(AND(OR($A1796=21,$A1796=215),$AJ1796=10),"④一般",IF(AND($A1796=31,$AJ1796=41),"⑤短期","対象外")))))</f>
        <v/>
      </c>
      <c r="DC1796" s="0" t="str">
        <f aca="false">IF($A1796="","",IF($AB1796&amp;""=設定!$C$4,1,0))</f>
        <v/>
      </c>
    </row>
    <row r="1797" customFormat="false" ht="15" hidden="false" customHeight="false" outlineLevel="0" collapsed="false">
      <c r="DB1797" s="0" t="str">
        <f aca="false">IF($A1797="","",IF($AH1797=20,IF(AND(OR($A1797=21,$A1797=215),$AJ1797=10),"①病院一般",IF(AND($A1797=31,$AJ1797=41),"②病院短期","対象外")),IF($AJ1797=30,"③特定消防",IF(AND(OR($A1797=21,$A1797=215),$AJ1797=10),"④一般",IF(AND($A1797=31,$AJ1797=41),"⑤短期","対象外")))))</f>
        <v/>
      </c>
      <c r="DC1797" s="0" t="str">
        <f aca="false">IF($A1797="","",IF($AB1797&amp;""=設定!$C$4,1,0))</f>
        <v/>
      </c>
    </row>
    <row r="1798" customFormat="false" ht="15" hidden="false" customHeight="false" outlineLevel="0" collapsed="false">
      <c r="DB1798" s="0" t="str">
        <f aca="false">IF($A1798="","",IF($AH1798=20,IF(AND(OR($A1798=21,$A1798=215),$AJ1798=10),"①病院一般",IF(AND($A1798=31,$AJ1798=41),"②病院短期","対象外")),IF($AJ1798=30,"③特定消防",IF(AND(OR($A1798=21,$A1798=215),$AJ1798=10),"④一般",IF(AND($A1798=31,$AJ1798=41),"⑤短期","対象外")))))</f>
        <v/>
      </c>
      <c r="DC1798" s="0" t="str">
        <f aca="false">IF($A1798="","",IF($AB1798&amp;""=設定!$C$4,1,0))</f>
        <v/>
      </c>
    </row>
    <row r="1799" customFormat="false" ht="15" hidden="false" customHeight="false" outlineLevel="0" collapsed="false">
      <c r="DB1799" s="0" t="str">
        <f aca="false">IF($A1799="","",IF($AH1799=20,IF(AND(OR($A1799=21,$A1799=215),$AJ1799=10),"①病院一般",IF(AND($A1799=31,$AJ1799=41),"②病院短期","対象外")),IF($AJ1799=30,"③特定消防",IF(AND(OR($A1799=21,$A1799=215),$AJ1799=10),"④一般",IF(AND($A1799=31,$AJ1799=41),"⑤短期","対象外")))))</f>
        <v/>
      </c>
      <c r="DC1799" s="0" t="str">
        <f aca="false">IF($A1799="","",IF($AB1799&amp;""=設定!$C$4,1,0))</f>
        <v/>
      </c>
    </row>
    <row r="1800" customFormat="false" ht="15" hidden="false" customHeight="false" outlineLevel="0" collapsed="false">
      <c r="DB1800" s="0" t="str">
        <f aca="false">IF($A1800="","",IF($AH1800=20,IF(AND(OR($A1800=21,$A1800=215),$AJ1800=10),"①病院一般",IF(AND($A1800=31,$AJ1800=41),"②病院短期","対象外")),IF($AJ1800=30,"③特定消防",IF(AND(OR($A1800=21,$A1800=215),$AJ1800=10),"④一般",IF(AND($A1800=31,$AJ1800=41),"⑤短期","対象外")))))</f>
        <v/>
      </c>
      <c r="DC1800" s="0" t="str">
        <f aca="false">IF($A1800="","",IF($AB1800&amp;""=設定!$C$4,1,0))</f>
        <v/>
      </c>
    </row>
    <row r="1801" customFormat="false" ht="15" hidden="false" customHeight="false" outlineLevel="0" collapsed="false">
      <c r="DB1801" s="0" t="str">
        <f aca="false">IF($A1801="","",IF($AH1801=20,IF(AND(OR($A1801=21,$A1801=215),$AJ1801=10),"①病院一般",IF(AND($A1801=31,$AJ1801=41),"②病院短期","対象外")),IF($AJ1801=30,"③特定消防",IF(AND(OR($A1801=21,$A1801=215),$AJ1801=10),"④一般",IF(AND($A1801=31,$AJ1801=41),"⑤短期","対象外")))))</f>
        <v/>
      </c>
      <c r="DC1801" s="0" t="str">
        <f aca="false">IF($A1801="","",IF($AB1801&amp;""=設定!$C$4,1,0))</f>
        <v/>
      </c>
    </row>
    <row r="1802" customFormat="false" ht="15" hidden="false" customHeight="false" outlineLevel="0" collapsed="false">
      <c r="DB1802" s="0" t="str">
        <f aca="false">IF($A1802="","",IF($AH1802=20,IF(AND(OR($A1802=21,$A1802=215),$AJ1802=10),"①病院一般",IF(AND($A1802=31,$AJ1802=41),"②病院短期","対象外")),IF($AJ1802=30,"③特定消防",IF(AND(OR($A1802=21,$A1802=215),$AJ1802=10),"④一般",IF(AND($A1802=31,$AJ1802=41),"⑤短期","対象外")))))</f>
        <v/>
      </c>
      <c r="DC1802" s="0" t="str">
        <f aca="false">IF($A1802="","",IF($AB1802&amp;""=設定!$C$4,1,0))</f>
        <v/>
      </c>
    </row>
    <row r="1803" customFormat="false" ht="15" hidden="false" customHeight="false" outlineLevel="0" collapsed="false">
      <c r="DB1803" s="0" t="str">
        <f aca="false">IF($A1803="","",IF($AH1803=20,IF(AND(OR($A1803=21,$A1803=215),$AJ1803=10),"①病院一般",IF(AND($A1803=31,$AJ1803=41),"②病院短期","対象外")),IF($AJ1803=30,"③特定消防",IF(AND(OR($A1803=21,$A1803=215),$AJ1803=10),"④一般",IF(AND($A1803=31,$AJ1803=41),"⑤短期","対象外")))))</f>
        <v/>
      </c>
      <c r="DC1803" s="0" t="str">
        <f aca="false">IF($A1803="","",IF($AB1803&amp;""=設定!$C$4,1,0))</f>
        <v/>
      </c>
    </row>
    <row r="1804" customFormat="false" ht="15" hidden="false" customHeight="false" outlineLevel="0" collapsed="false">
      <c r="DB1804" s="0" t="str">
        <f aca="false">IF($A1804="","",IF($AH1804=20,IF(AND(OR($A1804=21,$A1804=215),$AJ1804=10),"①病院一般",IF(AND($A1804=31,$AJ1804=41),"②病院短期","対象外")),IF($AJ1804=30,"③特定消防",IF(AND(OR($A1804=21,$A1804=215),$AJ1804=10),"④一般",IF(AND($A1804=31,$AJ1804=41),"⑤短期","対象外")))))</f>
        <v/>
      </c>
      <c r="DC1804" s="0" t="str">
        <f aca="false">IF($A1804="","",IF($AB1804&amp;""=設定!$C$4,1,0))</f>
        <v/>
      </c>
    </row>
    <row r="1805" customFormat="false" ht="15" hidden="false" customHeight="false" outlineLevel="0" collapsed="false">
      <c r="DB1805" s="0" t="str">
        <f aca="false">IF($A1805="","",IF($AH1805=20,IF(AND(OR($A1805=21,$A1805=215),$AJ1805=10),"①病院一般",IF(AND($A1805=31,$AJ1805=41),"②病院短期","対象外")),IF($AJ1805=30,"③特定消防",IF(AND(OR($A1805=21,$A1805=215),$AJ1805=10),"④一般",IF(AND($A1805=31,$AJ1805=41),"⑤短期","対象外")))))</f>
        <v/>
      </c>
      <c r="DC1805" s="0" t="str">
        <f aca="false">IF($A1805="","",IF($AB1805&amp;""=設定!$C$4,1,0))</f>
        <v/>
      </c>
    </row>
    <row r="1806" customFormat="false" ht="15" hidden="false" customHeight="false" outlineLevel="0" collapsed="false">
      <c r="DB1806" s="0" t="str">
        <f aca="false">IF($A1806="","",IF($AH1806=20,IF(AND(OR($A1806=21,$A1806=215),$AJ1806=10),"①病院一般",IF(AND($A1806=31,$AJ1806=41),"②病院短期","対象外")),IF($AJ1806=30,"③特定消防",IF(AND(OR($A1806=21,$A1806=215),$AJ1806=10),"④一般",IF(AND($A1806=31,$AJ1806=41),"⑤短期","対象外")))))</f>
        <v/>
      </c>
      <c r="DC1806" s="0" t="str">
        <f aca="false">IF($A1806="","",IF($AB1806&amp;""=設定!$C$4,1,0))</f>
        <v/>
      </c>
    </row>
    <row r="1807" customFormat="false" ht="15" hidden="false" customHeight="false" outlineLevel="0" collapsed="false">
      <c r="DB1807" s="0" t="str">
        <f aca="false">IF($A1807="","",IF($AH1807=20,IF(AND(OR($A1807=21,$A1807=215),$AJ1807=10),"①病院一般",IF(AND($A1807=31,$AJ1807=41),"②病院短期","対象外")),IF($AJ1807=30,"③特定消防",IF(AND(OR($A1807=21,$A1807=215),$AJ1807=10),"④一般",IF(AND($A1807=31,$AJ1807=41),"⑤短期","対象外")))))</f>
        <v/>
      </c>
      <c r="DC1807" s="0" t="str">
        <f aca="false">IF($A1807="","",IF($AB1807&amp;""=設定!$C$4,1,0))</f>
        <v/>
      </c>
    </row>
    <row r="1808" customFormat="false" ht="15" hidden="false" customHeight="false" outlineLevel="0" collapsed="false">
      <c r="DB1808" s="0" t="str">
        <f aca="false">IF($A1808="","",IF($AH1808=20,IF(AND(OR($A1808=21,$A1808=215),$AJ1808=10),"①病院一般",IF(AND($A1808=31,$AJ1808=41),"②病院短期","対象外")),IF($AJ1808=30,"③特定消防",IF(AND(OR($A1808=21,$A1808=215),$AJ1808=10),"④一般",IF(AND($A1808=31,$AJ1808=41),"⑤短期","対象外")))))</f>
        <v/>
      </c>
      <c r="DC1808" s="0" t="str">
        <f aca="false">IF($A1808="","",IF($AB1808&amp;""=設定!$C$4,1,0))</f>
        <v/>
      </c>
    </row>
    <row r="1809" customFormat="false" ht="15" hidden="false" customHeight="false" outlineLevel="0" collapsed="false">
      <c r="DB1809" s="0" t="str">
        <f aca="false">IF($A1809="","",IF($AH1809=20,IF(AND(OR($A1809=21,$A1809=215),$AJ1809=10),"①病院一般",IF(AND($A1809=31,$AJ1809=41),"②病院短期","対象外")),IF($AJ1809=30,"③特定消防",IF(AND(OR($A1809=21,$A1809=215),$AJ1809=10),"④一般",IF(AND($A1809=31,$AJ1809=41),"⑤短期","対象外")))))</f>
        <v/>
      </c>
      <c r="DC1809" s="0" t="str">
        <f aca="false">IF($A1809="","",IF($AB1809&amp;""=設定!$C$4,1,0))</f>
        <v/>
      </c>
    </row>
    <row r="1810" customFormat="false" ht="15" hidden="false" customHeight="false" outlineLevel="0" collapsed="false">
      <c r="DB1810" s="0" t="str">
        <f aca="false">IF($A1810="","",IF($AH1810=20,IF(AND(OR($A1810=21,$A1810=215),$AJ1810=10),"①病院一般",IF(AND($A1810=31,$AJ1810=41),"②病院短期","対象外")),IF($AJ1810=30,"③特定消防",IF(AND(OR($A1810=21,$A1810=215),$AJ1810=10),"④一般",IF(AND($A1810=31,$AJ1810=41),"⑤短期","対象外")))))</f>
        <v/>
      </c>
      <c r="DC1810" s="0" t="str">
        <f aca="false">IF($A1810="","",IF($AB1810&amp;""=設定!$C$4,1,0))</f>
        <v/>
      </c>
    </row>
    <row r="1811" customFormat="false" ht="15" hidden="false" customHeight="false" outlineLevel="0" collapsed="false">
      <c r="DB1811" s="0" t="str">
        <f aca="false">IF($A1811="","",IF($AH1811=20,IF(AND(OR($A1811=21,$A1811=215),$AJ1811=10),"①病院一般",IF(AND($A1811=31,$AJ1811=41),"②病院短期","対象外")),IF($AJ1811=30,"③特定消防",IF(AND(OR($A1811=21,$A1811=215),$AJ1811=10),"④一般",IF(AND($A1811=31,$AJ1811=41),"⑤短期","対象外")))))</f>
        <v/>
      </c>
      <c r="DC1811" s="0" t="str">
        <f aca="false">IF($A1811="","",IF($AB1811&amp;""=設定!$C$4,1,0))</f>
        <v/>
      </c>
    </row>
    <row r="1812" customFormat="false" ht="15" hidden="false" customHeight="false" outlineLevel="0" collapsed="false">
      <c r="DB1812" s="0" t="str">
        <f aca="false">IF($A1812="","",IF($AH1812=20,IF(AND(OR($A1812=21,$A1812=215),$AJ1812=10),"①病院一般",IF(AND($A1812=31,$AJ1812=41),"②病院短期","対象外")),IF($AJ1812=30,"③特定消防",IF(AND(OR($A1812=21,$A1812=215),$AJ1812=10),"④一般",IF(AND($A1812=31,$AJ1812=41),"⑤短期","対象外")))))</f>
        <v/>
      </c>
      <c r="DC1812" s="0" t="str">
        <f aca="false">IF($A1812="","",IF($AB1812&amp;""=設定!$C$4,1,0))</f>
        <v/>
      </c>
    </row>
    <row r="1813" customFormat="false" ht="15" hidden="false" customHeight="false" outlineLevel="0" collapsed="false">
      <c r="DB1813" s="0" t="str">
        <f aca="false">IF($A1813="","",IF($AH1813=20,IF(AND(OR($A1813=21,$A1813=215),$AJ1813=10),"①病院一般",IF(AND($A1813=31,$AJ1813=41),"②病院短期","対象外")),IF($AJ1813=30,"③特定消防",IF(AND(OR($A1813=21,$A1813=215),$AJ1813=10),"④一般",IF(AND($A1813=31,$AJ1813=41),"⑤短期","対象外")))))</f>
        <v/>
      </c>
      <c r="DC1813" s="0" t="str">
        <f aca="false">IF($A1813="","",IF($AB1813&amp;""=設定!$C$4,1,0))</f>
        <v/>
      </c>
    </row>
    <row r="1814" customFormat="false" ht="15" hidden="false" customHeight="false" outlineLevel="0" collapsed="false">
      <c r="DB1814" s="0" t="str">
        <f aca="false">IF($A1814="","",IF($AH1814=20,IF(AND(OR($A1814=21,$A1814=215),$AJ1814=10),"①病院一般",IF(AND($A1814=31,$AJ1814=41),"②病院短期","対象外")),IF($AJ1814=30,"③特定消防",IF(AND(OR($A1814=21,$A1814=215),$AJ1814=10),"④一般",IF(AND($A1814=31,$AJ1814=41),"⑤短期","対象外")))))</f>
        <v/>
      </c>
      <c r="DC1814" s="0" t="str">
        <f aca="false">IF($A1814="","",IF($AB1814&amp;""=設定!$C$4,1,0))</f>
        <v/>
      </c>
    </row>
    <row r="1815" customFormat="false" ht="15" hidden="false" customHeight="false" outlineLevel="0" collapsed="false">
      <c r="DB1815" s="0" t="str">
        <f aca="false">IF($A1815="","",IF($AH1815=20,IF(AND(OR($A1815=21,$A1815=215),$AJ1815=10),"①病院一般",IF(AND($A1815=31,$AJ1815=41),"②病院短期","対象外")),IF($AJ1815=30,"③特定消防",IF(AND(OR($A1815=21,$A1815=215),$AJ1815=10),"④一般",IF(AND($A1815=31,$AJ1815=41),"⑤短期","対象外")))))</f>
        <v/>
      </c>
      <c r="DC1815" s="0" t="str">
        <f aca="false">IF($A1815="","",IF($AB1815&amp;""=設定!$C$4,1,0))</f>
        <v/>
      </c>
    </row>
    <row r="1816" customFormat="false" ht="15" hidden="false" customHeight="false" outlineLevel="0" collapsed="false">
      <c r="DB1816" s="0" t="str">
        <f aca="false">IF($A1816="","",IF($AH1816=20,IF(AND(OR($A1816=21,$A1816=215),$AJ1816=10),"①病院一般",IF(AND($A1816=31,$AJ1816=41),"②病院短期","対象外")),IF($AJ1816=30,"③特定消防",IF(AND(OR($A1816=21,$A1816=215),$AJ1816=10),"④一般",IF(AND($A1816=31,$AJ1816=41),"⑤短期","対象外")))))</f>
        <v/>
      </c>
      <c r="DC1816" s="0" t="str">
        <f aca="false">IF($A1816="","",IF($AB1816&amp;""=設定!$C$4,1,0))</f>
        <v/>
      </c>
    </row>
    <row r="1817" customFormat="false" ht="15" hidden="false" customHeight="false" outlineLevel="0" collapsed="false">
      <c r="DB1817" s="0" t="str">
        <f aca="false">IF($A1817="","",IF($AH1817=20,IF(AND(OR($A1817=21,$A1817=215),$AJ1817=10),"①病院一般",IF(AND($A1817=31,$AJ1817=41),"②病院短期","対象外")),IF($AJ1817=30,"③特定消防",IF(AND(OR($A1817=21,$A1817=215),$AJ1817=10),"④一般",IF(AND($A1817=31,$AJ1817=41),"⑤短期","対象外")))))</f>
        <v/>
      </c>
      <c r="DC1817" s="0" t="str">
        <f aca="false">IF($A1817="","",IF($AB1817&amp;""=設定!$C$4,1,0))</f>
        <v/>
      </c>
    </row>
    <row r="1818" customFormat="false" ht="15" hidden="false" customHeight="false" outlineLevel="0" collapsed="false">
      <c r="DB1818" s="0" t="str">
        <f aca="false">IF($A1818="","",IF($AH1818=20,IF(AND(OR($A1818=21,$A1818=215),$AJ1818=10),"①病院一般",IF(AND($A1818=31,$AJ1818=41),"②病院短期","対象外")),IF($AJ1818=30,"③特定消防",IF(AND(OR($A1818=21,$A1818=215),$AJ1818=10),"④一般",IF(AND($A1818=31,$AJ1818=41),"⑤短期","対象外")))))</f>
        <v/>
      </c>
      <c r="DC1818" s="0" t="str">
        <f aca="false">IF($A1818="","",IF($AB1818&amp;""=設定!$C$4,1,0))</f>
        <v/>
      </c>
    </row>
    <row r="1819" customFormat="false" ht="15" hidden="false" customHeight="false" outlineLevel="0" collapsed="false">
      <c r="DB1819" s="0" t="str">
        <f aca="false">IF($A1819="","",IF($AH1819=20,IF(AND(OR($A1819=21,$A1819=215),$AJ1819=10),"①病院一般",IF(AND($A1819=31,$AJ1819=41),"②病院短期","対象外")),IF($AJ1819=30,"③特定消防",IF(AND(OR($A1819=21,$A1819=215),$AJ1819=10),"④一般",IF(AND($A1819=31,$AJ1819=41),"⑤短期","対象外")))))</f>
        <v/>
      </c>
      <c r="DC1819" s="0" t="str">
        <f aca="false">IF($A1819="","",IF($AB1819&amp;""=設定!$C$4,1,0))</f>
        <v/>
      </c>
    </row>
    <row r="1820" customFormat="false" ht="15" hidden="false" customHeight="false" outlineLevel="0" collapsed="false">
      <c r="DB1820" s="0" t="str">
        <f aca="false">IF($A1820="","",IF($AH1820=20,IF(AND(OR($A1820=21,$A1820=215),$AJ1820=10),"①病院一般",IF(AND($A1820=31,$AJ1820=41),"②病院短期","対象外")),IF($AJ1820=30,"③特定消防",IF(AND(OR($A1820=21,$A1820=215),$AJ1820=10),"④一般",IF(AND($A1820=31,$AJ1820=41),"⑤短期","対象外")))))</f>
        <v/>
      </c>
      <c r="DC1820" s="0" t="str">
        <f aca="false">IF($A1820="","",IF($AB1820&amp;""=設定!$C$4,1,0))</f>
        <v/>
      </c>
    </row>
    <row r="1821" customFormat="false" ht="15" hidden="false" customHeight="false" outlineLevel="0" collapsed="false">
      <c r="DB1821" s="0" t="str">
        <f aca="false">IF($A1821="","",IF($AH1821=20,IF(AND(OR($A1821=21,$A1821=215),$AJ1821=10),"①病院一般",IF(AND($A1821=31,$AJ1821=41),"②病院短期","対象外")),IF($AJ1821=30,"③特定消防",IF(AND(OR($A1821=21,$A1821=215),$AJ1821=10),"④一般",IF(AND($A1821=31,$AJ1821=41),"⑤短期","対象外")))))</f>
        <v/>
      </c>
      <c r="DC1821" s="0" t="str">
        <f aca="false">IF($A1821="","",IF($AB1821&amp;""=設定!$C$4,1,0))</f>
        <v/>
      </c>
    </row>
    <row r="1822" customFormat="false" ht="15" hidden="false" customHeight="false" outlineLevel="0" collapsed="false">
      <c r="DB1822" s="0" t="str">
        <f aca="false">IF($A1822="","",IF($AH1822=20,IF(AND(OR($A1822=21,$A1822=215),$AJ1822=10),"①病院一般",IF(AND($A1822=31,$AJ1822=41),"②病院短期","対象外")),IF($AJ1822=30,"③特定消防",IF(AND(OR($A1822=21,$A1822=215),$AJ1822=10),"④一般",IF(AND($A1822=31,$AJ1822=41),"⑤短期","対象外")))))</f>
        <v/>
      </c>
      <c r="DC1822" s="0" t="str">
        <f aca="false">IF($A1822="","",IF($AB1822&amp;""=設定!$C$4,1,0))</f>
        <v/>
      </c>
    </row>
    <row r="1823" customFormat="false" ht="15" hidden="false" customHeight="false" outlineLevel="0" collapsed="false">
      <c r="DB1823" s="0" t="str">
        <f aca="false">IF($A1823="","",IF($AH1823=20,IF(AND(OR($A1823=21,$A1823=215),$AJ1823=10),"①病院一般",IF(AND($A1823=31,$AJ1823=41),"②病院短期","対象外")),IF($AJ1823=30,"③特定消防",IF(AND(OR($A1823=21,$A1823=215),$AJ1823=10),"④一般",IF(AND($A1823=31,$AJ1823=41),"⑤短期","対象外")))))</f>
        <v/>
      </c>
      <c r="DC1823" s="0" t="str">
        <f aca="false">IF($A1823="","",IF($AB1823&amp;""=設定!$C$4,1,0))</f>
        <v/>
      </c>
    </row>
    <row r="1824" customFormat="false" ht="15" hidden="false" customHeight="false" outlineLevel="0" collapsed="false">
      <c r="DB1824" s="0" t="str">
        <f aca="false">IF($A1824="","",IF($AH1824=20,IF(AND(OR($A1824=21,$A1824=215),$AJ1824=10),"①病院一般",IF(AND($A1824=31,$AJ1824=41),"②病院短期","対象外")),IF($AJ1824=30,"③特定消防",IF(AND(OR($A1824=21,$A1824=215),$AJ1824=10),"④一般",IF(AND($A1824=31,$AJ1824=41),"⑤短期","対象外")))))</f>
        <v/>
      </c>
      <c r="DC1824" s="0" t="str">
        <f aca="false">IF($A1824="","",IF($AB1824&amp;""=設定!$C$4,1,0))</f>
        <v/>
      </c>
    </row>
    <row r="1825" customFormat="false" ht="15" hidden="false" customHeight="false" outlineLevel="0" collapsed="false">
      <c r="DB1825" s="0" t="str">
        <f aca="false">IF($A1825="","",IF($AH1825=20,IF(AND(OR($A1825=21,$A1825=215),$AJ1825=10),"①病院一般",IF(AND($A1825=31,$AJ1825=41),"②病院短期","対象外")),IF($AJ1825=30,"③特定消防",IF(AND(OR($A1825=21,$A1825=215),$AJ1825=10),"④一般",IF(AND($A1825=31,$AJ1825=41),"⑤短期","対象外")))))</f>
        <v/>
      </c>
      <c r="DC1825" s="0" t="str">
        <f aca="false">IF($A1825="","",IF($AB1825&amp;""=設定!$C$4,1,0))</f>
        <v/>
      </c>
    </row>
    <row r="1826" customFormat="false" ht="15" hidden="false" customHeight="false" outlineLevel="0" collapsed="false">
      <c r="DB1826" s="0" t="str">
        <f aca="false">IF($A1826="","",IF($AH1826=20,IF(AND(OR($A1826=21,$A1826=215),$AJ1826=10),"①病院一般",IF(AND($A1826=31,$AJ1826=41),"②病院短期","対象外")),IF($AJ1826=30,"③特定消防",IF(AND(OR($A1826=21,$A1826=215),$AJ1826=10),"④一般",IF(AND($A1826=31,$AJ1826=41),"⑤短期","対象外")))))</f>
        <v/>
      </c>
      <c r="DC1826" s="0" t="str">
        <f aca="false">IF($A1826="","",IF($AB1826&amp;""=設定!$C$4,1,0))</f>
        <v/>
      </c>
    </row>
    <row r="1827" customFormat="false" ht="15" hidden="false" customHeight="false" outlineLevel="0" collapsed="false">
      <c r="DB1827" s="0" t="str">
        <f aca="false">IF($A1827="","",IF($AH1827=20,IF(AND(OR($A1827=21,$A1827=215),$AJ1827=10),"①病院一般",IF(AND($A1827=31,$AJ1827=41),"②病院短期","対象外")),IF($AJ1827=30,"③特定消防",IF(AND(OR($A1827=21,$A1827=215),$AJ1827=10),"④一般",IF(AND($A1827=31,$AJ1827=41),"⑤短期","対象外")))))</f>
        <v/>
      </c>
      <c r="DC1827" s="0" t="str">
        <f aca="false">IF($A1827="","",IF($AB1827&amp;""=設定!$C$4,1,0))</f>
        <v/>
      </c>
    </row>
    <row r="1828" customFormat="false" ht="15" hidden="false" customHeight="false" outlineLevel="0" collapsed="false">
      <c r="DB1828" s="0" t="str">
        <f aca="false">IF($A1828="","",IF($AH1828=20,IF(AND(OR($A1828=21,$A1828=215),$AJ1828=10),"①病院一般",IF(AND($A1828=31,$AJ1828=41),"②病院短期","対象外")),IF($AJ1828=30,"③特定消防",IF(AND(OR($A1828=21,$A1828=215),$AJ1828=10),"④一般",IF(AND($A1828=31,$AJ1828=41),"⑤短期","対象外")))))</f>
        <v/>
      </c>
      <c r="DC1828" s="0" t="str">
        <f aca="false">IF($A1828="","",IF($AB1828&amp;""=設定!$C$4,1,0))</f>
        <v/>
      </c>
    </row>
    <row r="1829" customFormat="false" ht="15" hidden="false" customHeight="false" outlineLevel="0" collapsed="false">
      <c r="DB1829" s="0" t="str">
        <f aca="false">IF($A1829="","",IF($AH1829=20,IF(AND(OR($A1829=21,$A1829=215),$AJ1829=10),"①病院一般",IF(AND($A1829=31,$AJ1829=41),"②病院短期","対象外")),IF($AJ1829=30,"③特定消防",IF(AND(OR($A1829=21,$A1829=215),$AJ1829=10),"④一般",IF(AND($A1829=31,$AJ1829=41),"⑤短期","対象外")))))</f>
        <v/>
      </c>
      <c r="DC1829" s="0" t="str">
        <f aca="false">IF($A1829="","",IF($AB1829&amp;""=設定!$C$4,1,0))</f>
        <v/>
      </c>
    </row>
    <row r="1830" customFormat="false" ht="15" hidden="false" customHeight="false" outlineLevel="0" collapsed="false">
      <c r="DB1830" s="0" t="str">
        <f aca="false">IF($A1830="","",IF($AH1830=20,IF(AND(OR($A1830=21,$A1830=215),$AJ1830=10),"①病院一般",IF(AND($A1830=31,$AJ1830=41),"②病院短期","対象外")),IF($AJ1830=30,"③特定消防",IF(AND(OR($A1830=21,$A1830=215),$AJ1830=10),"④一般",IF(AND($A1830=31,$AJ1830=41),"⑤短期","対象外")))))</f>
        <v/>
      </c>
      <c r="DC1830" s="0" t="str">
        <f aca="false">IF($A1830="","",IF($AB1830&amp;""=設定!$C$4,1,0))</f>
        <v/>
      </c>
    </row>
    <row r="1831" customFormat="false" ht="15" hidden="false" customHeight="false" outlineLevel="0" collapsed="false">
      <c r="DB1831" s="0" t="str">
        <f aca="false">IF($A1831="","",IF($AH1831=20,IF(AND(OR($A1831=21,$A1831=215),$AJ1831=10),"①病院一般",IF(AND($A1831=31,$AJ1831=41),"②病院短期","対象外")),IF($AJ1831=30,"③特定消防",IF(AND(OR($A1831=21,$A1831=215),$AJ1831=10),"④一般",IF(AND($A1831=31,$AJ1831=41),"⑤短期","対象外")))))</f>
        <v/>
      </c>
      <c r="DC1831" s="0" t="str">
        <f aca="false">IF($A1831="","",IF($AB1831&amp;""=設定!$C$4,1,0))</f>
        <v/>
      </c>
    </row>
    <row r="1832" customFormat="false" ht="15" hidden="false" customHeight="false" outlineLevel="0" collapsed="false">
      <c r="DB1832" s="0" t="str">
        <f aca="false">IF($A1832="","",IF($AH1832=20,IF(AND(OR($A1832=21,$A1832=215),$AJ1832=10),"①病院一般",IF(AND($A1832=31,$AJ1832=41),"②病院短期","対象外")),IF($AJ1832=30,"③特定消防",IF(AND(OR($A1832=21,$A1832=215),$AJ1832=10),"④一般",IF(AND($A1832=31,$AJ1832=41),"⑤短期","対象外")))))</f>
        <v/>
      </c>
      <c r="DC1832" s="0" t="str">
        <f aca="false">IF($A1832="","",IF($AB1832&amp;""=設定!$C$4,1,0))</f>
        <v/>
      </c>
    </row>
    <row r="1833" customFormat="false" ht="15" hidden="false" customHeight="false" outlineLevel="0" collapsed="false">
      <c r="DB1833" s="0" t="str">
        <f aca="false">IF($A1833="","",IF($AH1833=20,IF(AND(OR($A1833=21,$A1833=215),$AJ1833=10),"①病院一般",IF(AND($A1833=31,$AJ1833=41),"②病院短期","対象外")),IF($AJ1833=30,"③特定消防",IF(AND(OR($A1833=21,$A1833=215),$AJ1833=10),"④一般",IF(AND($A1833=31,$AJ1833=41),"⑤短期","対象外")))))</f>
        <v/>
      </c>
      <c r="DC1833" s="0" t="str">
        <f aca="false">IF($A1833="","",IF($AB1833&amp;""=設定!$C$4,1,0))</f>
        <v/>
      </c>
    </row>
    <row r="1834" customFormat="false" ht="15" hidden="false" customHeight="false" outlineLevel="0" collapsed="false">
      <c r="DB1834" s="0" t="str">
        <f aca="false">IF($A1834="","",IF($AH1834=20,IF(AND(OR($A1834=21,$A1834=215),$AJ1834=10),"①病院一般",IF(AND($A1834=31,$AJ1834=41),"②病院短期","対象外")),IF($AJ1834=30,"③特定消防",IF(AND(OR($A1834=21,$A1834=215),$AJ1834=10),"④一般",IF(AND($A1834=31,$AJ1834=41),"⑤短期","対象外")))))</f>
        <v/>
      </c>
      <c r="DC1834" s="0" t="str">
        <f aca="false">IF($A1834="","",IF($AB1834&amp;""=設定!$C$4,1,0))</f>
        <v/>
      </c>
    </row>
    <row r="1835" customFormat="false" ht="15" hidden="false" customHeight="false" outlineLevel="0" collapsed="false">
      <c r="DB1835" s="0" t="str">
        <f aca="false">IF($A1835="","",IF($AH1835=20,IF(AND(OR($A1835=21,$A1835=215),$AJ1835=10),"①病院一般",IF(AND($A1835=31,$AJ1835=41),"②病院短期","対象外")),IF($AJ1835=30,"③特定消防",IF(AND(OR($A1835=21,$A1835=215),$AJ1835=10),"④一般",IF(AND($A1835=31,$AJ1835=41),"⑤短期","対象外")))))</f>
        <v/>
      </c>
      <c r="DC1835" s="0" t="str">
        <f aca="false">IF($A1835="","",IF($AB1835&amp;""=設定!$C$4,1,0))</f>
        <v/>
      </c>
    </row>
    <row r="1836" customFormat="false" ht="15" hidden="false" customHeight="false" outlineLevel="0" collapsed="false">
      <c r="DB1836" s="0" t="str">
        <f aca="false">IF($A1836="","",IF($AH1836=20,IF(AND(OR($A1836=21,$A1836=215),$AJ1836=10),"①病院一般",IF(AND($A1836=31,$AJ1836=41),"②病院短期","対象外")),IF($AJ1836=30,"③特定消防",IF(AND(OR($A1836=21,$A1836=215),$AJ1836=10),"④一般",IF(AND($A1836=31,$AJ1836=41),"⑤短期","対象外")))))</f>
        <v/>
      </c>
      <c r="DC1836" s="0" t="str">
        <f aca="false">IF($A1836="","",IF($AB1836&amp;""=設定!$C$4,1,0))</f>
        <v/>
      </c>
    </row>
    <row r="1837" customFormat="false" ht="15" hidden="false" customHeight="false" outlineLevel="0" collapsed="false">
      <c r="DB1837" s="0" t="str">
        <f aca="false">IF($A1837="","",IF($AH1837=20,IF(AND(OR($A1837=21,$A1837=215),$AJ1837=10),"①病院一般",IF(AND($A1837=31,$AJ1837=41),"②病院短期","対象外")),IF($AJ1837=30,"③特定消防",IF(AND(OR($A1837=21,$A1837=215),$AJ1837=10),"④一般",IF(AND($A1837=31,$AJ1837=41),"⑤短期","対象外")))))</f>
        <v/>
      </c>
      <c r="DC1837" s="0" t="str">
        <f aca="false">IF($A1837="","",IF($AB1837&amp;""=設定!$C$4,1,0))</f>
        <v/>
      </c>
    </row>
    <row r="1838" customFormat="false" ht="15" hidden="false" customHeight="false" outlineLevel="0" collapsed="false">
      <c r="DB1838" s="0" t="str">
        <f aca="false">IF($A1838="","",IF($AH1838=20,IF(AND(OR($A1838=21,$A1838=215),$AJ1838=10),"①病院一般",IF(AND($A1838=31,$AJ1838=41),"②病院短期","対象外")),IF($AJ1838=30,"③特定消防",IF(AND(OR($A1838=21,$A1838=215),$AJ1838=10),"④一般",IF(AND($A1838=31,$AJ1838=41),"⑤短期","対象外")))))</f>
        <v/>
      </c>
      <c r="DC1838" s="0" t="str">
        <f aca="false">IF($A1838="","",IF($AB1838&amp;""=設定!$C$4,1,0))</f>
        <v/>
      </c>
    </row>
    <row r="1839" customFormat="false" ht="15" hidden="false" customHeight="false" outlineLevel="0" collapsed="false">
      <c r="DB1839" s="0" t="str">
        <f aca="false">IF($A1839="","",IF($AH1839=20,IF(AND(OR($A1839=21,$A1839=215),$AJ1839=10),"①病院一般",IF(AND($A1839=31,$AJ1839=41),"②病院短期","対象外")),IF($AJ1839=30,"③特定消防",IF(AND(OR($A1839=21,$A1839=215),$AJ1839=10),"④一般",IF(AND($A1839=31,$AJ1839=41),"⑤短期","対象外")))))</f>
        <v/>
      </c>
      <c r="DC1839" s="0" t="str">
        <f aca="false">IF($A1839="","",IF($AB1839&amp;""=設定!$C$4,1,0))</f>
        <v/>
      </c>
    </row>
    <row r="1840" customFormat="false" ht="15" hidden="false" customHeight="false" outlineLevel="0" collapsed="false">
      <c r="DB1840" s="0" t="str">
        <f aca="false">IF($A1840="","",IF($AH1840=20,IF(AND(OR($A1840=21,$A1840=215),$AJ1840=10),"①病院一般",IF(AND($A1840=31,$AJ1840=41),"②病院短期","対象外")),IF($AJ1840=30,"③特定消防",IF(AND(OR($A1840=21,$A1840=215),$AJ1840=10),"④一般",IF(AND($A1840=31,$AJ1840=41),"⑤短期","対象外")))))</f>
        <v/>
      </c>
      <c r="DC1840" s="0" t="str">
        <f aca="false">IF($A1840="","",IF($AB1840&amp;""=設定!$C$4,1,0))</f>
        <v/>
      </c>
    </row>
    <row r="1841" customFormat="false" ht="15" hidden="false" customHeight="false" outlineLevel="0" collapsed="false">
      <c r="DB1841" s="0" t="str">
        <f aca="false">IF($A1841="","",IF($AH1841=20,IF(AND(OR($A1841=21,$A1841=215),$AJ1841=10),"①病院一般",IF(AND($A1841=31,$AJ1841=41),"②病院短期","対象外")),IF($AJ1841=30,"③特定消防",IF(AND(OR($A1841=21,$A1841=215),$AJ1841=10),"④一般",IF(AND($A1841=31,$AJ1841=41),"⑤短期","対象外")))))</f>
        <v/>
      </c>
      <c r="DC1841" s="0" t="str">
        <f aca="false">IF($A1841="","",IF($AB1841&amp;""=設定!$C$4,1,0))</f>
        <v/>
      </c>
    </row>
    <row r="1842" customFormat="false" ht="15" hidden="false" customHeight="false" outlineLevel="0" collapsed="false">
      <c r="DB1842" s="0" t="str">
        <f aca="false">IF($A1842="","",IF($AH1842=20,IF(AND(OR($A1842=21,$A1842=215),$AJ1842=10),"①病院一般",IF(AND($A1842=31,$AJ1842=41),"②病院短期","対象外")),IF($AJ1842=30,"③特定消防",IF(AND(OR($A1842=21,$A1842=215),$AJ1842=10),"④一般",IF(AND($A1842=31,$AJ1842=41),"⑤短期","対象外")))))</f>
        <v/>
      </c>
      <c r="DC1842" s="0" t="str">
        <f aca="false">IF($A1842="","",IF($AB1842&amp;""=設定!$C$4,1,0))</f>
        <v/>
      </c>
    </row>
    <row r="1843" customFormat="false" ht="15" hidden="false" customHeight="false" outlineLevel="0" collapsed="false">
      <c r="DB1843" s="0" t="str">
        <f aca="false">IF($A1843="","",IF($AH1843=20,IF(AND(OR($A1843=21,$A1843=215),$AJ1843=10),"①病院一般",IF(AND($A1843=31,$AJ1843=41),"②病院短期","対象外")),IF($AJ1843=30,"③特定消防",IF(AND(OR($A1843=21,$A1843=215),$AJ1843=10),"④一般",IF(AND($A1843=31,$AJ1843=41),"⑤短期","対象外")))))</f>
        <v/>
      </c>
      <c r="DC1843" s="0" t="str">
        <f aca="false">IF($A1843="","",IF($AB1843&amp;""=設定!$C$4,1,0))</f>
        <v/>
      </c>
    </row>
    <row r="1844" customFormat="false" ht="15" hidden="false" customHeight="false" outlineLevel="0" collapsed="false">
      <c r="DB1844" s="0" t="str">
        <f aca="false">IF($A1844="","",IF($AH1844=20,IF(AND(OR($A1844=21,$A1844=215),$AJ1844=10),"①病院一般",IF(AND($A1844=31,$AJ1844=41),"②病院短期","対象外")),IF($AJ1844=30,"③特定消防",IF(AND(OR($A1844=21,$A1844=215),$AJ1844=10),"④一般",IF(AND($A1844=31,$AJ1844=41),"⑤短期","対象外")))))</f>
        <v/>
      </c>
      <c r="DC1844" s="0" t="str">
        <f aca="false">IF($A1844="","",IF($AB1844&amp;""=設定!$C$4,1,0))</f>
        <v/>
      </c>
    </row>
    <row r="1845" customFormat="false" ht="15" hidden="false" customHeight="false" outlineLevel="0" collapsed="false">
      <c r="DB1845" s="0" t="str">
        <f aca="false">IF($A1845="","",IF($AH1845=20,IF(AND(OR($A1845=21,$A1845=215),$AJ1845=10),"①病院一般",IF(AND($A1845=31,$AJ1845=41),"②病院短期","対象外")),IF($AJ1845=30,"③特定消防",IF(AND(OR($A1845=21,$A1845=215),$AJ1845=10),"④一般",IF(AND($A1845=31,$AJ1845=41),"⑤短期","対象外")))))</f>
        <v/>
      </c>
      <c r="DC1845" s="0" t="str">
        <f aca="false">IF($A1845="","",IF($AB1845&amp;""=設定!$C$4,1,0))</f>
        <v/>
      </c>
    </row>
    <row r="1846" customFormat="false" ht="15" hidden="false" customHeight="false" outlineLevel="0" collapsed="false">
      <c r="DB1846" s="0" t="str">
        <f aca="false">IF($A1846="","",IF($AH1846=20,IF(AND(OR($A1846=21,$A1846=215),$AJ1846=10),"①病院一般",IF(AND($A1846=31,$AJ1846=41),"②病院短期","対象外")),IF($AJ1846=30,"③特定消防",IF(AND(OR($A1846=21,$A1846=215),$AJ1846=10),"④一般",IF(AND($A1846=31,$AJ1846=41),"⑤短期","対象外")))))</f>
        <v/>
      </c>
      <c r="DC1846" s="0" t="str">
        <f aca="false">IF($A1846="","",IF($AB1846&amp;""=設定!$C$4,1,0))</f>
        <v/>
      </c>
    </row>
    <row r="1847" customFormat="false" ht="15" hidden="false" customHeight="false" outlineLevel="0" collapsed="false">
      <c r="DB1847" s="0" t="str">
        <f aca="false">IF($A1847="","",IF($AH1847=20,IF(AND(OR($A1847=21,$A1847=215),$AJ1847=10),"①病院一般",IF(AND($A1847=31,$AJ1847=41),"②病院短期","対象外")),IF($AJ1847=30,"③特定消防",IF(AND(OR($A1847=21,$A1847=215),$AJ1847=10),"④一般",IF(AND($A1847=31,$AJ1847=41),"⑤短期","対象外")))))</f>
        <v/>
      </c>
      <c r="DC1847" s="0" t="str">
        <f aca="false">IF($A1847="","",IF($AB1847&amp;""=設定!$C$4,1,0))</f>
        <v/>
      </c>
    </row>
    <row r="1848" customFormat="false" ht="15" hidden="false" customHeight="false" outlineLevel="0" collapsed="false">
      <c r="DB1848" s="0" t="str">
        <f aca="false">IF($A1848="","",IF($AH1848=20,IF(AND(OR($A1848=21,$A1848=215),$AJ1848=10),"①病院一般",IF(AND($A1848=31,$AJ1848=41),"②病院短期","対象外")),IF($AJ1848=30,"③特定消防",IF(AND(OR($A1848=21,$A1848=215),$AJ1848=10),"④一般",IF(AND($A1848=31,$AJ1848=41),"⑤短期","対象外")))))</f>
        <v/>
      </c>
      <c r="DC1848" s="0" t="str">
        <f aca="false">IF($A1848="","",IF($AB1848&amp;""=設定!$C$4,1,0))</f>
        <v/>
      </c>
    </row>
    <row r="1849" customFormat="false" ht="15" hidden="false" customHeight="false" outlineLevel="0" collapsed="false">
      <c r="DB1849" s="0" t="str">
        <f aca="false">IF($A1849="","",IF($AH1849=20,IF(AND(OR($A1849=21,$A1849=215),$AJ1849=10),"①病院一般",IF(AND($A1849=31,$AJ1849=41),"②病院短期","対象外")),IF($AJ1849=30,"③特定消防",IF(AND(OR($A1849=21,$A1849=215),$AJ1849=10),"④一般",IF(AND($A1849=31,$AJ1849=41),"⑤短期","対象外")))))</f>
        <v/>
      </c>
      <c r="DC1849" s="0" t="str">
        <f aca="false">IF($A1849="","",IF($AB1849&amp;""=設定!$C$4,1,0))</f>
        <v/>
      </c>
    </row>
    <row r="1850" customFormat="false" ht="15" hidden="false" customHeight="false" outlineLevel="0" collapsed="false">
      <c r="DB1850" s="0" t="str">
        <f aca="false">IF($A1850="","",IF($AH1850=20,IF(AND(OR($A1850=21,$A1850=215),$AJ1850=10),"①病院一般",IF(AND($A1850=31,$AJ1850=41),"②病院短期","対象外")),IF($AJ1850=30,"③特定消防",IF(AND(OR($A1850=21,$A1850=215),$AJ1850=10),"④一般",IF(AND($A1850=31,$AJ1850=41),"⑤短期","対象外")))))</f>
        <v/>
      </c>
      <c r="DC1850" s="0" t="str">
        <f aca="false">IF($A1850="","",IF($AB1850&amp;""=設定!$C$4,1,0))</f>
        <v/>
      </c>
    </row>
    <row r="1851" customFormat="false" ht="15" hidden="false" customHeight="false" outlineLevel="0" collapsed="false">
      <c r="DB1851" s="0" t="str">
        <f aca="false">IF($A1851="","",IF($AH1851=20,IF(AND(OR($A1851=21,$A1851=215),$AJ1851=10),"①病院一般",IF(AND($A1851=31,$AJ1851=41),"②病院短期","対象外")),IF($AJ1851=30,"③特定消防",IF(AND(OR($A1851=21,$A1851=215),$AJ1851=10),"④一般",IF(AND($A1851=31,$AJ1851=41),"⑤短期","対象外")))))</f>
        <v/>
      </c>
      <c r="DC1851" s="0" t="str">
        <f aca="false">IF($A1851="","",IF($AB1851&amp;""=設定!$C$4,1,0))</f>
        <v/>
      </c>
    </row>
    <row r="1852" customFormat="false" ht="15" hidden="false" customHeight="false" outlineLevel="0" collapsed="false">
      <c r="DB1852" s="0" t="str">
        <f aca="false">IF($A1852="","",IF($AH1852=20,IF(AND(OR($A1852=21,$A1852=215),$AJ1852=10),"①病院一般",IF(AND($A1852=31,$AJ1852=41),"②病院短期","対象外")),IF($AJ1852=30,"③特定消防",IF(AND(OR($A1852=21,$A1852=215),$AJ1852=10),"④一般",IF(AND($A1852=31,$AJ1852=41),"⑤短期","対象外")))))</f>
        <v/>
      </c>
      <c r="DC1852" s="0" t="str">
        <f aca="false">IF($A1852="","",IF($AB1852&amp;""=設定!$C$4,1,0))</f>
        <v/>
      </c>
    </row>
    <row r="1853" customFormat="false" ht="15" hidden="false" customHeight="false" outlineLevel="0" collapsed="false">
      <c r="DB1853" s="0" t="str">
        <f aca="false">IF($A1853="","",IF($AH1853=20,IF(AND(OR($A1853=21,$A1853=215),$AJ1853=10),"①病院一般",IF(AND($A1853=31,$AJ1853=41),"②病院短期","対象外")),IF($AJ1853=30,"③特定消防",IF(AND(OR($A1853=21,$A1853=215),$AJ1853=10),"④一般",IF(AND($A1853=31,$AJ1853=41),"⑤短期","対象外")))))</f>
        <v/>
      </c>
      <c r="DC1853" s="0" t="str">
        <f aca="false">IF($A1853="","",IF($AB1853&amp;""=設定!$C$4,1,0))</f>
        <v/>
      </c>
    </row>
    <row r="1854" customFormat="false" ht="15" hidden="false" customHeight="false" outlineLevel="0" collapsed="false">
      <c r="DB1854" s="0" t="str">
        <f aca="false">IF($A1854="","",IF($AH1854=20,IF(AND(OR($A1854=21,$A1854=215),$AJ1854=10),"①病院一般",IF(AND($A1854=31,$AJ1854=41),"②病院短期","対象外")),IF($AJ1854=30,"③特定消防",IF(AND(OR($A1854=21,$A1854=215),$AJ1854=10),"④一般",IF(AND($A1854=31,$AJ1854=41),"⑤短期","対象外")))))</f>
        <v/>
      </c>
      <c r="DC1854" s="0" t="str">
        <f aca="false">IF($A1854="","",IF($AB1854&amp;""=設定!$C$4,1,0))</f>
        <v/>
      </c>
    </row>
    <row r="1855" customFormat="false" ht="15" hidden="false" customHeight="false" outlineLevel="0" collapsed="false">
      <c r="DB1855" s="0" t="str">
        <f aca="false">IF($A1855="","",IF($AH1855=20,IF(AND(OR($A1855=21,$A1855=215),$AJ1855=10),"①病院一般",IF(AND($A1855=31,$AJ1855=41),"②病院短期","対象外")),IF($AJ1855=30,"③特定消防",IF(AND(OR($A1855=21,$A1855=215),$AJ1855=10),"④一般",IF(AND($A1855=31,$AJ1855=41),"⑤短期","対象外")))))</f>
        <v/>
      </c>
      <c r="DC1855" s="0" t="str">
        <f aca="false">IF($A1855="","",IF($AB1855&amp;""=設定!$C$4,1,0))</f>
        <v/>
      </c>
    </row>
    <row r="1856" customFormat="false" ht="15" hidden="false" customHeight="false" outlineLevel="0" collapsed="false">
      <c r="DB1856" s="0" t="str">
        <f aca="false">IF($A1856="","",IF($AH1856=20,IF(AND(OR($A1856=21,$A1856=215),$AJ1856=10),"①病院一般",IF(AND($A1856=31,$AJ1856=41),"②病院短期","対象外")),IF($AJ1856=30,"③特定消防",IF(AND(OR($A1856=21,$A1856=215),$AJ1856=10),"④一般",IF(AND($A1856=31,$AJ1856=41),"⑤短期","対象外")))))</f>
        <v/>
      </c>
      <c r="DC1856" s="0" t="str">
        <f aca="false">IF($A1856="","",IF($AB1856&amp;""=設定!$C$4,1,0))</f>
        <v/>
      </c>
    </row>
    <row r="1857" customFormat="false" ht="15" hidden="false" customHeight="false" outlineLevel="0" collapsed="false">
      <c r="DB1857" s="0" t="str">
        <f aca="false">IF($A1857="","",IF($AH1857=20,IF(AND(OR($A1857=21,$A1857=215),$AJ1857=10),"①病院一般",IF(AND($A1857=31,$AJ1857=41),"②病院短期","対象外")),IF($AJ1857=30,"③特定消防",IF(AND(OR($A1857=21,$A1857=215),$AJ1857=10),"④一般",IF(AND($A1857=31,$AJ1857=41),"⑤短期","対象外")))))</f>
        <v/>
      </c>
      <c r="DC1857" s="0" t="str">
        <f aca="false">IF($A1857="","",IF($AB1857&amp;""=設定!$C$4,1,0))</f>
        <v/>
      </c>
    </row>
    <row r="1858" customFormat="false" ht="15" hidden="false" customHeight="false" outlineLevel="0" collapsed="false">
      <c r="DB1858" s="0" t="str">
        <f aca="false">IF($A1858="","",IF($AH1858=20,IF(AND(OR($A1858=21,$A1858=215),$AJ1858=10),"①病院一般",IF(AND($A1858=31,$AJ1858=41),"②病院短期","対象外")),IF($AJ1858=30,"③特定消防",IF(AND(OR($A1858=21,$A1858=215),$AJ1858=10),"④一般",IF(AND($A1858=31,$AJ1858=41),"⑤短期","対象外")))))</f>
        <v/>
      </c>
      <c r="DC1858" s="0" t="str">
        <f aca="false">IF($A1858="","",IF($AB1858&amp;""=設定!$C$4,1,0))</f>
        <v/>
      </c>
    </row>
    <row r="1859" customFormat="false" ht="15" hidden="false" customHeight="false" outlineLevel="0" collapsed="false">
      <c r="DB1859" s="0" t="str">
        <f aca="false">IF($A1859="","",IF($AH1859=20,IF(AND(OR($A1859=21,$A1859=215),$AJ1859=10),"①病院一般",IF(AND($A1859=31,$AJ1859=41),"②病院短期","対象外")),IF($AJ1859=30,"③特定消防",IF(AND(OR($A1859=21,$A1859=215),$AJ1859=10),"④一般",IF(AND($A1859=31,$AJ1859=41),"⑤短期","対象外")))))</f>
        <v/>
      </c>
      <c r="DC1859" s="0" t="str">
        <f aca="false">IF($A1859="","",IF($AB1859&amp;""=設定!$C$4,1,0))</f>
        <v/>
      </c>
    </row>
    <row r="1860" customFormat="false" ht="15" hidden="false" customHeight="false" outlineLevel="0" collapsed="false">
      <c r="DB1860" s="0" t="str">
        <f aca="false">IF($A1860="","",IF($AH1860=20,IF(AND(OR($A1860=21,$A1860=215),$AJ1860=10),"①病院一般",IF(AND($A1860=31,$AJ1860=41),"②病院短期","対象外")),IF($AJ1860=30,"③特定消防",IF(AND(OR($A1860=21,$A1860=215),$AJ1860=10),"④一般",IF(AND($A1860=31,$AJ1860=41),"⑤短期","対象外")))))</f>
        <v/>
      </c>
      <c r="DC1860" s="0" t="str">
        <f aca="false">IF($A1860="","",IF($AB1860&amp;""=設定!$C$4,1,0))</f>
        <v/>
      </c>
    </row>
    <row r="1861" customFormat="false" ht="15" hidden="false" customHeight="false" outlineLevel="0" collapsed="false">
      <c r="DB1861" s="0" t="str">
        <f aca="false">IF($A1861="","",IF($AH1861=20,IF(AND(OR($A1861=21,$A1861=215),$AJ1861=10),"①病院一般",IF(AND($A1861=31,$AJ1861=41),"②病院短期","対象外")),IF($AJ1861=30,"③特定消防",IF(AND(OR($A1861=21,$A1861=215),$AJ1861=10),"④一般",IF(AND($A1861=31,$AJ1861=41),"⑤短期","対象外")))))</f>
        <v/>
      </c>
      <c r="DC1861" s="0" t="str">
        <f aca="false">IF($A1861="","",IF($AB1861&amp;""=設定!$C$4,1,0))</f>
        <v/>
      </c>
    </row>
    <row r="1862" customFormat="false" ht="15" hidden="false" customHeight="false" outlineLevel="0" collapsed="false">
      <c r="DB1862" s="0" t="str">
        <f aca="false">IF($A1862="","",IF($AH1862=20,IF(AND(OR($A1862=21,$A1862=215),$AJ1862=10),"①病院一般",IF(AND($A1862=31,$AJ1862=41),"②病院短期","対象外")),IF($AJ1862=30,"③特定消防",IF(AND(OR($A1862=21,$A1862=215),$AJ1862=10),"④一般",IF(AND($A1862=31,$AJ1862=41),"⑤短期","対象外")))))</f>
        <v/>
      </c>
      <c r="DC1862" s="0" t="str">
        <f aca="false">IF($A1862="","",IF($AB1862&amp;""=設定!$C$4,1,0))</f>
        <v/>
      </c>
    </row>
    <row r="1863" customFormat="false" ht="15" hidden="false" customHeight="false" outlineLevel="0" collapsed="false">
      <c r="DB1863" s="0" t="str">
        <f aca="false">IF($A1863="","",IF($AH1863=20,IF(AND(OR($A1863=21,$A1863=215),$AJ1863=10),"①病院一般",IF(AND($A1863=31,$AJ1863=41),"②病院短期","対象外")),IF($AJ1863=30,"③特定消防",IF(AND(OR($A1863=21,$A1863=215),$AJ1863=10),"④一般",IF(AND($A1863=31,$AJ1863=41),"⑤短期","対象外")))))</f>
        <v/>
      </c>
      <c r="DC1863" s="0" t="str">
        <f aca="false">IF($A1863="","",IF($AB1863&amp;""=設定!$C$4,1,0))</f>
        <v/>
      </c>
    </row>
    <row r="1864" customFormat="false" ht="15" hidden="false" customHeight="false" outlineLevel="0" collapsed="false">
      <c r="DB1864" s="0" t="str">
        <f aca="false">IF($A1864="","",IF($AH1864=20,IF(AND(OR($A1864=21,$A1864=215),$AJ1864=10),"①病院一般",IF(AND($A1864=31,$AJ1864=41),"②病院短期","対象外")),IF($AJ1864=30,"③特定消防",IF(AND(OR($A1864=21,$A1864=215),$AJ1864=10),"④一般",IF(AND($A1864=31,$AJ1864=41),"⑤短期","対象外")))))</f>
        <v/>
      </c>
      <c r="DC1864" s="0" t="str">
        <f aca="false">IF($A1864="","",IF($AB1864&amp;""=設定!$C$4,1,0))</f>
        <v/>
      </c>
    </row>
    <row r="1865" customFormat="false" ht="15" hidden="false" customHeight="false" outlineLevel="0" collapsed="false">
      <c r="DB1865" s="0" t="str">
        <f aca="false">IF($A1865="","",IF($AH1865=20,IF(AND(OR($A1865=21,$A1865=215),$AJ1865=10),"①病院一般",IF(AND($A1865=31,$AJ1865=41),"②病院短期","対象外")),IF($AJ1865=30,"③特定消防",IF(AND(OR($A1865=21,$A1865=215),$AJ1865=10),"④一般",IF(AND($A1865=31,$AJ1865=41),"⑤短期","対象外")))))</f>
        <v/>
      </c>
      <c r="DC1865" s="0" t="str">
        <f aca="false">IF($A1865="","",IF($AB1865&amp;""=設定!$C$4,1,0))</f>
        <v/>
      </c>
    </row>
    <row r="1866" customFormat="false" ht="15" hidden="false" customHeight="false" outlineLevel="0" collapsed="false">
      <c r="DB1866" s="0" t="str">
        <f aca="false">IF($A1866="","",IF($AH1866=20,IF(AND(OR($A1866=21,$A1866=215),$AJ1866=10),"①病院一般",IF(AND($A1866=31,$AJ1866=41),"②病院短期","対象外")),IF($AJ1866=30,"③特定消防",IF(AND(OR($A1866=21,$A1866=215),$AJ1866=10),"④一般",IF(AND($A1866=31,$AJ1866=41),"⑤短期","対象外")))))</f>
        <v/>
      </c>
      <c r="DC1866" s="0" t="str">
        <f aca="false">IF($A1866="","",IF($AB1866&amp;""=設定!$C$4,1,0))</f>
        <v/>
      </c>
    </row>
    <row r="1867" customFormat="false" ht="15" hidden="false" customHeight="false" outlineLevel="0" collapsed="false">
      <c r="DB1867" s="0" t="str">
        <f aca="false">IF($A1867="","",IF($AH1867=20,IF(AND(OR($A1867=21,$A1867=215),$AJ1867=10),"①病院一般",IF(AND($A1867=31,$AJ1867=41),"②病院短期","対象外")),IF($AJ1867=30,"③特定消防",IF(AND(OR($A1867=21,$A1867=215),$AJ1867=10),"④一般",IF(AND($A1867=31,$AJ1867=41),"⑤短期","対象外")))))</f>
        <v/>
      </c>
      <c r="DC1867" s="0" t="str">
        <f aca="false">IF($A1867="","",IF($AB1867&amp;""=設定!$C$4,1,0))</f>
        <v/>
      </c>
    </row>
    <row r="1868" customFormat="false" ht="15" hidden="false" customHeight="false" outlineLevel="0" collapsed="false">
      <c r="DB1868" s="0" t="str">
        <f aca="false">IF($A1868="","",IF($AH1868=20,IF(AND(OR($A1868=21,$A1868=215),$AJ1868=10),"①病院一般",IF(AND($A1868=31,$AJ1868=41),"②病院短期","対象外")),IF($AJ1868=30,"③特定消防",IF(AND(OR($A1868=21,$A1868=215),$AJ1868=10),"④一般",IF(AND($A1868=31,$AJ1868=41),"⑤短期","対象外")))))</f>
        <v/>
      </c>
      <c r="DC1868" s="0" t="str">
        <f aca="false">IF($A1868="","",IF($AB1868&amp;""=設定!$C$4,1,0))</f>
        <v/>
      </c>
    </row>
    <row r="1869" customFormat="false" ht="15" hidden="false" customHeight="false" outlineLevel="0" collapsed="false">
      <c r="DB1869" s="0" t="str">
        <f aca="false">IF($A1869="","",IF($AH1869=20,IF(AND(OR($A1869=21,$A1869=215),$AJ1869=10),"①病院一般",IF(AND($A1869=31,$AJ1869=41),"②病院短期","対象外")),IF($AJ1869=30,"③特定消防",IF(AND(OR($A1869=21,$A1869=215),$AJ1869=10),"④一般",IF(AND($A1869=31,$AJ1869=41),"⑤短期","対象外")))))</f>
        <v/>
      </c>
      <c r="DC1869" s="0" t="str">
        <f aca="false">IF($A1869="","",IF($AB1869&amp;""=設定!$C$4,1,0))</f>
        <v/>
      </c>
    </row>
    <row r="1870" customFormat="false" ht="15" hidden="false" customHeight="false" outlineLevel="0" collapsed="false">
      <c r="DB1870" s="0" t="str">
        <f aca="false">IF($A1870="","",IF($AH1870=20,IF(AND(OR($A1870=21,$A1870=215),$AJ1870=10),"①病院一般",IF(AND($A1870=31,$AJ1870=41),"②病院短期","対象外")),IF($AJ1870=30,"③特定消防",IF(AND(OR($A1870=21,$A1870=215),$AJ1870=10),"④一般",IF(AND($A1870=31,$AJ1870=41),"⑤短期","対象外")))))</f>
        <v/>
      </c>
      <c r="DC1870" s="0" t="str">
        <f aca="false">IF($A1870="","",IF($AB1870&amp;""=設定!$C$4,1,0))</f>
        <v/>
      </c>
    </row>
    <row r="1871" customFormat="false" ht="15" hidden="false" customHeight="false" outlineLevel="0" collapsed="false">
      <c r="DB1871" s="0" t="str">
        <f aca="false">IF($A1871="","",IF($AH1871=20,IF(AND(OR($A1871=21,$A1871=215),$AJ1871=10),"①病院一般",IF(AND($A1871=31,$AJ1871=41),"②病院短期","対象外")),IF($AJ1871=30,"③特定消防",IF(AND(OR($A1871=21,$A1871=215),$AJ1871=10),"④一般",IF(AND($A1871=31,$AJ1871=41),"⑤短期","対象外")))))</f>
        <v/>
      </c>
      <c r="DC1871" s="0" t="str">
        <f aca="false">IF($A1871="","",IF($AB1871&amp;""=設定!$C$4,1,0))</f>
        <v/>
      </c>
    </row>
    <row r="1872" customFormat="false" ht="15" hidden="false" customHeight="false" outlineLevel="0" collapsed="false">
      <c r="DB1872" s="0" t="str">
        <f aca="false">IF($A1872="","",IF($AH1872=20,IF(AND(OR($A1872=21,$A1872=215),$AJ1872=10),"①病院一般",IF(AND($A1872=31,$AJ1872=41),"②病院短期","対象外")),IF($AJ1872=30,"③特定消防",IF(AND(OR($A1872=21,$A1872=215),$AJ1872=10),"④一般",IF(AND($A1872=31,$AJ1872=41),"⑤短期","対象外")))))</f>
        <v/>
      </c>
      <c r="DC1872" s="0" t="str">
        <f aca="false">IF($A1872="","",IF($AB1872&amp;""=設定!$C$4,1,0))</f>
        <v/>
      </c>
    </row>
    <row r="1873" customFormat="false" ht="15" hidden="false" customHeight="false" outlineLevel="0" collapsed="false">
      <c r="DB1873" s="0" t="str">
        <f aca="false">IF($A1873="","",IF($AH1873=20,IF(AND(OR($A1873=21,$A1873=215),$AJ1873=10),"①病院一般",IF(AND($A1873=31,$AJ1873=41),"②病院短期","対象外")),IF($AJ1873=30,"③特定消防",IF(AND(OR($A1873=21,$A1873=215),$AJ1873=10),"④一般",IF(AND($A1873=31,$AJ1873=41),"⑤短期","対象外")))))</f>
        <v/>
      </c>
      <c r="DC1873" s="0" t="str">
        <f aca="false">IF($A1873="","",IF($AB1873&amp;""=設定!$C$4,1,0))</f>
        <v/>
      </c>
    </row>
    <row r="1874" customFormat="false" ht="15" hidden="false" customHeight="false" outlineLevel="0" collapsed="false">
      <c r="DB1874" s="0" t="str">
        <f aca="false">IF($A1874="","",IF($AH1874=20,IF(AND(OR($A1874=21,$A1874=215),$AJ1874=10),"①病院一般",IF(AND($A1874=31,$AJ1874=41),"②病院短期","対象外")),IF($AJ1874=30,"③特定消防",IF(AND(OR($A1874=21,$A1874=215),$AJ1874=10),"④一般",IF(AND($A1874=31,$AJ1874=41),"⑤短期","対象外")))))</f>
        <v/>
      </c>
      <c r="DC1874" s="0" t="str">
        <f aca="false">IF($A1874="","",IF($AB1874&amp;""=設定!$C$4,1,0))</f>
        <v/>
      </c>
    </row>
    <row r="1875" customFormat="false" ht="15" hidden="false" customHeight="false" outlineLevel="0" collapsed="false">
      <c r="DB1875" s="0" t="str">
        <f aca="false">IF($A1875="","",IF($AH1875=20,IF(AND(OR($A1875=21,$A1875=215),$AJ1875=10),"①病院一般",IF(AND($A1875=31,$AJ1875=41),"②病院短期","対象外")),IF($AJ1875=30,"③特定消防",IF(AND(OR($A1875=21,$A1875=215),$AJ1875=10),"④一般",IF(AND($A1875=31,$AJ1875=41),"⑤短期","対象外")))))</f>
        <v/>
      </c>
      <c r="DC1875" s="0" t="str">
        <f aca="false">IF($A1875="","",IF($AB1875&amp;""=設定!$C$4,1,0))</f>
        <v/>
      </c>
    </row>
    <row r="1876" customFormat="false" ht="15" hidden="false" customHeight="false" outlineLevel="0" collapsed="false">
      <c r="DB1876" s="0" t="str">
        <f aca="false">IF($A1876="","",IF($AH1876=20,IF(AND(OR($A1876=21,$A1876=215),$AJ1876=10),"①病院一般",IF(AND($A1876=31,$AJ1876=41),"②病院短期","対象外")),IF($AJ1876=30,"③特定消防",IF(AND(OR($A1876=21,$A1876=215),$AJ1876=10),"④一般",IF(AND($A1876=31,$AJ1876=41),"⑤短期","対象外")))))</f>
        <v/>
      </c>
      <c r="DC1876" s="0" t="str">
        <f aca="false">IF($A1876="","",IF($AB1876&amp;""=設定!$C$4,1,0))</f>
        <v/>
      </c>
    </row>
    <row r="1877" customFormat="false" ht="15" hidden="false" customHeight="false" outlineLevel="0" collapsed="false">
      <c r="DB1877" s="0" t="str">
        <f aca="false">IF($A1877="","",IF($AH1877=20,IF(AND(OR($A1877=21,$A1877=215),$AJ1877=10),"①病院一般",IF(AND($A1877=31,$AJ1877=41),"②病院短期","対象外")),IF($AJ1877=30,"③特定消防",IF(AND(OR($A1877=21,$A1877=215),$AJ1877=10),"④一般",IF(AND($A1877=31,$AJ1877=41),"⑤短期","対象外")))))</f>
        <v/>
      </c>
      <c r="DC1877" s="0" t="str">
        <f aca="false">IF($A1877="","",IF($AB1877&amp;""=設定!$C$4,1,0))</f>
        <v/>
      </c>
    </row>
    <row r="1878" customFormat="false" ht="15" hidden="false" customHeight="false" outlineLevel="0" collapsed="false">
      <c r="DB1878" s="0" t="str">
        <f aca="false">IF($A1878="","",IF($AH1878=20,IF(AND(OR($A1878=21,$A1878=215),$AJ1878=10),"①病院一般",IF(AND($A1878=31,$AJ1878=41),"②病院短期","対象外")),IF($AJ1878=30,"③特定消防",IF(AND(OR($A1878=21,$A1878=215),$AJ1878=10),"④一般",IF(AND($A1878=31,$AJ1878=41),"⑤短期","対象外")))))</f>
        <v/>
      </c>
      <c r="DC1878" s="0" t="str">
        <f aca="false">IF($A1878="","",IF($AB1878&amp;""=設定!$C$4,1,0))</f>
        <v/>
      </c>
    </row>
    <row r="1879" customFormat="false" ht="15" hidden="false" customHeight="false" outlineLevel="0" collapsed="false">
      <c r="DB1879" s="0" t="str">
        <f aca="false">IF($A1879="","",IF($AH1879=20,IF(AND(OR($A1879=21,$A1879=215),$AJ1879=10),"①病院一般",IF(AND($A1879=31,$AJ1879=41),"②病院短期","対象外")),IF($AJ1879=30,"③特定消防",IF(AND(OR($A1879=21,$A1879=215),$AJ1879=10),"④一般",IF(AND($A1879=31,$AJ1879=41),"⑤短期","対象外")))))</f>
        <v/>
      </c>
      <c r="DC1879" s="0" t="str">
        <f aca="false">IF($A1879="","",IF($AB1879&amp;""=設定!$C$4,1,0))</f>
        <v/>
      </c>
    </row>
    <row r="1880" customFormat="false" ht="15" hidden="false" customHeight="false" outlineLevel="0" collapsed="false">
      <c r="DB1880" s="0" t="str">
        <f aca="false">IF($A1880="","",IF($AH1880=20,IF(AND(OR($A1880=21,$A1880=215),$AJ1880=10),"①病院一般",IF(AND($A1880=31,$AJ1880=41),"②病院短期","対象外")),IF($AJ1880=30,"③特定消防",IF(AND(OR($A1880=21,$A1880=215),$AJ1880=10),"④一般",IF(AND($A1880=31,$AJ1880=41),"⑤短期","対象外")))))</f>
        <v/>
      </c>
      <c r="DC1880" s="0" t="str">
        <f aca="false">IF($A1880="","",IF($AB1880&amp;""=設定!$C$4,1,0))</f>
        <v/>
      </c>
    </row>
    <row r="1881" customFormat="false" ht="15" hidden="false" customHeight="false" outlineLevel="0" collapsed="false">
      <c r="DB1881" s="0" t="str">
        <f aca="false">IF($A1881="","",IF($AH1881=20,IF(AND(OR($A1881=21,$A1881=215),$AJ1881=10),"①病院一般",IF(AND($A1881=31,$AJ1881=41),"②病院短期","対象外")),IF($AJ1881=30,"③特定消防",IF(AND(OR($A1881=21,$A1881=215),$AJ1881=10),"④一般",IF(AND($A1881=31,$AJ1881=41),"⑤短期","対象外")))))</f>
        <v/>
      </c>
      <c r="DC1881" s="0" t="str">
        <f aca="false">IF($A1881="","",IF($AB1881&amp;""=設定!$C$4,1,0))</f>
        <v/>
      </c>
    </row>
    <row r="1882" customFormat="false" ht="15" hidden="false" customHeight="false" outlineLevel="0" collapsed="false">
      <c r="DB1882" s="0" t="str">
        <f aca="false">IF($A1882="","",IF($AH1882=20,IF(AND(OR($A1882=21,$A1882=215),$AJ1882=10),"①病院一般",IF(AND($A1882=31,$AJ1882=41),"②病院短期","対象外")),IF($AJ1882=30,"③特定消防",IF(AND(OR($A1882=21,$A1882=215),$AJ1882=10),"④一般",IF(AND($A1882=31,$AJ1882=41),"⑤短期","対象外")))))</f>
        <v/>
      </c>
      <c r="DC1882" s="0" t="str">
        <f aca="false">IF($A1882="","",IF($AB1882&amp;""=設定!$C$4,1,0))</f>
        <v/>
      </c>
    </row>
    <row r="1883" customFormat="false" ht="15" hidden="false" customHeight="false" outlineLevel="0" collapsed="false">
      <c r="DB1883" s="0" t="str">
        <f aca="false">IF($A1883="","",IF($AH1883=20,IF(AND(OR($A1883=21,$A1883=215),$AJ1883=10),"①病院一般",IF(AND($A1883=31,$AJ1883=41),"②病院短期","対象外")),IF($AJ1883=30,"③特定消防",IF(AND(OR($A1883=21,$A1883=215),$AJ1883=10),"④一般",IF(AND($A1883=31,$AJ1883=41),"⑤短期","対象外")))))</f>
        <v/>
      </c>
      <c r="DC1883" s="0" t="str">
        <f aca="false">IF($A1883="","",IF($AB1883&amp;""=設定!$C$4,1,0))</f>
        <v/>
      </c>
    </row>
    <row r="1884" customFormat="false" ht="15" hidden="false" customHeight="false" outlineLevel="0" collapsed="false">
      <c r="DB1884" s="0" t="str">
        <f aca="false">IF($A1884="","",IF($AH1884=20,IF(AND(OR($A1884=21,$A1884=215),$AJ1884=10),"①病院一般",IF(AND($A1884=31,$AJ1884=41),"②病院短期","対象外")),IF($AJ1884=30,"③特定消防",IF(AND(OR($A1884=21,$A1884=215),$AJ1884=10),"④一般",IF(AND($A1884=31,$AJ1884=41),"⑤短期","対象外")))))</f>
        <v/>
      </c>
      <c r="DC1884" s="0" t="str">
        <f aca="false">IF($A1884="","",IF($AB1884&amp;""=設定!$C$4,1,0))</f>
        <v/>
      </c>
    </row>
    <row r="1885" customFormat="false" ht="15" hidden="false" customHeight="false" outlineLevel="0" collapsed="false">
      <c r="DB1885" s="0" t="str">
        <f aca="false">IF($A1885="","",IF($AH1885=20,IF(AND(OR($A1885=21,$A1885=215),$AJ1885=10),"①病院一般",IF(AND($A1885=31,$AJ1885=41),"②病院短期","対象外")),IF($AJ1885=30,"③特定消防",IF(AND(OR($A1885=21,$A1885=215),$AJ1885=10),"④一般",IF(AND($A1885=31,$AJ1885=41),"⑤短期","対象外")))))</f>
        <v/>
      </c>
      <c r="DC1885" s="0" t="str">
        <f aca="false">IF($A1885="","",IF($AB1885&amp;""=設定!$C$4,1,0))</f>
        <v/>
      </c>
    </row>
    <row r="1886" customFormat="false" ht="15" hidden="false" customHeight="false" outlineLevel="0" collapsed="false">
      <c r="DB1886" s="0" t="str">
        <f aca="false">IF($A1886="","",IF($AH1886=20,IF(AND(OR($A1886=21,$A1886=215),$AJ1886=10),"①病院一般",IF(AND($A1886=31,$AJ1886=41),"②病院短期","対象外")),IF($AJ1886=30,"③特定消防",IF(AND(OR($A1886=21,$A1886=215),$AJ1886=10),"④一般",IF(AND($A1886=31,$AJ1886=41),"⑤短期","対象外")))))</f>
        <v/>
      </c>
      <c r="DC1886" s="0" t="str">
        <f aca="false">IF($A1886="","",IF($AB1886&amp;""=設定!$C$4,1,0))</f>
        <v/>
      </c>
    </row>
    <row r="1887" customFormat="false" ht="15" hidden="false" customHeight="false" outlineLevel="0" collapsed="false">
      <c r="DB1887" s="0" t="str">
        <f aca="false">IF($A1887="","",IF($AH1887=20,IF(AND(OR($A1887=21,$A1887=215),$AJ1887=10),"①病院一般",IF(AND($A1887=31,$AJ1887=41),"②病院短期","対象外")),IF($AJ1887=30,"③特定消防",IF(AND(OR($A1887=21,$A1887=215),$AJ1887=10),"④一般",IF(AND($A1887=31,$AJ1887=41),"⑤短期","対象外")))))</f>
        <v/>
      </c>
      <c r="DC1887" s="0" t="str">
        <f aca="false">IF($A1887="","",IF($AB1887&amp;""=設定!$C$4,1,0))</f>
        <v/>
      </c>
    </row>
    <row r="1888" customFormat="false" ht="15" hidden="false" customHeight="false" outlineLevel="0" collapsed="false">
      <c r="DB1888" s="0" t="str">
        <f aca="false">IF($A1888="","",IF($AH1888=20,IF(AND(OR($A1888=21,$A1888=215),$AJ1888=10),"①病院一般",IF(AND($A1888=31,$AJ1888=41),"②病院短期","対象外")),IF($AJ1888=30,"③特定消防",IF(AND(OR($A1888=21,$A1888=215),$AJ1888=10),"④一般",IF(AND($A1888=31,$AJ1888=41),"⑤短期","対象外")))))</f>
        <v/>
      </c>
      <c r="DC1888" s="0" t="str">
        <f aca="false">IF($A1888="","",IF($AB1888&amp;""=設定!$C$4,1,0))</f>
        <v/>
      </c>
    </row>
    <row r="1889" customFormat="false" ht="15" hidden="false" customHeight="false" outlineLevel="0" collapsed="false">
      <c r="DB1889" s="0" t="str">
        <f aca="false">IF($A1889="","",IF($AH1889=20,IF(AND(OR($A1889=21,$A1889=215),$AJ1889=10),"①病院一般",IF(AND($A1889=31,$AJ1889=41),"②病院短期","対象外")),IF($AJ1889=30,"③特定消防",IF(AND(OR($A1889=21,$A1889=215),$AJ1889=10),"④一般",IF(AND($A1889=31,$AJ1889=41),"⑤短期","対象外")))))</f>
        <v/>
      </c>
      <c r="DC1889" s="0" t="str">
        <f aca="false">IF($A1889="","",IF($AB1889&amp;""=設定!$C$4,1,0))</f>
        <v/>
      </c>
    </row>
    <row r="1890" customFormat="false" ht="15" hidden="false" customHeight="false" outlineLevel="0" collapsed="false">
      <c r="DB1890" s="0" t="str">
        <f aca="false">IF($A1890="","",IF($AH1890=20,IF(AND(OR($A1890=21,$A1890=215),$AJ1890=10),"①病院一般",IF(AND($A1890=31,$AJ1890=41),"②病院短期","対象外")),IF($AJ1890=30,"③特定消防",IF(AND(OR($A1890=21,$A1890=215),$AJ1890=10),"④一般",IF(AND($A1890=31,$AJ1890=41),"⑤短期","対象外")))))</f>
        <v/>
      </c>
      <c r="DC1890" s="0" t="str">
        <f aca="false">IF($A1890="","",IF($AB1890&amp;""=設定!$C$4,1,0))</f>
        <v/>
      </c>
    </row>
    <row r="1891" customFormat="false" ht="15" hidden="false" customHeight="false" outlineLevel="0" collapsed="false">
      <c r="DB1891" s="0" t="str">
        <f aca="false">IF($A1891="","",IF($AH1891=20,IF(AND(OR($A1891=21,$A1891=215),$AJ1891=10),"①病院一般",IF(AND($A1891=31,$AJ1891=41),"②病院短期","対象外")),IF($AJ1891=30,"③特定消防",IF(AND(OR($A1891=21,$A1891=215),$AJ1891=10),"④一般",IF(AND($A1891=31,$AJ1891=41),"⑤短期","対象外")))))</f>
        <v/>
      </c>
      <c r="DC1891" s="0" t="str">
        <f aca="false">IF($A1891="","",IF($AB1891&amp;""=設定!$C$4,1,0))</f>
        <v/>
      </c>
    </row>
    <row r="1892" customFormat="false" ht="15" hidden="false" customHeight="false" outlineLevel="0" collapsed="false">
      <c r="DB1892" s="0" t="str">
        <f aca="false">IF($A1892="","",IF($AH1892=20,IF(AND(OR($A1892=21,$A1892=215),$AJ1892=10),"①病院一般",IF(AND($A1892=31,$AJ1892=41),"②病院短期","対象外")),IF($AJ1892=30,"③特定消防",IF(AND(OR($A1892=21,$A1892=215),$AJ1892=10),"④一般",IF(AND($A1892=31,$AJ1892=41),"⑤短期","対象外")))))</f>
        <v/>
      </c>
      <c r="DC1892" s="0" t="str">
        <f aca="false">IF($A1892="","",IF($AB1892&amp;""=設定!$C$4,1,0))</f>
        <v/>
      </c>
    </row>
    <row r="1893" customFormat="false" ht="15" hidden="false" customHeight="false" outlineLevel="0" collapsed="false">
      <c r="DB1893" s="0" t="str">
        <f aca="false">IF($A1893="","",IF($AH1893=20,IF(AND(OR($A1893=21,$A1893=215),$AJ1893=10),"①病院一般",IF(AND($A1893=31,$AJ1893=41),"②病院短期","対象外")),IF($AJ1893=30,"③特定消防",IF(AND(OR($A1893=21,$A1893=215),$AJ1893=10),"④一般",IF(AND($A1893=31,$AJ1893=41),"⑤短期","対象外")))))</f>
        <v/>
      </c>
      <c r="DC1893" s="0" t="str">
        <f aca="false">IF($A1893="","",IF($AB1893&amp;""=設定!$C$4,1,0))</f>
        <v/>
      </c>
    </row>
    <row r="1894" customFormat="false" ht="15" hidden="false" customHeight="false" outlineLevel="0" collapsed="false">
      <c r="DB1894" s="0" t="str">
        <f aca="false">IF($A1894="","",IF($AH1894=20,IF(AND(OR($A1894=21,$A1894=215),$AJ1894=10),"①病院一般",IF(AND($A1894=31,$AJ1894=41),"②病院短期","対象外")),IF($AJ1894=30,"③特定消防",IF(AND(OR($A1894=21,$A1894=215),$AJ1894=10),"④一般",IF(AND($A1894=31,$AJ1894=41),"⑤短期","対象外")))))</f>
        <v/>
      </c>
      <c r="DC1894" s="0" t="str">
        <f aca="false">IF($A1894="","",IF($AB1894&amp;""=設定!$C$4,1,0))</f>
        <v/>
      </c>
    </row>
    <row r="1895" customFormat="false" ht="15" hidden="false" customHeight="false" outlineLevel="0" collapsed="false">
      <c r="DB1895" s="0" t="str">
        <f aca="false">IF($A1895="","",IF($AH1895=20,IF(AND(OR($A1895=21,$A1895=215),$AJ1895=10),"①病院一般",IF(AND($A1895=31,$AJ1895=41),"②病院短期","対象外")),IF($AJ1895=30,"③特定消防",IF(AND(OR($A1895=21,$A1895=215),$AJ1895=10),"④一般",IF(AND($A1895=31,$AJ1895=41),"⑤短期","対象外")))))</f>
        <v/>
      </c>
      <c r="DC1895" s="0" t="str">
        <f aca="false">IF($A1895="","",IF($AB1895&amp;""=設定!$C$4,1,0))</f>
        <v/>
      </c>
    </row>
    <row r="1896" customFormat="false" ht="15" hidden="false" customHeight="false" outlineLevel="0" collapsed="false">
      <c r="DB1896" s="0" t="str">
        <f aca="false">IF($A1896="","",IF($AH1896=20,IF(AND(OR($A1896=21,$A1896=215),$AJ1896=10),"①病院一般",IF(AND($A1896=31,$AJ1896=41),"②病院短期","対象外")),IF($AJ1896=30,"③特定消防",IF(AND(OR($A1896=21,$A1896=215),$AJ1896=10),"④一般",IF(AND($A1896=31,$AJ1896=41),"⑤短期","対象外")))))</f>
        <v/>
      </c>
      <c r="DC1896" s="0" t="str">
        <f aca="false">IF($A1896="","",IF($AB1896&amp;""=設定!$C$4,1,0))</f>
        <v/>
      </c>
    </row>
    <row r="1897" customFormat="false" ht="15" hidden="false" customHeight="false" outlineLevel="0" collapsed="false">
      <c r="DB1897" s="0" t="str">
        <f aca="false">IF($A1897="","",IF($AH1897=20,IF(AND(OR($A1897=21,$A1897=215),$AJ1897=10),"①病院一般",IF(AND($A1897=31,$AJ1897=41),"②病院短期","対象外")),IF($AJ1897=30,"③特定消防",IF(AND(OR($A1897=21,$A1897=215),$AJ1897=10),"④一般",IF(AND($A1897=31,$AJ1897=41),"⑤短期","対象外")))))</f>
        <v/>
      </c>
      <c r="DC1897" s="0" t="str">
        <f aca="false">IF($A1897="","",IF($AB1897&amp;""=設定!$C$4,1,0))</f>
        <v/>
      </c>
    </row>
    <row r="1898" customFormat="false" ht="15" hidden="false" customHeight="false" outlineLevel="0" collapsed="false">
      <c r="DB1898" s="0" t="str">
        <f aca="false">IF($A1898="","",IF($AH1898=20,IF(AND(OR($A1898=21,$A1898=215),$AJ1898=10),"①病院一般",IF(AND($A1898=31,$AJ1898=41),"②病院短期","対象外")),IF($AJ1898=30,"③特定消防",IF(AND(OR($A1898=21,$A1898=215),$AJ1898=10),"④一般",IF(AND($A1898=31,$AJ1898=41),"⑤短期","対象外")))))</f>
        <v/>
      </c>
      <c r="DC1898" s="0" t="str">
        <f aca="false">IF($A1898="","",IF($AB1898&amp;""=設定!$C$4,1,0))</f>
        <v/>
      </c>
    </row>
    <row r="1899" customFormat="false" ht="15" hidden="false" customHeight="false" outlineLevel="0" collapsed="false">
      <c r="DB1899" s="0" t="str">
        <f aca="false">IF($A1899="","",IF($AH1899=20,IF(AND(OR($A1899=21,$A1899=215),$AJ1899=10),"①病院一般",IF(AND($A1899=31,$AJ1899=41),"②病院短期","対象外")),IF($AJ1899=30,"③特定消防",IF(AND(OR($A1899=21,$A1899=215),$AJ1899=10),"④一般",IF(AND($A1899=31,$AJ1899=41),"⑤短期","対象外")))))</f>
        <v/>
      </c>
      <c r="DC1899" s="0" t="str">
        <f aca="false">IF($A1899="","",IF($AB1899&amp;""=設定!$C$4,1,0))</f>
        <v/>
      </c>
    </row>
    <row r="1900" customFormat="false" ht="15" hidden="false" customHeight="false" outlineLevel="0" collapsed="false">
      <c r="DB1900" s="0" t="str">
        <f aca="false">IF($A1900="","",IF($AH1900=20,IF(AND(OR($A1900=21,$A1900=215),$AJ1900=10),"①病院一般",IF(AND($A1900=31,$AJ1900=41),"②病院短期","対象外")),IF($AJ1900=30,"③特定消防",IF(AND(OR($A1900=21,$A1900=215),$AJ1900=10),"④一般",IF(AND($A1900=31,$AJ1900=41),"⑤短期","対象外")))))</f>
        <v/>
      </c>
      <c r="DC1900" s="0" t="str">
        <f aca="false">IF($A1900="","",IF($AB1900&amp;""=設定!$C$4,1,0))</f>
        <v/>
      </c>
    </row>
    <row r="1901" customFormat="false" ht="15" hidden="false" customHeight="false" outlineLevel="0" collapsed="false">
      <c r="DB1901" s="0" t="str">
        <f aca="false">IF($A1901="","",IF($AH1901=20,IF(AND(OR($A1901=21,$A1901=215),$AJ1901=10),"①病院一般",IF(AND($A1901=31,$AJ1901=41),"②病院短期","対象外")),IF($AJ1901=30,"③特定消防",IF(AND(OR($A1901=21,$A1901=215),$AJ1901=10),"④一般",IF(AND($A1901=31,$AJ1901=41),"⑤短期","対象外")))))</f>
        <v/>
      </c>
      <c r="DC1901" s="0" t="str">
        <f aca="false">IF($A1901="","",IF($AB1901&amp;""=設定!$C$4,1,0))</f>
        <v/>
      </c>
    </row>
    <row r="1902" customFormat="false" ht="15" hidden="false" customHeight="false" outlineLevel="0" collapsed="false">
      <c r="DB1902" s="0" t="str">
        <f aca="false">IF($A1902="","",IF($AH1902=20,IF(AND(OR($A1902=21,$A1902=215),$AJ1902=10),"①病院一般",IF(AND($A1902=31,$AJ1902=41),"②病院短期","対象外")),IF($AJ1902=30,"③特定消防",IF(AND(OR($A1902=21,$A1902=215),$AJ1902=10),"④一般",IF(AND($A1902=31,$AJ1902=41),"⑤短期","対象外")))))</f>
        <v/>
      </c>
      <c r="DC1902" s="0" t="str">
        <f aca="false">IF($A1902="","",IF($AB1902&amp;""=設定!$C$4,1,0))</f>
        <v/>
      </c>
    </row>
    <row r="1903" customFormat="false" ht="15" hidden="false" customHeight="false" outlineLevel="0" collapsed="false">
      <c r="DB1903" s="0" t="str">
        <f aca="false">IF($A1903="","",IF($AH1903=20,IF(AND(OR($A1903=21,$A1903=215),$AJ1903=10),"①病院一般",IF(AND($A1903=31,$AJ1903=41),"②病院短期","対象外")),IF($AJ1903=30,"③特定消防",IF(AND(OR($A1903=21,$A1903=215),$AJ1903=10),"④一般",IF(AND($A1903=31,$AJ1903=41),"⑤短期","対象外")))))</f>
        <v/>
      </c>
      <c r="DC1903" s="0" t="str">
        <f aca="false">IF($A1903="","",IF($AB1903&amp;""=設定!$C$4,1,0))</f>
        <v/>
      </c>
    </row>
    <row r="1904" customFormat="false" ht="15" hidden="false" customHeight="false" outlineLevel="0" collapsed="false">
      <c r="DB1904" s="0" t="str">
        <f aca="false">IF($A1904="","",IF($AH1904=20,IF(AND(OR($A1904=21,$A1904=215),$AJ1904=10),"①病院一般",IF(AND($A1904=31,$AJ1904=41),"②病院短期","対象外")),IF($AJ1904=30,"③特定消防",IF(AND(OR($A1904=21,$A1904=215),$AJ1904=10),"④一般",IF(AND($A1904=31,$AJ1904=41),"⑤短期","対象外")))))</f>
        <v/>
      </c>
      <c r="DC1904" s="0" t="str">
        <f aca="false">IF($A1904="","",IF($AB1904&amp;""=設定!$C$4,1,0))</f>
        <v/>
      </c>
    </row>
    <row r="1905" customFormat="false" ht="15" hidden="false" customHeight="false" outlineLevel="0" collapsed="false">
      <c r="DB1905" s="0" t="str">
        <f aca="false">IF($A1905="","",IF($AH1905=20,IF(AND(OR($A1905=21,$A1905=215),$AJ1905=10),"①病院一般",IF(AND($A1905=31,$AJ1905=41),"②病院短期","対象外")),IF($AJ1905=30,"③特定消防",IF(AND(OR($A1905=21,$A1905=215),$AJ1905=10),"④一般",IF(AND($A1905=31,$AJ1905=41),"⑤短期","対象外")))))</f>
        <v/>
      </c>
      <c r="DC1905" s="0" t="str">
        <f aca="false">IF($A1905="","",IF($AB1905&amp;""=設定!$C$4,1,0))</f>
        <v/>
      </c>
    </row>
    <row r="1906" customFormat="false" ht="15" hidden="false" customHeight="false" outlineLevel="0" collapsed="false">
      <c r="DB1906" s="0" t="str">
        <f aca="false">IF($A1906="","",IF($AH1906=20,IF(AND(OR($A1906=21,$A1906=215),$AJ1906=10),"①病院一般",IF(AND($A1906=31,$AJ1906=41),"②病院短期","対象外")),IF($AJ1906=30,"③特定消防",IF(AND(OR($A1906=21,$A1906=215),$AJ1906=10),"④一般",IF(AND($A1906=31,$AJ1906=41),"⑤短期","対象外")))))</f>
        <v/>
      </c>
      <c r="DC1906" s="0" t="str">
        <f aca="false">IF($A1906="","",IF($AB1906&amp;""=設定!$C$4,1,0))</f>
        <v/>
      </c>
    </row>
    <row r="1907" customFormat="false" ht="15" hidden="false" customHeight="false" outlineLevel="0" collapsed="false">
      <c r="DB1907" s="0" t="str">
        <f aca="false">IF($A1907="","",IF($AH1907=20,IF(AND(OR($A1907=21,$A1907=215),$AJ1907=10),"①病院一般",IF(AND($A1907=31,$AJ1907=41),"②病院短期","対象外")),IF($AJ1907=30,"③特定消防",IF(AND(OR($A1907=21,$A1907=215),$AJ1907=10),"④一般",IF(AND($A1907=31,$AJ1907=41),"⑤短期","対象外")))))</f>
        <v/>
      </c>
      <c r="DC1907" s="0" t="str">
        <f aca="false">IF($A1907="","",IF($AB1907&amp;""=設定!$C$4,1,0))</f>
        <v/>
      </c>
    </row>
    <row r="1908" customFormat="false" ht="15" hidden="false" customHeight="false" outlineLevel="0" collapsed="false">
      <c r="DB1908" s="0" t="str">
        <f aca="false">IF($A1908="","",IF($AH1908=20,IF(AND(OR($A1908=21,$A1908=215),$AJ1908=10),"①病院一般",IF(AND($A1908=31,$AJ1908=41),"②病院短期","対象外")),IF($AJ1908=30,"③特定消防",IF(AND(OR($A1908=21,$A1908=215),$AJ1908=10),"④一般",IF(AND($A1908=31,$AJ1908=41),"⑤短期","対象外")))))</f>
        <v/>
      </c>
      <c r="DC1908" s="0" t="str">
        <f aca="false">IF($A1908="","",IF($AB1908&amp;""=設定!$C$4,1,0))</f>
        <v/>
      </c>
    </row>
    <row r="1909" customFormat="false" ht="15" hidden="false" customHeight="false" outlineLevel="0" collapsed="false">
      <c r="DB1909" s="0" t="str">
        <f aca="false">IF($A1909="","",IF($AH1909=20,IF(AND(OR($A1909=21,$A1909=215),$AJ1909=10),"①病院一般",IF(AND($A1909=31,$AJ1909=41),"②病院短期","対象外")),IF($AJ1909=30,"③特定消防",IF(AND(OR($A1909=21,$A1909=215),$AJ1909=10),"④一般",IF(AND($A1909=31,$AJ1909=41),"⑤短期","対象外")))))</f>
        <v/>
      </c>
      <c r="DC1909" s="0" t="str">
        <f aca="false">IF($A1909="","",IF($AB1909&amp;""=設定!$C$4,1,0))</f>
        <v/>
      </c>
    </row>
    <row r="1910" customFormat="false" ht="15" hidden="false" customHeight="false" outlineLevel="0" collapsed="false">
      <c r="DB1910" s="0" t="str">
        <f aca="false">IF($A1910="","",IF($AH1910=20,IF(AND(OR($A1910=21,$A1910=215),$AJ1910=10),"①病院一般",IF(AND($A1910=31,$AJ1910=41),"②病院短期","対象外")),IF($AJ1910=30,"③特定消防",IF(AND(OR($A1910=21,$A1910=215),$AJ1910=10),"④一般",IF(AND($A1910=31,$AJ1910=41),"⑤短期","対象外")))))</f>
        <v/>
      </c>
      <c r="DC1910" s="0" t="str">
        <f aca="false">IF($A1910="","",IF($AB1910&amp;""=設定!$C$4,1,0))</f>
        <v/>
      </c>
    </row>
    <row r="1911" customFormat="false" ht="15" hidden="false" customHeight="false" outlineLevel="0" collapsed="false">
      <c r="DB1911" s="0" t="str">
        <f aca="false">IF($A1911="","",IF($AH1911=20,IF(AND(OR($A1911=21,$A1911=215),$AJ1911=10),"①病院一般",IF(AND($A1911=31,$AJ1911=41),"②病院短期","対象外")),IF($AJ1911=30,"③特定消防",IF(AND(OR($A1911=21,$A1911=215),$AJ1911=10),"④一般",IF(AND($A1911=31,$AJ1911=41),"⑤短期","対象外")))))</f>
        <v/>
      </c>
      <c r="DC1911" s="0" t="str">
        <f aca="false">IF($A1911="","",IF($AB1911&amp;""=設定!$C$4,1,0))</f>
        <v/>
      </c>
    </row>
    <row r="1912" customFormat="false" ht="15" hidden="false" customHeight="false" outlineLevel="0" collapsed="false">
      <c r="DB1912" s="0" t="str">
        <f aca="false">IF($A1912="","",IF($AH1912=20,IF(AND(OR($A1912=21,$A1912=215),$AJ1912=10),"①病院一般",IF(AND($A1912=31,$AJ1912=41),"②病院短期","対象外")),IF($AJ1912=30,"③特定消防",IF(AND(OR($A1912=21,$A1912=215),$AJ1912=10),"④一般",IF(AND($A1912=31,$AJ1912=41),"⑤短期","対象外")))))</f>
        <v/>
      </c>
      <c r="DC1912" s="0" t="str">
        <f aca="false">IF($A1912="","",IF($AB1912&amp;""=設定!$C$4,1,0))</f>
        <v/>
      </c>
    </row>
    <row r="1913" customFormat="false" ht="15" hidden="false" customHeight="false" outlineLevel="0" collapsed="false">
      <c r="DB1913" s="0" t="str">
        <f aca="false">IF($A1913="","",IF($AH1913=20,IF(AND(OR($A1913=21,$A1913=215),$AJ1913=10),"①病院一般",IF(AND($A1913=31,$AJ1913=41),"②病院短期","対象外")),IF($AJ1913=30,"③特定消防",IF(AND(OR($A1913=21,$A1913=215),$AJ1913=10),"④一般",IF(AND($A1913=31,$AJ1913=41),"⑤短期","対象外")))))</f>
        <v/>
      </c>
      <c r="DC1913" s="0" t="str">
        <f aca="false">IF($A1913="","",IF($AB1913&amp;""=設定!$C$4,1,0))</f>
        <v/>
      </c>
    </row>
    <row r="1914" customFormat="false" ht="15" hidden="false" customHeight="false" outlineLevel="0" collapsed="false">
      <c r="DB1914" s="0" t="str">
        <f aca="false">IF($A1914="","",IF($AH1914=20,IF(AND(OR($A1914=21,$A1914=215),$AJ1914=10),"①病院一般",IF(AND($A1914=31,$AJ1914=41),"②病院短期","対象外")),IF($AJ1914=30,"③特定消防",IF(AND(OR($A1914=21,$A1914=215),$AJ1914=10),"④一般",IF(AND($A1914=31,$AJ1914=41),"⑤短期","対象外")))))</f>
        <v/>
      </c>
      <c r="DC1914" s="0" t="str">
        <f aca="false">IF($A1914="","",IF($AB1914&amp;""=設定!$C$4,1,0))</f>
        <v/>
      </c>
    </row>
    <row r="1915" customFormat="false" ht="15" hidden="false" customHeight="false" outlineLevel="0" collapsed="false">
      <c r="DB1915" s="0" t="str">
        <f aca="false">IF($A1915="","",IF($AH1915=20,IF(AND(OR($A1915=21,$A1915=215),$AJ1915=10),"①病院一般",IF(AND($A1915=31,$AJ1915=41),"②病院短期","対象外")),IF($AJ1915=30,"③特定消防",IF(AND(OR($A1915=21,$A1915=215),$AJ1915=10),"④一般",IF(AND($A1915=31,$AJ1915=41),"⑤短期","対象外")))))</f>
        <v/>
      </c>
      <c r="DC1915" s="0" t="str">
        <f aca="false">IF($A1915="","",IF($AB1915&amp;""=設定!$C$4,1,0))</f>
        <v/>
      </c>
    </row>
    <row r="1916" customFormat="false" ht="15" hidden="false" customHeight="false" outlineLevel="0" collapsed="false">
      <c r="DB1916" s="0" t="str">
        <f aca="false">IF($A1916="","",IF($AH1916=20,IF(AND(OR($A1916=21,$A1916=215),$AJ1916=10),"①病院一般",IF(AND($A1916=31,$AJ1916=41),"②病院短期","対象外")),IF($AJ1916=30,"③特定消防",IF(AND(OR($A1916=21,$A1916=215),$AJ1916=10),"④一般",IF(AND($A1916=31,$AJ1916=41),"⑤短期","対象外")))))</f>
        <v/>
      </c>
      <c r="DC1916" s="0" t="str">
        <f aca="false">IF($A1916="","",IF($AB1916&amp;""=設定!$C$4,1,0))</f>
        <v/>
      </c>
    </row>
    <row r="1917" customFormat="false" ht="15" hidden="false" customHeight="false" outlineLevel="0" collapsed="false">
      <c r="DB1917" s="0" t="str">
        <f aca="false">IF($A1917="","",IF($AH1917=20,IF(AND(OR($A1917=21,$A1917=215),$AJ1917=10),"①病院一般",IF(AND($A1917=31,$AJ1917=41),"②病院短期","対象外")),IF($AJ1917=30,"③特定消防",IF(AND(OR($A1917=21,$A1917=215),$AJ1917=10),"④一般",IF(AND($A1917=31,$AJ1917=41),"⑤短期","対象外")))))</f>
        <v/>
      </c>
      <c r="DC1917" s="0" t="str">
        <f aca="false">IF($A1917="","",IF($AB1917&amp;""=設定!$C$4,1,0))</f>
        <v/>
      </c>
    </row>
    <row r="1918" customFormat="false" ht="15" hidden="false" customHeight="false" outlineLevel="0" collapsed="false">
      <c r="DB1918" s="0" t="str">
        <f aca="false">IF($A1918="","",IF($AH1918=20,IF(AND(OR($A1918=21,$A1918=215),$AJ1918=10),"①病院一般",IF(AND($A1918=31,$AJ1918=41),"②病院短期","対象外")),IF($AJ1918=30,"③特定消防",IF(AND(OR($A1918=21,$A1918=215),$AJ1918=10),"④一般",IF(AND($A1918=31,$AJ1918=41),"⑤短期","対象外")))))</f>
        <v/>
      </c>
      <c r="DC1918" s="0" t="str">
        <f aca="false">IF($A1918="","",IF($AB1918&amp;""=設定!$C$4,1,0))</f>
        <v/>
      </c>
    </row>
    <row r="1919" customFormat="false" ht="15" hidden="false" customHeight="false" outlineLevel="0" collapsed="false">
      <c r="DB1919" s="0" t="str">
        <f aca="false">IF($A1919="","",IF($AH1919=20,IF(AND(OR($A1919=21,$A1919=215),$AJ1919=10),"①病院一般",IF(AND($A1919=31,$AJ1919=41),"②病院短期","対象外")),IF($AJ1919=30,"③特定消防",IF(AND(OR($A1919=21,$A1919=215),$AJ1919=10),"④一般",IF(AND($A1919=31,$AJ1919=41),"⑤短期","対象外")))))</f>
        <v/>
      </c>
      <c r="DC1919" s="0" t="str">
        <f aca="false">IF($A1919="","",IF($AB1919&amp;""=設定!$C$4,1,0))</f>
        <v/>
      </c>
    </row>
    <row r="1920" customFormat="false" ht="15" hidden="false" customHeight="false" outlineLevel="0" collapsed="false">
      <c r="DB1920" s="0" t="str">
        <f aca="false">IF($A1920="","",IF($AH1920=20,IF(AND(OR($A1920=21,$A1920=215),$AJ1920=10),"①病院一般",IF(AND($A1920=31,$AJ1920=41),"②病院短期","対象外")),IF($AJ1920=30,"③特定消防",IF(AND(OR($A1920=21,$A1920=215),$AJ1920=10),"④一般",IF(AND($A1920=31,$AJ1920=41),"⑤短期","対象外")))))</f>
        <v/>
      </c>
      <c r="DC1920" s="0" t="str">
        <f aca="false">IF($A1920="","",IF($AB1920&amp;""=設定!$C$4,1,0))</f>
        <v/>
      </c>
    </row>
    <row r="1921" customFormat="false" ht="15" hidden="false" customHeight="false" outlineLevel="0" collapsed="false">
      <c r="DB1921" s="0" t="str">
        <f aca="false">IF($A1921="","",IF($AH1921=20,IF(AND(OR($A1921=21,$A1921=215),$AJ1921=10),"①病院一般",IF(AND($A1921=31,$AJ1921=41),"②病院短期","対象外")),IF($AJ1921=30,"③特定消防",IF(AND(OR($A1921=21,$A1921=215),$AJ1921=10),"④一般",IF(AND($A1921=31,$AJ1921=41),"⑤短期","対象外")))))</f>
        <v/>
      </c>
      <c r="DC1921" s="0" t="str">
        <f aca="false">IF($A1921="","",IF($AB1921&amp;""=設定!$C$4,1,0))</f>
        <v/>
      </c>
    </row>
    <row r="1922" customFormat="false" ht="15" hidden="false" customHeight="false" outlineLevel="0" collapsed="false">
      <c r="DB1922" s="0" t="str">
        <f aca="false">IF($A1922="","",IF($AH1922=20,IF(AND(OR($A1922=21,$A1922=215),$AJ1922=10),"①病院一般",IF(AND($A1922=31,$AJ1922=41),"②病院短期","対象外")),IF($AJ1922=30,"③特定消防",IF(AND(OR($A1922=21,$A1922=215),$AJ1922=10),"④一般",IF(AND($A1922=31,$AJ1922=41),"⑤短期","対象外")))))</f>
        <v/>
      </c>
      <c r="DC1922" s="0" t="str">
        <f aca="false">IF($A1922="","",IF($AB1922&amp;""=設定!$C$4,1,0))</f>
        <v/>
      </c>
    </row>
    <row r="1923" customFormat="false" ht="15" hidden="false" customHeight="false" outlineLevel="0" collapsed="false">
      <c r="DB1923" s="0" t="str">
        <f aca="false">IF($A1923="","",IF($AH1923=20,IF(AND(OR($A1923=21,$A1923=215),$AJ1923=10),"①病院一般",IF(AND($A1923=31,$AJ1923=41),"②病院短期","対象外")),IF($AJ1923=30,"③特定消防",IF(AND(OR($A1923=21,$A1923=215),$AJ1923=10),"④一般",IF(AND($A1923=31,$AJ1923=41),"⑤短期","対象外")))))</f>
        <v/>
      </c>
      <c r="DC1923" s="0" t="str">
        <f aca="false">IF($A1923="","",IF($AB1923&amp;""=設定!$C$4,1,0))</f>
        <v/>
      </c>
    </row>
    <row r="1924" customFormat="false" ht="15" hidden="false" customHeight="false" outlineLevel="0" collapsed="false">
      <c r="DB1924" s="0" t="str">
        <f aca="false">IF($A1924="","",IF($AH1924=20,IF(AND(OR($A1924=21,$A1924=215),$AJ1924=10),"①病院一般",IF(AND($A1924=31,$AJ1924=41),"②病院短期","対象外")),IF($AJ1924=30,"③特定消防",IF(AND(OR($A1924=21,$A1924=215),$AJ1924=10),"④一般",IF(AND($A1924=31,$AJ1924=41),"⑤短期","対象外")))))</f>
        <v/>
      </c>
      <c r="DC1924" s="0" t="str">
        <f aca="false">IF($A1924="","",IF($AB1924&amp;""=設定!$C$4,1,0))</f>
        <v/>
      </c>
    </row>
    <row r="1925" customFormat="false" ht="15" hidden="false" customHeight="false" outlineLevel="0" collapsed="false">
      <c r="DB1925" s="0" t="str">
        <f aca="false">IF($A1925="","",IF($AH1925=20,IF(AND(OR($A1925=21,$A1925=215),$AJ1925=10),"①病院一般",IF(AND($A1925=31,$AJ1925=41),"②病院短期","対象外")),IF($AJ1925=30,"③特定消防",IF(AND(OR($A1925=21,$A1925=215),$AJ1925=10),"④一般",IF(AND($A1925=31,$AJ1925=41),"⑤短期","対象外")))))</f>
        <v/>
      </c>
      <c r="DC1925" s="0" t="str">
        <f aca="false">IF($A1925="","",IF($AB1925&amp;""=設定!$C$4,1,0))</f>
        <v/>
      </c>
    </row>
    <row r="1926" customFormat="false" ht="15" hidden="false" customHeight="false" outlineLevel="0" collapsed="false">
      <c r="DB1926" s="0" t="str">
        <f aca="false">IF($A1926="","",IF($AH1926=20,IF(AND(OR($A1926=21,$A1926=215),$AJ1926=10),"①病院一般",IF(AND($A1926=31,$AJ1926=41),"②病院短期","対象外")),IF($AJ1926=30,"③特定消防",IF(AND(OR($A1926=21,$A1926=215),$AJ1926=10),"④一般",IF(AND($A1926=31,$AJ1926=41),"⑤短期","対象外")))))</f>
        <v/>
      </c>
      <c r="DC1926" s="0" t="str">
        <f aca="false">IF($A1926="","",IF($AB1926&amp;""=設定!$C$4,1,0))</f>
        <v/>
      </c>
    </row>
    <row r="1927" customFormat="false" ht="15" hidden="false" customHeight="false" outlineLevel="0" collapsed="false">
      <c r="DB1927" s="0" t="str">
        <f aca="false">IF($A1927="","",IF($AH1927=20,IF(AND(OR($A1927=21,$A1927=215),$AJ1927=10),"①病院一般",IF(AND($A1927=31,$AJ1927=41),"②病院短期","対象外")),IF($AJ1927=30,"③特定消防",IF(AND(OR($A1927=21,$A1927=215),$AJ1927=10),"④一般",IF(AND($A1927=31,$AJ1927=41),"⑤短期","対象外")))))</f>
        <v/>
      </c>
      <c r="DC1927" s="0" t="str">
        <f aca="false">IF($A1927="","",IF($AB1927&amp;""=設定!$C$4,1,0))</f>
        <v/>
      </c>
    </row>
    <row r="1928" customFormat="false" ht="15" hidden="false" customHeight="false" outlineLevel="0" collapsed="false">
      <c r="DB1928" s="0" t="str">
        <f aca="false">IF($A1928="","",IF($AH1928=20,IF(AND(OR($A1928=21,$A1928=215),$AJ1928=10),"①病院一般",IF(AND($A1928=31,$AJ1928=41),"②病院短期","対象外")),IF($AJ1928=30,"③特定消防",IF(AND(OR($A1928=21,$A1928=215),$AJ1928=10),"④一般",IF(AND($A1928=31,$AJ1928=41),"⑤短期","対象外")))))</f>
        <v/>
      </c>
      <c r="DC1928" s="0" t="str">
        <f aca="false">IF($A1928="","",IF($AB1928&amp;""=設定!$C$4,1,0))</f>
        <v/>
      </c>
    </row>
    <row r="1929" customFormat="false" ht="15" hidden="false" customHeight="false" outlineLevel="0" collapsed="false">
      <c r="DB1929" s="0" t="str">
        <f aca="false">IF($A1929="","",IF($AH1929=20,IF(AND(OR($A1929=21,$A1929=215),$AJ1929=10),"①病院一般",IF(AND($A1929=31,$AJ1929=41),"②病院短期","対象外")),IF($AJ1929=30,"③特定消防",IF(AND(OR($A1929=21,$A1929=215),$AJ1929=10),"④一般",IF(AND($A1929=31,$AJ1929=41),"⑤短期","対象外")))))</f>
        <v/>
      </c>
      <c r="DC1929" s="0" t="str">
        <f aca="false">IF($A1929="","",IF($AB1929&amp;""=設定!$C$4,1,0))</f>
        <v/>
      </c>
    </row>
    <row r="1930" customFormat="false" ht="15" hidden="false" customHeight="false" outlineLevel="0" collapsed="false">
      <c r="DB1930" s="0" t="str">
        <f aca="false">IF($A1930="","",IF($AH1930=20,IF(AND(OR($A1930=21,$A1930=215),$AJ1930=10),"①病院一般",IF(AND($A1930=31,$AJ1930=41),"②病院短期","対象外")),IF($AJ1930=30,"③特定消防",IF(AND(OR($A1930=21,$A1930=215),$AJ1930=10),"④一般",IF(AND($A1930=31,$AJ1930=41),"⑤短期","対象外")))))</f>
        <v/>
      </c>
      <c r="DC1930" s="0" t="str">
        <f aca="false">IF($A1930="","",IF($AB1930&amp;""=設定!$C$4,1,0))</f>
        <v/>
      </c>
    </row>
    <row r="1931" customFormat="false" ht="15" hidden="false" customHeight="false" outlineLevel="0" collapsed="false">
      <c r="DB1931" s="0" t="str">
        <f aca="false">IF($A1931="","",IF($AH1931=20,IF(AND(OR($A1931=21,$A1931=215),$AJ1931=10),"①病院一般",IF(AND($A1931=31,$AJ1931=41),"②病院短期","対象外")),IF($AJ1931=30,"③特定消防",IF(AND(OR($A1931=21,$A1931=215),$AJ1931=10),"④一般",IF(AND($A1931=31,$AJ1931=41),"⑤短期","対象外")))))</f>
        <v/>
      </c>
      <c r="DC1931" s="0" t="str">
        <f aca="false">IF($A1931="","",IF($AB1931&amp;""=設定!$C$4,1,0))</f>
        <v/>
      </c>
    </row>
    <row r="1932" customFormat="false" ht="15" hidden="false" customHeight="false" outlineLevel="0" collapsed="false">
      <c r="DB1932" s="0" t="str">
        <f aca="false">IF($A1932="","",IF($AH1932=20,IF(AND(OR($A1932=21,$A1932=215),$AJ1932=10),"①病院一般",IF(AND($A1932=31,$AJ1932=41),"②病院短期","対象外")),IF($AJ1932=30,"③特定消防",IF(AND(OR($A1932=21,$A1932=215),$AJ1932=10),"④一般",IF(AND($A1932=31,$AJ1932=41),"⑤短期","対象外")))))</f>
        <v/>
      </c>
      <c r="DC1932" s="0" t="str">
        <f aca="false">IF($A1932="","",IF($AB1932&amp;""=設定!$C$4,1,0))</f>
        <v/>
      </c>
    </row>
    <row r="1933" customFormat="false" ht="15" hidden="false" customHeight="false" outlineLevel="0" collapsed="false">
      <c r="DB1933" s="0" t="str">
        <f aca="false">IF($A1933="","",IF($AH1933=20,IF(AND(OR($A1933=21,$A1933=215),$AJ1933=10),"①病院一般",IF(AND($A1933=31,$AJ1933=41),"②病院短期","対象外")),IF($AJ1933=30,"③特定消防",IF(AND(OR($A1933=21,$A1933=215),$AJ1933=10),"④一般",IF(AND($A1933=31,$AJ1933=41),"⑤短期","対象外")))))</f>
        <v/>
      </c>
      <c r="DC1933" s="0" t="str">
        <f aca="false">IF($A1933="","",IF($AB1933&amp;""=設定!$C$4,1,0))</f>
        <v/>
      </c>
    </row>
    <row r="1934" customFormat="false" ht="15" hidden="false" customHeight="false" outlineLevel="0" collapsed="false">
      <c r="DB1934" s="0" t="str">
        <f aca="false">IF($A1934="","",IF($AH1934=20,IF(AND(OR($A1934=21,$A1934=215),$AJ1934=10),"①病院一般",IF(AND($A1934=31,$AJ1934=41),"②病院短期","対象外")),IF($AJ1934=30,"③特定消防",IF(AND(OR($A1934=21,$A1934=215),$AJ1934=10),"④一般",IF(AND($A1934=31,$AJ1934=41),"⑤短期","対象外")))))</f>
        <v/>
      </c>
      <c r="DC1934" s="0" t="str">
        <f aca="false">IF($A1934="","",IF($AB1934&amp;""=設定!$C$4,1,0))</f>
        <v/>
      </c>
    </row>
    <row r="1935" customFormat="false" ht="15" hidden="false" customHeight="false" outlineLevel="0" collapsed="false">
      <c r="DB1935" s="0" t="str">
        <f aca="false">IF($A1935="","",IF($AH1935=20,IF(AND(OR($A1935=21,$A1935=215),$AJ1935=10),"①病院一般",IF(AND($A1935=31,$AJ1935=41),"②病院短期","対象外")),IF($AJ1935=30,"③特定消防",IF(AND(OR($A1935=21,$A1935=215),$AJ1935=10),"④一般",IF(AND($A1935=31,$AJ1935=41),"⑤短期","対象外")))))</f>
        <v/>
      </c>
      <c r="DC1935" s="0" t="str">
        <f aca="false">IF($A1935="","",IF($AB1935&amp;""=設定!$C$4,1,0))</f>
        <v/>
      </c>
    </row>
    <row r="1936" customFormat="false" ht="15" hidden="false" customHeight="false" outlineLevel="0" collapsed="false">
      <c r="DB1936" s="0" t="str">
        <f aca="false">IF($A1936="","",IF($AH1936=20,IF(AND(OR($A1936=21,$A1936=215),$AJ1936=10),"①病院一般",IF(AND($A1936=31,$AJ1936=41),"②病院短期","対象外")),IF($AJ1936=30,"③特定消防",IF(AND(OR($A1936=21,$A1936=215),$AJ1936=10),"④一般",IF(AND($A1936=31,$AJ1936=41),"⑤短期","対象外")))))</f>
        <v/>
      </c>
      <c r="DC1936" s="0" t="str">
        <f aca="false">IF($A1936="","",IF($AB1936&amp;""=設定!$C$4,1,0))</f>
        <v/>
      </c>
    </row>
    <row r="1937" customFormat="false" ht="15" hidden="false" customHeight="false" outlineLevel="0" collapsed="false">
      <c r="DB1937" s="0" t="str">
        <f aca="false">IF($A1937="","",IF($AH1937=20,IF(AND(OR($A1937=21,$A1937=215),$AJ1937=10),"①病院一般",IF(AND($A1937=31,$AJ1937=41),"②病院短期","対象外")),IF($AJ1937=30,"③特定消防",IF(AND(OR($A1937=21,$A1937=215),$AJ1937=10),"④一般",IF(AND($A1937=31,$AJ1937=41),"⑤短期","対象外")))))</f>
        <v/>
      </c>
      <c r="DC1937" s="0" t="str">
        <f aca="false">IF($A1937="","",IF($AB1937&amp;""=設定!$C$4,1,0))</f>
        <v/>
      </c>
    </row>
    <row r="1938" customFormat="false" ht="15" hidden="false" customHeight="false" outlineLevel="0" collapsed="false">
      <c r="DB1938" s="0" t="str">
        <f aca="false">IF($A1938="","",IF($AH1938=20,IF(AND(OR($A1938=21,$A1938=215),$AJ1938=10),"①病院一般",IF(AND($A1938=31,$AJ1938=41),"②病院短期","対象外")),IF($AJ1938=30,"③特定消防",IF(AND(OR($A1938=21,$A1938=215),$AJ1938=10),"④一般",IF(AND($A1938=31,$AJ1938=41),"⑤短期","対象外")))))</f>
        <v/>
      </c>
      <c r="DC1938" s="0" t="str">
        <f aca="false">IF($A1938="","",IF($AB1938&amp;""=設定!$C$4,1,0))</f>
        <v/>
      </c>
    </row>
    <row r="1939" customFormat="false" ht="15" hidden="false" customHeight="false" outlineLevel="0" collapsed="false">
      <c r="DB1939" s="0" t="str">
        <f aca="false">IF($A1939="","",IF($AH1939=20,IF(AND(OR($A1939=21,$A1939=215),$AJ1939=10),"①病院一般",IF(AND($A1939=31,$AJ1939=41),"②病院短期","対象外")),IF($AJ1939=30,"③特定消防",IF(AND(OR($A1939=21,$A1939=215),$AJ1939=10),"④一般",IF(AND($A1939=31,$AJ1939=41),"⑤短期","対象外")))))</f>
        <v/>
      </c>
      <c r="DC1939" s="0" t="str">
        <f aca="false">IF($A1939="","",IF($AB1939&amp;""=設定!$C$4,1,0))</f>
        <v/>
      </c>
    </row>
    <row r="1940" customFormat="false" ht="15" hidden="false" customHeight="false" outlineLevel="0" collapsed="false">
      <c r="DB1940" s="0" t="str">
        <f aca="false">IF($A1940="","",IF($AH1940=20,IF(AND(OR($A1940=21,$A1940=215),$AJ1940=10),"①病院一般",IF(AND($A1940=31,$AJ1940=41),"②病院短期","対象外")),IF($AJ1940=30,"③特定消防",IF(AND(OR($A1940=21,$A1940=215),$AJ1940=10),"④一般",IF(AND($A1940=31,$AJ1940=41),"⑤短期","対象外")))))</f>
        <v/>
      </c>
      <c r="DC1940" s="0" t="str">
        <f aca="false">IF($A1940="","",IF($AB1940&amp;""=設定!$C$4,1,0))</f>
        <v/>
      </c>
    </row>
    <row r="1941" customFormat="false" ht="15" hidden="false" customHeight="false" outlineLevel="0" collapsed="false">
      <c r="DB1941" s="0" t="str">
        <f aca="false">IF($A1941="","",IF($AH1941=20,IF(AND(OR($A1941=21,$A1941=215),$AJ1941=10),"①病院一般",IF(AND($A1941=31,$AJ1941=41),"②病院短期","対象外")),IF($AJ1941=30,"③特定消防",IF(AND(OR($A1941=21,$A1941=215),$AJ1941=10),"④一般",IF(AND($A1941=31,$AJ1941=41),"⑤短期","対象外")))))</f>
        <v/>
      </c>
      <c r="DC1941" s="0" t="str">
        <f aca="false">IF($A1941="","",IF($AB1941&amp;""=設定!$C$4,1,0))</f>
        <v/>
      </c>
    </row>
    <row r="1942" customFormat="false" ht="15" hidden="false" customHeight="false" outlineLevel="0" collapsed="false">
      <c r="DB1942" s="0" t="str">
        <f aca="false">IF($A1942="","",IF($AH1942=20,IF(AND(OR($A1942=21,$A1942=215),$AJ1942=10),"①病院一般",IF(AND($A1942=31,$AJ1942=41),"②病院短期","対象外")),IF($AJ1942=30,"③特定消防",IF(AND(OR($A1942=21,$A1942=215),$AJ1942=10),"④一般",IF(AND($A1942=31,$AJ1942=41),"⑤短期","対象外")))))</f>
        <v/>
      </c>
      <c r="DC1942" s="0" t="str">
        <f aca="false">IF($A1942="","",IF($AB1942&amp;""=設定!$C$4,1,0))</f>
        <v/>
      </c>
    </row>
    <row r="1943" customFormat="false" ht="15" hidden="false" customHeight="false" outlineLevel="0" collapsed="false">
      <c r="DB1943" s="0" t="str">
        <f aca="false">IF($A1943="","",IF($AH1943=20,IF(AND(OR($A1943=21,$A1943=215),$AJ1943=10),"①病院一般",IF(AND($A1943=31,$AJ1943=41),"②病院短期","対象外")),IF($AJ1943=30,"③特定消防",IF(AND(OR($A1943=21,$A1943=215),$AJ1943=10),"④一般",IF(AND($A1943=31,$AJ1943=41),"⑤短期","対象外")))))</f>
        <v/>
      </c>
      <c r="DC1943" s="0" t="str">
        <f aca="false">IF($A1943="","",IF($AB1943&amp;""=設定!$C$4,1,0))</f>
        <v/>
      </c>
    </row>
    <row r="1944" customFormat="false" ht="15" hidden="false" customHeight="false" outlineLevel="0" collapsed="false">
      <c r="DB1944" s="0" t="str">
        <f aca="false">IF($A1944="","",IF($AH1944=20,IF(AND(OR($A1944=21,$A1944=215),$AJ1944=10),"①病院一般",IF(AND($A1944=31,$AJ1944=41),"②病院短期","対象外")),IF($AJ1944=30,"③特定消防",IF(AND(OR($A1944=21,$A1944=215),$AJ1944=10),"④一般",IF(AND($A1944=31,$AJ1944=41),"⑤短期","対象外")))))</f>
        <v/>
      </c>
      <c r="DC1944" s="0" t="str">
        <f aca="false">IF($A1944="","",IF($AB1944&amp;""=設定!$C$4,1,0))</f>
        <v/>
      </c>
    </row>
    <row r="1945" customFormat="false" ht="15" hidden="false" customHeight="false" outlineLevel="0" collapsed="false">
      <c r="DB1945" s="0" t="str">
        <f aca="false">IF($A1945="","",IF($AH1945=20,IF(AND(OR($A1945=21,$A1945=215),$AJ1945=10),"①病院一般",IF(AND($A1945=31,$AJ1945=41),"②病院短期","対象外")),IF($AJ1945=30,"③特定消防",IF(AND(OR($A1945=21,$A1945=215),$AJ1945=10),"④一般",IF(AND($A1945=31,$AJ1945=41),"⑤短期","対象外")))))</f>
        <v/>
      </c>
      <c r="DC1945" s="0" t="str">
        <f aca="false">IF($A1945="","",IF($AB1945&amp;""=設定!$C$4,1,0))</f>
        <v/>
      </c>
    </row>
    <row r="1946" customFormat="false" ht="15" hidden="false" customHeight="false" outlineLevel="0" collapsed="false">
      <c r="DB1946" s="0" t="str">
        <f aca="false">IF($A1946="","",IF($AH1946=20,IF(AND(OR($A1946=21,$A1946=215),$AJ1946=10),"①病院一般",IF(AND($A1946=31,$AJ1946=41),"②病院短期","対象外")),IF($AJ1946=30,"③特定消防",IF(AND(OR($A1946=21,$A1946=215),$AJ1946=10),"④一般",IF(AND($A1946=31,$AJ1946=41),"⑤短期","対象外")))))</f>
        <v/>
      </c>
      <c r="DC1946" s="0" t="str">
        <f aca="false">IF($A1946="","",IF($AB1946&amp;""=設定!$C$4,1,0))</f>
        <v/>
      </c>
    </row>
    <row r="1947" customFormat="false" ht="15" hidden="false" customHeight="false" outlineLevel="0" collapsed="false">
      <c r="DB1947" s="0" t="str">
        <f aca="false">IF($A1947="","",IF($AH1947=20,IF(AND(OR($A1947=21,$A1947=215),$AJ1947=10),"①病院一般",IF(AND($A1947=31,$AJ1947=41),"②病院短期","対象外")),IF($AJ1947=30,"③特定消防",IF(AND(OR($A1947=21,$A1947=215),$AJ1947=10),"④一般",IF(AND($A1947=31,$AJ1947=41),"⑤短期","対象外")))))</f>
        <v/>
      </c>
      <c r="DC1947" s="0" t="str">
        <f aca="false">IF($A1947="","",IF($AB1947&amp;""=設定!$C$4,1,0))</f>
        <v/>
      </c>
    </row>
    <row r="1948" customFormat="false" ht="15" hidden="false" customHeight="false" outlineLevel="0" collapsed="false">
      <c r="DB1948" s="0" t="str">
        <f aca="false">IF($A1948="","",IF($AH1948=20,IF(AND(OR($A1948=21,$A1948=215),$AJ1948=10),"①病院一般",IF(AND($A1948=31,$AJ1948=41),"②病院短期","対象外")),IF($AJ1948=30,"③特定消防",IF(AND(OR($A1948=21,$A1948=215),$AJ1948=10),"④一般",IF(AND($A1948=31,$AJ1948=41),"⑤短期","対象外")))))</f>
        <v/>
      </c>
      <c r="DC1948" s="0" t="str">
        <f aca="false">IF($A1948="","",IF($AB1948&amp;""=設定!$C$4,1,0))</f>
        <v/>
      </c>
    </row>
    <row r="1949" customFormat="false" ht="15" hidden="false" customHeight="false" outlineLevel="0" collapsed="false">
      <c r="DB1949" s="0" t="str">
        <f aca="false">IF($A1949="","",IF($AH1949=20,IF(AND(OR($A1949=21,$A1949=215),$AJ1949=10),"①病院一般",IF(AND($A1949=31,$AJ1949=41),"②病院短期","対象外")),IF($AJ1949=30,"③特定消防",IF(AND(OR($A1949=21,$A1949=215),$AJ1949=10),"④一般",IF(AND($A1949=31,$AJ1949=41),"⑤短期","対象外")))))</f>
        <v/>
      </c>
      <c r="DC1949" s="0" t="str">
        <f aca="false">IF($A1949="","",IF($AB1949&amp;""=設定!$C$4,1,0))</f>
        <v/>
      </c>
    </row>
    <row r="1950" customFormat="false" ht="15" hidden="false" customHeight="false" outlineLevel="0" collapsed="false">
      <c r="DB1950" s="0" t="str">
        <f aca="false">IF($A1950="","",IF($AH1950=20,IF(AND(OR($A1950=21,$A1950=215),$AJ1950=10),"①病院一般",IF(AND($A1950=31,$AJ1950=41),"②病院短期","対象外")),IF($AJ1950=30,"③特定消防",IF(AND(OR($A1950=21,$A1950=215),$AJ1950=10),"④一般",IF(AND($A1950=31,$AJ1950=41),"⑤短期","対象外")))))</f>
        <v/>
      </c>
      <c r="DC1950" s="0" t="str">
        <f aca="false">IF($A1950="","",IF($AB1950&amp;""=設定!$C$4,1,0))</f>
        <v/>
      </c>
    </row>
    <row r="1951" customFormat="false" ht="15" hidden="false" customHeight="false" outlineLevel="0" collapsed="false">
      <c r="DB1951" s="0" t="str">
        <f aca="false">IF($A1951="","",IF($AH1951=20,IF(AND(OR($A1951=21,$A1951=215),$AJ1951=10),"①病院一般",IF(AND($A1951=31,$AJ1951=41),"②病院短期","対象外")),IF($AJ1951=30,"③特定消防",IF(AND(OR($A1951=21,$A1951=215),$AJ1951=10),"④一般",IF(AND($A1951=31,$AJ1951=41),"⑤短期","対象外")))))</f>
        <v/>
      </c>
      <c r="DC1951" s="0" t="str">
        <f aca="false">IF($A1951="","",IF($AB1951&amp;""=設定!$C$4,1,0))</f>
        <v/>
      </c>
    </row>
    <row r="1952" customFormat="false" ht="15" hidden="false" customHeight="false" outlineLevel="0" collapsed="false">
      <c r="DB1952" s="0" t="str">
        <f aca="false">IF($A1952="","",IF($AH1952=20,IF(AND(OR($A1952=21,$A1952=215),$AJ1952=10),"①病院一般",IF(AND($A1952=31,$AJ1952=41),"②病院短期","対象外")),IF($AJ1952=30,"③特定消防",IF(AND(OR($A1952=21,$A1952=215),$AJ1952=10),"④一般",IF(AND($A1952=31,$AJ1952=41),"⑤短期","対象外")))))</f>
        <v/>
      </c>
      <c r="DC1952" s="0" t="str">
        <f aca="false">IF($A1952="","",IF($AB1952&amp;""=設定!$C$4,1,0))</f>
        <v/>
      </c>
    </row>
    <row r="1953" customFormat="false" ht="15" hidden="false" customHeight="false" outlineLevel="0" collapsed="false">
      <c r="DB1953" s="0" t="str">
        <f aca="false">IF($A1953="","",IF($AH1953=20,IF(AND(OR($A1953=21,$A1953=215),$AJ1953=10),"①病院一般",IF(AND($A1953=31,$AJ1953=41),"②病院短期","対象外")),IF($AJ1953=30,"③特定消防",IF(AND(OR($A1953=21,$A1953=215),$AJ1953=10),"④一般",IF(AND($A1953=31,$AJ1953=41),"⑤短期","対象外")))))</f>
        <v/>
      </c>
      <c r="DC1953" s="0" t="str">
        <f aca="false">IF($A1953="","",IF($AB1953&amp;""=設定!$C$4,1,0))</f>
        <v/>
      </c>
    </row>
    <row r="1954" customFormat="false" ht="15" hidden="false" customHeight="false" outlineLevel="0" collapsed="false">
      <c r="DB1954" s="0" t="str">
        <f aca="false">IF($A1954="","",IF($AH1954=20,IF(AND(OR($A1954=21,$A1954=215),$AJ1954=10),"①病院一般",IF(AND($A1954=31,$AJ1954=41),"②病院短期","対象外")),IF($AJ1954=30,"③特定消防",IF(AND(OR($A1954=21,$A1954=215),$AJ1954=10),"④一般",IF(AND($A1954=31,$AJ1954=41),"⑤短期","対象外")))))</f>
        <v/>
      </c>
      <c r="DC1954" s="0" t="str">
        <f aca="false">IF($A1954="","",IF($AB1954&amp;""=設定!$C$4,1,0))</f>
        <v/>
      </c>
    </row>
    <row r="1955" customFormat="false" ht="15" hidden="false" customHeight="false" outlineLevel="0" collapsed="false">
      <c r="DB1955" s="0" t="str">
        <f aca="false">IF($A1955="","",IF($AH1955=20,IF(AND(OR($A1955=21,$A1955=215),$AJ1955=10),"①病院一般",IF(AND($A1955=31,$AJ1955=41),"②病院短期","対象外")),IF($AJ1955=30,"③特定消防",IF(AND(OR($A1955=21,$A1955=215),$AJ1955=10),"④一般",IF(AND($A1955=31,$AJ1955=41),"⑤短期","対象外")))))</f>
        <v/>
      </c>
      <c r="DC1955" s="0" t="str">
        <f aca="false">IF($A1955="","",IF($AB1955&amp;""=設定!$C$4,1,0))</f>
        <v/>
      </c>
    </row>
    <row r="1956" customFormat="false" ht="15" hidden="false" customHeight="false" outlineLevel="0" collapsed="false">
      <c r="DB1956" s="0" t="str">
        <f aca="false">IF($A1956="","",IF($AH1956=20,IF(AND(OR($A1956=21,$A1956=215),$AJ1956=10),"①病院一般",IF(AND($A1956=31,$AJ1956=41),"②病院短期","対象外")),IF($AJ1956=30,"③特定消防",IF(AND(OR($A1956=21,$A1956=215),$AJ1956=10),"④一般",IF(AND($A1956=31,$AJ1956=41),"⑤短期","対象外")))))</f>
        <v/>
      </c>
      <c r="DC1956" s="0" t="str">
        <f aca="false">IF($A1956="","",IF($AB1956&amp;""=設定!$C$4,1,0))</f>
        <v/>
      </c>
    </row>
    <row r="1957" customFormat="false" ht="15" hidden="false" customHeight="false" outlineLevel="0" collapsed="false">
      <c r="DB1957" s="0" t="str">
        <f aca="false">IF($A1957="","",IF($AH1957=20,IF(AND(OR($A1957=21,$A1957=215),$AJ1957=10),"①病院一般",IF(AND($A1957=31,$AJ1957=41),"②病院短期","対象外")),IF($AJ1957=30,"③特定消防",IF(AND(OR($A1957=21,$A1957=215),$AJ1957=10),"④一般",IF(AND($A1957=31,$AJ1957=41),"⑤短期","対象外")))))</f>
        <v/>
      </c>
      <c r="DC1957" s="0" t="str">
        <f aca="false">IF($A1957="","",IF($AB1957&amp;""=設定!$C$4,1,0))</f>
        <v/>
      </c>
    </row>
    <row r="1958" customFormat="false" ht="15" hidden="false" customHeight="false" outlineLevel="0" collapsed="false">
      <c r="DB1958" s="0" t="str">
        <f aca="false">IF($A1958="","",IF($AH1958=20,IF(AND(OR($A1958=21,$A1958=215),$AJ1958=10),"①病院一般",IF(AND($A1958=31,$AJ1958=41),"②病院短期","対象外")),IF($AJ1958=30,"③特定消防",IF(AND(OR($A1958=21,$A1958=215),$AJ1958=10),"④一般",IF(AND($A1958=31,$AJ1958=41),"⑤短期","対象外")))))</f>
        <v/>
      </c>
      <c r="DC1958" s="0" t="str">
        <f aca="false">IF($A1958="","",IF($AB1958&amp;""=設定!$C$4,1,0))</f>
        <v/>
      </c>
    </row>
    <row r="1959" customFormat="false" ht="15" hidden="false" customHeight="false" outlineLevel="0" collapsed="false">
      <c r="DB1959" s="0" t="str">
        <f aca="false">IF($A1959="","",IF($AH1959=20,IF(AND(OR($A1959=21,$A1959=215),$AJ1959=10),"①病院一般",IF(AND($A1959=31,$AJ1959=41),"②病院短期","対象外")),IF($AJ1959=30,"③特定消防",IF(AND(OR($A1959=21,$A1959=215),$AJ1959=10),"④一般",IF(AND($A1959=31,$AJ1959=41),"⑤短期","対象外")))))</f>
        <v/>
      </c>
      <c r="DC1959" s="0" t="str">
        <f aca="false">IF($A1959="","",IF($AB1959&amp;""=設定!$C$4,1,0))</f>
        <v/>
      </c>
    </row>
    <row r="1960" customFormat="false" ht="15" hidden="false" customHeight="false" outlineLevel="0" collapsed="false">
      <c r="DB1960" s="0" t="str">
        <f aca="false">IF($A1960="","",IF($AH1960=20,IF(AND(OR($A1960=21,$A1960=215),$AJ1960=10),"①病院一般",IF(AND($A1960=31,$AJ1960=41),"②病院短期","対象外")),IF($AJ1960=30,"③特定消防",IF(AND(OR($A1960=21,$A1960=215),$AJ1960=10),"④一般",IF(AND($A1960=31,$AJ1960=41),"⑤短期","対象外")))))</f>
        <v/>
      </c>
      <c r="DC1960" s="0" t="str">
        <f aca="false">IF($A1960="","",IF($AB1960&amp;""=設定!$C$4,1,0))</f>
        <v/>
      </c>
    </row>
    <row r="1961" customFormat="false" ht="15" hidden="false" customHeight="false" outlineLevel="0" collapsed="false">
      <c r="DB1961" s="0" t="str">
        <f aca="false">IF($A1961="","",IF($AH1961=20,IF(AND(OR($A1961=21,$A1961=215),$AJ1961=10),"①病院一般",IF(AND($A1961=31,$AJ1961=41),"②病院短期","対象外")),IF($AJ1961=30,"③特定消防",IF(AND(OR($A1961=21,$A1961=215),$AJ1961=10),"④一般",IF(AND($A1961=31,$AJ1961=41),"⑤短期","対象外")))))</f>
        <v/>
      </c>
      <c r="DC1961" s="0" t="str">
        <f aca="false">IF($A1961="","",IF($AB1961&amp;""=設定!$C$4,1,0))</f>
        <v/>
      </c>
    </row>
    <row r="1962" customFormat="false" ht="15" hidden="false" customHeight="false" outlineLevel="0" collapsed="false">
      <c r="DB1962" s="0" t="str">
        <f aca="false">IF($A1962="","",IF($AH1962=20,IF(AND(OR($A1962=21,$A1962=215),$AJ1962=10),"①病院一般",IF(AND($A1962=31,$AJ1962=41),"②病院短期","対象外")),IF($AJ1962=30,"③特定消防",IF(AND(OR($A1962=21,$A1962=215),$AJ1962=10),"④一般",IF(AND($A1962=31,$AJ1962=41),"⑤短期","対象外")))))</f>
        <v/>
      </c>
      <c r="DC1962" s="0" t="str">
        <f aca="false">IF($A1962="","",IF($AB1962&amp;""=設定!$C$4,1,0))</f>
        <v/>
      </c>
    </row>
    <row r="1963" customFormat="false" ht="15" hidden="false" customHeight="false" outlineLevel="0" collapsed="false">
      <c r="DB1963" s="0" t="str">
        <f aca="false">IF($A1963="","",IF($AH1963=20,IF(AND(OR($A1963=21,$A1963=215),$AJ1963=10),"①病院一般",IF(AND($A1963=31,$AJ1963=41),"②病院短期","対象外")),IF($AJ1963=30,"③特定消防",IF(AND(OR($A1963=21,$A1963=215),$AJ1963=10),"④一般",IF(AND($A1963=31,$AJ1963=41),"⑤短期","対象外")))))</f>
        <v/>
      </c>
      <c r="DC1963" s="0" t="str">
        <f aca="false">IF($A1963="","",IF($AB1963&amp;""=設定!$C$4,1,0))</f>
        <v/>
      </c>
    </row>
    <row r="1964" customFormat="false" ht="15" hidden="false" customHeight="false" outlineLevel="0" collapsed="false">
      <c r="DB1964" s="0" t="str">
        <f aca="false">IF($A1964="","",IF($AH1964=20,IF(AND(OR($A1964=21,$A1964=215),$AJ1964=10),"①病院一般",IF(AND($A1964=31,$AJ1964=41),"②病院短期","対象外")),IF($AJ1964=30,"③特定消防",IF(AND(OR($A1964=21,$A1964=215),$AJ1964=10),"④一般",IF(AND($A1964=31,$AJ1964=41),"⑤短期","対象外")))))</f>
        <v/>
      </c>
      <c r="DC1964" s="0" t="str">
        <f aca="false">IF($A1964="","",IF($AB1964&amp;""=設定!$C$4,1,0))</f>
        <v/>
      </c>
    </row>
    <row r="1965" customFormat="false" ht="15" hidden="false" customHeight="false" outlineLevel="0" collapsed="false">
      <c r="DB1965" s="0" t="str">
        <f aca="false">IF($A1965="","",IF($AH1965=20,IF(AND(OR($A1965=21,$A1965=215),$AJ1965=10),"①病院一般",IF(AND($A1965=31,$AJ1965=41),"②病院短期","対象外")),IF($AJ1965=30,"③特定消防",IF(AND(OR($A1965=21,$A1965=215),$AJ1965=10),"④一般",IF(AND($A1965=31,$AJ1965=41),"⑤短期","対象外")))))</f>
        <v/>
      </c>
      <c r="DC1965" s="0" t="str">
        <f aca="false">IF($A1965="","",IF($AB1965&amp;""=設定!$C$4,1,0))</f>
        <v/>
      </c>
    </row>
    <row r="1966" customFormat="false" ht="15" hidden="false" customHeight="false" outlineLevel="0" collapsed="false">
      <c r="DB1966" s="0" t="str">
        <f aca="false">IF($A1966="","",IF($AH1966=20,IF(AND(OR($A1966=21,$A1966=215),$AJ1966=10),"①病院一般",IF(AND($A1966=31,$AJ1966=41),"②病院短期","対象外")),IF($AJ1966=30,"③特定消防",IF(AND(OR($A1966=21,$A1966=215),$AJ1966=10),"④一般",IF(AND($A1966=31,$AJ1966=41),"⑤短期","対象外")))))</f>
        <v/>
      </c>
      <c r="DC1966" s="0" t="str">
        <f aca="false">IF($A1966="","",IF($AB1966&amp;""=設定!$C$4,1,0))</f>
        <v/>
      </c>
    </row>
    <row r="1967" customFormat="false" ht="15" hidden="false" customHeight="false" outlineLevel="0" collapsed="false">
      <c r="DB1967" s="0" t="str">
        <f aca="false">IF($A1967="","",IF($AH1967=20,IF(AND(OR($A1967=21,$A1967=215),$AJ1967=10),"①病院一般",IF(AND($A1967=31,$AJ1967=41),"②病院短期","対象外")),IF($AJ1967=30,"③特定消防",IF(AND(OR($A1967=21,$A1967=215),$AJ1967=10),"④一般",IF(AND($A1967=31,$AJ1967=41),"⑤短期","対象外")))))</f>
        <v/>
      </c>
      <c r="DC1967" s="0" t="str">
        <f aca="false">IF($A1967="","",IF($AB1967&amp;""=設定!$C$4,1,0))</f>
        <v/>
      </c>
    </row>
    <row r="1968" customFormat="false" ht="15" hidden="false" customHeight="false" outlineLevel="0" collapsed="false">
      <c r="DB1968" s="0" t="str">
        <f aca="false">IF($A1968="","",IF($AH1968=20,IF(AND(OR($A1968=21,$A1968=215),$AJ1968=10),"①病院一般",IF(AND($A1968=31,$AJ1968=41),"②病院短期","対象外")),IF($AJ1968=30,"③特定消防",IF(AND(OR($A1968=21,$A1968=215),$AJ1968=10),"④一般",IF(AND($A1968=31,$AJ1968=41),"⑤短期","対象外")))))</f>
        <v/>
      </c>
      <c r="DC1968" s="0" t="str">
        <f aca="false">IF($A1968="","",IF($AB1968&amp;""=設定!$C$4,1,0))</f>
        <v/>
      </c>
    </row>
    <row r="1969" customFormat="false" ht="15" hidden="false" customHeight="false" outlineLevel="0" collapsed="false">
      <c r="DB1969" s="0" t="str">
        <f aca="false">IF($A1969="","",IF($AH1969=20,IF(AND(OR($A1969=21,$A1969=215),$AJ1969=10),"①病院一般",IF(AND($A1969=31,$AJ1969=41),"②病院短期","対象外")),IF($AJ1969=30,"③特定消防",IF(AND(OR($A1969=21,$A1969=215),$AJ1969=10),"④一般",IF(AND($A1969=31,$AJ1969=41),"⑤短期","対象外")))))</f>
        <v/>
      </c>
      <c r="DC1969" s="0" t="str">
        <f aca="false">IF($A1969="","",IF($AB1969&amp;""=設定!$C$4,1,0))</f>
        <v/>
      </c>
    </row>
    <row r="1970" customFormat="false" ht="15" hidden="false" customHeight="false" outlineLevel="0" collapsed="false">
      <c r="DB1970" s="0" t="str">
        <f aca="false">IF($A1970="","",IF($AH1970=20,IF(AND(OR($A1970=21,$A1970=215),$AJ1970=10),"①病院一般",IF(AND($A1970=31,$AJ1970=41),"②病院短期","対象外")),IF($AJ1970=30,"③特定消防",IF(AND(OR($A1970=21,$A1970=215),$AJ1970=10),"④一般",IF(AND($A1970=31,$AJ1970=41),"⑤短期","対象外")))))</f>
        <v/>
      </c>
      <c r="DC1970" s="0" t="str">
        <f aca="false">IF($A1970="","",IF($AB1970&amp;""=設定!$C$4,1,0))</f>
        <v/>
      </c>
    </row>
    <row r="1971" customFormat="false" ht="15" hidden="false" customHeight="false" outlineLevel="0" collapsed="false">
      <c r="DB1971" s="0" t="str">
        <f aca="false">IF($A1971="","",IF($AH1971=20,IF(AND(OR($A1971=21,$A1971=215),$AJ1971=10),"①病院一般",IF(AND($A1971=31,$AJ1971=41),"②病院短期","対象外")),IF($AJ1971=30,"③特定消防",IF(AND(OR($A1971=21,$A1971=215),$AJ1971=10),"④一般",IF(AND($A1971=31,$AJ1971=41),"⑤短期","対象外")))))</f>
        <v/>
      </c>
      <c r="DC1971" s="0" t="str">
        <f aca="false">IF($A1971="","",IF($AB1971&amp;""=設定!$C$4,1,0))</f>
        <v/>
      </c>
    </row>
    <row r="1972" customFormat="false" ht="15" hidden="false" customHeight="false" outlineLevel="0" collapsed="false">
      <c r="DB1972" s="0" t="str">
        <f aca="false">IF($A1972="","",IF($AH1972=20,IF(AND(OR($A1972=21,$A1972=215),$AJ1972=10),"①病院一般",IF(AND($A1972=31,$AJ1972=41),"②病院短期","対象外")),IF($AJ1972=30,"③特定消防",IF(AND(OR($A1972=21,$A1972=215),$AJ1972=10),"④一般",IF(AND($A1972=31,$AJ1972=41),"⑤短期","対象外")))))</f>
        <v/>
      </c>
      <c r="DC1972" s="0" t="str">
        <f aca="false">IF($A1972="","",IF($AB1972&amp;""=設定!$C$4,1,0))</f>
        <v/>
      </c>
    </row>
    <row r="1973" customFormat="false" ht="15" hidden="false" customHeight="false" outlineLevel="0" collapsed="false">
      <c r="DB1973" s="0" t="str">
        <f aca="false">IF($A1973="","",IF($AH1973=20,IF(AND(OR($A1973=21,$A1973=215),$AJ1973=10),"①病院一般",IF(AND($A1973=31,$AJ1973=41),"②病院短期","対象外")),IF($AJ1973=30,"③特定消防",IF(AND(OR($A1973=21,$A1973=215),$AJ1973=10),"④一般",IF(AND($A1973=31,$AJ1973=41),"⑤短期","対象外")))))</f>
        <v/>
      </c>
      <c r="DC1973" s="0" t="str">
        <f aca="false">IF($A1973="","",IF($AB1973&amp;""=設定!$C$4,1,0))</f>
        <v/>
      </c>
    </row>
    <row r="1974" customFormat="false" ht="15" hidden="false" customHeight="false" outlineLevel="0" collapsed="false">
      <c r="DB1974" s="0" t="str">
        <f aca="false">IF($A1974="","",IF($AH1974=20,IF(AND(OR($A1974=21,$A1974=215),$AJ1974=10),"①病院一般",IF(AND($A1974=31,$AJ1974=41),"②病院短期","対象外")),IF($AJ1974=30,"③特定消防",IF(AND(OR($A1974=21,$A1974=215),$AJ1974=10),"④一般",IF(AND($A1974=31,$AJ1974=41),"⑤短期","対象外")))))</f>
        <v/>
      </c>
      <c r="DC1974" s="0" t="str">
        <f aca="false">IF($A1974="","",IF($AB1974&amp;""=設定!$C$4,1,0))</f>
        <v/>
      </c>
    </row>
    <row r="1975" customFormat="false" ht="15" hidden="false" customHeight="false" outlineLevel="0" collapsed="false">
      <c r="DB1975" s="0" t="str">
        <f aca="false">IF($A1975="","",IF($AH1975=20,IF(AND(OR($A1975=21,$A1975=215),$AJ1975=10),"①病院一般",IF(AND($A1975=31,$AJ1975=41),"②病院短期","対象外")),IF($AJ1975=30,"③特定消防",IF(AND(OR($A1975=21,$A1975=215),$AJ1975=10),"④一般",IF(AND($A1975=31,$AJ1975=41),"⑤短期","対象外")))))</f>
        <v/>
      </c>
      <c r="DC1975" s="0" t="str">
        <f aca="false">IF($A1975="","",IF($AB1975&amp;""=設定!$C$4,1,0))</f>
        <v/>
      </c>
    </row>
    <row r="1976" customFormat="false" ht="15" hidden="false" customHeight="false" outlineLevel="0" collapsed="false">
      <c r="DB1976" s="0" t="str">
        <f aca="false">IF($A1976="","",IF($AH1976=20,IF(AND(OR($A1976=21,$A1976=215),$AJ1976=10),"①病院一般",IF(AND($A1976=31,$AJ1976=41),"②病院短期","対象外")),IF($AJ1976=30,"③特定消防",IF(AND(OR($A1976=21,$A1976=215),$AJ1976=10),"④一般",IF(AND($A1976=31,$AJ1976=41),"⑤短期","対象外")))))</f>
        <v/>
      </c>
      <c r="DC1976" s="0" t="str">
        <f aca="false">IF($A1976="","",IF($AB1976&amp;""=設定!$C$4,1,0))</f>
        <v/>
      </c>
    </row>
    <row r="1977" customFormat="false" ht="15" hidden="false" customHeight="false" outlineLevel="0" collapsed="false">
      <c r="DB1977" s="0" t="str">
        <f aca="false">IF($A1977="","",IF($AH1977=20,IF(AND(OR($A1977=21,$A1977=215),$AJ1977=10),"①病院一般",IF(AND($A1977=31,$AJ1977=41),"②病院短期","対象外")),IF($AJ1977=30,"③特定消防",IF(AND(OR($A1977=21,$A1977=215),$AJ1977=10),"④一般",IF(AND($A1977=31,$AJ1977=41),"⑤短期","対象外")))))</f>
        <v/>
      </c>
      <c r="DC1977" s="0" t="str">
        <f aca="false">IF($A1977="","",IF($AB1977&amp;""=設定!$C$4,1,0))</f>
        <v/>
      </c>
    </row>
    <row r="1978" customFormat="false" ht="15" hidden="false" customHeight="false" outlineLevel="0" collapsed="false">
      <c r="DB1978" s="0" t="str">
        <f aca="false">IF($A1978="","",IF($AH1978=20,IF(AND(OR($A1978=21,$A1978=215),$AJ1978=10),"①病院一般",IF(AND($A1978=31,$AJ1978=41),"②病院短期","対象外")),IF($AJ1978=30,"③特定消防",IF(AND(OR($A1978=21,$A1978=215),$AJ1978=10),"④一般",IF(AND($A1978=31,$AJ1978=41),"⑤短期","対象外")))))</f>
        <v/>
      </c>
      <c r="DC1978" s="0" t="str">
        <f aca="false">IF($A1978="","",IF($AB1978&amp;""=設定!$C$4,1,0))</f>
        <v/>
      </c>
    </row>
    <row r="1979" customFormat="false" ht="15" hidden="false" customHeight="false" outlineLevel="0" collapsed="false">
      <c r="DB1979" s="0" t="str">
        <f aca="false">IF($A1979="","",IF($AH1979=20,IF(AND(OR($A1979=21,$A1979=215),$AJ1979=10),"①病院一般",IF(AND($A1979=31,$AJ1979=41),"②病院短期","対象外")),IF($AJ1979=30,"③特定消防",IF(AND(OR($A1979=21,$A1979=215),$AJ1979=10),"④一般",IF(AND($A1979=31,$AJ1979=41),"⑤短期","対象外")))))</f>
        <v/>
      </c>
      <c r="DC1979" s="0" t="str">
        <f aca="false">IF($A1979="","",IF($AB1979&amp;""=設定!$C$4,1,0))</f>
        <v/>
      </c>
    </row>
    <row r="1980" customFormat="false" ht="15" hidden="false" customHeight="false" outlineLevel="0" collapsed="false">
      <c r="DB1980" s="0" t="str">
        <f aca="false">IF($A1980="","",IF($AH1980=20,IF(AND(OR($A1980=21,$A1980=215),$AJ1980=10),"①病院一般",IF(AND($A1980=31,$AJ1980=41),"②病院短期","対象外")),IF($AJ1980=30,"③特定消防",IF(AND(OR($A1980=21,$A1980=215),$AJ1980=10),"④一般",IF(AND($A1980=31,$AJ1980=41),"⑤短期","対象外")))))</f>
        <v/>
      </c>
      <c r="DC1980" s="0" t="str">
        <f aca="false">IF($A1980="","",IF($AB1980&amp;""=設定!$C$4,1,0))</f>
        <v/>
      </c>
    </row>
    <row r="1981" customFormat="false" ht="15" hidden="false" customHeight="false" outlineLevel="0" collapsed="false">
      <c r="DB1981" s="0" t="str">
        <f aca="false">IF($A1981="","",IF($AH1981=20,IF(AND(OR($A1981=21,$A1981=215),$AJ1981=10),"①病院一般",IF(AND($A1981=31,$AJ1981=41),"②病院短期","対象外")),IF($AJ1981=30,"③特定消防",IF(AND(OR($A1981=21,$A1981=215),$AJ1981=10),"④一般",IF(AND($A1981=31,$AJ1981=41),"⑤短期","対象外")))))</f>
        <v/>
      </c>
      <c r="DC1981" s="0" t="str">
        <f aca="false">IF($A1981="","",IF($AB1981&amp;""=設定!$C$4,1,0))</f>
        <v/>
      </c>
    </row>
    <row r="1982" customFormat="false" ht="15" hidden="false" customHeight="false" outlineLevel="0" collapsed="false">
      <c r="DB1982" s="0" t="str">
        <f aca="false">IF($A1982="","",IF($AH1982=20,IF(AND(OR($A1982=21,$A1982=215),$AJ1982=10),"①病院一般",IF(AND($A1982=31,$AJ1982=41),"②病院短期","対象外")),IF($AJ1982=30,"③特定消防",IF(AND(OR($A1982=21,$A1982=215),$AJ1982=10),"④一般",IF(AND($A1982=31,$AJ1982=41),"⑤短期","対象外")))))</f>
        <v/>
      </c>
      <c r="DC1982" s="0" t="str">
        <f aca="false">IF($A1982="","",IF($AB1982&amp;""=設定!$C$4,1,0))</f>
        <v/>
      </c>
    </row>
    <row r="1983" customFormat="false" ht="15" hidden="false" customHeight="false" outlineLevel="0" collapsed="false">
      <c r="DB1983" s="0" t="str">
        <f aca="false">IF($A1983="","",IF($AH1983=20,IF(AND(OR($A1983=21,$A1983=215),$AJ1983=10),"①病院一般",IF(AND($A1983=31,$AJ1983=41),"②病院短期","対象外")),IF($AJ1983=30,"③特定消防",IF(AND(OR($A1983=21,$A1983=215),$AJ1983=10),"④一般",IF(AND($A1983=31,$AJ1983=41),"⑤短期","対象外")))))</f>
        <v/>
      </c>
      <c r="DC1983" s="0" t="str">
        <f aca="false">IF($A1983="","",IF($AB1983&amp;""=設定!$C$4,1,0))</f>
        <v/>
      </c>
    </row>
    <row r="1984" customFormat="false" ht="15" hidden="false" customHeight="false" outlineLevel="0" collapsed="false">
      <c r="DB1984" s="0" t="str">
        <f aca="false">IF($A1984="","",IF($AH1984=20,IF(AND(OR($A1984=21,$A1984=215),$AJ1984=10),"①病院一般",IF(AND($A1984=31,$AJ1984=41),"②病院短期","対象外")),IF($AJ1984=30,"③特定消防",IF(AND(OR($A1984=21,$A1984=215),$AJ1984=10),"④一般",IF(AND($A1984=31,$AJ1984=41),"⑤短期","対象外")))))</f>
        <v/>
      </c>
      <c r="DC1984" s="0" t="str">
        <f aca="false">IF($A1984="","",IF($AB1984&amp;""=設定!$C$4,1,0))</f>
        <v/>
      </c>
    </row>
    <row r="1985" customFormat="false" ht="15" hidden="false" customHeight="false" outlineLevel="0" collapsed="false">
      <c r="DB1985" s="0" t="str">
        <f aca="false">IF($A1985="","",IF($AH1985=20,IF(AND(OR($A1985=21,$A1985=215),$AJ1985=10),"①病院一般",IF(AND($A1985=31,$AJ1985=41),"②病院短期","対象外")),IF($AJ1985=30,"③特定消防",IF(AND(OR($A1985=21,$A1985=215),$AJ1985=10),"④一般",IF(AND($A1985=31,$AJ1985=41),"⑤短期","対象外")))))</f>
        <v/>
      </c>
      <c r="DC1985" s="0" t="str">
        <f aca="false">IF($A1985="","",IF($AB1985&amp;""=設定!$C$4,1,0))</f>
        <v/>
      </c>
    </row>
    <row r="1986" customFormat="false" ht="15" hidden="false" customHeight="false" outlineLevel="0" collapsed="false">
      <c r="DB1986" s="0" t="str">
        <f aca="false">IF($A1986="","",IF($AH1986=20,IF(AND(OR($A1986=21,$A1986=215),$AJ1986=10),"①病院一般",IF(AND($A1986=31,$AJ1986=41),"②病院短期","対象外")),IF($AJ1986=30,"③特定消防",IF(AND(OR($A1986=21,$A1986=215),$AJ1986=10),"④一般",IF(AND($A1986=31,$AJ1986=41),"⑤短期","対象外")))))</f>
        <v/>
      </c>
      <c r="DC1986" s="0" t="str">
        <f aca="false">IF($A1986="","",IF($AB1986&amp;""=設定!$C$4,1,0))</f>
        <v/>
      </c>
    </row>
    <row r="1987" customFormat="false" ht="15" hidden="false" customHeight="false" outlineLevel="0" collapsed="false">
      <c r="DB1987" s="0" t="str">
        <f aca="false">IF($A1987="","",IF($AH1987=20,IF(AND(OR($A1987=21,$A1987=215),$AJ1987=10),"①病院一般",IF(AND($A1987=31,$AJ1987=41),"②病院短期","対象外")),IF($AJ1987=30,"③特定消防",IF(AND(OR($A1987=21,$A1987=215),$AJ1987=10),"④一般",IF(AND($A1987=31,$AJ1987=41),"⑤短期","対象外")))))</f>
        <v/>
      </c>
      <c r="DC1987" s="0" t="str">
        <f aca="false">IF($A1987="","",IF($AB1987&amp;""=設定!$C$4,1,0))</f>
        <v/>
      </c>
    </row>
    <row r="1988" customFormat="false" ht="15" hidden="false" customHeight="false" outlineLevel="0" collapsed="false">
      <c r="DB1988" s="0" t="str">
        <f aca="false">IF($A1988="","",IF($AH1988=20,IF(AND(OR($A1988=21,$A1988=215),$AJ1988=10),"①病院一般",IF(AND($A1988=31,$AJ1988=41),"②病院短期","対象外")),IF($AJ1988=30,"③特定消防",IF(AND(OR($A1988=21,$A1988=215),$AJ1988=10),"④一般",IF(AND($A1988=31,$AJ1988=41),"⑤短期","対象外")))))</f>
        <v/>
      </c>
      <c r="DC1988" s="0" t="str">
        <f aca="false">IF($A1988="","",IF($AB1988&amp;""=設定!$C$4,1,0))</f>
        <v/>
      </c>
    </row>
    <row r="1989" customFormat="false" ht="15" hidden="false" customHeight="false" outlineLevel="0" collapsed="false">
      <c r="DB1989" s="0" t="str">
        <f aca="false">IF($A1989="","",IF($AH1989=20,IF(AND(OR($A1989=21,$A1989=215),$AJ1989=10),"①病院一般",IF(AND($A1989=31,$AJ1989=41),"②病院短期","対象外")),IF($AJ1989=30,"③特定消防",IF(AND(OR($A1989=21,$A1989=215),$AJ1989=10),"④一般",IF(AND($A1989=31,$AJ1989=41),"⑤短期","対象外")))))</f>
        <v/>
      </c>
      <c r="DC1989" s="0" t="str">
        <f aca="false">IF($A1989="","",IF($AB1989&amp;""=設定!$C$4,1,0))</f>
        <v/>
      </c>
    </row>
    <row r="1990" customFormat="false" ht="15" hidden="false" customHeight="false" outlineLevel="0" collapsed="false">
      <c r="DB1990" s="0" t="str">
        <f aca="false">IF($A1990="","",IF($AH1990=20,IF(AND(OR($A1990=21,$A1990=215),$AJ1990=10),"①病院一般",IF(AND($A1990=31,$AJ1990=41),"②病院短期","対象外")),IF($AJ1990=30,"③特定消防",IF(AND(OR($A1990=21,$A1990=215),$AJ1990=10),"④一般",IF(AND($A1990=31,$AJ1990=41),"⑤短期","対象外")))))</f>
        <v/>
      </c>
      <c r="DC1990" s="0" t="str">
        <f aca="false">IF($A1990="","",IF($AB1990&amp;""=設定!$C$4,1,0))</f>
        <v/>
      </c>
    </row>
    <row r="1991" customFormat="false" ht="15" hidden="false" customHeight="false" outlineLevel="0" collapsed="false">
      <c r="DB1991" s="0" t="str">
        <f aca="false">IF($A1991="","",IF($AH1991=20,IF(AND(OR($A1991=21,$A1991=215),$AJ1991=10),"①病院一般",IF(AND($A1991=31,$AJ1991=41),"②病院短期","対象外")),IF($AJ1991=30,"③特定消防",IF(AND(OR($A1991=21,$A1991=215),$AJ1991=10),"④一般",IF(AND($A1991=31,$AJ1991=41),"⑤短期","対象外")))))</f>
        <v/>
      </c>
      <c r="DC1991" s="0" t="str">
        <f aca="false">IF($A1991="","",IF($AB1991&amp;""=設定!$C$4,1,0))</f>
        <v/>
      </c>
    </row>
    <row r="1992" customFormat="false" ht="15" hidden="false" customHeight="false" outlineLevel="0" collapsed="false">
      <c r="DB1992" s="0" t="str">
        <f aca="false">IF($A1992="","",IF($AH1992=20,IF(AND(OR($A1992=21,$A1992=215),$AJ1992=10),"①病院一般",IF(AND($A1992=31,$AJ1992=41),"②病院短期","対象外")),IF($AJ1992=30,"③特定消防",IF(AND(OR($A1992=21,$A1992=215),$AJ1992=10),"④一般",IF(AND($A1992=31,$AJ1992=41),"⑤短期","対象外")))))</f>
        <v/>
      </c>
      <c r="DC1992" s="0" t="str">
        <f aca="false">IF($A1992="","",IF($AB1992&amp;""=設定!$C$4,1,0))</f>
        <v/>
      </c>
    </row>
    <row r="1993" customFormat="false" ht="15" hidden="false" customHeight="false" outlineLevel="0" collapsed="false">
      <c r="DB1993" s="0" t="str">
        <f aca="false">IF($A1993="","",IF($AH1993=20,IF(AND(OR($A1993=21,$A1993=215),$AJ1993=10),"①病院一般",IF(AND($A1993=31,$AJ1993=41),"②病院短期","対象外")),IF($AJ1993=30,"③特定消防",IF(AND(OR($A1993=21,$A1993=215),$AJ1993=10),"④一般",IF(AND($A1993=31,$AJ1993=41),"⑤短期","対象外")))))</f>
        <v/>
      </c>
      <c r="DC1993" s="0" t="str">
        <f aca="false">IF($A1993="","",IF($AB1993&amp;""=設定!$C$4,1,0))</f>
        <v/>
      </c>
    </row>
    <row r="1994" customFormat="false" ht="15" hidden="false" customHeight="false" outlineLevel="0" collapsed="false">
      <c r="DB1994" s="0" t="str">
        <f aca="false">IF($A1994="","",IF($AH1994=20,IF(AND(OR($A1994=21,$A1994=215),$AJ1994=10),"①病院一般",IF(AND($A1994=31,$AJ1994=41),"②病院短期","対象外")),IF($AJ1994=30,"③特定消防",IF(AND(OR($A1994=21,$A1994=215),$AJ1994=10),"④一般",IF(AND($A1994=31,$AJ1994=41),"⑤短期","対象外")))))</f>
        <v/>
      </c>
      <c r="DC1994" s="0" t="str">
        <f aca="false">IF($A1994="","",IF($AB1994&amp;""=設定!$C$4,1,0))</f>
        <v/>
      </c>
    </row>
    <row r="1995" customFormat="false" ht="15" hidden="false" customHeight="false" outlineLevel="0" collapsed="false">
      <c r="DB1995" s="0" t="str">
        <f aca="false">IF($A1995="","",IF($AH1995=20,IF(AND(OR($A1995=21,$A1995=215),$AJ1995=10),"①病院一般",IF(AND($A1995=31,$AJ1995=41),"②病院短期","対象外")),IF($AJ1995=30,"③特定消防",IF(AND(OR($A1995=21,$A1995=215),$AJ1995=10),"④一般",IF(AND($A1995=31,$AJ1995=41),"⑤短期","対象外")))))</f>
        <v/>
      </c>
      <c r="DC1995" s="0" t="str">
        <f aca="false">IF($A1995="","",IF($AB1995&amp;""=設定!$C$4,1,0))</f>
        <v/>
      </c>
    </row>
    <row r="1996" customFormat="false" ht="15" hidden="false" customHeight="false" outlineLevel="0" collapsed="false">
      <c r="DB1996" s="0" t="str">
        <f aca="false">IF($A1996="","",IF($AH1996=20,IF(AND(OR($A1996=21,$A1996=215),$AJ1996=10),"①病院一般",IF(AND($A1996=31,$AJ1996=41),"②病院短期","対象外")),IF($AJ1996=30,"③特定消防",IF(AND(OR($A1996=21,$A1996=215),$AJ1996=10),"④一般",IF(AND($A1996=31,$AJ1996=41),"⑤短期","対象外")))))</f>
        <v/>
      </c>
      <c r="DC1996" s="0" t="str">
        <f aca="false">IF($A1996="","",IF($AB1996&amp;""=設定!$C$4,1,0))</f>
        <v/>
      </c>
    </row>
    <row r="1997" customFormat="false" ht="15" hidden="false" customHeight="false" outlineLevel="0" collapsed="false">
      <c r="DB1997" s="0" t="str">
        <f aca="false">IF($A1997="","",IF($AH1997=20,IF(AND(OR($A1997=21,$A1997=215),$AJ1997=10),"①病院一般",IF(AND($A1997=31,$AJ1997=41),"②病院短期","対象外")),IF($AJ1997=30,"③特定消防",IF(AND(OR($A1997=21,$A1997=215),$AJ1997=10),"④一般",IF(AND($A1997=31,$AJ1997=41),"⑤短期","対象外")))))</f>
        <v/>
      </c>
      <c r="DC1997" s="0" t="str">
        <f aca="false">IF($A1997="","",IF($AB1997&amp;""=設定!$C$4,1,0))</f>
        <v/>
      </c>
    </row>
    <row r="1998" customFormat="false" ht="15" hidden="false" customHeight="false" outlineLevel="0" collapsed="false">
      <c r="DB1998" s="0" t="str">
        <f aca="false">IF($A1998="","",IF($AH1998=20,IF(AND(OR($A1998=21,$A1998=215),$AJ1998=10),"①病院一般",IF(AND($A1998=31,$AJ1998=41),"②病院短期","対象外")),IF($AJ1998=30,"③特定消防",IF(AND(OR($A1998=21,$A1998=215),$AJ1998=10),"④一般",IF(AND($A1998=31,$AJ1998=41),"⑤短期","対象外")))))</f>
        <v/>
      </c>
      <c r="DC1998" s="0" t="str">
        <f aca="false">IF($A1998="","",IF($AB1998&amp;""=設定!$C$4,1,0))</f>
        <v/>
      </c>
    </row>
    <row r="1999" customFormat="false" ht="15" hidden="false" customHeight="false" outlineLevel="0" collapsed="false">
      <c r="DB1999" s="0" t="str">
        <f aca="false">IF($A1999="","",IF($AH1999=20,IF(AND(OR($A1999=21,$A1999=215),$AJ1999=10),"①病院一般",IF(AND($A1999=31,$AJ1999=41),"②病院短期","対象外")),IF($AJ1999=30,"③特定消防",IF(AND(OR($A1999=21,$A1999=215),$AJ1999=10),"④一般",IF(AND($A1999=31,$AJ1999=41),"⑤短期","対象外")))))</f>
        <v/>
      </c>
      <c r="DC1999" s="0" t="str">
        <f aca="false">IF($A1999="","",IF($AB1999&amp;""=設定!$C$4,1,0))</f>
        <v/>
      </c>
    </row>
    <row r="2000" customFormat="false" ht="15" hidden="false" customHeight="false" outlineLevel="0" collapsed="false">
      <c r="DB2000" s="0" t="str">
        <f aca="false">IF($A2000="","",IF($AH2000=20,IF(AND(OR($A2000=21,$A2000=215),$AJ2000=10),"①病院一般",IF(AND($A2000=31,$AJ2000=41),"②病院短期","対象外")),IF($AJ2000=30,"③特定消防",IF(AND(OR($A2000=21,$A2000=215),$AJ2000=10),"④一般",IF(AND($A2000=31,$AJ2000=41),"⑤短期","対象外")))))</f>
        <v/>
      </c>
      <c r="DC2000" s="0" t="str">
        <f aca="false">IF($A2000="","",IF($AB2000&amp;""=設定!$C$4,1,0))</f>
        <v/>
      </c>
    </row>
    <row r="2001" customFormat="false" ht="15" hidden="false" customHeight="false" outlineLevel="0" collapsed="false">
      <c r="DB2001" s="0" t="str">
        <f aca="false">IF($A2001="","",IF($AH2001=20,IF(AND(OR($A2001=21,$A2001=215),$AJ2001=10),"①病院一般",IF(AND($A2001=31,$AJ2001=41),"②病院短期","対象外")),IF($AJ2001=30,"③特定消防",IF(AND(OR($A2001=21,$A2001=215),$AJ2001=10),"④一般",IF(AND($A2001=31,$AJ2001=41),"⑤短期","対象外")))))</f>
        <v/>
      </c>
      <c r="DC2001" s="0" t="str">
        <f aca="false">IF($A2001="","",IF($AB2001&amp;""=設定!$C$4,1,0))</f>
        <v/>
      </c>
    </row>
    <row r="2002" customFormat="false" ht="15" hidden="false" customHeight="false" outlineLevel="0" collapsed="false">
      <c r="DB2002" s="0" t="str">
        <f aca="false">IF($A2002="","",IF($AH2002=20,IF(AND(OR($A2002=21,$A2002=215),$AJ2002=10),"①病院一般",IF(AND($A2002=31,$AJ2002=41),"②病院短期","対象外")),IF($AJ2002=30,"③特定消防",IF(AND(OR($A2002=21,$A2002=215),$AJ2002=10),"④一般",IF(AND($A2002=31,$AJ2002=41),"⑤短期","対象外")))))</f>
        <v/>
      </c>
      <c r="DC2002" s="0" t="str">
        <f aca="false">IF($A2002="","",IF($AB2002&amp;""=設定!$C$4,1,0))</f>
        <v/>
      </c>
    </row>
    <row r="2003" customFormat="false" ht="15" hidden="false" customHeight="false" outlineLevel="0" collapsed="false">
      <c r="DB2003" s="0" t="str">
        <f aca="false">IF($A2003="","",IF($AH2003=20,IF(AND(OR($A2003=21,$A2003=215),$AJ2003=10),"①病院一般",IF(AND($A2003=31,$AJ2003=41),"②病院短期","対象外")),IF($AJ2003=30,"③特定消防",IF(AND(OR($A2003=21,$A2003=215),$AJ2003=10),"④一般",IF(AND($A2003=31,$AJ2003=41),"⑤短期","対象外")))))</f>
        <v/>
      </c>
      <c r="DC2003" s="0" t="str">
        <f aca="false">IF($A2003="","",IF($AB2003&amp;""=設定!$C$4,1,0))</f>
        <v/>
      </c>
    </row>
    <row r="2004" customFormat="false" ht="15" hidden="false" customHeight="false" outlineLevel="0" collapsed="false">
      <c r="DB2004" s="0" t="str">
        <f aca="false">IF($A2004="","",IF($AH2004=20,IF(AND(OR($A2004=21,$A2004=215),$AJ2004=10),"①病院一般",IF(AND($A2004=31,$AJ2004=41),"②病院短期","対象外")),IF($AJ2004=30,"③特定消防",IF(AND(OR($A2004=21,$A2004=215),$AJ2004=10),"④一般",IF(AND($A2004=31,$AJ2004=41),"⑤短期","対象外")))))</f>
        <v/>
      </c>
      <c r="DC2004" s="0" t="str">
        <f aca="false">IF($A2004="","",IF($AB2004&amp;""=設定!$C$4,1,0))</f>
        <v/>
      </c>
    </row>
    <row r="2005" customFormat="false" ht="15" hidden="false" customHeight="false" outlineLevel="0" collapsed="false">
      <c r="DB2005" s="0" t="str">
        <f aca="false">IF($A2005="","",IF($AH2005=20,IF(AND(OR($A2005=21,$A2005=215),$AJ2005=10),"①病院一般",IF(AND($A2005=31,$AJ2005=41),"②病院短期","対象外")),IF($AJ2005=30,"③特定消防",IF(AND(OR($A2005=21,$A2005=215),$AJ2005=10),"④一般",IF(AND($A2005=31,$AJ2005=41),"⑤短期","対象外")))))</f>
        <v/>
      </c>
      <c r="DC2005" s="0" t="str">
        <f aca="false">IF($A2005="","",IF($AB2005&amp;""=設定!$C$4,1,0))</f>
        <v/>
      </c>
    </row>
    <row r="2006" customFormat="false" ht="15" hidden="false" customHeight="false" outlineLevel="0" collapsed="false">
      <c r="DB2006" s="0" t="str">
        <f aca="false">IF($A2006="","",IF($AH2006=20,IF(AND(OR($A2006=21,$A2006=215),$AJ2006=10),"①病院一般",IF(AND($A2006=31,$AJ2006=41),"②病院短期","対象外")),IF($AJ2006=30,"③特定消防",IF(AND(OR($A2006=21,$A2006=215),$AJ2006=10),"④一般",IF(AND($A2006=31,$AJ2006=41),"⑤短期","対象外")))))</f>
        <v/>
      </c>
      <c r="DC2006" s="0" t="str">
        <f aca="false">IF($A2006="","",IF($AB2006&amp;""=設定!$C$4,1,0))</f>
        <v/>
      </c>
    </row>
    <row r="2007" customFormat="false" ht="15" hidden="false" customHeight="false" outlineLevel="0" collapsed="false">
      <c r="DB2007" s="0" t="str">
        <f aca="false">IF($A2007="","",IF($AH2007=20,IF(AND(OR($A2007=21,$A2007=215),$AJ2007=10),"①病院一般",IF(AND($A2007=31,$AJ2007=41),"②病院短期","対象外")),IF($AJ2007=30,"③特定消防",IF(AND(OR($A2007=21,$A2007=215),$AJ2007=10),"④一般",IF(AND($A2007=31,$AJ2007=41),"⑤短期","対象外")))))</f>
        <v/>
      </c>
      <c r="DC2007" s="0" t="str">
        <f aca="false">IF($A2007="","",IF($AB2007&amp;""=設定!$C$4,1,0))</f>
        <v/>
      </c>
    </row>
    <row r="2008" customFormat="false" ht="15" hidden="false" customHeight="false" outlineLevel="0" collapsed="false">
      <c r="DB2008" s="0" t="str">
        <f aca="false">IF($A2008="","",IF($AH2008=20,IF(AND(OR($A2008=21,$A2008=215),$AJ2008=10),"①病院一般",IF(AND($A2008=31,$AJ2008=41),"②病院短期","対象外")),IF($AJ2008=30,"③特定消防",IF(AND(OR($A2008=21,$A2008=215),$AJ2008=10),"④一般",IF(AND($A2008=31,$AJ2008=41),"⑤短期","対象外")))))</f>
        <v/>
      </c>
      <c r="DC2008" s="0" t="str">
        <f aca="false">IF($A2008="","",IF($AB2008&amp;""=設定!$C$4,1,0))</f>
        <v/>
      </c>
    </row>
    <row r="2009" customFormat="false" ht="15" hidden="false" customHeight="false" outlineLevel="0" collapsed="false">
      <c r="DB2009" s="0" t="str">
        <f aca="false">IF($A2009="","",IF($AH2009=20,IF(AND(OR($A2009=21,$A2009=215),$AJ2009=10),"①病院一般",IF(AND($A2009=31,$AJ2009=41),"②病院短期","対象外")),IF($AJ2009=30,"③特定消防",IF(AND(OR($A2009=21,$A2009=215),$AJ2009=10),"④一般",IF(AND($A2009=31,$AJ2009=41),"⑤短期","対象外")))))</f>
        <v/>
      </c>
      <c r="DC2009" s="0" t="str">
        <f aca="false">IF($A2009="","",IF($AB2009&amp;""=設定!$C$4,1,0))</f>
        <v/>
      </c>
    </row>
    <row r="2010" customFormat="false" ht="15" hidden="false" customHeight="false" outlineLevel="0" collapsed="false">
      <c r="DB2010" s="0" t="str">
        <f aca="false">IF($A2010="","",IF($AH2010=20,IF(AND(OR($A2010=21,$A2010=215),$AJ2010=10),"①病院一般",IF(AND($A2010=31,$AJ2010=41),"②病院短期","対象外")),IF($AJ2010=30,"③特定消防",IF(AND(OR($A2010=21,$A2010=215),$AJ2010=10),"④一般",IF(AND($A2010=31,$AJ2010=41),"⑤短期","対象外")))))</f>
        <v/>
      </c>
      <c r="DC2010" s="0" t="str">
        <f aca="false">IF($A2010="","",IF($AB2010&amp;""=設定!$C$4,1,0))</f>
        <v/>
      </c>
    </row>
    <row r="2011" customFormat="false" ht="15" hidden="false" customHeight="false" outlineLevel="0" collapsed="false">
      <c r="DB2011" s="0" t="str">
        <f aca="false">IF($A2011="","",IF($AH2011=20,IF(AND(OR($A2011=21,$A2011=215),$AJ2011=10),"①病院一般",IF(AND($A2011=31,$AJ2011=41),"②病院短期","対象外")),IF($AJ2011=30,"③特定消防",IF(AND(OR($A2011=21,$A2011=215),$AJ2011=10),"④一般",IF(AND($A2011=31,$AJ2011=41),"⑤短期","対象外")))))</f>
        <v/>
      </c>
      <c r="DC2011" s="0" t="str">
        <f aca="false">IF($A2011="","",IF($AB2011&amp;""=設定!$C$4,1,0))</f>
        <v/>
      </c>
    </row>
    <row r="2012" customFormat="false" ht="15" hidden="false" customHeight="false" outlineLevel="0" collapsed="false">
      <c r="DB2012" s="0" t="str">
        <f aca="false">IF($A2012="","",IF($AH2012=20,IF(AND(OR($A2012=21,$A2012=215),$AJ2012=10),"①病院一般",IF(AND($A2012=31,$AJ2012=41),"②病院短期","対象外")),IF($AJ2012=30,"③特定消防",IF(AND(OR($A2012=21,$A2012=215),$AJ2012=10),"④一般",IF(AND($A2012=31,$AJ2012=41),"⑤短期","対象外")))))</f>
        <v/>
      </c>
      <c r="DC2012" s="0" t="str">
        <f aca="false">IF($A2012="","",IF($AB2012&amp;""=設定!$C$4,1,0))</f>
        <v/>
      </c>
    </row>
    <row r="2013" customFormat="false" ht="15" hidden="false" customHeight="false" outlineLevel="0" collapsed="false">
      <c r="DB2013" s="0" t="str">
        <f aca="false">IF($A2013="","",IF($AH2013=20,IF(AND(OR($A2013=21,$A2013=215),$AJ2013=10),"①病院一般",IF(AND($A2013=31,$AJ2013=41),"②病院短期","対象外")),IF($AJ2013=30,"③特定消防",IF(AND(OR($A2013=21,$A2013=215),$AJ2013=10),"④一般",IF(AND($A2013=31,$AJ2013=41),"⑤短期","対象外")))))</f>
        <v/>
      </c>
      <c r="DC2013" s="0" t="str">
        <f aca="false">IF($A2013="","",IF($AB2013&amp;""=設定!$C$4,1,0))</f>
        <v/>
      </c>
    </row>
    <row r="2014" customFormat="false" ht="15" hidden="false" customHeight="false" outlineLevel="0" collapsed="false">
      <c r="DB2014" s="0" t="str">
        <f aca="false">IF($A2014="","",IF($AH2014=20,IF(AND(OR($A2014=21,$A2014=215),$AJ2014=10),"①病院一般",IF(AND($A2014=31,$AJ2014=41),"②病院短期","対象外")),IF($AJ2014=30,"③特定消防",IF(AND(OR($A2014=21,$A2014=215),$AJ2014=10),"④一般",IF(AND($A2014=31,$AJ2014=41),"⑤短期","対象外")))))</f>
        <v/>
      </c>
      <c r="DC2014" s="0" t="str">
        <f aca="false">IF($A2014="","",IF($AB2014&amp;""=設定!$C$4,1,0))</f>
        <v/>
      </c>
    </row>
    <row r="2015" customFormat="false" ht="15" hidden="false" customHeight="false" outlineLevel="0" collapsed="false">
      <c r="DB2015" s="0" t="str">
        <f aca="false">IF($A2015="","",IF($AH2015=20,IF(AND(OR($A2015=21,$A2015=215),$AJ2015=10),"①病院一般",IF(AND($A2015=31,$AJ2015=41),"②病院短期","対象外")),IF($AJ2015=30,"③特定消防",IF(AND(OR($A2015=21,$A2015=215),$AJ2015=10),"④一般",IF(AND($A2015=31,$AJ2015=41),"⑤短期","対象外")))))</f>
        <v/>
      </c>
      <c r="DC2015" s="0" t="str">
        <f aca="false">IF($A2015="","",IF($AB2015&amp;""=設定!$C$4,1,0))</f>
        <v/>
      </c>
    </row>
    <row r="2016" customFormat="false" ht="15" hidden="false" customHeight="false" outlineLevel="0" collapsed="false">
      <c r="DB2016" s="0" t="str">
        <f aca="false">IF($A2016="","",IF($AH2016=20,IF(AND(OR($A2016=21,$A2016=215),$AJ2016=10),"①病院一般",IF(AND($A2016=31,$AJ2016=41),"②病院短期","対象外")),IF($AJ2016=30,"③特定消防",IF(AND(OR($A2016=21,$A2016=215),$AJ2016=10),"④一般",IF(AND($A2016=31,$AJ2016=41),"⑤短期","対象外")))))</f>
        <v/>
      </c>
      <c r="DC2016" s="0" t="str">
        <f aca="false">IF($A2016="","",IF($AB2016&amp;""=設定!$C$4,1,0))</f>
        <v/>
      </c>
    </row>
    <row r="2017" customFormat="false" ht="15" hidden="false" customHeight="false" outlineLevel="0" collapsed="false">
      <c r="DB2017" s="0" t="str">
        <f aca="false">IF($A2017="","",IF($AH2017=20,IF(AND(OR($A2017=21,$A2017=215),$AJ2017=10),"①病院一般",IF(AND($A2017=31,$AJ2017=41),"②病院短期","対象外")),IF($AJ2017=30,"③特定消防",IF(AND(OR($A2017=21,$A2017=215),$AJ2017=10),"④一般",IF(AND($A2017=31,$AJ2017=41),"⑤短期","対象外")))))</f>
        <v/>
      </c>
      <c r="DC2017" s="0" t="str">
        <f aca="false">IF($A2017="","",IF($AB2017&amp;""=設定!$C$4,1,0))</f>
        <v/>
      </c>
    </row>
    <row r="2018" customFormat="false" ht="15" hidden="false" customHeight="false" outlineLevel="0" collapsed="false">
      <c r="DB2018" s="0" t="str">
        <f aca="false">IF($A2018="","",IF($AH2018=20,IF(AND(OR($A2018=21,$A2018=215),$AJ2018=10),"①病院一般",IF(AND($A2018=31,$AJ2018=41),"②病院短期","対象外")),IF($AJ2018=30,"③特定消防",IF(AND(OR($A2018=21,$A2018=215),$AJ2018=10),"④一般",IF(AND($A2018=31,$AJ2018=41),"⑤短期","対象外")))))</f>
        <v/>
      </c>
      <c r="DC2018" s="0" t="str">
        <f aca="false">IF($A2018="","",IF($AB2018&amp;""=設定!$C$4,1,0))</f>
        <v/>
      </c>
    </row>
    <row r="2019" customFormat="false" ht="15" hidden="false" customHeight="false" outlineLevel="0" collapsed="false">
      <c r="DB2019" s="0" t="str">
        <f aca="false">IF($A2019="","",IF($AH2019=20,IF(AND(OR($A2019=21,$A2019=215),$AJ2019=10),"①病院一般",IF(AND($A2019=31,$AJ2019=41),"②病院短期","対象外")),IF($AJ2019=30,"③特定消防",IF(AND(OR($A2019=21,$A2019=215),$AJ2019=10),"④一般",IF(AND($A2019=31,$AJ2019=41),"⑤短期","対象外")))))</f>
        <v/>
      </c>
      <c r="DC2019" s="0" t="str">
        <f aca="false">IF($A2019="","",IF($AB2019&amp;""=設定!$C$4,1,0))</f>
        <v/>
      </c>
    </row>
    <row r="2020" customFormat="false" ht="15" hidden="false" customHeight="false" outlineLevel="0" collapsed="false">
      <c r="DB2020" s="0" t="str">
        <f aca="false">IF($A2020="","",IF($AH2020=20,IF(AND(OR($A2020=21,$A2020=215),$AJ2020=10),"①病院一般",IF(AND($A2020=31,$AJ2020=41),"②病院短期","対象外")),IF($AJ2020=30,"③特定消防",IF(AND(OR($A2020=21,$A2020=215),$AJ2020=10),"④一般",IF(AND($A2020=31,$AJ2020=41),"⑤短期","対象外")))))</f>
        <v/>
      </c>
      <c r="DC2020" s="0" t="str">
        <f aca="false">IF($A2020="","",IF($AB2020&amp;""=設定!$C$4,1,0))</f>
        <v/>
      </c>
    </row>
    <row r="2021" customFormat="false" ht="15" hidden="false" customHeight="false" outlineLevel="0" collapsed="false">
      <c r="DB2021" s="0" t="str">
        <f aca="false">IF($A2021="","",IF($AH2021=20,IF(AND(OR($A2021=21,$A2021=215),$AJ2021=10),"①病院一般",IF(AND($A2021=31,$AJ2021=41),"②病院短期","対象外")),IF($AJ2021=30,"③特定消防",IF(AND(OR($A2021=21,$A2021=215),$AJ2021=10),"④一般",IF(AND($A2021=31,$AJ2021=41),"⑤短期","対象外")))))</f>
        <v/>
      </c>
      <c r="DC2021" s="0" t="str">
        <f aca="false">IF($A2021="","",IF($AB2021&amp;""=設定!$C$4,1,0))</f>
        <v/>
      </c>
    </row>
    <row r="2022" customFormat="false" ht="15" hidden="false" customHeight="false" outlineLevel="0" collapsed="false">
      <c r="DB2022" s="0" t="str">
        <f aca="false">IF($A2022="","",IF($AH2022=20,IF(AND(OR($A2022=21,$A2022=215),$AJ2022=10),"①病院一般",IF(AND($A2022=31,$AJ2022=41),"②病院短期","対象外")),IF($AJ2022=30,"③特定消防",IF(AND(OR($A2022=21,$A2022=215),$AJ2022=10),"④一般",IF(AND($A2022=31,$AJ2022=41),"⑤短期","対象外")))))</f>
        <v/>
      </c>
      <c r="DC2022" s="0" t="str">
        <f aca="false">IF($A2022="","",IF($AB2022&amp;""=設定!$C$4,1,0))</f>
        <v/>
      </c>
    </row>
    <row r="2023" customFormat="false" ht="15" hidden="false" customHeight="false" outlineLevel="0" collapsed="false">
      <c r="DB2023" s="0" t="str">
        <f aca="false">IF($A2023="","",IF($AH2023=20,IF(AND(OR($A2023=21,$A2023=215),$AJ2023=10),"①病院一般",IF(AND($A2023=31,$AJ2023=41),"②病院短期","対象外")),IF($AJ2023=30,"③特定消防",IF(AND(OR($A2023=21,$A2023=215),$AJ2023=10),"④一般",IF(AND($A2023=31,$AJ2023=41),"⑤短期","対象外")))))</f>
        <v/>
      </c>
      <c r="DC2023" s="0" t="str">
        <f aca="false">IF($A2023="","",IF($AB2023&amp;""=設定!$C$4,1,0))</f>
        <v/>
      </c>
    </row>
    <row r="2024" customFormat="false" ht="15" hidden="false" customHeight="false" outlineLevel="0" collapsed="false">
      <c r="DB2024" s="0" t="str">
        <f aca="false">IF($A2024="","",IF($AH2024=20,IF(AND(OR($A2024=21,$A2024=215),$AJ2024=10),"①病院一般",IF(AND($A2024=31,$AJ2024=41),"②病院短期","対象外")),IF($AJ2024=30,"③特定消防",IF(AND(OR($A2024=21,$A2024=215),$AJ2024=10),"④一般",IF(AND($A2024=31,$AJ2024=41),"⑤短期","対象外")))))</f>
        <v/>
      </c>
      <c r="DC2024" s="0" t="str">
        <f aca="false">IF($A2024="","",IF($AB2024&amp;""=設定!$C$4,1,0))</f>
        <v/>
      </c>
    </row>
    <row r="2025" customFormat="false" ht="15" hidden="false" customHeight="false" outlineLevel="0" collapsed="false">
      <c r="DB2025" s="0" t="str">
        <f aca="false">IF($A2025="","",IF($AH2025=20,IF(AND(OR($A2025=21,$A2025=215),$AJ2025=10),"①病院一般",IF(AND($A2025=31,$AJ2025=41),"②病院短期","対象外")),IF($AJ2025=30,"③特定消防",IF(AND(OR($A2025=21,$A2025=215),$AJ2025=10),"④一般",IF(AND($A2025=31,$AJ2025=41),"⑤短期","対象外")))))</f>
        <v/>
      </c>
      <c r="DC2025" s="0" t="str">
        <f aca="false">IF($A2025="","",IF($AB2025&amp;""=設定!$C$4,1,0))</f>
        <v/>
      </c>
    </row>
    <row r="2026" customFormat="false" ht="15" hidden="false" customHeight="false" outlineLevel="0" collapsed="false">
      <c r="DB2026" s="0" t="str">
        <f aca="false">IF($A2026="","",IF($AH2026=20,IF(AND(OR($A2026=21,$A2026=215),$AJ2026=10),"①病院一般",IF(AND($A2026=31,$AJ2026=41),"②病院短期","対象外")),IF($AJ2026=30,"③特定消防",IF(AND(OR($A2026=21,$A2026=215),$AJ2026=10),"④一般",IF(AND($A2026=31,$AJ2026=41),"⑤短期","対象外")))))</f>
        <v/>
      </c>
      <c r="DC2026" s="0" t="str">
        <f aca="false">IF($A2026="","",IF($AB2026&amp;""=設定!$C$4,1,0))</f>
        <v/>
      </c>
    </row>
    <row r="2027" customFormat="false" ht="15" hidden="false" customHeight="false" outlineLevel="0" collapsed="false">
      <c r="DB2027" s="0" t="str">
        <f aca="false">IF($A2027="","",IF($AH2027=20,IF(AND(OR($A2027=21,$A2027=215),$AJ2027=10),"①病院一般",IF(AND($A2027=31,$AJ2027=41),"②病院短期","対象外")),IF($AJ2027=30,"③特定消防",IF(AND(OR($A2027=21,$A2027=215),$AJ2027=10),"④一般",IF(AND($A2027=31,$AJ2027=41),"⑤短期","対象外")))))</f>
        <v/>
      </c>
      <c r="DC2027" s="0" t="str">
        <f aca="false">IF($A2027="","",IF($AB2027&amp;""=設定!$C$4,1,0))</f>
        <v/>
      </c>
    </row>
    <row r="2028" customFormat="false" ht="15" hidden="false" customHeight="false" outlineLevel="0" collapsed="false">
      <c r="DB2028" s="0" t="str">
        <f aca="false">IF($A2028="","",IF($AH2028=20,IF(AND(OR($A2028=21,$A2028=215),$AJ2028=10),"①病院一般",IF(AND($A2028=31,$AJ2028=41),"②病院短期","対象外")),IF($AJ2028=30,"③特定消防",IF(AND(OR($A2028=21,$A2028=215),$AJ2028=10),"④一般",IF(AND($A2028=31,$AJ2028=41),"⑤短期","対象外")))))</f>
        <v/>
      </c>
      <c r="DC2028" s="0" t="str">
        <f aca="false">IF($A2028="","",IF($AB2028&amp;""=設定!$C$4,1,0))</f>
        <v/>
      </c>
    </row>
    <row r="2029" customFormat="false" ht="15" hidden="false" customHeight="false" outlineLevel="0" collapsed="false">
      <c r="DB2029" s="0" t="str">
        <f aca="false">IF($A2029="","",IF($AH2029=20,IF(AND(OR($A2029=21,$A2029=215),$AJ2029=10),"①病院一般",IF(AND($A2029=31,$AJ2029=41),"②病院短期","対象外")),IF($AJ2029=30,"③特定消防",IF(AND(OR($A2029=21,$A2029=215),$AJ2029=10),"④一般",IF(AND($A2029=31,$AJ2029=41),"⑤短期","対象外")))))</f>
        <v/>
      </c>
      <c r="DC2029" s="0" t="str">
        <f aca="false">IF($A2029="","",IF($AB2029&amp;""=設定!$C$4,1,0))</f>
        <v/>
      </c>
    </row>
    <row r="2030" customFormat="false" ht="15" hidden="false" customHeight="false" outlineLevel="0" collapsed="false">
      <c r="DB2030" s="0" t="str">
        <f aca="false">IF($A2030="","",IF($AH2030=20,IF(AND(OR($A2030=21,$A2030=215),$AJ2030=10),"①病院一般",IF(AND($A2030=31,$AJ2030=41),"②病院短期","対象外")),IF($AJ2030=30,"③特定消防",IF(AND(OR($A2030=21,$A2030=215),$AJ2030=10),"④一般",IF(AND($A2030=31,$AJ2030=41),"⑤短期","対象外")))))</f>
        <v/>
      </c>
      <c r="DC2030" s="0" t="str">
        <f aca="false">IF($A2030="","",IF($AB2030&amp;""=設定!$C$4,1,0))</f>
        <v/>
      </c>
    </row>
    <row r="2031" customFormat="false" ht="15" hidden="false" customHeight="false" outlineLevel="0" collapsed="false">
      <c r="DB2031" s="0" t="str">
        <f aca="false">IF($A2031="","",IF($AH2031=20,IF(AND(OR($A2031=21,$A2031=215),$AJ2031=10),"①病院一般",IF(AND($A2031=31,$AJ2031=41),"②病院短期","対象外")),IF($AJ2031=30,"③特定消防",IF(AND(OR($A2031=21,$A2031=215),$AJ2031=10),"④一般",IF(AND($A2031=31,$AJ2031=41),"⑤短期","対象外")))))</f>
        <v/>
      </c>
      <c r="DC2031" s="0" t="str">
        <f aca="false">IF($A2031="","",IF($AB2031&amp;""=設定!$C$4,1,0))</f>
        <v/>
      </c>
    </row>
    <row r="2032" customFormat="false" ht="15" hidden="false" customHeight="false" outlineLevel="0" collapsed="false">
      <c r="DB2032" s="0" t="str">
        <f aca="false">IF($A2032="","",IF($AH2032=20,IF(AND(OR($A2032=21,$A2032=215),$AJ2032=10),"①病院一般",IF(AND($A2032=31,$AJ2032=41),"②病院短期","対象外")),IF($AJ2032=30,"③特定消防",IF(AND(OR($A2032=21,$A2032=215),$AJ2032=10),"④一般",IF(AND($A2032=31,$AJ2032=41),"⑤短期","対象外")))))</f>
        <v/>
      </c>
      <c r="DC2032" s="0" t="str">
        <f aca="false">IF($A2032="","",IF($AB2032&amp;""=設定!$C$4,1,0))</f>
        <v/>
      </c>
    </row>
    <row r="2033" customFormat="false" ht="15" hidden="false" customHeight="false" outlineLevel="0" collapsed="false">
      <c r="DB2033" s="0" t="str">
        <f aca="false">IF($A2033="","",IF($AH2033=20,IF(AND(OR($A2033=21,$A2033=215),$AJ2033=10),"①病院一般",IF(AND($A2033=31,$AJ2033=41),"②病院短期","対象外")),IF($AJ2033=30,"③特定消防",IF(AND(OR($A2033=21,$A2033=215),$AJ2033=10),"④一般",IF(AND($A2033=31,$AJ2033=41),"⑤短期","対象外")))))</f>
        <v/>
      </c>
      <c r="DC2033" s="0" t="str">
        <f aca="false">IF($A2033="","",IF($AB2033&amp;""=設定!$C$4,1,0))</f>
        <v/>
      </c>
    </row>
    <row r="2034" customFormat="false" ht="15" hidden="false" customHeight="false" outlineLevel="0" collapsed="false">
      <c r="DB2034" s="0" t="str">
        <f aca="false">IF($A2034="","",IF($AH2034=20,IF(AND(OR($A2034=21,$A2034=215),$AJ2034=10),"①病院一般",IF(AND($A2034=31,$AJ2034=41),"②病院短期","対象外")),IF($AJ2034=30,"③特定消防",IF(AND(OR($A2034=21,$A2034=215),$AJ2034=10),"④一般",IF(AND($A2034=31,$AJ2034=41),"⑤短期","対象外")))))</f>
        <v/>
      </c>
      <c r="DC2034" s="0" t="str">
        <f aca="false">IF($A2034="","",IF($AB2034&amp;""=設定!$C$4,1,0))</f>
        <v/>
      </c>
    </row>
    <row r="2035" customFormat="false" ht="15" hidden="false" customHeight="false" outlineLevel="0" collapsed="false">
      <c r="DB2035" s="0" t="str">
        <f aca="false">IF($A2035="","",IF($AH2035=20,IF(AND(OR($A2035=21,$A2035=215),$AJ2035=10),"①病院一般",IF(AND($A2035=31,$AJ2035=41),"②病院短期","対象外")),IF($AJ2035=30,"③特定消防",IF(AND(OR($A2035=21,$A2035=215),$AJ2035=10),"④一般",IF(AND($A2035=31,$AJ2035=41),"⑤短期","対象外")))))</f>
        <v/>
      </c>
      <c r="DC2035" s="0" t="str">
        <f aca="false">IF($A2035="","",IF($AB2035&amp;""=設定!$C$4,1,0))</f>
        <v/>
      </c>
    </row>
    <row r="2036" customFormat="false" ht="15" hidden="false" customHeight="false" outlineLevel="0" collapsed="false">
      <c r="DB2036" s="0" t="str">
        <f aca="false">IF($A2036="","",IF($AH2036=20,IF(AND(OR($A2036=21,$A2036=215),$AJ2036=10),"①病院一般",IF(AND($A2036=31,$AJ2036=41),"②病院短期","対象外")),IF($AJ2036=30,"③特定消防",IF(AND(OR($A2036=21,$A2036=215),$AJ2036=10),"④一般",IF(AND($A2036=31,$AJ2036=41),"⑤短期","対象外")))))</f>
        <v/>
      </c>
      <c r="DC2036" s="0" t="str">
        <f aca="false">IF($A2036="","",IF($AB2036&amp;""=設定!$C$4,1,0))</f>
        <v/>
      </c>
    </row>
    <row r="2037" customFormat="false" ht="15" hidden="false" customHeight="false" outlineLevel="0" collapsed="false">
      <c r="DB2037" s="0" t="str">
        <f aca="false">IF($A2037="","",IF($AH2037=20,IF(AND(OR($A2037=21,$A2037=215),$AJ2037=10),"①病院一般",IF(AND($A2037=31,$AJ2037=41),"②病院短期","対象外")),IF($AJ2037=30,"③特定消防",IF(AND(OR($A2037=21,$A2037=215),$AJ2037=10),"④一般",IF(AND($A2037=31,$AJ2037=41),"⑤短期","対象外")))))</f>
        <v/>
      </c>
      <c r="DC2037" s="0" t="str">
        <f aca="false">IF($A2037="","",IF($AB2037&amp;""=設定!$C$4,1,0))</f>
        <v/>
      </c>
    </row>
    <row r="2038" customFormat="false" ht="15" hidden="false" customHeight="false" outlineLevel="0" collapsed="false">
      <c r="DB2038" s="0" t="str">
        <f aca="false">IF($A2038="","",IF($AH2038=20,IF(AND(OR($A2038=21,$A2038=215),$AJ2038=10),"①病院一般",IF(AND($A2038=31,$AJ2038=41),"②病院短期","対象外")),IF($AJ2038=30,"③特定消防",IF(AND(OR($A2038=21,$A2038=215),$AJ2038=10),"④一般",IF(AND($A2038=31,$AJ2038=41),"⑤短期","対象外")))))</f>
        <v/>
      </c>
      <c r="DC2038" s="0" t="str">
        <f aca="false">IF($A2038="","",IF($AB2038&amp;""=設定!$C$4,1,0))</f>
        <v/>
      </c>
    </row>
    <row r="2039" customFormat="false" ht="15" hidden="false" customHeight="false" outlineLevel="0" collapsed="false">
      <c r="DB2039" s="0" t="str">
        <f aca="false">IF($A2039="","",IF($AH2039=20,IF(AND(OR($A2039=21,$A2039=215),$AJ2039=10),"①病院一般",IF(AND($A2039=31,$AJ2039=41),"②病院短期","対象外")),IF($AJ2039=30,"③特定消防",IF(AND(OR($A2039=21,$A2039=215),$AJ2039=10),"④一般",IF(AND($A2039=31,$AJ2039=41),"⑤短期","対象外")))))</f>
        <v/>
      </c>
      <c r="DC2039" s="0" t="str">
        <f aca="false">IF($A2039="","",IF($AB2039&amp;""=設定!$C$4,1,0))</f>
        <v/>
      </c>
    </row>
    <row r="2040" customFormat="false" ht="15" hidden="false" customHeight="false" outlineLevel="0" collapsed="false">
      <c r="DB2040" s="0" t="str">
        <f aca="false">IF($A2040="","",IF($AH2040=20,IF(AND(OR($A2040=21,$A2040=215),$AJ2040=10),"①病院一般",IF(AND($A2040=31,$AJ2040=41),"②病院短期","対象外")),IF($AJ2040=30,"③特定消防",IF(AND(OR($A2040=21,$A2040=215),$AJ2040=10),"④一般",IF(AND($A2040=31,$AJ2040=41),"⑤短期","対象外")))))</f>
        <v/>
      </c>
      <c r="DC2040" s="0" t="str">
        <f aca="false">IF($A2040="","",IF($AB2040&amp;""=設定!$C$4,1,0))</f>
        <v/>
      </c>
    </row>
    <row r="2041" customFormat="false" ht="15" hidden="false" customHeight="false" outlineLevel="0" collapsed="false">
      <c r="DB2041" s="0" t="str">
        <f aca="false">IF($A2041="","",IF($AH2041=20,IF(AND(OR($A2041=21,$A2041=215),$AJ2041=10),"①病院一般",IF(AND($A2041=31,$AJ2041=41),"②病院短期","対象外")),IF($AJ2041=30,"③特定消防",IF(AND(OR($A2041=21,$A2041=215),$AJ2041=10),"④一般",IF(AND($A2041=31,$AJ2041=41),"⑤短期","対象外")))))</f>
        <v/>
      </c>
      <c r="DC2041" s="0" t="str">
        <f aca="false">IF($A2041="","",IF($AB2041&amp;""=設定!$C$4,1,0))</f>
        <v/>
      </c>
    </row>
    <row r="2042" customFormat="false" ht="15" hidden="false" customHeight="false" outlineLevel="0" collapsed="false">
      <c r="DB2042" s="0" t="str">
        <f aca="false">IF($A2042="","",IF($AH2042=20,IF(AND(OR($A2042=21,$A2042=215),$AJ2042=10),"①病院一般",IF(AND($A2042=31,$AJ2042=41),"②病院短期","対象外")),IF($AJ2042=30,"③特定消防",IF(AND(OR($A2042=21,$A2042=215),$AJ2042=10),"④一般",IF(AND($A2042=31,$AJ2042=41),"⑤短期","対象外")))))</f>
        <v/>
      </c>
      <c r="DC2042" s="0" t="str">
        <f aca="false">IF($A2042="","",IF($AB2042&amp;""=設定!$C$4,1,0))</f>
        <v/>
      </c>
    </row>
    <row r="2043" customFormat="false" ht="15" hidden="false" customHeight="false" outlineLevel="0" collapsed="false">
      <c r="DB2043" s="0" t="str">
        <f aca="false">IF($A2043="","",IF($AH2043=20,IF(AND(OR($A2043=21,$A2043=215),$AJ2043=10),"①病院一般",IF(AND($A2043=31,$AJ2043=41),"②病院短期","対象外")),IF($AJ2043=30,"③特定消防",IF(AND(OR($A2043=21,$A2043=215),$AJ2043=10),"④一般",IF(AND($A2043=31,$AJ2043=41),"⑤短期","対象外")))))</f>
        <v/>
      </c>
      <c r="DC2043" s="0" t="str">
        <f aca="false">IF($A2043="","",IF($AB2043&amp;""=設定!$C$4,1,0))</f>
        <v/>
      </c>
    </row>
    <row r="2044" customFormat="false" ht="15" hidden="false" customHeight="false" outlineLevel="0" collapsed="false">
      <c r="DB2044" s="0" t="str">
        <f aca="false">IF($A2044="","",IF($AH2044=20,IF(AND(OR($A2044=21,$A2044=215),$AJ2044=10),"①病院一般",IF(AND($A2044=31,$AJ2044=41),"②病院短期","対象外")),IF($AJ2044=30,"③特定消防",IF(AND(OR($A2044=21,$A2044=215),$AJ2044=10),"④一般",IF(AND($A2044=31,$AJ2044=41),"⑤短期","対象外")))))</f>
        <v/>
      </c>
      <c r="DC2044" s="0" t="str">
        <f aca="false">IF($A2044="","",IF($AB2044&amp;""=設定!$C$4,1,0))</f>
        <v/>
      </c>
    </row>
    <row r="2045" customFormat="false" ht="15" hidden="false" customHeight="false" outlineLevel="0" collapsed="false">
      <c r="DB2045" s="0" t="str">
        <f aca="false">IF($A2045="","",IF($AH2045=20,IF(AND(OR($A2045=21,$A2045=215),$AJ2045=10),"①病院一般",IF(AND($A2045=31,$AJ2045=41),"②病院短期","対象外")),IF($AJ2045=30,"③特定消防",IF(AND(OR($A2045=21,$A2045=215),$AJ2045=10),"④一般",IF(AND($A2045=31,$AJ2045=41),"⑤短期","対象外")))))</f>
        <v/>
      </c>
      <c r="DC2045" s="0" t="str">
        <f aca="false">IF($A2045="","",IF($AB2045&amp;""=設定!$C$4,1,0))</f>
        <v/>
      </c>
    </row>
    <row r="2046" customFormat="false" ht="15" hidden="false" customHeight="false" outlineLevel="0" collapsed="false">
      <c r="DB2046" s="0" t="str">
        <f aca="false">IF($A2046="","",IF($AH2046=20,IF(AND(OR($A2046=21,$A2046=215),$AJ2046=10),"①病院一般",IF(AND($A2046=31,$AJ2046=41),"②病院短期","対象外")),IF($AJ2046=30,"③特定消防",IF(AND(OR($A2046=21,$A2046=215),$AJ2046=10),"④一般",IF(AND($A2046=31,$AJ2046=41),"⑤短期","対象外")))))</f>
        <v/>
      </c>
      <c r="DC2046" s="0" t="str">
        <f aca="false">IF($A2046="","",IF($AB2046&amp;""=設定!$C$4,1,0))</f>
        <v/>
      </c>
    </row>
    <row r="2047" customFormat="false" ht="15" hidden="false" customHeight="false" outlineLevel="0" collapsed="false">
      <c r="DB2047" s="0" t="str">
        <f aca="false">IF($A2047="","",IF($AH2047=20,IF(AND(OR($A2047=21,$A2047=215),$AJ2047=10),"①病院一般",IF(AND($A2047=31,$AJ2047=41),"②病院短期","対象外")),IF($AJ2047=30,"③特定消防",IF(AND(OR($A2047=21,$A2047=215),$AJ2047=10),"④一般",IF(AND($A2047=31,$AJ2047=41),"⑤短期","対象外")))))</f>
        <v/>
      </c>
      <c r="DC2047" s="0" t="str">
        <f aca="false">IF($A2047="","",IF($AB2047&amp;""=設定!$C$4,1,0))</f>
        <v/>
      </c>
    </row>
    <row r="2048" customFormat="false" ht="15" hidden="false" customHeight="false" outlineLevel="0" collapsed="false">
      <c r="DB2048" s="0" t="str">
        <f aca="false">IF($A2048="","",IF($AH2048=20,IF(AND(OR($A2048=21,$A2048=215),$AJ2048=10),"①病院一般",IF(AND($A2048=31,$AJ2048=41),"②病院短期","対象外")),IF($AJ2048=30,"③特定消防",IF(AND(OR($A2048=21,$A2048=215),$AJ2048=10),"④一般",IF(AND($A2048=31,$AJ2048=41),"⑤短期","対象外")))))</f>
        <v/>
      </c>
      <c r="DC2048" s="0" t="str">
        <f aca="false">IF($A2048="","",IF($AB2048&amp;""=設定!$C$4,1,0))</f>
        <v/>
      </c>
    </row>
    <row r="2049" customFormat="false" ht="15" hidden="false" customHeight="false" outlineLevel="0" collapsed="false">
      <c r="DB2049" s="0" t="str">
        <f aca="false">IF($A2049="","",IF($AH2049=20,IF(AND(OR($A2049=21,$A2049=215),$AJ2049=10),"①病院一般",IF(AND($A2049=31,$AJ2049=41),"②病院短期","対象外")),IF($AJ2049=30,"③特定消防",IF(AND(OR($A2049=21,$A2049=215),$AJ2049=10),"④一般",IF(AND($A2049=31,$AJ2049=41),"⑤短期","対象外")))))</f>
        <v/>
      </c>
      <c r="DC2049" s="0" t="str">
        <f aca="false">IF($A2049="","",IF($AB2049&amp;""=設定!$C$4,1,0))</f>
        <v/>
      </c>
    </row>
    <row r="2050" customFormat="false" ht="15" hidden="false" customHeight="false" outlineLevel="0" collapsed="false">
      <c r="DB2050" s="0" t="str">
        <f aca="false">IF($A2050="","",IF($AH2050=20,IF(AND(OR($A2050=21,$A2050=215),$AJ2050=10),"①病院一般",IF(AND($A2050=31,$AJ2050=41),"②病院短期","対象外")),IF($AJ2050=30,"③特定消防",IF(AND(OR($A2050=21,$A2050=215),$AJ2050=10),"④一般",IF(AND($A2050=31,$AJ2050=41),"⑤短期","対象外")))))</f>
        <v/>
      </c>
      <c r="DC2050" s="0" t="str">
        <f aca="false">IF($A2050="","",IF($AB2050&amp;""=設定!$C$4,1,0))</f>
        <v/>
      </c>
    </row>
    <row r="2051" customFormat="false" ht="15" hidden="false" customHeight="false" outlineLevel="0" collapsed="false">
      <c r="DB2051" s="0" t="str">
        <f aca="false">IF($A2051="","",IF($AH2051=20,IF(AND(OR($A2051=21,$A2051=215),$AJ2051=10),"①病院一般",IF(AND($A2051=31,$AJ2051=41),"②病院短期","対象外")),IF($AJ2051=30,"③特定消防",IF(AND(OR($A2051=21,$A2051=215),$AJ2051=10),"④一般",IF(AND($A2051=31,$AJ2051=41),"⑤短期","対象外")))))</f>
        <v/>
      </c>
      <c r="DC2051" s="0" t="str">
        <f aca="false">IF($A2051="","",IF($AB2051&amp;""=設定!$C$4,1,0))</f>
        <v/>
      </c>
    </row>
    <row r="2052" customFormat="false" ht="15" hidden="false" customHeight="false" outlineLevel="0" collapsed="false">
      <c r="DB2052" s="0" t="str">
        <f aca="false">IF($A2052="","",IF($AH2052=20,IF(AND(OR($A2052=21,$A2052=215),$AJ2052=10),"①病院一般",IF(AND($A2052=31,$AJ2052=41),"②病院短期","対象外")),IF($AJ2052=30,"③特定消防",IF(AND(OR($A2052=21,$A2052=215),$AJ2052=10),"④一般",IF(AND($A2052=31,$AJ2052=41),"⑤短期","対象外")))))</f>
        <v/>
      </c>
      <c r="DC2052" s="0" t="str">
        <f aca="false">IF($A2052="","",IF($AB2052&amp;""=設定!$C$4,1,0))</f>
        <v/>
      </c>
    </row>
    <row r="2053" customFormat="false" ht="15" hidden="false" customHeight="false" outlineLevel="0" collapsed="false">
      <c r="DB2053" s="0" t="str">
        <f aca="false">IF($A2053="","",IF($AH2053=20,IF(AND(OR($A2053=21,$A2053=215),$AJ2053=10),"①病院一般",IF(AND($A2053=31,$AJ2053=41),"②病院短期","対象外")),IF($AJ2053=30,"③特定消防",IF(AND(OR($A2053=21,$A2053=215),$AJ2053=10),"④一般",IF(AND($A2053=31,$AJ2053=41),"⑤短期","対象外")))))</f>
        <v/>
      </c>
      <c r="DC2053" s="0" t="str">
        <f aca="false">IF($A2053="","",IF($AB2053&amp;""=設定!$C$4,1,0))</f>
        <v/>
      </c>
    </row>
    <row r="2054" customFormat="false" ht="15" hidden="false" customHeight="false" outlineLevel="0" collapsed="false">
      <c r="DB2054" s="0" t="str">
        <f aca="false">IF($A2054="","",IF($AH2054=20,IF(AND(OR($A2054=21,$A2054=215),$AJ2054=10),"①病院一般",IF(AND($A2054=31,$AJ2054=41),"②病院短期","対象外")),IF($AJ2054=30,"③特定消防",IF(AND(OR($A2054=21,$A2054=215),$AJ2054=10),"④一般",IF(AND($A2054=31,$AJ2054=41),"⑤短期","対象外")))))</f>
        <v/>
      </c>
      <c r="DC2054" s="0" t="str">
        <f aca="false">IF($A2054="","",IF($AB2054&amp;""=設定!$C$4,1,0))</f>
        <v/>
      </c>
    </row>
    <row r="2055" customFormat="false" ht="15" hidden="false" customHeight="false" outlineLevel="0" collapsed="false">
      <c r="DB2055" s="0" t="str">
        <f aca="false">IF($A2055="","",IF($AH2055=20,IF(AND(OR($A2055=21,$A2055=215),$AJ2055=10),"①病院一般",IF(AND($A2055=31,$AJ2055=41),"②病院短期","対象外")),IF($AJ2055=30,"③特定消防",IF(AND(OR($A2055=21,$A2055=215),$AJ2055=10),"④一般",IF(AND($A2055=31,$AJ2055=41),"⑤短期","対象外")))))</f>
        <v/>
      </c>
      <c r="DC2055" s="0" t="str">
        <f aca="false">IF($A2055="","",IF($AB2055&amp;""=設定!$C$4,1,0))</f>
        <v/>
      </c>
    </row>
    <row r="2056" customFormat="false" ht="15" hidden="false" customHeight="false" outlineLevel="0" collapsed="false">
      <c r="DB2056" s="0" t="str">
        <f aca="false">IF($A2056="","",IF($AH2056=20,IF(AND(OR($A2056=21,$A2056=215),$AJ2056=10),"①病院一般",IF(AND($A2056=31,$AJ2056=41),"②病院短期","対象外")),IF($AJ2056=30,"③特定消防",IF(AND(OR($A2056=21,$A2056=215),$AJ2056=10),"④一般",IF(AND($A2056=31,$AJ2056=41),"⑤短期","対象外")))))</f>
        <v/>
      </c>
      <c r="DC2056" s="0" t="str">
        <f aca="false">IF($A2056="","",IF($AB2056&amp;""=設定!$C$4,1,0))</f>
        <v/>
      </c>
    </row>
    <row r="2057" customFormat="false" ht="15" hidden="false" customHeight="false" outlineLevel="0" collapsed="false">
      <c r="DB2057" s="0" t="str">
        <f aca="false">IF($A2057="","",IF($AH2057=20,IF(AND(OR($A2057=21,$A2057=215),$AJ2057=10),"①病院一般",IF(AND($A2057=31,$AJ2057=41),"②病院短期","対象外")),IF($AJ2057=30,"③特定消防",IF(AND(OR($A2057=21,$A2057=215),$AJ2057=10),"④一般",IF(AND($A2057=31,$AJ2057=41),"⑤短期","対象外")))))</f>
        <v/>
      </c>
      <c r="DC2057" s="0" t="str">
        <f aca="false">IF($A2057="","",IF($AB2057&amp;""=設定!$C$4,1,0))</f>
        <v/>
      </c>
    </row>
    <row r="2058" customFormat="false" ht="15" hidden="false" customHeight="false" outlineLevel="0" collapsed="false">
      <c r="DB2058" s="0" t="str">
        <f aca="false">IF($A2058="","",IF($AH2058=20,IF(AND(OR($A2058=21,$A2058=215),$AJ2058=10),"①病院一般",IF(AND($A2058=31,$AJ2058=41),"②病院短期","対象外")),IF($AJ2058=30,"③特定消防",IF(AND(OR($A2058=21,$A2058=215),$AJ2058=10),"④一般",IF(AND($A2058=31,$AJ2058=41),"⑤短期","対象外")))))</f>
        <v/>
      </c>
      <c r="DC2058" s="0" t="str">
        <f aca="false">IF($A2058="","",IF($AB2058&amp;""=設定!$C$4,1,0))</f>
        <v/>
      </c>
    </row>
    <row r="2059" customFormat="false" ht="15" hidden="false" customHeight="false" outlineLevel="0" collapsed="false">
      <c r="DB2059" s="0" t="str">
        <f aca="false">IF($A2059="","",IF($AH2059=20,IF(AND(OR($A2059=21,$A2059=215),$AJ2059=10),"①病院一般",IF(AND($A2059=31,$AJ2059=41),"②病院短期","対象外")),IF($AJ2059=30,"③特定消防",IF(AND(OR($A2059=21,$A2059=215),$AJ2059=10),"④一般",IF(AND($A2059=31,$AJ2059=41),"⑤短期","対象外")))))</f>
        <v/>
      </c>
      <c r="DC2059" s="0" t="str">
        <f aca="false">IF($A2059="","",IF($AB2059&amp;""=設定!$C$4,1,0))</f>
        <v/>
      </c>
    </row>
    <row r="2060" customFormat="false" ht="15" hidden="false" customHeight="false" outlineLevel="0" collapsed="false">
      <c r="DB2060" s="0" t="str">
        <f aca="false">IF($A2060="","",IF($AH2060=20,IF(AND(OR($A2060=21,$A2060=215),$AJ2060=10),"①病院一般",IF(AND($A2060=31,$AJ2060=41),"②病院短期","対象外")),IF($AJ2060=30,"③特定消防",IF(AND(OR($A2060=21,$A2060=215),$AJ2060=10),"④一般",IF(AND($A2060=31,$AJ2060=41),"⑤短期","対象外")))))</f>
        <v/>
      </c>
      <c r="DC2060" s="0" t="str">
        <f aca="false">IF($A2060="","",IF($AB2060&amp;""=設定!$C$4,1,0))</f>
        <v/>
      </c>
    </row>
    <row r="2061" customFormat="false" ht="15" hidden="false" customHeight="false" outlineLevel="0" collapsed="false">
      <c r="DB2061" s="0" t="str">
        <f aca="false">IF($A2061="","",IF($AH2061=20,IF(AND(OR($A2061=21,$A2061=215),$AJ2061=10),"①病院一般",IF(AND($A2061=31,$AJ2061=41),"②病院短期","対象外")),IF($AJ2061=30,"③特定消防",IF(AND(OR($A2061=21,$A2061=215),$AJ2061=10),"④一般",IF(AND($A2061=31,$AJ2061=41),"⑤短期","対象外")))))</f>
        <v/>
      </c>
      <c r="DC2061" s="0" t="str">
        <f aca="false">IF($A2061="","",IF($AB2061&amp;""=設定!$C$4,1,0))</f>
        <v/>
      </c>
    </row>
    <row r="2062" customFormat="false" ht="15" hidden="false" customHeight="false" outlineLevel="0" collapsed="false">
      <c r="DB2062" s="0" t="str">
        <f aca="false">IF($A2062="","",IF($AH2062=20,IF(AND(OR($A2062=21,$A2062=215),$AJ2062=10),"①病院一般",IF(AND($A2062=31,$AJ2062=41),"②病院短期","対象外")),IF($AJ2062=30,"③特定消防",IF(AND(OR($A2062=21,$A2062=215),$AJ2062=10),"④一般",IF(AND($A2062=31,$AJ2062=41),"⑤短期","対象外")))))</f>
        <v/>
      </c>
      <c r="DC2062" s="0" t="str">
        <f aca="false">IF($A2062="","",IF($AB2062&amp;""=設定!$C$4,1,0))</f>
        <v/>
      </c>
    </row>
    <row r="2063" customFormat="false" ht="15" hidden="false" customHeight="false" outlineLevel="0" collapsed="false">
      <c r="DB2063" s="0" t="str">
        <f aca="false">IF($A2063="","",IF($AH2063=20,IF(AND(OR($A2063=21,$A2063=215),$AJ2063=10),"①病院一般",IF(AND($A2063=31,$AJ2063=41),"②病院短期","対象外")),IF($AJ2063=30,"③特定消防",IF(AND(OR($A2063=21,$A2063=215),$AJ2063=10),"④一般",IF(AND($A2063=31,$AJ2063=41),"⑤短期","対象外")))))</f>
        <v/>
      </c>
      <c r="DC2063" s="0" t="str">
        <f aca="false">IF($A2063="","",IF($AB2063&amp;""=設定!$C$4,1,0))</f>
        <v/>
      </c>
    </row>
    <row r="2064" customFormat="false" ht="15" hidden="false" customHeight="false" outlineLevel="0" collapsed="false">
      <c r="DB2064" s="0" t="str">
        <f aca="false">IF($A2064="","",IF($AH2064=20,IF(AND(OR($A2064=21,$A2064=215),$AJ2064=10),"①病院一般",IF(AND($A2064=31,$AJ2064=41),"②病院短期","対象外")),IF($AJ2064=30,"③特定消防",IF(AND(OR($A2064=21,$A2064=215),$AJ2064=10),"④一般",IF(AND($A2064=31,$AJ2064=41),"⑤短期","対象外")))))</f>
        <v/>
      </c>
      <c r="DC2064" s="0" t="str">
        <f aca="false">IF($A2064="","",IF($AB2064&amp;""=設定!$C$4,1,0))</f>
        <v/>
      </c>
    </row>
    <row r="2065" customFormat="false" ht="15" hidden="false" customHeight="false" outlineLevel="0" collapsed="false">
      <c r="DB2065" s="0" t="str">
        <f aca="false">IF($A2065="","",IF($AH2065=20,IF(AND(OR($A2065=21,$A2065=215),$AJ2065=10),"①病院一般",IF(AND($A2065=31,$AJ2065=41),"②病院短期","対象外")),IF($AJ2065=30,"③特定消防",IF(AND(OR($A2065=21,$A2065=215),$AJ2065=10),"④一般",IF(AND($A2065=31,$AJ2065=41),"⑤短期","対象外")))))</f>
        <v/>
      </c>
      <c r="DC2065" s="0" t="str">
        <f aca="false">IF($A2065="","",IF($AB2065&amp;""=設定!$C$4,1,0))</f>
        <v/>
      </c>
    </row>
    <row r="2066" customFormat="false" ht="15" hidden="false" customHeight="false" outlineLevel="0" collapsed="false">
      <c r="DB2066" s="0" t="str">
        <f aca="false">IF($A2066="","",IF($AH2066=20,IF(AND(OR($A2066=21,$A2066=215),$AJ2066=10),"①病院一般",IF(AND($A2066=31,$AJ2066=41),"②病院短期","対象外")),IF($AJ2066=30,"③特定消防",IF(AND(OR($A2066=21,$A2066=215),$AJ2066=10),"④一般",IF(AND($A2066=31,$AJ2066=41),"⑤短期","対象外")))))</f>
        <v/>
      </c>
      <c r="DC2066" s="0" t="str">
        <f aca="false">IF($A2066="","",IF($AB2066&amp;""=設定!$C$4,1,0))</f>
        <v/>
      </c>
    </row>
    <row r="2067" customFormat="false" ht="15" hidden="false" customHeight="false" outlineLevel="0" collapsed="false">
      <c r="DB2067" s="0" t="str">
        <f aca="false">IF($A2067="","",IF($AH2067=20,IF(AND(OR($A2067=21,$A2067=215),$AJ2067=10),"①病院一般",IF(AND($A2067=31,$AJ2067=41),"②病院短期","対象外")),IF($AJ2067=30,"③特定消防",IF(AND(OR($A2067=21,$A2067=215),$AJ2067=10),"④一般",IF(AND($A2067=31,$AJ2067=41),"⑤短期","対象外")))))</f>
        <v/>
      </c>
      <c r="DC2067" s="0" t="str">
        <f aca="false">IF($A2067="","",IF($AB2067&amp;""=設定!$C$4,1,0))</f>
        <v/>
      </c>
    </row>
    <row r="2068" customFormat="false" ht="15" hidden="false" customHeight="false" outlineLevel="0" collapsed="false">
      <c r="DB2068" s="0" t="str">
        <f aca="false">IF($A2068="","",IF($AH2068=20,IF(AND(OR($A2068=21,$A2068=215),$AJ2068=10),"①病院一般",IF(AND($A2068=31,$AJ2068=41),"②病院短期","対象外")),IF($AJ2068=30,"③特定消防",IF(AND(OR($A2068=21,$A2068=215),$AJ2068=10),"④一般",IF(AND($A2068=31,$AJ2068=41),"⑤短期","対象外")))))</f>
        <v/>
      </c>
      <c r="DC2068" s="0" t="str">
        <f aca="false">IF($A2068="","",IF($AB2068&amp;""=設定!$C$4,1,0))</f>
        <v/>
      </c>
    </row>
    <row r="2069" customFormat="false" ht="15" hidden="false" customHeight="false" outlineLevel="0" collapsed="false">
      <c r="DB2069" s="0" t="str">
        <f aca="false">IF($A2069="","",IF($AH2069=20,IF(AND(OR($A2069=21,$A2069=215),$AJ2069=10),"①病院一般",IF(AND($A2069=31,$AJ2069=41),"②病院短期","対象外")),IF($AJ2069=30,"③特定消防",IF(AND(OR($A2069=21,$A2069=215),$AJ2069=10),"④一般",IF(AND($A2069=31,$AJ2069=41),"⑤短期","対象外")))))</f>
        <v/>
      </c>
      <c r="DC2069" s="0" t="str">
        <f aca="false">IF($A2069="","",IF($AB2069&amp;""=設定!$C$4,1,0))</f>
        <v/>
      </c>
    </row>
    <row r="2070" customFormat="false" ht="15" hidden="false" customHeight="false" outlineLevel="0" collapsed="false">
      <c r="DB2070" s="0" t="str">
        <f aca="false">IF($A2070="","",IF($AH2070=20,IF(AND(OR($A2070=21,$A2070=215),$AJ2070=10),"①病院一般",IF(AND($A2070=31,$AJ2070=41),"②病院短期","対象外")),IF($AJ2070=30,"③特定消防",IF(AND(OR($A2070=21,$A2070=215),$AJ2070=10),"④一般",IF(AND($A2070=31,$AJ2070=41),"⑤短期","対象外")))))</f>
        <v/>
      </c>
      <c r="DC2070" s="0" t="str">
        <f aca="false">IF($A2070="","",IF($AB2070&amp;""=設定!$C$4,1,0))</f>
        <v/>
      </c>
    </row>
    <row r="2071" customFormat="false" ht="15" hidden="false" customHeight="false" outlineLevel="0" collapsed="false">
      <c r="DB2071" s="0" t="str">
        <f aca="false">IF($A2071="","",IF($AH2071=20,IF(AND(OR($A2071=21,$A2071=215),$AJ2071=10),"①病院一般",IF(AND($A2071=31,$AJ2071=41),"②病院短期","対象外")),IF($AJ2071=30,"③特定消防",IF(AND(OR($A2071=21,$A2071=215),$AJ2071=10),"④一般",IF(AND($A2071=31,$AJ2071=41),"⑤短期","対象外")))))</f>
        <v/>
      </c>
      <c r="DC2071" s="0" t="str">
        <f aca="false">IF($A2071="","",IF($AB2071&amp;""=設定!$C$4,1,0))</f>
        <v/>
      </c>
    </row>
    <row r="2072" customFormat="false" ht="15" hidden="false" customHeight="false" outlineLevel="0" collapsed="false">
      <c r="DB2072" s="0" t="str">
        <f aca="false">IF($A2072="","",IF($AH2072=20,IF(AND(OR($A2072=21,$A2072=215),$AJ2072=10),"①病院一般",IF(AND($A2072=31,$AJ2072=41),"②病院短期","対象外")),IF($AJ2072=30,"③特定消防",IF(AND(OR($A2072=21,$A2072=215),$AJ2072=10),"④一般",IF(AND($A2072=31,$AJ2072=41),"⑤短期","対象外")))))</f>
        <v/>
      </c>
      <c r="DC2072" s="0" t="str">
        <f aca="false">IF($A2072="","",IF($AB2072&amp;""=設定!$C$4,1,0))</f>
        <v/>
      </c>
    </row>
    <row r="2073" customFormat="false" ht="15" hidden="false" customHeight="false" outlineLevel="0" collapsed="false">
      <c r="DB2073" s="0" t="str">
        <f aca="false">IF($A2073="","",IF($AH2073=20,IF(AND(OR($A2073=21,$A2073=215),$AJ2073=10),"①病院一般",IF(AND($A2073=31,$AJ2073=41),"②病院短期","対象外")),IF($AJ2073=30,"③特定消防",IF(AND(OR($A2073=21,$A2073=215),$AJ2073=10),"④一般",IF(AND($A2073=31,$AJ2073=41),"⑤短期","対象外")))))</f>
        <v/>
      </c>
      <c r="DC2073" s="0" t="str">
        <f aca="false">IF($A2073="","",IF($AB2073&amp;""=設定!$C$4,1,0))</f>
        <v/>
      </c>
    </row>
    <row r="2074" customFormat="false" ht="15" hidden="false" customHeight="false" outlineLevel="0" collapsed="false">
      <c r="DB2074" s="0" t="str">
        <f aca="false">IF($A2074="","",IF($AH2074=20,IF(AND(OR($A2074=21,$A2074=215),$AJ2074=10),"①病院一般",IF(AND($A2074=31,$AJ2074=41),"②病院短期","対象外")),IF($AJ2074=30,"③特定消防",IF(AND(OR($A2074=21,$A2074=215),$AJ2074=10),"④一般",IF(AND($A2074=31,$AJ2074=41),"⑤短期","対象外")))))</f>
        <v/>
      </c>
      <c r="DC2074" s="0" t="str">
        <f aca="false">IF($A2074="","",IF($AB2074&amp;""=設定!$C$4,1,0))</f>
        <v/>
      </c>
    </row>
    <row r="2075" customFormat="false" ht="15" hidden="false" customHeight="false" outlineLevel="0" collapsed="false">
      <c r="DB2075" s="0" t="str">
        <f aca="false">IF($A2075="","",IF($AH2075=20,IF(AND(OR($A2075=21,$A2075=215),$AJ2075=10),"①病院一般",IF(AND($A2075=31,$AJ2075=41),"②病院短期","対象外")),IF($AJ2075=30,"③特定消防",IF(AND(OR($A2075=21,$A2075=215),$AJ2075=10),"④一般",IF(AND($A2075=31,$AJ2075=41),"⑤短期","対象外")))))</f>
        <v/>
      </c>
      <c r="DC2075" s="0" t="str">
        <f aca="false">IF($A2075="","",IF($AB2075&amp;""=設定!$C$4,1,0))</f>
        <v/>
      </c>
    </row>
    <row r="2076" customFormat="false" ht="15" hidden="false" customHeight="false" outlineLevel="0" collapsed="false">
      <c r="DB2076" s="0" t="str">
        <f aca="false">IF($A2076="","",IF($AH2076=20,IF(AND(OR($A2076=21,$A2076=215),$AJ2076=10),"①病院一般",IF(AND($A2076=31,$AJ2076=41),"②病院短期","対象外")),IF($AJ2076=30,"③特定消防",IF(AND(OR($A2076=21,$A2076=215),$AJ2076=10),"④一般",IF(AND($A2076=31,$AJ2076=41),"⑤短期","対象外")))))</f>
        <v/>
      </c>
      <c r="DC2076" s="0" t="str">
        <f aca="false">IF($A2076="","",IF($AB2076&amp;""=設定!$C$4,1,0))</f>
        <v/>
      </c>
    </row>
    <row r="2077" customFormat="false" ht="15" hidden="false" customHeight="false" outlineLevel="0" collapsed="false">
      <c r="DB2077" s="0" t="str">
        <f aca="false">IF($A2077="","",IF($AH2077=20,IF(AND(OR($A2077=21,$A2077=215),$AJ2077=10),"①病院一般",IF(AND($A2077=31,$AJ2077=41),"②病院短期","対象外")),IF($AJ2077=30,"③特定消防",IF(AND(OR($A2077=21,$A2077=215),$AJ2077=10),"④一般",IF(AND($A2077=31,$AJ2077=41),"⑤短期","対象外")))))</f>
        <v/>
      </c>
      <c r="DC2077" s="0" t="str">
        <f aca="false">IF($A2077="","",IF($AB2077&amp;""=設定!$C$4,1,0))</f>
        <v/>
      </c>
    </row>
    <row r="2078" customFormat="false" ht="15" hidden="false" customHeight="false" outlineLevel="0" collapsed="false">
      <c r="DB2078" s="0" t="str">
        <f aca="false">IF($A2078="","",IF($AH2078=20,IF(AND(OR($A2078=21,$A2078=215),$AJ2078=10),"①病院一般",IF(AND($A2078=31,$AJ2078=41),"②病院短期","対象外")),IF($AJ2078=30,"③特定消防",IF(AND(OR($A2078=21,$A2078=215),$AJ2078=10),"④一般",IF(AND($A2078=31,$AJ2078=41),"⑤短期","対象外")))))</f>
        <v/>
      </c>
      <c r="DC2078" s="0" t="str">
        <f aca="false">IF($A2078="","",IF($AB2078&amp;""=設定!$C$4,1,0))</f>
        <v/>
      </c>
    </row>
    <row r="2079" customFormat="false" ht="15" hidden="false" customHeight="false" outlineLevel="0" collapsed="false">
      <c r="DB2079" s="0" t="str">
        <f aca="false">IF($A2079="","",IF($AH2079=20,IF(AND(OR($A2079=21,$A2079=215),$AJ2079=10),"①病院一般",IF(AND($A2079=31,$AJ2079=41),"②病院短期","対象外")),IF($AJ2079=30,"③特定消防",IF(AND(OR($A2079=21,$A2079=215),$AJ2079=10),"④一般",IF(AND($A2079=31,$AJ2079=41),"⑤短期","対象外")))))</f>
        <v/>
      </c>
      <c r="DC2079" s="0" t="str">
        <f aca="false">IF($A2079="","",IF($AB2079&amp;""=設定!$C$4,1,0))</f>
        <v/>
      </c>
    </row>
    <row r="2080" customFormat="false" ht="15" hidden="false" customHeight="false" outlineLevel="0" collapsed="false">
      <c r="DB2080" s="0" t="str">
        <f aca="false">IF($A2080="","",IF($AH2080=20,IF(AND(OR($A2080=21,$A2080=215),$AJ2080=10),"①病院一般",IF(AND($A2080=31,$AJ2080=41),"②病院短期","対象外")),IF($AJ2080=30,"③特定消防",IF(AND(OR($A2080=21,$A2080=215),$AJ2080=10),"④一般",IF(AND($A2080=31,$AJ2080=41),"⑤短期","対象外")))))</f>
        <v/>
      </c>
      <c r="DC2080" s="0" t="str">
        <f aca="false">IF($A2080="","",IF($AB2080&amp;""=設定!$C$4,1,0))</f>
        <v/>
      </c>
    </row>
    <row r="2081" customFormat="false" ht="15" hidden="false" customHeight="false" outlineLevel="0" collapsed="false">
      <c r="DB2081" s="0" t="str">
        <f aca="false">IF($A2081="","",IF($AH2081=20,IF(AND(OR($A2081=21,$A2081=215),$AJ2081=10),"①病院一般",IF(AND($A2081=31,$AJ2081=41),"②病院短期","対象外")),IF($AJ2081=30,"③特定消防",IF(AND(OR($A2081=21,$A2081=215),$AJ2081=10),"④一般",IF(AND($A2081=31,$AJ2081=41),"⑤短期","対象外")))))</f>
        <v/>
      </c>
      <c r="DC2081" s="0" t="str">
        <f aca="false">IF($A2081="","",IF($AB2081&amp;""=設定!$C$4,1,0))</f>
        <v/>
      </c>
    </row>
    <row r="2082" customFormat="false" ht="15" hidden="false" customHeight="false" outlineLevel="0" collapsed="false">
      <c r="DB2082" s="0" t="str">
        <f aca="false">IF($A2082="","",IF($AH2082=20,IF(AND(OR($A2082=21,$A2082=215),$AJ2082=10),"①病院一般",IF(AND($A2082=31,$AJ2082=41),"②病院短期","対象外")),IF($AJ2082=30,"③特定消防",IF(AND(OR($A2082=21,$A2082=215),$AJ2082=10),"④一般",IF(AND($A2082=31,$AJ2082=41),"⑤短期","対象外")))))</f>
        <v/>
      </c>
      <c r="DC2082" s="0" t="str">
        <f aca="false">IF($A2082="","",IF($AB2082&amp;""=設定!$C$4,1,0))</f>
        <v/>
      </c>
    </row>
    <row r="2083" customFormat="false" ht="15" hidden="false" customHeight="false" outlineLevel="0" collapsed="false">
      <c r="DB2083" s="0" t="str">
        <f aca="false">IF($A2083="","",IF($AH2083=20,IF(AND(OR($A2083=21,$A2083=215),$AJ2083=10),"①病院一般",IF(AND($A2083=31,$AJ2083=41),"②病院短期","対象外")),IF($AJ2083=30,"③特定消防",IF(AND(OR($A2083=21,$A2083=215),$AJ2083=10),"④一般",IF(AND($A2083=31,$AJ2083=41),"⑤短期","対象外")))))</f>
        <v/>
      </c>
      <c r="DC2083" s="0" t="str">
        <f aca="false">IF($A2083="","",IF($AB2083&amp;""=設定!$C$4,1,0))</f>
        <v/>
      </c>
    </row>
    <row r="2084" customFormat="false" ht="15" hidden="false" customHeight="false" outlineLevel="0" collapsed="false">
      <c r="DB2084" s="0" t="str">
        <f aca="false">IF($A2084="","",IF($AH2084=20,IF(AND(OR($A2084=21,$A2084=215),$AJ2084=10),"①病院一般",IF(AND($A2084=31,$AJ2084=41),"②病院短期","対象外")),IF($AJ2084=30,"③特定消防",IF(AND(OR($A2084=21,$A2084=215),$AJ2084=10),"④一般",IF(AND($A2084=31,$AJ2084=41),"⑤短期","対象外")))))</f>
        <v/>
      </c>
      <c r="DC2084" s="0" t="str">
        <f aca="false">IF($A2084="","",IF($AB2084&amp;""=設定!$C$4,1,0))</f>
        <v/>
      </c>
    </row>
    <row r="2085" customFormat="false" ht="15" hidden="false" customHeight="false" outlineLevel="0" collapsed="false">
      <c r="DB2085" s="0" t="str">
        <f aca="false">IF($A2085="","",IF($AH2085=20,IF(AND(OR($A2085=21,$A2085=215),$AJ2085=10),"①病院一般",IF(AND($A2085=31,$AJ2085=41),"②病院短期","対象外")),IF($AJ2085=30,"③特定消防",IF(AND(OR($A2085=21,$A2085=215),$AJ2085=10),"④一般",IF(AND($A2085=31,$AJ2085=41),"⑤短期","対象外")))))</f>
        <v/>
      </c>
      <c r="DC2085" s="0" t="str">
        <f aca="false">IF($A2085="","",IF($AB2085&amp;""=設定!$C$4,1,0))</f>
        <v/>
      </c>
    </row>
    <row r="2086" customFormat="false" ht="15" hidden="false" customHeight="false" outlineLevel="0" collapsed="false">
      <c r="DB2086" s="0" t="str">
        <f aca="false">IF($A2086="","",IF($AH2086=20,IF(AND(OR($A2086=21,$A2086=215),$AJ2086=10),"①病院一般",IF(AND($A2086=31,$AJ2086=41),"②病院短期","対象外")),IF($AJ2086=30,"③特定消防",IF(AND(OR($A2086=21,$A2086=215),$AJ2086=10),"④一般",IF(AND($A2086=31,$AJ2086=41),"⑤短期","対象外")))))</f>
        <v/>
      </c>
      <c r="DC2086" s="0" t="str">
        <f aca="false">IF($A2086="","",IF($AB2086&amp;""=設定!$C$4,1,0))</f>
        <v/>
      </c>
    </row>
    <row r="2087" customFormat="false" ht="15" hidden="false" customHeight="false" outlineLevel="0" collapsed="false">
      <c r="DB2087" s="0" t="str">
        <f aca="false">IF($A2087="","",IF($AH2087=20,IF(AND(OR($A2087=21,$A2087=215),$AJ2087=10),"①病院一般",IF(AND($A2087=31,$AJ2087=41),"②病院短期","対象外")),IF($AJ2087=30,"③特定消防",IF(AND(OR($A2087=21,$A2087=215),$AJ2087=10),"④一般",IF(AND($A2087=31,$AJ2087=41),"⑤短期","対象外")))))</f>
        <v/>
      </c>
      <c r="DC2087" s="0" t="str">
        <f aca="false">IF($A2087="","",IF($AB2087&amp;""=設定!$C$4,1,0))</f>
        <v/>
      </c>
    </row>
    <row r="2088" customFormat="false" ht="15" hidden="false" customHeight="false" outlineLevel="0" collapsed="false">
      <c r="DB2088" s="0" t="str">
        <f aca="false">IF($A2088="","",IF($AH2088=20,IF(AND(OR($A2088=21,$A2088=215),$AJ2088=10),"①病院一般",IF(AND($A2088=31,$AJ2088=41),"②病院短期","対象外")),IF($AJ2088=30,"③特定消防",IF(AND(OR($A2088=21,$A2088=215),$AJ2088=10),"④一般",IF(AND($A2088=31,$AJ2088=41),"⑤短期","対象外")))))</f>
        <v/>
      </c>
      <c r="DC2088" s="0" t="str">
        <f aca="false">IF($A2088="","",IF($AB2088&amp;""=設定!$C$4,1,0))</f>
        <v/>
      </c>
    </row>
    <row r="2089" customFormat="false" ht="15" hidden="false" customHeight="false" outlineLevel="0" collapsed="false">
      <c r="DB2089" s="0" t="str">
        <f aca="false">IF($A2089="","",IF($AH2089=20,IF(AND(OR($A2089=21,$A2089=215),$AJ2089=10),"①病院一般",IF(AND($A2089=31,$AJ2089=41),"②病院短期","対象外")),IF($AJ2089=30,"③特定消防",IF(AND(OR($A2089=21,$A2089=215),$AJ2089=10),"④一般",IF(AND($A2089=31,$AJ2089=41),"⑤短期","対象外")))))</f>
        <v/>
      </c>
      <c r="DC2089" s="0" t="str">
        <f aca="false">IF($A2089="","",IF($AB2089&amp;""=設定!$C$4,1,0))</f>
        <v/>
      </c>
    </row>
    <row r="2090" customFormat="false" ht="15" hidden="false" customHeight="false" outlineLevel="0" collapsed="false">
      <c r="DB2090" s="0" t="str">
        <f aca="false">IF($A2090="","",IF($AH2090=20,IF(AND(OR($A2090=21,$A2090=215),$AJ2090=10),"①病院一般",IF(AND($A2090=31,$AJ2090=41),"②病院短期","対象外")),IF($AJ2090=30,"③特定消防",IF(AND(OR($A2090=21,$A2090=215),$AJ2090=10),"④一般",IF(AND($A2090=31,$AJ2090=41),"⑤短期","対象外")))))</f>
        <v/>
      </c>
      <c r="DC2090" s="0" t="str">
        <f aca="false">IF($A2090="","",IF($AB2090&amp;""=設定!$C$4,1,0))</f>
        <v/>
      </c>
    </row>
    <row r="2091" customFormat="false" ht="15" hidden="false" customHeight="false" outlineLevel="0" collapsed="false">
      <c r="DB2091" s="0" t="str">
        <f aca="false">IF($A2091="","",IF($AH2091=20,IF(AND(OR($A2091=21,$A2091=215),$AJ2091=10),"①病院一般",IF(AND($A2091=31,$AJ2091=41),"②病院短期","対象外")),IF($AJ2091=30,"③特定消防",IF(AND(OR($A2091=21,$A2091=215),$AJ2091=10),"④一般",IF(AND($A2091=31,$AJ2091=41),"⑤短期","対象外")))))</f>
        <v/>
      </c>
      <c r="DC2091" s="0" t="str">
        <f aca="false">IF($A2091="","",IF($AB2091&amp;""=設定!$C$4,1,0))</f>
        <v/>
      </c>
    </row>
    <row r="2092" customFormat="false" ht="15" hidden="false" customHeight="false" outlineLevel="0" collapsed="false">
      <c r="DB2092" s="0" t="str">
        <f aca="false">IF($A2092="","",IF($AH2092=20,IF(AND(OR($A2092=21,$A2092=215),$AJ2092=10),"①病院一般",IF(AND($A2092=31,$AJ2092=41),"②病院短期","対象外")),IF($AJ2092=30,"③特定消防",IF(AND(OR($A2092=21,$A2092=215),$AJ2092=10),"④一般",IF(AND($A2092=31,$AJ2092=41),"⑤短期","対象外")))))</f>
        <v/>
      </c>
      <c r="DC2092" s="0" t="str">
        <f aca="false">IF($A2092="","",IF($AB2092&amp;""=設定!$C$4,1,0))</f>
        <v/>
      </c>
    </row>
    <row r="2093" customFormat="false" ht="15" hidden="false" customHeight="false" outlineLevel="0" collapsed="false">
      <c r="DB2093" s="0" t="str">
        <f aca="false">IF($A2093="","",IF($AH2093=20,IF(AND(OR($A2093=21,$A2093=215),$AJ2093=10),"①病院一般",IF(AND($A2093=31,$AJ2093=41),"②病院短期","対象外")),IF($AJ2093=30,"③特定消防",IF(AND(OR($A2093=21,$A2093=215),$AJ2093=10),"④一般",IF(AND($A2093=31,$AJ2093=41),"⑤短期","対象外")))))</f>
        <v/>
      </c>
      <c r="DC2093" s="0" t="str">
        <f aca="false">IF($A2093="","",IF($AB2093&amp;""=設定!$C$4,1,0))</f>
        <v/>
      </c>
    </row>
    <row r="2094" customFormat="false" ht="15" hidden="false" customHeight="false" outlineLevel="0" collapsed="false">
      <c r="DB2094" s="0" t="str">
        <f aca="false">IF($A2094="","",IF($AH2094=20,IF(AND(OR($A2094=21,$A2094=215),$AJ2094=10),"①病院一般",IF(AND($A2094=31,$AJ2094=41),"②病院短期","対象外")),IF($AJ2094=30,"③特定消防",IF(AND(OR($A2094=21,$A2094=215),$AJ2094=10),"④一般",IF(AND($A2094=31,$AJ2094=41),"⑤短期","対象外")))))</f>
        <v/>
      </c>
      <c r="DC2094" s="0" t="str">
        <f aca="false">IF($A2094="","",IF($AB2094&amp;""=設定!$C$4,1,0))</f>
        <v/>
      </c>
    </row>
    <row r="2095" customFormat="false" ht="15" hidden="false" customHeight="false" outlineLevel="0" collapsed="false">
      <c r="DB2095" s="0" t="str">
        <f aca="false">IF($A2095="","",IF($AH2095=20,IF(AND(OR($A2095=21,$A2095=215),$AJ2095=10),"①病院一般",IF(AND($A2095=31,$AJ2095=41),"②病院短期","対象外")),IF($AJ2095=30,"③特定消防",IF(AND(OR($A2095=21,$A2095=215),$AJ2095=10),"④一般",IF(AND($A2095=31,$AJ2095=41),"⑤短期","対象外")))))</f>
        <v/>
      </c>
      <c r="DC2095" s="0" t="str">
        <f aca="false">IF($A2095="","",IF($AB2095&amp;""=設定!$C$4,1,0))</f>
        <v/>
      </c>
    </row>
    <row r="2096" customFormat="false" ht="15" hidden="false" customHeight="false" outlineLevel="0" collapsed="false">
      <c r="DB2096" s="0" t="str">
        <f aca="false">IF($A2096="","",IF($AH2096=20,IF(AND(OR($A2096=21,$A2096=215),$AJ2096=10),"①病院一般",IF(AND($A2096=31,$AJ2096=41),"②病院短期","対象外")),IF($AJ2096=30,"③特定消防",IF(AND(OR($A2096=21,$A2096=215),$AJ2096=10),"④一般",IF(AND($A2096=31,$AJ2096=41),"⑤短期","対象外")))))</f>
        <v/>
      </c>
      <c r="DC2096" s="0" t="str">
        <f aca="false">IF($A2096="","",IF($AB2096&amp;""=設定!$C$4,1,0))</f>
        <v/>
      </c>
    </row>
    <row r="2097" customFormat="false" ht="15" hidden="false" customHeight="false" outlineLevel="0" collapsed="false">
      <c r="DB2097" s="0" t="str">
        <f aca="false">IF($A2097="","",IF($AH2097=20,IF(AND(OR($A2097=21,$A2097=215),$AJ2097=10),"①病院一般",IF(AND($A2097=31,$AJ2097=41),"②病院短期","対象外")),IF($AJ2097=30,"③特定消防",IF(AND(OR($A2097=21,$A2097=215),$AJ2097=10),"④一般",IF(AND($A2097=31,$AJ2097=41),"⑤短期","対象外")))))</f>
        <v/>
      </c>
      <c r="DC2097" s="0" t="str">
        <f aca="false">IF($A2097="","",IF($AB2097&amp;""=設定!$C$4,1,0))</f>
        <v/>
      </c>
    </row>
    <row r="2098" customFormat="false" ht="15" hidden="false" customHeight="false" outlineLevel="0" collapsed="false">
      <c r="DB2098" s="0" t="str">
        <f aca="false">IF($A2098="","",IF($AH2098=20,IF(AND(OR($A2098=21,$A2098=215),$AJ2098=10),"①病院一般",IF(AND($A2098=31,$AJ2098=41),"②病院短期","対象外")),IF($AJ2098=30,"③特定消防",IF(AND(OR($A2098=21,$A2098=215),$AJ2098=10),"④一般",IF(AND($A2098=31,$AJ2098=41),"⑤短期","対象外")))))</f>
        <v/>
      </c>
      <c r="DC2098" s="0" t="str">
        <f aca="false">IF($A2098="","",IF($AB2098&amp;""=設定!$C$4,1,0))</f>
        <v/>
      </c>
    </row>
    <row r="2099" customFormat="false" ht="15" hidden="false" customHeight="false" outlineLevel="0" collapsed="false">
      <c r="DB2099" s="0" t="str">
        <f aca="false">IF($A2099="","",IF($AH2099=20,IF(AND(OR($A2099=21,$A2099=215),$AJ2099=10),"①病院一般",IF(AND($A2099=31,$AJ2099=41),"②病院短期","対象外")),IF($AJ2099=30,"③特定消防",IF(AND(OR($A2099=21,$A2099=215),$AJ2099=10),"④一般",IF(AND($A2099=31,$AJ2099=41),"⑤短期","対象外")))))</f>
        <v/>
      </c>
      <c r="DC2099" s="0" t="str">
        <f aca="false">IF($A2099="","",IF($AB2099&amp;""=設定!$C$4,1,0))</f>
        <v/>
      </c>
    </row>
    <row r="2100" customFormat="false" ht="15" hidden="false" customHeight="false" outlineLevel="0" collapsed="false">
      <c r="DB2100" s="0" t="str">
        <f aca="false">IF($A2100="","",IF($AH2100=20,IF(AND(OR($A2100=21,$A2100=215),$AJ2100=10),"①病院一般",IF(AND($A2100=31,$AJ2100=41),"②病院短期","対象外")),IF($AJ2100=30,"③特定消防",IF(AND(OR($A2100=21,$A2100=215),$AJ2100=10),"④一般",IF(AND($A2100=31,$AJ2100=41),"⑤短期","対象外")))))</f>
        <v/>
      </c>
      <c r="DC2100" s="0" t="str">
        <f aca="false">IF($A2100="","",IF($AB2100&amp;""=設定!$C$4,1,0))</f>
        <v/>
      </c>
    </row>
    <row r="2101" customFormat="false" ht="15" hidden="false" customHeight="false" outlineLevel="0" collapsed="false">
      <c r="DB2101" s="0" t="str">
        <f aca="false">IF($A2101="","",IF($AH2101=20,IF(AND(OR($A2101=21,$A2101=215),$AJ2101=10),"①病院一般",IF(AND($A2101=31,$AJ2101=41),"②病院短期","対象外")),IF($AJ2101=30,"③特定消防",IF(AND(OR($A2101=21,$A2101=215),$AJ2101=10),"④一般",IF(AND($A2101=31,$AJ2101=41),"⑤短期","対象外")))))</f>
        <v/>
      </c>
      <c r="DC2101" s="0" t="str">
        <f aca="false">IF($A2101="","",IF($AB2101&amp;""=設定!$C$4,1,0))</f>
        <v/>
      </c>
    </row>
    <row r="2102" customFormat="false" ht="15" hidden="false" customHeight="false" outlineLevel="0" collapsed="false">
      <c r="DB2102" s="0" t="str">
        <f aca="false">IF($A2102="","",IF($AH2102=20,IF(AND(OR($A2102=21,$A2102=215),$AJ2102=10),"①病院一般",IF(AND($A2102=31,$AJ2102=41),"②病院短期","対象外")),IF($AJ2102=30,"③特定消防",IF(AND(OR($A2102=21,$A2102=215),$AJ2102=10),"④一般",IF(AND($A2102=31,$AJ2102=41),"⑤短期","対象外")))))</f>
        <v/>
      </c>
      <c r="DC2102" s="0" t="str">
        <f aca="false">IF($A2102="","",IF($AB2102&amp;""=設定!$C$4,1,0))</f>
        <v/>
      </c>
    </row>
    <row r="2103" customFormat="false" ht="15" hidden="false" customHeight="false" outlineLevel="0" collapsed="false">
      <c r="DB2103" s="0" t="str">
        <f aca="false">IF($A2103="","",IF($AH2103=20,IF(AND(OR($A2103=21,$A2103=215),$AJ2103=10),"①病院一般",IF(AND($A2103=31,$AJ2103=41),"②病院短期","対象外")),IF($AJ2103=30,"③特定消防",IF(AND(OR($A2103=21,$A2103=215),$AJ2103=10),"④一般",IF(AND($A2103=31,$AJ2103=41),"⑤短期","対象外")))))</f>
        <v/>
      </c>
      <c r="DC2103" s="0" t="str">
        <f aca="false">IF($A2103="","",IF($AB2103&amp;""=設定!$C$4,1,0))</f>
        <v/>
      </c>
    </row>
    <row r="2104" customFormat="false" ht="15" hidden="false" customHeight="false" outlineLevel="0" collapsed="false">
      <c r="DB2104" s="0" t="str">
        <f aca="false">IF($A2104="","",IF($AH2104=20,IF(AND(OR($A2104=21,$A2104=215),$AJ2104=10),"①病院一般",IF(AND($A2104=31,$AJ2104=41),"②病院短期","対象外")),IF($AJ2104=30,"③特定消防",IF(AND(OR($A2104=21,$A2104=215),$AJ2104=10),"④一般",IF(AND($A2104=31,$AJ2104=41),"⑤短期","対象外")))))</f>
        <v/>
      </c>
      <c r="DC2104" s="0" t="str">
        <f aca="false">IF($A2104="","",IF($AB2104&amp;""=設定!$C$4,1,0))</f>
        <v/>
      </c>
    </row>
    <row r="2105" customFormat="false" ht="15" hidden="false" customHeight="false" outlineLevel="0" collapsed="false">
      <c r="DB2105" s="0" t="str">
        <f aca="false">IF($A2105="","",IF($AH2105=20,IF(AND(OR($A2105=21,$A2105=215),$AJ2105=10),"①病院一般",IF(AND($A2105=31,$AJ2105=41),"②病院短期","対象外")),IF($AJ2105=30,"③特定消防",IF(AND(OR($A2105=21,$A2105=215),$AJ2105=10),"④一般",IF(AND($A2105=31,$AJ2105=41),"⑤短期","対象外")))))</f>
        <v/>
      </c>
      <c r="DC2105" s="0" t="str">
        <f aca="false">IF($A2105="","",IF($AB2105&amp;""=設定!$C$4,1,0))</f>
        <v/>
      </c>
    </row>
    <row r="2106" customFormat="false" ht="15" hidden="false" customHeight="false" outlineLevel="0" collapsed="false">
      <c r="DB2106" s="0" t="str">
        <f aca="false">IF($A2106="","",IF($AH2106=20,IF(AND(OR($A2106=21,$A2106=215),$AJ2106=10),"①病院一般",IF(AND($A2106=31,$AJ2106=41),"②病院短期","対象外")),IF($AJ2106=30,"③特定消防",IF(AND(OR($A2106=21,$A2106=215),$AJ2106=10),"④一般",IF(AND($A2106=31,$AJ2106=41),"⑤短期","対象外")))))</f>
        <v/>
      </c>
      <c r="DC2106" s="0" t="str">
        <f aca="false">IF($A2106="","",IF($AB2106&amp;""=設定!$C$4,1,0))</f>
        <v/>
      </c>
    </row>
    <row r="2107" customFormat="false" ht="15" hidden="false" customHeight="false" outlineLevel="0" collapsed="false">
      <c r="DB2107" s="0" t="str">
        <f aca="false">IF($A2107="","",IF($AH2107=20,IF(AND(OR($A2107=21,$A2107=215),$AJ2107=10),"①病院一般",IF(AND($A2107=31,$AJ2107=41),"②病院短期","対象外")),IF($AJ2107=30,"③特定消防",IF(AND(OR($A2107=21,$A2107=215),$AJ2107=10),"④一般",IF(AND($A2107=31,$AJ2107=41),"⑤短期","対象外")))))</f>
        <v/>
      </c>
      <c r="DC2107" s="0" t="str">
        <f aca="false">IF($A2107="","",IF($AB2107&amp;""=設定!$C$4,1,0))</f>
        <v/>
      </c>
    </row>
    <row r="2108" customFormat="false" ht="15" hidden="false" customHeight="false" outlineLevel="0" collapsed="false">
      <c r="DB2108" s="0" t="str">
        <f aca="false">IF($A2108="","",IF($AH2108=20,IF(AND(OR($A2108=21,$A2108=215),$AJ2108=10),"①病院一般",IF(AND($A2108=31,$AJ2108=41),"②病院短期","対象外")),IF($AJ2108=30,"③特定消防",IF(AND(OR($A2108=21,$A2108=215),$AJ2108=10),"④一般",IF(AND($A2108=31,$AJ2108=41),"⑤短期","対象外")))))</f>
        <v/>
      </c>
      <c r="DC2108" s="0" t="str">
        <f aca="false">IF($A2108="","",IF($AB2108&amp;""=設定!$C$4,1,0))</f>
        <v/>
      </c>
    </row>
    <row r="2109" customFormat="false" ht="15" hidden="false" customHeight="false" outlineLevel="0" collapsed="false">
      <c r="DB2109" s="0" t="str">
        <f aca="false">IF($A2109="","",IF($AH2109=20,IF(AND(OR($A2109=21,$A2109=215),$AJ2109=10),"①病院一般",IF(AND($A2109=31,$AJ2109=41),"②病院短期","対象外")),IF($AJ2109=30,"③特定消防",IF(AND(OR($A2109=21,$A2109=215),$AJ2109=10),"④一般",IF(AND($A2109=31,$AJ2109=41),"⑤短期","対象外")))))</f>
        <v/>
      </c>
      <c r="DC2109" s="0" t="str">
        <f aca="false">IF($A2109="","",IF($AB2109&amp;""=設定!$C$4,1,0))</f>
        <v/>
      </c>
    </row>
    <row r="2110" customFormat="false" ht="15" hidden="false" customHeight="false" outlineLevel="0" collapsed="false">
      <c r="DB2110" s="0" t="str">
        <f aca="false">IF($A2110="","",IF($AH2110=20,IF(AND(OR($A2110=21,$A2110=215),$AJ2110=10),"①病院一般",IF(AND($A2110=31,$AJ2110=41),"②病院短期","対象外")),IF($AJ2110=30,"③特定消防",IF(AND(OR($A2110=21,$A2110=215),$AJ2110=10),"④一般",IF(AND($A2110=31,$AJ2110=41),"⑤短期","対象外")))))</f>
        <v/>
      </c>
      <c r="DC2110" s="0" t="str">
        <f aca="false">IF($A2110="","",IF($AB2110&amp;""=設定!$C$4,1,0))</f>
        <v/>
      </c>
    </row>
    <row r="2111" customFormat="false" ht="15" hidden="false" customHeight="false" outlineLevel="0" collapsed="false">
      <c r="DB2111" s="0" t="str">
        <f aca="false">IF($A2111="","",IF($AH2111=20,IF(AND(OR($A2111=21,$A2111=215),$AJ2111=10),"①病院一般",IF(AND($A2111=31,$AJ2111=41),"②病院短期","対象外")),IF($AJ2111=30,"③特定消防",IF(AND(OR($A2111=21,$A2111=215),$AJ2111=10),"④一般",IF(AND($A2111=31,$AJ2111=41),"⑤短期","対象外")))))</f>
        <v/>
      </c>
      <c r="DC2111" s="0" t="str">
        <f aca="false">IF($A2111="","",IF($AB2111&amp;""=設定!$C$4,1,0))</f>
        <v/>
      </c>
    </row>
    <row r="2112" customFormat="false" ht="15" hidden="false" customHeight="false" outlineLevel="0" collapsed="false">
      <c r="DB2112" s="0" t="str">
        <f aca="false">IF($A2112="","",IF($AH2112=20,IF(AND(OR($A2112=21,$A2112=215),$AJ2112=10),"①病院一般",IF(AND($A2112=31,$AJ2112=41),"②病院短期","対象外")),IF($AJ2112=30,"③特定消防",IF(AND(OR($A2112=21,$A2112=215),$AJ2112=10),"④一般",IF(AND($A2112=31,$AJ2112=41),"⑤短期","対象外")))))</f>
        <v/>
      </c>
      <c r="DC2112" s="0" t="str">
        <f aca="false">IF($A2112="","",IF($AB2112&amp;""=設定!$C$4,1,0))</f>
        <v/>
      </c>
    </row>
    <row r="2113" customFormat="false" ht="15" hidden="false" customHeight="false" outlineLevel="0" collapsed="false">
      <c r="DB2113" s="0" t="str">
        <f aca="false">IF($A2113="","",IF($AH2113=20,IF(AND(OR($A2113=21,$A2113=215),$AJ2113=10),"①病院一般",IF(AND($A2113=31,$AJ2113=41),"②病院短期","対象外")),IF($AJ2113=30,"③特定消防",IF(AND(OR($A2113=21,$A2113=215),$AJ2113=10),"④一般",IF(AND($A2113=31,$AJ2113=41),"⑤短期","対象外")))))</f>
        <v/>
      </c>
      <c r="DC2113" s="0" t="str">
        <f aca="false">IF($A2113="","",IF($AB2113&amp;""=設定!$C$4,1,0))</f>
        <v/>
      </c>
    </row>
    <row r="2114" customFormat="false" ht="15" hidden="false" customHeight="false" outlineLevel="0" collapsed="false">
      <c r="DB2114" s="0" t="str">
        <f aca="false">IF($A2114="","",IF($AH2114=20,IF(AND(OR($A2114=21,$A2114=215),$AJ2114=10),"①病院一般",IF(AND($A2114=31,$AJ2114=41),"②病院短期","対象外")),IF($AJ2114=30,"③特定消防",IF(AND(OR($A2114=21,$A2114=215),$AJ2114=10),"④一般",IF(AND($A2114=31,$AJ2114=41),"⑤短期","対象外")))))</f>
        <v/>
      </c>
      <c r="DC2114" s="0" t="str">
        <f aca="false">IF($A2114="","",IF($AB2114&amp;""=設定!$C$4,1,0))</f>
        <v/>
      </c>
    </row>
    <row r="2115" customFormat="false" ht="15" hidden="false" customHeight="false" outlineLevel="0" collapsed="false">
      <c r="DB2115" s="0" t="str">
        <f aca="false">IF($A2115="","",IF($AH2115=20,IF(AND(OR($A2115=21,$A2115=215),$AJ2115=10),"①病院一般",IF(AND($A2115=31,$AJ2115=41),"②病院短期","対象外")),IF($AJ2115=30,"③特定消防",IF(AND(OR($A2115=21,$A2115=215),$AJ2115=10),"④一般",IF(AND($A2115=31,$AJ2115=41),"⑤短期","対象外")))))</f>
        <v/>
      </c>
      <c r="DC2115" s="0" t="str">
        <f aca="false">IF($A2115="","",IF($AB2115&amp;""=設定!$C$4,1,0))</f>
        <v/>
      </c>
    </row>
    <row r="2116" customFormat="false" ht="15" hidden="false" customHeight="false" outlineLevel="0" collapsed="false">
      <c r="DB2116" s="0" t="str">
        <f aca="false">IF($A2116="","",IF($AH2116=20,IF(AND(OR($A2116=21,$A2116=215),$AJ2116=10),"①病院一般",IF(AND($A2116=31,$AJ2116=41),"②病院短期","対象外")),IF($AJ2116=30,"③特定消防",IF(AND(OR($A2116=21,$A2116=215),$AJ2116=10),"④一般",IF(AND($A2116=31,$AJ2116=41),"⑤短期","対象外")))))</f>
        <v/>
      </c>
      <c r="DC2116" s="0" t="str">
        <f aca="false">IF($A2116="","",IF($AB2116&amp;""=設定!$C$4,1,0))</f>
        <v/>
      </c>
    </row>
    <row r="2117" customFormat="false" ht="15" hidden="false" customHeight="false" outlineLevel="0" collapsed="false">
      <c r="DB2117" s="0" t="str">
        <f aca="false">IF($A2117="","",IF($AH2117=20,IF(AND(OR($A2117=21,$A2117=215),$AJ2117=10),"①病院一般",IF(AND($A2117=31,$AJ2117=41),"②病院短期","対象外")),IF($AJ2117=30,"③特定消防",IF(AND(OR($A2117=21,$A2117=215),$AJ2117=10),"④一般",IF(AND($A2117=31,$AJ2117=41),"⑤短期","対象外")))))</f>
        <v/>
      </c>
      <c r="DC2117" s="0" t="str">
        <f aca="false">IF($A2117="","",IF($AB2117&amp;""=設定!$C$4,1,0))</f>
        <v/>
      </c>
    </row>
    <row r="2118" customFormat="false" ht="15" hidden="false" customHeight="false" outlineLevel="0" collapsed="false">
      <c r="DB2118" s="0" t="str">
        <f aca="false">IF($A2118="","",IF($AH2118=20,IF(AND(OR($A2118=21,$A2118=215),$AJ2118=10),"①病院一般",IF(AND($A2118=31,$AJ2118=41),"②病院短期","対象外")),IF($AJ2118=30,"③特定消防",IF(AND(OR($A2118=21,$A2118=215),$AJ2118=10),"④一般",IF(AND($A2118=31,$AJ2118=41),"⑤短期","対象外")))))</f>
        <v/>
      </c>
      <c r="DC2118" s="0" t="str">
        <f aca="false">IF($A2118="","",IF($AB2118&amp;""=設定!$C$4,1,0))</f>
        <v/>
      </c>
    </row>
    <row r="2119" customFormat="false" ht="15" hidden="false" customHeight="false" outlineLevel="0" collapsed="false">
      <c r="DB2119" s="0" t="str">
        <f aca="false">IF($A2119="","",IF($AH2119=20,IF(AND(OR($A2119=21,$A2119=215),$AJ2119=10),"①病院一般",IF(AND($A2119=31,$AJ2119=41),"②病院短期","対象外")),IF($AJ2119=30,"③特定消防",IF(AND(OR($A2119=21,$A2119=215),$AJ2119=10),"④一般",IF(AND($A2119=31,$AJ2119=41),"⑤短期","対象外")))))</f>
        <v/>
      </c>
      <c r="DC2119" s="0" t="str">
        <f aca="false">IF($A2119="","",IF($AB2119&amp;""=設定!$C$4,1,0))</f>
        <v/>
      </c>
    </row>
    <row r="2120" customFormat="false" ht="15" hidden="false" customHeight="false" outlineLevel="0" collapsed="false">
      <c r="DB2120" s="0" t="str">
        <f aca="false">IF($A2120="","",IF($AH2120=20,IF(AND(OR($A2120=21,$A2120=215),$AJ2120=10),"①病院一般",IF(AND($A2120=31,$AJ2120=41),"②病院短期","対象外")),IF($AJ2120=30,"③特定消防",IF(AND(OR($A2120=21,$A2120=215),$AJ2120=10),"④一般",IF(AND($A2120=31,$AJ2120=41),"⑤短期","対象外")))))</f>
        <v/>
      </c>
      <c r="DC2120" s="0" t="str">
        <f aca="false">IF($A2120="","",IF($AB2120&amp;""=設定!$C$4,1,0))</f>
        <v/>
      </c>
    </row>
    <row r="2121" customFormat="false" ht="15" hidden="false" customHeight="false" outlineLevel="0" collapsed="false">
      <c r="DB2121" s="0" t="str">
        <f aca="false">IF($A2121="","",IF($AH2121=20,IF(AND(OR($A2121=21,$A2121=215),$AJ2121=10),"①病院一般",IF(AND($A2121=31,$AJ2121=41),"②病院短期","対象外")),IF($AJ2121=30,"③特定消防",IF(AND(OR($A2121=21,$A2121=215),$AJ2121=10),"④一般",IF(AND($A2121=31,$AJ2121=41),"⑤短期","対象外")))))</f>
        <v/>
      </c>
      <c r="DC2121" s="0" t="str">
        <f aca="false">IF($A2121="","",IF($AB2121&amp;""=設定!$C$4,1,0))</f>
        <v/>
      </c>
    </row>
    <row r="2122" customFormat="false" ht="15" hidden="false" customHeight="false" outlineLevel="0" collapsed="false">
      <c r="DB2122" s="0" t="str">
        <f aca="false">IF($A2122="","",IF($AH2122=20,IF(AND(OR($A2122=21,$A2122=215),$AJ2122=10),"①病院一般",IF(AND($A2122=31,$AJ2122=41),"②病院短期","対象外")),IF($AJ2122=30,"③特定消防",IF(AND(OR($A2122=21,$A2122=215),$AJ2122=10),"④一般",IF(AND($A2122=31,$AJ2122=41),"⑤短期","対象外")))))</f>
        <v/>
      </c>
      <c r="DC2122" s="0" t="str">
        <f aca="false">IF($A2122="","",IF($AB2122&amp;""=設定!$C$4,1,0))</f>
        <v/>
      </c>
    </row>
    <row r="2123" customFormat="false" ht="15" hidden="false" customHeight="false" outlineLevel="0" collapsed="false">
      <c r="DB2123" s="0" t="str">
        <f aca="false">IF($A2123="","",IF($AH2123=20,IF(AND(OR($A2123=21,$A2123=215),$AJ2123=10),"①病院一般",IF(AND($A2123=31,$AJ2123=41),"②病院短期","対象外")),IF($AJ2123=30,"③特定消防",IF(AND(OR($A2123=21,$A2123=215),$AJ2123=10),"④一般",IF(AND($A2123=31,$AJ2123=41),"⑤短期","対象外")))))</f>
        <v/>
      </c>
      <c r="DC2123" s="0" t="str">
        <f aca="false">IF($A2123="","",IF($AB2123&amp;""=設定!$C$4,1,0))</f>
        <v/>
      </c>
    </row>
    <row r="2124" customFormat="false" ht="15" hidden="false" customHeight="false" outlineLevel="0" collapsed="false">
      <c r="DB2124" s="0" t="str">
        <f aca="false">IF($A2124="","",IF($AH2124=20,IF(AND(OR($A2124=21,$A2124=215),$AJ2124=10),"①病院一般",IF(AND($A2124=31,$AJ2124=41),"②病院短期","対象外")),IF($AJ2124=30,"③特定消防",IF(AND(OR($A2124=21,$A2124=215),$AJ2124=10),"④一般",IF(AND($A2124=31,$AJ2124=41),"⑤短期","対象外")))))</f>
        <v/>
      </c>
      <c r="DC2124" s="0" t="str">
        <f aca="false">IF($A2124="","",IF($AB2124&amp;""=設定!$C$4,1,0))</f>
        <v/>
      </c>
    </row>
    <row r="2125" customFormat="false" ht="15" hidden="false" customHeight="false" outlineLevel="0" collapsed="false">
      <c r="DB2125" s="0" t="str">
        <f aca="false">IF($A2125="","",IF($AH2125=20,IF(AND(OR($A2125=21,$A2125=215),$AJ2125=10),"①病院一般",IF(AND($A2125=31,$AJ2125=41),"②病院短期","対象外")),IF($AJ2125=30,"③特定消防",IF(AND(OR($A2125=21,$A2125=215),$AJ2125=10),"④一般",IF(AND($A2125=31,$AJ2125=41),"⑤短期","対象外")))))</f>
        <v/>
      </c>
      <c r="DC2125" s="0" t="str">
        <f aca="false">IF($A2125="","",IF($AB2125&amp;""=設定!$C$4,1,0))</f>
        <v/>
      </c>
    </row>
    <row r="2126" customFormat="false" ht="15" hidden="false" customHeight="false" outlineLevel="0" collapsed="false">
      <c r="DB2126" s="0" t="str">
        <f aca="false">IF($A2126="","",IF($AH2126=20,IF(AND(OR($A2126=21,$A2126=215),$AJ2126=10),"①病院一般",IF(AND($A2126=31,$AJ2126=41),"②病院短期","対象外")),IF($AJ2126=30,"③特定消防",IF(AND(OR($A2126=21,$A2126=215),$AJ2126=10),"④一般",IF(AND($A2126=31,$AJ2126=41),"⑤短期","対象外")))))</f>
        <v/>
      </c>
      <c r="DC2126" s="0" t="str">
        <f aca="false">IF($A2126="","",IF($AB2126&amp;""=設定!$C$4,1,0))</f>
        <v/>
      </c>
    </row>
    <row r="2127" customFormat="false" ht="15" hidden="false" customHeight="false" outlineLevel="0" collapsed="false">
      <c r="DB2127" s="0" t="str">
        <f aca="false">IF($A2127="","",IF($AH2127=20,IF(AND(OR($A2127=21,$A2127=215),$AJ2127=10),"①病院一般",IF(AND($A2127=31,$AJ2127=41),"②病院短期","対象外")),IF($AJ2127=30,"③特定消防",IF(AND(OR($A2127=21,$A2127=215),$AJ2127=10),"④一般",IF(AND($A2127=31,$AJ2127=41),"⑤短期","対象外")))))</f>
        <v/>
      </c>
      <c r="DC2127" s="0" t="str">
        <f aca="false">IF($A2127="","",IF($AB2127&amp;""=設定!$C$4,1,0))</f>
        <v/>
      </c>
    </row>
    <row r="2128" customFormat="false" ht="15" hidden="false" customHeight="false" outlineLevel="0" collapsed="false">
      <c r="DB2128" s="0" t="str">
        <f aca="false">IF($A2128="","",IF($AH2128=20,IF(AND(OR($A2128=21,$A2128=215),$AJ2128=10),"①病院一般",IF(AND($A2128=31,$AJ2128=41),"②病院短期","対象外")),IF($AJ2128=30,"③特定消防",IF(AND(OR($A2128=21,$A2128=215),$AJ2128=10),"④一般",IF(AND($A2128=31,$AJ2128=41),"⑤短期","対象外")))))</f>
        <v/>
      </c>
      <c r="DC2128" s="0" t="str">
        <f aca="false">IF($A2128="","",IF($AB2128&amp;""=設定!$C$4,1,0))</f>
        <v/>
      </c>
    </row>
    <row r="2129" customFormat="false" ht="15" hidden="false" customHeight="false" outlineLevel="0" collapsed="false">
      <c r="DB2129" s="0" t="str">
        <f aca="false">IF($A2129="","",IF($AH2129=20,IF(AND(OR($A2129=21,$A2129=215),$AJ2129=10),"①病院一般",IF(AND($A2129=31,$AJ2129=41),"②病院短期","対象外")),IF($AJ2129=30,"③特定消防",IF(AND(OR($A2129=21,$A2129=215),$AJ2129=10),"④一般",IF(AND($A2129=31,$AJ2129=41),"⑤短期","対象外")))))</f>
        <v/>
      </c>
      <c r="DC2129" s="0" t="str">
        <f aca="false">IF($A2129="","",IF($AB2129&amp;""=設定!$C$4,1,0))</f>
        <v/>
      </c>
    </row>
    <row r="2130" customFormat="false" ht="15" hidden="false" customHeight="false" outlineLevel="0" collapsed="false">
      <c r="DB2130" s="0" t="str">
        <f aca="false">IF($A2130="","",IF($AH2130=20,IF(AND(OR($A2130=21,$A2130=215),$AJ2130=10),"①病院一般",IF(AND($A2130=31,$AJ2130=41),"②病院短期","対象外")),IF($AJ2130=30,"③特定消防",IF(AND(OR($A2130=21,$A2130=215),$AJ2130=10),"④一般",IF(AND($A2130=31,$AJ2130=41),"⑤短期","対象外")))))</f>
        <v/>
      </c>
      <c r="DC2130" s="0" t="str">
        <f aca="false">IF($A2130="","",IF($AB2130&amp;""=設定!$C$4,1,0))</f>
        <v/>
      </c>
    </row>
    <row r="2131" customFormat="false" ht="15" hidden="false" customHeight="false" outlineLevel="0" collapsed="false">
      <c r="DB2131" s="0" t="str">
        <f aca="false">IF($A2131="","",IF($AH2131=20,IF(AND(OR($A2131=21,$A2131=215),$AJ2131=10),"①病院一般",IF(AND($A2131=31,$AJ2131=41),"②病院短期","対象外")),IF($AJ2131=30,"③特定消防",IF(AND(OR($A2131=21,$A2131=215),$AJ2131=10),"④一般",IF(AND($A2131=31,$AJ2131=41),"⑤短期","対象外")))))</f>
        <v/>
      </c>
      <c r="DC2131" s="0" t="str">
        <f aca="false">IF($A2131="","",IF($AB2131&amp;""=設定!$C$4,1,0))</f>
        <v/>
      </c>
    </row>
    <row r="2132" customFormat="false" ht="15" hidden="false" customHeight="false" outlineLevel="0" collapsed="false">
      <c r="DB2132" s="0" t="str">
        <f aca="false">IF($A2132="","",IF($AH2132=20,IF(AND(OR($A2132=21,$A2132=215),$AJ2132=10),"①病院一般",IF(AND($A2132=31,$AJ2132=41),"②病院短期","対象外")),IF($AJ2132=30,"③特定消防",IF(AND(OR($A2132=21,$A2132=215),$AJ2132=10),"④一般",IF(AND($A2132=31,$AJ2132=41),"⑤短期","対象外")))))</f>
        <v/>
      </c>
      <c r="DC2132" s="0" t="str">
        <f aca="false">IF($A2132="","",IF($AB2132&amp;""=設定!$C$4,1,0))</f>
        <v/>
      </c>
    </row>
    <row r="2133" customFormat="false" ht="15" hidden="false" customHeight="false" outlineLevel="0" collapsed="false">
      <c r="DB2133" s="0" t="str">
        <f aca="false">IF($A2133="","",IF($AH2133=20,IF(AND(OR($A2133=21,$A2133=215),$AJ2133=10),"①病院一般",IF(AND($A2133=31,$AJ2133=41),"②病院短期","対象外")),IF($AJ2133=30,"③特定消防",IF(AND(OR($A2133=21,$A2133=215),$AJ2133=10),"④一般",IF(AND($A2133=31,$AJ2133=41),"⑤短期","対象外")))))</f>
        <v/>
      </c>
      <c r="DC2133" s="0" t="str">
        <f aca="false">IF($A2133="","",IF($AB2133&amp;""=設定!$C$4,1,0))</f>
        <v/>
      </c>
    </row>
    <row r="2134" customFormat="false" ht="15" hidden="false" customHeight="false" outlineLevel="0" collapsed="false">
      <c r="DB2134" s="0" t="str">
        <f aca="false">IF($A2134="","",IF($AH2134=20,IF(AND(OR($A2134=21,$A2134=215),$AJ2134=10),"①病院一般",IF(AND($A2134=31,$AJ2134=41),"②病院短期","対象外")),IF($AJ2134=30,"③特定消防",IF(AND(OR($A2134=21,$A2134=215),$AJ2134=10),"④一般",IF(AND($A2134=31,$AJ2134=41),"⑤短期","対象外")))))</f>
        <v/>
      </c>
      <c r="DC2134" s="0" t="str">
        <f aca="false">IF($A2134="","",IF($AB2134&amp;""=設定!$C$4,1,0))</f>
        <v/>
      </c>
    </row>
    <row r="2135" customFormat="false" ht="15" hidden="false" customHeight="false" outlineLevel="0" collapsed="false">
      <c r="DB2135" s="0" t="str">
        <f aca="false">IF($A2135="","",IF($AH2135=20,IF(AND(OR($A2135=21,$A2135=215),$AJ2135=10),"①病院一般",IF(AND($A2135=31,$AJ2135=41),"②病院短期","対象外")),IF($AJ2135=30,"③特定消防",IF(AND(OR($A2135=21,$A2135=215),$AJ2135=10),"④一般",IF(AND($A2135=31,$AJ2135=41),"⑤短期","対象外")))))</f>
        <v/>
      </c>
      <c r="DC2135" s="0" t="str">
        <f aca="false">IF($A2135="","",IF($AB2135&amp;""=設定!$C$4,1,0))</f>
        <v/>
      </c>
    </row>
    <row r="2136" customFormat="false" ht="15" hidden="false" customHeight="false" outlineLevel="0" collapsed="false">
      <c r="DB2136" s="0" t="str">
        <f aca="false">IF($A2136="","",IF($AH2136=20,IF(AND(OR($A2136=21,$A2136=215),$AJ2136=10),"①病院一般",IF(AND($A2136=31,$AJ2136=41),"②病院短期","対象外")),IF($AJ2136=30,"③特定消防",IF(AND(OR($A2136=21,$A2136=215),$AJ2136=10),"④一般",IF(AND($A2136=31,$AJ2136=41),"⑤短期","対象外")))))</f>
        <v/>
      </c>
      <c r="DC2136" s="0" t="str">
        <f aca="false">IF($A2136="","",IF($AB2136&amp;""=設定!$C$4,1,0))</f>
        <v/>
      </c>
    </row>
    <row r="2137" customFormat="false" ht="15" hidden="false" customHeight="false" outlineLevel="0" collapsed="false">
      <c r="DB2137" s="0" t="str">
        <f aca="false">IF($A2137="","",IF($AH2137=20,IF(AND(OR($A2137=21,$A2137=215),$AJ2137=10),"①病院一般",IF(AND($A2137=31,$AJ2137=41),"②病院短期","対象外")),IF($AJ2137=30,"③特定消防",IF(AND(OR($A2137=21,$A2137=215),$AJ2137=10),"④一般",IF(AND($A2137=31,$AJ2137=41),"⑤短期","対象外")))))</f>
        <v/>
      </c>
      <c r="DC2137" s="0" t="str">
        <f aca="false">IF($A2137="","",IF($AB2137&amp;""=設定!$C$4,1,0))</f>
        <v/>
      </c>
    </row>
    <row r="2138" customFormat="false" ht="15" hidden="false" customHeight="false" outlineLevel="0" collapsed="false">
      <c r="DB2138" s="0" t="str">
        <f aca="false">IF($A2138="","",IF($AH2138=20,IF(AND(OR($A2138=21,$A2138=215),$AJ2138=10),"①病院一般",IF(AND($A2138=31,$AJ2138=41),"②病院短期","対象外")),IF($AJ2138=30,"③特定消防",IF(AND(OR($A2138=21,$A2138=215),$AJ2138=10),"④一般",IF(AND($A2138=31,$AJ2138=41),"⑤短期","対象外")))))</f>
        <v/>
      </c>
      <c r="DC2138" s="0" t="str">
        <f aca="false">IF($A2138="","",IF($AB2138&amp;""=設定!$C$4,1,0))</f>
        <v/>
      </c>
    </row>
    <row r="2139" customFormat="false" ht="15" hidden="false" customHeight="false" outlineLevel="0" collapsed="false">
      <c r="DB2139" s="0" t="str">
        <f aca="false">IF($A2139="","",IF($AH2139=20,IF(AND(OR($A2139=21,$A2139=215),$AJ2139=10),"①病院一般",IF(AND($A2139=31,$AJ2139=41),"②病院短期","対象外")),IF($AJ2139=30,"③特定消防",IF(AND(OR($A2139=21,$A2139=215),$AJ2139=10),"④一般",IF(AND($A2139=31,$AJ2139=41),"⑤短期","対象外")))))</f>
        <v/>
      </c>
      <c r="DC2139" s="0" t="str">
        <f aca="false">IF($A2139="","",IF($AB2139&amp;""=設定!$C$4,1,0))</f>
        <v/>
      </c>
    </row>
    <row r="2140" customFormat="false" ht="15" hidden="false" customHeight="false" outlineLevel="0" collapsed="false">
      <c r="DB2140" s="0" t="str">
        <f aca="false">IF($A2140="","",IF($AH2140=20,IF(AND(OR($A2140=21,$A2140=215),$AJ2140=10),"①病院一般",IF(AND($A2140=31,$AJ2140=41),"②病院短期","対象外")),IF($AJ2140=30,"③特定消防",IF(AND(OR($A2140=21,$A2140=215),$AJ2140=10),"④一般",IF(AND($A2140=31,$AJ2140=41),"⑤短期","対象外")))))</f>
        <v/>
      </c>
      <c r="DC2140" s="0" t="str">
        <f aca="false">IF($A2140="","",IF($AB2140&amp;""=設定!$C$4,1,0))</f>
        <v/>
      </c>
    </row>
    <row r="2141" customFormat="false" ht="15" hidden="false" customHeight="false" outlineLevel="0" collapsed="false">
      <c r="DB2141" s="0" t="str">
        <f aca="false">IF($A2141="","",IF($AH2141=20,IF(AND(OR($A2141=21,$A2141=215),$AJ2141=10),"①病院一般",IF(AND($A2141=31,$AJ2141=41),"②病院短期","対象外")),IF($AJ2141=30,"③特定消防",IF(AND(OR($A2141=21,$A2141=215),$AJ2141=10),"④一般",IF(AND($A2141=31,$AJ2141=41),"⑤短期","対象外")))))</f>
        <v/>
      </c>
      <c r="DC2141" s="0" t="str">
        <f aca="false">IF($A2141="","",IF($AB2141&amp;""=設定!$C$4,1,0))</f>
        <v/>
      </c>
    </row>
    <row r="2142" customFormat="false" ht="15" hidden="false" customHeight="false" outlineLevel="0" collapsed="false">
      <c r="DB2142" s="0" t="str">
        <f aca="false">IF($A2142="","",IF($AH2142=20,IF(AND(OR($A2142=21,$A2142=215),$AJ2142=10),"①病院一般",IF(AND($A2142=31,$AJ2142=41),"②病院短期","対象外")),IF($AJ2142=30,"③特定消防",IF(AND(OR($A2142=21,$A2142=215),$AJ2142=10),"④一般",IF(AND($A2142=31,$AJ2142=41),"⑤短期","対象外")))))</f>
        <v/>
      </c>
      <c r="DC2142" s="0" t="str">
        <f aca="false">IF($A2142="","",IF($AB2142&amp;""=設定!$C$4,1,0))</f>
        <v/>
      </c>
    </row>
    <row r="2143" customFormat="false" ht="15" hidden="false" customHeight="false" outlineLevel="0" collapsed="false">
      <c r="DB2143" s="0" t="str">
        <f aca="false">IF($A2143="","",IF($AH2143=20,IF(AND(OR($A2143=21,$A2143=215),$AJ2143=10),"①病院一般",IF(AND($A2143=31,$AJ2143=41),"②病院短期","対象外")),IF($AJ2143=30,"③特定消防",IF(AND(OR($A2143=21,$A2143=215),$AJ2143=10),"④一般",IF(AND($A2143=31,$AJ2143=41),"⑤短期","対象外")))))</f>
        <v/>
      </c>
      <c r="DC2143" s="0" t="str">
        <f aca="false">IF($A2143="","",IF($AB2143&amp;""=設定!$C$4,1,0))</f>
        <v/>
      </c>
    </row>
    <row r="2144" customFormat="false" ht="15" hidden="false" customHeight="false" outlineLevel="0" collapsed="false">
      <c r="DB2144" s="0" t="str">
        <f aca="false">IF($A2144="","",IF($AH2144=20,IF(AND(OR($A2144=21,$A2144=215),$AJ2144=10),"①病院一般",IF(AND($A2144=31,$AJ2144=41),"②病院短期","対象外")),IF($AJ2144=30,"③特定消防",IF(AND(OR($A2144=21,$A2144=215),$AJ2144=10),"④一般",IF(AND($A2144=31,$AJ2144=41),"⑤短期","対象外")))))</f>
        <v/>
      </c>
      <c r="DC2144" s="0" t="str">
        <f aca="false">IF($A2144="","",IF($AB2144&amp;""=設定!$C$4,1,0))</f>
        <v/>
      </c>
    </row>
    <row r="2145" customFormat="false" ht="15" hidden="false" customHeight="false" outlineLevel="0" collapsed="false">
      <c r="DB2145" s="0" t="str">
        <f aca="false">IF($A2145="","",IF($AH2145=20,IF(AND(OR($A2145=21,$A2145=215),$AJ2145=10),"①病院一般",IF(AND($A2145=31,$AJ2145=41),"②病院短期","対象外")),IF($AJ2145=30,"③特定消防",IF(AND(OR($A2145=21,$A2145=215),$AJ2145=10),"④一般",IF(AND($A2145=31,$AJ2145=41),"⑤短期","対象外")))))</f>
        <v/>
      </c>
      <c r="DC2145" s="0" t="str">
        <f aca="false">IF($A2145="","",IF($AB2145&amp;""=設定!$C$4,1,0))</f>
        <v/>
      </c>
    </row>
    <row r="2146" customFormat="false" ht="15" hidden="false" customHeight="false" outlineLevel="0" collapsed="false">
      <c r="DB2146" s="0" t="str">
        <f aca="false">IF($A2146="","",IF($AH2146=20,IF(AND(OR($A2146=21,$A2146=215),$AJ2146=10),"①病院一般",IF(AND($A2146=31,$AJ2146=41),"②病院短期","対象外")),IF($AJ2146=30,"③特定消防",IF(AND(OR($A2146=21,$A2146=215),$AJ2146=10),"④一般",IF(AND($A2146=31,$AJ2146=41),"⑤短期","対象外")))))</f>
        <v/>
      </c>
      <c r="DC2146" s="0" t="str">
        <f aca="false">IF($A2146="","",IF($AB2146&amp;""=設定!$C$4,1,0))</f>
        <v/>
      </c>
    </row>
    <row r="2147" customFormat="false" ht="15" hidden="false" customHeight="false" outlineLevel="0" collapsed="false">
      <c r="DB2147" s="0" t="str">
        <f aca="false">IF($A2147="","",IF($AH2147=20,IF(AND(OR($A2147=21,$A2147=215),$AJ2147=10),"①病院一般",IF(AND($A2147=31,$AJ2147=41),"②病院短期","対象外")),IF($AJ2147=30,"③特定消防",IF(AND(OR($A2147=21,$A2147=215),$AJ2147=10),"④一般",IF(AND($A2147=31,$AJ2147=41),"⑤短期","対象外")))))</f>
        <v/>
      </c>
      <c r="DC2147" s="0" t="str">
        <f aca="false">IF($A2147="","",IF($AB2147&amp;""=設定!$C$4,1,0))</f>
        <v/>
      </c>
    </row>
    <row r="2148" customFormat="false" ht="15" hidden="false" customHeight="false" outlineLevel="0" collapsed="false">
      <c r="DB2148" s="0" t="str">
        <f aca="false">IF($A2148="","",IF($AH2148=20,IF(AND(OR($A2148=21,$A2148=215),$AJ2148=10),"①病院一般",IF(AND($A2148=31,$AJ2148=41),"②病院短期","対象外")),IF($AJ2148=30,"③特定消防",IF(AND(OR($A2148=21,$A2148=215),$AJ2148=10),"④一般",IF(AND($A2148=31,$AJ2148=41),"⑤短期","対象外")))))</f>
        <v/>
      </c>
      <c r="DC2148" s="0" t="str">
        <f aca="false">IF($A2148="","",IF($AB2148&amp;""=設定!$C$4,1,0))</f>
        <v/>
      </c>
    </row>
    <row r="2149" customFormat="false" ht="15" hidden="false" customHeight="false" outlineLevel="0" collapsed="false">
      <c r="DB2149" s="0" t="str">
        <f aca="false">IF($A2149="","",IF($AH2149=20,IF(AND(OR($A2149=21,$A2149=215),$AJ2149=10),"①病院一般",IF(AND($A2149=31,$AJ2149=41),"②病院短期","対象外")),IF($AJ2149=30,"③特定消防",IF(AND(OR($A2149=21,$A2149=215),$AJ2149=10),"④一般",IF(AND($A2149=31,$AJ2149=41),"⑤短期","対象外")))))</f>
        <v/>
      </c>
      <c r="DC2149" s="0" t="str">
        <f aca="false">IF($A2149="","",IF($AB2149&amp;""=設定!$C$4,1,0))</f>
        <v/>
      </c>
    </row>
    <row r="2150" customFormat="false" ht="15" hidden="false" customHeight="false" outlineLevel="0" collapsed="false">
      <c r="DB2150" s="0" t="str">
        <f aca="false">IF($A2150="","",IF($AH2150=20,IF(AND(OR($A2150=21,$A2150=215),$AJ2150=10),"①病院一般",IF(AND($A2150=31,$AJ2150=41),"②病院短期","対象外")),IF($AJ2150=30,"③特定消防",IF(AND(OR($A2150=21,$A2150=215),$AJ2150=10),"④一般",IF(AND($A2150=31,$AJ2150=41),"⑤短期","対象外")))))</f>
        <v/>
      </c>
      <c r="DC2150" s="0" t="str">
        <f aca="false">IF($A2150="","",IF($AB2150&amp;""=設定!$C$4,1,0))</f>
        <v/>
      </c>
    </row>
    <row r="2151" customFormat="false" ht="15" hidden="false" customHeight="false" outlineLevel="0" collapsed="false">
      <c r="DB2151" s="0" t="str">
        <f aca="false">IF($A2151="","",IF($AH2151=20,IF(AND(OR($A2151=21,$A2151=215),$AJ2151=10),"①病院一般",IF(AND($A2151=31,$AJ2151=41),"②病院短期","対象外")),IF($AJ2151=30,"③特定消防",IF(AND(OR($A2151=21,$A2151=215),$AJ2151=10),"④一般",IF(AND($A2151=31,$AJ2151=41),"⑤短期","対象外")))))</f>
        <v/>
      </c>
      <c r="DC2151" s="0" t="str">
        <f aca="false">IF($A2151="","",IF($AB2151&amp;""=設定!$C$4,1,0))</f>
        <v/>
      </c>
    </row>
    <row r="2152" customFormat="false" ht="15" hidden="false" customHeight="false" outlineLevel="0" collapsed="false">
      <c r="DB2152" s="0" t="str">
        <f aca="false">IF($A2152="","",IF($AH2152=20,IF(AND(OR($A2152=21,$A2152=215),$AJ2152=10),"①病院一般",IF(AND($A2152=31,$AJ2152=41),"②病院短期","対象外")),IF($AJ2152=30,"③特定消防",IF(AND(OR($A2152=21,$A2152=215),$AJ2152=10),"④一般",IF(AND($A2152=31,$AJ2152=41),"⑤短期","対象外")))))</f>
        <v/>
      </c>
      <c r="DC2152" s="0" t="str">
        <f aca="false">IF($A2152="","",IF($AB2152&amp;""=設定!$C$4,1,0))</f>
        <v/>
      </c>
    </row>
    <row r="2153" customFormat="false" ht="15" hidden="false" customHeight="false" outlineLevel="0" collapsed="false">
      <c r="DB2153" s="0" t="str">
        <f aca="false">IF($A2153="","",IF($AH2153=20,IF(AND(OR($A2153=21,$A2153=215),$AJ2153=10),"①病院一般",IF(AND($A2153=31,$AJ2153=41),"②病院短期","対象外")),IF($AJ2153=30,"③特定消防",IF(AND(OR($A2153=21,$A2153=215),$AJ2153=10),"④一般",IF(AND($A2153=31,$AJ2153=41),"⑤短期","対象外")))))</f>
        <v/>
      </c>
      <c r="DC2153" s="0" t="str">
        <f aca="false">IF($A2153="","",IF($AB2153&amp;""=設定!$C$4,1,0))</f>
        <v/>
      </c>
    </row>
    <row r="2154" customFormat="false" ht="15" hidden="false" customHeight="false" outlineLevel="0" collapsed="false">
      <c r="DB2154" s="0" t="str">
        <f aca="false">IF($A2154="","",IF($AH2154=20,IF(AND(OR($A2154=21,$A2154=215),$AJ2154=10),"①病院一般",IF(AND($A2154=31,$AJ2154=41),"②病院短期","対象外")),IF($AJ2154=30,"③特定消防",IF(AND(OR($A2154=21,$A2154=215),$AJ2154=10),"④一般",IF(AND($A2154=31,$AJ2154=41),"⑤短期","対象外")))))</f>
        <v/>
      </c>
      <c r="DC2154" s="0" t="str">
        <f aca="false">IF($A2154="","",IF($AB2154&amp;""=設定!$C$4,1,0))</f>
        <v/>
      </c>
    </row>
    <row r="2155" customFormat="false" ht="15" hidden="false" customHeight="false" outlineLevel="0" collapsed="false">
      <c r="DB2155" s="0" t="str">
        <f aca="false">IF($A2155="","",IF($AH2155=20,IF(AND(OR($A2155=21,$A2155=215),$AJ2155=10),"①病院一般",IF(AND($A2155=31,$AJ2155=41),"②病院短期","対象外")),IF($AJ2155=30,"③特定消防",IF(AND(OR($A2155=21,$A2155=215),$AJ2155=10),"④一般",IF(AND($A2155=31,$AJ2155=41),"⑤短期","対象外")))))</f>
        <v/>
      </c>
      <c r="DC2155" s="0" t="str">
        <f aca="false">IF($A2155="","",IF($AB2155&amp;""=設定!$C$4,1,0))</f>
        <v/>
      </c>
    </row>
    <row r="2156" customFormat="false" ht="15" hidden="false" customHeight="false" outlineLevel="0" collapsed="false">
      <c r="DB2156" s="0" t="str">
        <f aca="false">IF($A2156="","",IF($AH2156=20,IF(AND(OR($A2156=21,$A2156=215),$AJ2156=10),"①病院一般",IF(AND($A2156=31,$AJ2156=41),"②病院短期","対象外")),IF($AJ2156=30,"③特定消防",IF(AND(OR($A2156=21,$A2156=215),$AJ2156=10),"④一般",IF(AND($A2156=31,$AJ2156=41),"⑤短期","対象外")))))</f>
        <v/>
      </c>
      <c r="DC2156" s="0" t="str">
        <f aca="false">IF($A2156="","",IF($AB2156&amp;""=設定!$C$4,1,0))</f>
        <v/>
      </c>
    </row>
    <row r="2157" customFormat="false" ht="15" hidden="false" customHeight="false" outlineLevel="0" collapsed="false">
      <c r="DB2157" s="0" t="str">
        <f aca="false">IF($A2157="","",IF($AH2157=20,IF(AND(OR($A2157=21,$A2157=215),$AJ2157=10),"①病院一般",IF(AND($A2157=31,$AJ2157=41),"②病院短期","対象外")),IF($AJ2157=30,"③特定消防",IF(AND(OR($A2157=21,$A2157=215),$AJ2157=10),"④一般",IF(AND($A2157=31,$AJ2157=41),"⑤短期","対象外")))))</f>
        <v/>
      </c>
      <c r="DC2157" s="0" t="str">
        <f aca="false">IF($A2157="","",IF($AB2157&amp;""=設定!$C$4,1,0))</f>
        <v/>
      </c>
    </row>
    <row r="2158" customFormat="false" ht="15" hidden="false" customHeight="false" outlineLevel="0" collapsed="false">
      <c r="DB2158" s="0" t="str">
        <f aca="false">IF($A2158="","",IF($AH2158=20,IF(AND(OR($A2158=21,$A2158=215),$AJ2158=10),"①病院一般",IF(AND($A2158=31,$AJ2158=41),"②病院短期","対象外")),IF($AJ2158=30,"③特定消防",IF(AND(OR($A2158=21,$A2158=215),$AJ2158=10),"④一般",IF(AND($A2158=31,$AJ2158=41),"⑤短期","対象外")))))</f>
        <v/>
      </c>
      <c r="DC2158" s="0" t="str">
        <f aca="false">IF($A2158="","",IF($AB2158&amp;""=設定!$C$4,1,0))</f>
        <v/>
      </c>
    </row>
    <row r="2159" customFormat="false" ht="15" hidden="false" customHeight="false" outlineLevel="0" collapsed="false">
      <c r="DB2159" s="0" t="str">
        <f aca="false">IF($A2159="","",IF($AH2159=20,IF(AND(OR($A2159=21,$A2159=215),$AJ2159=10),"①病院一般",IF(AND($A2159=31,$AJ2159=41),"②病院短期","対象外")),IF($AJ2159=30,"③特定消防",IF(AND(OR($A2159=21,$A2159=215),$AJ2159=10),"④一般",IF(AND($A2159=31,$AJ2159=41),"⑤短期","対象外")))))</f>
        <v/>
      </c>
      <c r="DC2159" s="0" t="str">
        <f aca="false">IF($A2159="","",IF($AB2159&amp;""=設定!$C$4,1,0))</f>
        <v/>
      </c>
    </row>
    <row r="2160" customFormat="false" ht="15" hidden="false" customHeight="false" outlineLevel="0" collapsed="false">
      <c r="DB2160" s="0" t="str">
        <f aca="false">IF($A2160="","",IF($AH2160=20,IF(AND(OR($A2160=21,$A2160=215),$AJ2160=10),"①病院一般",IF(AND($A2160=31,$AJ2160=41),"②病院短期","対象外")),IF($AJ2160=30,"③特定消防",IF(AND(OR($A2160=21,$A2160=215),$AJ2160=10),"④一般",IF(AND($A2160=31,$AJ2160=41),"⑤短期","対象外")))))</f>
        <v/>
      </c>
      <c r="DC2160" s="0" t="str">
        <f aca="false">IF($A2160="","",IF($AB2160&amp;""=設定!$C$4,1,0))</f>
        <v/>
      </c>
    </row>
    <row r="2161" customFormat="false" ht="15" hidden="false" customHeight="false" outlineLevel="0" collapsed="false">
      <c r="DB2161" s="0" t="str">
        <f aca="false">IF($A2161="","",IF($AH2161=20,IF(AND(OR($A2161=21,$A2161=215),$AJ2161=10),"①病院一般",IF(AND($A2161=31,$AJ2161=41),"②病院短期","対象外")),IF($AJ2161=30,"③特定消防",IF(AND(OR($A2161=21,$A2161=215),$AJ2161=10),"④一般",IF(AND($A2161=31,$AJ2161=41),"⑤短期","対象外")))))</f>
        <v/>
      </c>
      <c r="DC2161" s="0" t="str">
        <f aca="false">IF($A2161="","",IF($AB2161&amp;""=設定!$C$4,1,0))</f>
        <v/>
      </c>
    </row>
    <row r="2162" customFormat="false" ht="15" hidden="false" customHeight="false" outlineLevel="0" collapsed="false">
      <c r="DB2162" s="0" t="str">
        <f aca="false">IF($A2162="","",IF($AH2162=20,IF(AND(OR($A2162=21,$A2162=215),$AJ2162=10),"①病院一般",IF(AND($A2162=31,$AJ2162=41),"②病院短期","対象外")),IF($AJ2162=30,"③特定消防",IF(AND(OR($A2162=21,$A2162=215),$AJ2162=10),"④一般",IF(AND($A2162=31,$AJ2162=41),"⑤短期","対象外")))))</f>
        <v/>
      </c>
      <c r="DC2162" s="0" t="str">
        <f aca="false">IF($A2162="","",IF($AB2162&amp;""=設定!$C$4,1,0))</f>
        <v/>
      </c>
    </row>
    <row r="2163" customFormat="false" ht="15" hidden="false" customHeight="false" outlineLevel="0" collapsed="false">
      <c r="DB2163" s="0" t="str">
        <f aca="false">IF($A2163="","",IF($AH2163=20,IF(AND(OR($A2163=21,$A2163=215),$AJ2163=10),"①病院一般",IF(AND($A2163=31,$AJ2163=41),"②病院短期","対象外")),IF($AJ2163=30,"③特定消防",IF(AND(OR($A2163=21,$A2163=215),$AJ2163=10),"④一般",IF(AND($A2163=31,$AJ2163=41),"⑤短期","対象外")))))</f>
        <v/>
      </c>
      <c r="DC2163" s="0" t="str">
        <f aca="false">IF($A2163="","",IF($AB2163&amp;""=設定!$C$4,1,0))</f>
        <v/>
      </c>
    </row>
    <row r="2164" customFormat="false" ht="15" hidden="false" customHeight="false" outlineLevel="0" collapsed="false">
      <c r="DB2164" s="0" t="str">
        <f aca="false">IF($A2164="","",IF($AH2164=20,IF(AND(OR($A2164=21,$A2164=215),$AJ2164=10),"①病院一般",IF(AND($A2164=31,$AJ2164=41),"②病院短期","対象外")),IF($AJ2164=30,"③特定消防",IF(AND(OR($A2164=21,$A2164=215),$AJ2164=10),"④一般",IF(AND($A2164=31,$AJ2164=41),"⑤短期","対象外")))))</f>
        <v/>
      </c>
      <c r="DC2164" s="0" t="str">
        <f aca="false">IF($A2164="","",IF($AB2164&amp;""=設定!$C$4,1,0))</f>
        <v/>
      </c>
    </row>
    <row r="2165" customFormat="false" ht="15" hidden="false" customHeight="false" outlineLevel="0" collapsed="false">
      <c r="DB2165" s="0" t="str">
        <f aca="false">IF($A2165="","",IF($AH2165=20,IF(AND(OR($A2165=21,$A2165=215),$AJ2165=10),"①病院一般",IF(AND($A2165=31,$AJ2165=41),"②病院短期","対象外")),IF($AJ2165=30,"③特定消防",IF(AND(OR($A2165=21,$A2165=215),$AJ2165=10),"④一般",IF(AND($A2165=31,$AJ2165=41),"⑤短期","対象外")))))</f>
        <v/>
      </c>
      <c r="DC2165" s="0" t="str">
        <f aca="false">IF($A2165="","",IF($AB2165&amp;""=設定!$C$4,1,0))</f>
        <v/>
      </c>
    </row>
    <row r="2166" customFormat="false" ht="15" hidden="false" customHeight="false" outlineLevel="0" collapsed="false">
      <c r="DB2166" s="0" t="str">
        <f aca="false">IF($A2166="","",IF($AH2166=20,IF(AND(OR($A2166=21,$A2166=215),$AJ2166=10),"①病院一般",IF(AND($A2166=31,$AJ2166=41),"②病院短期","対象外")),IF($AJ2166=30,"③特定消防",IF(AND(OR($A2166=21,$A2166=215),$AJ2166=10),"④一般",IF(AND($A2166=31,$AJ2166=41),"⑤短期","対象外")))))</f>
        <v/>
      </c>
      <c r="DC2166" s="0" t="str">
        <f aca="false">IF($A2166="","",IF($AB2166&amp;""=設定!$C$4,1,0))</f>
        <v/>
      </c>
    </row>
    <row r="2167" customFormat="false" ht="15" hidden="false" customHeight="false" outlineLevel="0" collapsed="false">
      <c r="DB2167" s="0" t="str">
        <f aca="false">IF($A2167="","",IF($AH2167=20,IF(AND(OR($A2167=21,$A2167=215),$AJ2167=10),"①病院一般",IF(AND($A2167=31,$AJ2167=41),"②病院短期","対象外")),IF($AJ2167=30,"③特定消防",IF(AND(OR($A2167=21,$A2167=215),$AJ2167=10),"④一般",IF(AND($A2167=31,$AJ2167=41),"⑤短期","対象外")))))</f>
        <v/>
      </c>
      <c r="DC2167" s="0" t="str">
        <f aca="false">IF($A2167="","",IF($AB2167&amp;""=設定!$C$4,1,0))</f>
        <v/>
      </c>
    </row>
    <row r="2168" customFormat="false" ht="15" hidden="false" customHeight="false" outlineLevel="0" collapsed="false">
      <c r="DB2168" s="0" t="str">
        <f aca="false">IF($A2168="","",IF($AH2168=20,IF(AND(OR($A2168=21,$A2168=215),$AJ2168=10),"①病院一般",IF(AND($A2168=31,$AJ2168=41),"②病院短期","対象外")),IF($AJ2168=30,"③特定消防",IF(AND(OR($A2168=21,$A2168=215),$AJ2168=10),"④一般",IF(AND($A2168=31,$AJ2168=41),"⑤短期","対象外")))))</f>
        <v/>
      </c>
      <c r="DC2168" s="0" t="str">
        <f aca="false">IF($A2168="","",IF($AB2168&amp;""=設定!$C$4,1,0))</f>
        <v/>
      </c>
    </row>
    <row r="2169" customFormat="false" ht="15" hidden="false" customHeight="false" outlineLevel="0" collapsed="false">
      <c r="DB2169" s="0" t="str">
        <f aca="false">IF($A2169="","",IF($AH2169=20,IF(AND(OR($A2169=21,$A2169=215),$AJ2169=10),"①病院一般",IF(AND($A2169=31,$AJ2169=41),"②病院短期","対象外")),IF($AJ2169=30,"③特定消防",IF(AND(OR($A2169=21,$A2169=215),$AJ2169=10),"④一般",IF(AND($A2169=31,$AJ2169=41),"⑤短期","対象外")))))</f>
        <v/>
      </c>
      <c r="DC2169" s="0" t="str">
        <f aca="false">IF($A2169="","",IF($AB2169&amp;""=設定!$C$4,1,0))</f>
        <v/>
      </c>
    </row>
    <row r="2170" customFormat="false" ht="15" hidden="false" customHeight="false" outlineLevel="0" collapsed="false">
      <c r="DB2170" s="0" t="str">
        <f aca="false">IF($A2170="","",IF($AH2170=20,IF(AND(OR($A2170=21,$A2170=215),$AJ2170=10),"①病院一般",IF(AND($A2170=31,$AJ2170=41),"②病院短期","対象外")),IF($AJ2170=30,"③特定消防",IF(AND(OR($A2170=21,$A2170=215),$AJ2170=10),"④一般",IF(AND($A2170=31,$AJ2170=41),"⑤短期","対象外")))))</f>
        <v/>
      </c>
      <c r="DC2170" s="0" t="str">
        <f aca="false">IF($A2170="","",IF($AB2170&amp;""=設定!$C$4,1,0))</f>
        <v/>
      </c>
    </row>
    <row r="2171" customFormat="false" ht="15" hidden="false" customHeight="false" outlineLevel="0" collapsed="false">
      <c r="DB2171" s="0" t="str">
        <f aca="false">IF($A2171="","",IF($AH2171=20,IF(AND(OR($A2171=21,$A2171=215),$AJ2171=10),"①病院一般",IF(AND($A2171=31,$AJ2171=41),"②病院短期","対象外")),IF($AJ2171=30,"③特定消防",IF(AND(OR($A2171=21,$A2171=215),$AJ2171=10),"④一般",IF(AND($A2171=31,$AJ2171=41),"⑤短期","対象外")))))</f>
        <v/>
      </c>
      <c r="DC2171" s="0" t="str">
        <f aca="false">IF($A2171="","",IF($AB2171&amp;""=設定!$C$4,1,0))</f>
        <v/>
      </c>
    </row>
    <row r="2172" customFormat="false" ht="15" hidden="false" customHeight="false" outlineLevel="0" collapsed="false">
      <c r="DB2172" s="0" t="str">
        <f aca="false">IF($A2172="","",IF($AH2172=20,IF(AND(OR($A2172=21,$A2172=215),$AJ2172=10),"①病院一般",IF(AND($A2172=31,$AJ2172=41),"②病院短期","対象外")),IF($AJ2172=30,"③特定消防",IF(AND(OR($A2172=21,$A2172=215),$AJ2172=10),"④一般",IF(AND($A2172=31,$AJ2172=41),"⑤短期","対象外")))))</f>
        <v/>
      </c>
      <c r="DC2172" s="0" t="str">
        <f aca="false">IF($A2172="","",IF($AB2172&amp;""=設定!$C$4,1,0))</f>
        <v/>
      </c>
    </row>
    <row r="2173" customFormat="false" ht="15" hidden="false" customHeight="false" outlineLevel="0" collapsed="false">
      <c r="DB2173" s="0" t="str">
        <f aca="false">IF($A2173="","",IF($AH2173=20,IF(AND(OR($A2173=21,$A2173=215),$AJ2173=10),"①病院一般",IF(AND($A2173=31,$AJ2173=41),"②病院短期","対象外")),IF($AJ2173=30,"③特定消防",IF(AND(OR($A2173=21,$A2173=215),$AJ2173=10),"④一般",IF(AND($A2173=31,$AJ2173=41),"⑤短期","対象外")))))</f>
        <v/>
      </c>
      <c r="DC2173" s="0" t="str">
        <f aca="false">IF($A2173="","",IF($AB2173&amp;""=設定!$C$4,1,0))</f>
        <v/>
      </c>
    </row>
    <row r="2174" customFormat="false" ht="15" hidden="false" customHeight="false" outlineLevel="0" collapsed="false">
      <c r="DB2174" s="0" t="str">
        <f aca="false">IF($A2174="","",IF($AH2174=20,IF(AND(OR($A2174=21,$A2174=215),$AJ2174=10),"①病院一般",IF(AND($A2174=31,$AJ2174=41),"②病院短期","対象外")),IF($AJ2174=30,"③特定消防",IF(AND(OR($A2174=21,$A2174=215),$AJ2174=10),"④一般",IF(AND($A2174=31,$AJ2174=41),"⑤短期","対象外")))))</f>
        <v/>
      </c>
      <c r="DC2174" s="0" t="str">
        <f aca="false">IF($A2174="","",IF($AB2174&amp;""=設定!$C$4,1,0))</f>
        <v/>
      </c>
    </row>
    <row r="2175" customFormat="false" ht="15" hidden="false" customHeight="false" outlineLevel="0" collapsed="false">
      <c r="DB2175" s="0" t="str">
        <f aca="false">IF($A2175="","",IF($AH2175=20,IF(AND(OR($A2175=21,$A2175=215),$AJ2175=10),"①病院一般",IF(AND($A2175=31,$AJ2175=41),"②病院短期","対象外")),IF($AJ2175=30,"③特定消防",IF(AND(OR($A2175=21,$A2175=215),$AJ2175=10),"④一般",IF(AND($A2175=31,$AJ2175=41),"⑤短期","対象外")))))</f>
        <v/>
      </c>
      <c r="DC2175" s="0" t="str">
        <f aca="false">IF($A2175="","",IF($AB2175&amp;""=設定!$C$4,1,0))</f>
        <v/>
      </c>
    </row>
    <row r="2176" customFormat="false" ht="15" hidden="false" customHeight="false" outlineLevel="0" collapsed="false">
      <c r="DB2176" s="0" t="str">
        <f aca="false">IF($A2176="","",IF($AH2176=20,IF(AND(OR($A2176=21,$A2176=215),$AJ2176=10),"①病院一般",IF(AND($A2176=31,$AJ2176=41),"②病院短期","対象外")),IF($AJ2176=30,"③特定消防",IF(AND(OR($A2176=21,$A2176=215),$AJ2176=10),"④一般",IF(AND($A2176=31,$AJ2176=41),"⑤短期","対象外")))))</f>
        <v/>
      </c>
      <c r="DC2176" s="0" t="str">
        <f aca="false">IF($A2176="","",IF($AB2176&amp;""=設定!$C$4,1,0))</f>
        <v/>
      </c>
    </row>
    <row r="2177" customFormat="false" ht="15" hidden="false" customHeight="false" outlineLevel="0" collapsed="false">
      <c r="DB2177" s="0" t="str">
        <f aca="false">IF($A2177="","",IF($AH2177=20,IF(AND(OR($A2177=21,$A2177=215),$AJ2177=10),"①病院一般",IF(AND($A2177=31,$AJ2177=41),"②病院短期","対象外")),IF($AJ2177=30,"③特定消防",IF(AND(OR($A2177=21,$A2177=215),$AJ2177=10),"④一般",IF(AND($A2177=31,$AJ2177=41),"⑤短期","対象外")))))</f>
        <v/>
      </c>
      <c r="DC2177" s="0" t="str">
        <f aca="false">IF($A2177="","",IF($AB2177&amp;""=設定!$C$4,1,0))</f>
        <v/>
      </c>
    </row>
    <row r="2178" customFormat="false" ht="15" hidden="false" customHeight="false" outlineLevel="0" collapsed="false">
      <c r="DB2178" s="0" t="str">
        <f aca="false">IF($A2178="","",IF($AH2178=20,IF(AND(OR($A2178=21,$A2178=215),$AJ2178=10),"①病院一般",IF(AND($A2178=31,$AJ2178=41),"②病院短期","対象外")),IF($AJ2178=30,"③特定消防",IF(AND(OR($A2178=21,$A2178=215),$AJ2178=10),"④一般",IF(AND($A2178=31,$AJ2178=41),"⑤短期","対象外")))))</f>
        <v/>
      </c>
      <c r="DC2178" s="0" t="str">
        <f aca="false">IF($A2178="","",IF($AB2178&amp;""=設定!$C$4,1,0))</f>
        <v/>
      </c>
    </row>
    <row r="2179" customFormat="false" ht="15" hidden="false" customHeight="false" outlineLevel="0" collapsed="false">
      <c r="DB2179" s="0" t="str">
        <f aca="false">IF($A2179="","",IF($AH2179=20,IF(AND(OR($A2179=21,$A2179=215),$AJ2179=10),"①病院一般",IF(AND($A2179=31,$AJ2179=41),"②病院短期","対象外")),IF($AJ2179=30,"③特定消防",IF(AND(OR($A2179=21,$A2179=215),$AJ2179=10),"④一般",IF(AND($A2179=31,$AJ2179=41),"⑤短期","対象外")))))</f>
        <v/>
      </c>
      <c r="DC2179" s="0" t="str">
        <f aca="false">IF($A2179="","",IF($AB2179&amp;""=設定!$C$4,1,0))</f>
        <v/>
      </c>
    </row>
    <row r="2180" customFormat="false" ht="15" hidden="false" customHeight="false" outlineLevel="0" collapsed="false">
      <c r="DB2180" s="0" t="str">
        <f aca="false">IF($A2180="","",IF($AH2180=20,IF(AND(OR($A2180=21,$A2180=215),$AJ2180=10),"①病院一般",IF(AND($A2180=31,$AJ2180=41),"②病院短期","対象外")),IF($AJ2180=30,"③特定消防",IF(AND(OR($A2180=21,$A2180=215),$AJ2180=10),"④一般",IF(AND($A2180=31,$AJ2180=41),"⑤短期","対象外")))))</f>
        <v/>
      </c>
      <c r="DC2180" s="0" t="str">
        <f aca="false">IF($A2180="","",IF($AB2180&amp;""=設定!$C$4,1,0))</f>
        <v/>
      </c>
    </row>
    <row r="2181" customFormat="false" ht="15" hidden="false" customHeight="false" outlineLevel="0" collapsed="false">
      <c r="DB2181" s="0" t="str">
        <f aca="false">IF($A2181="","",IF($AH2181=20,IF(AND(OR($A2181=21,$A2181=215),$AJ2181=10),"①病院一般",IF(AND($A2181=31,$AJ2181=41),"②病院短期","対象外")),IF($AJ2181=30,"③特定消防",IF(AND(OR($A2181=21,$A2181=215),$AJ2181=10),"④一般",IF(AND($A2181=31,$AJ2181=41),"⑤短期","対象外")))))</f>
        <v/>
      </c>
      <c r="DC2181" s="0" t="str">
        <f aca="false">IF($A2181="","",IF($AB2181&amp;""=設定!$C$4,1,0))</f>
        <v/>
      </c>
    </row>
    <row r="2182" customFormat="false" ht="15" hidden="false" customHeight="false" outlineLevel="0" collapsed="false">
      <c r="DB2182" s="0" t="str">
        <f aca="false">IF($A2182="","",IF($AH2182=20,IF(AND(OR($A2182=21,$A2182=215),$AJ2182=10),"①病院一般",IF(AND($A2182=31,$AJ2182=41),"②病院短期","対象外")),IF($AJ2182=30,"③特定消防",IF(AND(OR($A2182=21,$A2182=215),$AJ2182=10),"④一般",IF(AND($A2182=31,$AJ2182=41),"⑤短期","対象外")))))</f>
        <v/>
      </c>
      <c r="DC2182" s="0" t="str">
        <f aca="false">IF($A2182="","",IF($AB2182&amp;""=設定!$C$4,1,0))</f>
        <v/>
      </c>
    </row>
    <row r="2183" customFormat="false" ht="15" hidden="false" customHeight="false" outlineLevel="0" collapsed="false">
      <c r="DB2183" s="0" t="str">
        <f aca="false">IF($A2183="","",IF($AH2183=20,IF(AND(OR($A2183=21,$A2183=215),$AJ2183=10),"①病院一般",IF(AND($A2183=31,$AJ2183=41),"②病院短期","対象外")),IF($AJ2183=30,"③特定消防",IF(AND(OR($A2183=21,$A2183=215),$AJ2183=10),"④一般",IF(AND($A2183=31,$AJ2183=41),"⑤短期","対象外")))))</f>
        <v/>
      </c>
      <c r="DC2183" s="0" t="str">
        <f aca="false">IF($A2183="","",IF($AB2183&amp;""=設定!$C$4,1,0))</f>
        <v/>
      </c>
    </row>
    <row r="2184" customFormat="false" ht="15" hidden="false" customHeight="false" outlineLevel="0" collapsed="false">
      <c r="DB2184" s="0" t="str">
        <f aca="false">IF($A2184="","",IF($AH2184=20,IF(AND(OR($A2184=21,$A2184=215),$AJ2184=10),"①病院一般",IF(AND($A2184=31,$AJ2184=41),"②病院短期","対象外")),IF($AJ2184=30,"③特定消防",IF(AND(OR($A2184=21,$A2184=215),$AJ2184=10),"④一般",IF(AND($A2184=31,$AJ2184=41),"⑤短期","対象外")))))</f>
        <v/>
      </c>
      <c r="DC2184" s="0" t="str">
        <f aca="false">IF($A2184="","",IF($AB2184&amp;""=設定!$C$4,1,0))</f>
        <v/>
      </c>
    </row>
    <row r="2185" customFormat="false" ht="15" hidden="false" customHeight="false" outlineLevel="0" collapsed="false">
      <c r="DB2185" s="0" t="str">
        <f aca="false">IF($A2185="","",IF($AH2185=20,IF(AND(OR($A2185=21,$A2185=215),$AJ2185=10),"①病院一般",IF(AND($A2185=31,$AJ2185=41),"②病院短期","対象外")),IF($AJ2185=30,"③特定消防",IF(AND(OR($A2185=21,$A2185=215),$AJ2185=10),"④一般",IF(AND($A2185=31,$AJ2185=41),"⑤短期","対象外")))))</f>
        <v/>
      </c>
      <c r="DC2185" s="0" t="str">
        <f aca="false">IF($A2185="","",IF($AB2185&amp;""=設定!$C$4,1,0))</f>
        <v/>
      </c>
    </row>
    <row r="2186" customFormat="false" ht="15" hidden="false" customHeight="false" outlineLevel="0" collapsed="false">
      <c r="DB2186" s="0" t="str">
        <f aca="false">IF($A2186="","",IF($AH2186=20,IF(AND(OR($A2186=21,$A2186=215),$AJ2186=10),"①病院一般",IF(AND($A2186=31,$AJ2186=41),"②病院短期","対象外")),IF($AJ2186=30,"③特定消防",IF(AND(OR($A2186=21,$A2186=215),$AJ2186=10),"④一般",IF(AND($A2186=31,$AJ2186=41),"⑤短期","対象外")))))</f>
        <v/>
      </c>
      <c r="DC2186" s="0" t="str">
        <f aca="false">IF($A2186="","",IF($AB2186&amp;""=設定!$C$4,1,0))</f>
        <v/>
      </c>
    </row>
    <row r="2187" customFormat="false" ht="15" hidden="false" customHeight="false" outlineLevel="0" collapsed="false">
      <c r="DB2187" s="0" t="str">
        <f aca="false">IF($A2187="","",IF($AH2187=20,IF(AND(OR($A2187=21,$A2187=215),$AJ2187=10),"①病院一般",IF(AND($A2187=31,$AJ2187=41),"②病院短期","対象外")),IF($AJ2187=30,"③特定消防",IF(AND(OR($A2187=21,$A2187=215),$AJ2187=10),"④一般",IF(AND($A2187=31,$AJ2187=41),"⑤短期","対象外")))))</f>
        <v/>
      </c>
      <c r="DC2187" s="0" t="str">
        <f aca="false">IF($A2187="","",IF($AB2187&amp;""=設定!$C$4,1,0))</f>
        <v/>
      </c>
    </row>
    <row r="2188" customFormat="false" ht="15" hidden="false" customHeight="false" outlineLevel="0" collapsed="false">
      <c r="DB2188" s="0" t="str">
        <f aca="false">IF($A2188="","",IF($AH2188=20,IF(AND(OR($A2188=21,$A2188=215),$AJ2188=10),"①病院一般",IF(AND($A2188=31,$AJ2188=41),"②病院短期","対象外")),IF($AJ2188=30,"③特定消防",IF(AND(OR($A2188=21,$A2188=215),$AJ2188=10),"④一般",IF(AND($A2188=31,$AJ2188=41),"⑤短期","対象外")))))</f>
        <v/>
      </c>
      <c r="DC2188" s="0" t="str">
        <f aca="false">IF($A2188="","",IF($AB2188&amp;""=設定!$C$4,1,0))</f>
        <v/>
      </c>
    </row>
    <row r="2189" customFormat="false" ht="15" hidden="false" customHeight="false" outlineLevel="0" collapsed="false">
      <c r="DB2189" s="0" t="str">
        <f aca="false">IF($A2189="","",IF($AH2189=20,IF(AND(OR($A2189=21,$A2189=215),$AJ2189=10),"①病院一般",IF(AND($A2189=31,$AJ2189=41),"②病院短期","対象外")),IF($AJ2189=30,"③特定消防",IF(AND(OR($A2189=21,$A2189=215),$AJ2189=10),"④一般",IF(AND($A2189=31,$AJ2189=41),"⑤短期","対象外")))))</f>
        <v/>
      </c>
      <c r="DC2189" s="0" t="str">
        <f aca="false">IF($A2189="","",IF($AB2189&amp;""=設定!$C$4,1,0))</f>
        <v/>
      </c>
    </row>
    <row r="2190" customFormat="false" ht="15" hidden="false" customHeight="false" outlineLevel="0" collapsed="false">
      <c r="DB2190" s="0" t="str">
        <f aca="false">IF($A2190="","",IF($AH2190=20,IF(AND(OR($A2190=21,$A2190=215),$AJ2190=10),"①病院一般",IF(AND($A2190=31,$AJ2190=41),"②病院短期","対象外")),IF($AJ2190=30,"③特定消防",IF(AND(OR($A2190=21,$A2190=215),$AJ2190=10),"④一般",IF(AND($A2190=31,$AJ2190=41),"⑤短期","対象外")))))</f>
        <v/>
      </c>
      <c r="DC2190" s="0" t="str">
        <f aca="false">IF($A2190="","",IF($AB2190&amp;""=設定!$C$4,1,0))</f>
        <v/>
      </c>
    </row>
    <row r="2191" customFormat="false" ht="15" hidden="false" customHeight="false" outlineLevel="0" collapsed="false">
      <c r="DB2191" s="0" t="str">
        <f aca="false">IF($A2191="","",IF($AH2191=20,IF(AND(OR($A2191=21,$A2191=215),$AJ2191=10),"①病院一般",IF(AND($A2191=31,$AJ2191=41),"②病院短期","対象外")),IF($AJ2191=30,"③特定消防",IF(AND(OR($A2191=21,$A2191=215),$AJ2191=10),"④一般",IF(AND($A2191=31,$AJ2191=41),"⑤短期","対象外")))))</f>
        <v/>
      </c>
      <c r="DC2191" s="0" t="str">
        <f aca="false">IF($A2191="","",IF($AB2191&amp;""=設定!$C$4,1,0))</f>
        <v/>
      </c>
    </row>
    <row r="2192" customFormat="false" ht="15" hidden="false" customHeight="false" outlineLevel="0" collapsed="false">
      <c r="DB2192" s="0" t="str">
        <f aca="false">IF($A2192="","",IF($AH2192=20,IF(AND(OR($A2192=21,$A2192=215),$AJ2192=10),"①病院一般",IF(AND($A2192=31,$AJ2192=41),"②病院短期","対象外")),IF($AJ2192=30,"③特定消防",IF(AND(OR($A2192=21,$A2192=215),$AJ2192=10),"④一般",IF(AND($A2192=31,$AJ2192=41),"⑤短期","対象外")))))</f>
        <v/>
      </c>
      <c r="DC2192" s="0" t="str">
        <f aca="false">IF($A2192="","",IF($AB2192&amp;""=設定!$C$4,1,0))</f>
        <v/>
      </c>
    </row>
    <row r="2193" customFormat="false" ht="15" hidden="false" customHeight="false" outlineLevel="0" collapsed="false">
      <c r="DB2193" s="0" t="str">
        <f aca="false">IF($A2193="","",IF($AH2193=20,IF(AND(OR($A2193=21,$A2193=215),$AJ2193=10),"①病院一般",IF(AND($A2193=31,$AJ2193=41),"②病院短期","対象外")),IF($AJ2193=30,"③特定消防",IF(AND(OR($A2193=21,$A2193=215),$AJ2193=10),"④一般",IF(AND($A2193=31,$AJ2193=41),"⑤短期","対象外")))))</f>
        <v/>
      </c>
      <c r="DC2193" s="0" t="str">
        <f aca="false">IF($A2193="","",IF($AB2193&amp;""=設定!$C$4,1,0))</f>
        <v/>
      </c>
    </row>
    <row r="2194" customFormat="false" ht="15" hidden="false" customHeight="false" outlineLevel="0" collapsed="false">
      <c r="DB2194" s="0" t="str">
        <f aca="false">IF($A2194="","",IF($AH2194=20,IF(AND(OR($A2194=21,$A2194=215),$AJ2194=10),"①病院一般",IF(AND($A2194=31,$AJ2194=41),"②病院短期","対象外")),IF($AJ2194=30,"③特定消防",IF(AND(OR($A2194=21,$A2194=215),$AJ2194=10),"④一般",IF(AND($A2194=31,$AJ2194=41),"⑤短期","対象外")))))</f>
        <v/>
      </c>
      <c r="DC2194" s="0" t="str">
        <f aca="false">IF($A2194="","",IF($AB2194&amp;""=設定!$C$4,1,0))</f>
        <v/>
      </c>
    </row>
    <row r="2195" customFormat="false" ht="15" hidden="false" customHeight="false" outlineLevel="0" collapsed="false">
      <c r="DB2195" s="0" t="str">
        <f aca="false">IF($A2195="","",IF($AH2195=20,IF(AND(OR($A2195=21,$A2195=215),$AJ2195=10),"①病院一般",IF(AND($A2195=31,$AJ2195=41),"②病院短期","対象外")),IF($AJ2195=30,"③特定消防",IF(AND(OR($A2195=21,$A2195=215),$AJ2195=10),"④一般",IF(AND($A2195=31,$AJ2195=41),"⑤短期","対象外")))))</f>
        <v/>
      </c>
      <c r="DC2195" s="0" t="str">
        <f aca="false">IF($A2195="","",IF($AB2195&amp;""=設定!$C$4,1,0))</f>
        <v/>
      </c>
    </row>
    <row r="2196" customFormat="false" ht="15" hidden="false" customHeight="false" outlineLevel="0" collapsed="false">
      <c r="DB2196" s="0" t="str">
        <f aca="false">IF($A2196="","",IF($AH2196=20,IF(AND(OR($A2196=21,$A2196=215),$AJ2196=10),"①病院一般",IF(AND($A2196=31,$AJ2196=41),"②病院短期","対象外")),IF($AJ2196=30,"③特定消防",IF(AND(OR($A2196=21,$A2196=215),$AJ2196=10),"④一般",IF(AND($A2196=31,$AJ2196=41),"⑤短期","対象外")))))</f>
        <v/>
      </c>
      <c r="DC2196" s="0" t="str">
        <f aca="false">IF($A2196="","",IF($AB2196&amp;""=設定!$C$4,1,0))</f>
        <v/>
      </c>
    </row>
    <row r="2197" customFormat="false" ht="15" hidden="false" customHeight="false" outlineLevel="0" collapsed="false">
      <c r="DB2197" s="0" t="str">
        <f aca="false">IF($A2197="","",IF($AH2197=20,IF(AND(OR($A2197=21,$A2197=215),$AJ2197=10),"①病院一般",IF(AND($A2197=31,$AJ2197=41),"②病院短期","対象外")),IF($AJ2197=30,"③特定消防",IF(AND(OR($A2197=21,$A2197=215),$AJ2197=10),"④一般",IF(AND($A2197=31,$AJ2197=41),"⑤短期","対象外")))))</f>
        <v/>
      </c>
      <c r="DC2197" s="0" t="str">
        <f aca="false">IF($A2197="","",IF($AB2197&amp;""=設定!$C$4,1,0))</f>
        <v/>
      </c>
    </row>
    <row r="2198" customFormat="false" ht="15" hidden="false" customHeight="false" outlineLevel="0" collapsed="false">
      <c r="DB2198" s="0" t="str">
        <f aca="false">IF($A2198="","",IF($AH2198=20,IF(AND(OR($A2198=21,$A2198=215),$AJ2198=10),"①病院一般",IF(AND($A2198=31,$AJ2198=41),"②病院短期","対象外")),IF($AJ2198=30,"③特定消防",IF(AND(OR($A2198=21,$A2198=215),$AJ2198=10),"④一般",IF(AND($A2198=31,$AJ2198=41),"⑤短期","対象外")))))</f>
        <v/>
      </c>
      <c r="DC2198" s="0" t="str">
        <f aca="false">IF($A2198="","",IF($AB2198&amp;""=設定!$C$4,1,0))</f>
        <v/>
      </c>
    </row>
    <row r="2199" customFormat="false" ht="15" hidden="false" customHeight="false" outlineLevel="0" collapsed="false">
      <c r="DB2199" s="0" t="str">
        <f aca="false">IF($A2199="","",IF($AH2199=20,IF(AND(OR($A2199=21,$A2199=215),$AJ2199=10),"①病院一般",IF(AND($A2199=31,$AJ2199=41),"②病院短期","対象外")),IF($AJ2199=30,"③特定消防",IF(AND(OR($A2199=21,$A2199=215),$AJ2199=10),"④一般",IF(AND($A2199=31,$AJ2199=41),"⑤短期","対象外")))))</f>
        <v/>
      </c>
      <c r="DC2199" s="0" t="str">
        <f aca="false">IF($A2199="","",IF($AB2199&amp;""=設定!$C$4,1,0))</f>
        <v/>
      </c>
    </row>
    <row r="2200" customFormat="false" ht="15" hidden="false" customHeight="false" outlineLevel="0" collapsed="false">
      <c r="DB2200" s="0" t="str">
        <f aca="false">IF($A2200="","",IF($AH2200=20,IF(AND(OR($A2200=21,$A2200=215),$AJ2200=10),"①病院一般",IF(AND($A2200=31,$AJ2200=41),"②病院短期","対象外")),IF($AJ2200=30,"③特定消防",IF(AND(OR($A2200=21,$A2200=215),$AJ2200=10),"④一般",IF(AND($A2200=31,$AJ2200=41),"⑤短期","対象外")))))</f>
        <v/>
      </c>
      <c r="DC2200" s="0" t="str">
        <f aca="false">IF($A2200="","",IF($AB2200&amp;""=設定!$C$4,1,0))</f>
        <v/>
      </c>
    </row>
    <row r="2201" customFormat="false" ht="15" hidden="false" customHeight="false" outlineLevel="0" collapsed="false">
      <c r="DB2201" s="0" t="str">
        <f aca="false">IF($A2201="","",IF($AH2201=20,IF(AND(OR($A2201=21,$A2201=215),$AJ2201=10),"①病院一般",IF(AND($A2201=31,$AJ2201=41),"②病院短期","対象外")),IF($AJ2201=30,"③特定消防",IF(AND(OR($A2201=21,$A2201=215),$AJ2201=10),"④一般",IF(AND($A2201=31,$AJ2201=41),"⑤短期","対象外")))))</f>
        <v/>
      </c>
      <c r="DC2201" s="0" t="str">
        <f aca="false">IF($A2201="","",IF($AB2201&amp;""=設定!$C$4,1,0))</f>
        <v/>
      </c>
    </row>
    <row r="2202" customFormat="false" ht="15" hidden="false" customHeight="false" outlineLevel="0" collapsed="false">
      <c r="DB2202" s="0" t="str">
        <f aca="false">IF($A2202="","",IF($AH2202=20,IF(AND(OR($A2202=21,$A2202=215),$AJ2202=10),"①病院一般",IF(AND($A2202=31,$AJ2202=41),"②病院短期","対象外")),IF($AJ2202=30,"③特定消防",IF(AND(OR($A2202=21,$A2202=215),$AJ2202=10),"④一般",IF(AND($A2202=31,$AJ2202=41),"⑤短期","対象外")))))</f>
        <v/>
      </c>
      <c r="DC2202" s="0" t="str">
        <f aca="false">IF($A2202="","",IF($AB2202&amp;""=設定!$C$4,1,0))</f>
        <v/>
      </c>
    </row>
    <row r="2203" customFormat="false" ht="15" hidden="false" customHeight="false" outlineLevel="0" collapsed="false">
      <c r="DB2203" s="0" t="str">
        <f aca="false">IF($A2203="","",IF($AH2203=20,IF(AND(OR($A2203=21,$A2203=215),$AJ2203=10),"①病院一般",IF(AND($A2203=31,$AJ2203=41),"②病院短期","対象外")),IF($AJ2203=30,"③特定消防",IF(AND(OR($A2203=21,$A2203=215),$AJ2203=10),"④一般",IF(AND($A2203=31,$AJ2203=41),"⑤短期","対象外")))))</f>
        <v/>
      </c>
      <c r="DC2203" s="0" t="str">
        <f aca="false">IF($A2203="","",IF($AB2203&amp;""=設定!$C$4,1,0))</f>
        <v/>
      </c>
    </row>
    <row r="2204" customFormat="false" ht="15" hidden="false" customHeight="false" outlineLevel="0" collapsed="false">
      <c r="DB2204" s="0" t="str">
        <f aca="false">IF($A2204="","",IF($AH2204=20,IF(AND(OR($A2204=21,$A2204=215),$AJ2204=10),"①病院一般",IF(AND($A2204=31,$AJ2204=41),"②病院短期","対象外")),IF($AJ2204=30,"③特定消防",IF(AND(OR($A2204=21,$A2204=215),$AJ2204=10),"④一般",IF(AND($A2204=31,$AJ2204=41),"⑤短期","対象外")))))</f>
        <v/>
      </c>
      <c r="DC2204" s="0" t="str">
        <f aca="false">IF($A2204="","",IF($AB2204&amp;""=設定!$C$4,1,0))</f>
        <v/>
      </c>
    </row>
    <row r="2205" customFormat="false" ht="15" hidden="false" customHeight="false" outlineLevel="0" collapsed="false">
      <c r="DB2205" s="0" t="str">
        <f aca="false">IF($A2205="","",IF($AH2205=20,IF(AND(OR($A2205=21,$A2205=215),$AJ2205=10),"①病院一般",IF(AND($A2205=31,$AJ2205=41),"②病院短期","対象外")),IF($AJ2205=30,"③特定消防",IF(AND(OR($A2205=21,$A2205=215),$AJ2205=10),"④一般",IF(AND($A2205=31,$AJ2205=41),"⑤短期","対象外")))))</f>
        <v/>
      </c>
      <c r="DC2205" s="0" t="str">
        <f aca="false">IF($A2205="","",IF($AB2205&amp;""=設定!$C$4,1,0))</f>
        <v/>
      </c>
    </row>
    <row r="2206" customFormat="false" ht="15" hidden="false" customHeight="false" outlineLevel="0" collapsed="false">
      <c r="DB2206" s="0" t="str">
        <f aca="false">IF($A2206="","",IF($AH2206=20,IF(AND(OR($A2206=21,$A2206=215),$AJ2206=10),"①病院一般",IF(AND($A2206=31,$AJ2206=41),"②病院短期","対象外")),IF($AJ2206=30,"③特定消防",IF(AND(OR($A2206=21,$A2206=215),$AJ2206=10),"④一般",IF(AND($A2206=31,$AJ2206=41),"⑤短期","対象外")))))</f>
        <v/>
      </c>
      <c r="DC2206" s="0" t="str">
        <f aca="false">IF($A2206="","",IF($AB2206&amp;""=設定!$C$4,1,0))</f>
        <v/>
      </c>
    </row>
    <row r="2207" customFormat="false" ht="15" hidden="false" customHeight="false" outlineLevel="0" collapsed="false">
      <c r="DB2207" s="0" t="str">
        <f aca="false">IF($A2207="","",IF($AH2207=20,IF(AND(OR($A2207=21,$A2207=215),$AJ2207=10),"①病院一般",IF(AND($A2207=31,$AJ2207=41),"②病院短期","対象外")),IF($AJ2207=30,"③特定消防",IF(AND(OR($A2207=21,$A2207=215),$AJ2207=10),"④一般",IF(AND($A2207=31,$AJ2207=41),"⑤短期","対象外")))))</f>
        <v/>
      </c>
      <c r="DC2207" s="0" t="str">
        <f aca="false">IF($A2207="","",IF($AB2207&amp;""=設定!$C$4,1,0))</f>
        <v/>
      </c>
    </row>
    <row r="2208" customFormat="false" ht="15" hidden="false" customHeight="false" outlineLevel="0" collapsed="false">
      <c r="DB2208" s="0" t="str">
        <f aca="false">IF($A2208="","",IF($AH2208=20,IF(AND(OR($A2208=21,$A2208=215),$AJ2208=10),"①病院一般",IF(AND($A2208=31,$AJ2208=41),"②病院短期","対象外")),IF($AJ2208=30,"③特定消防",IF(AND(OR($A2208=21,$A2208=215),$AJ2208=10),"④一般",IF(AND($A2208=31,$AJ2208=41),"⑤短期","対象外")))))</f>
        <v/>
      </c>
      <c r="DC2208" s="0" t="str">
        <f aca="false">IF($A2208="","",IF($AB2208&amp;""=設定!$C$4,1,0))</f>
        <v/>
      </c>
    </row>
    <row r="2209" customFormat="false" ht="15" hidden="false" customHeight="false" outlineLevel="0" collapsed="false">
      <c r="DB2209" s="0" t="str">
        <f aca="false">IF($A2209="","",IF($AH2209=20,IF(AND(OR($A2209=21,$A2209=215),$AJ2209=10),"①病院一般",IF(AND($A2209=31,$AJ2209=41),"②病院短期","対象外")),IF($AJ2209=30,"③特定消防",IF(AND(OR($A2209=21,$A2209=215),$AJ2209=10),"④一般",IF(AND($A2209=31,$AJ2209=41),"⑤短期","対象外")))))</f>
        <v/>
      </c>
      <c r="DC2209" s="0" t="str">
        <f aca="false">IF($A2209="","",IF($AB2209&amp;""=設定!$C$4,1,0))</f>
        <v/>
      </c>
    </row>
    <row r="2210" customFormat="false" ht="15" hidden="false" customHeight="false" outlineLevel="0" collapsed="false">
      <c r="DB2210" s="0" t="str">
        <f aca="false">IF($A2210="","",IF($AH2210=20,IF(AND(OR($A2210=21,$A2210=215),$AJ2210=10),"①病院一般",IF(AND($A2210=31,$AJ2210=41),"②病院短期","対象外")),IF($AJ2210=30,"③特定消防",IF(AND(OR($A2210=21,$A2210=215),$AJ2210=10),"④一般",IF(AND($A2210=31,$AJ2210=41),"⑤短期","対象外")))))</f>
        <v/>
      </c>
      <c r="DC2210" s="0" t="str">
        <f aca="false">IF($A2210="","",IF($AB2210&amp;""=設定!$C$4,1,0))</f>
        <v/>
      </c>
    </row>
    <row r="2211" customFormat="false" ht="15" hidden="false" customHeight="false" outlineLevel="0" collapsed="false">
      <c r="DB2211" s="0" t="str">
        <f aca="false">IF($A2211="","",IF($AH2211=20,IF(AND(OR($A2211=21,$A2211=215),$AJ2211=10),"①病院一般",IF(AND($A2211=31,$AJ2211=41),"②病院短期","対象外")),IF($AJ2211=30,"③特定消防",IF(AND(OR($A2211=21,$A2211=215),$AJ2211=10),"④一般",IF(AND($A2211=31,$AJ2211=41),"⑤短期","対象外")))))</f>
        <v/>
      </c>
      <c r="DC2211" s="0" t="str">
        <f aca="false">IF($A2211="","",IF($AB2211&amp;""=設定!$C$4,1,0))</f>
        <v/>
      </c>
    </row>
    <row r="2212" customFormat="false" ht="15" hidden="false" customHeight="false" outlineLevel="0" collapsed="false">
      <c r="DB2212" s="0" t="str">
        <f aca="false">IF($A2212="","",IF($AH2212=20,IF(AND(OR($A2212=21,$A2212=215),$AJ2212=10),"①病院一般",IF(AND($A2212=31,$AJ2212=41),"②病院短期","対象外")),IF($AJ2212=30,"③特定消防",IF(AND(OR($A2212=21,$A2212=215),$AJ2212=10),"④一般",IF(AND($A2212=31,$AJ2212=41),"⑤短期","対象外")))))</f>
        <v/>
      </c>
      <c r="DC2212" s="0" t="str">
        <f aca="false">IF($A2212="","",IF($AB2212&amp;""=設定!$C$4,1,0))</f>
        <v/>
      </c>
    </row>
    <row r="2213" customFormat="false" ht="15" hidden="false" customHeight="false" outlineLevel="0" collapsed="false">
      <c r="DB2213" s="0" t="str">
        <f aca="false">IF($A2213="","",IF($AH2213=20,IF(AND(OR($A2213=21,$A2213=215),$AJ2213=10),"①病院一般",IF(AND($A2213=31,$AJ2213=41),"②病院短期","対象外")),IF($AJ2213=30,"③特定消防",IF(AND(OR($A2213=21,$A2213=215),$AJ2213=10),"④一般",IF(AND($A2213=31,$AJ2213=41),"⑤短期","対象外")))))</f>
        <v/>
      </c>
      <c r="DC2213" s="0" t="str">
        <f aca="false">IF($A2213="","",IF($AB2213&amp;""=設定!$C$4,1,0))</f>
        <v/>
      </c>
    </row>
    <row r="2214" customFormat="false" ht="15" hidden="false" customHeight="false" outlineLevel="0" collapsed="false">
      <c r="DB2214" s="0" t="str">
        <f aca="false">IF($A2214="","",IF($AH2214=20,IF(AND(OR($A2214=21,$A2214=215),$AJ2214=10),"①病院一般",IF(AND($A2214=31,$AJ2214=41),"②病院短期","対象外")),IF($AJ2214=30,"③特定消防",IF(AND(OR($A2214=21,$A2214=215),$AJ2214=10),"④一般",IF(AND($A2214=31,$AJ2214=41),"⑤短期","対象外")))))</f>
        <v/>
      </c>
      <c r="DC2214" s="0" t="str">
        <f aca="false">IF($A2214="","",IF($AB2214&amp;""=設定!$C$4,1,0))</f>
        <v/>
      </c>
    </row>
    <row r="2215" customFormat="false" ht="15" hidden="false" customHeight="false" outlineLevel="0" collapsed="false">
      <c r="DB2215" s="0" t="str">
        <f aca="false">IF($A2215="","",IF($AH2215=20,IF(AND(OR($A2215=21,$A2215=215),$AJ2215=10),"①病院一般",IF(AND($A2215=31,$AJ2215=41),"②病院短期","対象外")),IF($AJ2215=30,"③特定消防",IF(AND(OR($A2215=21,$A2215=215),$AJ2215=10),"④一般",IF(AND($A2215=31,$AJ2215=41),"⑤短期","対象外")))))</f>
        <v/>
      </c>
      <c r="DC2215" s="0" t="str">
        <f aca="false">IF($A2215="","",IF($AB2215&amp;""=設定!$C$4,1,0))</f>
        <v/>
      </c>
    </row>
    <row r="2216" customFormat="false" ht="15" hidden="false" customHeight="false" outlineLevel="0" collapsed="false">
      <c r="DB2216" s="0" t="str">
        <f aca="false">IF($A2216="","",IF($AH2216=20,IF(AND(OR($A2216=21,$A2216=215),$AJ2216=10),"①病院一般",IF(AND($A2216=31,$AJ2216=41),"②病院短期","対象外")),IF($AJ2216=30,"③特定消防",IF(AND(OR($A2216=21,$A2216=215),$AJ2216=10),"④一般",IF(AND($A2216=31,$AJ2216=41),"⑤短期","対象外")))))</f>
        <v/>
      </c>
      <c r="DC2216" s="0" t="str">
        <f aca="false">IF($A2216="","",IF($AB2216&amp;""=設定!$C$4,1,0))</f>
        <v/>
      </c>
    </row>
    <row r="2217" customFormat="false" ht="15" hidden="false" customHeight="false" outlineLevel="0" collapsed="false">
      <c r="DB2217" s="0" t="str">
        <f aca="false">IF($A2217="","",IF($AH2217=20,IF(AND(OR($A2217=21,$A2217=215),$AJ2217=10),"①病院一般",IF(AND($A2217=31,$AJ2217=41),"②病院短期","対象外")),IF($AJ2217=30,"③特定消防",IF(AND(OR($A2217=21,$A2217=215),$AJ2217=10),"④一般",IF(AND($A2217=31,$AJ2217=41),"⑤短期","対象外")))))</f>
        <v/>
      </c>
      <c r="DC2217" s="0" t="str">
        <f aca="false">IF($A2217="","",IF($AB2217&amp;""=設定!$C$4,1,0))</f>
        <v/>
      </c>
    </row>
    <row r="2218" customFormat="false" ht="15" hidden="false" customHeight="false" outlineLevel="0" collapsed="false">
      <c r="DB2218" s="0" t="str">
        <f aca="false">IF($A2218="","",IF($AH2218=20,IF(AND(OR($A2218=21,$A2218=215),$AJ2218=10),"①病院一般",IF(AND($A2218=31,$AJ2218=41),"②病院短期","対象外")),IF($AJ2218=30,"③特定消防",IF(AND(OR($A2218=21,$A2218=215),$AJ2218=10),"④一般",IF(AND($A2218=31,$AJ2218=41),"⑤短期","対象外")))))</f>
        <v/>
      </c>
      <c r="DC2218" s="0" t="str">
        <f aca="false">IF($A2218="","",IF($AB2218&amp;""=設定!$C$4,1,0))</f>
        <v/>
      </c>
    </row>
    <row r="2219" customFormat="false" ht="15" hidden="false" customHeight="false" outlineLevel="0" collapsed="false">
      <c r="DB2219" s="0" t="str">
        <f aca="false">IF($A2219="","",IF($AH2219=20,IF(AND(OR($A2219=21,$A2219=215),$AJ2219=10),"①病院一般",IF(AND($A2219=31,$AJ2219=41),"②病院短期","対象外")),IF($AJ2219=30,"③特定消防",IF(AND(OR($A2219=21,$A2219=215),$AJ2219=10),"④一般",IF(AND($A2219=31,$AJ2219=41),"⑤短期","対象外")))))</f>
        <v/>
      </c>
      <c r="DC2219" s="0" t="str">
        <f aca="false">IF($A2219="","",IF($AB2219&amp;""=設定!$C$4,1,0))</f>
        <v/>
      </c>
    </row>
    <row r="2220" customFormat="false" ht="15" hidden="false" customHeight="false" outlineLevel="0" collapsed="false">
      <c r="DB2220" s="0" t="str">
        <f aca="false">IF($A2220="","",IF($AH2220=20,IF(AND(OR($A2220=21,$A2220=215),$AJ2220=10),"①病院一般",IF(AND($A2220=31,$AJ2220=41),"②病院短期","対象外")),IF($AJ2220=30,"③特定消防",IF(AND(OR($A2220=21,$A2220=215),$AJ2220=10),"④一般",IF(AND($A2220=31,$AJ2220=41),"⑤短期","対象外")))))</f>
        <v/>
      </c>
      <c r="DC2220" s="0" t="str">
        <f aca="false">IF($A2220="","",IF($AB2220&amp;""=設定!$C$4,1,0))</f>
        <v/>
      </c>
    </row>
    <row r="2221" customFormat="false" ht="15" hidden="false" customHeight="false" outlineLevel="0" collapsed="false">
      <c r="DB2221" s="0" t="str">
        <f aca="false">IF($A2221="","",IF($AH2221=20,IF(AND(OR($A2221=21,$A2221=215),$AJ2221=10),"①病院一般",IF(AND($A2221=31,$AJ2221=41),"②病院短期","対象外")),IF($AJ2221=30,"③特定消防",IF(AND(OR($A2221=21,$A2221=215),$AJ2221=10),"④一般",IF(AND($A2221=31,$AJ2221=41),"⑤短期","対象外")))))</f>
        <v/>
      </c>
      <c r="DC2221" s="0" t="str">
        <f aca="false">IF($A2221="","",IF($AB2221&amp;""=設定!$C$4,1,0))</f>
        <v/>
      </c>
    </row>
    <row r="2222" customFormat="false" ht="15" hidden="false" customHeight="false" outlineLevel="0" collapsed="false">
      <c r="DB2222" s="0" t="str">
        <f aca="false">IF($A2222="","",IF($AH2222=20,IF(AND(OR($A2222=21,$A2222=215),$AJ2222=10),"①病院一般",IF(AND($A2222=31,$AJ2222=41),"②病院短期","対象外")),IF($AJ2222=30,"③特定消防",IF(AND(OR($A2222=21,$A2222=215),$AJ2222=10),"④一般",IF(AND($A2222=31,$AJ2222=41),"⑤短期","対象外")))))</f>
        <v/>
      </c>
      <c r="DC2222" s="0" t="str">
        <f aca="false">IF($A2222="","",IF($AB2222&amp;""=設定!$C$4,1,0))</f>
        <v/>
      </c>
    </row>
    <row r="2223" customFormat="false" ht="15" hidden="false" customHeight="false" outlineLevel="0" collapsed="false">
      <c r="DB2223" s="0" t="str">
        <f aca="false">IF($A2223="","",IF($AH2223=20,IF(AND(OR($A2223=21,$A2223=215),$AJ2223=10),"①病院一般",IF(AND($A2223=31,$AJ2223=41),"②病院短期","対象外")),IF($AJ2223=30,"③特定消防",IF(AND(OR($A2223=21,$A2223=215),$AJ2223=10),"④一般",IF(AND($A2223=31,$AJ2223=41),"⑤短期","対象外")))))</f>
        <v/>
      </c>
      <c r="DC2223" s="0" t="str">
        <f aca="false">IF($A2223="","",IF($AB2223&amp;""=設定!$C$4,1,0))</f>
        <v/>
      </c>
    </row>
    <row r="2224" customFormat="false" ht="15" hidden="false" customHeight="false" outlineLevel="0" collapsed="false">
      <c r="DB2224" s="0" t="str">
        <f aca="false">IF($A2224="","",IF($AH2224=20,IF(AND(OR($A2224=21,$A2224=215),$AJ2224=10),"①病院一般",IF(AND($A2224=31,$AJ2224=41),"②病院短期","対象外")),IF($AJ2224=30,"③特定消防",IF(AND(OR($A2224=21,$A2224=215),$AJ2224=10),"④一般",IF(AND($A2224=31,$AJ2224=41),"⑤短期","対象外")))))</f>
        <v/>
      </c>
      <c r="DC2224" s="0" t="str">
        <f aca="false">IF($A2224="","",IF($AB2224&amp;""=設定!$C$4,1,0))</f>
        <v/>
      </c>
    </row>
    <row r="2225" customFormat="false" ht="15" hidden="false" customHeight="false" outlineLevel="0" collapsed="false">
      <c r="DB2225" s="0" t="str">
        <f aca="false">IF($A2225="","",IF($AH2225=20,IF(AND(OR($A2225=21,$A2225=215),$AJ2225=10),"①病院一般",IF(AND($A2225=31,$AJ2225=41),"②病院短期","対象外")),IF($AJ2225=30,"③特定消防",IF(AND(OR($A2225=21,$A2225=215),$AJ2225=10),"④一般",IF(AND($A2225=31,$AJ2225=41),"⑤短期","対象外")))))</f>
        <v/>
      </c>
      <c r="DC2225" s="0" t="str">
        <f aca="false">IF($A2225="","",IF($AB2225&amp;""=設定!$C$4,1,0))</f>
        <v/>
      </c>
    </row>
    <row r="2226" customFormat="false" ht="15" hidden="false" customHeight="false" outlineLevel="0" collapsed="false">
      <c r="DB2226" s="0" t="str">
        <f aca="false">IF($A2226="","",IF($AH2226=20,IF(AND(OR($A2226=21,$A2226=215),$AJ2226=10),"①病院一般",IF(AND($A2226=31,$AJ2226=41),"②病院短期","対象外")),IF($AJ2226=30,"③特定消防",IF(AND(OR($A2226=21,$A2226=215),$AJ2226=10),"④一般",IF(AND($A2226=31,$AJ2226=41),"⑤短期","対象外")))))</f>
        <v/>
      </c>
      <c r="DC2226" s="0" t="str">
        <f aca="false">IF($A2226="","",IF($AB2226&amp;""=設定!$C$4,1,0))</f>
        <v/>
      </c>
    </row>
    <row r="2227" customFormat="false" ht="15" hidden="false" customHeight="false" outlineLevel="0" collapsed="false">
      <c r="DB2227" s="0" t="str">
        <f aca="false">IF($A2227="","",IF($AH2227=20,IF(AND(OR($A2227=21,$A2227=215),$AJ2227=10),"①病院一般",IF(AND($A2227=31,$AJ2227=41),"②病院短期","対象外")),IF($AJ2227=30,"③特定消防",IF(AND(OR($A2227=21,$A2227=215),$AJ2227=10),"④一般",IF(AND($A2227=31,$AJ2227=41),"⑤短期","対象外")))))</f>
        <v/>
      </c>
      <c r="DC2227" s="0" t="str">
        <f aca="false">IF($A2227="","",IF($AB2227&amp;""=設定!$C$4,1,0))</f>
        <v/>
      </c>
    </row>
    <row r="2228" customFormat="false" ht="15" hidden="false" customHeight="false" outlineLevel="0" collapsed="false">
      <c r="DB2228" s="0" t="str">
        <f aca="false">IF($A2228="","",IF($AH2228=20,IF(AND(OR($A2228=21,$A2228=215),$AJ2228=10),"①病院一般",IF(AND($A2228=31,$AJ2228=41),"②病院短期","対象外")),IF($AJ2228=30,"③特定消防",IF(AND(OR($A2228=21,$A2228=215),$AJ2228=10),"④一般",IF(AND($A2228=31,$AJ2228=41),"⑤短期","対象外")))))</f>
        <v/>
      </c>
      <c r="DC2228" s="0" t="str">
        <f aca="false">IF($A2228="","",IF($AB2228&amp;""=設定!$C$4,1,0))</f>
        <v/>
      </c>
    </row>
    <row r="2229" customFormat="false" ht="15" hidden="false" customHeight="false" outlineLevel="0" collapsed="false">
      <c r="DB2229" s="0" t="str">
        <f aca="false">IF($A2229="","",IF($AH2229=20,IF(AND(OR($A2229=21,$A2229=215),$AJ2229=10),"①病院一般",IF(AND($A2229=31,$AJ2229=41),"②病院短期","対象外")),IF($AJ2229=30,"③特定消防",IF(AND(OR($A2229=21,$A2229=215),$AJ2229=10),"④一般",IF(AND($A2229=31,$AJ2229=41),"⑤短期","対象外")))))</f>
        <v/>
      </c>
      <c r="DC2229" s="0" t="str">
        <f aca="false">IF($A2229="","",IF($AB2229&amp;""=設定!$C$4,1,0))</f>
        <v/>
      </c>
    </row>
    <row r="2230" customFormat="false" ht="15" hidden="false" customHeight="false" outlineLevel="0" collapsed="false">
      <c r="DB2230" s="0" t="str">
        <f aca="false">IF($A2230="","",IF($AH2230=20,IF(AND(OR($A2230=21,$A2230=215),$AJ2230=10),"①病院一般",IF(AND($A2230=31,$AJ2230=41),"②病院短期","対象外")),IF($AJ2230=30,"③特定消防",IF(AND(OR($A2230=21,$A2230=215),$AJ2230=10),"④一般",IF(AND($A2230=31,$AJ2230=41),"⑤短期","対象外")))))</f>
        <v/>
      </c>
      <c r="DC2230" s="0" t="str">
        <f aca="false">IF($A2230="","",IF($AB2230&amp;""=設定!$C$4,1,0))</f>
        <v/>
      </c>
    </row>
    <row r="2231" customFormat="false" ht="15" hidden="false" customHeight="false" outlineLevel="0" collapsed="false">
      <c r="DB2231" s="0" t="str">
        <f aca="false">IF($A2231="","",IF($AH2231=20,IF(AND(OR($A2231=21,$A2231=215),$AJ2231=10),"①病院一般",IF(AND($A2231=31,$AJ2231=41),"②病院短期","対象外")),IF($AJ2231=30,"③特定消防",IF(AND(OR($A2231=21,$A2231=215),$AJ2231=10),"④一般",IF(AND($A2231=31,$AJ2231=41),"⑤短期","対象外")))))</f>
        <v/>
      </c>
      <c r="DC2231" s="0" t="str">
        <f aca="false">IF($A2231="","",IF($AB2231&amp;""=設定!$C$4,1,0))</f>
        <v/>
      </c>
    </row>
    <row r="2232" customFormat="false" ht="15" hidden="false" customHeight="false" outlineLevel="0" collapsed="false">
      <c r="DB2232" s="0" t="str">
        <f aca="false">IF($A2232="","",IF($AH2232=20,IF(AND(OR($A2232=21,$A2232=215),$AJ2232=10),"①病院一般",IF(AND($A2232=31,$AJ2232=41),"②病院短期","対象外")),IF($AJ2232=30,"③特定消防",IF(AND(OR($A2232=21,$A2232=215),$AJ2232=10),"④一般",IF(AND($A2232=31,$AJ2232=41),"⑤短期","対象外")))))</f>
        <v/>
      </c>
      <c r="DC2232" s="0" t="str">
        <f aca="false">IF($A2232="","",IF($AB2232&amp;""=設定!$C$4,1,0))</f>
        <v/>
      </c>
    </row>
    <row r="2233" customFormat="false" ht="15" hidden="false" customHeight="false" outlineLevel="0" collapsed="false">
      <c r="DB2233" s="0" t="str">
        <f aca="false">IF($A2233="","",IF($AH2233=20,IF(AND(OR($A2233=21,$A2233=215),$AJ2233=10),"①病院一般",IF(AND($A2233=31,$AJ2233=41),"②病院短期","対象外")),IF($AJ2233=30,"③特定消防",IF(AND(OR($A2233=21,$A2233=215),$AJ2233=10),"④一般",IF(AND($A2233=31,$AJ2233=41),"⑤短期","対象外")))))</f>
        <v/>
      </c>
      <c r="DC2233" s="0" t="str">
        <f aca="false">IF($A2233="","",IF($AB2233&amp;""=設定!$C$4,1,0))</f>
        <v/>
      </c>
    </row>
    <row r="2234" customFormat="false" ht="15" hidden="false" customHeight="false" outlineLevel="0" collapsed="false">
      <c r="DB2234" s="0" t="str">
        <f aca="false">IF($A2234="","",IF($AH2234=20,IF(AND(OR($A2234=21,$A2234=215),$AJ2234=10),"①病院一般",IF(AND($A2234=31,$AJ2234=41),"②病院短期","対象外")),IF($AJ2234=30,"③特定消防",IF(AND(OR($A2234=21,$A2234=215),$AJ2234=10),"④一般",IF(AND($A2234=31,$AJ2234=41),"⑤短期","対象外")))))</f>
        <v/>
      </c>
      <c r="DC2234" s="0" t="str">
        <f aca="false">IF($A2234="","",IF($AB2234&amp;""=設定!$C$4,1,0))</f>
        <v/>
      </c>
    </row>
    <row r="2235" customFormat="false" ht="15" hidden="false" customHeight="false" outlineLevel="0" collapsed="false">
      <c r="DB2235" s="0" t="str">
        <f aca="false">IF($A2235="","",IF($AH2235=20,IF(AND(OR($A2235=21,$A2235=215),$AJ2235=10),"①病院一般",IF(AND($A2235=31,$AJ2235=41),"②病院短期","対象外")),IF($AJ2235=30,"③特定消防",IF(AND(OR($A2235=21,$A2235=215),$AJ2235=10),"④一般",IF(AND($A2235=31,$AJ2235=41),"⑤短期","対象外")))))</f>
        <v/>
      </c>
      <c r="DC2235" s="0" t="str">
        <f aca="false">IF($A2235="","",IF($AB2235&amp;""=設定!$C$4,1,0))</f>
        <v/>
      </c>
    </row>
    <row r="2236" customFormat="false" ht="15" hidden="false" customHeight="false" outlineLevel="0" collapsed="false">
      <c r="DB2236" s="0" t="str">
        <f aca="false">IF($A2236="","",IF($AH2236=20,IF(AND(OR($A2236=21,$A2236=215),$AJ2236=10),"①病院一般",IF(AND($A2236=31,$AJ2236=41),"②病院短期","対象外")),IF($AJ2236=30,"③特定消防",IF(AND(OR($A2236=21,$A2236=215),$AJ2236=10),"④一般",IF(AND($A2236=31,$AJ2236=41),"⑤短期","対象外")))))</f>
        <v/>
      </c>
      <c r="DC2236" s="0" t="str">
        <f aca="false">IF($A2236="","",IF($AB2236&amp;""=設定!$C$4,1,0))</f>
        <v/>
      </c>
    </row>
    <row r="2237" customFormat="false" ht="15" hidden="false" customHeight="false" outlineLevel="0" collapsed="false">
      <c r="DB2237" s="0" t="str">
        <f aca="false">IF($A2237="","",IF($AH2237=20,IF(AND(OR($A2237=21,$A2237=215),$AJ2237=10),"①病院一般",IF(AND($A2237=31,$AJ2237=41),"②病院短期","対象外")),IF($AJ2237=30,"③特定消防",IF(AND(OR($A2237=21,$A2237=215),$AJ2237=10),"④一般",IF(AND($A2237=31,$AJ2237=41),"⑤短期","対象外")))))</f>
        <v/>
      </c>
      <c r="DC2237" s="0" t="str">
        <f aca="false">IF($A2237="","",IF($AB2237&amp;""=設定!$C$4,1,0))</f>
        <v/>
      </c>
    </row>
    <row r="2238" customFormat="false" ht="15" hidden="false" customHeight="false" outlineLevel="0" collapsed="false">
      <c r="DB2238" s="0" t="str">
        <f aca="false">IF($A2238="","",IF($AH2238=20,IF(AND(OR($A2238=21,$A2238=215),$AJ2238=10),"①病院一般",IF(AND($A2238=31,$AJ2238=41),"②病院短期","対象外")),IF($AJ2238=30,"③特定消防",IF(AND(OR($A2238=21,$A2238=215),$AJ2238=10),"④一般",IF(AND($A2238=31,$AJ2238=41),"⑤短期","対象外")))))</f>
        <v/>
      </c>
      <c r="DC2238" s="0" t="str">
        <f aca="false">IF($A2238="","",IF($AB2238&amp;""=設定!$C$4,1,0))</f>
        <v/>
      </c>
    </row>
    <row r="2239" customFormat="false" ht="15" hidden="false" customHeight="false" outlineLevel="0" collapsed="false">
      <c r="DB2239" s="0" t="str">
        <f aca="false">IF($A2239="","",IF($AH2239=20,IF(AND(OR($A2239=21,$A2239=215),$AJ2239=10),"①病院一般",IF(AND($A2239=31,$AJ2239=41),"②病院短期","対象外")),IF($AJ2239=30,"③特定消防",IF(AND(OR($A2239=21,$A2239=215),$AJ2239=10),"④一般",IF(AND($A2239=31,$AJ2239=41),"⑤短期","対象外")))))</f>
        <v/>
      </c>
      <c r="DC2239" s="0" t="str">
        <f aca="false">IF($A2239="","",IF($AB2239&amp;""=設定!$C$4,1,0))</f>
        <v/>
      </c>
    </row>
    <row r="2240" customFormat="false" ht="15" hidden="false" customHeight="false" outlineLevel="0" collapsed="false">
      <c r="DB2240" s="0" t="str">
        <f aca="false">IF($A2240="","",IF($AH2240=20,IF(AND(OR($A2240=21,$A2240=215),$AJ2240=10),"①病院一般",IF(AND($A2240=31,$AJ2240=41),"②病院短期","対象外")),IF($AJ2240=30,"③特定消防",IF(AND(OR($A2240=21,$A2240=215),$AJ2240=10),"④一般",IF(AND($A2240=31,$AJ2240=41),"⑤短期","対象外")))))</f>
        <v/>
      </c>
      <c r="DC2240" s="0" t="str">
        <f aca="false">IF($A2240="","",IF($AB2240&amp;""=設定!$C$4,1,0))</f>
        <v/>
      </c>
    </row>
    <row r="2241" customFormat="false" ht="15" hidden="false" customHeight="false" outlineLevel="0" collapsed="false">
      <c r="DB2241" s="0" t="str">
        <f aca="false">IF($A2241="","",IF($AH2241=20,IF(AND(OR($A2241=21,$A2241=215),$AJ2241=10),"①病院一般",IF(AND($A2241=31,$AJ2241=41),"②病院短期","対象外")),IF($AJ2241=30,"③特定消防",IF(AND(OR($A2241=21,$A2241=215),$AJ2241=10),"④一般",IF(AND($A2241=31,$AJ2241=41),"⑤短期","対象外")))))</f>
        <v/>
      </c>
      <c r="DC2241" s="0" t="str">
        <f aca="false">IF($A2241="","",IF($AB2241&amp;""=設定!$C$4,1,0))</f>
        <v/>
      </c>
    </row>
    <row r="2242" customFormat="false" ht="15" hidden="false" customHeight="false" outlineLevel="0" collapsed="false">
      <c r="DB2242" s="0" t="str">
        <f aca="false">IF($A2242="","",IF($AH2242=20,IF(AND(OR($A2242=21,$A2242=215),$AJ2242=10),"①病院一般",IF(AND($A2242=31,$AJ2242=41),"②病院短期","対象外")),IF($AJ2242=30,"③特定消防",IF(AND(OR($A2242=21,$A2242=215),$AJ2242=10),"④一般",IF(AND($A2242=31,$AJ2242=41),"⑤短期","対象外")))))</f>
        <v/>
      </c>
      <c r="DC2242" s="0" t="str">
        <f aca="false">IF($A2242="","",IF($AB2242&amp;""=設定!$C$4,1,0))</f>
        <v/>
      </c>
    </row>
    <row r="2243" customFormat="false" ht="15" hidden="false" customHeight="false" outlineLevel="0" collapsed="false">
      <c r="DB2243" s="0" t="str">
        <f aca="false">IF($A2243="","",IF($AH2243=20,IF(AND(OR($A2243=21,$A2243=215),$AJ2243=10),"①病院一般",IF(AND($A2243=31,$AJ2243=41),"②病院短期","対象外")),IF($AJ2243=30,"③特定消防",IF(AND(OR($A2243=21,$A2243=215),$AJ2243=10),"④一般",IF(AND($A2243=31,$AJ2243=41),"⑤短期","対象外")))))</f>
        <v/>
      </c>
      <c r="DC2243" s="0" t="str">
        <f aca="false">IF($A2243="","",IF($AB2243&amp;""=設定!$C$4,1,0))</f>
        <v/>
      </c>
    </row>
    <row r="2244" customFormat="false" ht="15" hidden="false" customHeight="false" outlineLevel="0" collapsed="false">
      <c r="DB2244" s="0" t="str">
        <f aca="false">IF($A2244="","",IF($AH2244=20,IF(AND(OR($A2244=21,$A2244=215),$AJ2244=10),"①病院一般",IF(AND($A2244=31,$AJ2244=41),"②病院短期","対象外")),IF($AJ2244=30,"③特定消防",IF(AND(OR($A2244=21,$A2244=215),$AJ2244=10),"④一般",IF(AND($A2244=31,$AJ2244=41),"⑤短期","対象外")))))</f>
        <v/>
      </c>
      <c r="DC2244" s="0" t="str">
        <f aca="false">IF($A2244="","",IF($AB2244&amp;""=設定!$C$4,1,0))</f>
        <v/>
      </c>
    </row>
    <row r="2245" customFormat="false" ht="15" hidden="false" customHeight="false" outlineLevel="0" collapsed="false">
      <c r="DB2245" s="0" t="str">
        <f aca="false">IF($A2245="","",IF($AH2245=20,IF(AND(OR($A2245=21,$A2245=215),$AJ2245=10),"①病院一般",IF(AND($A2245=31,$AJ2245=41),"②病院短期","対象外")),IF($AJ2245=30,"③特定消防",IF(AND(OR($A2245=21,$A2245=215),$AJ2245=10),"④一般",IF(AND($A2245=31,$AJ2245=41),"⑤短期","対象外")))))</f>
        <v/>
      </c>
      <c r="DC2245" s="0" t="str">
        <f aca="false">IF($A2245="","",IF($AB2245&amp;""=設定!$C$4,1,0))</f>
        <v/>
      </c>
    </row>
    <row r="2246" customFormat="false" ht="15" hidden="false" customHeight="false" outlineLevel="0" collapsed="false">
      <c r="DB2246" s="0" t="str">
        <f aca="false">IF($A2246="","",IF($AH2246=20,IF(AND(OR($A2246=21,$A2246=215),$AJ2246=10),"①病院一般",IF(AND($A2246=31,$AJ2246=41),"②病院短期","対象外")),IF($AJ2246=30,"③特定消防",IF(AND(OR($A2246=21,$A2246=215),$AJ2246=10),"④一般",IF(AND($A2246=31,$AJ2246=41),"⑤短期","対象外")))))</f>
        <v/>
      </c>
      <c r="DC2246" s="0" t="str">
        <f aca="false">IF($A2246="","",IF($AB2246&amp;""=設定!$C$4,1,0))</f>
        <v/>
      </c>
    </row>
    <row r="2247" customFormat="false" ht="15" hidden="false" customHeight="false" outlineLevel="0" collapsed="false">
      <c r="DB2247" s="0" t="str">
        <f aca="false">IF($A2247="","",IF($AH2247=20,IF(AND(OR($A2247=21,$A2247=215),$AJ2247=10),"①病院一般",IF(AND($A2247=31,$AJ2247=41),"②病院短期","対象外")),IF($AJ2247=30,"③特定消防",IF(AND(OR($A2247=21,$A2247=215),$AJ2247=10),"④一般",IF(AND($A2247=31,$AJ2247=41),"⑤短期","対象外")))))</f>
        <v/>
      </c>
      <c r="DC2247" s="0" t="str">
        <f aca="false">IF($A2247="","",IF($AB2247&amp;""=設定!$C$4,1,0))</f>
        <v/>
      </c>
    </row>
    <row r="2248" customFormat="false" ht="15" hidden="false" customHeight="false" outlineLevel="0" collapsed="false">
      <c r="DB2248" s="0" t="str">
        <f aca="false">IF($A2248="","",IF($AH2248=20,IF(AND(OR($A2248=21,$A2248=215),$AJ2248=10),"①病院一般",IF(AND($A2248=31,$AJ2248=41),"②病院短期","対象外")),IF($AJ2248=30,"③特定消防",IF(AND(OR($A2248=21,$A2248=215),$AJ2248=10),"④一般",IF(AND($A2248=31,$AJ2248=41),"⑤短期","対象外")))))</f>
        <v/>
      </c>
      <c r="DC2248" s="0" t="str">
        <f aca="false">IF($A2248="","",IF($AB2248&amp;""=設定!$C$4,1,0))</f>
        <v/>
      </c>
    </row>
    <row r="2249" customFormat="false" ht="15" hidden="false" customHeight="false" outlineLevel="0" collapsed="false">
      <c r="DB2249" s="0" t="str">
        <f aca="false">IF($A2249="","",IF($AH2249=20,IF(AND(OR($A2249=21,$A2249=215),$AJ2249=10),"①病院一般",IF(AND($A2249=31,$AJ2249=41),"②病院短期","対象外")),IF($AJ2249=30,"③特定消防",IF(AND(OR($A2249=21,$A2249=215),$AJ2249=10),"④一般",IF(AND($A2249=31,$AJ2249=41),"⑤短期","対象外")))))</f>
        <v/>
      </c>
      <c r="DC2249" s="0" t="str">
        <f aca="false">IF($A2249="","",IF($AB2249&amp;""=設定!$C$4,1,0))</f>
        <v/>
      </c>
    </row>
    <row r="2250" customFormat="false" ht="15" hidden="false" customHeight="false" outlineLevel="0" collapsed="false">
      <c r="DB2250" s="0" t="str">
        <f aca="false">IF($A2250="","",IF($AH2250=20,IF(AND(OR($A2250=21,$A2250=215),$AJ2250=10),"①病院一般",IF(AND($A2250=31,$AJ2250=41),"②病院短期","対象外")),IF($AJ2250=30,"③特定消防",IF(AND(OR($A2250=21,$A2250=215),$AJ2250=10),"④一般",IF(AND($A2250=31,$AJ2250=41),"⑤短期","対象外")))))</f>
        <v/>
      </c>
      <c r="DC2250" s="0" t="str">
        <f aca="false">IF($A2250="","",IF($AB2250&amp;""=設定!$C$4,1,0))</f>
        <v/>
      </c>
    </row>
    <row r="2251" customFormat="false" ht="15" hidden="false" customHeight="false" outlineLevel="0" collapsed="false">
      <c r="DB2251" s="0" t="str">
        <f aca="false">IF($A2251="","",IF($AH2251=20,IF(AND(OR($A2251=21,$A2251=215),$AJ2251=10),"①病院一般",IF(AND($A2251=31,$AJ2251=41),"②病院短期","対象外")),IF($AJ2251=30,"③特定消防",IF(AND(OR($A2251=21,$A2251=215),$AJ2251=10),"④一般",IF(AND($A2251=31,$AJ2251=41),"⑤短期","対象外")))))</f>
        <v/>
      </c>
      <c r="DC2251" s="0" t="str">
        <f aca="false">IF($A2251="","",IF($AB2251&amp;""=設定!$C$4,1,0))</f>
        <v/>
      </c>
    </row>
    <row r="2252" customFormat="false" ht="15" hidden="false" customHeight="false" outlineLevel="0" collapsed="false">
      <c r="DB2252" s="0" t="str">
        <f aca="false">IF($A2252="","",IF($AH2252=20,IF(AND(OR($A2252=21,$A2252=215),$AJ2252=10),"①病院一般",IF(AND($A2252=31,$AJ2252=41),"②病院短期","対象外")),IF($AJ2252=30,"③特定消防",IF(AND(OR($A2252=21,$A2252=215),$AJ2252=10),"④一般",IF(AND($A2252=31,$AJ2252=41),"⑤短期","対象外")))))</f>
        <v/>
      </c>
      <c r="DC2252" s="0" t="str">
        <f aca="false">IF($A2252="","",IF($AB2252&amp;""=設定!$C$4,1,0))</f>
        <v/>
      </c>
    </row>
    <row r="2253" customFormat="false" ht="15" hidden="false" customHeight="false" outlineLevel="0" collapsed="false">
      <c r="DB2253" s="0" t="str">
        <f aca="false">IF($A2253="","",IF($AH2253=20,IF(AND(OR($A2253=21,$A2253=215),$AJ2253=10),"①病院一般",IF(AND($A2253=31,$AJ2253=41),"②病院短期","対象外")),IF($AJ2253=30,"③特定消防",IF(AND(OR($A2253=21,$A2253=215),$AJ2253=10),"④一般",IF(AND($A2253=31,$AJ2253=41),"⑤短期","対象外")))))</f>
        <v/>
      </c>
      <c r="DC2253" s="0" t="str">
        <f aca="false">IF($A2253="","",IF($AB2253&amp;""=設定!$C$4,1,0))</f>
        <v/>
      </c>
    </row>
    <row r="2254" customFormat="false" ht="15" hidden="false" customHeight="false" outlineLevel="0" collapsed="false">
      <c r="DB2254" s="0" t="str">
        <f aca="false">IF($A2254="","",IF($AH2254=20,IF(AND(OR($A2254=21,$A2254=215),$AJ2254=10),"①病院一般",IF(AND($A2254=31,$AJ2254=41),"②病院短期","対象外")),IF($AJ2254=30,"③特定消防",IF(AND(OR($A2254=21,$A2254=215),$AJ2254=10),"④一般",IF(AND($A2254=31,$AJ2254=41),"⑤短期","対象外")))))</f>
        <v/>
      </c>
      <c r="DC2254" s="0" t="str">
        <f aca="false">IF($A2254="","",IF($AB2254&amp;""=設定!$C$4,1,0))</f>
        <v/>
      </c>
    </row>
    <row r="2255" customFormat="false" ht="15" hidden="false" customHeight="false" outlineLevel="0" collapsed="false">
      <c r="DB2255" s="0" t="str">
        <f aca="false">IF($A2255="","",IF($AH2255=20,IF(AND(OR($A2255=21,$A2255=215),$AJ2255=10),"①病院一般",IF(AND($A2255=31,$AJ2255=41),"②病院短期","対象外")),IF($AJ2255=30,"③特定消防",IF(AND(OR($A2255=21,$A2255=215),$AJ2255=10),"④一般",IF(AND($A2255=31,$AJ2255=41),"⑤短期","対象外")))))</f>
        <v/>
      </c>
      <c r="DC2255" s="0" t="str">
        <f aca="false">IF($A2255="","",IF($AB2255&amp;""=設定!$C$4,1,0))</f>
        <v/>
      </c>
    </row>
    <row r="2256" customFormat="false" ht="15" hidden="false" customHeight="false" outlineLevel="0" collapsed="false">
      <c r="DB2256" s="0" t="str">
        <f aca="false">IF($A2256="","",IF($AH2256=20,IF(AND(OR($A2256=21,$A2256=215),$AJ2256=10),"①病院一般",IF(AND($A2256=31,$AJ2256=41),"②病院短期","対象外")),IF($AJ2256=30,"③特定消防",IF(AND(OR($A2256=21,$A2256=215),$AJ2256=10),"④一般",IF(AND($A2256=31,$AJ2256=41),"⑤短期","対象外")))))</f>
        <v/>
      </c>
      <c r="DC2256" s="0" t="str">
        <f aca="false">IF($A2256="","",IF($AB2256&amp;""=設定!$C$4,1,0))</f>
        <v/>
      </c>
    </row>
    <row r="2257" customFormat="false" ht="15" hidden="false" customHeight="false" outlineLevel="0" collapsed="false">
      <c r="DB2257" s="0" t="str">
        <f aca="false">IF($A2257="","",IF($AH2257=20,IF(AND(OR($A2257=21,$A2257=215),$AJ2257=10),"①病院一般",IF(AND($A2257=31,$AJ2257=41),"②病院短期","対象外")),IF($AJ2257=30,"③特定消防",IF(AND(OR($A2257=21,$A2257=215),$AJ2257=10),"④一般",IF(AND($A2257=31,$AJ2257=41),"⑤短期","対象外")))))</f>
        <v/>
      </c>
      <c r="DC2257" s="0" t="str">
        <f aca="false">IF($A2257="","",IF($AB2257&amp;""=設定!$C$4,1,0))</f>
        <v/>
      </c>
    </row>
    <row r="2258" customFormat="false" ht="15" hidden="false" customHeight="false" outlineLevel="0" collapsed="false">
      <c r="DB2258" s="0" t="str">
        <f aca="false">IF($A2258="","",IF($AH2258=20,IF(AND(OR($A2258=21,$A2258=215),$AJ2258=10),"①病院一般",IF(AND($A2258=31,$AJ2258=41),"②病院短期","対象外")),IF($AJ2258=30,"③特定消防",IF(AND(OR($A2258=21,$A2258=215),$AJ2258=10),"④一般",IF(AND($A2258=31,$AJ2258=41),"⑤短期","対象外")))))</f>
        <v/>
      </c>
      <c r="DC2258" s="0" t="str">
        <f aca="false">IF($A2258="","",IF($AB2258&amp;""=設定!$C$4,1,0))</f>
        <v/>
      </c>
    </row>
    <row r="2259" customFormat="false" ht="15" hidden="false" customHeight="false" outlineLevel="0" collapsed="false">
      <c r="DB2259" s="0" t="str">
        <f aca="false">IF($A2259="","",IF($AH2259=20,IF(AND(OR($A2259=21,$A2259=215),$AJ2259=10),"①病院一般",IF(AND($A2259=31,$AJ2259=41),"②病院短期","対象外")),IF($AJ2259=30,"③特定消防",IF(AND(OR($A2259=21,$A2259=215),$AJ2259=10),"④一般",IF(AND($A2259=31,$AJ2259=41),"⑤短期","対象外")))))</f>
        <v/>
      </c>
      <c r="DC2259" s="0" t="str">
        <f aca="false">IF($A2259="","",IF($AB2259&amp;""=設定!$C$4,1,0))</f>
        <v/>
      </c>
    </row>
    <row r="2260" customFormat="false" ht="15" hidden="false" customHeight="false" outlineLevel="0" collapsed="false">
      <c r="DB2260" s="0" t="str">
        <f aca="false">IF($A2260="","",IF($AH2260=20,IF(AND(OR($A2260=21,$A2260=215),$AJ2260=10),"①病院一般",IF(AND($A2260=31,$AJ2260=41),"②病院短期","対象外")),IF($AJ2260=30,"③特定消防",IF(AND(OR($A2260=21,$A2260=215),$AJ2260=10),"④一般",IF(AND($A2260=31,$AJ2260=41),"⑤短期","対象外")))))</f>
        <v/>
      </c>
      <c r="DC2260" s="0" t="str">
        <f aca="false">IF($A2260="","",IF($AB2260&amp;""=設定!$C$4,1,0))</f>
        <v/>
      </c>
    </row>
    <row r="2261" customFormat="false" ht="15" hidden="false" customHeight="false" outlineLevel="0" collapsed="false">
      <c r="DB2261" s="0" t="str">
        <f aca="false">IF($A2261="","",IF($AH2261=20,IF(AND(OR($A2261=21,$A2261=215),$AJ2261=10),"①病院一般",IF(AND($A2261=31,$AJ2261=41),"②病院短期","対象外")),IF($AJ2261=30,"③特定消防",IF(AND(OR($A2261=21,$A2261=215),$AJ2261=10),"④一般",IF(AND($A2261=31,$AJ2261=41),"⑤短期","対象外")))))</f>
        <v/>
      </c>
      <c r="DC2261" s="0" t="str">
        <f aca="false">IF($A2261="","",IF($AB2261&amp;""=設定!$C$4,1,0))</f>
        <v/>
      </c>
    </row>
    <row r="2262" customFormat="false" ht="15" hidden="false" customHeight="false" outlineLevel="0" collapsed="false">
      <c r="DB2262" s="0" t="str">
        <f aca="false">IF($A2262="","",IF($AH2262=20,IF(AND(OR($A2262=21,$A2262=215),$AJ2262=10),"①病院一般",IF(AND($A2262=31,$AJ2262=41),"②病院短期","対象外")),IF($AJ2262=30,"③特定消防",IF(AND(OR($A2262=21,$A2262=215),$AJ2262=10),"④一般",IF(AND($A2262=31,$AJ2262=41),"⑤短期","対象外")))))</f>
        <v/>
      </c>
      <c r="DC2262" s="0" t="str">
        <f aca="false">IF($A2262="","",IF($AB2262&amp;""=設定!$C$4,1,0))</f>
        <v/>
      </c>
    </row>
    <row r="2263" customFormat="false" ht="15" hidden="false" customHeight="false" outlineLevel="0" collapsed="false">
      <c r="DB2263" s="0" t="str">
        <f aca="false">IF($A2263="","",IF($AH2263=20,IF(AND(OR($A2263=21,$A2263=215),$AJ2263=10),"①病院一般",IF(AND($A2263=31,$AJ2263=41),"②病院短期","対象外")),IF($AJ2263=30,"③特定消防",IF(AND(OR($A2263=21,$A2263=215),$AJ2263=10),"④一般",IF(AND($A2263=31,$AJ2263=41),"⑤短期","対象外")))))</f>
        <v/>
      </c>
      <c r="DC2263" s="0" t="str">
        <f aca="false">IF($A2263="","",IF($AB2263&amp;""=設定!$C$4,1,0))</f>
        <v/>
      </c>
    </row>
    <row r="2264" customFormat="false" ht="15" hidden="false" customHeight="false" outlineLevel="0" collapsed="false">
      <c r="DB2264" s="0" t="str">
        <f aca="false">IF($A2264="","",IF($AH2264=20,IF(AND(OR($A2264=21,$A2264=215),$AJ2264=10),"①病院一般",IF(AND($A2264=31,$AJ2264=41),"②病院短期","対象外")),IF($AJ2264=30,"③特定消防",IF(AND(OR($A2264=21,$A2264=215),$AJ2264=10),"④一般",IF(AND($A2264=31,$AJ2264=41),"⑤短期","対象外")))))</f>
        <v/>
      </c>
      <c r="DC2264" s="0" t="str">
        <f aca="false">IF($A2264="","",IF($AB2264&amp;""=設定!$C$4,1,0))</f>
        <v/>
      </c>
    </row>
    <row r="2265" customFormat="false" ht="15" hidden="false" customHeight="false" outlineLevel="0" collapsed="false">
      <c r="DB2265" s="0" t="str">
        <f aca="false">IF($A2265="","",IF($AH2265=20,IF(AND(OR($A2265=21,$A2265=215),$AJ2265=10),"①病院一般",IF(AND($A2265=31,$AJ2265=41),"②病院短期","対象外")),IF($AJ2265=30,"③特定消防",IF(AND(OR($A2265=21,$A2265=215),$AJ2265=10),"④一般",IF(AND($A2265=31,$AJ2265=41),"⑤短期","対象外")))))</f>
        <v/>
      </c>
      <c r="DC2265" s="0" t="str">
        <f aca="false">IF($A2265="","",IF($AB2265&amp;""=設定!$C$4,1,0))</f>
        <v/>
      </c>
    </row>
    <row r="2266" customFormat="false" ht="15" hidden="false" customHeight="false" outlineLevel="0" collapsed="false">
      <c r="DB2266" s="0" t="str">
        <f aca="false">IF($A2266="","",IF($AH2266=20,IF(AND(OR($A2266=21,$A2266=215),$AJ2266=10),"①病院一般",IF(AND($A2266=31,$AJ2266=41),"②病院短期","対象外")),IF($AJ2266=30,"③特定消防",IF(AND(OR($A2266=21,$A2266=215),$AJ2266=10),"④一般",IF(AND($A2266=31,$AJ2266=41),"⑤短期","対象外")))))</f>
        <v/>
      </c>
      <c r="DC2266" s="0" t="str">
        <f aca="false">IF($A2266="","",IF($AB2266&amp;""=設定!$C$4,1,0))</f>
        <v/>
      </c>
    </row>
    <row r="2267" customFormat="false" ht="15" hidden="false" customHeight="false" outlineLevel="0" collapsed="false">
      <c r="DB2267" s="0" t="str">
        <f aca="false">IF($A2267="","",IF($AH2267=20,IF(AND(OR($A2267=21,$A2267=215),$AJ2267=10),"①病院一般",IF(AND($A2267=31,$AJ2267=41),"②病院短期","対象外")),IF($AJ2267=30,"③特定消防",IF(AND(OR($A2267=21,$A2267=215),$AJ2267=10),"④一般",IF(AND($A2267=31,$AJ2267=41),"⑤短期","対象外")))))</f>
        <v/>
      </c>
      <c r="DC2267" s="0" t="str">
        <f aca="false">IF($A2267="","",IF($AB2267&amp;""=設定!$C$4,1,0))</f>
        <v/>
      </c>
    </row>
    <row r="2268" customFormat="false" ht="15" hidden="false" customHeight="false" outlineLevel="0" collapsed="false">
      <c r="DB2268" s="0" t="str">
        <f aca="false">IF($A2268="","",IF($AH2268=20,IF(AND(OR($A2268=21,$A2268=215),$AJ2268=10),"①病院一般",IF(AND($A2268=31,$AJ2268=41),"②病院短期","対象外")),IF($AJ2268=30,"③特定消防",IF(AND(OR($A2268=21,$A2268=215),$AJ2268=10),"④一般",IF(AND($A2268=31,$AJ2268=41),"⑤短期","対象外")))))</f>
        <v/>
      </c>
      <c r="DC2268" s="0" t="str">
        <f aca="false">IF($A2268="","",IF($AB2268&amp;""=設定!$C$4,1,0))</f>
        <v/>
      </c>
    </row>
    <row r="2269" customFormat="false" ht="15" hidden="false" customHeight="false" outlineLevel="0" collapsed="false">
      <c r="DB2269" s="0" t="str">
        <f aca="false">IF($A2269="","",IF($AH2269=20,IF(AND(OR($A2269=21,$A2269=215),$AJ2269=10),"①病院一般",IF(AND($A2269=31,$AJ2269=41),"②病院短期","対象外")),IF($AJ2269=30,"③特定消防",IF(AND(OR($A2269=21,$A2269=215),$AJ2269=10),"④一般",IF(AND($A2269=31,$AJ2269=41),"⑤短期","対象外")))))</f>
        <v/>
      </c>
      <c r="DC2269" s="0" t="str">
        <f aca="false">IF($A2269="","",IF($AB2269&amp;""=設定!$C$4,1,0))</f>
        <v/>
      </c>
    </row>
    <row r="2270" customFormat="false" ht="15" hidden="false" customHeight="false" outlineLevel="0" collapsed="false">
      <c r="DB2270" s="0" t="str">
        <f aca="false">IF($A2270="","",IF($AH2270=20,IF(AND(OR($A2270=21,$A2270=215),$AJ2270=10),"①病院一般",IF(AND($A2270=31,$AJ2270=41),"②病院短期","対象外")),IF($AJ2270=30,"③特定消防",IF(AND(OR($A2270=21,$A2270=215),$AJ2270=10),"④一般",IF(AND($A2270=31,$AJ2270=41),"⑤短期","対象外")))))</f>
        <v/>
      </c>
      <c r="DC2270" s="0" t="str">
        <f aca="false">IF($A2270="","",IF($AB2270&amp;""=設定!$C$4,1,0))</f>
        <v/>
      </c>
    </row>
    <row r="2271" customFormat="false" ht="15" hidden="false" customHeight="false" outlineLevel="0" collapsed="false">
      <c r="DB2271" s="0" t="str">
        <f aca="false">IF($A2271="","",IF($AH2271=20,IF(AND(OR($A2271=21,$A2271=215),$AJ2271=10),"①病院一般",IF(AND($A2271=31,$AJ2271=41),"②病院短期","対象外")),IF($AJ2271=30,"③特定消防",IF(AND(OR($A2271=21,$A2271=215),$AJ2271=10),"④一般",IF(AND($A2271=31,$AJ2271=41),"⑤短期","対象外")))))</f>
        <v/>
      </c>
      <c r="DC2271" s="0" t="str">
        <f aca="false">IF($A2271="","",IF($AB2271&amp;""=設定!$C$4,1,0))</f>
        <v/>
      </c>
    </row>
    <row r="2272" customFormat="false" ht="15" hidden="false" customHeight="false" outlineLevel="0" collapsed="false">
      <c r="DB2272" s="0" t="str">
        <f aca="false">IF($A2272="","",IF($AH2272=20,IF(AND(OR($A2272=21,$A2272=215),$AJ2272=10),"①病院一般",IF(AND($A2272=31,$AJ2272=41),"②病院短期","対象外")),IF($AJ2272=30,"③特定消防",IF(AND(OR($A2272=21,$A2272=215),$AJ2272=10),"④一般",IF(AND($A2272=31,$AJ2272=41),"⑤短期","対象外")))))</f>
        <v/>
      </c>
      <c r="DC2272" s="0" t="str">
        <f aca="false">IF($A2272="","",IF($AB2272&amp;""=設定!$C$4,1,0))</f>
        <v/>
      </c>
    </row>
    <row r="2273" customFormat="false" ht="15" hidden="false" customHeight="false" outlineLevel="0" collapsed="false">
      <c r="DB2273" s="0" t="str">
        <f aca="false">IF($A2273="","",IF($AH2273=20,IF(AND(OR($A2273=21,$A2273=215),$AJ2273=10),"①病院一般",IF(AND($A2273=31,$AJ2273=41),"②病院短期","対象外")),IF($AJ2273=30,"③特定消防",IF(AND(OR($A2273=21,$A2273=215),$AJ2273=10),"④一般",IF(AND($A2273=31,$AJ2273=41),"⑤短期","対象外")))))</f>
        <v/>
      </c>
      <c r="DC2273" s="0" t="str">
        <f aca="false">IF($A2273="","",IF($AB2273&amp;""=設定!$C$4,1,0))</f>
        <v/>
      </c>
    </row>
    <row r="2274" customFormat="false" ht="15" hidden="false" customHeight="false" outlineLevel="0" collapsed="false">
      <c r="DB2274" s="0" t="str">
        <f aca="false">IF($A2274="","",IF($AH2274=20,IF(AND(OR($A2274=21,$A2274=215),$AJ2274=10),"①病院一般",IF(AND($A2274=31,$AJ2274=41),"②病院短期","対象外")),IF($AJ2274=30,"③特定消防",IF(AND(OR($A2274=21,$A2274=215),$AJ2274=10),"④一般",IF(AND($A2274=31,$AJ2274=41),"⑤短期","対象外")))))</f>
        <v/>
      </c>
      <c r="DC2274" s="0" t="str">
        <f aca="false">IF($A2274="","",IF($AB2274&amp;""=設定!$C$4,1,0))</f>
        <v/>
      </c>
    </row>
    <row r="2275" customFormat="false" ht="15" hidden="false" customHeight="false" outlineLevel="0" collapsed="false">
      <c r="DB2275" s="0" t="str">
        <f aca="false">IF($A2275="","",IF($AH2275=20,IF(AND(OR($A2275=21,$A2275=215),$AJ2275=10),"①病院一般",IF(AND($A2275=31,$AJ2275=41),"②病院短期","対象外")),IF($AJ2275=30,"③特定消防",IF(AND(OR($A2275=21,$A2275=215),$AJ2275=10),"④一般",IF(AND($A2275=31,$AJ2275=41),"⑤短期","対象外")))))</f>
        <v/>
      </c>
      <c r="DC2275" s="0" t="str">
        <f aca="false">IF($A2275="","",IF($AB2275&amp;""=設定!$C$4,1,0))</f>
        <v/>
      </c>
    </row>
    <row r="2276" customFormat="false" ht="15" hidden="false" customHeight="false" outlineLevel="0" collapsed="false">
      <c r="DB2276" s="0" t="str">
        <f aca="false">IF($A2276="","",IF($AH2276=20,IF(AND(OR($A2276=21,$A2276=215),$AJ2276=10),"①病院一般",IF(AND($A2276=31,$AJ2276=41),"②病院短期","対象外")),IF($AJ2276=30,"③特定消防",IF(AND(OR($A2276=21,$A2276=215),$AJ2276=10),"④一般",IF(AND($A2276=31,$AJ2276=41),"⑤短期","対象外")))))</f>
        <v/>
      </c>
      <c r="DC2276" s="0" t="str">
        <f aca="false">IF($A2276="","",IF($AB2276&amp;""=設定!$C$4,1,0))</f>
        <v/>
      </c>
    </row>
    <row r="2277" customFormat="false" ht="15" hidden="false" customHeight="false" outlineLevel="0" collapsed="false">
      <c r="DB2277" s="0" t="str">
        <f aca="false">IF($A2277="","",IF($AH2277=20,IF(AND(OR($A2277=21,$A2277=215),$AJ2277=10),"①病院一般",IF(AND($A2277=31,$AJ2277=41),"②病院短期","対象外")),IF($AJ2277=30,"③特定消防",IF(AND(OR($A2277=21,$A2277=215),$AJ2277=10),"④一般",IF(AND($A2277=31,$AJ2277=41),"⑤短期","対象外")))))</f>
        <v/>
      </c>
      <c r="DC2277" s="0" t="str">
        <f aca="false">IF($A2277="","",IF($AB2277&amp;""=設定!$C$4,1,0))</f>
        <v/>
      </c>
    </row>
    <row r="2278" customFormat="false" ht="15" hidden="false" customHeight="false" outlineLevel="0" collapsed="false">
      <c r="DB2278" s="0" t="str">
        <f aca="false">IF($A2278="","",IF($AH2278=20,IF(AND(OR($A2278=21,$A2278=215),$AJ2278=10),"①病院一般",IF(AND($A2278=31,$AJ2278=41),"②病院短期","対象外")),IF($AJ2278=30,"③特定消防",IF(AND(OR($A2278=21,$A2278=215),$AJ2278=10),"④一般",IF(AND($A2278=31,$AJ2278=41),"⑤短期","対象外")))))</f>
        <v/>
      </c>
      <c r="DC2278" s="0" t="str">
        <f aca="false">IF($A2278="","",IF($AB2278&amp;""=設定!$C$4,1,0))</f>
        <v/>
      </c>
    </row>
    <row r="2279" customFormat="false" ht="15" hidden="false" customHeight="false" outlineLevel="0" collapsed="false">
      <c r="DB2279" s="0" t="str">
        <f aca="false">IF($A2279="","",IF($AH2279=20,IF(AND(OR($A2279=21,$A2279=215),$AJ2279=10),"①病院一般",IF(AND($A2279=31,$AJ2279=41),"②病院短期","対象外")),IF($AJ2279=30,"③特定消防",IF(AND(OR($A2279=21,$A2279=215),$AJ2279=10),"④一般",IF(AND($A2279=31,$AJ2279=41),"⑤短期","対象外")))))</f>
        <v/>
      </c>
      <c r="DC2279" s="0" t="str">
        <f aca="false">IF($A2279="","",IF($AB2279&amp;""=設定!$C$4,1,0))</f>
        <v/>
      </c>
    </row>
    <row r="2280" customFormat="false" ht="15" hidden="false" customHeight="false" outlineLevel="0" collapsed="false">
      <c r="DB2280" s="0" t="str">
        <f aca="false">IF($A2280="","",IF($AH2280=20,IF(AND(OR($A2280=21,$A2280=215),$AJ2280=10),"①病院一般",IF(AND($A2280=31,$AJ2280=41),"②病院短期","対象外")),IF($AJ2280=30,"③特定消防",IF(AND(OR($A2280=21,$A2280=215),$AJ2280=10),"④一般",IF(AND($A2280=31,$AJ2280=41),"⑤短期","対象外")))))</f>
        <v/>
      </c>
      <c r="DC2280" s="0" t="str">
        <f aca="false">IF($A2280="","",IF($AB2280&amp;""=設定!$C$4,1,0))</f>
        <v/>
      </c>
    </row>
    <row r="2281" customFormat="false" ht="15" hidden="false" customHeight="false" outlineLevel="0" collapsed="false">
      <c r="DB2281" s="0" t="str">
        <f aca="false">IF($A2281="","",IF($AH2281=20,IF(AND(OR($A2281=21,$A2281=215),$AJ2281=10),"①病院一般",IF(AND($A2281=31,$AJ2281=41),"②病院短期","対象外")),IF($AJ2281=30,"③特定消防",IF(AND(OR($A2281=21,$A2281=215),$AJ2281=10),"④一般",IF(AND($A2281=31,$AJ2281=41),"⑤短期","対象外")))))</f>
        <v/>
      </c>
      <c r="DC2281" s="0" t="str">
        <f aca="false">IF($A2281="","",IF($AB2281&amp;""=設定!$C$4,1,0))</f>
        <v/>
      </c>
    </row>
    <row r="2282" customFormat="false" ht="15" hidden="false" customHeight="false" outlineLevel="0" collapsed="false">
      <c r="DB2282" s="0" t="str">
        <f aca="false">IF($A2282="","",IF($AH2282=20,IF(AND(OR($A2282=21,$A2282=215),$AJ2282=10),"①病院一般",IF(AND($A2282=31,$AJ2282=41),"②病院短期","対象外")),IF($AJ2282=30,"③特定消防",IF(AND(OR($A2282=21,$A2282=215),$AJ2282=10),"④一般",IF(AND($A2282=31,$AJ2282=41),"⑤短期","対象外")))))</f>
        <v/>
      </c>
      <c r="DC2282" s="0" t="str">
        <f aca="false">IF($A2282="","",IF($AB2282&amp;""=設定!$C$4,1,0))</f>
        <v/>
      </c>
    </row>
    <row r="2283" customFormat="false" ht="15" hidden="false" customHeight="false" outlineLevel="0" collapsed="false">
      <c r="DB2283" s="0" t="str">
        <f aca="false">IF($A2283="","",IF($AH2283=20,IF(AND(OR($A2283=21,$A2283=215),$AJ2283=10),"①病院一般",IF(AND($A2283=31,$AJ2283=41),"②病院短期","対象外")),IF($AJ2283=30,"③特定消防",IF(AND(OR($A2283=21,$A2283=215),$AJ2283=10),"④一般",IF(AND($A2283=31,$AJ2283=41),"⑤短期","対象外")))))</f>
        <v/>
      </c>
      <c r="DC2283" s="0" t="str">
        <f aca="false">IF($A2283="","",IF($AB2283&amp;""=設定!$C$4,1,0))</f>
        <v/>
      </c>
    </row>
    <row r="2284" customFormat="false" ht="15" hidden="false" customHeight="false" outlineLevel="0" collapsed="false">
      <c r="DB2284" s="0" t="str">
        <f aca="false">IF($A2284="","",IF($AH2284=20,IF(AND(OR($A2284=21,$A2284=215),$AJ2284=10),"①病院一般",IF(AND($A2284=31,$AJ2284=41),"②病院短期","対象外")),IF($AJ2284=30,"③特定消防",IF(AND(OR($A2284=21,$A2284=215),$AJ2284=10),"④一般",IF(AND($A2284=31,$AJ2284=41),"⑤短期","対象外")))))</f>
        <v/>
      </c>
      <c r="DC2284" s="0" t="str">
        <f aca="false">IF($A2284="","",IF($AB2284&amp;""=設定!$C$4,1,0))</f>
        <v/>
      </c>
    </row>
    <row r="2285" customFormat="false" ht="15" hidden="false" customHeight="false" outlineLevel="0" collapsed="false">
      <c r="DB2285" s="0" t="str">
        <f aca="false">IF($A2285="","",IF($AH2285=20,IF(AND(OR($A2285=21,$A2285=215),$AJ2285=10),"①病院一般",IF(AND($A2285=31,$AJ2285=41),"②病院短期","対象外")),IF($AJ2285=30,"③特定消防",IF(AND(OR($A2285=21,$A2285=215),$AJ2285=10),"④一般",IF(AND($A2285=31,$AJ2285=41),"⑤短期","対象外")))))</f>
        <v/>
      </c>
      <c r="DC2285" s="0" t="str">
        <f aca="false">IF($A2285="","",IF($AB2285&amp;""=設定!$C$4,1,0))</f>
        <v/>
      </c>
    </row>
    <row r="2286" customFormat="false" ht="15" hidden="false" customHeight="false" outlineLevel="0" collapsed="false">
      <c r="DB2286" s="0" t="str">
        <f aca="false">IF($A2286="","",IF($AH2286=20,IF(AND(OR($A2286=21,$A2286=215),$AJ2286=10),"①病院一般",IF(AND($A2286=31,$AJ2286=41),"②病院短期","対象外")),IF($AJ2286=30,"③特定消防",IF(AND(OR($A2286=21,$A2286=215),$AJ2286=10),"④一般",IF(AND($A2286=31,$AJ2286=41),"⑤短期","対象外")))))</f>
        <v/>
      </c>
      <c r="DC2286" s="0" t="str">
        <f aca="false">IF($A2286="","",IF($AB2286&amp;""=設定!$C$4,1,0))</f>
        <v/>
      </c>
    </row>
    <row r="2287" customFormat="false" ht="15" hidden="false" customHeight="false" outlineLevel="0" collapsed="false">
      <c r="DB2287" s="0" t="str">
        <f aca="false">IF($A2287="","",IF($AH2287=20,IF(AND(OR($A2287=21,$A2287=215),$AJ2287=10),"①病院一般",IF(AND($A2287=31,$AJ2287=41),"②病院短期","対象外")),IF($AJ2287=30,"③特定消防",IF(AND(OR($A2287=21,$A2287=215),$AJ2287=10),"④一般",IF(AND($A2287=31,$AJ2287=41),"⑤短期","対象外")))))</f>
        <v/>
      </c>
      <c r="DC2287" s="0" t="str">
        <f aca="false">IF($A2287="","",IF($AB2287&amp;""=設定!$C$4,1,0))</f>
        <v/>
      </c>
    </row>
    <row r="2288" customFormat="false" ht="15" hidden="false" customHeight="false" outlineLevel="0" collapsed="false">
      <c r="DB2288" s="0" t="str">
        <f aca="false">IF($A2288="","",IF($AH2288=20,IF(AND(OR($A2288=21,$A2288=215),$AJ2288=10),"①病院一般",IF(AND($A2288=31,$AJ2288=41),"②病院短期","対象外")),IF($AJ2288=30,"③特定消防",IF(AND(OR($A2288=21,$A2288=215),$AJ2288=10),"④一般",IF(AND($A2288=31,$AJ2288=41),"⑤短期","対象外")))))</f>
        <v/>
      </c>
      <c r="DC2288" s="0" t="str">
        <f aca="false">IF($A2288="","",IF($AB2288&amp;""=設定!$C$4,1,0))</f>
        <v/>
      </c>
    </row>
    <row r="2289" customFormat="false" ht="15" hidden="false" customHeight="false" outlineLevel="0" collapsed="false">
      <c r="DB2289" s="0" t="str">
        <f aca="false">IF($A2289="","",IF($AH2289=20,IF(AND(OR($A2289=21,$A2289=215),$AJ2289=10),"①病院一般",IF(AND($A2289=31,$AJ2289=41),"②病院短期","対象外")),IF($AJ2289=30,"③特定消防",IF(AND(OR($A2289=21,$A2289=215),$AJ2289=10),"④一般",IF(AND($A2289=31,$AJ2289=41),"⑤短期","対象外")))))</f>
        <v/>
      </c>
      <c r="DC2289" s="0" t="str">
        <f aca="false">IF($A2289="","",IF($AB2289&amp;""=設定!$C$4,1,0))</f>
        <v/>
      </c>
    </row>
    <row r="2290" customFormat="false" ht="15" hidden="false" customHeight="false" outlineLevel="0" collapsed="false">
      <c r="DB2290" s="0" t="str">
        <f aca="false">IF($A2290="","",IF($AH2290=20,IF(AND(OR($A2290=21,$A2290=215),$AJ2290=10),"①病院一般",IF(AND($A2290=31,$AJ2290=41),"②病院短期","対象外")),IF($AJ2290=30,"③特定消防",IF(AND(OR($A2290=21,$A2290=215),$AJ2290=10),"④一般",IF(AND($A2290=31,$AJ2290=41),"⑤短期","対象外")))))</f>
        <v/>
      </c>
      <c r="DC2290" s="0" t="str">
        <f aca="false">IF($A2290="","",IF($AB2290&amp;""=設定!$C$4,1,0))</f>
        <v/>
      </c>
    </row>
    <row r="2291" customFormat="false" ht="15" hidden="false" customHeight="false" outlineLevel="0" collapsed="false">
      <c r="DB2291" s="0" t="str">
        <f aca="false">IF($A2291="","",IF($AH2291=20,IF(AND(OR($A2291=21,$A2291=215),$AJ2291=10),"①病院一般",IF(AND($A2291=31,$AJ2291=41),"②病院短期","対象外")),IF($AJ2291=30,"③特定消防",IF(AND(OR($A2291=21,$A2291=215),$AJ2291=10),"④一般",IF(AND($A2291=31,$AJ2291=41),"⑤短期","対象外")))))</f>
        <v/>
      </c>
      <c r="DC2291" s="0" t="str">
        <f aca="false">IF($A2291="","",IF($AB2291&amp;""=設定!$C$4,1,0))</f>
        <v/>
      </c>
    </row>
    <row r="2292" customFormat="false" ht="15" hidden="false" customHeight="false" outlineLevel="0" collapsed="false">
      <c r="DB2292" s="0" t="str">
        <f aca="false">IF($A2292="","",IF($AH2292=20,IF(AND(OR($A2292=21,$A2292=215),$AJ2292=10),"①病院一般",IF(AND($A2292=31,$AJ2292=41),"②病院短期","対象外")),IF($AJ2292=30,"③特定消防",IF(AND(OR($A2292=21,$A2292=215),$AJ2292=10),"④一般",IF(AND($A2292=31,$AJ2292=41),"⑤短期","対象外")))))</f>
        <v/>
      </c>
      <c r="DC2292" s="0" t="str">
        <f aca="false">IF($A2292="","",IF($AB2292&amp;""=設定!$C$4,1,0))</f>
        <v/>
      </c>
    </row>
    <row r="2293" customFormat="false" ht="15" hidden="false" customHeight="false" outlineLevel="0" collapsed="false">
      <c r="DB2293" s="0" t="str">
        <f aca="false">IF($A2293="","",IF($AH2293=20,IF(AND(OR($A2293=21,$A2293=215),$AJ2293=10),"①病院一般",IF(AND($A2293=31,$AJ2293=41),"②病院短期","対象外")),IF($AJ2293=30,"③特定消防",IF(AND(OR($A2293=21,$A2293=215),$AJ2293=10),"④一般",IF(AND($A2293=31,$AJ2293=41),"⑤短期","対象外")))))</f>
        <v/>
      </c>
      <c r="DC2293" s="0" t="str">
        <f aca="false">IF($A2293="","",IF($AB2293&amp;""=設定!$C$4,1,0))</f>
        <v/>
      </c>
    </row>
    <row r="2294" customFormat="false" ht="15" hidden="false" customHeight="false" outlineLevel="0" collapsed="false">
      <c r="DB2294" s="0" t="str">
        <f aca="false">IF($A2294="","",IF($AH2294=20,IF(AND(OR($A2294=21,$A2294=215),$AJ2294=10),"①病院一般",IF(AND($A2294=31,$AJ2294=41),"②病院短期","対象外")),IF($AJ2294=30,"③特定消防",IF(AND(OR($A2294=21,$A2294=215),$AJ2294=10),"④一般",IF(AND($A2294=31,$AJ2294=41),"⑤短期","対象外")))))</f>
        <v/>
      </c>
      <c r="DC2294" s="0" t="str">
        <f aca="false">IF($A2294="","",IF($AB2294&amp;""=設定!$C$4,1,0))</f>
        <v/>
      </c>
    </row>
    <row r="2295" customFormat="false" ht="15" hidden="false" customHeight="false" outlineLevel="0" collapsed="false">
      <c r="DB2295" s="0" t="str">
        <f aca="false">IF($A2295="","",IF($AH2295=20,IF(AND(OR($A2295=21,$A2295=215),$AJ2295=10),"①病院一般",IF(AND($A2295=31,$AJ2295=41),"②病院短期","対象外")),IF($AJ2295=30,"③特定消防",IF(AND(OR($A2295=21,$A2295=215),$AJ2295=10),"④一般",IF(AND($A2295=31,$AJ2295=41),"⑤短期","対象外")))))</f>
        <v/>
      </c>
      <c r="DC2295" s="0" t="str">
        <f aca="false">IF($A2295="","",IF($AB2295&amp;""=設定!$C$4,1,0))</f>
        <v/>
      </c>
    </row>
    <row r="2296" customFormat="false" ht="15" hidden="false" customHeight="false" outlineLevel="0" collapsed="false">
      <c r="DB2296" s="0" t="str">
        <f aca="false">IF($A2296="","",IF($AH2296=20,IF(AND(OR($A2296=21,$A2296=215),$AJ2296=10),"①病院一般",IF(AND($A2296=31,$AJ2296=41),"②病院短期","対象外")),IF($AJ2296=30,"③特定消防",IF(AND(OR($A2296=21,$A2296=215),$AJ2296=10),"④一般",IF(AND($A2296=31,$AJ2296=41),"⑤短期","対象外")))))</f>
        <v/>
      </c>
      <c r="DC2296" s="0" t="str">
        <f aca="false">IF($A2296="","",IF($AB2296&amp;""=設定!$C$4,1,0))</f>
        <v/>
      </c>
    </row>
    <row r="2297" customFormat="false" ht="15" hidden="false" customHeight="false" outlineLevel="0" collapsed="false">
      <c r="DB2297" s="0" t="str">
        <f aca="false">IF($A2297="","",IF($AH2297=20,IF(AND(OR($A2297=21,$A2297=215),$AJ2297=10),"①病院一般",IF(AND($A2297=31,$AJ2297=41),"②病院短期","対象外")),IF($AJ2297=30,"③特定消防",IF(AND(OR($A2297=21,$A2297=215),$AJ2297=10),"④一般",IF(AND($A2297=31,$AJ2297=41),"⑤短期","対象外")))))</f>
        <v/>
      </c>
      <c r="DC2297" s="0" t="str">
        <f aca="false">IF($A2297="","",IF($AB2297&amp;""=設定!$C$4,1,0))</f>
        <v/>
      </c>
    </row>
    <row r="2298" customFormat="false" ht="15" hidden="false" customHeight="false" outlineLevel="0" collapsed="false">
      <c r="DB2298" s="0" t="str">
        <f aca="false">IF($A2298="","",IF($AH2298=20,IF(AND(OR($A2298=21,$A2298=215),$AJ2298=10),"①病院一般",IF(AND($A2298=31,$AJ2298=41),"②病院短期","対象外")),IF($AJ2298=30,"③特定消防",IF(AND(OR($A2298=21,$A2298=215),$AJ2298=10),"④一般",IF(AND($A2298=31,$AJ2298=41),"⑤短期","対象外")))))</f>
        <v/>
      </c>
      <c r="DC2298" s="0" t="str">
        <f aca="false">IF($A2298="","",IF($AB2298&amp;""=設定!$C$4,1,0))</f>
        <v/>
      </c>
    </row>
    <row r="2299" customFormat="false" ht="15" hidden="false" customHeight="false" outlineLevel="0" collapsed="false">
      <c r="DB2299" s="0" t="str">
        <f aca="false">IF($A2299="","",IF($AH2299=20,IF(AND(OR($A2299=21,$A2299=215),$AJ2299=10),"①病院一般",IF(AND($A2299=31,$AJ2299=41),"②病院短期","対象外")),IF($AJ2299=30,"③特定消防",IF(AND(OR($A2299=21,$A2299=215),$AJ2299=10),"④一般",IF(AND($A2299=31,$AJ2299=41),"⑤短期","対象外")))))</f>
        <v/>
      </c>
      <c r="DC2299" s="0" t="str">
        <f aca="false">IF($A2299="","",IF($AB2299&amp;""=設定!$C$4,1,0))</f>
        <v/>
      </c>
    </row>
    <row r="2300" customFormat="false" ht="15" hidden="false" customHeight="false" outlineLevel="0" collapsed="false">
      <c r="DB2300" s="0" t="str">
        <f aca="false">IF($A2300="","",IF($AH2300=20,IF(AND(OR($A2300=21,$A2300=215),$AJ2300=10),"①病院一般",IF(AND($A2300=31,$AJ2300=41),"②病院短期","対象外")),IF($AJ2300=30,"③特定消防",IF(AND(OR($A2300=21,$A2300=215),$AJ2300=10),"④一般",IF(AND($A2300=31,$AJ2300=41),"⑤短期","対象外")))))</f>
        <v/>
      </c>
      <c r="DC2300" s="0" t="str">
        <f aca="false">IF($A2300="","",IF($AB2300&amp;""=設定!$C$4,1,0))</f>
        <v/>
      </c>
    </row>
    <row r="2301" customFormat="false" ht="15" hidden="false" customHeight="false" outlineLevel="0" collapsed="false">
      <c r="DB2301" s="0" t="str">
        <f aca="false">IF($A2301="","",IF($AH2301=20,IF(AND(OR($A2301=21,$A2301=215),$AJ2301=10),"①病院一般",IF(AND($A2301=31,$AJ2301=41),"②病院短期","対象外")),IF($AJ2301=30,"③特定消防",IF(AND(OR($A2301=21,$A2301=215),$AJ2301=10),"④一般",IF(AND($A2301=31,$AJ2301=41),"⑤短期","対象外")))))</f>
        <v/>
      </c>
      <c r="DC2301" s="0" t="str">
        <f aca="false">IF($A2301="","",IF($AB2301&amp;""=設定!$C$4,1,0))</f>
        <v/>
      </c>
    </row>
    <row r="2302" customFormat="false" ht="15" hidden="false" customHeight="false" outlineLevel="0" collapsed="false">
      <c r="DB2302" s="0" t="str">
        <f aca="false">IF($A2302="","",IF($AH2302=20,IF(AND(OR($A2302=21,$A2302=215),$AJ2302=10),"①病院一般",IF(AND($A2302=31,$AJ2302=41),"②病院短期","対象外")),IF($AJ2302=30,"③特定消防",IF(AND(OR($A2302=21,$A2302=215),$AJ2302=10),"④一般",IF(AND($A2302=31,$AJ2302=41),"⑤短期","対象外")))))</f>
        <v/>
      </c>
      <c r="DC2302" s="0" t="str">
        <f aca="false">IF($A2302="","",IF($AB2302&amp;""=設定!$C$4,1,0))</f>
        <v/>
      </c>
    </row>
    <row r="2303" customFormat="false" ht="15" hidden="false" customHeight="false" outlineLevel="0" collapsed="false">
      <c r="DB2303" s="0" t="str">
        <f aca="false">IF($A2303="","",IF($AH2303=20,IF(AND(OR($A2303=21,$A2303=215),$AJ2303=10),"①病院一般",IF(AND($A2303=31,$AJ2303=41),"②病院短期","対象外")),IF($AJ2303=30,"③特定消防",IF(AND(OR($A2303=21,$A2303=215),$AJ2303=10),"④一般",IF(AND($A2303=31,$AJ2303=41),"⑤短期","対象外")))))</f>
        <v/>
      </c>
      <c r="DC2303" s="0" t="str">
        <f aca="false">IF($A2303="","",IF($AB2303&amp;""=設定!$C$4,1,0))</f>
        <v/>
      </c>
    </row>
    <row r="2304" customFormat="false" ht="15" hidden="false" customHeight="false" outlineLevel="0" collapsed="false">
      <c r="DB2304" s="0" t="str">
        <f aca="false">IF($A2304="","",IF($AH2304=20,IF(AND(OR($A2304=21,$A2304=215),$AJ2304=10),"①病院一般",IF(AND($A2304=31,$AJ2304=41),"②病院短期","対象外")),IF($AJ2304=30,"③特定消防",IF(AND(OR($A2304=21,$A2304=215),$AJ2304=10),"④一般",IF(AND($A2304=31,$AJ2304=41),"⑤短期","対象外")))))</f>
        <v/>
      </c>
      <c r="DC2304" s="0" t="str">
        <f aca="false">IF($A2304="","",IF($AB2304&amp;""=設定!$C$4,1,0))</f>
        <v/>
      </c>
    </row>
    <row r="2305" customFormat="false" ht="15" hidden="false" customHeight="false" outlineLevel="0" collapsed="false">
      <c r="DB2305" s="0" t="str">
        <f aca="false">IF($A2305="","",IF($AH2305=20,IF(AND(OR($A2305=21,$A2305=215),$AJ2305=10),"①病院一般",IF(AND($A2305=31,$AJ2305=41),"②病院短期","対象外")),IF($AJ2305=30,"③特定消防",IF(AND(OR($A2305=21,$A2305=215),$AJ2305=10),"④一般",IF(AND($A2305=31,$AJ2305=41),"⑤短期","対象外")))))</f>
        <v/>
      </c>
      <c r="DC2305" s="0" t="str">
        <f aca="false">IF($A2305="","",IF($AB2305&amp;""=設定!$C$4,1,0))</f>
        <v/>
      </c>
    </row>
    <row r="2306" customFormat="false" ht="15" hidden="false" customHeight="false" outlineLevel="0" collapsed="false">
      <c r="DB2306" s="0" t="str">
        <f aca="false">IF($A2306="","",IF($AH2306=20,IF(AND(OR($A2306=21,$A2306=215),$AJ2306=10),"①病院一般",IF(AND($A2306=31,$AJ2306=41),"②病院短期","対象外")),IF($AJ2306=30,"③特定消防",IF(AND(OR($A2306=21,$A2306=215),$AJ2306=10),"④一般",IF(AND($A2306=31,$AJ2306=41),"⑤短期","対象外")))))</f>
        <v/>
      </c>
      <c r="DC2306" s="0" t="str">
        <f aca="false">IF($A2306="","",IF($AB2306&amp;""=設定!$C$4,1,0))</f>
        <v/>
      </c>
    </row>
    <row r="2307" customFormat="false" ht="15" hidden="false" customHeight="false" outlineLevel="0" collapsed="false">
      <c r="DB2307" s="0" t="str">
        <f aca="false">IF($A2307="","",IF($AH2307=20,IF(AND(OR($A2307=21,$A2307=215),$AJ2307=10),"①病院一般",IF(AND($A2307=31,$AJ2307=41),"②病院短期","対象外")),IF($AJ2307=30,"③特定消防",IF(AND(OR($A2307=21,$A2307=215),$AJ2307=10),"④一般",IF(AND($A2307=31,$AJ2307=41),"⑤短期","対象外")))))</f>
        <v/>
      </c>
      <c r="DC2307" s="0" t="str">
        <f aca="false">IF($A2307="","",IF($AB2307&amp;""=設定!$C$4,1,0))</f>
        <v/>
      </c>
    </row>
    <row r="2308" customFormat="false" ht="15" hidden="false" customHeight="false" outlineLevel="0" collapsed="false">
      <c r="DB2308" s="0" t="str">
        <f aca="false">IF($A2308="","",IF($AH2308=20,IF(AND(OR($A2308=21,$A2308=215),$AJ2308=10),"①病院一般",IF(AND($A2308=31,$AJ2308=41),"②病院短期","対象外")),IF($AJ2308=30,"③特定消防",IF(AND(OR($A2308=21,$A2308=215),$AJ2308=10),"④一般",IF(AND($A2308=31,$AJ2308=41),"⑤短期","対象外")))))</f>
        <v/>
      </c>
      <c r="DC2308" s="0" t="str">
        <f aca="false">IF($A2308="","",IF($AB2308&amp;""=設定!$C$4,1,0))</f>
        <v/>
      </c>
    </row>
    <row r="2309" customFormat="false" ht="15" hidden="false" customHeight="false" outlineLevel="0" collapsed="false">
      <c r="DB2309" s="0" t="str">
        <f aca="false">IF($A2309="","",IF($AH2309=20,IF(AND(OR($A2309=21,$A2309=215),$AJ2309=10),"①病院一般",IF(AND($A2309=31,$AJ2309=41),"②病院短期","対象外")),IF($AJ2309=30,"③特定消防",IF(AND(OR($A2309=21,$A2309=215),$AJ2309=10),"④一般",IF(AND($A2309=31,$AJ2309=41),"⑤短期","対象外")))))</f>
        <v/>
      </c>
      <c r="DC2309" s="0" t="str">
        <f aca="false">IF($A2309="","",IF($AB2309&amp;""=設定!$C$4,1,0))</f>
        <v/>
      </c>
    </row>
    <row r="2310" customFormat="false" ht="15" hidden="false" customHeight="false" outlineLevel="0" collapsed="false">
      <c r="DB2310" s="0" t="str">
        <f aca="false">IF($A2310="","",IF($AH2310=20,IF(AND(OR($A2310=21,$A2310=215),$AJ2310=10),"①病院一般",IF(AND($A2310=31,$AJ2310=41),"②病院短期","対象外")),IF($AJ2310=30,"③特定消防",IF(AND(OR($A2310=21,$A2310=215),$AJ2310=10),"④一般",IF(AND($A2310=31,$AJ2310=41),"⑤短期","対象外")))))</f>
        <v/>
      </c>
      <c r="DC2310" s="0" t="str">
        <f aca="false">IF($A2310="","",IF($AB2310&amp;""=設定!$C$4,1,0))</f>
        <v/>
      </c>
    </row>
    <row r="2311" customFormat="false" ht="15" hidden="false" customHeight="false" outlineLevel="0" collapsed="false">
      <c r="DB2311" s="0" t="str">
        <f aca="false">IF($A2311="","",IF($AH2311=20,IF(AND(OR($A2311=21,$A2311=215),$AJ2311=10),"①病院一般",IF(AND($A2311=31,$AJ2311=41),"②病院短期","対象外")),IF($AJ2311=30,"③特定消防",IF(AND(OR($A2311=21,$A2311=215),$AJ2311=10),"④一般",IF(AND($A2311=31,$AJ2311=41),"⑤短期","対象外")))))</f>
        <v/>
      </c>
      <c r="DC2311" s="0" t="str">
        <f aca="false">IF($A2311="","",IF($AB2311&amp;""=設定!$C$4,1,0))</f>
        <v/>
      </c>
    </row>
    <row r="2312" customFormat="false" ht="15" hidden="false" customHeight="false" outlineLevel="0" collapsed="false">
      <c r="DB2312" s="0" t="str">
        <f aca="false">IF($A2312="","",IF($AH2312=20,IF(AND(OR($A2312=21,$A2312=215),$AJ2312=10),"①病院一般",IF(AND($A2312=31,$AJ2312=41),"②病院短期","対象外")),IF($AJ2312=30,"③特定消防",IF(AND(OR($A2312=21,$A2312=215),$AJ2312=10),"④一般",IF(AND($A2312=31,$AJ2312=41),"⑤短期","対象外")))))</f>
        <v/>
      </c>
      <c r="DC2312" s="0" t="str">
        <f aca="false">IF($A2312="","",IF($AB2312&amp;""=設定!$C$4,1,0))</f>
        <v/>
      </c>
    </row>
    <row r="2313" customFormat="false" ht="15" hidden="false" customHeight="false" outlineLevel="0" collapsed="false">
      <c r="DB2313" s="0" t="str">
        <f aca="false">IF($A2313="","",IF($AH2313=20,IF(AND(OR($A2313=21,$A2313=215),$AJ2313=10),"①病院一般",IF(AND($A2313=31,$AJ2313=41),"②病院短期","対象外")),IF($AJ2313=30,"③特定消防",IF(AND(OR($A2313=21,$A2313=215),$AJ2313=10),"④一般",IF(AND($A2313=31,$AJ2313=41),"⑤短期","対象外")))))</f>
        <v/>
      </c>
      <c r="DC2313" s="0" t="str">
        <f aca="false">IF($A2313="","",IF($AB2313&amp;""=設定!$C$4,1,0))</f>
        <v/>
      </c>
    </row>
    <row r="2314" customFormat="false" ht="15" hidden="false" customHeight="false" outlineLevel="0" collapsed="false">
      <c r="DB2314" s="0" t="str">
        <f aca="false">IF($A2314="","",IF($AH2314=20,IF(AND(OR($A2314=21,$A2314=215),$AJ2314=10),"①病院一般",IF(AND($A2314=31,$AJ2314=41),"②病院短期","対象外")),IF($AJ2314=30,"③特定消防",IF(AND(OR($A2314=21,$A2314=215),$AJ2314=10),"④一般",IF(AND($A2314=31,$AJ2314=41),"⑤短期","対象外")))))</f>
        <v/>
      </c>
      <c r="DC2314" s="0" t="str">
        <f aca="false">IF($A2314="","",IF($AB2314&amp;""=設定!$C$4,1,0))</f>
        <v/>
      </c>
    </row>
    <row r="2315" customFormat="false" ht="15" hidden="false" customHeight="false" outlineLevel="0" collapsed="false">
      <c r="DB2315" s="0" t="str">
        <f aca="false">IF($A2315="","",IF($AH2315=20,IF(AND(OR($A2315=21,$A2315=215),$AJ2315=10),"①病院一般",IF(AND($A2315=31,$AJ2315=41),"②病院短期","対象外")),IF($AJ2315=30,"③特定消防",IF(AND(OR($A2315=21,$A2315=215),$AJ2315=10),"④一般",IF(AND($A2315=31,$AJ2315=41),"⑤短期","対象外")))))</f>
        <v/>
      </c>
      <c r="DC2315" s="0" t="str">
        <f aca="false">IF($A2315="","",IF($AB2315&amp;""=設定!$C$4,1,0))</f>
        <v/>
      </c>
    </row>
    <row r="2316" customFormat="false" ht="15" hidden="false" customHeight="false" outlineLevel="0" collapsed="false">
      <c r="DB2316" s="0" t="str">
        <f aca="false">IF($A2316="","",IF($AH2316=20,IF(AND(OR($A2316=21,$A2316=215),$AJ2316=10),"①病院一般",IF(AND($A2316=31,$AJ2316=41),"②病院短期","対象外")),IF($AJ2316=30,"③特定消防",IF(AND(OR($A2316=21,$A2316=215),$AJ2316=10),"④一般",IF(AND($A2316=31,$AJ2316=41),"⑤短期","対象外")))))</f>
        <v/>
      </c>
      <c r="DC2316" s="0" t="str">
        <f aca="false">IF($A2316="","",IF($AB2316&amp;""=設定!$C$4,1,0))</f>
        <v/>
      </c>
    </row>
    <row r="2317" customFormat="false" ht="15" hidden="false" customHeight="false" outlineLevel="0" collapsed="false">
      <c r="DB2317" s="0" t="str">
        <f aca="false">IF($A2317="","",IF($AH2317=20,IF(AND(OR($A2317=21,$A2317=215),$AJ2317=10),"①病院一般",IF(AND($A2317=31,$AJ2317=41),"②病院短期","対象外")),IF($AJ2317=30,"③特定消防",IF(AND(OR($A2317=21,$A2317=215),$AJ2317=10),"④一般",IF(AND($A2317=31,$AJ2317=41),"⑤短期","対象外")))))</f>
        <v/>
      </c>
      <c r="DC2317" s="0" t="str">
        <f aca="false">IF($A2317="","",IF($AB2317&amp;""=設定!$C$4,1,0))</f>
        <v/>
      </c>
    </row>
    <row r="2318" customFormat="false" ht="15" hidden="false" customHeight="false" outlineLevel="0" collapsed="false">
      <c r="DB2318" s="0" t="str">
        <f aca="false">IF($A2318="","",IF($AH2318=20,IF(AND(OR($A2318=21,$A2318=215),$AJ2318=10),"①病院一般",IF(AND($A2318=31,$AJ2318=41),"②病院短期","対象外")),IF($AJ2318=30,"③特定消防",IF(AND(OR($A2318=21,$A2318=215),$AJ2318=10),"④一般",IF(AND($A2318=31,$AJ2318=41),"⑤短期","対象外")))))</f>
        <v/>
      </c>
      <c r="DC2318" s="0" t="str">
        <f aca="false">IF($A2318="","",IF($AB2318&amp;""=設定!$C$4,1,0))</f>
        <v/>
      </c>
    </row>
    <row r="2319" customFormat="false" ht="15" hidden="false" customHeight="false" outlineLevel="0" collapsed="false">
      <c r="DB2319" s="0" t="str">
        <f aca="false">IF($A2319="","",IF($AH2319=20,IF(AND(OR($A2319=21,$A2319=215),$AJ2319=10),"①病院一般",IF(AND($A2319=31,$AJ2319=41),"②病院短期","対象外")),IF($AJ2319=30,"③特定消防",IF(AND(OR($A2319=21,$A2319=215),$AJ2319=10),"④一般",IF(AND($A2319=31,$AJ2319=41),"⑤短期","対象外")))))</f>
        <v/>
      </c>
      <c r="DC2319" s="0" t="str">
        <f aca="false">IF($A2319="","",IF($AB2319&amp;""=設定!$C$4,1,0))</f>
        <v/>
      </c>
    </row>
    <row r="2320" customFormat="false" ht="15" hidden="false" customHeight="false" outlineLevel="0" collapsed="false">
      <c r="DB2320" s="0" t="str">
        <f aca="false">IF($A2320="","",IF($AH2320=20,IF(AND(OR($A2320=21,$A2320=215),$AJ2320=10),"①病院一般",IF(AND($A2320=31,$AJ2320=41),"②病院短期","対象外")),IF($AJ2320=30,"③特定消防",IF(AND(OR($A2320=21,$A2320=215),$AJ2320=10),"④一般",IF(AND($A2320=31,$AJ2320=41),"⑤短期","対象外")))))</f>
        <v/>
      </c>
      <c r="DC2320" s="0" t="str">
        <f aca="false">IF($A2320="","",IF($AB2320&amp;""=設定!$C$4,1,0))</f>
        <v/>
      </c>
    </row>
    <row r="2321" customFormat="false" ht="15" hidden="false" customHeight="false" outlineLevel="0" collapsed="false">
      <c r="DB2321" s="0" t="str">
        <f aca="false">IF($A2321="","",IF($AH2321=20,IF(AND(OR($A2321=21,$A2321=215),$AJ2321=10),"①病院一般",IF(AND($A2321=31,$AJ2321=41),"②病院短期","対象外")),IF($AJ2321=30,"③特定消防",IF(AND(OR($A2321=21,$A2321=215),$AJ2321=10),"④一般",IF(AND($A2321=31,$AJ2321=41),"⑤短期","対象外")))))</f>
        <v/>
      </c>
      <c r="DC2321" s="0" t="str">
        <f aca="false">IF($A2321="","",IF($AB2321&amp;""=設定!$C$4,1,0))</f>
        <v/>
      </c>
    </row>
    <row r="2322" customFormat="false" ht="15" hidden="false" customHeight="false" outlineLevel="0" collapsed="false">
      <c r="DB2322" s="0" t="str">
        <f aca="false">IF($A2322="","",IF($AH2322=20,IF(AND(OR($A2322=21,$A2322=215),$AJ2322=10),"①病院一般",IF(AND($A2322=31,$AJ2322=41),"②病院短期","対象外")),IF($AJ2322=30,"③特定消防",IF(AND(OR($A2322=21,$A2322=215),$AJ2322=10),"④一般",IF(AND($A2322=31,$AJ2322=41),"⑤短期","対象外")))))</f>
        <v/>
      </c>
      <c r="DC2322" s="0" t="str">
        <f aca="false">IF($A2322="","",IF($AB2322&amp;""=設定!$C$4,1,0))</f>
        <v/>
      </c>
    </row>
    <row r="2323" customFormat="false" ht="15" hidden="false" customHeight="false" outlineLevel="0" collapsed="false">
      <c r="DB2323" s="0" t="str">
        <f aca="false">IF($A2323="","",IF($AH2323=20,IF(AND(OR($A2323=21,$A2323=215),$AJ2323=10),"①病院一般",IF(AND($A2323=31,$AJ2323=41),"②病院短期","対象外")),IF($AJ2323=30,"③特定消防",IF(AND(OR($A2323=21,$A2323=215),$AJ2323=10),"④一般",IF(AND($A2323=31,$AJ2323=41),"⑤短期","対象外")))))</f>
        <v/>
      </c>
      <c r="DC2323" s="0" t="str">
        <f aca="false">IF($A2323="","",IF($AB2323&amp;""=設定!$C$4,1,0))</f>
        <v/>
      </c>
    </row>
    <row r="2324" customFormat="false" ht="15" hidden="false" customHeight="false" outlineLevel="0" collapsed="false">
      <c r="DB2324" s="0" t="str">
        <f aca="false">IF($A2324="","",IF($AH2324=20,IF(AND(OR($A2324=21,$A2324=215),$AJ2324=10),"①病院一般",IF(AND($A2324=31,$AJ2324=41),"②病院短期","対象外")),IF($AJ2324=30,"③特定消防",IF(AND(OR($A2324=21,$A2324=215),$AJ2324=10),"④一般",IF(AND($A2324=31,$AJ2324=41),"⑤短期","対象外")))))</f>
        <v/>
      </c>
      <c r="DC2324" s="0" t="str">
        <f aca="false">IF($A2324="","",IF($AB2324&amp;""=設定!$C$4,1,0))</f>
        <v/>
      </c>
    </row>
    <row r="2325" customFormat="false" ht="15" hidden="false" customHeight="false" outlineLevel="0" collapsed="false">
      <c r="DB2325" s="0" t="str">
        <f aca="false">IF($A2325="","",IF($AH2325=20,IF(AND(OR($A2325=21,$A2325=215),$AJ2325=10),"①病院一般",IF(AND($A2325=31,$AJ2325=41),"②病院短期","対象外")),IF($AJ2325=30,"③特定消防",IF(AND(OR($A2325=21,$A2325=215),$AJ2325=10),"④一般",IF(AND($A2325=31,$AJ2325=41),"⑤短期","対象外")))))</f>
        <v/>
      </c>
      <c r="DC2325" s="0" t="str">
        <f aca="false">IF($A2325="","",IF($AB2325&amp;""=設定!$C$4,1,0))</f>
        <v/>
      </c>
    </row>
    <row r="2326" customFormat="false" ht="15" hidden="false" customHeight="false" outlineLevel="0" collapsed="false">
      <c r="DB2326" s="0" t="str">
        <f aca="false">IF($A2326="","",IF($AH2326=20,IF(AND(OR($A2326=21,$A2326=215),$AJ2326=10),"①病院一般",IF(AND($A2326=31,$AJ2326=41),"②病院短期","対象外")),IF($AJ2326=30,"③特定消防",IF(AND(OR($A2326=21,$A2326=215),$AJ2326=10),"④一般",IF(AND($A2326=31,$AJ2326=41),"⑤短期","対象外")))))</f>
        <v/>
      </c>
      <c r="DC2326" s="0" t="str">
        <f aca="false">IF($A2326="","",IF($AB2326&amp;""=設定!$C$4,1,0))</f>
        <v/>
      </c>
    </row>
    <row r="2327" customFormat="false" ht="15" hidden="false" customHeight="false" outlineLevel="0" collapsed="false">
      <c r="DB2327" s="0" t="str">
        <f aca="false">IF($A2327="","",IF($AH2327=20,IF(AND(OR($A2327=21,$A2327=215),$AJ2327=10),"①病院一般",IF(AND($A2327=31,$AJ2327=41),"②病院短期","対象外")),IF($AJ2327=30,"③特定消防",IF(AND(OR($A2327=21,$A2327=215),$AJ2327=10),"④一般",IF(AND($A2327=31,$AJ2327=41),"⑤短期","対象外")))))</f>
        <v/>
      </c>
      <c r="DC2327" s="0" t="str">
        <f aca="false">IF($A2327="","",IF($AB2327&amp;""=設定!$C$4,1,0))</f>
        <v/>
      </c>
    </row>
    <row r="2328" customFormat="false" ht="15" hidden="false" customHeight="false" outlineLevel="0" collapsed="false">
      <c r="DB2328" s="0" t="str">
        <f aca="false">IF($A2328="","",IF($AH2328=20,IF(AND(OR($A2328=21,$A2328=215),$AJ2328=10),"①病院一般",IF(AND($A2328=31,$AJ2328=41),"②病院短期","対象外")),IF($AJ2328=30,"③特定消防",IF(AND(OR($A2328=21,$A2328=215),$AJ2328=10),"④一般",IF(AND($A2328=31,$AJ2328=41),"⑤短期","対象外")))))</f>
        <v/>
      </c>
      <c r="DC2328" s="0" t="str">
        <f aca="false">IF($A2328="","",IF($AB2328&amp;""=設定!$C$4,1,0))</f>
        <v/>
      </c>
    </row>
    <row r="2329" customFormat="false" ht="15" hidden="false" customHeight="false" outlineLevel="0" collapsed="false">
      <c r="DB2329" s="0" t="str">
        <f aca="false">IF($A2329="","",IF($AH2329=20,IF(AND(OR($A2329=21,$A2329=215),$AJ2329=10),"①病院一般",IF(AND($A2329=31,$AJ2329=41),"②病院短期","対象外")),IF($AJ2329=30,"③特定消防",IF(AND(OR($A2329=21,$A2329=215),$AJ2329=10),"④一般",IF(AND($A2329=31,$AJ2329=41),"⑤短期","対象外")))))</f>
        <v/>
      </c>
      <c r="DC2329" s="0" t="str">
        <f aca="false">IF($A2329="","",IF($AB2329&amp;""=設定!$C$4,1,0))</f>
        <v/>
      </c>
    </row>
    <row r="2330" customFormat="false" ht="15" hidden="false" customHeight="false" outlineLevel="0" collapsed="false">
      <c r="DB2330" s="0" t="str">
        <f aca="false">IF($A2330="","",IF($AH2330=20,IF(AND(OR($A2330=21,$A2330=215),$AJ2330=10),"①病院一般",IF(AND($A2330=31,$AJ2330=41),"②病院短期","対象外")),IF($AJ2330=30,"③特定消防",IF(AND(OR($A2330=21,$A2330=215),$AJ2330=10),"④一般",IF(AND($A2330=31,$AJ2330=41),"⑤短期","対象外")))))</f>
        <v/>
      </c>
      <c r="DC2330" s="0" t="str">
        <f aca="false">IF($A2330="","",IF($AB2330&amp;""=設定!$C$4,1,0))</f>
        <v/>
      </c>
    </row>
    <row r="2331" customFormat="false" ht="15" hidden="false" customHeight="false" outlineLevel="0" collapsed="false">
      <c r="DB2331" s="0" t="str">
        <f aca="false">IF($A2331="","",IF($AH2331=20,IF(AND(OR($A2331=21,$A2331=215),$AJ2331=10),"①病院一般",IF(AND($A2331=31,$AJ2331=41),"②病院短期","対象外")),IF($AJ2331=30,"③特定消防",IF(AND(OR($A2331=21,$A2331=215),$AJ2331=10),"④一般",IF(AND($A2331=31,$AJ2331=41),"⑤短期","対象外")))))</f>
        <v/>
      </c>
      <c r="DC2331" s="0" t="str">
        <f aca="false">IF($A2331="","",IF($AB2331&amp;""=設定!$C$4,1,0))</f>
        <v/>
      </c>
    </row>
    <row r="2332" customFormat="false" ht="15" hidden="false" customHeight="false" outlineLevel="0" collapsed="false">
      <c r="DB2332" s="0" t="str">
        <f aca="false">IF($A2332="","",IF($AH2332=20,IF(AND(OR($A2332=21,$A2332=215),$AJ2332=10),"①病院一般",IF(AND($A2332=31,$AJ2332=41),"②病院短期","対象外")),IF($AJ2332=30,"③特定消防",IF(AND(OR($A2332=21,$A2332=215),$AJ2332=10),"④一般",IF(AND($A2332=31,$AJ2332=41),"⑤短期","対象外")))))</f>
        <v/>
      </c>
      <c r="DC2332" s="0" t="str">
        <f aca="false">IF($A2332="","",IF($AB2332&amp;""=設定!$C$4,1,0))</f>
        <v/>
      </c>
    </row>
    <row r="2333" customFormat="false" ht="15" hidden="false" customHeight="false" outlineLevel="0" collapsed="false">
      <c r="DB2333" s="0" t="str">
        <f aca="false">IF($A2333="","",IF($AH2333=20,IF(AND(OR($A2333=21,$A2333=215),$AJ2333=10),"①病院一般",IF(AND($A2333=31,$AJ2333=41),"②病院短期","対象外")),IF($AJ2333=30,"③特定消防",IF(AND(OR($A2333=21,$A2333=215),$AJ2333=10),"④一般",IF(AND($A2333=31,$AJ2333=41),"⑤短期","対象外")))))</f>
        <v/>
      </c>
      <c r="DC2333" s="0" t="str">
        <f aca="false">IF($A2333="","",IF($AB2333&amp;""=設定!$C$4,1,0))</f>
        <v/>
      </c>
    </row>
    <row r="2334" customFormat="false" ht="15" hidden="false" customHeight="false" outlineLevel="0" collapsed="false">
      <c r="DB2334" s="0" t="str">
        <f aca="false">IF($A2334="","",IF($AH2334=20,IF(AND(OR($A2334=21,$A2334=215),$AJ2334=10),"①病院一般",IF(AND($A2334=31,$AJ2334=41),"②病院短期","対象外")),IF($AJ2334=30,"③特定消防",IF(AND(OR($A2334=21,$A2334=215),$AJ2334=10),"④一般",IF(AND($A2334=31,$AJ2334=41),"⑤短期","対象外")))))</f>
        <v/>
      </c>
      <c r="DC2334" s="0" t="str">
        <f aca="false">IF($A2334="","",IF($AB2334&amp;""=設定!$C$4,1,0))</f>
        <v/>
      </c>
    </row>
    <row r="2335" customFormat="false" ht="15" hidden="false" customHeight="false" outlineLevel="0" collapsed="false">
      <c r="DB2335" s="0" t="str">
        <f aca="false">IF($A2335="","",IF($AH2335=20,IF(AND(OR($A2335=21,$A2335=215),$AJ2335=10),"①病院一般",IF(AND($A2335=31,$AJ2335=41),"②病院短期","対象外")),IF($AJ2335=30,"③特定消防",IF(AND(OR($A2335=21,$A2335=215),$AJ2335=10),"④一般",IF(AND($A2335=31,$AJ2335=41),"⑤短期","対象外")))))</f>
        <v/>
      </c>
      <c r="DC2335" s="0" t="str">
        <f aca="false">IF($A2335="","",IF($AB2335&amp;""=設定!$C$4,1,0))</f>
        <v/>
      </c>
    </row>
    <row r="2336" customFormat="false" ht="15" hidden="false" customHeight="false" outlineLevel="0" collapsed="false">
      <c r="DB2336" s="0" t="str">
        <f aca="false">IF($A2336="","",IF($AH2336=20,IF(AND(OR($A2336=21,$A2336=215),$AJ2336=10),"①病院一般",IF(AND($A2336=31,$AJ2336=41),"②病院短期","対象外")),IF($AJ2336=30,"③特定消防",IF(AND(OR($A2336=21,$A2336=215),$AJ2336=10),"④一般",IF(AND($A2336=31,$AJ2336=41),"⑤短期","対象外")))))</f>
        <v/>
      </c>
      <c r="DC2336" s="0" t="str">
        <f aca="false">IF($A2336="","",IF($AB2336&amp;""=設定!$C$4,1,0))</f>
        <v/>
      </c>
    </row>
    <row r="2337" customFormat="false" ht="15" hidden="false" customHeight="false" outlineLevel="0" collapsed="false">
      <c r="DB2337" s="0" t="str">
        <f aca="false">IF($A2337="","",IF($AH2337=20,IF(AND(OR($A2337=21,$A2337=215),$AJ2337=10),"①病院一般",IF(AND($A2337=31,$AJ2337=41),"②病院短期","対象外")),IF($AJ2337=30,"③特定消防",IF(AND(OR($A2337=21,$A2337=215),$AJ2337=10),"④一般",IF(AND($A2337=31,$AJ2337=41),"⑤短期","対象外")))))</f>
        <v/>
      </c>
      <c r="DC2337" s="0" t="str">
        <f aca="false">IF($A2337="","",IF($AB2337&amp;""=設定!$C$4,1,0))</f>
        <v/>
      </c>
    </row>
    <row r="2338" customFormat="false" ht="15" hidden="false" customHeight="false" outlineLevel="0" collapsed="false">
      <c r="DB2338" s="0" t="str">
        <f aca="false">IF($A2338="","",IF($AH2338=20,IF(AND(OR($A2338=21,$A2338=215),$AJ2338=10),"①病院一般",IF(AND($A2338=31,$AJ2338=41),"②病院短期","対象外")),IF($AJ2338=30,"③特定消防",IF(AND(OR($A2338=21,$A2338=215),$AJ2338=10),"④一般",IF(AND($A2338=31,$AJ2338=41),"⑤短期","対象外")))))</f>
        <v/>
      </c>
      <c r="DC2338" s="0" t="str">
        <f aca="false">IF($A2338="","",IF($AB2338&amp;""=設定!$C$4,1,0))</f>
        <v/>
      </c>
    </row>
    <row r="2339" customFormat="false" ht="15" hidden="false" customHeight="false" outlineLevel="0" collapsed="false">
      <c r="DB2339" s="0" t="str">
        <f aca="false">IF($A2339="","",IF($AH2339=20,IF(AND(OR($A2339=21,$A2339=215),$AJ2339=10),"①病院一般",IF(AND($A2339=31,$AJ2339=41),"②病院短期","対象外")),IF($AJ2339=30,"③特定消防",IF(AND(OR($A2339=21,$A2339=215),$AJ2339=10),"④一般",IF(AND($A2339=31,$AJ2339=41),"⑤短期","対象外")))))</f>
        <v/>
      </c>
      <c r="DC2339" s="0" t="str">
        <f aca="false">IF($A2339="","",IF($AB2339&amp;""=設定!$C$4,1,0))</f>
        <v/>
      </c>
    </row>
    <row r="2340" customFormat="false" ht="15" hidden="false" customHeight="false" outlineLevel="0" collapsed="false">
      <c r="DB2340" s="0" t="str">
        <f aca="false">IF($A2340="","",IF($AH2340=20,IF(AND(OR($A2340=21,$A2340=215),$AJ2340=10),"①病院一般",IF(AND($A2340=31,$AJ2340=41),"②病院短期","対象外")),IF($AJ2340=30,"③特定消防",IF(AND(OR($A2340=21,$A2340=215),$AJ2340=10),"④一般",IF(AND($A2340=31,$AJ2340=41),"⑤短期","対象外")))))</f>
        <v/>
      </c>
      <c r="DC2340" s="0" t="str">
        <f aca="false">IF($A2340="","",IF($AB2340&amp;""=設定!$C$4,1,0))</f>
        <v/>
      </c>
    </row>
    <row r="2341" customFormat="false" ht="15" hidden="false" customHeight="false" outlineLevel="0" collapsed="false">
      <c r="DB2341" s="0" t="str">
        <f aca="false">IF($A2341="","",IF($AH2341=20,IF(AND(OR($A2341=21,$A2341=215),$AJ2341=10),"①病院一般",IF(AND($A2341=31,$AJ2341=41),"②病院短期","対象外")),IF($AJ2341=30,"③特定消防",IF(AND(OR($A2341=21,$A2341=215),$AJ2341=10),"④一般",IF(AND($A2341=31,$AJ2341=41),"⑤短期","対象外")))))</f>
        <v/>
      </c>
      <c r="DC2341" s="0" t="str">
        <f aca="false">IF($A2341="","",IF($AB2341&amp;""=設定!$C$4,1,0))</f>
        <v/>
      </c>
    </row>
    <row r="2342" customFormat="false" ht="15" hidden="false" customHeight="false" outlineLevel="0" collapsed="false">
      <c r="DB2342" s="0" t="str">
        <f aca="false">IF($A2342="","",IF($AH2342=20,IF(AND(OR($A2342=21,$A2342=215),$AJ2342=10),"①病院一般",IF(AND($A2342=31,$AJ2342=41),"②病院短期","対象外")),IF($AJ2342=30,"③特定消防",IF(AND(OR($A2342=21,$A2342=215),$AJ2342=10),"④一般",IF(AND($A2342=31,$AJ2342=41),"⑤短期","対象外")))))</f>
        <v/>
      </c>
      <c r="DC2342" s="0" t="str">
        <f aca="false">IF($A2342="","",IF($AB2342&amp;""=設定!$C$4,1,0))</f>
        <v/>
      </c>
    </row>
    <row r="2343" customFormat="false" ht="15" hidden="false" customHeight="false" outlineLevel="0" collapsed="false">
      <c r="DB2343" s="0" t="str">
        <f aca="false">IF($A2343="","",IF($AH2343=20,IF(AND(OR($A2343=21,$A2343=215),$AJ2343=10),"①病院一般",IF(AND($A2343=31,$AJ2343=41),"②病院短期","対象外")),IF($AJ2343=30,"③特定消防",IF(AND(OR($A2343=21,$A2343=215),$AJ2343=10),"④一般",IF(AND($A2343=31,$AJ2343=41),"⑤短期","対象外")))))</f>
        <v/>
      </c>
      <c r="DC2343" s="0" t="str">
        <f aca="false">IF($A2343="","",IF($AB2343&amp;""=設定!$C$4,1,0))</f>
        <v/>
      </c>
    </row>
    <row r="2344" customFormat="false" ht="15" hidden="false" customHeight="false" outlineLevel="0" collapsed="false">
      <c r="DB2344" s="0" t="str">
        <f aca="false">IF($A2344="","",IF($AH2344=20,IF(AND(OR($A2344=21,$A2344=215),$AJ2344=10),"①病院一般",IF(AND($A2344=31,$AJ2344=41),"②病院短期","対象外")),IF($AJ2344=30,"③特定消防",IF(AND(OR($A2344=21,$A2344=215),$AJ2344=10),"④一般",IF(AND($A2344=31,$AJ2344=41),"⑤短期","対象外")))))</f>
        <v/>
      </c>
      <c r="DC2344" s="0" t="str">
        <f aca="false">IF($A2344="","",IF($AB2344&amp;""=設定!$C$4,1,0))</f>
        <v/>
      </c>
    </row>
    <row r="2345" customFormat="false" ht="15" hidden="false" customHeight="false" outlineLevel="0" collapsed="false">
      <c r="DB2345" s="0" t="str">
        <f aca="false">IF($A2345="","",IF($AH2345=20,IF(AND(OR($A2345=21,$A2345=215),$AJ2345=10),"①病院一般",IF(AND($A2345=31,$AJ2345=41),"②病院短期","対象外")),IF($AJ2345=30,"③特定消防",IF(AND(OR($A2345=21,$A2345=215),$AJ2345=10),"④一般",IF(AND($A2345=31,$AJ2345=41),"⑤短期","対象外")))))</f>
        <v/>
      </c>
      <c r="DC2345" s="0" t="str">
        <f aca="false">IF($A2345="","",IF($AB2345&amp;""=設定!$C$4,1,0))</f>
        <v/>
      </c>
    </row>
    <row r="2346" customFormat="false" ht="15" hidden="false" customHeight="false" outlineLevel="0" collapsed="false">
      <c r="DB2346" s="0" t="str">
        <f aca="false">IF($A2346="","",IF($AH2346=20,IF(AND(OR($A2346=21,$A2346=215),$AJ2346=10),"①病院一般",IF(AND($A2346=31,$AJ2346=41),"②病院短期","対象外")),IF($AJ2346=30,"③特定消防",IF(AND(OR($A2346=21,$A2346=215),$AJ2346=10),"④一般",IF(AND($A2346=31,$AJ2346=41),"⑤短期","対象外")))))</f>
        <v/>
      </c>
      <c r="DC2346" s="0" t="str">
        <f aca="false">IF($A2346="","",IF($AB2346&amp;""=設定!$C$4,1,0))</f>
        <v/>
      </c>
    </row>
    <row r="2347" customFormat="false" ht="15" hidden="false" customHeight="false" outlineLevel="0" collapsed="false">
      <c r="DB2347" s="0" t="str">
        <f aca="false">IF($A2347="","",IF($AH2347=20,IF(AND(OR($A2347=21,$A2347=215),$AJ2347=10),"①病院一般",IF(AND($A2347=31,$AJ2347=41),"②病院短期","対象外")),IF($AJ2347=30,"③特定消防",IF(AND(OR($A2347=21,$A2347=215),$AJ2347=10),"④一般",IF(AND($A2347=31,$AJ2347=41),"⑤短期","対象外")))))</f>
        <v/>
      </c>
      <c r="DC2347" s="0" t="str">
        <f aca="false">IF($A2347="","",IF($AB2347&amp;""=設定!$C$4,1,0))</f>
        <v/>
      </c>
    </row>
    <row r="2348" customFormat="false" ht="15" hidden="false" customHeight="false" outlineLevel="0" collapsed="false">
      <c r="DB2348" s="0" t="str">
        <f aca="false">IF($A2348="","",IF($AH2348=20,IF(AND(OR($A2348=21,$A2348=215),$AJ2348=10),"①病院一般",IF(AND($A2348=31,$AJ2348=41),"②病院短期","対象外")),IF($AJ2348=30,"③特定消防",IF(AND(OR($A2348=21,$A2348=215),$AJ2348=10),"④一般",IF(AND($A2348=31,$AJ2348=41),"⑤短期","対象外")))))</f>
        <v/>
      </c>
      <c r="DC2348" s="0" t="str">
        <f aca="false">IF($A2348="","",IF($AB2348&amp;""=設定!$C$4,1,0))</f>
        <v/>
      </c>
    </row>
    <row r="2349" customFormat="false" ht="15" hidden="false" customHeight="false" outlineLevel="0" collapsed="false">
      <c r="DB2349" s="0" t="str">
        <f aca="false">IF($A2349="","",IF($AH2349=20,IF(AND(OR($A2349=21,$A2349=215),$AJ2349=10),"①病院一般",IF(AND($A2349=31,$AJ2349=41),"②病院短期","対象外")),IF($AJ2349=30,"③特定消防",IF(AND(OR($A2349=21,$A2349=215),$AJ2349=10),"④一般",IF(AND($A2349=31,$AJ2349=41),"⑤短期","対象外")))))</f>
        <v/>
      </c>
      <c r="DC2349" s="0" t="str">
        <f aca="false">IF($A2349="","",IF($AB2349&amp;""=設定!$C$4,1,0))</f>
        <v/>
      </c>
    </row>
    <row r="2350" customFormat="false" ht="15" hidden="false" customHeight="false" outlineLevel="0" collapsed="false">
      <c r="DB2350" s="0" t="str">
        <f aca="false">IF($A2350="","",IF($AH2350=20,IF(AND(OR($A2350=21,$A2350=215),$AJ2350=10),"①病院一般",IF(AND($A2350=31,$AJ2350=41),"②病院短期","対象外")),IF($AJ2350=30,"③特定消防",IF(AND(OR($A2350=21,$A2350=215),$AJ2350=10),"④一般",IF(AND($A2350=31,$AJ2350=41),"⑤短期","対象外")))))</f>
        <v/>
      </c>
      <c r="DC2350" s="0" t="str">
        <f aca="false">IF($A2350="","",IF($AB2350&amp;""=設定!$C$4,1,0))</f>
        <v/>
      </c>
    </row>
    <row r="2351" customFormat="false" ht="15" hidden="false" customHeight="false" outlineLevel="0" collapsed="false">
      <c r="DB2351" s="0" t="str">
        <f aca="false">IF($A2351="","",IF($AH2351=20,IF(AND(OR($A2351=21,$A2351=215),$AJ2351=10),"①病院一般",IF(AND($A2351=31,$AJ2351=41),"②病院短期","対象外")),IF($AJ2351=30,"③特定消防",IF(AND(OR($A2351=21,$A2351=215),$AJ2351=10),"④一般",IF(AND($A2351=31,$AJ2351=41),"⑤短期","対象外")))))</f>
        <v/>
      </c>
      <c r="DC2351" s="0" t="str">
        <f aca="false">IF($A2351="","",IF($AB2351&amp;""=設定!$C$4,1,0))</f>
        <v/>
      </c>
    </row>
    <row r="2352" customFormat="false" ht="15" hidden="false" customHeight="false" outlineLevel="0" collapsed="false">
      <c r="DB2352" s="0" t="str">
        <f aca="false">IF($A2352="","",IF($AH2352=20,IF(AND(OR($A2352=21,$A2352=215),$AJ2352=10),"①病院一般",IF(AND($A2352=31,$AJ2352=41),"②病院短期","対象外")),IF($AJ2352=30,"③特定消防",IF(AND(OR($A2352=21,$A2352=215),$AJ2352=10),"④一般",IF(AND($A2352=31,$AJ2352=41),"⑤短期","対象外")))))</f>
        <v/>
      </c>
      <c r="DC2352" s="0" t="str">
        <f aca="false">IF($A2352="","",IF($AB2352&amp;""=設定!$C$4,1,0))</f>
        <v/>
      </c>
    </row>
    <row r="2353" customFormat="false" ht="15" hidden="false" customHeight="false" outlineLevel="0" collapsed="false">
      <c r="DB2353" s="0" t="str">
        <f aca="false">IF($A2353="","",IF($AH2353=20,IF(AND(OR($A2353=21,$A2353=215),$AJ2353=10),"①病院一般",IF(AND($A2353=31,$AJ2353=41),"②病院短期","対象外")),IF($AJ2353=30,"③特定消防",IF(AND(OR($A2353=21,$A2353=215),$AJ2353=10),"④一般",IF(AND($A2353=31,$AJ2353=41),"⑤短期","対象外")))))</f>
        <v/>
      </c>
      <c r="DC2353" s="0" t="str">
        <f aca="false">IF($A2353="","",IF($AB2353&amp;""=設定!$C$4,1,0))</f>
        <v/>
      </c>
    </row>
    <row r="2354" customFormat="false" ht="15" hidden="false" customHeight="false" outlineLevel="0" collapsed="false">
      <c r="DB2354" s="0" t="str">
        <f aca="false">IF($A2354="","",IF($AH2354=20,IF(AND(OR($A2354=21,$A2354=215),$AJ2354=10),"①病院一般",IF(AND($A2354=31,$AJ2354=41),"②病院短期","対象外")),IF($AJ2354=30,"③特定消防",IF(AND(OR($A2354=21,$A2354=215),$AJ2354=10),"④一般",IF(AND($A2354=31,$AJ2354=41),"⑤短期","対象外")))))</f>
        <v/>
      </c>
      <c r="DC2354" s="0" t="str">
        <f aca="false">IF($A2354="","",IF($AB2354&amp;""=設定!$C$4,1,0))</f>
        <v/>
      </c>
    </row>
    <row r="2355" customFormat="false" ht="15" hidden="false" customHeight="false" outlineLevel="0" collapsed="false">
      <c r="DB2355" s="0" t="str">
        <f aca="false">IF($A2355="","",IF($AH2355=20,IF(AND(OR($A2355=21,$A2355=215),$AJ2355=10),"①病院一般",IF(AND($A2355=31,$AJ2355=41),"②病院短期","対象外")),IF($AJ2355=30,"③特定消防",IF(AND(OR($A2355=21,$A2355=215),$AJ2355=10),"④一般",IF(AND($A2355=31,$AJ2355=41),"⑤短期","対象外")))))</f>
        <v/>
      </c>
      <c r="DC2355" s="0" t="str">
        <f aca="false">IF($A2355="","",IF($AB2355&amp;""=設定!$C$4,1,0))</f>
        <v/>
      </c>
    </row>
    <row r="2356" customFormat="false" ht="15" hidden="false" customHeight="false" outlineLevel="0" collapsed="false">
      <c r="DB2356" s="0" t="str">
        <f aca="false">IF($A2356="","",IF($AH2356=20,IF(AND(OR($A2356=21,$A2356=215),$AJ2356=10),"①病院一般",IF(AND($A2356=31,$AJ2356=41),"②病院短期","対象外")),IF($AJ2356=30,"③特定消防",IF(AND(OR($A2356=21,$A2356=215),$AJ2356=10),"④一般",IF(AND($A2356=31,$AJ2356=41),"⑤短期","対象外")))))</f>
        <v/>
      </c>
      <c r="DC2356" s="0" t="str">
        <f aca="false">IF($A2356="","",IF($AB2356&amp;""=設定!$C$4,1,0))</f>
        <v/>
      </c>
    </row>
    <row r="2357" customFormat="false" ht="15" hidden="false" customHeight="false" outlineLevel="0" collapsed="false">
      <c r="DB2357" s="0" t="str">
        <f aca="false">IF($A2357="","",IF($AH2357=20,IF(AND(OR($A2357=21,$A2357=215),$AJ2357=10),"①病院一般",IF(AND($A2357=31,$AJ2357=41),"②病院短期","対象外")),IF($AJ2357=30,"③特定消防",IF(AND(OR($A2357=21,$A2357=215),$AJ2357=10),"④一般",IF(AND($A2357=31,$AJ2357=41),"⑤短期","対象外")))))</f>
        <v/>
      </c>
      <c r="DC2357" s="0" t="str">
        <f aca="false">IF($A2357="","",IF($AB2357&amp;""=設定!$C$4,1,0))</f>
        <v/>
      </c>
    </row>
    <row r="2358" customFormat="false" ht="15" hidden="false" customHeight="false" outlineLevel="0" collapsed="false">
      <c r="DB2358" s="0" t="str">
        <f aca="false">IF($A2358="","",IF($AH2358=20,IF(AND(OR($A2358=21,$A2358=215),$AJ2358=10),"①病院一般",IF(AND($A2358=31,$AJ2358=41),"②病院短期","対象外")),IF($AJ2358=30,"③特定消防",IF(AND(OR($A2358=21,$A2358=215),$AJ2358=10),"④一般",IF(AND($A2358=31,$AJ2358=41),"⑤短期","対象外")))))</f>
        <v/>
      </c>
      <c r="DC2358" s="0" t="str">
        <f aca="false">IF($A2358="","",IF($AB2358&amp;""=設定!$C$4,1,0))</f>
        <v/>
      </c>
    </row>
    <row r="2359" customFormat="false" ht="15" hidden="false" customHeight="false" outlineLevel="0" collapsed="false">
      <c r="DB2359" s="0" t="str">
        <f aca="false">IF($A2359="","",IF($AH2359=20,IF(AND(OR($A2359=21,$A2359=215),$AJ2359=10),"①病院一般",IF(AND($A2359=31,$AJ2359=41),"②病院短期","対象外")),IF($AJ2359=30,"③特定消防",IF(AND(OR($A2359=21,$A2359=215),$AJ2359=10),"④一般",IF(AND($A2359=31,$AJ2359=41),"⑤短期","対象外")))))</f>
        <v/>
      </c>
      <c r="DC2359" s="0" t="str">
        <f aca="false">IF($A2359="","",IF($AB2359&amp;""=設定!$C$4,1,0))</f>
        <v/>
      </c>
    </row>
    <row r="2360" customFormat="false" ht="15" hidden="false" customHeight="false" outlineLevel="0" collapsed="false">
      <c r="DB2360" s="0" t="str">
        <f aca="false">IF($A2360="","",IF($AH2360=20,IF(AND(OR($A2360=21,$A2360=215),$AJ2360=10),"①病院一般",IF(AND($A2360=31,$AJ2360=41),"②病院短期","対象外")),IF($AJ2360=30,"③特定消防",IF(AND(OR($A2360=21,$A2360=215),$AJ2360=10),"④一般",IF(AND($A2360=31,$AJ2360=41),"⑤短期","対象外")))))</f>
        <v/>
      </c>
      <c r="DC2360" s="0" t="str">
        <f aca="false">IF($A2360="","",IF($AB2360&amp;""=設定!$C$4,1,0))</f>
        <v/>
      </c>
    </row>
    <row r="2361" customFormat="false" ht="15" hidden="false" customHeight="false" outlineLevel="0" collapsed="false">
      <c r="DB2361" s="0" t="str">
        <f aca="false">IF($A2361="","",IF($AH2361=20,IF(AND(OR($A2361=21,$A2361=215),$AJ2361=10),"①病院一般",IF(AND($A2361=31,$AJ2361=41),"②病院短期","対象外")),IF($AJ2361=30,"③特定消防",IF(AND(OR($A2361=21,$A2361=215),$AJ2361=10),"④一般",IF(AND($A2361=31,$AJ2361=41),"⑤短期","対象外")))))</f>
        <v/>
      </c>
      <c r="DC2361" s="0" t="str">
        <f aca="false">IF($A2361="","",IF($AB2361&amp;""=設定!$C$4,1,0))</f>
        <v/>
      </c>
    </row>
    <row r="2362" customFormat="false" ht="15" hidden="false" customHeight="false" outlineLevel="0" collapsed="false">
      <c r="DB2362" s="0" t="str">
        <f aca="false">IF($A2362="","",IF($AH2362=20,IF(AND(OR($A2362=21,$A2362=215),$AJ2362=10),"①病院一般",IF(AND($A2362=31,$AJ2362=41),"②病院短期","対象外")),IF($AJ2362=30,"③特定消防",IF(AND(OR($A2362=21,$A2362=215),$AJ2362=10),"④一般",IF(AND($A2362=31,$AJ2362=41),"⑤短期","対象外")))))</f>
        <v/>
      </c>
      <c r="DC2362" s="0" t="str">
        <f aca="false">IF($A2362="","",IF($AB2362&amp;""=設定!$C$4,1,0))</f>
        <v/>
      </c>
    </row>
    <row r="2363" customFormat="false" ht="15" hidden="false" customHeight="false" outlineLevel="0" collapsed="false">
      <c r="DB2363" s="0" t="str">
        <f aca="false">IF($A2363="","",IF($AH2363=20,IF(AND(OR($A2363=21,$A2363=215),$AJ2363=10),"①病院一般",IF(AND($A2363=31,$AJ2363=41),"②病院短期","対象外")),IF($AJ2363=30,"③特定消防",IF(AND(OR($A2363=21,$A2363=215),$AJ2363=10),"④一般",IF(AND($A2363=31,$AJ2363=41),"⑤短期","対象外")))))</f>
        <v/>
      </c>
      <c r="DC2363" s="0" t="str">
        <f aca="false">IF($A2363="","",IF($AB2363&amp;""=設定!$C$4,1,0))</f>
        <v/>
      </c>
    </row>
    <row r="2364" customFormat="false" ht="15" hidden="false" customHeight="false" outlineLevel="0" collapsed="false">
      <c r="DB2364" s="0" t="str">
        <f aca="false">IF($A2364="","",IF($AH2364=20,IF(AND(OR($A2364=21,$A2364=215),$AJ2364=10),"①病院一般",IF(AND($A2364=31,$AJ2364=41),"②病院短期","対象外")),IF($AJ2364=30,"③特定消防",IF(AND(OR($A2364=21,$A2364=215),$AJ2364=10),"④一般",IF(AND($A2364=31,$AJ2364=41),"⑤短期","対象外")))))</f>
        <v/>
      </c>
      <c r="DC2364" s="0" t="str">
        <f aca="false">IF($A2364="","",IF($AB2364&amp;""=設定!$C$4,1,0))</f>
        <v/>
      </c>
    </row>
    <row r="2365" customFormat="false" ht="15" hidden="false" customHeight="false" outlineLevel="0" collapsed="false">
      <c r="DB2365" s="0" t="str">
        <f aca="false">IF($A2365="","",IF($AH2365=20,IF(AND(OR($A2365=21,$A2365=215),$AJ2365=10),"①病院一般",IF(AND($A2365=31,$AJ2365=41),"②病院短期","対象外")),IF($AJ2365=30,"③特定消防",IF(AND(OR($A2365=21,$A2365=215),$AJ2365=10),"④一般",IF(AND($A2365=31,$AJ2365=41),"⑤短期","対象外")))))</f>
        <v/>
      </c>
      <c r="DC2365" s="0" t="str">
        <f aca="false">IF($A2365="","",IF($AB2365&amp;""=設定!$C$4,1,0))</f>
        <v/>
      </c>
    </row>
    <row r="2366" customFormat="false" ht="15" hidden="false" customHeight="false" outlineLevel="0" collapsed="false">
      <c r="DB2366" s="0" t="str">
        <f aca="false">IF($A2366="","",IF($AH2366=20,IF(AND(OR($A2366=21,$A2366=215),$AJ2366=10),"①病院一般",IF(AND($A2366=31,$AJ2366=41),"②病院短期","対象外")),IF($AJ2366=30,"③特定消防",IF(AND(OR($A2366=21,$A2366=215),$AJ2366=10),"④一般",IF(AND($A2366=31,$AJ2366=41),"⑤短期","対象外")))))</f>
        <v/>
      </c>
      <c r="DC2366" s="0" t="str">
        <f aca="false">IF($A2366="","",IF($AB2366&amp;""=設定!$C$4,1,0))</f>
        <v/>
      </c>
    </row>
    <row r="2367" customFormat="false" ht="15" hidden="false" customHeight="false" outlineLevel="0" collapsed="false">
      <c r="DB2367" s="0" t="str">
        <f aca="false">IF($A2367="","",IF($AH2367=20,IF(AND(OR($A2367=21,$A2367=215),$AJ2367=10),"①病院一般",IF(AND($A2367=31,$AJ2367=41),"②病院短期","対象外")),IF($AJ2367=30,"③特定消防",IF(AND(OR($A2367=21,$A2367=215),$AJ2367=10),"④一般",IF(AND($A2367=31,$AJ2367=41),"⑤短期","対象外")))))</f>
        <v/>
      </c>
      <c r="DC2367" s="0" t="str">
        <f aca="false">IF($A2367="","",IF($AB2367&amp;""=設定!$C$4,1,0))</f>
        <v/>
      </c>
    </row>
    <row r="2368" customFormat="false" ht="15" hidden="false" customHeight="false" outlineLevel="0" collapsed="false">
      <c r="DB2368" s="0" t="str">
        <f aca="false">IF($A2368="","",IF($AH2368=20,IF(AND(OR($A2368=21,$A2368=215),$AJ2368=10),"①病院一般",IF(AND($A2368=31,$AJ2368=41),"②病院短期","対象外")),IF($AJ2368=30,"③特定消防",IF(AND(OR($A2368=21,$A2368=215),$AJ2368=10),"④一般",IF(AND($A2368=31,$AJ2368=41),"⑤短期","対象外")))))</f>
        <v/>
      </c>
      <c r="DC2368" s="0" t="str">
        <f aca="false">IF($A2368="","",IF($AB2368&amp;""=設定!$C$4,1,0))</f>
        <v/>
      </c>
    </row>
    <row r="2369" customFormat="false" ht="15" hidden="false" customHeight="false" outlineLevel="0" collapsed="false">
      <c r="DB2369" s="0" t="str">
        <f aca="false">IF($A2369="","",IF($AH2369=20,IF(AND(OR($A2369=21,$A2369=215),$AJ2369=10),"①病院一般",IF(AND($A2369=31,$AJ2369=41),"②病院短期","対象外")),IF($AJ2369=30,"③特定消防",IF(AND(OR($A2369=21,$A2369=215),$AJ2369=10),"④一般",IF(AND($A2369=31,$AJ2369=41),"⑤短期","対象外")))))</f>
        <v/>
      </c>
      <c r="DC2369" s="0" t="str">
        <f aca="false">IF($A2369="","",IF($AB2369&amp;""=設定!$C$4,1,0))</f>
        <v/>
      </c>
    </row>
    <row r="2370" customFormat="false" ht="15" hidden="false" customHeight="false" outlineLevel="0" collapsed="false">
      <c r="DB2370" s="0" t="str">
        <f aca="false">IF($A2370="","",IF($AH2370=20,IF(AND(OR($A2370=21,$A2370=215),$AJ2370=10),"①病院一般",IF(AND($A2370=31,$AJ2370=41),"②病院短期","対象外")),IF($AJ2370=30,"③特定消防",IF(AND(OR($A2370=21,$A2370=215),$AJ2370=10),"④一般",IF(AND($A2370=31,$AJ2370=41),"⑤短期","対象外")))))</f>
        <v/>
      </c>
      <c r="DC2370" s="0" t="str">
        <f aca="false">IF($A2370="","",IF($AB2370&amp;""=設定!$C$4,1,0))</f>
        <v/>
      </c>
    </row>
    <row r="2371" customFormat="false" ht="15" hidden="false" customHeight="false" outlineLevel="0" collapsed="false">
      <c r="DB2371" s="0" t="str">
        <f aca="false">IF($A2371="","",IF($AH2371=20,IF(AND(OR($A2371=21,$A2371=215),$AJ2371=10),"①病院一般",IF(AND($A2371=31,$AJ2371=41),"②病院短期","対象外")),IF($AJ2371=30,"③特定消防",IF(AND(OR($A2371=21,$A2371=215),$AJ2371=10),"④一般",IF(AND($A2371=31,$AJ2371=41),"⑤短期","対象外")))))</f>
        <v/>
      </c>
      <c r="DC2371" s="0" t="str">
        <f aca="false">IF($A2371="","",IF($AB2371&amp;""=設定!$C$4,1,0))</f>
        <v/>
      </c>
    </row>
    <row r="2372" customFormat="false" ht="15" hidden="false" customHeight="false" outlineLevel="0" collapsed="false">
      <c r="DB2372" s="0" t="str">
        <f aca="false">IF($A2372="","",IF($AH2372=20,IF(AND(OR($A2372=21,$A2372=215),$AJ2372=10),"①病院一般",IF(AND($A2372=31,$AJ2372=41),"②病院短期","対象外")),IF($AJ2372=30,"③特定消防",IF(AND(OR($A2372=21,$A2372=215),$AJ2372=10),"④一般",IF(AND($A2372=31,$AJ2372=41),"⑤短期","対象外")))))</f>
        <v/>
      </c>
      <c r="DC2372" s="0" t="str">
        <f aca="false">IF($A2372="","",IF($AB2372&amp;""=設定!$C$4,1,0))</f>
        <v/>
      </c>
    </row>
    <row r="2373" customFormat="false" ht="15" hidden="false" customHeight="false" outlineLevel="0" collapsed="false">
      <c r="DB2373" s="0" t="str">
        <f aca="false">IF($A2373="","",IF($AH2373=20,IF(AND(OR($A2373=21,$A2373=215),$AJ2373=10),"①病院一般",IF(AND($A2373=31,$AJ2373=41),"②病院短期","対象外")),IF($AJ2373=30,"③特定消防",IF(AND(OR($A2373=21,$A2373=215),$AJ2373=10),"④一般",IF(AND($A2373=31,$AJ2373=41),"⑤短期","対象外")))))</f>
        <v/>
      </c>
      <c r="DC2373" s="0" t="str">
        <f aca="false">IF($A2373="","",IF($AB2373&amp;""=設定!$C$4,1,0))</f>
        <v/>
      </c>
    </row>
    <row r="2374" customFormat="false" ht="15" hidden="false" customHeight="false" outlineLevel="0" collapsed="false">
      <c r="DB2374" s="0" t="str">
        <f aca="false">IF($A2374="","",IF($AH2374=20,IF(AND(OR($A2374=21,$A2374=215),$AJ2374=10),"①病院一般",IF(AND($A2374=31,$AJ2374=41),"②病院短期","対象外")),IF($AJ2374=30,"③特定消防",IF(AND(OR($A2374=21,$A2374=215),$AJ2374=10),"④一般",IF(AND($A2374=31,$AJ2374=41),"⑤短期","対象外")))))</f>
        <v/>
      </c>
      <c r="DC2374" s="0" t="str">
        <f aca="false">IF($A2374="","",IF($AB2374&amp;""=設定!$C$4,1,0))</f>
        <v/>
      </c>
    </row>
    <row r="2375" customFormat="false" ht="15" hidden="false" customHeight="false" outlineLevel="0" collapsed="false">
      <c r="DB2375" s="0" t="str">
        <f aca="false">IF($A2375="","",IF($AH2375=20,IF(AND(OR($A2375=21,$A2375=215),$AJ2375=10),"①病院一般",IF(AND($A2375=31,$AJ2375=41),"②病院短期","対象外")),IF($AJ2375=30,"③特定消防",IF(AND(OR($A2375=21,$A2375=215),$AJ2375=10),"④一般",IF(AND($A2375=31,$AJ2375=41),"⑤短期","対象外")))))</f>
        <v/>
      </c>
      <c r="DC2375" s="0" t="str">
        <f aca="false">IF($A2375="","",IF($AB2375&amp;""=設定!$C$4,1,0))</f>
        <v/>
      </c>
    </row>
    <row r="2376" customFormat="false" ht="15" hidden="false" customHeight="false" outlineLevel="0" collapsed="false">
      <c r="DB2376" s="0" t="str">
        <f aca="false">IF($A2376="","",IF($AH2376=20,IF(AND(OR($A2376=21,$A2376=215),$AJ2376=10),"①病院一般",IF(AND($A2376=31,$AJ2376=41),"②病院短期","対象外")),IF($AJ2376=30,"③特定消防",IF(AND(OR($A2376=21,$A2376=215),$AJ2376=10),"④一般",IF(AND($A2376=31,$AJ2376=41),"⑤短期","対象外")))))</f>
        <v/>
      </c>
      <c r="DC2376" s="0" t="str">
        <f aca="false">IF($A2376="","",IF($AB2376&amp;""=設定!$C$4,1,0))</f>
        <v/>
      </c>
    </row>
    <row r="2377" customFormat="false" ht="15" hidden="false" customHeight="false" outlineLevel="0" collapsed="false">
      <c r="DB2377" s="0" t="str">
        <f aca="false">IF($A2377="","",IF($AH2377=20,IF(AND(OR($A2377=21,$A2377=215),$AJ2377=10),"①病院一般",IF(AND($A2377=31,$AJ2377=41),"②病院短期","対象外")),IF($AJ2377=30,"③特定消防",IF(AND(OR($A2377=21,$A2377=215),$AJ2377=10),"④一般",IF(AND($A2377=31,$AJ2377=41),"⑤短期","対象外")))))</f>
        <v/>
      </c>
      <c r="DC2377" s="0" t="str">
        <f aca="false">IF($A2377="","",IF($AB2377&amp;""=設定!$C$4,1,0))</f>
        <v/>
      </c>
    </row>
    <row r="2378" customFormat="false" ht="15" hidden="false" customHeight="false" outlineLevel="0" collapsed="false">
      <c r="DB2378" s="0" t="str">
        <f aca="false">IF($A2378="","",IF($AH2378=20,IF(AND(OR($A2378=21,$A2378=215),$AJ2378=10),"①病院一般",IF(AND($A2378=31,$AJ2378=41),"②病院短期","対象外")),IF($AJ2378=30,"③特定消防",IF(AND(OR($A2378=21,$A2378=215),$AJ2378=10),"④一般",IF(AND($A2378=31,$AJ2378=41),"⑤短期","対象外")))))</f>
        <v/>
      </c>
      <c r="DC2378" s="0" t="str">
        <f aca="false">IF($A2378="","",IF($AB2378&amp;""=設定!$C$4,1,0))</f>
        <v/>
      </c>
    </row>
    <row r="2379" customFormat="false" ht="15" hidden="false" customHeight="false" outlineLevel="0" collapsed="false">
      <c r="DB2379" s="0" t="str">
        <f aca="false">IF($A2379="","",IF($AH2379=20,IF(AND(OR($A2379=21,$A2379=215),$AJ2379=10),"①病院一般",IF(AND($A2379=31,$AJ2379=41),"②病院短期","対象外")),IF($AJ2379=30,"③特定消防",IF(AND(OR($A2379=21,$A2379=215),$AJ2379=10),"④一般",IF(AND($A2379=31,$AJ2379=41),"⑤短期","対象外")))))</f>
        <v/>
      </c>
      <c r="DC2379" s="0" t="str">
        <f aca="false">IF($A2379="","",IF($AB2379&amp;""=設定!$C$4,1,0))</f>
        <v/>
      </c>
    </row>
    <row r="2380" customFormat="false" ht="15" hidden="false" customHeight="false" outlineLevel="0" collapsed="false">
      <c r="DB2380" s="0" t="str">
        <f aca="false">IF($A2380="","",IF($AH2380=20,IF(AND(OR($A2380=21,$A2380=215),$AJ2380=10),"①病院一般",IF(AND($A2380=31,$AJ2380=41),"②病院短期","対象外")),IF($AJ2380=30,"③特定消防",IF(AND(OR($A2380=21,$A2380=215),$AJ2380=10),"④一般",IF(AND($A2380=31,$AJ2380=41),"⑤短期","対象外")))))</f>
        <v/>
      </c>
      <c r="DC2380" s="0" t="str">
        <f aca="false">IF($A2380="","",IF($AB2380&amp;""=設定!$C$4,1,0))</f>
        <v/>
      </c>
    </row>
    <row r="2381" customFormat="false" ht="15" hidden="false" customHeight="false" outlineLevel="0" collapsed="false">
      <c r="DB2381" s="0" t="str">
        <f aca="false">IF($A2381="","",IF($AH2381=20,IF(AND(OR($A2381=21,$A2381=215),$AJ2381=10),"①病院一般",IF(AND($A2381=31,$AJ2381=41),"②病院短期","対象外")),IF($AJ2381=30,"③特定消防",IF(AND(OR($A2381=21,$A2381=215),$AJ2381=10),"④一般",IF(AND($A2381=31,$AJ2381=41),"⑤短期","対象外")))))</f>
        <v/>
      </c>
      <c r="DC2381" s="0" t="str">
        <f aca="false">IF($A2381="","",IF($AB2381&amp;""=設定!$C$4,1,0))</f>
        <v/>
      </c>
    </row>
    <row r="2382" customFormat="false" ht="15" hidden="false" customHeight="false" outlineLevel="0" collapsed="false">
      <c r="DB2382" s="0" t="str">
        <f aca="false">IF($A2382="","",IF($AH2382=20,IF(AND(OR($A2382=21,$A2382=215),$AJ2382=10),"①病院一般",IF(AND($A2382=31,$AJ2382=41),"②病院短期","対象外")),IF($AJ2382=30,"③特定消防",IF(AND(OR($A2382=21,$A2382=215),$AJ2382=10),"④一般",IF(AND($A2382=31,$AJ2382=41),"⑤短期","対象外")))))</f>
        <v/>
      </c>
      <c r="DC2382" s="0" t="str">
        <f aca="false">IF($A2382="","",IF($AB2382&amp;""=設定!$C$4,1,0))</f>
        <v/>
      </c>
    </row>
    <row r="2383" customFormat="false" ht="15" hidden="false" customHeight="false" outlineLevel="0" collapsed="false">
      <c r="DB2383" s="0" t="str">
        <f aca="false">IF($A2383="","",IF($AH2383=20,IF(AND(OR($A2383=21,$A2383=215),$AJ2383=10),"①病院一般",IF(AND($A2383=31,$AJ2383=41),"②病院短期","対象外")),IF($AJ2383=30,"③特定消防",IF(AND(OR($A2383=21,$A2383=215),$AJ2383=10),"④一般",IF(AND($A2383=31,$AJ2383=41),"⑤短期","対象外")))))</f>
        <v/>
      </c>
      <c r="DC2383" s="0" t="str">
        <f aca="false">IF($A2383="","",IF($AB2383&amp;""=設定!$C$4,1,0))</f>
        <v/>
      </c>
    </row>
    <row r="2384" customFormat="false" ht="15" hidden="false" customHeight="false" outlineLevel="0" collapsed="false">
      <c r="DB2384" s="0" t="str">
        <f aca="false">IF($A2384="","",IF($AH2384=20,IF(AND(OR($A2384=21,$A2384=215),$AJ2384=10),"①病院一般",IF(AND($A2384=31,$AJ2384=41),"②病院短期","対象外")),IF($AJ2384=30,"③特定消防",IF(AND(OR($A2384=21,$A2384=215),$AJ2384=10),"④一般",IF(AND($A2384=31,$AJ2384=41),"⑤短期","対象外")))))</f>
        <v/>
      </c>
      <c r="DC2384" s="0" t="str">
        <f aca="false">IF($A2384="","",IF($AB2384&amp;""=設定!$C$4,1,0))</f>
        <v/>
      </c>
    </row>
    <row r="2385" customFormat="false" ht="15" hidden="false" customHeight="false" outlineLevel="0" collapsed="false">
      <c r="DB2385" s="0" t="str">
        <f aca="false">IF($A2385="","",IF($AH2385=20,IF(AND(OR($A2385=21,$A2385=215),$AJ2385=10),"①病院一般",IF(AND($A2385=31,$AJ2385=41),"②病院短期","対象外")),IF($AJ2385=30,"③特定消防",IF(AND(OR($A2385=21,$A2385=215),$AJ2385=10),"④一般",IF(AND($A2385=31,$AJ2385=41),"⑤短期","対象外")))))</f>
        <v/>
      </c>
      <c r="DC2385" s="0" t="str">
        <f aca="false">IF($A2385="","",IF($AB2385&amp;""=設定!$C$4,1,0))</f>
        <v/>
      </c>
    </row>
    <row r="2386" customFormat="false" ht="15" hidden="false" customHeight="false" outlineLevel="0" collapsed="false">
      <c r="DB2386" s="0" t="str">
        <f aca="false">IF($A2386="","",IF($AH2386=20,IF(AND(OR($A2386=21,$A2386=215),$AJ2386=10),"①病院一般",IF(AND($A2386=31,$AJ2386=41),"②病院短期","対象外")),IF($AJ2386=30,"③特定消防",IF(AND(OR($A2386=21,$A2386=215),$AJ2386=10),"④一般",IF(AND($A2386=31,$AJ2386=41),"⑤短期","対象外")))))</f>
        <v/>
      </c>
      <c r="DC2386" s="0" t="str">
        <f aca="false">IF($A2386="","",IF($AB2386&amp;""=設定!$C$4,1,0))</f>
        <v/>
      </c>
    </row>
    <row r="2387" customFormat="false" ht="15" hidden="false" customHeight="false" outlineLevel="0" collapsed="false">
      <c r="DB2387" s="0" t="str">
        <f aca="false">IF($A2387="","",IF($AH2387=20,IF(AND(OR($A2387=21,$A2387=215),$AJ2387=10),"①病院一般",IF(AND($A2387=31,$AJ2387=41),"②病院短期","対象外")),IF($AJ2387=30,"③特定消防",IF(AND(OR($A2387=21,$A2387=215),$AJ2387=10),"④一般",IF(AND($A2387=31,$AJ2387=41),"⑤短期","対象外")))))</f>
        <v/>
      </c>
      <c r="DC2387" s="0" t="str">
        <f aca="false">IF($A2387="","",IF($AB2387&amp;""=設定!$C$4,1,0))</f>
        <v/>
      </c>
    </row>
    <row r="2388" customFormat="false" ht="15" hidden="false" customHeight="false" outlineLevel="0" collapsed="false">
      <c r="DB2388" s="0" t="str">
        <f aca="false">IF($A2388="","",IF($AH2388=20,IF(AND(OR($A2388=21,$A2388=215),$AJ2388=10),"①病院一般",IF(AND($A2388=31,$AJ2388=41),"②病院短期","対象外")),IF($AJ2388=30,"③特定消防",IF(AND(OR($A2388=21,$A2388=215),$AJ2388=10),"④一般",IF(AND($A2388=31,$AJ2388=41),"⑤短期","対象外")))))</f>
        <v/>
      </c>
      <c r="DC2388" s="0" t="str">
        <f aca="false">IF($A2388="","",IF($AB2388&amp;""=設定!$C$4,1,0))</f>
        <v/>
      </c>
    </row>
    <row r="2389" customFormat="false" ht="15" hidden="false" customHeight="false" outlineLevel="0" collapsed="false">
      <c r="DB2389" s="0" t="str">
        <f aca="false">IF($A2389="","",IF($AH2389=20,IF(AND(OR($A2389=21,$A2389=215),$AJ2389=10),"①病院一般",IF(AND($A2389=31,$AJ2389=41),"②病院短期","対象外")),IF($AJ2389=30,"③特定消防",IF(AND(OR($A2389=21,$A2389=215),$AJ2389=10),"④一般",IF(AND($A2389=31,$AJ2389=41),"⑤短期","対象外")))))</f>
        <v/>
      </c>
      <c r="DC2389" s="0" t="str">
        <f aca="false">IF($A2389="","",IF($AB2389&amp;""=設定!$C$4,1,0))</f>
        <v/>
      </c>
    </row>
    <row r="2390" customFormat="false" ht="15" hidden="false" customHeight="false" outlineLevel="0" collapsed="false">
      <c r="DB2390" s="0" t="str">
        <f aca="false">IF($A2390="","",IF($AH2390=20,IF(AND(OR($A2390=21,$A2390=215),$AJ2390=10),"①病院一般",IF(AND($A2390=31,$AJ2390=41),"②病院短期","対象外")),IF($AJ2390=30,"③特定消防",IF(AND(OR($A2390=21,$A2390=215),$AJ2390=10),"④一般",IF(AND($A2390=31,$AJ2390=41),"⑤短期","対象外")))))</f>
        <v/>
      </c>
      <c r="DC2390" s="0" t="str">
        <f aca="false">IF($A2390="","",IF($AB2390&amp;""=設定!$C$4,1,0))</f>
        <v/>
      </c>
    </row>
    <row r="2391" customFormat="false" ht="15" hidden="false" customHeight="false" outlineLevel="0" collapsed="false">
      <c r="DB2391" s="0" t="str">
        <f aca="false">IF($A2391="","",IF($AH2391=20,IF(AND(OR($A2391=21,$A2391=215),$AJ2391=10),"①病院一般",IF(AND($A2391=31,$AJ2391=41),"②病院短期","対象外")),IF($AJ2391=30,"③特定消防",IF(AND(OR($A2391=21,$A2391=215),$AJ2391=10),"④一般",IF(AND($A2391=31,$AJ2391=41),"⑤短期","対象外")))))</f>
        <v/>
      </c>
      <c r="DC2391" s="0" t="str">
        <f aca="false">IF($A2391="","",IF($AB2391&amp;""=設定!$C$4,1,0))</f>
        <v/>
      </c>
    </row>
    <row r="2392" customFormat="false" ht="15" hidden="false" customHeight="false" outlineLevel="0" collapsed="false">
      <c r="DB2392" s="0" t="str">
        <f aca="false">IF($A2392="","",IF($AH2392=20,IF(AND(OR($A2392=21,$A2392=215),$AJ2392=10),"①病院一般",IF(AND($A2392=31,$AJ2392=41),"②病院短期","対象外")),IF($AJ2392=30,"③特定消防",IF(AND(OR($A2392=21,$A2392=215),$AJ2392=10),"④一般",IF(AND($A2392=31,$AJ2392=41),"⑤短期","対象外")))))</f>
        <v/>
      </c>
      <c r="DC2392" s="0" t="str">
        <f aca="false">IF($A2392="","",IF($AB2392&amp;""=設定!$C$4,1,0))</f>
        <v/>
      </c>
    </row>
    <row r="2393" customFormat="false" ht="15" hidden="false" customHeight="false" outlineLevel="0" collapsed="false">
      <c r="DB2393" s="0" t="str">
        <f aca="false">IF($A2393="","",IF($AH2393=20,IF(AND(OR($A2393=21,$A2393=215),$AJ2393=10),"①病院一般",IF(AND($A2393=31,$AJ2393=41),"②病院短期","対象外")),IF($AJ2393=30,"③特定消防",IF(AND(OR($A2393=21,$A2393=215),$AJ2393=10),"④一般",IF(AND($A2393=31,$AJ2393=41),"⑤短期","対象外")))))</f>
        <v/>
      </c>
      <c r="DC2393" s="0" t="str">
        <f aca="false">IF($A2393="","",IF($AB2393&amp;""=設定!$C$4,1,0))</f>
        <v/>
      </c>
    </row>
    <row r="2394" customFormat="false" ht="15" hidden="false" customHeight="false" outlineLevel="0" collapsed="false">
      <c r="DB2394" s="0" t="str">
        <f aca="false">IF($A2394="","",IF($AH2394=20,IF(AND(OR($A2394=21,$A2394=215),$AJ2394=10),"①病院一般",IF(AND($A2394=31,$AJ2394=41),"②病院短期","対象外")),IF($AJ2394=30,"③特定消防",IF(AND(OR($A2394=21,$A2394=215),$AJ2394=10),"④一般",IF(AND($A2394=31,$AJ2394=41),"⑤短期","対象外")))))</f>
        <v/>
      </c>
      <c r="DC2394" s="0" t="str">
        <f aca="false">IF($A2394="","",IF($AB2394&amp;""=設定!$C$4,1,0))</f>
        <v/>
      </c>
    </row>
    <row r="2395" customFormat="false" ht="15" hidden="false" customHeight="false" outlineLevel="0" collapsed="false">
      <c r="DB2395" s="0" t="str">
        <f aca="false">IF($A2395="","",IF($AH2395=20,IF(AND(OR($A2395=21,$A2395=215),$AJ2395=10),"①病院一般",IF(AND($A2395=31,$AJ2395=41),"②病院短期","対象外")),IF($AJ2395=30,"③特定消防",IF(AND(OR($A2395=21,$A2395=215),$AJ2395=10),"④一般",IF(AND($A2395=31,$AJ2395=41),"⑤短期","対象外")))))</f>
        <v/>
      </c>
      <c r="DC2395" s="0" t="str">
        <f aca="false">IF($A2395="","",IF($AB2395&amp;""=設定!$C$4,1,0))</f>
        <v/>
      </c>
    </row>
    <row r="2396" customFormat="false" ht="15" hidden="false" customHeight="false" outlineLevel="0" collapsed="false">
      <c r="DB2396" s="0" t="str">
        <f aca="false">IF($A2396="","",IF($AH2396=20,IF(AND(OR($A2396=21,$A2396=215),$AJ2396=10),"①病院一般",IF(AND($A2396=31,$AJ2396=41),"②病院短期","対象外")),IF($AJ2396=30,"③特定消防",IF(AND(OR($A2396=21,$A2396=215),$AJ2396=10),"④一般",IF(AND($A2396=31,$AJ2396=41),"⑤短期","対象外")))))</f>
        <v/>
      </c>
      <c r="DC2396" s="0" t="str">
        <f aca="false">IF($A2396="","",IF($AB2396&amp;""=設定!$C$4,1,0))</f>
        <v/>
      </c>
    </row>
    <row r="2397" customFormat="false" ht="15" hidden="false" customHeight="false" outlineLevel="0" collapsed="false">
      <c r="DB2397" s="0" t="str">
        <f aca="false">IF($A2397="","",IF($AH2397=20,IF(AND(OR($A2397=21,$A2397=215),$AJ2397=10),"①病院一般",IF(AND($A2397=31,$AJ2397=41),"②病院短期","対象外")),IF($AJ2397=30,"③特定消防",IF(AND(OR($A2397=21,$A2397=215),$AJ2397=10),"④一般",IF(AND($A2397=31,$AJ2397=41),"⑤短期","対象外")))))</f>
        <v/>
      </c>
      <c r="DC2397" s="0" t="str">
        <f aca="false">IF($A2397="","",IF($AB2397&amp;""=設定!$C$4,1,0))</f>
        <v/>
      </c>
    </row>
    <row r="2398" customFormat="false" ht="15" hidden="false" customHeight="false" outlineLevel="0" collapsed="false">
      <c r="DB2398" s="0" t="str">
        <f aca="false">IF($A2398="","",IF($AH2398=20,IF(AND(OR($A2398=21,$A2398=215),$AJ2398=10),"①病院一般",IF(AND($A2398=31,$AJ2398=41),"②病院短期","対象外")),IF($AJ2398=30,"③特定消防",IF(AND(OR($A2398=21,$A2398=215),$AJ2398=10),"④一般",IF(AND($A2398=31,$AJ2398=41),"⑤短期","対象外")))))</f>
        <v/>
      </c>
      <c r="DC2398" s="0" t="str">
        <f aca="false">IF($A2398="","",IF($AB2398&amp;""=設定!$C$4,1,0))</f>
        <v/>
      </c>
    </row>
    <row r="2399" customFormat="false" ht="15" hidden="false" customHeight="false" outlineLevel="0" collapsed="false">
      <c r="DB2399" s="0" t="str">
        <f aca="false">IF($A2399="","",IF($AH2399=20,IF(AND(OR($A2399=21,$A2399=215),$AJ2399=10),"①病院一般",IF(AND($A2399=31,$AJ2399=41),"②病院短期","対象外")),IF($AJ2399=30,"③特定消防",IF(AND(OR($A2399=21,$A2399=215),$AJ2399=10),"④一般",IF(AND($A2399=31,$AJ2399=41),"⑤短期","対象外")))))</f>
        <v/>
      </c>
      <c r="DC2399" s="0" t="str">
        <f aca="false">IF($A2399="","",IF($AB2399&amp;""=設定!$C$4,1,0))</f>
        <v/>
      </c>
    </row>
    <row r="2400" customFormat="false" ht="15" hidden="false" customHeight="false" outlineLevel="0" collapsed="false">
      <c r="DB2400" s="0" t="str">
        <f aca="false">IF($A2400="","",IF($AH2400=20,IF(AND(OR($A2400=21,$A2400=215),$AJ2400=10),"①病院一般",IF(AND($A2400=31,$AJ2400=41),"②病院短期","対象外")),IF($AJ2400=30,"③特定消防",IF(AND(OR($A2400=21,$A2400=215),$AJ2400=10),"④一般",IF(AND($A2400=31,$AJ2400=41),"⑤短期","対象外")))))</f>
        <v/>
      </c>
      <c r="DC2400" s="0" t="str">
        <f aca="false">IF($A2400="","",IF($AB2400&amp;""=設定!$C$4,1,0))</f>
        <v/>
      </c>
    </row>
    <row r="2401" customFormat="false" ht="15" hidden="false" customHeight="false" outlineLevel="0" collapsed="false">
      <c r="DB2401" s="0" t="str">
        <f aca="false">IF($A2401="","",IF($AH2401=20,IF(AND(OR($A2401=21,$A2401=215),$AJ2401=10),"①病院一般",IF(AND($A2401=31,$AJ2401=41),"②病院短期","対象外")),IF($AJ2401=30,"③特定消防",IF(AND(OR($A2401=21,$A2401=215),$AJ2401=10),"④一般",IF(AND($A2401=31,$AJ2401=41),"⑤短期","対象外")))))</f>
        <v/>
      </c>
      <c r="DC2401" s="0" t="str">
        <f aca="false">IF($A2401="","",IF($AB2401&amp;""=設定!$C$4,1,0))</f>
        <v/>
      </c>
    </row>
    <row r="2402" customFormat="false" ht="15" hidden="false" customHeight="false" outlineLevel="0" collapsed="false">
      <c r="DB2402" s="0" t="str">
        <f aca="false">IF($A2402="","",IF($AH2402=20,IF(AND(OR($A2402=21,$A2402=215),$AJ2402=10),"①病院一般",IF(AND($A2402=31,$AJ2402=41),"②病院短期","対象外")),IF($AJ2402=30,"③特定消防",IF(AND(OR($A2402=21,$A2402=215),$AJ2402=10),"④一般",IF(AND($A2402=31,$AJ2402=41),"⑤短期","対象外")))))</f>
        <v/>
      </c>
      <c r="DC2402" s="0" t="str">
        <f aca="false">IF($A2402="","",IF($AB2402&amp;""=設定!$C$4,1,0))</f>
        <v/>
      </c>
    </row>
    <row r="2403" customFormat="false" ht="15" hidden="false" customHeight="false" outlineLevel="0" collapsed="false">
      <c r="DB2403" s="0" t="str">
        <f aca="false">IF($A2403="","",IF($AH2403=20,IF(AND(OR($A2403=21,$A2403=215),$AJ2403=10),"①病院一般",IF(AND($A2403=31,$AJ2403=41),"②病院短期","対象外")),IF($AJ2403=30,"③特定消防",IF(AND(OR($A2403=21,$A2403=215),$AJ2403=10),"④一般",IF(AND($A2403=31,$AJ2403=41),"⑤短期","対象外")))))</f>
        <v/>
      </c>
      <c r="DC2403" s="0" t="str">
        <f aca="false">IF($A2403="","",IF($AB2403&amp;""=設定!$C$4,1,0))</f>
        <v/>
      </c>
    </row>
    <row r="2404" customFormat="false" ht="15" hidden="false" customHeight="false" outlineLevel="0" collapsed="false">
      <c r="DB2404" s="0" t="str">
        <f aca="false">IF($A2404="","",IF($AH2404=20,IF(AND(OR($A2404=21,$A2404=215),$AJ2404=10),"①病院一般",IF(AND($A2404=31,$AJ2404=41),"②病院短期","対象外")),IF($AJ2404=30,"③特定消防",IF(AND(OR($A2404=21,$A2404=215),$AJ2404=10),"④一般",IF(AND($A2404=31,$AJ2404=41),"⑤短期","対象外")))))</f>
        <v/>
      </c>
      <c r="DC2404" s="0" t="str">
        <f aca="false">IF($A2404="","",IF($AB2404&amp;""=設定!$C$4,1,0))</f>
        <v/>
      </c>
    </row>
    <row r="2405" customFormat="false" ht="15" hidden="false" customHeight="false" outlineLevel="0" collapsed="false">
      <c r="DB2405" s="0" t="str">
        <f aca="false">IF($A2405="","",IF($AH2405=20,IF(AND(OR($A2405=21,$A2405=215),$AJ2405=10),"①病院一般",IF(AND($A2405=31,$AJ2405=41),"②病院短期","対象外")),IF($AJ2405=30,"③特定消防",IF(AND(OR($A2405=21,$A2405=215),$AJ2405=10),"④一般",IF(AND($A2405=31,$AJ2405=41),"⑤短期","対象外")))))</f>
        <v/>
      </c>
      <c r="DC2405" s="0" t="str">
        <f aca="false">IF($A2405="","",IF($AB2405&amp;""=設定!$C$4,1,0))</f>
        <v/>
      </c>
    </row>
    <row r="2406" customFormat="false" ht="15" hidden="false" customHeight="false" outlineLevel="0" collapsed="false">
      <c r="DB2406" s="0" t="str">
        <f aca="false">IF($A2406="","",IF($AH2406=20,IF(AND(OR($A2406=21,$A2406=215),$AJ2406=10),"①病院一般",IF(AND($A2406=31,$AJ2406=41),"②病院短期","対象外")),IF($AJ2406=30,"③特定消防",IF(AND(OR($A2406=21,$A2406=215),$AJ2406=10),"④一般",IF(AND($A2406=31,$AJ2406=41),"⑤短期","対象外")))))</f>
        <v/>
      </c>
      <c r="DC2406" s="0" t="str">
        <f aca="false">IF($A2406="","",IF($AB2406&amp;""=設定!$C$4,1,0))</f>
        <v/>
      </c>
    </row>
    <row r="2407" customFormat="false" ht="15" hidden="false" customHeight="false" outlineLevel="0" collapsed="false">
      <c r="DB2407" s="0" t="str">
        <f aca="false">IF($A2407="","",IF($AH2407=20,IF(AND(OR($A2407=21,$A2407=215),$AJ2407=10),"①病院一般",IF(AND($A2407=31,$AJ2407=41),"②病院短期","対象外")),IF($AJ2407=30,"③特定消防",IF(AND(OR($A2407=21,$A2407=215),$AJ2407=10),"④一般",IF(AND($A2407=31,$AJ2407=41),"⑤短期","対象外")))))</f>
        <v/>
      </c>
      <c r="DC2407" s="0" t="str">
        <f aca="false">IF($A2407="","",IF($AB2407&amp;""=設定!$C$4,1,0))</f>
        <v/>
      </c>
    </row>
    <row r="2408" customFormat="false" ht="15" hidden="false" customHeight="false" outlineLevel="0" collapsed="false">
      <c r="DB2408" s="0" t="str">
        <f aca="false">IF($A2408="","",IF($AH2408=20,IF(AND(OR($A2408=21,$A2408=215),$AJ2408=10),"①病院一般",IF(AND($A2408=31,$AJ2408=41),"②病院短期","対象外")),IF($AJ2408=30,"③特定消防",IF(AND(OR($A2408=21,$A2408=215),$AJ2408=10),"④一般",IF(AND($A2408=31,$AJ2408=41),"⑤短期","対象外")))))</f>
        <v/>
      </c>
      <c r="DC2408" s="0" t="str">
        <f aca="false">IF($A2408="","",IF($AB2408&amp;""=設定!$C$4,1,0))</f>
        <v/>
      </c>
    </row>
    <row r="2409" customFormat="false" ht="15" hidden="false" customHeight="false" outlineLevel="0" collapsed="false">
      <c r="DB2409" s="0" t="str">
        <f aca="false">IF($A2409="","",IF($AH2409=20,IF(AND(OR($A2409=21,$A2409=215),$AJ2409=10),"①病院一般",IF(AND($A2409=31,$AJ2409=41),"②病院短期","対象外")),IF($AJ2409=30,"③特定消防",IF(AND(OR($A2409=21,$A2409=215),$AJ2409=10),"④一般",IF(AND($A2409=31,$AJ2409=41),"⑤短期","対象外")))))</f>
        <v/>
      </c>
      <c r="DC2409" s="0" t="str">
        <f aca="false">IF($A2409="","",IF($AB2409&amp;""=設定!$C$4,1,0))</f>
        <v/>
      </c>
    </row>
    <row r="2410" customFormat="false" ht="15" hidden="false" customHeight="false" outlineLevel="0" collapsed="false">
      <c r="DB2410" s="0" t="str">
        <f aca="false">IF($A2410="","",IF($AH2410=20,IF(AND(OR($A2410=21,$A2410=215),$AJ2410=10),"①病院一般",IF(AND($A2410=31,$AJ2410=41),"②病院短期","対象外")),IF($AJ2410=30,"③特定消防",IF(AND(OR($A2410=21,$A2410=215),$AJ2410=10),"④一般",IF(AND($A2410=31,$AJ2410=41),"⑤短期","対象外")))))</f>
        <v/>
      </c>
      <c r="DC2410" s="0" t="str">
        <f aca="false">IF($A2410="","",IF($AB2410&amp;""=設定!$C$4,1,0))</f>
        <v/>
      </c>
    </row>
    <row r="2411" customFormat="false" ht="15" hidden="false" customHeight="false" outlineLevel="0" collapsed="false">
      <c r="DB2411" s="0" t="str">
        <f aca="false">IF($A2411="","",IF($AH2411=20,IF(AND(OR($A2411=21,$A2411=215),$AJ2411=10),"①病院一般",IF(AND($A2411=31,$AJ2411=41),"②病院短期","対象外")),IF($AJ2411=30,"③特定消防",IF(AND(OR($A2411=21,$A2411=215),$AJ2411=10),"④一般",IF(AND($A2411=31,$AJ2411=41),"⑤短期","対象外")))))</f>
        <v/>
      </c>
      <c r="DC2411" s="0" t="str">
        <f aca="false">IF($A2411="","",IF($AB2411&amp;""=設定!$C$4,1,0))</f>
        <v/>
      </c>
    </row>
    <row r="2412" customFormat="false" ht="15" hidden="false" customHeight="false" outlineLevel="0" collapsed="false">
      <c r="DB2412" s="0" t="str">
        <f aca="false">IF($A2412="","",IF($AH2412=20,IF(AND(OR($A2412=21,$A2412=215),$AJ2412=10),"①病院一般",IF(AND($A2412=31,$AJ2412=41),"②病院短期","対象外")),IF($AJ2412=30,"③特定消防",IF(AND(OR($A2412=21,$A2412=215),$AJ2412=10),"④一般",IF(AND($A2412=31,$AJ2412=41),"⑤短期","対象外")))))</f>
        <v/>
      </c>
      <c r="DC2412" s="0" t="str">
        <f aca="false">IF($A2412="","",IF($AB2412&amp;""=設定!$C$4,1,0))</f>
        <v/>
      </c>
    </row>
    <row r="2413" customFormat="false" ht="15" hidden="false" customHeight="false" outlineLevel="0" collapsed="false">
      <c r="DB2413" s="0" t="str">
        <f aca="false">IF($A2413="","",IF($AH2413=20,IF(AND(OR($A2413=21,$A2413=215),$AJ2413=10),"①病院一般",IF(AND($A2413=31,$AJ2413=41),"②病院短期","対象外")),IF($AJ2413=30,"③特定消防",IF(AND(OR($A2413=21,$A2413=215),$AJ2413=10),"④一般",IF(AND($A2413=31,$AJ2413=41),"⑤短期","対象外")))))</f>
        <v/>
      </c>
      <c r="DC2413" s="0" t="str">
        <f aca="false">IF($A2413="","",IF($AB2413&amp;""=設定!$C$4,1,0))</f>
        <v/>
      </c>
    </row>
    <row r="2414" customFormat="false" ht="15" hidden="false" customHeight="false" outlineLevel="0" collapsed="false">
      <c r="DB2414" s="0" t="str">
        <f aca="false">IF($A2414="","",IF($AH2414=20,IF(AND(OR($A2414=21,$A2414=215),$AJ2414=10),"①病院一般",IF(AND($A2414=31,$AJ2414=41),"②病院短期","対象外")),IF($AJ2414=30,"③特定消防",IF(AND(OR($A2414=21,$A2414=215),$AJ2414=10),"④一般",IF(AND($A2414=31,$AJ2414=41),"⑤短期","対象外")))))</f>
        <v/>
      </c>
      <c r="DC2414" s="0" t="str">
        <f aca="false">IF($A2414="","",IF($AB2414&amp;""=設定!$C$4,1,0))</f>
        <v/>
      </c>
    </row>
    <row r="2415" customFormat="false" ht="15" hidden="false" customHeight="false" outlineLevel="0" collapsed="false">
      <c r="DB2415" s="0" t="str">
        <f aca="false">IF($A2415="","",IF($AH2415=20,IF(AND(OR($A2415=21,$A2415=215),$AJ2415=10),"①病院一般",IF(AND($A2415=31,$AJ2415=41),"②病院短期","対象外")),IF($AJ2415=30,"③特定消防",IF(AND(OR($A2415=21,$A2415=215),$AJ2415=10),"④一般",IF(AND($A2415=31,$AJ2415=41),"⑤短期","対象外")))))</f>
        <v/>
      </c>
      <c r="DC2415" s="0" t="str">
        <f aca="false">IF($A2415="","",IF($AB2415&amp;""=設定!$C$4,1,0))</f>
        <v/>
      </c>
    </row>
    <row r="2416" customFormat="false" ht="15" hidden="false" customHeight="false" outlineLevel="0" collapsed="false">
      <c r="DB2416" s="0" t="str">
        <f aca="false">IF($A2416="","",IF($AH2416=20,IF(AND(OR($A2416=21,$A2416=215),$AJ2416=10),"①病院一般",IF(AND($A2416=31,$AJ2416=41),"②病院短期","対象外")),IF($AJ2416=30,"③特定消防",IF(AND(OR($A2416=21,$A2416=215),$AJ2416=10),"④一般",IF(AND($A2416=31,$AJ2416=41),"⑤短期","対象外")))))</f>
        <v/>
      </c>
      <c r="DC2416" s="0" t="str">
        <f aca="false">IF($A2416="","",IF($AB2416&amp;""=設定!$C$4,1,0))</f>
        <v/>
      </c>
    </row>
    <row r="2417" customFormat="false" ht="15" hidden="false" customHeight="false" outlineLevel="0" collapsed="false">
      <c r="DB2417" s="0" t="str">
        <f aca="false">IF($A2417="","",IF($AH2417=20,IF(AND(OR($A2417=21,$A2417=215),$AJ2417=10),"①病院一般",IF(AND($A2417=31,$AJ2417=41),"②病院短期","対象外")),IF($AJ2417=30,"③特定消防",IF(AND(OR($A2417=21,$A2417=215),$AJ2417=10),"④一般",IF(AND($A2417=31,$AJ2417=41),"⑤短期","対象外")))))</f>
        <v/>
      </c>
      <c r="DC2417" s="0" t="str">
        <f aca="false">IF($A2417="","",IF($AB2417&amp;""=設定!$C$4,1,0))</f>
        <v/>
      </c>
    </row>
    <row r="2418" customFormat="false" ht="15" hidden="false" customHeight="false" outlineLevel="0" collapsed="false">
      <c r="DB2418" s="0" t="str">
        <f aca="false">IF($A2418="","",IF($AH2418=20,IF(AND(OR($A2418=21,$A2418=215),$AJ2418=10),"①病院一般",IF(AND($A2418=31,$AJ2418=41),"②病院短期","対象外")),IF($AJ2418=30,"③特定消防",IF(AND(OR($A2418=21,$A2418=215),$AJ2418=10),"④一般",IF(AND($A2418=31,$AJ2418=41),"⑤短期","対象外")))))</f>
        <v/>
      </c>
      <c r="DC2418" s="0" t="str">
        <f aca="false">IF($A2418="","",IF($AB2418&amp;""=設定!$C$4,1,0))</f>
        <v/>
      </c>
    </row>
    <row r="2419" customFormat="false" ht="15" hidden="false" customHeight="false" outlineLevel="0" collapsed="false">
      <c r="DB2419" s="0" t="str">
        <f aca="false">IF($A2419="","",IF($AH2419=20,IF(AND(OR($A2419=21,$A2419=215),$AJ2419=10),"①病院一般",IF(AND($A2419=31,$AJ2419=41),"②病院短期","対象外")),IF($AJ2419=30,"③特定消防",IF(AND(OR($A2419=21,$A2419=215),$AJ2419=10),"④一般",IF(AND($A2419=31,$AJ2419=41),"⑤短期","対象外")))))</f>
        <v/>
      </c>
      <c r="DC2419" s="0" t="str">
        <f aca="false">IF($A2419="","",IF($AB2419&amp;""=設定!$C$4,1,0))</f>
        <v/>
      </c>
    </row>
    <row r="2420" customFormat="false" ht="15" hidden="false" customHeight="false" outlineLevel="0" collapsed="false">
      <c r="DB2420" s="0" t="str">
        <f aca="false">IF($A2420="","",IF($AH2420=20,IF(AND(OR($A2420=21,$A2420=215),$AJ2420=10),"①病院一般",IF(AND($A2420=31,$AJ2420=41),"②病院短期","対象外")),IF($AJ2420=30,"③特定消防",IF(AND(OR($A2420=21,$A2420=215),$AJ2420=10),"④一般",IF(AND($A2420=31,$AJ2420=41),"⑤短期","対象外")))))</f>
        <v/>
      </c>
      <c r="DC2420" s="0" t="str">
        <f aca="false">IF($A2420="","",IF($AB2420&amp;""=設定!$C$4,1,0))</f>
        <v/>
      </c>
    </row>
    <row r="2421" customFormat="false" ht="15" hidden="false" customHeight="false" outlineLevel="0" collapsed="false">
      <c r="DB2421" s="0" t="str">
        <f aca="false">IF($A2421="","",IF($AH2421=20,IF(AND(OR($A2421=21,$A2421=215),$AJ2421=10),"①病院一般",IF(AND($A2421=31,$AJ2421=41),"②病院短期","対象外")),IF($AJ2421=30,"③特定消防",IF(AND(OR($A2421=21,$A2421=215),$AJ2421=10),"④一般",IF(AND($A2421=31,$AJ2421=41),"⑤短期","対象外")))))</f>
        <v/>
      </c>
      <c r="DC2421" s="0" t="str">
        <f aca="false">IF($A2421="","",IF($AB2421&amp;""=設定!$C$4,1,0))</f>
        <v/>
      </c>
    </row>
    <row r="2422" customFormat="false" ht="15" hidden="false" customHeight="false" outlineLevel="0" collapsed="false">
      <c r="DB2422" s="0" t="str">
        <f aca="false">IF($A2422="","",IF($AH2422=20,IF(AND(OR($A2422=21,$A2422=215),$AJ2422=10),"①病院一般",IF(AND($A2422=31,$AJ2422=41),"②病院短期","対象外")),IF($AJ2422=30,"③特定消防",IF(AND(OR($A2422=21,$A2422=215),$AJ2422=10),"④一般",IF(AND($A2422=31,$AJ2422=41),"⑤短期","対象外")))))</f>
        <v/>
      </c>
      <c r="DC2422" s="0" t="str">
        <f aca="false">IF($A2422="","",IF($AB2422&amp;""=設定!$C$4,1,0))</f>
        <v/>
      </c>
    </row>
    <row r="2423" customFormat="false" ht="15" hidden="false" customHeight="false" outlineLevel="0" collapsed="false">
      <c r="DB2423" s="0" t="str">
        <f aca="false">IF($A2423="","",IF($AH2423=20,IF(AND(OR($A2423=21,$A2423=215),$AJ2423=10),"①病院一般",IF(AND($A2423=31,$AJ2423=41),"②病院短期","対象外")),IF($AJ2423=30,"③特定消防",IF(AND(OR($A2423=21,$A2423=215),$AJ2423=10),"④一般",IF(AND($A2423=31,$AJ2423=41),"⑤短期","対象外")))))</f>
        <v/>
      </c>
      <c r="DC2423" s="0" t="str">
        <f aca="false">IF($A2423="","",IF($AB2423&amp;""=設定!$C$4,1,0))</f>
        <v/>
      </c>
    </row>
    <row r="2424" customFormat="false" ht="15" hidden="false" customHeight="false" outlineLevel="0" collapsed="false">
      <c r="DB2424" s="0" t="str">
        <f aca="false">IF($A2424="","",IF($AH2424=20,IF(AND(OR($A2424=21,$A2424=215),$AJ2424=10),"①病院一般",IF(AND($A2424=31,$AJ2424=41),"②病院短期","対象外")),IF($AJ2424=30,"③特定消防",IF(AND(OR($A2424=21,$A2424=215),$AJ2424=10),"④一般",IF(AND($A2424=31,$AJ2424=41),"⑤短期","対象外")))))</f>
        <v/>
      </c>
      <c r="DC2424" s="0" t="str">
        <f aca="false">IF($A2424="","",IF($AB2424&amp;""=設定!$C$4,1,0))</f>
        <v/>
      </c>
    </row>
    <row r="2425" customFormat="false" ht="15" hidden="false" customHeight="false" outlineLevel="0" collapsed="false">
      <c r="DB2425" s="0" t="str">
        <f aca="false">IF($A2425="","",IF($AH2425=20,IF(AND(OR($A2425=21,$A2425=215),$AJ2425=10),"①病院一般",IF(AND($A2425=31,$AJ2425=41),"②病院短期","対象外")),IF($AJ2425=30,"③特定消防",IF(AND(OR($A2425=21,$A2425=215),$AJ2425=10),"④一般",IF(AND($A2425=31,$AJ2425=41),"⑤短期","対象外")))))</f>
        <v/>
      </c>
      <c r="DC2425" s="0" t="str">
        <f aca="false">IF($A2425="","",IF($AB2425&amp;""=設定!$C$4,1,0))</f>
        <v/>
      </c>
    </row>
    <row r="2426" customFormat="false" ht="15" hidden="false" customHeight="false" outlineLevel="0" collapsed="false">
      <c r="DB2426" s="0" t="str">
        <f aca="false">IF($A2426="","",IF($AH2426=20,IF(AND(OR($A2426=21,$A2426=215),$AJ2426=10),"①病院一般",IF(AND($A2426=31,$AJ2426=41),"②病院短期","対象外")),IF($AJ2426=30,"③特定消防",IF(AND(OR($A2426=21,$A2426=215),$AJ2426=10),"④一般",IF(AND($A2426=31,$AJ2426=41),"⑤短期","対象外")))))</f>
        <v/>
      </c>
      <c r="DC2426" s="0" t="str">
        <f aca="false">IF($A2426="","",IF($AB2426&amp;""=設定!$C$4,1,0))</f>
        <v/>
      </c>
    </row>
    <row r="2427" customFormat="false" ht="15" hidden="false" customHeight="false" outlineLevel="0" collapsed="false">
      <c r="DB2427" s="0" t="str">
        <f aca="false">IF($A2427="","",IF($AH2427=20,IF(AND(OR($A2427=21,$A2427=215),$AJ2427=10),"①病院一般",IF(AND($A2427=31,$AJ2427=41),"②病院短期","対象外")),IF($AJ2427=30,"③特定消防",IF(AND(OR($A2427=21,$A2427=215),$AJ2427=10),"④一般",IF(AND($A2427=31,$AJ2427=41),"⑤短期","対象外")))))</f>
        <v/>
      </c>
      <c r="DC2427" s="0" t="str">
        <f aca="false">IF($A2427="","",IF($AB2427&amp;""=設定!$C$4,1,0))</f>
        <v/>
      </c>
    </row>
    <row r="2428" customFormat="false" ht="15" hidden="false" customHeight="false" outlineLevel="0" collapsed="false">
      <c r="DB2428" s="0" t="str">
        <f aca="false">IF($A2428="","",IF($AH2428=20,IF(AND(OR($A2428=21,$A2428=215),$AJ2428=10),"①病院一般",IF(AND($A2428=31,$AJ2428=41),"②病院短期","対象外")),IF($AJ2428=30,"③特定消防",IF(AND(OR($A2428=21,$A2428=215),$AJ2428=10),"④一般",IF(AND($A2428=31,$AJ2428=41),"⑤短期","対象外")))))</f>
        <v/>
      </c>
      <c r="DC2428" s="0" t="str">
        <f aca="false">IF($A2428="","",IF($AB2428&amp;""=設定!$C$4,1,0))</f>
        <v/>
      </c>
    </row>
    <row r="2429" customFormat="false" ht="15" hidden="false" customHeight="false" outlineLevel="0" collapsed="false">
      <c r="DB2429" s="0" t="str">
        <f aca="false">IF($A2429="","",IF($AH2429=20,IF(AND(OR($A2429=21,$A2429=215),$AJ2429=10),"①病院一般",IF(AND($A2429=31,$AJ2429=41),"②病院短期","対象外")),IF($AJ2429=30,"③特定消防",IF(AND(OR($A2429=21,$A2429=215),$AJ2429=10),"④一般",IF(AND($A2429=31,$AJ2429=41),"⑤短期","対象外")))))</f>
        <v/>
      </c>
      <c r="DC2429" s="0" t="str">
        <f aca="false">IF($A2429="","",IF($AB2429&amp;""=設定!$C$4,1,0))</f>
        <v/>
      </c>
    </row>
    <row r="2430" customFormat="false" ht="15" hidden="false" customHeight="false" outlineLevel="0" collapsed="false">
      <c r="DB2430" s="0" t="str">
        <f aca="false">IF($A2430="","",IF($AH2430=20,IF(AND(OR($A2430=21,$A2430=215),$AJ2430=10),"①病院一般",IF(AND($A2430=31,$AJ2430=41),"②病院短期","対象外")),IF($AJ2430=30,"③特定消防",IF(AND(OR($A2430=21,$A2430=215),$AJ2430=10),"④一般",IF(AND($A2430=31,$AJ2430=41),"⑤短期","対象外")))))</f>
        <v/>
      </c>
      <c r="DC2430" s="0" t="str">
        <f aca="false">IF($A2430="","",IF($AB2430&amp;""=設定!$C$4,1,0))</f>
        <v/>
      </c>
    </row>
    <row r="2431" customFormat="false" ht="15" hidden="false" customHeight="false" outlineLevel="0" collapsed="false">
      <c r="DB2431" s="0" t="str">
        <f aca="false">IF($A2431="","",IF($AH2431=20,IF(AND(OR($A2431=21,$A2431=215),$AJ2431=10),"①病院一般",IF(AND($A2431=31,$AJ2431=41),"②病院短期","対象外")),IF($AJ2431=30,"③特定消防",IF(AND(OR($A2431=21,$A2431=215),$AJ2431=10),"④一般",IF(AND($A2431=31,$AJ2431=41),"⑤短期","対象外")))))</f>
        <v/>
      </c>
      <c r="DC2431" s="0" t="str">
        <f aca="false">IF($A2431="","",IF($AB2431&amp;""=設定!$C$4,1,0))</f>
        <v/>
      </c>
    </row>
    <row r="2432" customFormat="false" ht="15" hidden="false" customHeight="false" outlineLevel="0" collapsed="false">
      <c r="DB2432" s="0" t="str">
        <f aca="false">IF($A2432="","",IF($AH2432=20,IF(AND(OR($A2432=21,$A2432=215),$AJ2432=10),"①病院一般",IF(AND($A2432=31,$AJ2432=41),"②病院短期","対象外")),IF($AJ2432=30,"③特定消防",IF(AND(OR($A2432=21,$A2432=215),$AJ2432=10),"④一般",IF(AND($A2432=31,$AJ2432=41),"⑤短期","対象外")))))</f>
        <v/>
      </c>
      <c r="DC2432" s="0" t="str">
        <f aca="false">IF($A2432="","",IF($AB2432&amp;""=設定!$C$4,1,0))</f>
        <v/>
      </c>
    </row>
    <row r="2433" customFormat="false" ht="15" hidden="false" customHeight="false" outlineLevel="0" collapsed="false">
      <c r="DB2433" s="0" t="str">
        <f aca="false">IF($A2433="","",IF($AH2433=20,IF(AND(OR($A2433=21,$A2433=215),$AJ2433=10),"①病院一般",IF(AND($A2433=31,$AJ2433=41),"②病院短期","対象外")),IF($AJ2433=30,"③特定消防",IF(AND(OR($A2433=21,$A2433=215),$AJ2433=10),"④一般",IF(AND($A2433=31,$AJ2433=41),"⑤短期","対象外")))))</f>
        <v/>
      </c>
      <c r="DC2433" s="0" t="str">
        <f aca="false">IF($A2433="","",IF($AB2433&amp;""=設定!$C$4,1,0))</f>
        <v/>
      </c>
    </row>
    <row r="2434" customFormat="false" ht="15" hidden="false" customHeight="false" outlineLevel="0" collapsed="false">
      <c r="DB2434" s="0" t="str">
        <f aca="false">IF($A2434="","",IF($AH2434=20,IF(AND(OR($A2434=21,$A2434=215),$AJ2434=10),"①病院一般",IF(AND($A2434=31,$AJ2434=41),"②病院短期","対象外")),IF($AJ2434=30,"③特定消防",IF(AND(OR($A2434=21,$A2434=215),$AJ2434=10),"④一般",IF(AND($A2434=31,$AJ2434=41),"⑤短期","対象外")))))</f>
        <v/>
      </c>
      <c r="DC2434" s="0" t="str">
        <f aca="false">IF($A2434="","",IF($AB2434&amp;""=設定!$C$4,1,0))</f>
        <v/>
      </c>
    </row>
    <row r="2435" customFormat="false" ht="15" hidden="false" customHeight="false" outlineLevel="0" collapsed="false">
      <c r="DB2435" s="0" t="str">
        <f aca="false">IF($A2435="","",IF($AH2435=20,IF(AND(OR($A2435=21,$A2435=215),$AJ2435=10),"①病院一般",IF(AND($A2435=31,$AJ2435=41),"②病院短期","対象外")),IF($AJ2435=30,"③特定消防",IF(AND(OR($A2435=21,$A2435=215),$AJ2435=10),"④一般",IF(AND($A2435=31,$AJ2435=41),"⑤短期","対象外")))))</f>
        <v/>
      </c>
      <c r="DC2435" s="0" t="str">
        <f aca="false">IF($A2435="","",IF($AB2435&amp;""=設定!$C$4,1,0))</f>
        <v/>
      </c>
    </row>
    <row r="2436" customFormat="false" ht="15" hidden="false" customHeight="false" outlineLevel="0" collapsed="false">
      <c r="DB2436" s="0" t="str">
        <f aca="false">IF($A2436="","",IF($AH2436=20,IF(AND(OR($A2436=21,$A2436=215),$AJ2436=10),"①病院一般",IF(AND($A2436=31,$AJ2436=41),"②病院短期","対象外")),IF($AJ2436=30,"③特定消防",IF(AND(OR($A2436=21,$A2436=215),$AJ2436=10),"④一般",IF(AND($A2436=31,$AJ2436=41),"⑤短期","対象外")))))</f>
        <v/>
      </c>
      <c r="DC2436" s="0" t="str">
        <f aca="false">IF($A2436="","",IF($AB2436&amp;""=設定!$C$4,1,0))</f>
        <v/>
      </c>
    </row>
    <row r="2437" customFormat="false" ht="15" hidden="false" customHeight="false" outlineLevel="0" collapsed="false">
      <c r="DB2437" s="0" t="str">
        <f aca="false">IF($A2437="","",IF($AH2437=20,IF(AND(OR($A2437=21,$A2437=215),$AJ2437=10),"①病院一般",IF(AND($A2437=31,$AJ2437=41),"②病院短期","対象外")),IF($AJ2437=30,"③特定消防",IF(AND(OR($A2437=21,$A2437=215),$AJ2437=10),"④一般",IF(AND($A2437=31,$AJ2437=41),"⑤短期","対象外")))))</f>
        <v/>
      </c>
      <c r="DC2437" s="0" t="str">
        <f aca="false">IF($A2437="","",IF($AB2437&amp;""=設定!$C$4,1,0))</f>
        <v/>
      </c>
    </row>
    <row r="2438" customFormat="false" ht="15" hidden="false" customHeight="false" outlineLevel="0" collapsed="false">
      <c r="DB2438" s="0" t="str">
        <f aca="false">IF($A2438="","",IF($AH2438=20,IF(AND(OR($A2438=21,$A2438=215),$AJ2438=10),"①病院一般",IF(AND($A2438=31,$AJ2438=41),"②病院短期","対象外")),IF($AJ2438=30,"③特定消防",IF(AND(OR($A2438=21,$A2438=215),$AJ2438=10),"④一般",IF(AND($A2438=31,$AJ2438=41),"⑤短期","対象外")))))</f>
        <v/>
      </c>
      <c r="DC2438" s="0" t="str">
        <f aca="false">IF($A2438="","",IF($AB2438&amp;""=設定!$C$4,1,0))</f>
        <v/>
      </c>
    </row>
    <row r="2439" customFormat="false" ht="15" hidden="false" customHeight="false" outlineLevel="0" collapsed="false">
      <c r="DB2439" s="0" t="str">
        <f aca="false">IF($A2439="","",IF($AH2439=20,IF(AND(OR($A2439=21,$A2439=215),$AJ2439=10),"①病院一般",IF(AND($A2439=31,$AJ2439=41),"②病院短期","対象外")),IF($AJ2439=30,"③特定消防",IF(AND(OR($A2439=21,$A2439=215),$AJ2439=10),"④一般",IF(AND($A2439=31,$AJ2439=41),"⑤短期","対象外")))))</f>
        <v/>
      </c>
      <c r="DC2439" s="0" t="str">
        <f aca="false">IF($A2439="","",IF($AB2439&amp;""=設定!$C$4,1,0))</f>
        <v/>
      </c>
    </row>
    <row r="2440" customFormat="false" ht="15" hidden="false" customHeight="false" outlineLevel="0" collapsed="false">
      <c r="DB2440" s="0" t="str">
        <f aca="false">IF($A2440="","",IF($AH2440=20,IF(AND(OR($A2440=21,$A2440=215),$AJ2440=10),"①病院一般",IF(AND($A2440=31,$AJ2440=41),"②病院短期","対象外")),IF($AJ2440=30,"③特定消防",IF(AND(OR($A2440=21,$A2440=215),$AJ2440=10),"④一般",IF(AND($A2440=31,$AJ2440=41),"⑤短期","対象外")))))</f>
        <v/>
      </c>
      <c r="DC2440" s="0" t="str">
        <f aca="false">IF($A2440="","",IF($AB2440&amp;""=設定!$C$4,1,0))</f>
        <v/>
      </c>
    </row>
    <row r="2441" customFormat="false" ht="15" hidden="false" customHeight="false" outlineLevel="0" collapsed="false">
      <c r="DB2441" s="0" t="str">
        <f aca="false">IF($A2441="","",IF($AH2441=20,IF(AND(OR($A2441=21,$A2441=215),$AJ2441=10),"①病院一般",IF(AND($A2441=31,$AJ2441=41),"②病院短期","対象外")),IF($AJ2441=30,"③特定消防",IF(AND(OR($A2441=21,$A2441=215),$AJ2441=10),"④一般",IF(AND($A2441=31,$AJ2441=41),"⑤短期","対象外")))))</f>
        <v/>
      </c>
      <c r="DC2441" s="0" t="str">
        <f aca="false">IF($A2441="","",IF($AB2441&amp;""=設定!$C$4,1,0))</f>
        <v/>
      </c>
    </row>
    <row r="2442" customFormat="false" ht="15" hidden="false" customHeight="false" outlineLevel="0" collapsed="false">
      <c r="DB2442" s="0" t="str">
        <f aca="false">IF($A2442="","",IF($AH2442=20,IF(AND(OR($A2442=21,$A2442=215),$AJ2442=10),"①病院一般",IF(AND($A2442=31,$AJ2442=41),"②病院短期","対象外")),IF($AJ2442=30,"③特定消防",IF(AND(OR($A2442=21,$A2442=215),$AJ2442=10),"④一般",IF(AND($A2442=31,$AJ2442=41),"⑤短期","対象外")))))</f>
        <v/>
      </c>
      <c r="DC2442" s="0" t="str">
        <f aca="false">IF($A2442="","",IF($AB2442&amp;""=設定!$C$4,1,0))</f>
        <v/>
      </c>
    </row>
    <row r="2443" customFormat="false" ht="15" hidden="false" customHeight="false" outlineLevel="0" collapsed="false">
      <c r="DB2443" s="0" t="str">
        <f aca="false">IF($A2443="","",IF($AH2443=20,IF(AND(OR($A2443=21,$A2443=215),$AJ2443=10),"①病院一般",IF(AND($A2443=31,$AJ2443=41),"②病院短期","対象外")),IF($AJ2443=30,"③特定消防",IF(AND(OR($A2443=21,$A2443=215),$AJ2443=10),"④一般",IF(AND($A2443=31,$AJ2443=41),"⑤短期","対象外")))))</f>
        <v/>
      </c>
      <c r="DC2443" s="0" t="str">
        <f aca="false">IF($A2443="","",IF($AB2443&amp;""=設定!$C$4,1,0))</f>
        <v/>
      </c>
    </row>
    <row r="2444" customFormat="false" ht="15" hidden="false" customHeight="false" outlineLevel="0" collapsed="false">
      <c r="DB2444" s="0" t="str">
        <f aca="false">IF($A2444="","",IF($AH2444=20,IF(AND(OR($A2444=21,$A2444=215),$AJ2444=10),"①病院一般",IF(AND($A2444=31,$AJ2444=41),"②病院短期","対象外")),IF($AJ2444=30,"③特定消防",IF(AND(OR($A2444=21,$A2444=215),$AJ2444=10),"④一般",IF(AND($A2444=31,$AJ2444=41),"⑤短期","対象外")))))</f>
        <v/>
      </c>
      <c r="DC2444" s="0" t="str">
        <f aca="false">IF($A2444="","",IF($AB2444&amp;""=設定!$C$4,1,0))</f>
        <v/>
      </c>
    </row>
    <row r="2445" customFormat="false" ht="15" hidden="false" customHeight="false" outlineLevel="0" collapsed="false">
      <c r="DB2445" s="0" t="str">
        <f aca="false">IF($A2445="","",IF($AH2445=20,IF(AND(OR($A2445=21,$A2445=215),$AJ2445=10),"①病院一般",IF(AND($A2445=31,$AJ2445=41),"②病院短期","対象外")),IF($AJ2445=30,"③特定消防",IF(AND(OR($A2445=21,$A2445=215),$AJ2445=10),"④一般",IF(AND($A2445=31,$AJ2445=41),"⑤短期","対象外")))))</f>
        <v/>
      </c>
      <c r="DC2445" s="0" t="str">
        <f aca="false">IF($A2445="","",IF($AB2445&amp;""=設定!$C$4,1,0))</f>
        <v/>
      </c>
    </row>
    <row r="2446" customFormat="false" ht="15" hidden="false" customHeight="false" outlineLevel="0" collapsed="false">
      <c r="DB2446" s="0" t="str">
        <f aca="false">IF($A2446="","",IF($AH2446=20,IF(AND(OR($A2446=21,$A2446=215),$AJ2446=10),"①病院一般",IF(AND($A2446=31,$AJ2446=41),"②病院短期","対象外")),IF($AJ2446=30,"③特定消防",IF(AND(OR($A2446=21,$A2446=215),$AJ2446=10),"④一般",IF(AND($A2446=31,$AJ2446=41),"⑤短期","対象外")))))</f>
        <v/>
      </c>
      <c r="DC2446" s="0" t="str">
        <f aca="false">IF($A2446="","",IF($AB2446&amp;""=設定!$C$4,1,0))</f>
        <v/>
      </c>
    </row>
    <row r="2447" customFormat="false" ht="15" hidden="false" customHeight="false" outlineLevel="0" collapsed="false">
      <c r="DB2447" s="0" t="str">
        <f aca="false">IF($A2447="","",IF($AH2447=20,IF(AND(OR($A2447=21,$A2447=215),$AJ2447=10),"①病院一般",IF(AND($A2447=31,$AJ2447=41),"②病院短期","対象外")),IF($AJ2447=30,"③特定消防",IF(AND(OR($A2447=21,$A2447=215),$AJ2447=10),"④一般",IF(AND($A2447=31,$AJ2447=41),"⑤短期","対象外")))))</f>
        <v/>
      </c>
      <c r="DC2447" s="0" t="str">
        <f aca="false">IF($A2447="","",IF($AB2447&amp;""=設定!$C$4,1,0))</f>
        <v/>
      </c>
    </row>
    <row r="2448" customFormat="false" ht="15" hidden="false" customHeight="false" outlineLevel="0" collapsed="false">
      <c r="DB2448" s="0" t="str">
        <f aca="false">IF($A2448="","",IF($AH2448=20,IF(AND(OR($A2448=21,$A2448=215),$AJ2448=10),"①病院一般",IF(AND($A2448=31,$AJ2448=41),"②病院短期","対象外")),IF($AJ2448=30,"③特定消防",IF(AND(OR($A2448=21,$A2448=215),$AJ2448=10),"④一般",IF(AND($A2448=31,$AJ2448=41),"⑤短期","対象外")))))</f>
        <v/>
      </c>
      <c r="DC2448" s="0" t="str">
        <f aca="false">IF($A2448="","",IF($AB2448&amp;""=設定!$C$4,1,0))</f>
        <v/>
      </c>
    </row>
    <row r="2449" customFormat="false" ht="15" hidden="false" customHeight="false" outlineLevel="0" collapsed="false">
      <c r="DB2449" s="0" t="str">
        <f aca="false">IF($A2449="","",IF($AH2449=20,IF(AND(OR($A2449=21,$A2449=215),$AJ2449=10),"①病院一般",IF(AND($A2449=31,$AJ2449=41),"②病院短期","対象外")),IF($AJ2449=30,"③特定消防",IF(AND(OR($A2449=21,$A2449=215),$AJ2449=10),"④一般",IF(AND($A2449=31,$AJ2449=41),"⑤短期","対象外")))))</f>
        <v/>
      </c>
      <c r="DC2449" s="0" t="str">
        <f aca="false">IF($A2449="","",IF($AB2449&amp;""=設定!$C$4,1,0))</f>
        <v/>
      </c>
    </row>
    <row r="2450" customFormat="false" ht="15" hidden="false" customHeight="false" outlineLevel="0" collapsed="false">
      <c r="DB2450" s="0" t="str">
        <f aca="false">IF($A2450="","",IF($AH2450=20,IF(AND(OR($A2450=21,$A2450=215),$AJ2450=10),"①病院一般",IF(AND($A2450=31,$AJ2450=41),"②病院短期","対象外")),IF($AJ2450=30,"③特定消防",IF(AND(OR($A2450=21,$A2450=215),$AJ2450=10),"④一般",IF(AND($A2450=31,$AJ2450=41),"⑤短期","対象外")))))</f>
        <v/>
      </c>
      <c r="DC2450" s="0" t="str">
        <f aca="false">IF($A2450="","",IF($AB2450&amp;""=設定!$C$4,1,0))</f>
        <v/>
      </c>
    </row>
    <row r="2451" customFormat="false" ht="15" hidden="false" customHeight="false" outlineLevel="0" collapsed="false">
      <c r="DB2451" s="0" t="str">
        <f aca="false">IF($A2451="","",IF($AH2451=20,IF(AND(OR($A2451=21,$A2451=215),$AJ2451=10),"①病院一般",IF(AND($A2451=31,$AJ2451=41),"②病院短期","対象外")),IF($AJ2451=30,"③特定消防",IF(AND(OR($A2451=21,$A2451=215),$AJ2451=10),"④一般",IF(AND($A2451=31,$AJ2451=41),"⑤短期","対象外")))))</f>
        <v/>
      </c>
      <c r="DC2451" s="0" t="str">
        <f aca="false">IF($A2451="","",IF($AB2451&amp;""=設定!$C$4,1,0))</f>
        <v/>
      </c>
    </row>
    <row r="2452" customFormat="false" ht="15" hidden="false" customHeight="false" outlineLevel="0" collapsed="false">
      <c r="DB2452" s="0" t="str">
        <f aca="false">IF($A2452="","",IF($AH2452=20,IF(AND(OR($A2452=21,$A2452=215),$AJ2452=10),"①病院一般",IF(AND($A2452=31,$AJ2452=41),"②病院短期","対象外")),IF($AJ2452=30,"③特定消防",IF(AND(OR($A2452=21,$A2452=215),$AJ2452=10),"④一般",IF(AND($A2452=31,$AJ2452=41),"⑤短期","対象外")))))</f>
        <v/>
      </c>
      <c r="DC2452" s="0" t="str">
        <f aca="false">IF($A2452="","",IF($AB2452&amp;""=設定!$C$4,1,0))</f>
        <v/>
      </c>
    </row>
    <row r="2453" customFormat="false" ht="15" hidden="false" customHeight="false" outlineLevel="0" collapsed="false">
      <c r="DB2453" s="0" t="str">
        <f aca="false">IF($A2453="","",IF($AH2453=20,IF(AND(OR($A2453=21,$A2453=215),$AJ2453=10),"①病院一般",IF(AND($A2453=31,$AJ2453=41),"②病院短期","対象外")),IF($AJ2453=30,"③特定消防",IF(AND(OR($A2453=21,$A2453=215),$AJ2453=10),"④一般",IF(AND($A2453=31,$AJ2453=41),"⑤短期","対象外")))))</f>
        <v/>
      </c>
      <c r="DC2453" s="0" t="str">
        <f aca="false">IF($A2453="","",IF($AB2453&amp;""=設定!$C$4,1,0))</f>
        <v/>
      </c>
    </row>
    <row r="2454" customFormat="false" ht="15" hidden="false" customHeight="false" outlineLevel="0" collapsed="false">
      <c r="DB2454" s="0" t="str">
        <f aca="false">IF($A2454="","",IF($AH2454=20,IF(AND(OR($A2454=21,$A2454=215),$AJ2454=10),"①病院一般",IF(AND($A2454=31,$AJ2454=41),"②病院短期","対象外")),IF($AJ2454=30,"③特定消防",IF(AND(OR($A2454=21,$A2454=215),$AJ2454=10),"④一般",IF(AND($A2454=31,$AJ2454=41),"⑤短期","対象外")))))</f>
        <v/>
      </c>
      <c r="DC2454" s="0" t="str">
        <f aca="false">IF($A2454="","",IF($AB2454&amp;""=設定!$C$4,1,0))</f>
        <v/>
      </c>
    </row>
    <row r="2455" customFormat="false" ht="15" hidden="false" customHeight="false" outlineLevel="0" collapsed="false">
      <c r="DB2455" s="0" t="str">
        <f aca="false">IF($A2455="","",IF($AH2455=20,IF(AND(OR($A2455=21,$A2455=215),$AJ2455=10),"①病院一般",IF(AND($A2455=31,$AJ2455=41),"②病院短期","対象外")),IF($AJ2455=30,"③特定消防",IF(AND(OR($A2455=21,$A2455=215),$AJ2455=10),"④一般",IF(AND($A2455=31,$AJ2455=41),"⑤短期","対象外")))))</f>
        <v/>
      </c>
      <c r="DC2455" s="0" t="str">
        <f aca="false">IF($A2455="","",IF($AB2455&amp;""=設定!$C$4,1,0))</f>
        <v/>
      </c>
    </row>
    <row r="2456" customFormat="false" ht="15" hidden="false" customHeight="false" outlineLevel="0" collapsed="false">
      <c r="DB2456" s="0" t="str">
        <f aca="false">IF($A2456="","",IF($AH2456=20,IF(AND(OR($A2456=21,$A2456=215),$AJ2456=10),"①病院一般",IF(AND($A2456=31,$AJ2456=41),"②病院短期","対象外")),IF($AJ2456=30,"③特定消防",IF(AND(OR($A2456=21,$A2456=215),$AJ2456=10),"④一般",IF(AND($A2456=31,$AJ2456=41),"⑤短期","対象外")))))</f>
        <v/>
      </c>
      <c r="DC2456" s="0" t="str">
        <f aca="false">IF($A2456="","",IF($AB2456&amp;""=設定!$C$4,1,0))</f>
        <v/>
      </c>
    </row>
    <row r="2457" customFormat="false" ht="15" hidden="false" customHeight="false" outlineLevel="0" collapsed="false">
      <c r="DB2457" s="0" t="str">
        <f aca="false">IF($A2457="","",IF($AH2457=20,IF(AND(OR($A2457=21,$A2457=215),$AJ2457=10),"①病院一般",IF(AND($A2457=31,$AJ2457=41),"②病院短期","対象外")),IF($AJ2457=30,"③特定消防",IF(AND(OR($A2457=21,$A2457=215),$AJ2457=10),"④一般",IF(AND($A2457=31,$AJ2457=41),"⑤短期","対象外")))))</f>
        <v/>
      </c>
      <c r="DC2457" s="0" t="str">
        <f aca="false">IF($A2457="","",IF($AB2457&amp;""=設定!$C$4,1,0))</f>
        <v/>
      </c>
    </row>
    <row r="2458" customFormat="false" ht="15" hidden="false" customHeight="false" outlineLevel="0" collapsed="false">
      <c r="DB2458" s="0" t="str">
        <f aca="false">IF($A2458="","",IF($AH2458=20,IF(AND(OR($A2458=21,$A2458=215),$AJ2458=10),"①病院一般",IF(AND($A2458=31,$AJ2458=41),"②病院短期","対象外")),IF($AJ2458=30,"③特定消防",IF(AND(OR($A2458=21,$A2458=215),$AJ2458=10),"④一般",IF(AND($A2458=31,$AJ2458=41),"⑤短期","対象外")))))</f>
        <v/>
      </c>
      <c r="DC2458" s="0" t="str">
        <f aca="false">IF($A2458="","",IF($AB2458&amp;""=設定!$C$4,1,0))</f>
        <v/>
      </c>
    </row>
    <row r="2459" customFormat="false" ht="15" hidden="false" customHeight="false" outlineLevel="0" collapsed="false">
      <c r="DB2459" s="0" t="str">
        <f aca="false">IF($A2459="","",IF($AH2459=20,IF(AND(OR($A2459=21,$A2459=215),$AJ2459=10),"①病院一般",IF(AND($A2459=31,$AJ2459=41),"②病院短期","対象外")),IF($AJ2459=30,"③特定消防",IF(AND(OR($A2459=21,$A2459=215),$AJ2459=10),"④一般",IF(AND($A2459=31,$AJ2459=41),"⑤短期","対象外")))))</f>
        <v/>
      </c>
      <c r="DC2459" s="0" t="str">
        <f aca="false">IF($A2459="","",IF($AB2459&amp;""=設定!$C$4,1,0))</f>
        <v/>
      </c>
    </row>
    <row r="2460" customFormat="false" ht="15" hidden="false" customHeight="false" outlineLevel="0" collapsed="false">
      <c r="DB2460" s="0" t="str">
        <f aca="false">IF($A2460="","",IF($AH2460=20,IF(AND(OR($A2460=21,$A2460=215),$AJ2460=10),"①病院一般",IF(AND($A2460=31,$AJ2460=41),"②病院短期","対象外")),IF($AJ2460=30,"③特定消防",IF(AND(OR($A2460=21,$A2460=215),$AJ2460=10),"④一般",IF(AND($A2460=31,$AJ2460=41),"⑤短期","対象外")))))</f>
        <v/>
      </c>
      <c r="DC2460" s="0" t="str">
        <f aca="false">IF($A2460="","",IF($AB2460&amp;""=設定!$C$4,1,0))</f>
        <v/>
      </c>
    </row>
    <row r="2461" customFormat="false" ht="15" hidden="false" customHeight="false" outlineLevel="0" collapsed="false">
      <c r="DB2461" s="0" t="str">
        <f aca="false">IF($A2461="","",IF($AH2461=20,IF(AND(OR($A2461=21,$A2461=215),$AJ2461=10),"①病院一般",IF(AND($A2461=31,$AJ2461=41),"②病院短期","対象外")),IF($AJ2461=30,"③特定消防",IF(AND(OR($A2461=21,$A2461=215),$AJ2461=10),"④一般",IF(AND($A2461=31,$AJ2461=41),"⑤短期","対象外")))))</f>
        <v/>
      </c>
      <c r="DC2461" s="0" t="str">
        <f aca="false">IF($A2461="","",IF($AB2461&amp;""=設定!$C$4,1,0))</f>
        <v/>
      </c>
    </row>
    <row r="2462" customFormat="false" ht="15" hidden="false" customHeight="false" outlineLevel="0" collapsed="false">
      <c r="DB2462" s="0" t="str">
        <f aca="false">IF($A2462="","",IF($AH2462=20,IF(AND(OR($A2462=21,$A2462=215),$AJ2462=10),"①病院一般",IF(AND($A2462=31,$AJ2462=41),"②病院短期","対象外")),IF($AJ2462=30,"③特定消防",IF(AND(OR($A2462=21,$A2462=215),$AJ2462=10),"④一般",IF(AND($A2462=31,$AJ2462=41),"⑤短期","対象外")))))</f>
        <v/>
      </c>
      <c r="DC2462" s="0" t="str">
        <f aca="false">IF($A2462="","",IF($AB2462&amp;""=設定!$C$4,1,0))</f>
        <v/>
      </c>
    </row>
    <row r="2463" customFormat="false" ht="15" hidden="false" customHeight="false" outlineLevel="0" collapsed="false">
      <c r="DB2463" s="0" t="str">
        <f aca="false">IF($A2463="","",IF($AH2463=20,IF(AND(OR($A2463=21,$A2463=215),$AJ2463=10),"①病院一般",IF(AND($A2463=31,$AJ2463=41),"②病院短期","対象外")),IF($AJ2463=30,"③特定消防",IF(AND(OR($A2463=21,$A2463=215),$AJ2463=10),"④一般",IF(AND($A2463=31,$AJ2463=41),"⑤短期","対象外")))))</f>
        <v/>
      </c>
      <c r="DC2463" s="0" t="str">
        <f aca="false">IF($A2463="","",IF($AB2463&amp;""=設定!$C$4,1,0))</f>
        <v/>
      </c>
    </row>
    <row r="2464" customFormat="false" ht="15" hidden="false" customHeight="false" outlineLevel="0" collapsed="false">
      <c r="DB2464" s="0" t="str">
        <f aca="false">IF($A2464="","",IF($AH2464=20,IF(AND(OR($A2464=21,$A2464=215),$AJ2464=10),"①病院一般",IF(AND($A2464=31,$AJ2464=41),"②病院短期","対象外")),IF($AJ2464=30,"③特定消防",IF(AND(OR($A2464=21,$A2464=215),$AJ2464=10),"④一般",IF(AND($A2464=31,$AJ2464=41),"⑤短期","対象外")))))</f>
        <v/>
      </c>
      <c r="DC2464" s="0" t="str">
        <f aca="false">IF($A2464="","",IF($AB2464&amp;""=設定!$C$4,1,0))</f>
        <v/>
      </c>
    </row>
    <row r="2465" customFormat="false" ht="15" hidden="false" customHeight="false" outlineLevel="0" collapsed="false">
      <c r="DB2465" s="0" t="str">
        <f aca="false">IF($A2465="","",IF($AH2465=20,IF(AND(OR($A2465=21,$A2465=215),$AJ2465=10),"①病院一般",IF(AND($A2465=31,$AJ2465=41),"②病院短期","対象外")),IF($AJ2465=30,"③特定消防",IF(AND(OR($A2465=21,$A2465=215),$AJ2465=10),"④一般",IF(AND($A2465=31,$AJ2465=41),"⑤短期","対象外")))))</f>
        <v/>
      </c>
      <c r="DC2465" s="0" t="str">
        <f aca="false">IF($A2465="","",IF($AB2465&amp;""=設定!$C$4,1,0))</f>
        <v/>
      </c>
    </row>
    <row r="2466" customFormat="false" ht="15" hidden="false" customHeight="false" outlineLevel="0" collapsed="false">
      <c r="DB2466" s="0" t="str">
        <f aca="false">IF($A2466="","",IF($AH2466=20,IF(AND(OR($A2466=21,$A2466=215),$AJ2466=10),"①病院一般",IF(AND($A2466=31,$AJ2466=41),"②病院短期","対象外")),IF($AJ2466=30,"③特定消防",IF(AND(OR($A2466=21,$A2466=215),$AJ2466=10),"④一般",IF(AND($A2466=31,$AJ2466=41),"⑤短期","対象外")))))</f>
        <v/>
      </c>
      <c r="DC2466" s="0" t="str">
        <f aca="false">IF($A2466="","",IF($AB2466&amp;""=設定!$C$4,1,0))</f>
        <v/>
      </c>
    </row>
    <row r="2467" customFormat="false" ht="15" hidden="false" customHeight="false" outlineLevel="0" collapsed="false">
      <c r="DB2467" s="0" t="str">
        <f aca="false">IF($A2467="","",IF($AH2467=20,IF(AND(OR($A2467=21,$A2467=215),$AJ2467=10),"①病院一般",IF(AND($A2467=31,$AJ2467=41),"②病院短期","対象外")),IF($AJ2467=30,"③特定消防",IF(AND(OR($A2467=21,$A2467=215),$AJ2467=10),"④一般",IF(AND($A2467=31,$AJ2467=41),"⑤短期","対象外")))))</f>
        <v/>
      </c>
      <c r="DC2467" s="0" t="str">
        <f aca="false">IF($A2467="","",IF($AB2467&amp;""=設定!$C$4,1,0))</f>
        <v/>
      </c>
    </row>
    <row r="2468" customFormat="false" ht="15" hidden="false" customHeight="false" outlineLevel="0" collapsed="false">
      <c r="DB2468" s="0" t="str">
        <f aca="false">IF($A2468="","",IF($AH2468=20,IF(AND(OR($A2468=21,$A2468=215),$AJ2468=10),"①病院一般",IF(AND($A2468=31,$AJ2468=41),"②病院短期","対象外")),IF($AJ2468=30,"③特定消防",IF(AND(OR($A2468=21,$A2468=215),$AJ2468=10),"④一般",IF(AND($A2468=31,$AJ2468=41),"⑤短期","対象外")))))</f>
        <v/>
      </c>
      <c r="DC2468" s="0" t="str">
        <f aca="false">IF($A2468="","",IF($AB2468&amp;""=設定!$C$4,1,0))</f>
        <v/>
      </c>
    </row>
    <row r="2469" customFormat="false" ht="15" hidden="false" customHeight="false" outlineLevel="0" collapsed="false">
      <c r="DB2469" s="0" t="str">
        <f aca="false">IF($A2469="","",IF($AH2469=20,IF(AND(OR($A2469=21,$A2469=215),$AJ2469=10),"①病院一般",IF(AND($A2469=31,$AJ2469=41),"②病院短期","対象外")),IF($AJ2469=30,"③特定消防",IF(AND(OR($A2469=21,$A2469=215),$AJ2469=10),"④一般",IF(AND($A2469=31,$AJ2469=41),"⑤短期","対象外")))))</f>
        <v/>
      </c>
      <c r="DC2469" s="0" t="str">
        <f aca="false">IF($A2469="","",IF($AB2469&amp;""=設定!$C$4,1,0))</f>
        <v/>
      </c>
    </row>
    <row r="2470" customFormat="false" ht="15" hidden="false" customHeight="false" outlineLevel="0" collapsed="false">
      <c r="DB2470" s="0" t="str">
        <f aca="false">IF($A2470="","",IF($AH2470=20,IF(AND(OR($A2470=21,$A2470=215),$AJ2470=10),"①病院一般",IF(AND($A2470=31,$AJ2470=41),"②病院短期","対象外")),IF($AJ2470=30,"③特定消防",IF(AND(OR($A2470=21,$A2470=215),$AJ2470=10),"④一般",IF(AND($A2470=31,$AJ2470=41),"⑤短期","対象外")))))</f>
        <v/>
      </c>
      <c r="DC2470" s="0" t="str">
        <f aca="false">IF($A2470="","",IF($AB2470&amp;""=設定!$C$4,1,0))</f>
        <v/>
      </c>
    </row>
    <row r="2471" customFormat="false" ht="15" hidden="false" customHeight="false" outlineLevel="0" collapsed="false">
      <c r="DB2471" s="0" t="str">
        <f aca="false">IF($A2471="","",IF($AH2471=20,IF(AND(OR($A2471=21,$A2471=215),$AJ2471=10),"①病院一般",IF(AND($A2471=31,$AJ2471=41),"②病院短期","対象外")),IF($AJ2471=30,"③特定消防",IF(AND(OR($A2471=21,$A2471=215),$AJ2471=10),"④一般",IF(AND($A2471=31,$AJ2471=41),"⑤短期","対象外")))))</f>
        <v/>
      </c>
      <c r="DC2471" s="0" t="str">
        <f aca="false">IF($A2471="","",IF($AB2471&amp;""=設定!$C$4,1,0))</f>
        <v/>
      </c>
    </row>
    <row r="2472" customFormat="false" ht="15" hidden="false" customHeight="false" outlineLevel="0" collapsed="false">
      <c r="DB2472" s="0" t="str">
        <f aca="false">IF($A2472="","",IF($AH2472=20,IF(AND(OR($A2472=21,$A2472=215),$AJ2472=10),"①病院一般",IF(AND($A2472=31,$AJ2472=41),"②病院短期","対象外")),IF($AJ2472=30,"③特定消防",IF(AND(OR($A2472=21,$A2472=215),$AJ2472=10),"④一般",IF(AND($A2472=31,$AJ2472=41),"⑤短期","対象外")))))</f>
        <v/>
      </c>
      <c r="DC2472" s="0" t="str">
        <f aca="false">IF($A2472="","",IF($AB2472&amp;""=設定!$C$4,1,0))</f>
        <v/>
      </c>
    </row>
    <row r="2473" customFormat="false" ht="15" hidden="false" customHeight="false" outlineLevel="0" collapsed="false">
      <c r="DB2473" s="0" t="str">
        <f aca="false">IF($A2473="","",IF($AH2473=20,IF(AND(OR($A2473=21,$A2473=215),$AJ2473=10),"①病院一般",IF(AND($A2473=31,$AJ2473=41),"②病院短期","対象外")),IF($AJ2473=30,"③特定消防",IF(AND(OR($A2473=21,$A2473=215),$AJ2473=10),"④一般",IF(AND($A2473=31,$AJ2473=41),"⑤短期","対象外")))))</f>
        <v/>
      </c>
      <c r="DC2473" s="0" t="str">
        <f aca="false">IF($A2473="","",IF($AB2473&amp;""=設定!$C$4,1,0))</f>
        <v/>
      </c>
    </row>
    <row r="2474" customFormat="false" ht="15" hidden="false" customHeight="false" outlineLevel="0" collapsed="false">
      <c r="DB2474" s="0" t="str">
        <f aca="false">IF($A2474="","",IF($AH2474=20,IF(AND(OR($A2474=21,$A2474=215),$AJ2474=10),"①病院一般",IF(AND($A2474=31,$AJ2474=41),"②病院短期","対象外")),IF($AJ2474=30,"③特定消防",IF(AND(OR($A2474=21,$A2474=215),$AJ2474=10),"④一般",IF(AND($A2474=31,$AJ2474=41),"⑤短期","対象外")))))</f>
        <v/>
      </c>
      <c r="DC2474" s="0" t="str">
        <f aca="false">IF($A2474="","",IF($AB2474&amp;""=設定!$C$4,1,0))</f>
        <v/>
      </c>
    </row>
    <row r="2475" customFormat="false" ht="15" hidden="false" customHeight="false" outlineLevel="0" collapsed="false">
      <c r="DB2475" s="0" t="str">
        <f aca="false">IF($A2475="","",IF($AH2475=20,IF(AND(OR($A2475=21,$A2475=215),$AJ2475=10),"①病院一般",IF(AND($A2475=31,$AJ2475=41),"②病院短期","対象外")),IF($AJ2475=30,"③特定消防",IF(AND(OR($A2475=21,$A2475=215),$AJ2475=10),"④一般",IF(AND($A2475=31,$AJ2475=41),"⑤短期","対象外")))))</f>
        <v/>
      </c>
      <c r="DC2475" s="0" t="str">
        <f aca="false">IF($A2475="","",IF($AB2475&amp;""=設定!$C$4,1,0))</f>
        <v/>
      </c>
    </row>
    <row r="2476" customFormat="false" ht="15" hidden="false" customHeight="false" outlineLevel="0" collapsed="false">
      <c r="DB2476" s="0" t="str">
        <f aca="false">IF($A2476="","",IF($AH2476=20,IF(AND(OR($A2476=21,$A2476=215),$AJ2476=10),"①病院一般",IF(AND($A2476=31,$AJ2476=41),"②病院短期","対象外")),IF($AJ2476=30,"③特定消防",IF(AND(OR($A2476=21,$A2476=215),$AJ2476=10),"④一般",IF(AND($A2476=31,$AJ2476=41),"⑤短期","対象外")))))</f>
        <v/>
      </c>
      <c r="DC2476" s="0" t="str">
        <f aca="false">IF($A2476="","",IF($AB2476&amp;""=設定!$C$4,1,0))</f>
        <v/>
      </c>
    </row>
    <row r="2477" customFormat="false" ht="15" hidden="false" customHeight="false" outlineLevel="0" collapsed="false">
      <c r="DB2477" s="0" t="str">
        <f aca="false">IF($A2477="","",IF($AH2477=20,IF(AND(OR($A2477=21,$A2477=215),$AJ2477=10),"①病院一般",IF(AND($A2477=31,$AJ2477=41),"②病院短期","対象外")),IF($AJ2477=30,"③特定消防",IF(AND(OR($A2477=21,$A2477=215),$AJ2477=10),"④一般",IF(AND($A2477=31,$AJ2477=41),"⑤短期","対象外")))))</f>
        <v/>
      </c>
      <c r="DC2477" s="0" t="str">
        <f aca="false">IF($A2477="","",IF($AB2477&amp;""=設定!$C$4,1,0))</f>
        <v/>
      </c>
    </row>
    <row r="2478" customFormat="false" ht="15" hidden="false" customHeight="false" outlineLevel="0" collapsed="false">
      <c r="DB2478" s="0" t="str">
        <f aca="false">IF($A2478="","",IF($AH2478=20,IF(AND(OR($A2478=21,$A2478=215),$AJ2478=10),"①病院一般",IF(AND($A2478=31,$AJ2478=41),"②病院短期","対象外")),IF($AJ2478=30,"③特定消防",IF(AND(OR($A2478=21,$A2478=215),$AJ2478=10),"④一般",IF(AND($A2478=31,$AJ2478=41),"⑤短期","対象外")))))</f>
        <v/>
      </c>
      <c r="DC2478" s="0" t="str">
        <f aca="false">IF($A2478="","",IF($AB2478&amp;""=設定!$C$4,1,0))</f>
        <v/>
      </c>
    </row>
    <row r="2479" customFormat="false" ht="15" hidden="false" customHeight="false" outlineLevel="0" collapsed="false">
      <c r="DB2479" s="0" t="str">
        <f aca="false">IF($A2479="","",IF($AH2479=20,IF(AND(OR($A2479=21,$A2479=215),$AJ2479=10),"①病院一般",IF(AND($A2479=31,$AJ2479=41),"②病院短期","対象外")),IF($AJ2479=30,"③特定消防",IF(AND(OR($A2479=21,$A2479=215),$AJ2479=10),"④一般",IF(AND($A2479=31,$AJ2479=41),"⑤短期","対象外")))))</f>
        <v/>
      </c>
      <c r="DC2479" s="0" t="str">
        <f aca="false">IF($A2479="","",IF($AB2479&amp;""=設定!$C$4,1,0))</f>
        <v/>
      </c>
    </row>
    <row r="2480" customFormat="false" ht="15" hidden="false" customHeight="false" outlineLevel="0" collapsed="false">
      <c r="DB2480" s="0" t="str">
        <f aca="false">IF($A2480="","",IF($AH2480=20,IF(AND(OR($A2480=21,$A2480=215),$AJ2480=10),"①病院一般",IF(AND($A2480=31,$AJ2480=41),"②病院短期","対象外")),IF($AJ2480=30,"③特定消防",IF(AND(OR($A2480=21,$A2480=215),$AJ2480=10),"④一般",IF(AND($A2480=31,$AJ2480=41),"⑤短期","対象外")))))</f>
        <v/>
      </c>
      <c r="DC2480" s="0" t="str">
        <f aca="false">IF($A2480="","",IF($AB2480&amp;""=設定!$C$4,1,0))</f>
        <v/>
      </c>
    </row>
    <row r="2481" customFormat="false" ht="15" hidden="false" customHeight="false" outlineLevel="0" collapsed="false">
      <c r="DB2481" s="0" t="str">
        <f aca="false">IF($A2481="","",IF($AH2481=20,IF(AND(OR($A2481=21,$A2481=215),$AJ2481=10),"①病院一般",IF(AND($A2481=31,$AJ2481=41),"②病院短期","対象外")),IF($AJ2481=30,"③特定消防",IF(AND(OR($A2481=21,$A2481=215),$AJ2481=10),"④一般",IF(AND($A2481=31,$AJ2481=41),"⑤短期","対象外")))))</f>
        <v/>
      </c>
      <c r="DC2481" s="0" t="str">
        <f aca="false">IF($A2481="","",IF($AB2481&amp;""=設定!$C$4,1,0))</f>
        <v/>
      </c>
    </row>
    <row r="2482" customFormat="false" ht="15" hidden="false" customHeight="false" outlineLevel="0" collapsed="false">
      <c r="DB2482" s="0" t="str">
        <f aca="false">IF($A2482="","",IF($AH2482=20,IF(AND(OR($A2482=21,$A2482=215),$AJ2482=10),"①病院一般",IF(AND($A2482=31,$AJ2482=41),"②病院短期","対象外")),IF($AJ2482=30,"③特定消防",IF(AND(OR($A2482=21,$A2482=215),$AJ2482=10),"④一般",IF(AND($A2482=31,$AJ2482=41),"⑤短期","対象外")))))</f>
        <v/>
      </c>
      <c r="DC2482" s="0" t="str">
        <f aca="false">IF($A2482="","",IF($AB2482&amp;""=設定!$C$4,1,0))</f>
        <v/>
      </c>
    </row>
    <row r="2483" customFormat="false" ht="15" hidden="false" customHeight="false" outlineLevel="0" collapsed="false">
      <c r="DB2483" s="0" t="str">
        <f aca="false">IF($A2483="","",IF($AH2483=20,IF(AND(OR($A2483=21,$A2483=215),$AJ2483=10),"①病院一般",IF(AND($A2483=31,$AJ2483=41),"②病院短期","対象外")),IF($AJ2483=30,"③特定消防",IF(AND(OR($A2483=21,$A2483=215),$AJ2483=10),"④一般",IF(AND($A2483=31,$AJ2483=41),"⑤短期","対象外")))))</f>
        <v/>
      </c>
      <c r="DC2483" s="0" t="str">
        <f aca="false">IF($A2483="","",IF($AB2483&amp;""=設定!$C$4,1,0))</f>
        <v/>
      </c>
    </row>
    <row r="2484" customFormat="false" ht="15" hidden="false" customHeight="false" outlineLevel="0" collapsed="false">
      <c r="DB2484" s="0" t="str">
        <f aca="false">IF($A2484="","",IF($AH2484=20,IF(AND(OR($A2484=21,$A2484=215),$AJ2484=10),"①病院一般",IF(AND($A2484=31,$AJ2484=41),"②病院短期","対象外")),IF($AJ2484=30,"③特定消防",IF(AND(OR($A2484=21,$A2484=215),$AJ2484=10),"④一般",IF(AND($A2484=31,$AJ2484=41),"⑤短期","対象外")))))</f>
        <v/>
      </c>
      <c r="DC2484" s="0" t="str">
        <f aca="false">IF($A2484="","",IF($AB2484&amp;""=設定!$C$4,1,0))</f>
        <v/>
      </c>
    </row>
    <row r="2485" customFormat="false" ht="15" hidden="false" customHeight="false" outlineLevel="0" collapsed="false">
      <c r="DB2485" s="0" t="str">
        <f aca="false">IF($A2485="","",IF($AH2485=20,IF(AND(OR($A2485=21,$A2485=215),$AJ2485=10),"①病院一般",IF(AND($A2485=31,$AJ2485=41),"②病院短期","対象外")),IF($AJ2485=30,"③特定消防",IF(AND(OR($A2485=21,$A2485=215),$AJ2485=10),"④一般",IF(AND($A2485=31,$AJ2485=41),"⑤短期","対象外")))))</f>
        <v/>
      </c>
      <c r="DC2485" s="0" t="str">
        <f aca="false">IF($A2485="","",IF($AB2485&amp;""=設定!$C$4,1,0))</f>
        <v/>
      </c>
    </row>
    <row r="2486" customFormat="false" ht="15" hidden="false" customHeight="false" outlineLevel="0" collapsed="false">
      <c r="DB2486" s="0" t="str">
        <f aca="false">IF($A2486="","",IF($AH2486=20,IF(AND(OR($A2486=21,$A2486=215),$AJ2486=10),"①病院一般",IF(AND($A2486=31,$AJ2486=41),"②病院短期","対象外")),IF($AJ2486=30,"③特定消防",IF(AND(OR($A2486=21,$A2486=215),$AJ2486=10),"④一般",IF(AND($A2486=31,$AJ2486=41),"⑤短期","対象外")))))</f>
        <v/>
      </c>
      <c r="DC2486" s="0" t="str">
        <f aca="false">IF($A2486="","",IF($AB2486&amp;""=設定!$C$4,1,0))</f>
        <v/>
      </c>
    </row>
    <row r="2487" customFormat="false" ht="15" hidden="false" customHeight="false" outlineLevel="0" collapsed="false">
      <c r="DB2487" s="0" t="str">
        <f aca="false">IF($A2487="","",IF($AH2487=20,IF(AND(OR($A2487=21,$A2487=215),$AJ2487=10),"①病院一般",IF(AND($A2487=31,$AJ2487=41),"②病院短期","対象外")),IF($AJ2487=30,"③特定消防",IF(AND(OR($A2487=21,$A2487=215),$AJ2487=10),"④一般",IF(AND($A2487=31,$AJ2487=41),"⑤短期","対象外")))))</f>
        <v/>
      </c>
      <c r="DC2487" s="0" t="str">
        <f aca="false">IF($A2487="","",IF($AB2487&amp;""=設定!$C$4,1,0))</f>
        <v/>
      </c>
    </row>
    <row r="2488" customFormat="false" ht="15" hidden="false" customHeight="false" outlineLevel="0" collapsed="false">
      <c r="DB2488" s="0" t="str">
        <f aca="false">IF($A2488="","",IF($AH2488=20,IF(AND(OR($A2488=21,$A2488=215),$AJ2488=10),"①病院一般",IF(AND($A2488=31,$AJ2488=41),"②病院短期","対象外")),IF($AJ2488=30,"③特定消防",IF(AND(OR($A2488=21,$A2488=215),$AJ2488=10),"④一般",IF(AND($A2488=31,$AJ2488=41),"⑤短期","対象外")))))</f>
        <v/>
      </c>
      <c r="DC2488" s="0" t="str">
        <f aca="false">IF($A2488="","",IF($AB2488&amp;""=設定!$C$4,1,0))</f>
        <v/>
      </c>
    </row>
    <row r="2489" customFormat="false" ht="15" hidden="false" customHeight="false" outlineLevel="0" collapsed="false">
      <c r="DB2489" s="0" t="str">
        <f aca="false">IF($A2489="","",IF($AH2489=20,IF(AND(OR($A2489=21,$A2489=215),$AJ2489=10),"①病院一般",IF(AND($A2489=31,$AJ2489=41),"②病院短期","対象外")),IF($AJ2489=30,"③特定消防",IF(AND(OR($A2489=21,$A2489=215),$AJ2489=10),"④一般",IF(AND($A2489=31,$AJ2489=41),"⑤短期","対象外")))))</f>
        <v/>
      </c>
      <c r="DC2489" s="0" t="str">
        <f aca="false">IF($A2489="","",IF($AB2489&amp;""=設定!$C$4,1,0))</f>
        <v/>
      </c>
    </row>
    <row r="2490" customFormat="false" ht="15" hidden="false" customHeight="false" outlineLevel="0" collapsed="false">
      <c r="DB2490" s="0" t="str">
        <f aca="false">IF($A2490="","",IF($AH2490=20,IF(AND(OR($A2490=21,$A2490=215),$AJ2490=10),"①病院一般",IF(AND($A2490=31,$AJ2490=41),"②病院短期","対象外")),IF($AJ2490=30,"③特定消防",IF(AND(OR($A2490=21,$A2490=215),$AJ2490=10),"④一般",IF(AND($A2490=31,$AJ2490=41),"⑤短期","対象外")))))</f>
        <v/>
      </c>
      <c r="DC2490" s="0" t="str">
        <f aca="false">IF($A2490="","",IF($AB2490&amp;""=設定!$C$4,1,0))</f>
        <v/>
      </c>
    </row>
    <row r="2491" customFormat="false" ht="15" hidden="false" customHeight="false" outlineLevel="0" collapsed="false">
      <c r="DB2491" s="0" t="str">
        <f aca="false">IF($A2491="","",IF($AH2491=20,IF(AND(OR($A2491=21,$A2491=215),$AJ2491=10),"①病院一般",IF(AND($A2491=31,$AJ2491=41),"②病院短期","対象外")),IF($AJ2491=30,"③特定消防",IF(AND(OR($A2491=21,$A2491=215),$AJ2491=10),"④一般",IF(AND($A2491=31,$AJ2491=41),"⑤短期","対象外")))))</f>
        <v/>
      </c>
      <c r="DC2491" s="0" t="str">
        <f aca="false">IF($A2491="","",IF($AB2491&amp;""=設定!$C$4,1,0))</f>
        <v/>
      </c>
    </row>
    <row r="2492" customFormat="false" ht="15" hidden="false" customHeight="false" outlineLevel="0" collapsed="false">
      <c r="DB2492" s="0" t="str">
        <f aca="false">IF($A2492="","",IF($AH2492=20,IF(AND(OR($A2492=21,$A2492=215),$AJ2492=10),"①病院一般",IF(AND($A2492=31,$AJ2492=41),"②病院短期","対象外")),IF($AJ2492=30,"③特定消防",IF(AND(OR($A2492=21,$A2492=215),$AJ2492=10),"④一般",IF(AND($A2492=31,$AJ2492=41),"⑤短期","対象外")))))</f>
        <v/>
      </c>
      <c r="DC2492" s="0" t="str">
        <f aca="false">IF($A2492="","",IF($AB2492&amp;""=設定!$C$4,1,0))</f>
        <v/>
      </c>
    </row>
    <row r="2493" customFormat="false" ht="15" hidden="false" customHeight="false" outlineLevel="0" collapsed="false">
      <c r="DB2493" s="0" t="str">
        <f aca="false">IF($A2493="","",IF($AH2493=20,IF(AND(OR($A2493=21,$A2493=215),$AJ2493=10),"①病院一般",IF(AND($A2493=31,$AJ2493=41),"②病院短期","対象外")),IF($AJ2493=30,"③特定消防",IF(AND(OR($A2493=21,$A2493=215),$AJ2493=10),"④一般",IF(AND($A2493=31,$AJ2493=41),"⑤短期","対象外")))))</f>
        <v/>
      </c>
      <c r="DC2493" s="0" t="str">
        <f aca="false">IF($A2493="","",IF($AB2493&amp;""=設定!$C$4,1,0))</f>
        <v/>
      </c>
    </row>
    <row r="2494" customFormat="false" ht="15" hidden="false" customHeight="false" outlineLevel="0" collapsed="false">
      <c r="DB2494" s="0" t="str">
        <f aca="false">IF($A2494="","",IF($AH2494=20,IF(AND(OR($A2494=21,$A2494=215),$AJ2494=10),"①病院一般",IF(AND($A2494=31,$AJ2494=41),"②病院短期","対象外")),IF($AJ2494=30,"③特定消防",IF(AND(OR($A2494=21,$A2494=215),$AJ2494=10),"④一般",IF(AND($A2494=31,$AJ2494=41),"⑤短期","対象外")))))</f>
        <v/>
      </c>
      <c r="DC2494" s="0" t="str">
        <f aca="false">IF($A2494="","",IF($AB2494&amp;""=設定!$C$4,1,0))</f>
        <v/>
      </c>
    </row>
    <row r="2495" customFormat="false" ht="15" hidden="false" customHeight="false" outlineLevel="0" collapsed="false">
      <c r="DB2495" s="0" t="str">
        <f aca="false">IF($A2495="","",IF($AH2495=20,IF(AND(OR($A2495=21,$A2495=215),$AJ2495=10),"①病院一般",IF(AND($A2495=31,$AJ2495=41),"②病院短期","対象外")),IF($AJ2495=30,"③特定消防",IF(AND(OR($A2495=21,$A2495=215),$AJ2495=10),"④一般",IF(AND($A2495=31,$AJ2495=41),"⑤短期","対象外")))))</f>
        <v/>
      </c>
      <c r="DC2495" s="0" t="str">
        <f aca="false">IF($A2495="","",IF($AB2495&amp;""=設定!$C$4,1,0))</f>
        <v/>
      </c>
    </row>
    <row r="2496" customFormat="false" ht="15" hidden="false" customHeight="false" outlineLevel="0" collapsed="false">
      <c r="DB2496" s="0" t="str">
        <f aca="false">IF($A2496="","",IF($AH2496=20,IF(AND(OR($A2496=21,$A2496=215),$AJ2496=10),"①病院一般",IF(AND($A2496=31,$AJ2496=41),"②病院短期","対象外")),IF($AJ2496=30,"③特定消防",IF(AND(OR($A2496=21,$A2496=215),$AJ2496=10),"④一般",IF(AND($A2496=31,$AJ2496=41),"⑤短期","対象外")))))</f>
        <v/>
      </c>
      <c r="DC2496" s="0" t="str">
        <f aca="false">IF($A2496="","",IF($AB2496&amp;""=設定!$C$4,1,0))</f>
        <v/>
      </c>
    </row>
    <row r="2497" customFormat="false" ht="15" hidden="false" customHeight="false" outlineLevel="0" collapsed="false">
      <c r="DB2497" s="0" t="str">
        <f aca="false">IF($A2497="","",IF($AH2497=20,IF(AND(OR($A2497=21,$A2497=215),$AJ2497=10),"①病院一般",IF(AND($A2497=31,$AJ2497=41),"②病院短期","対象外")),IF($AJ2497=30,"③特定消防",IF(AND(OR($A2497=21,$A2497=215),$AJ2497=10),"④一般",IF(AND($A2497=31,$AJ2497=41),"⑤短期","対象外")))))</f>
        <v/>
      </c>
      <c r="DC2497" s="0" t="str">
        <f aca="false">IF($A2497="","",IF($AB2497&amp;""=設定!$C$4,1,0))</f>
        <v/>
      </c>
    </row>
    <row r="2498" customFormat="false" ht="15" hidden="false" customHeight="false" outlineLevel="0" collapsed="false">
      <c r="DB2498" s="0" t="str">
        <f aca="false">IF($A2498="","",IF($AH2498=20,IF(AND(OR($A2498=21,$A2498=215),$AJ2498=10),"①病院一般",IF(AND($A2498=31,$AJ2498=41),"②病院短期","対象外")),IF($AJ2498=30,"③特定消防",IF(AND(OR($A2498=21,$A2498=215),$AJ2498=10),"④一般",IF(AND($A2498=31,$AJ2498=41),"⑤短期","対象外")))))</f>
        <v/>
      </c>
      <c r="DC2498" s="0" t="str">
        <f aca="false">IF($A2498="","",IF($AB2498&amp;""=設定!$C$4,1,0))</f>
        <v/>
      </c>
    </row>
    <row r="2499" customFormat="false" ht="15" hidden="false" customHeight="false" outlineLevel="0" collapsed="false">
      <c r="DB2499" s="0" t="str">
        <f aca="false">IF($A2499="","",IF($AH2499=20,IF(AND(OR($A2499=21,$A2499=215),$AJ2499=10),"①病院一般",IF(AND($A2499=31,$AJ2499=41),"②病院短期","対象外")),IF($AJ2499=30,"③特定消防",IF(AND(OR($A2499=21,$A2499=215),$AJ2499=10),"④一般",IF(AND($A2499=31,$AJ2499=41),"⑤短期","対象外")))))</f>
        <v/>
      </c>
      <c r="DC2499" s="0" t="str">
        <f aca="false">IF($A2499="","",IF($AB2499&amp;""=設定!$C$4,1,0))</f>
        <v/>
      </c>
    </row>
    <row r="2500" customFormat="false" ht="15" hidden="false" customHeight="false" outlineLevel="0" collapsed="false">
      <c r="DB2500" s="0" t="str">
        <f aca="false">IF($A2500="","",IF($AH2500=20,IF(AND(OR($A2500=21,$A2500=215),$AJ2500=10),"①病院一般",IF(AND($A2500=31,$AJ2500=41),"②病院短期","対象外")),IF($AJ2500=30,"③特定消防",IF(AND(OR($A2500=21,$A2500=215),$AJ2500=10),"④一般",IF(AND($A2500=31,$AJ2500=41),"⑤短期","対象外")))))</f>
        <v/>
      </c>
      <c r="DC2500" s="0" t="str">
        <f aca="false">IF($A2500="","",IF($AB2500&amp;""=設定!$C$4,1,0))</f>
        <v/>
      </c>
    </row>
    <row r="2501" customFormat="false" ht="15" hidden="false" customHeight="false" outlineLevel="0" collapsed="false">
      <c r="DB2501" s="0" t="str">
        <f aca="false">IF($A2501="","",IF($AH2501=20,IF(AND(OR($A2501=21,$A2501=215),$AJ2501=10),"①病院一般",IF(AND($A2501=31,$AJ2501=41),"②病院短期","対象外")),IF($AJ2501=30,"③特定消防",IF(AND(OR($A2501=21,$A2501=215),$AJ2501=10),"④一般",IF(AND($A2501=31,$AJ2501=41),"⑤短期","対象外")))))</f>
        <v/>
      </c>
      <c r="DC2501" s="0" t="str">
        <f aca="false">IF($A2501="","",IF($AB2501&amp;""=設定!$C$4,1,0))</f>
        <v/>
      </c>
    </row>
    <row r="2502" customFormat="false" ht="15" hidden="false" customHeight="false" outlineLevel="0" collapsed="false">
      <c r="DB2502" s="0" t="str">
        <f aca="false">IF($A2502="","",IF($AH2502=20,IF(AND(OR($A2502=21,$A2502=215),$AJ2502=10),"①病院一般",IF(AND($A2502=31,$AJ2502=41),"②病院短期","対象外")),IF($AJ2502=30,"③特定消防",IF(AND(OR($A2502=21,$A2502=215),$AJ2502=10),"④一般",IF(AND($A2502=31,$AJ2502=41),"⑤短期","対象外")))))</f>
        <v/>
      </c>
      <c r="DC2502" s="0" t="str">
        <f aca="false">IF($A2502="","",IF($AB2502&amp;""=設定!$C$4,1,0))</f>
        <v/>
      </c>
    </row>
    <row r="2503" customFormat="false" ht="15" hidden="false" customHeight="false" outlineLevel="0" collapsed="false">
      <c r="DB2503" s="0" t="str">
        <f aca="false">IF($A2503="","",IF($AH2503=20,IF(AND(OR($A2503=21,$A2503=215),$AJ2503=10),"①病院一般",IF(AND($A2503=31,$AJ2503=41),"②病院短期","対象外")),IF($AJ2503=30,"③特定消防",IF(AND(OR($A2503=21,$A2503=215),$AJ2503=10),"④一般",IF(AND($A2503=31,$AJ2503=41),"⑤短期","対象外")))))</f>
        <v/>
      </c>
      <c r="DC2503" s="0" t="str">
        <f aca="false">IF($A2503="","",IF($AB2503&amp;""=設定!$C$4,1,0))</f>
        <v/>
      </c>
    </row>
    <row r="2504" customFormat="false" ht="15" hidden="false" customHeight="false" outlineLevel="0" collapsed="false">
      <c r="DB2504" s="0" t="str">
        <f aca="false">IF($A2504="","",IF($AH2504=20,IF(AND(OR($A2504=21,$A2504=215),$AJ2504=10),"①病院一般",IF(AND($A2504=31,$AJ2504=41),"②病院短期","対象外")),IF($AJ2504=30,"③特定消防",IF(AND(OR($A2504=21,$A2504=215),$AJ2504=10),"④一般",IF(AND($A2504=31,$AJ2504=41),"⑤短期","対象外")))))</f>
        <v/>
      </c>
      <c r="DC2504" s="0" t="str">
        <f aca="false">IF($A2504="","",IF($AB2504&amp;""=設定!$C$4,1,0))</f>
        <v/>
      </c>
    </row>
    <row r="2505" customFormat="false" ht="15" hidden="false" customHeight="false" outlineLevel="0" collapsed="false">
      <c r="DB2505" s="0" t="str">
        <f aca="false">IF($A2505="","",IF($AH2505=20,IF(AND(OR($A2505=21,$A2505=215),$AJ2505=10),"①病院一般",IF(AND($A2505=31,$AJ2505=41),"②病院短期","対象外")),IF($AJ2505=30,"③特定消防",IF(AND(OR($A2505=21,$A2505=215),$AJ2505=10),"④一般",IF(AND($A2505=31,$AJ2505=41),"⑤短期","対象外")))))</f>
        <v/>
      </c>
      <c r="DC2505" s="0" t="str">
        <f aca="false">IF($A2505="","",IF($AB2505&amp;""=設定!$C$4,1,0))</f>
        <v/>
      </c>
    </row>
    <row r="2506" customFormat="false" ht="15" hidden="false" customHeight="false" outlineLevel="0" collapsed="false">
      <c r="DB2506" s="0" t="str">
        <f aca="false">IF($A2506="","",IF($AH2506=20,IF(AND(OR($A2506=21,$A2506=215),$AJ2506=10),"①病院一般",IF(AND($A2506=31,$AJ2506=41),"②病院短期","対象外")),IF($AJ2506=30,"③特定消防",IF(AND(OR($A2506=21,$A2506=215),$AJ2506=10),"④一般",IF(AND($A2506=31,$AJ2506=41),"⑤短期","対象外")))))</f>
        <v/>
      </c>
      <c r="DC2506" s="0" t="str">
        <f aca="false">IF($A2506="","",IF($AB2506&amp;""=設定!$C$4,1,0))</f>
        <v/>
      </c>
    </row>
    <row r="2507" customFormat="false" ht="15" hidden="false" customHeight="false" outlineLevel="0" collapsed="false">
      <c r="DB2507" s="0" t="str">
        <f aca="false">IF($A2507="","",IF($AH2507=20,IF(AND(OR($A2507=21,$A2507=215),$AJ2507=10),"①病院一般",IF(AND($A2507=31,$AJ2507=41),"②病院短期","対象外")),IF($AJ2507=30,"③特定消防",IF(AND(OR($A2507=21,$A2507=215),$AJ2507=10),"④一般",IF(AND($A2507=31,$AJ2507=41),"⑤短期","対象外")))))</f>
        <v/>
      </c>
      <c r="DC2507" s="0" t="str">
        <f aca="false">IF($A2507="","",IF($AB2507&amp;""=設定!$C$4,1,0))</f>
        <v/>
      </c>
    </row>
    <row r="2508" customFormat="false" ht="15" hidden="false" customHeight="false" outlineLevel="0" collapsed="false">
      <c r="DB2508" s="0" t="str">
        <f aca="false">IF($A2508="","",IF($AH2508=20,IF(AND(OR($A2508=21,$A2508=215),$AJ2508=10),"①病院一般",IF(AND($A2508=31,$AJ2508=41),"②病院短期","対象外")),IF($AJ2508=30,"③特定消防",IF(AND(OR($A2508=21,$A2508=215),$AJ2508=10),"④一般",IF(AND($A2508=31,$AJ2508=41),"⑤短期","対象外")))))</f>
        <v/>
      </c>
      <c r="DC2508" s="0" t="str">
        <f aca="false">IF($A2508="","",IF($AB2508&amp;""=設定!$C$4,1,0))</f>
        <v/>
      </c>
    </row>
    <row r="2509" customFormat="false" ht="15" hidden="false" customHeight="false" outlineLevel="0" collapsed="false">
      <c r="DB2509" s="0" t="str">
        <f aca="false">IF($A2509="","",IF($AH2509=20,IF(AND(OR($A2509=21,$A2509=215),$AJ2509=10),"①病院一般",IF(AND($A2509=31,$AJ2509=41),"②病院短期","対象外")),IF($AJ2509=30,"③特定消防",IF(AND(OR($A2509=21,$A2509=215),$AJ2509=10),"④一般",IF(AND($A2509=31,$AJ2509=41),"⑤短期","対象外")))))</f>
        <v/>
      </c>
      <c r="DC2509" s="0" t="str">
        <f aca="false">IF($A2509="","",IF($AB2509&amp;""=設定!$C$4,1,0))</f>
        <v/>
      </c>
    </row>
    <row r="2510" customFormat="false" ht="15" hidden="false" customHeight="false" outlineLevel="0" collapsed="false">
      <c r="DB2510" s="0" t="str">
        <f aca="false">IF($A2510="","",IF($AH2510=20,IF(AND(OR($A2510=21,$A2510=215),$AJ2510=10),"①病院一般",IF(AND($A2510=31,$AJ2510=41),"②病院短期","対象外")),IF($AJ2510=30,"③特定消防",IF(AND(OR($A2510=21,$A2510=215),$AJ2510=10),"④一般",IF(AND($A2510=31,$AJ2510=41),"⑤短期","対象外")))))</f>
        <v/>
      </c>
      <c r="DC2510" s="0" t="str">
        <f aca="false">IF($A2510="","",IF($AB2510&amp;""=設定!$C$4,1,0))</f>
        <v/>
      </c>
    </row>
    <row r="2511" customFormat="false" ht="15" hidden="false" customHeight="false" outlineLevel="0" collapsed="false">
      <c r="DB2511" s="0" t="str">
        <f aca="false">IF($A2511="","",IF($AH2511=20,IF(AND(OR($A2511=21,$A2511=215),$AJ2511=10),"①病院一般",IF(AND($A2511=31,$AJ2511=41),"②病院短期","対象外")),IF($AJ2511=30,"③特定消防",IF(AND(OR($A2511=21,$A2511=215),$AJ2511=10),"④一般",IF(AND($A2511=31,$AJ2511=41),"⑤短期","対象外")))))</f>
        <v/>
      </c>
      <c r="DC2511" s="0" t="str">
        <f aca="false">IF($A2511="","",IF($AB2511&amp;""=設定!$C$4,1,0))</f>
        <v/>
      </c>
    </row>
    <row r="2512" customFormat="false" ht="15" hidden="false" customHeight="false" outlineLevel="0" collapsed="false">
      <c r="DB2512" s="0" t="str">
        <f aca="false">IF($A2512="","",IF($AH2512=20,IF(AND(OR($A2512=21,$A2512=215),$AJ2512=10),"①病院一般",IF(AND($A2512=31,$AJ2512=41),"②病院短期","対象外")),IF($AJ2512=30,"③特定消防",IF(AND(OR($A2512=21,$A2512=215),$AJ2512=10),"④一般",IF(AND($A2512=31,$AJ2512=41),"⑤短期","対象外")))))</f>
        <v/>
      </c>
      <c r="DC2512" s="0" t="str">
        <f aca="false">IF($A2512="","",IF($AB2512&amp;""=設定!$C$4,1,0))</f>
        <v/>
      </c>
    </row>
    <row r="2513" customFormat="false" ht="15" hidden="false" customHeight="false" outlineLevel="0" collapsed="false">
      <c r="DB2513" s="0" t="str">
        <f aca="false">IF($A2513="","",IF($AH2513=20,IF(AND(OR($A2513=21,$A2513=215),$AJ2513=10),"①病院一般",IF(AND($A2513=31,$AJ2513=41),"②病院短期","対象外")),IF($AJ2513=30,"③特定消防",IF(AND(OR($A2513=21,$A2513=215),$AJ2513=10),"④一般",IF(AND($A2513=31,$AJ2513=41),"⑤短期","対象外")))))</f>
        <v/>
      </c>
      <c r="DC2513" s="0" t="str">
        <f aca="false">IF($A2513="","",IF($AB2513&amp;""=設定!$C$4,1,0))</f>
        <v/>
      </c>
    </row>
    <row r="2514" customFormat="false" ht="15" hidden="false" customHeight="false" outlineLevel="0" collapsed="false">
      <c r="DB2514" s="0" t="str">
        <f aca="false">IF($A2514="","",IF($AH2514=20,IF(AND(OR($A2514=21,$A2514=215),$AJ2514=10),"①病院一般",IF(AND($A2514=31,$AJ2514=41),"②病院短期","対象外")),IF($AJ2514=30,"③特定消防",IF(AND(OR($A2514=21,$A2514=215),$AJ2514=10),"④一般",IF(AND($A2514=31,$AJ2514=41),"⑤短期","対象外")))))</f>
        <v/>
      </c>
      <c r="DC2514" s="0" t="str">
        <f aca="false">IF($A2514="","",IF($AB2514&amp;""=設定!$C$4,1,0))</f>
        <v/>
      </c>
    </row>
    <row r="2515" customFormat="false" ht="15" hidden="false" customHeight="false" outlineLevel="0" collapsed="false">
      <c r="DB2515" s="0" t="str">
        <f aca="false">IF($A2515="","",IF($AH2515=20,IF(AND(OR($A2515=21,$A2515=215),$AJ2515=10),"①病院一般",IF(AND($A2515=31,$AJ2515=41),"②病院短期","対象外")),IF($AJ2515=30,"③特定消防",IF(AND(OR($A2515=21,$A2515=215),$AJ2515=10),"④一般",IF(AND($A2515=31,$AJ2515=41),"⑤短期","対象外")))))</f>
        <v/>
      </c>
      <c r="DC2515" s="0" t="str">
        <f aca="false">IF($A2515="","",IF($AB2515&amp;""=設定!$C$4,1,0))</f>
        <v/>
      </c>
    </row>
    <row r="2516" customFormat="false" ht="15" hidden="false" customHeight="false" outlineLevel="0" collapsed="false">
      <c r="DB2516" s="0" t="str">
        <f aca="false">IF($A2516="","",IF($AH2516=20,IF(AND(OR($A2516=21,$A2516=215),$AJ2516=10),"①病院一般",IF(AND($A2516=31,$AJ2516=41),"②病院短期","対象外")),IF($AJ2516=30,"③特定消防",IF(AND(OR($A2516=21,$A2516=215),$AJ2516=10),"④一般",IF(AND($A2516=31,$AJ2516=41),"⑤短期","対象外")))))</f>
        <v/>
      </c>
      <c r="DC2516" s="0" t="str">
        <f aca="false">IF($A2516="","",IF($AB2516&amp;""=設定!$C$4,1,0))</f>
        <v/>
      </c>
    </row>
    <row r="2517" customFormat="false" ht="15" hidden="false" customHeight="false" outlineLevel="0" collapsed="false">
      <c r="DB2517" s="0" t="str">
        <f aca="false">IF($A2517="","",IF($AH2517=20,IF(AND(OR($A2517=21,$A2517=215),$AJ2517=10),"①病院一般",IF(AND($A2517=31,$AJ2517=41),"②病院短期","対象外")),IF($AJ2517=30,"③特定消防",IF(AND(OR($A2517=21,$A2517=215),$AJ2517=10),"④一般",IF(AND($A2517=31,$AJ2517=41),"⑤短期","対象外")))))</f>
        <v/>
      </c>
      <c r="DC2517" s="0" t="str">
        <f aca="false">IF($A2517="","",IF($AB2517&amp;""=設定!$C$4,1,0))</f>
        <v/>
      </c>
    </row>
    <row r="2518" customFormat="false" ht="15" hidden="false" customHeight="false" outlineLevel="0" collapsed="false">
      <c r="DB2518" s="0" t="str">
        <f aca="false">IF($A2518="","",IF($AH2518=20,IF(AND(OR($A2518=21,$A2518=215),$AJ2518=10),"①病院一般",IF(AND($A2518=31,$AJ2518=41),"②病院短期","対象外")),IF($AJ2518=30,"③特定消防",IF(AND(OR($A2518=21,$A2518=215),$AJ2518=10),"④一般",IF(AND($A2518=31,$AJ2518=41),"⑤短期","対象外")))))</f>
        <v/>
      </c>
      <c r="DC2518" s="0" t="str">
        <f aca="false">IF($A2518="","",IF($AB2518&amp;""=設定!$C$4,1,0))</f>
        <v/>
      </c>
    </row>
    <row r="2519" customFormat="false" ht="15" hidden="false" customHeight="false" outlineLevel="0" collapsed="false">
      <c r="DB2519" s="0" t="str">
        <f aca="false">IF($A2519="","",IF($AH2519=20,IF(AND(OR($A2519=21,$A2519=215),$AJ2519=10),"①病院一般",IF(AND($A2519=31,$AJ2519=41),"②病院短期","対象外")),IF($AJ2519=30,"③特定消防",IF(AND(OR($A2519=21,$A2519=215),$AJ2519=10),"④一般",IF(AND($A2519=31,$AJ2519=41),"⑤短期","対象外")))))</f>
        <v/>
      </c>
      <c r="DC2519" s="0" t="str">
        <f aca="false">IF($A2519="","",IF($AB2519&amp;""=設定!$C$4,1,0))</f>
        <v/>
      </c>
    </row>
    <row r="2520" customFormat="false" ht="15" hidden="false" customHeight="false" outlineLevel="0" collapsed="false">
      <c r="DB2520" s="0" t="str">
        <f aca="false">IF($A2520="","",IF($AH2520=20,IF(AND(OR($A2520=21,$A2520=215),$AJ2520=10),"①病院一般",IF(AND($A2520=31,$AJ2520=41),"②病院短期","対象外")),IF($AJ2520=30,"③特定消防",IF(AND(OR($A2520=21,$A2520=215),$AJ2520=10),"④一般",IF(AND($A2520=31,$AJ2520=41),"⑤短期","対象外")))))</f>
        <v/>
      </c>
      <c r="DC2520" s="0" t="str">
        <f aca="false">IF($A2520="","",IF($AB2520&amp;""=設定!$C$4,1,0))</f>
        <v/>
      </c>
    </row>
    <row r="2521" customFormat="false" ht="15" hidden="false" customHeight="false" outlineLevel="0" collapsed="false">
      <c r="DB2521" s="0" t="str">
        <f aca="false">IF($A2521="","",IF($AH2521=20,IF(AND(OR($A2521=21,$A2521=215),$AJ2521=10),"①病院一般",IF(AND($A2521=31,$AJ2521=41),"②病院短期","対象外")),IF($AJ2521=30,"③特定消防",IF(AND(OR($A2521=21,$A2521=215),$AJ2521=10),"④一般",IF(AND($A2521=31,$AJ2521=41),"⑤短期","対象外")))))</f>
        <v/>
      </c>
      <c r="DC2521" s="0" t="str">
        <f aca="false">IF($A2521="","",IF($AB2521&amp;""=設定!$C$4,1,0))</f>
        <v/>
      </c>
    </row>
    <row r="2522" customFormat="false" ht="15" hidden="false" customHeight="false" outlineLevel="0" collapsed="false">
      <c r="DB2522" s="0" t="str">
        <f aca="false">IF($A2522="","",IF($AH2522=20,IF(AND(OR($A2522=21,$A2522=215),$AJ2522=10),"①病院一般",IF(AND($A2522=31,$AJ2522=41),"②病院短期","対象外")),IF($AJ2522=30,"③特定消防",IF(AND(OR($A2522=21,$A2522=215),$AJ2522=10),"④一般",IF(AND($A2522=31,$AJ2522=41),"⑤短期","対象外")))))</f>
        <v/>
      </c>
      <c r="DC2522" s="0" t="str">
        <f aca="false">IF($A2522="","",IF($AB2522&amp;""=設定!$C$4,1,0))</f>
        <v/>
      </c>
    </row>
    <row r="2523" customFormat="false" ht="15" hidden="false" customHeight="false" outlineLevel="0" collapsed="false">
      <c r="DB2523" s="0" t="str">
        <f aca="false">IF($A2523="","",IF($AH2523=20,IF(AND(OR($A2523=21,$A2523=215),$AJ2523=10),"①病院一般",IF(AND($A2523=31,$AJ2523=41),"②病院短期","対象外")),IF($AJ2523=30,"③特定消防",IF(AND(OR($A2523=21,$A2523=215),$AJ2523=10),"④一般",IF(AND($A2523=31,$AJ2523=41),"⑤短期","対象外")))))</f>
        <v/>
      </c>
      <c r="DC2523" s="0" t="str">
        <f aca="false">IF($A2523="","",IF($AB2523&amp;""=設定!$C$4,1,0))</f>
        <v/>
      </c>
    </row>
    <row r="2524" customFormat="false" ht="15" hidden="false" customHeight="false" outlineLevel="0" collapsed="false">
      <c r="DB2524" s="0" t="str">
        <f aca="false">IF($A2524="","",IF($AH2524=20,IF(AND(OR($A2524=21,$A2524=215),$AJ2524=10),"①病院一般",IF(AND($A2524=31,$AJ2524=41),"②病院短期","対象外")),IF($AJ2524=30,"③特定消防",IF(AND(OR($A2524=21,$A2524=215),$AJ2524=10),"④一般",IF(AND($A2524=31,$AJ2524=41),"⑤短期","対象外")))))</f>
        <v/>
      </c>
      <c r="DC2524" s="0" t="str">
        <f aca="false">IF($A2524="","",IF($AB2524&amp;""=設定!$C$4,1,0))</f>
        <v/>
      </c>
    </row>
    <row r="2525" customFormat="false" ht="15" hidden="false" customHeight="false" outlineLevel="0" collapsed="false">
      <c r="DB2525" s="0" t="str">
        <f aca="false">IF($A2525="","",IF($AH2525=20,IF(AND(OR($A2525=21,$A2525=215),$AJ2525=10),"①病院一般",IF(AND($A2525=31,$AJ2525=41),"②病院短期","対象外")),IF($AJ2525=30,"③特定消防",IF(AND(OR($A2525=21,$A2525=215),$AJ2525=10),"④一般",IF(AND($A2525=31,$AJ2525=41),"⑤短期","対象外")))))</f>
        <v/>
      </c>
      <c r="DC2525" s="0" t="str">
        <f aca="false">IF($A2525="","",IF($AB2525&amp;""=設定!$C$4,1,0))</f>
        <v/>
      </c>
    </row>
    <row r="2526" customFormat="false" ht="15" hidden="false" customHeight="false" outlineLevel="0" collapsed="false">
      <c r="DB2526" s="0" t="str">
        <f aca="false">IF($A2526="","",IF($AH2526=20,IF(AND(OR($A2526=21,$A2526=215),$AJ2526=10),"①病院一般",IF(AND($A2526=31,$AJ2526=41),"②病院短期","対象外")),IF($AJ2526=30,"③特定消防",IF(AND(OR($A2526=21,$A2526=215),$AJ2526=10),"④一般",IF(AND($A2526=31,$AJ2526=41),"⑤短期","対象外")))))</f>
        <v/>
      </c>
      <c r="DC2526" s="0" t="str">
        <f aca="false">IF($A2526="","",IF($AB2526&amp;""=設定!$C$4,1,0))</f>
        <v/>
      </c>
    </row>
    <row r="2527" customFormat="false" ht="15" hidden="false" customHeight="false" outlineLevel="0" collapsed="false">
      <c r="DB2527" s="0" t="str">
        <f aca="false">IF($A2527="","",IF($AH2527=20,IF(AND(OR($A2527=21,$A2527=215),$AJ2527=10),"①病院一般",IF(AND($A2527=31,$AJ2527=41),"②病院短期","対象外")),IF($AJ2527=30,"③特定消防",IF(AND(OR($A2527=21,$A2527=215),$AJ2527=10),"④一般",IF(AND($A2527=31,$AJ2527=41),"⑤短期","対象外")))))</f>
        <v/>
      </c>
      <c r="DC2527" s="0" t="str">
        <f aca="false">IF($A2527="","",IF($AB2527&amp;""=設定!$C$4,1,0))</f>
        <v/>
      </c>
    </row>
    <row r="2528" customFormat="false" ht="15" hidden="false" customHeight="false" outlineLevel="0" collapsed="false">
      <c r="DB2528" s="0" t="str">
        <f aca="false">IF($A2528="","",IF($AH2528=20,IF(AND(OR($A2528=21,$A2528=215),$AJ2528=10),"①病院一般",IF(AND($A2528=31,$AJ2528=41),"②病院短期","対象外")),IF($AJ2528=30,"③特定消防",IF(AND(OR($A2528=21,$A2528=215),$AJ2528=10),"④一般",IF(AND($A2528=31,$AJ2528=41),"⑤短期","対象外")))))</f>
        <v/>
      </c>
      <c r="DC2528" s="0" t="str">
        <f aca="false">IF($A2528="","",IF($AB2528&amp;""=設定!$C$4,1,0))</f>
        <v/>
      </c>
    </row>
    <row r="2529" customFormat="false" ht="15" hidden="false" customHeight="false" outlineLevel="0" collapsed="false">
      <c r="DB2529" s="0" t="str">
        <f aca="false">IF($A2529="","",IF($AH2529=20,IF(AND(OR($A2529=21,$A2529=215),$AJ2529=10),"①病院一般",IF(AND($A2529=31,$AJ2529=41),"②病院短期","対象外")),IF($AJ2529=30,"③特定消防",IF(AND(OR($A2529=21,$A2529=215),$AJ2529=10),"④一般",IF(AND($A2529=31,$AJ2529=41),"⑤短期","対象外")))))</f>
        <v/>
      </c>
      <c r="DC2529" s="0" t="str">
        <f aca="false">IF($A2529="","",IF($AB2529&amp;""=設定!$C$4,1,0))</f>
        <v/>
      </c>
    </row>
    <row r="2530" customFormat="false" ht="15" hidden="false" customHeight="false" outlineLevel="0" collapsed="false">
      <c r="DB2530" s="0" t="str">
        <f aca="false">IF($A2530="","",IF($AH2530=20,IF(AND(OR($A2530=21,$A2530=215),$AJ2530=10),"①病院一般",IF(AND($A2530=31,$AJ2530=41),"②病院短期","対象外")),IF($AJ2530=30,"③特定消防",IF(AND(OR($A2530=21,$A2530=215),$AJ2530=10),"④一般",IF(AND($A2530=31,$AJ2530=41),"⑤短期","対象外")))))</f>
        <v/>
      </c>
      <c r="DC2530" s="0" t="str">
        <f aca="false">IF($A2530="","",IF($AB2530&amp;""=設定!$C$4,1,0))</f>
        <v/>
      </c>
    </row>
    <row r="2531" customFormat="false" ht="15" hidden="false" customHeight="false" outlineLevel="0" collapsed="false">
      <c r="DB2531" s="0" t="str">
        <f aca="false">IF($A2531="","",IF($AH2531=20,IF(AND(OR($A2531=21,$A2531=215),$AJ2531=10),"①病院一般",IF(AND($A2531=31,$AJ2531=41),"②病院短期","対象外")),IF($AJ2531=30,"③特定消防",IF(AND(OR($A2531=21,$A2531=215),$AJ2531=10),"④一般",IF(AND($A2531=31,$AJ2531=41),"⑤短期","対象外")))))</f>
        <v/>
      </c>
      <c r="DC2531" s="0" t="str">
        <f aca="false">IF($A2531="","",IF($AB2531&amp;""=設定!$C$4,1,0))</f>
        <v/>
      </c>
    </row>
    <row r="2532" customFormat="false" ht="15" hidden="false" customHeight="false" outlineLevel="0" collapsed="false">
      <c r="DB2532" s="0" t="str">
        <f aca="false">IF($A2532="","",IF($AH2532=20,IF(AND(OR($A2532=21,$A2532=215),$AJ2532=10),"①病院一般",IF(AND($A2532=31,$AJ2532=41),"②病院短期","対象外")),IF($AJ2532=30,"③特定消防",IF(AND(OR($A2532=21,$A2532=215),$AJ2532=10),"④一般",IF(AND($A2532=31,$AJ2532=41),"⑤短期","対象外")))))</f>
        <v/>
      </c>
      <c r="DC2532" s="0" t="str">
        <f aca="false">IF($A2532="","",IF($AB2532&amp;""=設定!$C$4,1,0))</f>
        <v/>
      </c>
    </row>
    <row r="2533" customFormat="false" ht="15" hidden="false" customHeight="false" outlineLevel="0" collapsed="false">
      <c r="DB2533" s="0" t="str">
        <f aca="false">IF($A2533="","",IF($AH2533=20,IF(AND(OR($A2533=21,$A2533=215),$AJ2533=10),"①病院一般",IF(AND($A2533=31,$AJ2533=41),"②病院短期","対象外")),IF($AJ2533=30,"③特定消防",IF(AND(OR($A2533=21,$A2533=215),$AJ2533=10),"④一般",IF(AND($A2533=31,$AJ2533=41),"⑤短期","対象外")))))</f>
        <v/>
      </c>
      <c r="DC2533" s="0" t="str">
        <f aca="false">IF($A2533="","",IF($AB2533&amp;""=設定!$C$4,1,0))</f>
        <v/>
      </c>
    </row>
    <row r="2534" customFormat="false" ht="15" hidden="false" customHeight="false" outlineLevel="0" collapsed="false">
      <c r="DB2534" s="0" t="str">
        <f aca="false">IF($A2534="","",IF($AH2534=20,IF(AND(OR($A2534=21,$A2534=215),$AJ2534=10),"①病院一般",IF(AND($A2534=31,$AJ2534=41),"②病院短期","対象外")),IF($AJ2534=30,"③特定消防",IF(AND(OR($A2534=21,$A2534=215),$AJ2534=10),"④一般",IF(AND($A2534=31,$AJ2534=41),"⑤短期","対象外")))))</f>
        <v/>
      </c>
      <c r="DC2534" s="0" t="str">
        <f aca="false">IF($A2534="","",IF($AB2534&amp;""=設定!$C$4,1,0))</f>
        <v/>
      </c>
    </row>
    <row r="2535" customFormat="false" ht="15" hidden="false" customHeight="false" outlineLevel="0" collapsed="false">
      <c r="DB2535" s="0" t="str">
        <f aca="false">IF($A2535="","",IF($AH2535=20,IF(AND(OR($A2535=21,$A2535=215),$AJ2535=10),"①病院一般",IF(AND($A2535=31,$AJ2535=41),"②病院短期","対象外")),IF($AJ2535=30,"③特定消防",IF(AND(OR($A2535=21,$A2535=215),$AJ2535=10),"④一般",IF(AND($A2535=31,$AJ2535=41),"⑤短期","対象外")))))</f>
        <v/>
      </c>
      <c r="DC2535" s="0" t="str">
        <f aca="false">IF($A2535="","",IF($AB2535&amp;""=設定!$C$4,1,0))</f>
        <v/>
      </c>
    </row>
    <row r="2536" customFormat="false" ht="15" hidden="false" customHeight="false" outlineLevel="0" collapsed="false">
      <c r="DB2536" s="0" t="str">
        <f aca="false">IF($A2536="","",IF($AH2536=20,IF(AND(OR($A2536=21,$A2536=215),$AJ2536=10),"①病院一般",IF(AND($A2536=31,$AJ2536=41),"②病院短期","対象外")),IF($AJ2536=30,"③特定消防",IF(AND(OR($A2536=21,$A2536=215),$AJ2536=10),"④一般",IF(AND($A2536=31,$AJ2536=41),"⑤短期","対象外")))))</f>
        <v/>
      </c>
      <c r="DC2536" s="0" t="str">
        <f aca="false">IF($A2536="","",IF($AB2536&amp;""=設定!$C$4,1,0))</f>
        <v/>
      </c>
    </row>
    <row r="2537" customFormat="false" ht="15" hidden="false" customHeight="false" outlineLevel="0" collapsed="false">
      <c r="DB2537" s="0" t="str">
        <f aca="false">IF($A2537="","",IF($AH2537=20,IF(AND(OR($A2537=21,$A2537=215),$AJ2537=10),"①病院一般",IF(AND($A2537=31,$AJ2537=41),"②病院短期","対象外")),IF($AJ2537=30,"③特定消防",IF(AND(OR($A2537=21,$A2537=215),$AJ2537=10),"④一般",IF(AND($A2537=31,$AJ2537=41),"⑤短期","対象外")))))</f>
        <v/>
      </c>
      <c r="DC2537" s="0" t="str">
        <f aca="false">IF($A2537="","",IF($AB2537&amp;""=設定!$C$4,1,0))</f>
        <v/>
      </c>
    </row>
    <row r="2538" customFormat="false" ht="15" hidden="false" customHeight="false" outlineLevel="0" collapsed="false">
      <c r="DB2538" s="0" t="str">
        <f aca="false">IF($A2538="","",IF($AH2538=20,IF(AND(OR($A2538=21,$A2538=215),$AJ2538=10),"①病院一般",IF(AND($A2538=31,$AJ2538=41),"②病院短期","対象外")),IF($AJ2538=30,"③特定消防",IF(AND(OR($A2538=21,$A2538=215),$AJ2538=10),"④一般",IF(AND($A2538=31,$AJ2538=41),"⑤短期","対象外")))))</f>
        <v/>
      </c>
      <c r="DC2538" s="0" t="str">
        <f aca="false">IF($A2538="","",IF($AB2538&amp;""=設定!$C$4,1,0))</f>
        <v/>
      </c>
    </row>
    <row r="2539" customFormat="false" ht="15" hidden="false" customHeight="false" outlineLevel="0" collapsed="false">
      <c r="DB2539" s="0" t="str">
        <f aca="false">IF($A2539="","",IF($AH2539=20,IF(AND(OR($A2539=21,$A2539=215),$AJ2539=10),"①病院一般",IF(AND($A2539=31,$AJ2539=41),"②病院短期","対象外")),IF($AJ2539=30,"③特定消防",IF(AND(OR($A2539=21,$A2539=215),$AJ2539=10),"④一般",IF(AND($A2539=31,$AJ2539=41),"⑤短期","対象外")))))</f>
        <v/>
      </c>
      <c r="DC2539" s="0" t="str">
        <f aca="false">IF($A2539="","",IF($AB2539&amp;""=設定!$C$4,1,0))</f>
        <v/>
      </c>
    </row>
    <row r="2540" customFormat="false" ht="15" hidden="false" customHeight="false" outlineLevel="0" collapsed="false">
      <c r="DB2540" s="0" t="str">
        <f aca="false">IF($A2540="","",IF($AH2540=20,IF(AND(OR($A2540=21,$A2540=215),$AJ2540=10),"①病院一般",IF(AND($A2540=31,$AJ2540=41),"②病院短期","対象外")),IF($AJ2540=30,"③特定消防",IF(AND(OR($A2540=21,$A2540=215),$AJ2540=10),"④一般",IF(AND($A2540=31,$AJ2540=41),"⑤短期","対象外")))))</f>
        <v/>
      </c>
      <c r="DC2540" s="0" t="str">
        <f aca="false">IF($A2540="","",IF($AB2540&amp;""=設定!$C$4,1,0))</f>
        <v/>
      </c>
    </row>
    <row r="2541" customFormat="false" ht="15" hidden="false" customHeight="false" outlineLevel="0" collapsed="false">
      <c r="DB2541" s="0" t="str">
        <f aca="false">IF($A2541="","",IF($AH2541=20,IF(AND(OR($A2541=21,$A2541=215),$AJ2541=10),"①病院一般",IF(AND($A2541=31,$AJ2541=41),"②病院短期","対象外")),IF($AJ2541=30,"③特定消防",IF(AND(OR($A2541=21,$A2541=215),$AJ2541=10),"④一般",IF(AND($A2541=31,$AJ2541=41),"⑤短期","対象外")))))</f>
        <v/>
      </c>
      <c r="DC2541" s="0" t="str">
        <f aca="false">IF($A2541="","",IF($AB2541&amp;""=設定!$C$4,1,0))</f>
        <v/>
      </c>
    </row>
    <row r="2542" customFormat="false" ht="15" hidden="false" customHeight="false" outlineLevel="0" collapsed="false">
      <c r="DB2542" s="0" t="str">
        <f aca="false">IF($A2542="","",IF($AH2542=20,IF(AND(OR($A2542=21,$A2542=215),$AJ2542=10),"①病院一般",IF(AND($A2542=31,$AJ2542=41),"②病院短期","対象外")),IF($AJ2542=30,"③特定消防",IF(AND(OR($A2542=21,$A2542=215),$AJ2542=10),"④一般",IF(AND($A2542=31,$AJ2542=41),"⑤短期","対象外")))))</f>
        <v/>
      </c>
      <c r="DC2542" s="0" t="str">
        <f aca="false">IF($A2542="","",IF($AB2542&amp;""=設定!$C$4,1,0))</f>
        <v/>
      </c>
    </row>
    <row r="2543" customFormat="false" ht="15" hidden="false" customHeight="false" outlineLevel="0" collapsed="false">
      <c r="DB2543" s="0" t="str">
        <f aca="false">IF($A2543="","",IF($AH2543=20,IF(AND(OR($A2543=21,$A2543=215),$AJ2543=10),"①病院一般",IF(AND($A2543=31,$AJ2543=41),"②病院短期","対象外")),IF($AJ2543=30,"③特定消防",IF(AND(OR($A2543=21,$A2543=215),$AJ2543=10),"④一般",IF(AND($A2543=31,$AJ2543=41),"⑤短期","対象外")))))</f>
        <v/>
      </c>
      <c r="DC2543" s="0" t="str">
        <f aca="false">IF($A2543="","",IF($AB2543&amp;""=設定!$C$4,1,0))</f>
        <v/>
      </c>
    </row>
    <row r="2544" customFormat="false" ht="15" hidden="false" customHeight="false" outlineLevel="0" collapsed="false">
      <c r="DB2544" s="0" t="str">
        <f aca="false">IF($A2544="","",IF($AH2544=20,IF(AND(OR($A2544=21,$A2544=215),$AJ2544=10),"①病院一般",IF(AND($A2544=31,$AJ2544=41),"②病院短期","対象外")),IF($AJ2544=30,"③特定消防",IF(AND(OR($A2544=21,$A2544=215),$AJ2544=10),"④一般",IF(AND($A2544=31,$AJ2544=41),"⑤短期","対象外")))))</f>
        <v/>
      </c>
      <c r="DC2544" s="0" t="str">
        <f aca="false">IF($A2544="","",IF($AB2544&amp;""=設定!$C$4,1,0))</f>
        <v/>
      </c>
    </row>
    <row r="2545" customFormat="false" ht="15" hidden="false" customHeight="false" outlineLevel="0" collapsed="false">
      <c r="DB2545" s="0" t="str">
        <f aca="false">IF($A2545="","",IF($AH2545=20,IF(AND(OR($A2545=21,$A2545=215),$AJ2545=10),"①病院一般",IF(AND($A2545=31,$AJ2545=41),"②病院短期","対象外")),IF($AJ2545=30,"③特定消防",IF(AND(OR($A2545=21,$A2545=215),$AJ2545=10),"④一般",IF(AND($A2545=31,$AJ2545=41),"⑤短期","対象外")))))</f>
        <v/>
      </c>
      <c r="DC2545" s="0" t="str">
        <f aca="false">IF($A2545="","",IF($AB2545&amp;""=設定!$C$4,1,0))</f>
        <v/>
      </c>
    </row>
    <row r="2546" customFormat="false" ht="15" hidden="false" customHeight="false" outlineLevel="0" collapsed="false">
      <c r="DB2546" s="0" t="str">
        <f aca="false">IF($A2546="","",IF($AH2546=20,IF(AND(OR($A2546=21,$A2546=215),$AJ2546=10),"①病院一般",IF(AND($A2546=31,$AJ2546=41),"②病院短期","対象外")),IF($AJ2546=30,"③特定消防",IF(AND(OR($A2546=21,$A2546=215),$AJ2546=10),"④一般",IF(AND($A2546=31,$AJ2546=41),"⑤短期","対象外")))))</f>
        <v/>
      </c>
      <c r="DC2546" s="0" t="str">
        <f aca="false">IF($A2546="","",IF($AB2546&amp;""=設定!$C$4,1,0))</f>
        <v/>
      </c>
    </row>
    <row r="2547" customFormat="false" ht="15" hidden="false" customHeight="false" outlineLevel="0" collapsed="false">
      <c r="DB2547" s="0" t="str">
        <f aca="false">IF($A2547="","",IF($AH2547=20,IF(AND(OR($A2547=21,$A2547=215),$AJ2547=10),"①病院一般",IF(AND($A2547=31,$AJ2547=41),"②病院短期","対象外")),IF($AJ2547=30,"③特定消防",IF(AND(OR($A2547=21,$A2547=215),$AJ2547=10),"④一般",IF(AND($A2547=31,$AJ2547=41),"⑤短期","対象外")))))</f>
        <v/>
      </c>
      <c r="DC2547" s="0" t="str">
        <f aca="false">IF($A2547="","",IF($AB2547&amp;""=設定!$C$4,1,0))</f>
        <v/>
      </c>
    </row>
    <row r="2548" customFormat="false" ht="15" hidden="false" customHeight="false" outlineLevel="0" collapsed="false">
      <c r="DB2548" s="0" t="str">
        <f aca="false">IF($A2548="","",IF($AH2548=20,IF(AND(OR($A2548=21,$A2548=215),$AJ2548=10),"①病院一般",IF(AND($A2548=31,$AJ2548=41),"②病院短期","対象外")),IF($AJ2548=30,"③特定消防",IF(AND(OR($A2548=21,$A2548=215),$AJ2548=10),"④一般",IF(AND($A2548=31,$AJ2548=41),"⑤短期","対象外")))))</f>
        <v/>
      </c>
      <c r="DC2548" s="0" t="str">
        <f aca="false">IF($A2548="","",IF($AB2548&amp;""=設定!$C$4,1,0))</f>
        <v/>
      </c>
    </row>
    <row r="2549" customFormat="false" ht="15" hidden="false" customHeight="false" outlineLevel="0" collapsed="false">
      <c r="DB2549" s="0" t="str">
        <f aca="false">IF($A2549="","",IF($AH2549=20,IF(AND(OR($A2549=21,$A2549=215),$AJ2549=10),"①病院一般",IF(AND($A2549=31,$AJ2549=41),"②病院短期","対象外")),IF($AJ2549=30,"③特定消防",IF(AND(OR($A2549=21,$A2549=215),$AJ2549=10),"④一般",IF(AND($A2549=31,$AJ2549=41),"⑤短期","対象外")))))</f>
        <v/>
      </c>
      <c r="DC2549" s="0" t="str">
        <f aca="false">IF($A2549="","",IF($AB2549&amp;""=設定!$C$4,1,0))</f>
        <v/>
      </c>
    </row>
    <row r="2550" customFormat="false" ht="15" hidden="false" customHeight="false" outlineLevel="0" collapsed="false">
      <c r="DB2550" s="0" t="str">
        <f aca="false">IF($A2550="","",IF($AH2550=20,IF(AND(OR($A2550=21,$A2550=215),$AJ2550=10),"①病院一般",IF(AND($A2550=31,$AJ2550=41),"②病院短期","対象外")),IF($AJ2550=30,"③特定消防",IF(AND(OR($A2550=21,$A2550=215),$AJ2550=10),"④一般",IF(AND($A2550=31,$AJ2550=41),"⑤短期","対象外")))))</f>
        <v/>
      </c>
      <c r="DC2550" s="0" t="str">
        <f aca="false">IF($A2550="","",IF($AB2550&amp;""=設定!$C$4,1,0))</f>
        <v/>
      </c>
    </row>
    <row r="2551" customFormat="false" ht="15" hidden="false" customHeight="false" outlineLevel="0" collapsed="false">
      <c r="DB2551" s="0" t="str">
        <f aca="false">IF($A2551="","",IF($AH2551=20,IF(AND(OR($A2551=21,$A2551=215),$AJ2551=10),"①病院一般",IF(AND($A2551=31,$AJ2551=41),"②病院短期","対象外")),IF($AJ2551=30,"③特定消防",IF(AND(OR($A2551=21,$A2551=215),$AJ2551=10),"④一般",IF(AND($A2551=31,$AJ2551=41),"⑤短期","対象外")))))</f>
        <v/>
      </c>
      <c r="DC2551" s="0" t="str">
        <f aca="false">IF($A2551="","",IF($AB2551&amp;""=設定!$C$4,1,0))</f>
        <v/>
      </c>
    </row>
    <row r="2552" customFormat="false" ht="15" hidden="false" customHeight="false" outlineLevel="0" collapsed="false">
      <c r="DB2552" s="0" t="str">
        <f aca="false">IF($A2552="","",IF($AH2552=20,IF(AND(OR($A2552=21,$A2552=215),$AJ2552=10),"①病院一般",IF(AND($A2552=31,$AJ2552=41),"②病院短期","対象外")),IF($AJ2552=30,"③特定消防",IF(AND(OR($A2552=21,$A2552=215),$AJ2552=10),"④一般",IF(AND($A2552=31,$AJ2552=41),"⑤短期","対象外")))))</f>
        <v/>
      </c>
      <c r="DC2552" s="0" t="str">
        <f aca="false">IF($A2552="","",IF($AB2552&amp;""=設定!$C$4,1,0))</f>
        <v/>
      </c>
    </row>
    <row r="2553" customFormat="false" ht="15" hidden="false" customHeight="false" outlineLevel="0" collapsed="false">
      <c r="DB2553" s="0" t="str">
        <f aca="false">IF($A2553="","",IF($AH2553=20,IF(AND(OR($A2553=21,$A2553=215),$AJ2553=10),"①病院一般",IF(AND($A2553=31,$AJ2553=41),"②病院短期","対象外")),IF($AJ2553=30,"③特定消防",IF(AND(OR($A2553=21,$A2553=215),$AJ2553=10),"④一般",IF(AND($A2553=31,$AJ2553=41),"⑤短期","対象外")))))</f>
        <v/>
      </c>
      <c r="DC2553" s="0" t="str">
        <f aca="false">IF($A2553="","",IF($AB2553&amp;""=設定!$C$4,1,0))</f>
        <v/>
      </c>
    </row>
    <row r="2554" customFormat="false" ht="15" hidden="false" customHeight="false" outlineLevel="0" collapsed="false">
      <c r="DB2554" s="0" t="str">
        <f aca="false">IF($A2554="","",IF($AH2554=20,IF(AND(OR($A2554=21,$A2554=215),$AJ2554=10),"①病院一般",IF(AND($A2554=31,$AJ2554=41),"②病院短期","対象外")),IF($AJ2554=30,"③特定消防",IF(AND(OR($A2554=21,$A2554=215),$AJ2554=10),"④一般",IF(AND($A2554=31,$AJ2554=41),"⑤短期","対象外")))))</f>
        <v/>
      </c>
      <c r="DC2554" s="0" t="str">
        <f aca="false">IF($A2554="","",IF($AB2554&amp;""=設定!$C$4,1,0))</f>
        <v/>
      </c>
    </row>
    <row r="2555" customFormat="false" ht="15" hidden="false" customHeight="false" outlineLevel="0" collapsed="false">
      <c r="DB2555" s="0" t="str">
        <f aca="false">IF($A2555="","",IF($AH2555=20,IF(AND(OR($A2555=21,$A2555=215),$AJ2555=10),"①病院一般",IF(AND($A2555=31,$AJ2555=41),"②病院短期","対象外")),IF($AJ2555=30,"③特定消防",IF(AND(OR($A2555=21,$A2555=215),$AJ2555=10),"④一般",IF(AND($A2555=31,$AJ2555=41),"⑤短期","対象外")))))</f>
        <v/>
      </c>
      <c r="DC2555" s="0" t="str">
        <f aca="false">IF($A2555="","",IF($AB2555&amp;""=設定!$C$4,1,0))</f>
        <v/>
      </c>
    </row>
    <row r="2556" customFormat="false" ht="15" hidden="false" customHeight="false" outlineLevel="0" collapsed="false">
      <c r="DB2556" s="0" t="str">
        <f aca="false">IF($A2556="","",IF($AH2556=20,IF(AND(OR($A2556=21,$A2556=215),$AJ2556=10),"①病院一般",IF(AND($A2556=31,$AJ2556=41),"②病院短期","対象外")),IF($AJ2556=30,"③特定消防",IF(AND(OR($A2556=21,$A2556=215),$AJ2556=10),"④一般",IF(AND($A2556=31,$AJ2556=41),"⑤短期","対象外")))))</f>
        <v/>
      </c>
      <c r="DC2556" s="0" t="str">
        <f aca="false">IF($A2556="","",IF($AB2556&amp;""=設定!$C$4,1,0))</f>
        <v/>
      </c>
    </row>
    <row r="2557" customFormat="false" ht="15" hidden="false" customHeight="false" outlineLevel="0" collapsed="false">
      <c r="DB2557" s="0" t="str">
        <f aca="false">IF($A2557="","",IF($AH2557=20,IF(AND(OR($A2557=21,$A2557=215),$AJ2557=10),"①病院一般",IF(AND($A2557=31,$AJ2557=41),"②病院短期","対象外")),IF($AJ2557=30,"③特定消防",IF(AND(OR($A2557=21,$A2557=215),$AJ2557=10),"④一般",IF(AND($A2557=31,$AJ2557=41),"⑤短期","対象外")))))</f>
        <v/>
      </c>
      <c r="DC2557" s="0" t="str">
        <f aca="false">IF($A2557="","",IF($AB2557&amp;""=設定!$C$4,1,0))</f>
        <v/>
      </c>
    </row>
    <row r="2558" customFormat="false" ht="15" hidden="false" customHeight="false" outlineLevel="0" collapsed="false">
      <c r="DB2558" s="0" t="str">
        <f aca="false">IF($A2558="","",IF($AH2558=20,IF(AND(OR($A2558=21,$A2558=215),$AJ2558=10),"①病院一般",IF(AND($A2558=31,$AJ2558=41),"②病院短期","対象外")),IF($AJ2558=30,"③特定消防",IF(AND(OR($A2558=21,$A2558=215),$AJ2558=10),"④一般",IF(AND($A2558=31,$AJ2558=41),"⑤短期","対象外")))))</f>
        <v/>
      </c>
      <c r="DC2558" s="0" t="str">
        <f aca="false">IF($A2558="","",IF($AB2558&amp;""=設定!$C$4,1,0))</f>
        <v/>
      </c>
    </row>
    <row r="2559" customFormat="false" ht="15" hidden="false" customHeight="false" outlineLevel="0" collapsed="false">
      <c r="DB2559" s="0" t="str">
        <f aca="false">IF($A2559="","",IF($AH2559=20,IF(AND(OR($A2559=21,$A2559=215),$AJ2559=10),"①病院一般",IF(AND($A2559=31,$AJ2559=41),"②病院短期","対象外")),IF($AJ2559=30,"③特定消防",IF(AND(OR($A2559=21,$A2559=215),$AJ2559=10),"④一般",IF(AND($A2559=31,$AJ2559=41),"⑤短期","対象外")))))</f>
        <v/>
      </c>
      <c r="DC2559" s="0" t="str">
        <f aca="false">IF($A2559="","",IF($AB2559&amp;""=設定!$C$4,1,0))</f>
        <v/>
      </c>
    </row>
    <row r="2560" customFormat="false" ht="15" hidden="false" customHeight="false" outlineLevel="0" collapsed="false">
      <c r="DB2560" s="0" t="str">
        <f aca="false">IF($A2560="","",IF($AH2560=20,IF(AND(OR($A2560=21,$A2560=215),$AJ2560=10),"①病院一般",IF(AND($A2560=31,$AJ2560=41),"②病院短期","対象外")),IF($AJ2560=30,"③特定消防",IF(AND(OR($A2560=21,$A2560=215),$AJ2560=10),"④一般",IF(AND($A2560=31,$AJ2560=41),"⑤短期","対象外")))))</f>
        <v/>
      </c>
      <c r="DC2560" s="0" t="str">
        <f aca="false">IF($A2560="","",IF($AB2560&amp;""=設定!$C$4,1,0))</f>
        <v/>
      </c>
    </row>
    <row r="2561" customFormat="false" ht="15" hidden="false" customHeight="false" outlineLevel="0" collapsed="false">
      <c r="DB2561" s="0" t="str">
        <f aca="false">IF($A2561="","",IF($AH2561=20,IF(AND(OR($A2561=21,$A2561=215),$AJ2561=10),"①病院一般",IF(AND($A2561=31,$AJ2561=41),"②病院短期","対象外")),IF($AJ2561=30,"③特定消防",IF(AND(OR($A2561=21,$A2561=215),$AJ2561=10),"④一般",IF(AND($A2561=31,$AJ2561=41),"⑤短期","対象外")))))</f>
        <v/>
      </c>
      <c r="DC2561" s="0" t="str">
        <f aca="false">IF($A2561="","",IF($AB2561&amp;""=設定!$C$4,1,0))</f>
        <v/>
      </c>
    </row>
    <row r="2562" customFormat="false" ht="15" hidden="false" customHeight="false" outlineLevel="0" collapsed="false">
      <c r="DB2562" s="0" t="str">
        <f aca="false">IF($A2562="","",IF($AH2562=20,IF(AND(OR($A2562=21,$A2562=215),$AJ2562=10),"①病院一般",IF(AND($A2562=31,$AJ2562=41),"②病院短期","対象外")),IF($AJ2562=30,"③特定消防",IF(AND(OR($A2562=21,$A2562=215),$AJ2562=10),"④一般",IF(AND($A2562=31,$AJ2562=41),"⑤短期","対象外")))))</f>
        <v/>
      </c>
      <c r="DC2562" s="0" t="str">
        <f aca="false">IF($A2562="","",IF($AB2562&amp;""=設定!$C$4,1,0))</f>
        <v/>
      </c>
    </row>
    <row r="2563" customFormat="false" ht="15" hidden="false" customHeight="false" outlineLevel="0" collapsed="false">
      <c r="DB2563" s="0" t="str">
        <f aca="false">IF($A2563="","",IF($AH2563=20,IF(AND(OR($A2563=21,$A2563=215),$AJ2563=10),"①病院一般",IF(AND($A2563=31,$AJ2563=41),"②病院短期","対象外")),IF($AJ2563=30,"③特定消防",IF(AND(OR($A2563=21,$A2563=215),$AJ2563=10),"④一般",IF(AND($A2563=31,$AJ2563=41),"⑤短期","対象外")))))</f>
        <v/>
      </c>
      <c r="DC2563" s="0" t="str">
        <f aca="false">IF($A2563="","",IF($AB2563&amp;""=設定!$C$4,1,0))</f>
        <v/>
      </c>
    </row>
    <row r="2564" customFormat="false" ht="15" hidden="false" customHeight="false" outlineLevel="0" collapsed="false">
      <c r="DB2564" s="0" t="str">
        <f aca="false">IF($A2564="","",IF($AH2564=20,IF(AND(OR($A2564=21,$A2564=215),$AJ2564=10),"①病院一般",IF(AND($A2564=31,$AJ2564=41),"②病院短期","対象外")),IF($AJ2564=30,"③特定消防",IF(AND(OR($A2564=21,$A2564=215),$AJ2564=10),"④一般",IF(AND($A2564=31,$AJ2564=41),"⑤短期","対象外")))))</f>
        <v/>
      </c>
      <c r="DC2564" s="0" t="str">
        <f aca="false">IF($A2564="","",IF($AB2564&amp;""=設定!$C$4,1,0))</f>
        <v/>
      </c>
    </row>
    <row r="2565" customFormat="false" ht="15" hidden="false" customHeight="false" outlineLevel="0" collapsed="false">
      <c r="DB2565" s="0" t="str">
        <f aca="false">IF($A2565="","",IF($AH2565=20,IF(AND(OR($A2565=21,$A2565=215),$AJ2565=10),"①病院一般",IF(AND($A2565=31,$AJ2565=41),"②病院短期","対象外")),IF($AJ2565=30,"③特定消防",IF(AND(OR($A2565=21,$A2565=215),$AJ2565=10),"④一般",IF(AND($A2565=31,$AJ2565=41),"⑤短期","対象外")))))</f>
        <v/>
      </c>
      <c r="DC2565" s="0" t="str">
        <f aca="false">IF($A2565="","",IF($AB2565&amp;""=設定!$C$4,1,0))</f>
        <v/>
      </c>
    </row>
    <row r="2566" customFormat="false" ht="15" hidden="false" customHeight="false" outlineLevel="0" collapsed="false">
      <c r="DB2566" s="0" t="str">
        <f aca="false">IF($A2566="","",IF($AH2566=20,IF(AND(OR($A2566=21,$A2566=215),$AJ2566=10),"①病院一般",IF(AND($A2566=31,$AJ2566=41),"②病院短期","対象外")),IF($AJ2566=30,"③特定消防",IF(AND(OR($A2566=21,$A2566=215),$AJ2566=10),"④一般",IF(AND($A2566=31,$AJ2566=41),"⑤短期","対象外")))))</f>
        <v/>
      </c>
      <c r="DC2566" s="0" t="str">
        <f aca="false">IF($A2566="","",IF($AB2566&amp;""=設定!$C$4,1,0))</f>
        <v/>
      </c>
    </row>
    <row r="2567" customFormat="false" ht="15" hidden="false" customHeight="false" outlineLevel="0" collapsed="false">
      <c r="DB2567" s="0" t="str">
        <f aca="false">IF($A2567="","",IF($AH2567=20,IF(AND(OR($A2567=21,$A2567=215),$AJ2567=10),"①病院一般",IF(AND($A2567=31,$AJ2567=41),"②病院短期","対象外")),IF($AJ2567=30,"③特定消防",IF(AND(OR($A2567=21,$A2567=215),$AJ2567=10),"④一般",IF(AND($A2567=31,$AJ2567=41),"⑤短期","対象外")))))</f>
        <v/>
      </c>
      <c r="DC2567" s="0" t="str">
        <f aca="false">IF($A2567="","",IF($AB2567&amp;""=設定!$C$4,1,0))</f>
        <v/>
      </c>
    </row>
    <row r="2568" customFormat="false" ht="15" hidden="false" customHeight="false" outlineLevel="0" collapsed="false">
      <c r="DB2568" s="0" t="str">
        <f aca="false">IF($A2568="","",IF($AH2568=20,IF(AND(OR($A2568=21,$A2568=215),$AJ2568=10),"①病院一般",IF(AND($A2568=31,$AJ2568=41),"②病院短期","対象外")),IF($AJ2568=30,"③特定消防",IF(AND(OR($A2568=21,$A2568=215),$AJ2568=10),"④一般",IF(AND($A2568=31,$AJ2568=41),"⑤短期","対象外")))))</f>
        <v/>
      </c>
      <c r="DC2568" s="0" t="str">
        <f aca="false">IF($A2568="","",IF($AB2568&amp;""=設定!$C$4,1,0))</f>
        <v/>
      </c>
    </row>
    <row r="2569" customFormat="false" ht="15" hidden="false" customHeight="false" outlineLevel="0" collapsed="false">
      <c r="DB2569" s="0" t="str">
        <f aca="false">IF($A2569="","",IF($AH2569=20,IF(AND(OR($A2569=21,$A2569=215),$AJ2569=10),"①病院一般",IF(AND($A2569=31,$AJ2569=41),"②病院短期","対象外")),IF($AJ2569=30,"③特定消防",IF(AND(OR($A2569=21,$A2569=215),$AJ2569=10),"④一般",IF(AND($A2569=31,$AJ2569=41),"⑤短期","対象外")))))</f>
        <v/>
      </c>
      <c r="DC2569" s="0" t="str">
        <f aca="false">IF($A2569="","",IF($AB2569&amp;""=設定!$C$4,1,0))</f>
        <v/>
      </c>
    </row>
    <row r="2570" customFormat="false" ht="15" hidden="false" customHeight="false" outlineLevel="0" collapsed="false">
      <c r="DB2570" s="0" t="str">
        <f aca="false">IF($A2570="","",IF($AH2570=20,IF(AND(OR($A2570=21,$A2570=215),$AJ2570=10),"①病院一般",IF(AND($A2570=31,$AJ2570=41),"②病院短期","対象外")),IF($AJ2570=30,"③特定消防",IF(AND(OR($A2570=21,$A2570=215),$AJ2570=10),"④一般",IF(AND($A2570=31,$AJ2570=41),"⑤短期","対象外")))))</f>
        <v/>
      </c>
      <c r="DC2570" s="0" t="str">
        <f aca="false">IF($A2570="","",IF($AB2570&amp;""=設定!$C$4,1,0))</f>
        <v/>
      </c>
    </row>
    <row r="2571" customFormat="false" ht="15" hidden="false" customHeight="false" outlineLevel="0" collapsed="false">
      <c r="DB2571" s="0" t="str">
        <f aca="false">IF($A2571="","",IF($AH2571=20,IF(AND(OR($A2571=21,$A2571=215),$AJ2571=10),"①病院一般",IF(AND($A2571=31,$AJ2571=41),"②病院短期","対象外")),IF($AJ2571=30,"③特定消防",IF(AND(OR($A2571=21,$A2571=215),$AJ2571=10),"④一般",IF(AND($A2571=31,$AJ2571=41),"⑤短期","対象外")))))</f>
        <v/>
      </c>
      <c r="DC2571" s="0" t="str">
        <f aca="false">IF($A2571="","",IF($AB2571&amp;""=設定!$C$4,1,0))</f>
        <v/>
      </c>
    </row>
    <row r="2572" customFormat="false" ht="15" hidden="false" customHeight="false" outlineLevel="0" collapsed="false">
      <c r="DB2572" s="0" t="str">
        <f aca="false">IF($A2572="","",IF($AH2572=20,IF(AND(OR($A2572=21,$A2572=215),$AJ2572=10),"①病院一般",IF(AND($A2572=31,$AJ2572=41),"②病院短期","対象外")),IF($AJ2572=30,"③特定消防",IF(AND(OR($A2572=21,$A2572=215),$AJ2572=10),"④一般",IF(AND($A2572=31,$AJ2572=41),"⑤短期","対象外")))))</f>
        <v/>
      </c>
      <c r="DC2572" s="0" t="str">
        <f aca="false">IF($A2572="","",IF($AB2572&amp;""=設定!$C$4,1,0))</f>
        <v/>
      </c>
    </row>
    <row r="2573" customFormat="false" ht="15" hidden="false" customHeight="false" outlineLevel="0" collapsed="false">
      <c r="DB2573" s="0" t="str">
        <f aca="false">IF($A2573="","",IF($AH2573=20,IF(AND(OR($A2573=21,$A2573=215),$AJ2573=10),"①病院一般",IF(AND($A2573=31,$AJ2573=41),"②病院短期","対象外")),IF($AJ2573=30,"③特定消防",IF(AND(OR($A2573=21,$A2573=215),$AJ2573=10),"④一般",IF(AND($A2573=31,$AJ2573=41),"⑤短期","対象外")))))</f>
        <v/>
      </c>
      <c r="DC2573" s="0" t="str">
        <f aca="false">IF($A2573="","",IF($AB2573&amp;""=設定!$C$4,1,0))</f>
        <v/>
      </c>
    </row>
    <row r="2574" customFormat="false" ht="15" hidden="false" customHeight="false" outlineLevel="0" collapsed="false">
      <c r="DB2574" s="0" t="str">
        <f aca="false">IF($A2574="","",IF($AH2574=20,IF(AND(OR($A2574=21,$A2574=215),$AJ2574=10),"①病院一般",IF(AND($A2574=31,$AJ2574=41),"②病院短期","対象外")),IF($AJ2574=30,"③特定消防",IF(AND(OR($A2574=21,$A2574=215),$AJ2574=10),"④一般",IF(AND($A2574=31,$AJ2574=41),"⑤短期","対象外")))))</f>
        <v/>
      </c>
      <c r="DC2574" s="0" t="str">
        <f aca="false">IF($A2574="","",IF($AB2574&amp;""=設定!$C$4,1,0))</f>
        <v/>
      </c>
    </row>
    <row r="2575" customFormat="false" ht="15" hidden="false" customHeight="false" outlineLevel="0" collapsed="false">
      <c r="DB2575" s="0" t="str">
        <f aca="false">IF($A2575="","",IF($AH2575=20,IF(AND(OR($A2575=21,$A2575=215),$AJ2575=10),"①病院一般",IF(AND($A2575=31,$AJ2575=41),"②病院短期","対象外")),IF($AJ2575=30,"③特定消防",IF(AND(OR($A2575=21,$A2575=215),$AJ2575=10),"④一般",IF(AND($A2575=31,$AJ2575=41),"⑤短期","対象外")))))</f>
        <v/>
      </c>
      <c r="DC2575" s="0" t="str">
        <f aca="false">IF($A2575="","",IF($AB2575&amp;""=設定!$C$4,1,0))</f>
        <v/>
      </c>
    </row>
    <row r="2576" customFormat="false" ht="15" hidden="false" customHeight="false" outlineLevel="0" collapsed="false">
      <c r="DB2576" s="0" t="str">
        <f aca="false">IF($A2576="","",IF($AH2576=20,IF(AND(OR($A2576=21,$A2576=215),$AJ2576=10),"①病院一般",IF(AND($A2576=31,$AJ2576=41),"②病院短期","対象外")),IF($AJ2576=30,"③特定消防",IF(AND(OR($A2576=21,$A2576=215),$AJ2576=10),"④一般",IF(AND($A2576=31,$AJ2576=41),"⑤短期","対象外")))))</f>
        <v/>
      </c>
      <c r="DC2576" s="0" t="str">
        <f aca="false">IF($A2576="","",IF($AB2576&amp;""=設定!$C$4,1,0))</f>
        <v/>
      </c>
    </row>
    <row r="2577" customFormat="false" ht="15" hidden="false" customHeight="false" outlineLevel="0" collapsed="false">
      <c r="DB2577" s="0" t="str">
        <f aca="false">IF($A2577="","",IF($AH2577=20,IF(AND(OR($A2577=21,$A2577=215),$AJ2577=10),"①病院一般",IF(AND($A2577=31,$AJ2577=41),"②病院短期","対象外")),IF($AJ2577=30,"③特定消防",IF(AND(OR($A2577=21,$A2577=215),$AJ2577=10),"④一般",IF(AND($A2577=31,$AJ2577=41),"⑤短期","対象外")))))</f>
        <v/>
      </c>
      <c r="DC2577" s="0" t="str">
        <f aca="false">IF($A2577="","",IF($AB2577&amp;""=設定!$C$4,1,0))</f>
        <v/>
      </c>
    </row>
    <row r="2578" customFormat="false" ht="15" hidden="false" customHeight="false" outlineLevel="0" collapsed="false">
      <c r="DB2578" s="0" t="str">
        <f aca="false">IF($A2578="","",IF($AH2578=20,IF(AND(OR($A2578=21,$A2578=215),$AJ2578=10),"①病院一般",IF(AND($A2578=31,$AJ2578=41),"②病院短期","対象外")),IF($AJ2578=30,"③特定消防",IF(AND(OR($A2578=21,$A2578=215),$AJ2578=10),"④一般",IF(AND($A2578=31,$AJ2578=41),"⑤短期","対象外")))))</f>
        <v/>
      </c>
      <c r="DC2578" s="0" t="str">
        <f aca="false">IF($A2578="","",IF($AB2578&amp;""=設定!$C$4,1,0))</f>
        <v/>
      </c>
    </row>
    <row r="2579" customFormat="false" ht="15" hidden="false" customHeight="false" outlineLevel="0" collapsed="false">
      <c r="DB2579" s="0" t="str">
        <f aca="false">IF($A2579="","",IF($AH2579=20,IF(AND(OR($A2579=21,$A2579=215),$AJ2579=10),"①病院一般",IF(AND($A2579=31,$AJ2579=41),"②病院短期","対象外")),IF($AJ2579=30,"③特定消防",IF(AND(OR($A2579=21,$A2579=215),$AJ2579=10),"④一般",IF(AND($A2579=31,$AJ2579=41),"⑤短期","対象外")))))</f>
        <v/>
      </c>
      <c r="DC2579" s="0" t="str">
        <f aca="false">IF($A2579="","",IF($AB2579&amp;""=設定!$C$4,1,0))</f>
        <v/>
      </c>
    </row>
    <row r="2580" customFormat="false" ht="15" hidden="false" customHeight="false" outlineLevel="0" collapsed="false">
      <c r="DB2580" s="0" t="str">
        <f aca="false">IF($A2580="","",IF($AH2580=20,IF(AND(OR($A2580=21,$A2580=215),$AJ2580=10),"①病院一般",IF(AND($A2580=31,$AJ2580=41),"②病院短期","対象外")),IF($AJ2580=30,"③特定消防",IF(AND(OR($A2580=21,$A2580=215),$AJ2580=10),"④一般",IF(AND($A2580=31,$AJ2580=41),"⑤短期","対象外")))))</f>
        <v/>
      </c>
      <c r="DC2580" s="0" t="str">
        <f aca="false">IF($A2580="","",IF($AB2580&amp;""=設定!$C$4,1,0))</f>
        <v/>
      </c>
    </row>
    <row r="2581" customFormat="false" ht="15" hidden="false" customHeight="false" outlineLevel="0" collapsed="false">
      <c r="DB2581" s="0" t="str">
        <f aca="false">IF($A2581="","",IF($AH2581=20,IF(AND(OR($A2581=21,$A2581=215),$AJ2581=10),"①病院一般",IF(AND($A2581=31,$AJ2581=41),"②病院短期","対象外")),IF($AJ2581=30,"③特定消防",IF(AND(OR($A2581=21,$A2581=215),$AJ2581=10),"④一般",IF(AND($A2581=31,$AJ2581=41),"⑤短期","対象外")))))</f>
        <v/>
      </c>
      <c r="DC2581" s="0" t="str">
        <f aca="false">IF($A2581="","",IF($AB2581&amp;""=設定!$C$4,1,0))</f>
        <v/>
      </c>
    </row>
    <row r="2582" customFormat="false" ht="15" hidden="false" customHeight="false" outlineLevel="0" collapsed="false">
      <c r="DB2582" s="0" t="str">
        <f aca="false">IF($A2582="","",IF($AH2582=20,IF(AND(OR($A2582=21,$A2582=215),$AJ2582=10),"①病院一般",IF(AND($A2582=31,$AJ2582=41),"②病院短期","対象外")),IF($AJ2582=30,"③特定消防",IF(AND(OR($A2582=21,$A2582=215),$AJ2582=10),"④一般",IF(AND($A2582=31,$AJ2582=41),"⑤短期","対象外")))))</f>
        <v/>
      </c>
      <c r="DC2582" s="0" t="str">
        <f aca="false">IF($A2582="","",IF($AB2582&amp;""=設定!$C$4,1,0))</f>
        <v/>
      </c>
    </row>
    <row r="2583" customFormat="false" ht="15" hidden="false" customHeight="false" outlineLevel="0" collapsed="false">
      <c r="DB2583" s="0" t="str">
        <f aca="false">IF($A2583="","",IF($AH2583=20,IF(AND(OR($A2583=21,$A2583=215),$AJ2583=10),"①病院一般",IF(AND($A2583=31,$AJ2583=41),"②病院短期","対象外")),IF($AJ2583=30,"③特定消防",IF(AND(OR($A2583=21,$A2583=215),$AJ2583=10),"④一般",IF(AND($A2583=31,$AJ2583=41),"⑤短期","対象外")))))</f>
        <v/>
      </c>
      <c r="DC2583" s="0" t="str">
        <f aca="false">IF($A2583="","",IF($AB2583&amp;""=設定!$C$4,1,0))</f>
        <v/>
      </c>
    </row>
    <row r="2584" customFormat="false" ht="15" hidden="false" customHeight="false" outlineLevel="0" collapsed="false">
      <c r="DB2584" s="0" t="str">
        <f aca="false">IF($A2584="","",IF($AH2584=20,IF(AND(OR($A2584=21,$A2584=215),$AJ2584=10),"①病院一般",IF(AND($A2584=31,$AJ2584=41),"②病院短期","対象外")),IF($AJ2584=30,"③特定消防",IF(AND(OR($A2584=21,$A2584=215),$AJ2584=10),"④一般",IF(AND($A2584=31,$AJ2584=41),"⑤短期","対象外")))))</f>
        <v/>
      </c>
      <c r="DC2584" s="0" t="str">
        <f aca="false">IF($A2584="","",IF($AB2584&amp;""=設定!$C$4,1,0))</f>
        <v/>
      </c>
    </row>
    <row r="2585" customFormat="false" ht="15" hidden="false" customHeight="false" outlineLevel="0" collapsed="false">
      <c r="DB2585" s="0" t="str">
        <f aca="false">IF($A2585="","",IF($AH2585=20,IF(AND(OR($A2585=21,$A2585=215),$AJ2585=10),"①病院一般",IF(AND($A2585=31,$AJ2585=41),"②病院短期","対象外")),IF($AJ2585=30,"③特定消防",IF(AND(OR($A2585=21,$A2585=215),$AJ2585=10),"④一般",IF(AND($A2585=31,$AJ2585=41),"⑤短期","対象外")))))</f>
        <v/>
      </c>
      <c r="DC2585" s="0" t="str">
        <f aca="false">IF($A2585="","",IF($AB2585&amp;""=設定!$C$4,1,0))</f>
        <v/>
      </c>
    </row>
    <row r="2586" customFormat="false" ht="15" hidden="false" customHeight="false" outlineLevel="0" collapsed="false">
      <c r="DB2586" s="0" t="str">
        <f aca="false">IF($A2586="","",IF($AH2586=20,IF(AND(OR($A2586=21,$A2586=215),$AJ2586=10),"①病院一般",IF(AND($A2586=31,$AJ2586=41),"②病院短期","対象外")),IF($AJ2586=30,"③特定消防",IF(AND(OR($A2586=21,$A2586=215),$AJ2586=10),"④一般",IF(AND($A2586=31,$AJ2586=41),"⑤短期","対象外")))))</f>
        <v/>
      </c>
      <c r="DC2586" s="0" t="str">
        <f aca="false">IF($A2586="","",IF($AB2586&amp;""=設定!$C$4,1,0))</f>
        <v/>
      </c>
    </row>
    <row r="2587" customFormat="false" ht="15" hidden="false" customHeight="false" outlineLevel="0" collapsed="false">
      <c r="DB2587" s="0" t="str">
        <f aca="false">IF($A2587="","",IF($AH2587=20,IF(AND(OR($A2587=21,$A2587=215),$AJ2587=10),"①病院一般",IF(AND($A2587=31,$AJ2587=41),"②病院短期","対象外")),IF($AJ2587=30,"③特定消防",IF(AND(OR($A2587=21,$A2587=215),$AJ2587=10),"④一般",IF(AND($A2587=31,$AJ2587=41),"⑤短期","対象外")))))</f>
        <v/>
      </c>
      <c r="DC2587" s="0" t="str">
        <f aca="false">IF($A2587="","",IF($AB2587&amp;""=設定!$C$4,1,0))</f>
        <v/>
      </c>
    </row>
    <row r="2588" customFormat="false" ht="15" hidden="false" customHeight="false" outlineLevel="0" collapsed="false">
      <c r="DB2588" s="0" t="str">
        <f aca="false">IF($A2588="","",IF($AH2588=20,IF(AND(OR($A2588=21,$A2588=215),$AJ2588=10),"①病院一般",IF(AND($A2588=31,$AJ2588=41),"②病院短期","対象外")),IF($AJ2588=30,"③特定消防",IF(AND(OR($A2588=21,$A2588=215),$AJ2588=10),"④一般",IF(AND($A2588=31,$AJ2588=41),"⑤短期","対象外")))))</f>
        <v/>
      </c>
      <c r="DC2588" s="0" t="str">
        <f aca="false">IF($A2588="","",IF($AB2588&amp;""=設定!$C$4,1,0))</f>
        <v/>
      </c>
    </row>
    <row r="2589" customFormat="false" ht="15" hidden="false" customHeight="false" outlineLevel="0" collapsed="false">
      <c r="DB2589" s="0" t="str">
        <f aca="false">IF($A2589="","",IF($AH2589=20,IF(AND(OR($A2589=21,$A2589=215),$AJ2589=10),"①病院一般",IF(AND($A2589=31,$AJ2589=41),"②病院短期","対象外")),IF($AJ2589=30,"③特定消防",IF(AND(OR($A2589=21,$A2589=215),$AJ2589=10),"④一般",IF(AND($A2589=31,$AJ2589=41),"⑤短期","対象外")))))</f>
        <v/>
      </c>
      <c r="DC2589" s="0" t="str">
        <f aca="false">IF($A2589="","",IF($AB2589&amp;""=設定!$C$4,1,0))</f>
        <v/>
      </c>
    </row>
    <row r="2590" customFormat="false" ht="15" hidden="false" customHeight="false" outlineLevel="0" collapsed="false">
      <c r="DB2590" s="0" t="str">
        <f aca="false">IF($A2590="","",IF($AH2590=20,IF(AND(OR($A2590=21,$A2590=215),$AJ2590=10),"①病院一般",IF(AND($A2590=31,$AJ2590=41),"②病院短期","対象外")),IF($AJ2590=30,"③特定消防",IF(AND(OR($A2590=21,$A2590=215),$AJ2590=10),"④一般",IF(AND($A2590=31,$AJ2590=41),"⑤短期","対象外")))))</f>
        <v/>
      </c>
      <c r="DC2590" s="0" t="str">
        <f aca="false">IF($A2590="","",IF($AB2590&amp;""=設定!$C$4,1,0))</f>
        <v/>
      </c>
    </row>
    <row r="2591" customFormat="false" ht="15" hidden="false" customHeight="false" outlineLevel="0" collapsed="false">
      <c r="DB2591" s="0" t="str">
        <f aca="false">IF($A2591="","",IF($AH2591=20,IF(AND(OR($A2591=21,$A2591=215),$AJ2591=10),"①病院一般",IF(AND($A2591=31,$AJ2591=41),"②病院短期","対象外")),IF($AJ2591=30,"③特定消防",IF(AND(OR($A2591=21,$A2591=215),$AJ2591=10),"④一般",IF(AND($A2591=31,$AJ2591=41),"⑤短期","対象外")))))</f>
        <v/>
      </c>
      <c r="DC2591" s="0" t="str">
        <f aca="false">IF($A2591="","",IF($AB2591&amp;""=設定!$C$4,1,0))</f>
        <v/>
      </c>
    </row>
    <row r="2592" customFormat="false" ht="15" hidden="false" customHeight="false" outlineLevel="0" collapsed="false">
      <c r="DB2592" s="0" t="str">
        <f aca="false">IF($A2592="","",IF($AH2592=20,IF(AND(OR($A2592=21,$A2592=215),$AJ2592=10),"①病院一般",IF(AND($A2592=31,$AJ2592=41),"②病院短期","対象外")),IF($AJ2592=30,"③特定消防",IF(AND(OR($A2592=21,$A2592=215),$AJ2592=10),"④一般",IF(AND($A2592=31,$AJ2592=41),"⑤短期","対象外")))))</f>
        <v/>
      </c>
      <c r="DC2592" s="0" t="str">
        <f aca="false">IF($A2592="","",IF($AB2592&amp;""=設定!$C$4,1,0))</f>
        <v/>
      </c>
    </row>
    <row r="2593" customFormat="false" ht="15" hidden="false" customHeight="false" outlineLevel="0" collapsed="false">
      <c r="DB2593" s="0" t="str">
        <f aca="false">IF($A2593="","",IF($AH2593=20,IF(AND(OR($A2593=21,$A2593=215),$AJ2593=10),"①病院一般",IF(AND($A2593=31,$AJ2593=41),"②病院短期","対象外")),IF($AJ2593=30,"③特定消防",IF(AND(OR($A2593=21,$A2593=215),$AJ2593=10),"④一般",IF(AND($A2593=31,$AJ2593=41),"⑤短期","対象外")))))</f>
        <v/>
      </c>
      <c r="DC2593" s="0" t="str">
        <f aca="false">IF($A2593="","",IF($AB2593&amp;""=設定!$C$4,1,0))</f>
        <v/>
      </c>
    </row>
    <row r="2594" customFormat="false" ht="15" hidden="false" customHeight="false" outlineLevel="0" collapsed="false">
      <c r="DB2594" s="0" t="str">
        <f aca="false">IF($A2594="","",IF($AH2594=20,IF(AND(OR($A2594=21,$A2594=215),$AJ2594=10),"①病院一般",IF(AND($A2594=31,$AJ2594=41),"②病院短期","対象外")),IF($AJ2594=30,"③特定消防",IF(AND(OR($A2594=21,$A2594=215),$AJ2594=10),"④一般",IF(AND($A2594=31,$AJ2594=41),"⑤短期","対象外")))))</f>
        <v/>
      </c>
      <c r="DC2594" s="0" t="str">
        <f aca="false">IF($A2594="","",IF($AB2594&amp;""=設定!$C$4,1,0))</f>
        <v/>
      </c>
    </row>
    <row r="2595" customFormat="false" ht="15" hidden="false" customHeight="false" outlineLevel="0" collapsed="false">
      <c r="DB2595" s="0" t="str">
        <f aca="false">IF($A2595="","",IF($AH2595=20,IF(AND(OR($A2595=21,$A2595=215),$AJ2595=10),"①病院一般",IF(AND($A2595=31,$AJ2595=41),"②病院短期","対象外")),IF($AJ2595=30,"③特定消防",IF(AND(OR($A2595=21,$A2595=215),$AJ2595=10),"④一般",IF(AND($A2595=31,$AJ2595=41),"⑤短期","対象外")))))</f>
        <v/>
      </c>
      <c r="DC2595" s="0" t="str">
        <f aca="false">IF($A2595="","",IF($AB2595&amp;""=設定!$C$4,1,0))</f>
        <v/>
      </c>
    </row>
    <row r="2596" customFormat="false" ht="15" hidden="false" customHeight="false" outlineLevel="0" collapsed="false">
      <c r="DB2596" s="0" t="str">
        <f aca="false">IF($A2596="","",IF($AH2596=20,IF(AND(OR($A2596=21,$A2596=215),$AJ2596=10),"①病院一般",IF(AND($A2596=31,$AJ2596=41),"②病院短期","対象外")),IF($AJ2596=30,"③特定消防",IF(AND(OR($A2596=21,$A2596=215),$AJ2596=10),"④一般",IF(AND($A2596=31,$AJ2596=41),"⑤短期","対象外")))))</f>
        <v/>
      </c>
      <c r="DC2596" s="0" t="str">
        <f aca="false">IF($A2596="","",IF($AB2596&amp;""=設定!$C$4,1,0))</f>
        <v/>
      </c>
    </row>
    <row r="2597" customFormat="false" ht="15" hidden="false" customHeight="false" outlineLevel="0" collapsed="false">
      <c r="DB2597" s="0" t="str">
        <f aca="false">IF($A2597="","",IF($AH2597=20,IF(AND(OR($A2597=21,$A2597=215),$AJ2597=10),"①病院一般",IF(AND($A2597=31,$AJ2597=41),"②病院短期","対象外")),IF($AJ2597=30,"③特定消防",IF(AND(OR($A2597=21,$A2597=215),$AJ2597=10),"④一般",IF(AND($A2597=31,$AJ2597=41),"⑤短期","対象外")))))</f>
        <v/>
      </c>
      <c r="DC2597" s="0" t="str">
        <f aca="false">IF($A2597="","",IF($AB2597&amp;""=設定!$C$4,1,0))</f>
        <v/>
      </c>
    </row>
    <row r="2598" customFormat="false" ht="15" hidden="false" customHeight="false" outlineLevel="0" collapsed="false">
      <c r="DB2598" s="0" t="str">
        <f aca="false">IF($A2598="","",IF($AH2598=20,IF(AND(OR($A2598=21,$A2598=215),$AJ2598=10),"①病院一般",IF(AND($A2598=31,$AJ2598=41),"②病院短期","対象外")),IF($AJ2598=30,"③特定消防",IF(AND(OR($A2598=21,$A2598=215),$AJ2598=10),"④一般",IF(AND($A2598=31,$AJ2598=41),"⑤短期","対象外")))))</f>
        <v/>
      </c>
      <c r="DC2598" s="0" t="str">
        <f aca="false">IF($A2598="","",IF($AB2598&amp;""=設定!$C$4,1,0))</f>
        <v/>
      </c>
    </row>
    <row r="2599" customFormat="false" ht="15" hidden="false" customHeight="false" outlineLevel="0" collapsed="false">
      <c r="DB2599" s="0" t="str">
        <f aca="false">IF($A2599="","",IF($AH2599=20,IF(AND(OR($A2599=21,$A2599=215),$AJ2599=10),"①病院一般",IF(AND($A2599=31,$AJ2599=41),"②病院短期","対象外")),IF($AJ2599=30,"③特定消防",IF(AND(OR($A2599=21,$A2599=215),$AJ2599=10),"④一般",IF(AND($A2599=31,$AJ2599=41),"⑤短期","対象外")))))</f>
        <v/>
      </c>
      <c r="DC2599" s="0" t="str">
        <f aca="false">IF($A2599="","",IF($AB2599&amp;""=設定!$C$4,1,0))</f>
        <v/>
      </c>
    </row>
    <row r="2600" customFormat="false" ht="15" hidden="false" customHeight="false" outlineLevel="0" collapsed="false">
      <c r="DB2600" s="0" t="str">
        <f aca="false">IF($A2600="","",IF($AH2600=20,IF(AND(OR($A2600=21,$A2600=215),$AJ2600=10),"①病院一般",IF(AND($A2600=31,$AJ2600=41),"②病院短期","対象外")),IF($AJ2600=30,"③特定消防",IF(AND(OR($A2600=21,$A2600=215),$AJ2600=10),"④一般",IF(AND($A2600=31,$AJ2600=41),"⑤短期","対象外")))))</f>
        <v/>
      </c>
      <c r="DC2600" s="0" t="str">
        <f aca="false">IF($A2600="","",IF($AB2600&amp;""=設定!$C$4,1,0))</f>
        <v/>
      </c>
    </row>
    <row r="2601" customFormat="false" ht="15" hidden="false" customHeight="false" outlineLevel="0" collapsed="false">
      <c r="DB2601" s="0" t="str">
        <f aca="false">IF($A2601="","",IF($AH2601=20,IF(AND(OR($A2601=21,$A2601=215),$AJ2601=10),"①病院一般",IF(AND($A2601=31,$AJ2601=41),"②病院短期","対象外")),IF($AJ2601=30,"③特定消防",IF(AND(OR($A2601=21,$A2601=215),$AJ2601=10),"④一般",IF(AND($A2601=31,$AJ2601=41),"⑤短期","対象外")))))</f>
        <v/>
      </c>
      <c r="DC2601" s="0" t="str">
        <f aca="false">IF($A2601="","",IF($AB2601&amp;""=設定!$C$4,1,0))</f>
        <v/>
      </c>
    </row>
    <row r="2602" customFormat="false" ht="15" hidden="false" customHeight="false" outlineLevel="0" collapsed="false">
      <c r="DB2602" s="0" t="str">
        <f aca="false">IF($A2602="","",IF($AH2602=20,IF(AND(OR($A2602=21,$A2602=215),$AJ2602=10),"①病院一般",IF(AND($A2602=31,$AJ2602=41),"②病院短期","対象外")),IF($AJ2602=30,"③特定消防",IF(AND(OR($A2602=21,$A2602=215),$AJ2602=10),"④一般",IF(AND($A2602=31,$AJ2602=41),"⑤短期","対象外")))))</f>
        <v/>
      </c>
      <c r="DC2602" s="0" t="str">
        <f aca="false">IF($A2602="","",IF($AB2602&amp;""=設定!$C$4,1,0))</f>
        <v/>
      </c>
    </row>
    <row r="2603" customFormat="false" ht="15" hidden="false" customHeight="false" outlineLevel="0" collapsed="false">
      <c r="DB2603" s="0" t="str">
        <f aca="false">IF($A2603="","",IF($AH2603=20,IF(AND(OR($A2603=21,$A2603=215),$AJ2603=10),"①病院一般",IF(AND($A2603=31,$AJ2603=41),"②病院短期","対象外")),IF($AJ2603=30,"③特定消防",IF(AND(OR($A2603=21,$A2603=215),$AJ2603=10),"④一般",IF(AND($A2603=31,$AJ2603=41),"⑤短期","対象外")))))</f>
        <v/>
      </c>
      <c r="DC2603" s="0" t="str">
        <f aca="false">IF($A2603="","",IF($AB2603&amp;""=設定!$C$4,1,0))</f>
        <v/>
      </c>
    </row>
    <row r="2604" customFormat="false" ht="15" hidden="false" customHeight="false" outlineLevel="0" collapsed="false">
      <c r="DB2604" s="0" t="str">
        <f aca="false">IF($A2604="","",IF($AH2604=20,IF(AND(OR($A2604=21,$A2604=215),$AJ2604=10),"①病院一般",IF(AND($A2604=31,$AJ2604=41),"②病院短期","対象外")),IF($AJ2604=30,"③特定消防",IF(AND(OR($A2604=21,$A2604=215),$AJ2604=10),"④一般",IF(AND($A2604=31,$AJ2604=41),"⑤短期","対象外")))))</f>
        <v/>
      </c>
      <c r="DC2604" s="0" t="str">
        <f aca="false">IF($A2604="","",IF($AB2604&amp;""=設定!$C$4,1,0))</f>
        <v/>
      </c>
    </row>
    <row r="2605" customFormat="false" ht="15" hidden="false" customHeight="false" outlineLevel="0" collapsed="false">
      <c r="DB2605" s="0" t="str">
        <f aca="false">IF($A2605="","",IF($AH2605=20,IF(AND(OR($A2605=21,$A2605=215),$AJ2605=10),"①病院一般",IF(AND($A2605=31,$AJ2605=41),"②病院短期","対象外")),IF($AJ2605=30,"③特定消防",IF(AND(OR($A2605=21,$A2605=215),$AJ2605=10),"④一般",IF(AND($A2605=31,$AJ2605=41),"⑤短期","対象外")))))</f>
        <v/>
      </c>
      <c r="DC2605" s="0" t="str">
        <f aca="false">IF($A2605="","",IF($AB2605&amp;""=設定!$C$4,1,0))</f>
        <v/>
      </c>
    </row>
    <row r="2606" customFormat="false" ht="15" hidden="false" customHeight="false" outlineLevel="0" collapsed="false">
      <c r="DB2606" s="0" t="str">
        <f aca="false">IF($A2606="","",IF($AH2606=20,IF(AND(OR($A2606=21,$A2606=215),$AJ2606=10),"①病院一般",IF(AND($A2606=31,$AJ2606=41),"②病院短期","対象外")),IF($AJ2606=30,"③特定消防",IF(AND(OR($A2606=21,$A2606=215),$AJ2606=10),"④一般",IF(AND($A2606=31,$AJ2606=41),"⑤短期","対象外")))))</f>
        <v/>
      </c>
      <c r="DC2606" s="0" t="str">
        <f aca="false">IF($A2606="","",IF($AB2606&amp;""=設定!$C$4,1,0))</f>
        <v/>
      </c>
    </row>
    <row r="2607" customFormat="false" ht="15" hidden="false" customHeight="false" outlineLevel="0" collapsed="false">
      <c r="DB2607" s="0" t="str">
        <f aca="false">IF($A2607="","",IF($AH2607=20,IF(AND(OR($A2607=21,$A2607=215),$AJ2607=10),"①病院一般",IF(AND($A2607=31,$AJ2607=41),"②病院短期","対象外")),IF($AJ2607=30,"③特定消防",IF(AND(OR($A2607=21,$A2607=215),$AJ2607=10),"④一般",IF(AND($A2607=31,$AJ2607=41),"⑤短期","対象外")))))</f>
        <v/>
      </c>
      <c r="DC2607" s="0" t="str">
        <f aca="false">IF($A2607="","",IF($AB2607&amp;""=設定!$C$4,1,0))</f>
        <v/>
      </c>
    </row>
    <row r="2608" customFormat="false" ht="15" hidden="false" customHeight="false" outlineLevel="0" collapsed="false">
      <c r="DB2608" s="0" t="str">
        <f aca="false">IF($A2608="","",IF($AH2608=20,IF(AND(OR($A2608=21,$A2608=215),$AJ2608=10),"①病院一般",IF(AND($A2608=31,$AJ2608=41),"②病院短期","対象外")),IF($AJ2608=30,"③特定消防",IF(AND(OR($A2608=21,$A2608=215),$AJ2608=10),"④一般",IF(AND($A2608=31,$AJ2608=41),"⑤短期","対象外")))))</f>
        <v/>
      </c>
      <c r="DC2608" s="0" t="str">
        <f aca="false">IF($A2608="","",IF($AB2608&amp;""=設定!$C$4,1,0))</f>
        <v/>
      </c>
    </row>
    <row r="2609" customFormat="false" ht="15" hidden="false" customHeight="false" outlineLevel="0" collapsed="false">
      <c r="DB2609" s="0" t="str">
        <f aca="false">IF($A2609="","",IF($AH2609=20,IF(AND(OR($A2609=21,$A2609=215),$AJ2609=10),"①病院一般",IF(AND($A2609=31,$AJ2609=41),"②病院短期","対象外")),IF($AJ2609=30,"③特定消防",IF(AND(OR($A2609=21,$A2609=215),$AJ2609=10),"④一般",IF(AND($A2609=31,$AJ2609=41),"⑤短期","対象外")))))</f>
        <v/>
      </c>
      <c r="DC2609" s="0" t="str">
        <f aca="false">IF($A2609="","",IF($AB2609&amp;""=設定!$C$4,1,0))</f>
        <v/>
      </c>
    </row>
    <row r="2610" customFormat="false" ht="15" hidden="false" customHeight="false" outlineLevel="0" collapsed="false">
      <c r="DB2610" s="0" t="str">
        <f aca="false">IF($A2610="","",IF($AH2610=20,IF(AND(OR($A2610=21,$A2610=215),$AJ2610=10),"①病院一般",IF(AND($A2610=31,$AJ2610=41),"②病院短期","対象外")),IF($AJ2610=30,"③特定消防",IF(AND(OR($A2610=21,$A2610=215),$AJ2610=10),"④一般",IF(AND($A2610=31,$AJ2610=41),"⑤短期","対象外")))))</f>
        <v/>
      </c>
      <c r="DC2610" s="0" t="str">
        <f aca="false">IF($A2610="","",IF($AB2610&amp;""=設定!$C$4,1,0))</f>
        <v/>
      </c>
    </row>
    <row r="2611" customFormat="false" ht="15" hidden="false" customHeight="false" outlineLevel="0" collapsed="false">
      <c r="DB2611" s="0" t="str">
        <f aca="false">IF($A2611="","",IF($AH2611=20,IF(AND(OR($A2611=21,$A2611=215),$AJ2611=10),"①病院一般",IF(AND($A2611=31,$AJ2611=41),"②病院短期","対象外")),IF($AJ2611=30,"③特定消防",IF(AND(OR($A2611=21,$A2611=215),$AJ2611=10),"④一般",IF(AND($A2611=31,$AJ2611=41),"⑤短期","対象外")))))</f>
        <v/>
      </c>
      <c r="DC2611" s="0" t="str">
        <f aca="false">IF($A2611="","",IF($AB2611&amp;""=設定!$C$4,1,0))</f>
        <v/>
      </c>
    </row>
    <row r="2612" customFormat="false" ht="15" hidden="false" customHeight="false" outlineLevel="0" collapsed="false">
      <c r="DB2612" s="0" t="str">
        <f aca="false">IF($A2612="","",IF($AH2612=20,IF(AND(OR($A2612=21,$A2612=215),$AJ2612=10),"①病院一般",IF(AND($A2612=31,$AJ2612=41),"②病院短期","対象外")),IF($AJ2612=30,"③特定消防",IF(AND(OR($A2612=21,$A2612=215),$AJ2612=10),"④一般",IF(AND($A2612=31,$AJ2612=41),"⑤短期","対象外")))))</f>
        <v/>
      </c>
      <c r="DC2612" s="0" t="str">
        <f aca="false">IF($A2612="","",IF($AB2612&amp;""=設定!$C$4,1,0))</f>
        <v/>
      </c>
    </row>
    <row r="2613" customFormat="false" ht="15" hidden="false" customHeight="false" outlineLevel="0" collapsed="false">
      <c r="DB2613" s="0" t="str">
        <f aca="false">IF($A2613="","",IF($AH2613=20,IF(AND(OR($A2613=21,$A2613=215),$AJ2613=10),"①病院一般",IF(AND($A2613=31,$AJ2613=41),"②病院短期","対象外")),IF($AJ2613=30,"③特定消防",IF(AND(OR($A2613=21,$A2613=215),$AJ2613=10),"④一般",IF(AND($A2613=31,$AJ2613=41),"⑤短期","対象外")))))</f>
        <v/>
      </c>
      <c r="DC2613" s="0" t="str">
        <f aca="false">IF($A2613="","",IF($AB2613&amp;""=設定!$C$4,1,0))</f>
        <v/>
      </c>
    </row>
    <row r="2614" customFormat="false" ht="15" hidden="false" customHeight="false" outlineLevel="0" collapsed="false">
      <c r="DB2614" s="0" t="str">
        <f aca="false">IF($A2614="","",IF($AH2614=20,IF(AND(OR($A2614=21,$A2614=215),$AJ2614=10),"①病院一般",IF(AND($A2614=31,$AJ2614=41),"②病院短期","対象外")),IF($AJ2614=30,"③特定消防",IF(AND(OR($A2614=21,$A2614=215),$AJ2614=10),"④一般",IF(AND($A2614=31,$AJ2614=41),"⑤短期","対象外")))))</f>
        <v/>
      </c>
      <c r="DC2614" s="0" t="str">
        <f aca="false">IF($A2614="","",IF($AB2614&amp;""=設定!$C$4,1,0))</f>
        <v/>
      </c>
    </row>
    <row r="2615" customFormat="false" ht="15" hidden="false" customHeight="false" outlineLevel="0" collapsed="false">
      <c r="DB2615" s="0" t="str">
        <f aca="false">IF($A2615="","",IF($AH2615=20,IF(AND(OR($A2615=21,$A2615=215),$AJ2615=10),"①病院一般",IF(AND($A2615=31,$AJ2615=41),"②病院短期","対象外")),IF($AJ2615=30,"③特定消防",IF(AND(OR($A2615=21,$A2615=215),$AJ2615=10),"④一般",IF(AND($A2615=31,$AJ2615=41),"⑤短期","対象外")))))</f>
        <v/>
      </c>
      <c r="DC2615" s="0" t="str">
        <f aca="false">IF($A2615="","",IF($AB2615&amp;""=設定!$C$4,1,0))</f>
        <v/>
      </c>
    </row>
    <row r="2616" customFormat="false" ht="15" hidden="false" customHeight="false" outlineLevel="0" collapsed="false">
      <c r="DB2616" s="0" t="str">
        <f aca="false">IF($A2616="","",IF($AH2616=20,IF(AND(OR($A2616=21,$A2616=215),$AJ2616=10),"①病院一般",IF(AND($A2616=31,$AJ2616=41),"②病院短期","対象外")),IF($AJ2616=30,"③特定消防",IF(AND(OR($A2616=21,$A2616=215),$AJ2616=10),"④一般",IF(AND($A2616=31,$AJ2616=41),"⑤短期","対象外")))))</f>
        <v/>
      </c>
      <c r="DC2616" s="0" t="str">
        <f aca="false">IF($A2616="","",IF($AB2616&amp;""=設定!$C$4,1,0))</f>
        <v/>
      </c>
    </row>
    <row r="2617" customFormat="false" ht="15" hidden="false" customHeight="false" outlineLevel="0" collapsed="false">
      <c r="DB2617" s="0" t="str">
        <f aca="false">IF($A2617="","",IF($AH2617=20,IF(AND(OR($A2617=21,$A2617=215),$AJ2617=10),"①病院一般",IF(AND($A2617=31,$AJ2617=41),"②病院短期","対象外")),IF($AJ2617=30,"③特定消防",IF(AND(OR($A2617=21,$A2617=215),$AJ2617=10),"④一般",IF(AND($A2617=31,$AJ2617=41),"⑤短期","対象外")))))</f>
        <v/>
      </c>
      <c r="DC2617" s="0" t="str">
        <f aca="false">IF($A2617="","",IF($AB2617&amp;""=設定!$C$4,1,0))</f>
        <v/>
      </c>
    </row>
    <row r="2618" customFormat="false" ht="15" hidden="false" customHeight="false" outlineLevel="0" collapsed="false">
      <c r="DB2618" s="0" t="str">
        <f aca="false">IF($A2618="","",IF($AH2618=20,IF(AND(OR($A2618=21,$A2618=215),$AJ2618=10),"①病院一般",IF(AND($A2618=31,$AJ2618=41),"②病院短期","対象外")),IF($AJ2618=30,"③特定消防",IF(AND(OR($A2618=21,$A2618=215),$AJ2618=10),"④一般",IF(AND($A2618=31,$AJ2618=41),"⑤短期","対象外")))))</f>
        <v/>
      </c>
      <c r="DC2618" s="0" t="str">
        <f aca="false">IF($A2618="","",IF($AB2618&amp;""=設定!$C$4,1,0))</f>
        <v/>
      </c>
    </row>
    <row r="2619" customFormat="false" ht="15" hidden="false" customHeight="false" outlineLevel="0" collapsed="false">
      <c r="DB2619" s="0" t="str">
        <f aca="false">IF($A2619="","",IF($AH2619=20,IF(AND(OR($A2619=21,$A2619=215),$AJ2619=10),"①病院一般",IF(AND($A2619=31,$AJ2619=41),"②病院短期","対象外")),IF($AJ2619=30,"③特定消防",IF(AND(OR($A2619=21,$A2619=215),$AJ2619=10),"④一般",IF(AND($A2619=31,$AJ2619=41),"⑤短期","対象外")))))</f>
        <v/>
      </c>
      <c r="DC2619" s="0" t="str">
        <f aca="false">IF($A2619="","",IF($AB2619&amp;""=設定!$C$4,1,0))</f>
        <v/>
      </c>
    </row>
    <row r="2620" customFormat="false" ht="15" hidden="false" customHeight="false" outlineLevel="0" collapsed="false">
      <c r="DB2620" s="0" t="str">
        <f aca="false">IF($A2620="","",IF($AH2620=20,IF(AND(OR($A2620=21,$A2620=215),$AJ2620=10),"①病院一般",IF(AND($A2620=31,$AJ2620=41),"②病院短期","対象外")),IF($AJ2620=30,"③特定消防",IF(AND(OR($A2620=21,$A2620=215),$AJ2620=10),"④一般",IF(AND($A2620=31,$AJ2620=41),"⑤短期","対象外")))))</f>
        <v/>
      </c>
      <c r="DC2620" s="0" t="str">
        <f aca="false">IF($A2620="","",IF($AB2620&amp;""=設定!$C$4,1,0))</f>
        <v/>
      </c>
    </row>
    <row r="2621" customFormat="false" ht="15" hidden="false" customHeight="false" outlineLevel="0" collapsed="false">
      <c r="DB2621" s="0" t="str">
        <f aca="false">IF($A2621="","",IF($AH2621=20,IF(AND(OR($A2621=21,$A2621=215),$AJ2621=10),"①病院一般",IF(AND($A2621=31,$AJ2621=41),"②病院短期","対象外")),IF($AJ2621=30,"③特定消防",IF(AND(OR($A2621=21,$A2621=215),$AJ2621=10),"④一般",IF(AND($A2621=31,$AJ2621=41),"⑤短期","対象外")))))</f>
        <v/>
      </c>
      <c r="DC2621" s="0" t="str">
        <f aca="false">IF($A2621="","",IF($AB2621&amp;""=設定!$C$4,1,0))</f>
        <v/>
      </c>
    </row>
    <row r="2622" customFormat="false" ht="15" hidden="false" customHeight="false" outlineLevel="0" collapsed="false">
      <c r="DB2622" s="0" t="str">
        <f aca="false">IF($A2622="","",IF($AH2622=20,IF(AND(OR($A2622=21,$A2622=215),$AJ2622=10),"①病院一般",IF(AND($A2622=31,$AJ2622=41),"②病院短期","対象外")),IF($AJ2622=30,"③特定消防",IF(AND(OR($A2622=21,$A2622=215),$AJ2622=10),"④一般",IF(AND($A2622=31,$AJ2622=41),"⑤短期","対象外")))))</f>
        <v/>
      </c>
      <c r="DC2622" s="0" t="str">
        <f aca="false">IF($A2622="","",IF($AB2622&amp;""=設定!$C$4,1,0))</f>
        <v/>
      </c>
    </row>
    <row r="2623" customFormat="false" ht="15" hidden="false" customHeight="false" outlineLevel="0" collapsed="false">
      <c r="DB2623" s="0" t="str">
        <f aca="false">IF($A2623="","",IF($AH2623=20,IF(AND(OR($A2623=21,$A2623=215),$AJ2623=10),"①病院一般",IF(AND($A2623=31,$AJ2623=41),"②病院短期","対象外")),IF($AJ2623=30,"③特定消防",IF(AND(OR($A2623=21,$A2623=215),$AJ2623=10),"④一般",IF(AND($A2623=31,$AJ2623=41),"⑤短期","対象外")))))</f>
        <v/>
      </c>
      <c r="DC2623" s="0" t="str">
        <f aca="false">IF($A2623="","",IF($AB2623&amp;""=設定!$C$4,1,0))</f>
        <v/>
      </c>
    </row>
    <row r="2624" customFormat="false" ht="15" hidden="false" customHeight="false" outlineLevel="0" collapsed="false">
      <c r="DB2624" s="0" t="str">
        <f aca="false">IF($A2624="","",IF($AH2624=20,IF(AND(OR($A2624=21,$A2624=215),$AJ2624=10),"①病院一般",IF(AND($A2624=31,$AJ2624=41),"②病院短期","対象外")),IF($AJ2624=30,"③特定消防",IF(AND(OR($A2624=21,$A2624=215),$AJ2624=10),"④一般",IF(AND($A2624=31,$AJ2624=41),"⑤短期","対象外")))))</f>
        <v/>
      </c>
      <c r="DC2624" s="0" t="str">
        <f aca="false">IF($A2624="","",IF($AB2624&amp;""=設定!$C$4,1,0))</f>
        <v/>
      </c>
    </row>
    <row r="2625" customFormat="false" ht="15" hidden="false" customHeight="false" outlineLevel="0" collapsed="false">
      <c r="DB2625" s="0" t="str">
        <f aca="false">IF($A2625="","",IF($AH2625=20,IF(AND(OR($A2625=21,$A2625=215),$AJ2625=10),"①病院一般",IF(AND($A2625=31,$AJ2625=41),"②病院短期","対象外")),IF($AJ2625=30,"③特定消防",IF(AND(OR($A2625=21,$A2625=215),$AJ2625=10),"④一般",IF(AND($A2625=31,$AJ2625=41),"⑤短期","対象外")))))</f>
        <v/>
      </c>
      <c r="DC2625" s="0" t="str">
        <f aca="false">IF($A2625="","",IF($AB2625&amp;""=設定!$C$4,1,0))</f>
        <v/>
      </c>
    </row>
    <row r="2626" customFormat="false" ht="15" hidden="false" customHeight="false" outlineLevel="0" collapsed="false">
      <c r="DB2626" s="0" t="str">
        <f aca="false">IF($A2626="","",IF($AH2626=20,IF(AND(OR($A2626=21,$A2626=215),$AJ2626=10),"①病院一般",IF(AND($A2626=31,$AJ2626=41),"②病院短期","対象外")),IF($AJ2626=30,"③特定消防",IF(AND(OR($A2626=21,$A2626=215),$AJ2626=10),"④一般",IF(AND($A2626=31,$AJ2626=41),"⑤短期","対象外")))))</f>
        <v/>
      </c>
      <c r="DC2626" s="0" t="str">
        <f aca="false">IF($A2626="","",IF($AB2626&amp;""=設定!$C$4,1,0))</f>
        <v/>
      </c>
    </row>
    <row r="2627" customFormat="false" ht="15" hidden="false" customHeight="false" outlineLevel="0" collapsed="false">
      <c r="DB2627" s="0" t="str">
        <f aca="false">IF($A2627="","",IF($AH2627=20,IF(AND(OR($A2627=21,$A2627=215),$AJ2627=10),"①病院一般",IF(AND($A2627=31,$AJ2627=41),"②病院短期","対象外")),IF($AJ2627=30,"③特定消防",IF(AND(OR($A2627=21,$A2627=215),$AJ2627=10),"④一般",IF(AND($A2627=31,$AJ2627=41),"⑤短期","対象外")))))</f>
        <v/>
      </c>
      <c r="DC2627" s="0" t="str">
        <f aca="false">IF($A2627="","",IF($AB2627&amp;""=設定!$C$4,1,0))</f>
        <v/>
      </c>
    </row>
    <row r="2628" customFormat="false" ht="15" hidden="false" customHeight="false" outlineLevel="0" collapsed="false">
      <c r="DB2628" s="0" t="str">
        <f aca="false">IF($A2628="","",IF($AH2628=20,IF(AND(OR($A2628=21,$A2628=215),$AJ2628=10),"①病院一般",IF(AND($A2628=31,$AJ2628=41),"②病院短期","対象外")),IF($AJ2628=30,"③特定消防",IF(AND(OR($A2628=21,$A2628=215),$AJ2628=10),"④一般",IF(AND($A2628=31,$AJ2628=41),"⑤短期","対象外")))))</f>
        <v/>
      </c>
      <c r="DC2628" s="0" t="str">
        <f aca="false">IF($A2628="","",IF($AB2628&amp;""=設定!$C$4,1,0))</f>
        <v/>
      </c>
    </row>
    <row r="2629" customFormat="false" ht="15" hidden="false" customHeight="false" outlineLevel="0" collapsed="false">
      <c r="DB2629" s="0" t="str">
        <f aca="false">IF($A2629="","",IF($AH2629=20,IF(AND(OR($A2629=21,$A2629=215),$AJ2629=10),"①病院一般",IF(AND($A2629=31,$AJ2629=41),"②病院短期","対象外")),IF($AJ2629=30,"③特定消防",IF(AND(OR($A2629=21,$A2629=215),$AJ2629=10),"④一般",IF(AND($A2629=31,$AJ2629=41),"⑤短期","対象外")))))</f>
        <v/>
      </c>
      <c r="DC2629" s="0" t="str">
        <f aca="false">IF($A2629="","",IF($AB2629&amp;""=設定!$C$4,1,0))</f>
        <v/>
      </c>
    </row>
    <row r="2630" customFormat="false" ht="15" hidden="false" customHeight="false" outlineLevel="0" collapsed="false">
      <c r="DB2630" s="0" t="str">
        <f aca="false">IF($A2630="","",IF($AH2630=20,IF(AND(OR($A2630=21,$A2630=215),$AJ2630=10),"①病院一般",IF(AND($A2630=31,$AJ2630=41),"②病院短期","対象外")),IF($AJ2630=30,"③特定消防",IF(AND(OR($A2630=21,$A2630=215),$AJ2630=10),"④一般",IF(AND($A2630=31,$AJ2630=41),"⑤短期","対象外")))))</f>
        <v/>
      </c>
      <c r="DC2630" s="0" t="str">
        <f aca="false">IF($A2630="","",IF($AB2630&amp;""=設定!$C$4,1,0))</f>
        <v/>
      </c>
    </row>
    <row r="2631" customFormat="false" ht="15" hidden="false" customHeight="false" outlineLevel="0" collapsed="false">
      <c r="DB2631" s="0" t="str">
        <f aca="false">IF($A2631="","",IF($AH2631=20,IF(AND(OR($A2631=21,$A2631=215),$AJ2631=10),"①病院一般",IF(AND($A2631=31,$AJ2631=41),"②病院短期","対象外")),IF($AJ2631=30,"③特定消防",IF(AND(OR($A2631=21,$A2631=215),$AJ2631=10),"④一般",IF(AND($A2631=31,$AJ2631=41),"⑤短期","対象外")))))</f>
        <v/>
      </c>
      <c r="DC2631" s="0" t="str">
        <f aca="false">IF($A2631="","",IF($AB2631&amp;""=設定!$C$4,1,0))</f>
        <v/>
      </c>
    </row>
    <row r="2632" customFormat="false" ht="15" hidden="false" customHeight="false" outlineLevel="0" collapsed="false">
      <c r="DB2632" s="0" t="str">
        <f aca="false">IF($A2632="","",IF($AH2632=20,IF(AND(OR($A2632=21,$A2632=215),$AJ2632=10),"①病院一般",IF(AND($A2632=31,$AJ2632=41),"②病院短期","対象外")),IF($AJ2632=30,"③特定消防",IF(AND(OR($A2632=21,$A2632=215),$AJ2632=10),"④一般",IF(AND($A2632=31,$AJ2632=41),"⑤短期","対象外")))))</f>
        <v/>
      </c>
      <c r="DC2632" s="0" t="str">
        <f aca="false">IF($A2632="","",IF($AB2632&amp;""=設定!$C$4,1,0))</f>
        <v/>
      </c>
    </row>
    <row r="2633" customFormat="false" ht="15" hidden="false" customHeight="false" outlineLevel="0" collapsed="false">
      <c r="DB2633" s="0" t="str">
        <f aca="false">IF($A2633="","",IF($AH2633=20,IF(AND(OR($A2633=21,$A2633=215),$AJ2633=10),"①病院一般",IF(AND($A2633=31,$AJ2633=41),"②病院短期","対象外")),IF($AJ2633=30,"③特定消防",IF(AND(OR($A2633=21,$A2633=215),$AJ2633=10),"④一般",IF(AND($A2633=31,$AJ2633=41),"⑤短期","対象外")))))</f>
        <v/>
      </c>
      <c r="DC2633" s="0" t="str">
        <f aca="false">IF($A2633="","",IF($AB2633&amp;""=設定!$C$4,1,0))</f>
        <v/>
      </c>
    </row>
    <row r="2634" customFormat="false" ht="15" hidden="false" customHeight="false" outlineLevel="0" collapsed="false">
      <c r="DB2634" s="0" t="str">
        <f aca="false">IF($A2634="","",IF($AH2634=20,IF(AND(OR($A2634=21,$A2634=215),$AJ2634=10),"①病院一般",IF(AND($A2634=31,$AJ2634=41),"②病院短期","対象外")),IF($AJ2634=30,"③特定消防",IF(AND(OR($A2634=21,$A2634=215),$AJ2634=10),"④一般",IF(AND($A2634=31,$AJ2634=41),"⑤短期","対象外")))))</f>
        <v/>
      </c>
      <c r="DC2634" s="0" t="str">
        <f aca="false">IF($A2634="","",IF($AB2634&amp;""=設定!$C$4,1,0))</f>
        <v/>
      </c>
    </row>
    <row r="2635" customFormat="false" ht="15" hidden="false" customHeight="false" outlineLevel="0" collapsed="false">
      <c r="DB2635" s="0" t="str">
        <f aca="false">IF($A2635="","",IF($AH2635=20,IF(AND(OR($A2635=21,$A2635=215),$AJ2635=10),"①病院一般",IF(AND($A2635=31,$AJ2635=41),"②病院短期","対象外")),IF($AJ2635=30,"③特定消防",IF(AND(OR($A2635=21,$A2635=215),$AJ2635=10),"④一般",IF(AND($A2635=31,$AJ2635=41),"⑤短期","対象外")))))</f>
        <v/>
      </c>
      <c r="DC2635" s="0" t="str">
        <f aca="false">IF($A2635="","",IF($AB2635&amp;""=設定!$C$4,1,0))</f>
        <v/>
      </c>
    </row>
    <row r="2636" customFormat="false" ht="15" hidden="false" customHeight="false" outlineLevel="0" collapsed="false">
      <c r="DB2636" s="0" t="str">
        <f aca="false">IF($A2636="","",IF($AH2636=20,IF(AND(OR($A2636=21,$A2636=215),$AJ2636=10),"①病院一般",IF(AND($A2636=31,$AJ2636=41),"②病院短期","対象外")),IF($AJ2636=30,"③特定消防",IF(AND(OR($A2636=21,$A2636=215),$AJ2636=10),"④一般",IF(AND($A2636=31,$AJ2636=41),"⑤短期","対象外")))))</f>
        <v/>
      </c>
      <c r="DC2636" s="0" t="str">
        <f aca="false">IF($A2636="","",IF($AB2636&amp;""=設定!$C$4,1,0))</f>
        <v/>
      </c>
    </row>
    <row r="2637" customFormat="false" ht="15" hidden="false" customHeight="false" outlineLevel="0" collapsed="false">
      <c r="DB2637" s="0" t="str">
        <f aca="false">IF($A2637="","",IF($AH2637=20,IF(AND(OR($A2637=21,$A2637=215),$AJ2637=10),"①病院一般",IF(AND($A2637=31,$AJ2637=41),"②病院短期","対象外")),IF($AJ2637=30,"③特定消防",IF(AND(OR($A2637=21,$A2637=215),$AJ2637=10),"④一般",IF(AND($A2637=31,$AJ2637=41),"⑤短期","対象外")))))</f>
        <v/>
      </c>
      <c r="DC2637" s="0" t="str">
        <f aca="false">IF($A2637="","",IF($AB2637&amp;""=設定!$C$4,1,0))</f>
        <v/>
      </c>
    </row>
    <row r="2638" customFormat="false" ht="15" hidden="false" customHeight="false" outlineLevel="0" collapsed="false">
      <c r="DB2638" s="0" t="str">
        <f aca="false">IF($A2638="","",IF($AH2638=20,IF(AND(OR($A2638=21,$A2638=215),$AJ2638=10),"①病院一般",IF(AND($A2638=31,$AJ2638=41),"②病院短期","対象外")),IF($AJ2638=30,"③特定消防",IF(AND(OR($A2638=21,$A2638=215),$AJ2638=10),"④一般",IF(AND($A2638=31,$AJ2638=41),"⑤短期","対象外")))))</f>
        <v/>
      </c>
      <c r="DC2638" s="0" t="str">
        <f aca="false">IF($A2638="","",IF($AB2638&amp;""=設定!$C$4,1,0))</f>
        <v/>
      </c>
    </row>
    <row r="2639" customFormat="false" ht="15" hidden="false" customHeight="false" outlineLevel="0" collapsed="false">
      <c r="DB2639" s="0" t="str">
        <f aca="false">IF($A2639="","",IF($AH2639=20,IF(AND(OR($A2639=21,$A2639=215),$AJ2639=10),"①病院一般",IF(AND($A2639=31,$AJ2639=41),"②病院短期","対象外")),IF($AJ2639=30,"③特定消防",IF(AND(OR($A2639=21,$A2639=215),$AJ2639=10),"④一般",IF(AND($A2639=31,$AJ2639=41),"⑤短期","対象外")))))</f>
        <v/>
      </c>
      <c r="DC2639" s="0" t="str">
        <f aca="false">IF($A2639="","",IF($AB2639&amp;""=設定!$C$4,1,0))</f>
        <v/>
      </c>
    </row>
    <row r="2640" customFormat="false" ht="15" hidden="false" customHeight="false" outlineLevel="0" collapsed="false">
      <c r="DB2640" s="0" t="str">
        <f aca="false">IF($A2640="","",IF($AH2640=20,IF(AND(OR($A2640=21,$A2640=215),$AJ2640=10),"①病院一般",IF(AND($A2640=31,$AJ2640=41),"②病院短期","対象外")),IF($AJ2640=30,"③特定消防",IF(AND(OR($A2640=21,$A2640=215),$AJ2640=10),"④一般",IF(AND($A2640=31,$AJ2640=41),"⑤短期","対象外")))))</f>
        <v/>
      </c>
      <c r="DC2640" s="0" t="str">
        <f aca="false">IF($A2640="","",IF($AB2640&amp;""=設定!$C$4,1,0))</f>
        <v/>
      </c>
    </row>
    <row r="2641" customFormat="false" ht="15" hidden="false" customHeight="false" outlineLevel="0" collapsed="false">
      <c r="DB2641" s="0" t="str">
        <f aca="false">IF($A2641="","",IF($AH2641=20,IF(AND(OR($A2641=21,$A2641=215),$AJ2641=10),"①病院一般",IF(AND($A2641=31,$AJ2641=41),"②病院短期","対象外")),IF($AJ2641=30,"③特定消防",IF(AND(OR($A2641=21,$A2641=215),$AJ2641=10),"④一般",IF(AND($A2641=31,$AJ2641=41),"⑤短期","対象外")))))</f>
        <v/>
      </c>
      <c r="DC2641" s="0" t="str">
        <f aca="false">IF($A2641="","",IF($AB2641&amp;""=設定!$C$4,1,0))</f>
        <v/>
      </c>
    </row>
    <row r="2642" customFormat="false" ht="15" hidden="false" customHeight="false" outlineLevel="0" collapsed="false">
      <c r="DB2642" s="0" t="str">
        <f aca="false">IF($A2642="","",IF($AH2642=20,IF(AND(OR($A2642=21,$A2642=215),$AJ2642=10),"①病院一般",IF(AND($A2642=31,$AJ2642=41),"②病院短期","対象外")),IF($AJ2642=30,"③特定消防",IF(AND(OR($A2642=21,$A2642=215),$AJ2642=10),"④一般",IF(AND($A2642=31,$AJ2642=41),"⑤短期","対象外")))))</f>
        <v/>
      </c>
      <c r="DC2642" s="0" t="str">
        <f aca="false">IF($A2642="","",IF($AB2642&amp;""=設定!$C$4,1,0))</f>
        <v/>
      </c>
    </row>
    <row r="2643" customFormat="false" ht="15" hidden="false" customHeight="false" outlineLevel="0" collapsed="false">
      <c r="DB2643" s="0" t="str">
        <f aca="false">IF($A2643="","",IF($AH2643=20,IF(AND(OR($A2643=21,$A2643=215),$AJ2643=10),"①病院一般",IF(AND($A2643=31,$AJ2643=41),"②病院短期","対象外")),IF($AJ2643=30,"③特定消防",IF(AND(OR($A2643=21,$A2643=215),$AJ2643=10),"④一般",IF(AND($A2643=31,$AJ2643=41),"⑤短期","対象外")))))</f>
        <v/>
      </c>
      <c r="DC2643" s="0" t="str">
        <f aca="false">IF($A2643="","",IF($AB2643&amp;""=設定!$C$4,1,0))</f>
        <v/>
      </c>
    </row>
    <row r="2644" customFormat="false" ht="15" hidden="false" customHeight="false" outlineLevel="0" collapsed="false">
      <c r="DB2644" s="0" t="str">
        <f aca="false">IF($A2644="","",IF($AH2644=20,IF(AND(OR($A2644=21,$A2644=215),$AJ2644=10),"①病院一般",IF(AND($A2644=31,$AJ2644=41),"②病院短期","対象外")),IF($AJ2644=30,"③特定消防",IF(AND(OR($A2644=21,$A2644=215),$AJ2644=10),"④一般",IF(AND($A2644=31,$AJ2644=41),"⑤短期","対象外")))))</f>
        <v/>
      </c>
      <c r="DC2644" s="0" t="str">
        <f aca="false">IF($A2644="","",IF($AB2644&amp;""=設定!$C$4,1,0))</f>
        <v/>
      </c>
    </row>
    <row r="2645" customFormat="false" ht="15" hidden="false" customHeight="false" outlineLevel="0" collapsed="false">
      <c r="DB2645" s="0" t="str">
        <f aca="false">IF($A2645="","",IF($AH2645=20,IF(AND(OR($A2645=21,$A2645=215),$AJ2645=10),"①病院一般",IF(AND($A2645=31,$AJ2645=41),"②病院短期","対象外")),IF($AJ2645=30,"③特定消防",IF(AND(OR($A2645=21,$A2645=215),$AJ2645=10),"④一般",IF(AND($A2645=31,$AJ2645=41),"⑤短期","対象外")))))</f>
        <v/>
      </c>
      <c r="DC2645" s="0" t="str">
        <f aca="false">IF($A2645="","",IF($AB2645&amp;""=設定!$C$4,1,0))</f>
        <v/>
      </c>
    </row>
    <row r="2646" customFormat="false" ht="15" hidden="false" customHeight="false" outlineLevel="0" collapsed="false">
      <c r="DB2646" s="0" t="str">
        <f aca="false">IF($A2646="","",IF($AH2646=20,IF(AND(OR($A2646=21,$A2646=215),$AJ2646=10),"①病院一般",IF(AND($A2646=31,$AJ2646=41),"②病院短期","対象外")),IF($AJ2646=30,"③特定消防",IF(AND(OR($A2646=21,$A2646=215),$AJ2646=10),"④一般",IF(AND($A2646=31,$AJ2646=41),"⑤短期","対象外")))))</f>
        <v/>
      </c>
      <c r="DC2646" s="0" t="str">
        <f aca="false">IF($A2646="","",IF($AB2646&amp;""=設定!$C$4,1,0))</f>
        <v/>
      </c>
    </row>
    <row r="2647" customFormat="false" ht="15" hidden="false" customHeight="false" outlineLevel="0" collapsed="false">
      <c r="DB2647" s="0" t="str">
        <f aca="false">IF($A2647="","",IF($AH2647=20,IF(AND(OR($A2647=21,$A2647=215),$AJ2647=10),"①病院一般",IF(AND($A2647=31,$AJ2647=41),"②病院短期","対象外")),IF($AJ2647=30,"③特定消防",IF(AND(OR($A2647=21,$A2647=215),$AJ2647=10),"④一般",IF(AND($A2647=31,$AJ2647=41),"⑤短期","対象外")))))</f>
        <v/>
      </c>
      <c r="DC2647" s="0" t="str">
        <f aca="false">IF($A2647="","",IF($AB2647&amp;""=設定!$C$4,1,0))</f>
        <v/>
      </c>
    </row>
    <row r="2648" customFormat="false" ht="15" hidden="false" customHeight="false" outlineLevel="0" collapsed="false">
      <c r="DB2648" s="0" t="str">
        <f aca="false">IF($A2648="","",IF($AH2648=20,IF(AND(OR($A2648=21,$A2648=215),$AJ2648=10),"①病院一般",IF(AND($A2648=31,$AJ2648=41),"②病院短期","対象外")),IF($AJ2648=30,"③特定消防",IF(AND(OR($A2648=21,$A2648=215),$AJ2648=10),"④一般",IF(AND($A2648=31,$AJ2648=41),"⑤短期","対象外")))))</f>
        <v/>
      </c>
      <c r="DC2648" s="0" t="str">
        <f aca="false">IF($A2648="","",IF($AB2648&amp;""=設定!$C$4,1,0))</f>
        <v/>
      </c>
    </row>
    <row r="2649" customFormat="false" ht="15" hidden="false" customHeight="false" outlineLevel="0" collapsed="false">
      <c r="DB2649" s="0" t="str">
        <f aca="false">IF($A2649="","",IF($AH2649=20,IF(AND(OR($A2649=21,$A2649=215),$AJ2649=10),"①病院一般",IF(AND($A2649=31,$AJ2649=41),"②病院短期","対象外")),IF($AJ2649=30,"③特定消防",IF(AND(OR($A2649=21,$A2649=215),$AJ2649=10),"④一般",IF(AND($A2649=31,$AJ2649=41),"⑤短期","対象外")))))</f>
        <v/>
      </c>
      <c r="DC2649" s="0" t="str">
        <f aca="false">IF($A2649="","",IF($AB2649&amp;""=設定!$C$4,1,0))</f>
        <v/>
      </c>
    </row>
    <row r="2650" customFormat="false" ht="15" hidden="false" customHeight="false" outlineLevel="0" collapsed="false">
      <c r="DB2650" s="0" t="str">
        <f aca="false">IF($A2650="","",IF($AH2650=20,IF(AND(OR($A2650=21,$A2650=215),$AJ2650=10),"①病院一般",IF(AND($A2650=31,$AJ2650=41),"②病院短期","対象外")),IF($AJ2650=30,"③特定消防",IF(AND(OR($A2650=21,$A2650=215),$AJ2650=10),"④一般",IF(AND($A2650=31,$AJ2650=41),"⑤短期","対象外")))))</f>
        <v/>
      </c>
      <c r="DC2650" s="0" t="str">
        <f aca="false">IF($A2650="","",IF($AB2650&amp;""=設定!$C$4,1,0))</f>
        <v/>
      </c>
    </row>
    <row r="2651" customFormat="false" ht="15" hidden="false" customHeight="false" outlineLevel="0" collapsed="false">
      <c r="DB2651" s="0" t="str">
        <f aca="false">IF($A2651="","",IF($AH2651=20,IF(AND(OR($A2651=21,$A2651=215),$AJ2651=10),"①病院一般",IF(AND($A2651=31,$AJ2651=41),"②病院短期","対象外")),IF($AJ2651=30,"③特定消防",IF(AND(OR($A2651=21,$A2651=215),$AJ2651=10),"④一般",IF(AND($A2651=31,$AJ2651=41),"⑤短期","対象外")))))</f>
        <v/>
      </c>
      <c r="DC2651" s="0" t="str">
        <f aca="false">IF($A2651="","",IF($AB2651&amp;""=設定!$C$4,1,0))</f>
        <v/>
      </c>
    </row>
    <row r="2652" customFormat="false" ht="15" hidden="false" customHeight="false" outlineLevel="0" collapsed="false">
      <c r="DB2652" s="0" t="str">
        <f aca="false">IF($A2652="","",IF($AH2652=20,IF(AND(OR($A2652=21,$A2652=215),$AJ2652=10),"①病院一般",IF(AND($A2652=31,$AJ2652=41),"②病院短期","対象外")),IF($AJ2652=30,"③特定消防",IF(AND(OR($A2652=21,$A2652=215),$AJ2652=10),"④一般",IF(AND($A2652=31,$AJ2652=41),"⑤短期","対象外")))))</f>
        <v/>
      </c>
      <c r="DC2652" s="0" t="str">
        <f aca="false">IF($A2652="","",IF($AB2652&amp;""=設定!$C$4,1,0))</f>
        <v/>
      </c>
    </row>
    <row r="2653" customFormat="false" ht="15" hidden="false" customHeight="false" outlineLevel="0" collapsed="false">
      <c r="DB2653" s="0" t="str">
        <f aca="false">IF($A2653="","",IF($AH2653=20,IF(AND(OR($A2653=21,$A2653=215),$AJ2653=10),"①病院一般",IF(AND($A2653=31,$AJ2653=41),"②病院短期","対象外")),IF($AJ2653=30,"③特定消防",IF(AND(OR($A2653=21,$A2653=215),$AJ2653=10),"④一般",IF(AND($A2653=31,$AJ2653=41),"⑤短期","対象外")))))</f>
        <v/>
      </c>
      <c r="DC2653" s="0" t="str">
        <f aca="false">IF($A2653="","",IF($AB2653&amp;""=設定!$C$4,1,0))</f>
        <v/>
      </c>
    </row>
    <row r="2654" customFormat="false" ht="15" hidden="false" customHeight="false" outlineLevel="0" collapsed="false">
      <c r="DB2654" s="0" t="str">
        <f aca="false">IF($A2654="","",IF($AH2654=20,IF(AND(OR($A2654=21,$A2654=215),$AJ2654=10),"①病院一般",IF(AND($A2654=31,$AJ2654=41),"②病院短期","対象外")),IF($AJ2654=30,"③特定消防",IF(AND(OR($A2654=21,$A2654=215),$AJ2654=10),"④一般",IF(AND($A2654=31,$AJ2654=41),"⑤短期","対象外")))))</f>
        <v/>
      </c>
      <c r="DC2654" s="0" t="str">
        <f aca="false">IF($A2654="","",IF($AB2654&amp;""=設定!$C$4,1,0))</f>
        <v/>
      </c>
    </row>
    <row r="2655" customFormat="false" ht="15" hidden="false" customHeight="false" outlineLevel="0" collapsed="false">
      <c r="DB2655" s="0" t="str">
        <f aca="false">IF($A2655="","",IF($AH2655=20,IF(AND(OR($A2655=21,$A2655=215),$AJ2655=10),"①病院一般",IF(AND($A2655=31,$AJ2655=41),"②病院短期","対象外")),IF($AJ2655=30,"③特定消防",IF(AND(OR($A2655=21,$A2655=215),$AJ2655=10),"④一般",IF(AND($A2655=31,$AJ2655=41),"⑤短期","対象外")))))</f>
        <v/>
      </c>
      <c r="DC2655" s="0" t="str">
        <f aca="false">IF($A2655="","",IF($AB2655&amp;""=設定!$C$4,1,0))</f>
        <v/>
      </c>
    </row>
    <row r="2656" customFormat="false" ht="15" hidden="false" customHeight="false" outlineLevel="0" collapsed="false">
      <c r="DB2656" s="0" t="str">
        <f aca="false">IF($A2656="","",IF($AH2656=20,IF(AND(OR($A2656=21,$A2656=215),$AJ2656=10),"①病院一般",IF(AND($A2656=31,$AJ2656=41),"②病院短期","対象外")),IF($AJ2656=30,"③特定消防",IF(AND(OR($A2656=21,$A2656=215),$AJ2656=10),"④一般",IF(AND($A2656=31,$AJ2656=41),"⑤短期","対象外")))))</f>
        <v/>
      </c>
      <c r="DC2656" s="0" t="str">
        <f aca="false">IF($A2656="","",IF($AB2656&amp;""=設定!$C$4,1,0))</f>
        <v/>
      </c>
    </row>
    <row r="2657" customFormat="false" ht="15" hidden="false" customHeight="false" outlineLevel="0" collapsed="false">
      <c r="DB2657" s="0" t="str">
        <f aca="false">IF($A2657="","",IF($AH2657=20,IF(AND(OR($A2657=21,$A2657=215),$AJ2657=10),"①病院一般",IF(AND($A2657=31,$AJ2657=41),"②病院短期","対象外")),IF($AJ2657=30,"③特定消防",IF(AND(OR($A2657=21,$A2657=215),$AJ2657=10),"④一般",IF(AND($A2657=31,$AJ2657=41),"⑤短期","対象外")))))</f>
        <v/>
      </c>
      <c r="DC2657" s="0" t="str">
        <f aca="false">IF($A2657="","",IF($AB2657&amp;""=設定!$C$4,1,0))</f>
        <v/>
      </c>
    </row>
    <row r="2658" customFormat="false" ht="15" hidden="false" customHeight="false" outlineLevel="0" collapsed="false">
      <c r="DB2658" s="0" t="str">
        <f aca="false">IF($A2658="","",IF($AH2658=20,IF(AND(OR($A2658=21,$A2658=215),$AJ2658=10),"①病院一般",IF(AND($A2658=31,$AJ2658=41),"②病院短期","対象外")),IF($AJ2658=30,"③特定消防",IF(AND(OR($A2658=21,$A2658=215),$AJ2658=10),"④一般",IF(AND($A2658=31,$AJ2658=41),"⑤短期","対象外")))))</f>
        <v/>
      </c>
      <c r="DC2658" s="0" t="str">
        <f aca="false">IF($A2658="","",IF($AB2658&amp;""=設定!$C$4,1,0))</f>
        <v/>
      </c>
    </row>
    <row r="2659" customFormat="false" ht="15" hidden="false" customHeight="false" outlineLevel="0" collapsed="false">
      <c r="DB2659" s="0" t="str">
        <f aca="false">IF($A2659="","",IF($AH2659=20,IF(AND(OR($A2659=21,$A2659=215),$AJ2659=10),"①病院一般",IF(AND($A2659=31,$AJ2659=41),"②病院短期","対象外")),IF($AJ2659=30,"③特定消防",IF(AND(OR($A2659=21,$A2659=215),$AJ2659=10),"④一般",IF(AND($A2659=31,$AJ2659=41),"⑤短期","対象外")))))</f>
        <v/>
      </c>
      <c r="DC2659" s="0" t="str">
        <f aca="false">IF($A2659="","",IF($AB2659&amp;""=設定!$C$4,1,0))</f>
        <v/>
      </c>
    </row>
    <row r="2660" customFormat="false" ht="15" hidden="false" customHeight="false" outlineLevel="0" collapsed="false">
      <c r="DB2660" s="0" t="str">
        <f aca="false">IF($A2660="","",IF($AH2660=20,IF(AND(OR($A2660=21,$A2660=215),$AJ2660=10),"①病院一般",IF(AND($A2660=31,$AJ2660=41),"②病院短期","対象外")),IF($AJ2660=30,"③特定消防",IF(AND(OR($A2660=21,$A2660=215),$AJ2660=10),"④一般",IF(AND($A2660=31,$AJ2660=41),"⑤短期","対象外")))))</f>
        <v/>
      </c>
      <c r="DC2660" s="0" t="str">
        <f aca="false">IF($A2660="","",IF($AB2660&amp;""=設定!$C$4,1,0))</f>
        <v/>
      </c>
    </row>
    <row r="2661" customFormat="false" ht="15" hidden="false" customHeight="false" outlineLevel="0" collapsed="false">
      <c r="DB2661" s="0" t="str">
        <f aca="false">IF($A2661="","",IF($AH2661=20,IF(AND(OR($A2661=21,$A2661=215),$AJ2661=10),"①病院一般",IF(AND($A2661=31,$AJ2661=41),"②病院短期","対象外")),IF($AJ2661=30,"③特定消防",IF(AND(OR($A2661=21,$A2661=215),$AJ2661=10),"④一般",IF(AND($A2661=31,$AJ2661=41),"⑤短期","対象外")))))</f>
        <v/>
      </c>
      <c r="DC2661" s="0" t="str">
        <f aca="false">IF($A2661="","",IF($AB2661&amp;""=設定!$C$4,1,0))</f>
        <v/>
      </c>
    </row>
    <row r="2662" customFormat="false" ht="15" hidden="false" customHeight="false" outlineLevel="0" collapsed="false">
      <c r="DB2662" s="0" t="str">
        <f aca="false">IF($A2662="","",IF($AH2662=20,IF(AND(OR($A2662=21,$A2662=215),$AJ2662=10),"①病院一般",IF(AND($A2662=31,$AJ2662=41),"②病院短期","対象外")),IF($AJ2662=30,"③特定消防",IF(AND(OR($A2662=21,$A2662=215),$AJ2662=10),"④一般",IF(AND($A2662=31,$AJ2662=41),"⑤短期","対象外")))))</f>
        <v/>
      </c>
      <c r="DC2662" s="0" t="str">
        <f aca="false">IF($A2662="","",IF($AB2662&amp;""=設定!$C$4,1,0))</f>
        <v/>
      </c>
    </row>
    <row r="2663" customFormat="false" ht="15" hidden="false" customHeight="false" outlineLevel="0" collapsed="false">
      <c r="DB2663" s="0" t="str">
        <f aca="false">IF($A2663="","",IF($AH2663=20,IF(AND(OR($A2663=21,$A2663=215),$AJ2663=10),"①病院一般",IF(AND($A2663=31,$AJ2663=41),"②病院短期","対象外")),IF($AJ2663=30,"③特定消防",IF(AND(OR($A2663=21,$A2663=215),$AJ2663=10),"④一般",IF(AND($A2663=31,$AJ2663=41),"⑤短期","対象外")))))</f>
        <v/>
      </c>
      <c r="DC2663" s="0" t="str">
        <f aca="false">IF($A2663="","",IF($AB2663&amp;""=設定!$C$4,1,0))</f>
        <v/>
      </c>
    </row>
    <row r="2664" customFormat="false" ht="15" hidden="false" customHeight="false" outlineLevel="0" collapsed="false">
      <c r="DB2664" s="0" t="str">
        <f aca="false">IF($A2664="","",IF($AH2664=20,IF(AND(OR($A2664=21,$A2664=215),$AJ2664=10),"①病院一般",IF(AND($A2664=31,$AJ2664=41),"②病院短期","対象外")),IF($AJ2664=30,"③特定消防",IF(AND(OR($A2664=21,$A2664=215),$AJ2664=10),"④一般",IF(AND($A2664=31,$AJ2664=41),"⑤短期","対象外")))))</f>
        <v/>
      </c>
      <c r="DC2664" s="0" t="str">
        <f aca="false">IF($A2664="","",IF($AB2664&amp;""=設定!$C$4,1,0))</f>
        <v/>
      </c>
    </row>
    <row r="2665" customFormat="false" ht="15" hidden="false" customHeight="false" outlineLevel="0" collapsed="false">
      <c r="DB2665" s="0" t="str">
        <f aca="false">IF($A2665="","",IF($AH2665=20,IF(AND(OR($A2665=21,$A2665=215),$AJ2665=10),"①病院一般",IF(AND($A2665=31,$AJ2665=41),"②病院短期","対象外")),IF($AJ2665=30,"③特定消防",IF(AND(OR($A2665=21,$A2665=215),$AJ2665=10),"④一般",IF(AND($A2665=31,$AJ2665=41),"⑤短期","対象外")))))</f>
        <v/>
      </c>
      <c r="DC2665" s="0" t="str">
        <f aca="false">IF($A2665="","",IF($AB2665&amp;""=設定!$C$4,1,0))</f>
        <v/>
      </c>
    </row>
    <row r="2666" customFormat="false" ht="15" hidden="false" customHeight="false" outlineLevel="0" collapsed="false">
      <c r="DB2666" s="0" t="str">
        <f aca="false">IF($A2666="","",IF($AH2666=20,IF(AND(OR($A2666=21,$A2666=215),$AJ2666=10),"①病院一般",IF(AND($A2666=31,$AJ2666=41),"②病院短期","対象外")),IF($AJ2666=30,"③特定消防",IF(AND(OR($A2666=21,$A2666=215),$AJ2666=10),"④一般",IF(AND($A2666=31,$AJ2666=41),"⑤短期","対象外")))))</f>
        <v/>
      </c>
      <c r="DC2666" s="0" t="str">
        <f aca="false">IF($A2666="","",IF($AB2666&amp;""=設定!$C$4,1,0))</f>
        <v/>
      </c>
    </row>
    <row r="2667" customFormat="false" ht="15" hidden="false" customHeight="false" outlineLevel="0" collapsed="false">
      <c r="DB2667" s="0" t="str">
        <f aca="false">IF($A2667="","",IF($AH2667=20,IF(AND(OR($A2667=21,$A2667=215),$AJ2667=10),"①病院一般",IF(AND($A2667=31,$AJ2667=41),"②病院短期","対象外")),IF($AJ2667=30,"③特定消防",IF(AND(OR($A2667=21,$A2667=215),$AJ2667=10),"④一般",IF(AND($A2667=31,$AJ2667=41),"⑤短期","対象外")))))</f>
        <v/>
      </c>
      <c r="DC2667" s="0" t="str">
        <f aca="false">IF($A2667="","",IF($AB2667&amp;""=設定!$C$4,1,0))</f>
        <v/>
      </c>
    </row>
    <row r="2668" customFormat="false" ht="15" hidden="false" customHeight="false" outlineLevel="0" collapsed="false">
      <c r="DB2668" s="0" t="str">
        <f aca="false">IF($A2668="","",IF($AH2668=20,IF(AND(OR($A2668=21,$A2668=215),$AJ2668=10),"①病院一般",IF(AND($A2668=31,$AJ2668=41),"②病院短期","対象外")),IF($AJ2668=30,"③特定消防",IF(AND(OR($A2668=21,$A2668=215),$AJ2668=10),"④一般",IF(AND($A2668=31,$AJ2668=41),"⑤短期","対象外")))))</f>
        <v/>
      </c>
      <c r="DC2668" s="0" t="str">
        <f aca="false">IF($A2668="","",IF($AB2668&amp;""=設定!$C$4,1,0))</f>
        <v/>
      </c>
    </row>
    <row r="2669" customFormat="false" ht="15" hidden="false" customHeight="false" outlineLevel="0" collapsed="false">
      <c r="DB2669" s="0" t="str">
        <f aca="false">IF($A2669="","",IF($AH2669=20,IF(AND(OR($A2669=21,$A2669=215),$AJ2669=10),"①病院一般",IF(AND($A2669=31,$AJ2669=41),"②病院短期","対象外")),IF($AJ2669=30,"③特定消防",IF(AND(OR($A2669=21,$A2669=215),$AJ2669=10),"④一般",IF(AND($A2669=31,$AJ2669=41),"⑤短期","対象外")))))</f>
        <v/>
      </c>
      <c r="DC2669" s="0" t="str">
        <f aca="false">IF($A2669="","",IF($AB2669&amp;""=設定!$C$4,1,0))</f>
        <v/>
      </c>
    </row>
    <row r="2670" customFormat="false" ht="15" hidden="false" customHeight="false" outlineLevel="0" collapsed="false">
      <c r="DB2670" s="0" t="str">
        <f aca="false">IF($A2670="","",IF($AH2670=20,IF(AND(OR($A2670=21,$A2670=215),$AJ2670=10),"①病院一般",IF(AND($A2670=31,$AJ2670=41),"②病院短期","対象外")),IF($AJ2670=30,"③特定消防",IF(AND(OR($A2670=21,$A2670=215),$AJ2670=10),"④一般",IF(AND($A2670=31,$AJ2670=41),"⑤短期","対象外")))))</f>
        <v/>
      </c>
      <c r="DC2670" s="0" t="str">
        <f aca="false">IF($A2670="","",IF($AB2670&amp;""=設定!$C$4,1,0))</f>
        <v/>
      </c>
    </row>
    <row r="2671" customFormat="false" ht="15" hidden="false" customHeight="false" outlineLevel="0" collapsed="false">
      <c r="DB2671" s="0" t="str">
        <f aca="false">IF($A2671="","",IF($AH2671=20,IF(AND(OR($A2671=21,$A2671=215),$AJ2671=10),"①病院一般",IF(AND($A2671=31,$AJ2671=41),"②病院短期","対象外")),IF($AJ2671=30,"③特定消防",IF(AND(OR($A2671=21,$A2671=215),$AJ2671=10),"④一般",IF(AND($A2671=31,$AJ2671=41),"⑤短期","対象外")))))</f>
        <v/>
      </c>
      <c r="DC2671" s="0" t="str">
        <f aca="false">IF($A2671="","",IF($AB2671&amp;""=設定!$C$4,1,0))</f>
        <v/>
      </c>
    </row>
    <row r="2672" customFormat="false" ht="15" hidden="false" customHeight="false" outlineLevel="0" collapsed="false">
      <c r="DB2672" s="0" t="str">
        <f aca="false">IF($A2672="","",IF($AH2672=20,IF(AND(OR($A2672=21,$A2672=215),$AJ2672=10),"①病院一般",IF(AND($A2672=31,$AJ2672=41),"②病院短期","対象外")),IF($AJ2672=30,"③特定消防",IF(AND(OR($A2672=21,$A2672=215),$AJ2672=10),"④一般",IF(AND($A2672=31,$AJ2672=41),"⑤短期","対象外")))))</f>
        <v/>
      </c>
      <c r="DC2672" s="0" t="str">
        <f aca="false">IF($A2672="","",IF($AB2672&amp;""=設定!$C$4,1,0))</f>
        <v/>
      </c>
    </row>
    <row r="2673" customFormat="false" ht="15" hidden="false" customHeight="false" outlineLevel="0" collapsed="false">
      <c r="DB2673" s="0" t="str">
        <f aca="false">IF($A2673="","",IF($AH2673=20,IF(AND(OR($A2673=21,$A2673=215),$AJ2673=10),"①病院一般",IF(AND($A2673=31,$AJ2673=41),"②病院短期","対象外")),IF($AJ2673=30,"③特定消防",IF(AND(OR($A2673=21,$A2673=215),$AJ2673=10),"④一般",IF(AND($A2673=31,$AJ2673=41),"⑤短期","対象外")))))</f>
        <v/>
      </c>
      <c r="DC2673" s="0" t="str">
        <f aca="false">IF($A2673="","",IF($AB2673&amp;""=設定!$C$4,1,0))</f>
        <v/>
      </c>
    </row>
    <row r="2674" customFormat="false" ht="15" hidden="false" customHeight="false" outlineLevel="0" collapsed="false">
      <c r="DB2674" s="0" t="str">
        <f aca="false">IF($A2674="","",IF($AH2674=20,IF(AND(OR($A2674=21,$A2674=215),$AJ2674=10),"①病院一般",IF(AND($A2674=31,$AJ2674=41),"②病院短期","対象外")),IF($AJ2674=30,"③特定消防",IF(AND(OR($A2674=21,$A2674=215),$AJ2674=10),"④一般",IF(AND($A2674=31,$AJ2674=41),"⑤短期","対象外")))))</f>
        <v/>
      </c>
      <c r="DC2674" s="0" t="str">
        <f aca="false">IF($A2674="","",IF($AB2674&amp;""=設定!$C$4,1,0))</f>
        <v/>
      </c>
    </row>
    <row r="2675" customFormat="false" ht="15" hidden="false" customHeight="false" outlineLevel="0" collapsed="false">
      <c r="DB2675" s="0" t="str">
        <f aca="false">IF($A2675="","",IF($AH2675=20,IF(AND(OR($A2675=21,$A2675=215),$AJ2675=10),"①病院一般",IF(AND($A2675=31,$AJ2675=41),"②病院短期","対象外")),IF($AJ2675=30,"③特定消防",IF(AND(OR($A2675=21,$A2675=215),$AJ2675=10),"④一般",IF(AND($A2675=31,$AJ2675=41),"⑤短期","対象外")))))</f>
        <v/>
      </c>
      <c r="DC2675" s="0" t="str">
        <f aca="false">IF($A2675="","",IF($AB2675&amp;""=設定!$C$4,1,0))</f>
        <v/>
      </c>
    </row>
    <row r="2676" customFormat="false" ht="15" hidden="false" customHeight="false" outlineLevel="0" collapsed="false">
      <c r="DB2676" s="0" t="str">
        <f aca="false">IF($A2676="","",IF($AH2676=20,IF(AND(OR($A2676=21,$A2676=215),$AJ2676=10),"①病院一般",IF(AND($A2676=31,$AJ2676=41),"②病院短期","対象外")),IF($AJ2676=30,"③特定消防",IF(AND(OR($A2676=21,$A2676=215),$AJ2676=10),"④一般",IF(AND($A2676=31,$AJ2676=41),"⑤短期","対象外")))))</f>
        <v/>
      </c>
      <c r="DC2676" s="0" t="str">
        <f aca="false">IF($A2676="","",IF($AB2676&amp;""=設定!$C$4,1,0))</f>
        <v/>
      </c>
    </row>
    <row r="2677" customFormat="false" ht="15" hidden="false" customHeight="false" outlineLevel="0" collapsed="false">
      <c r="DB2677" s="0" t="str">
        <f aca="false">IF($A2677="","",IF($AH2677=20,IF(AND(OR($A2677=21,$A2677=215),$AJ2677=10),"①病院一般",IF(AND($A2677=31,$AJ2677=41),"②病院短期","対象外")),IF($AJ2677=30,"③特定消防",IF(AND(OR($A2677=21,$A2677=215),$AJ2677=10),"④一般",IF(AND($A2677=31,$AJ2677=41),"⑤短期","対象外")))))</f>
        <v/>
      </c>
      <c r="DC2677" s="0" t="str">
        <f aca="false">IF($A2677="","",IF($AB2677&amp;""=設定!$C$4,1,0))</f>
        <v/>
      </c>
    </row>
    <row r="2678" customFormat="false" ht="15" hidden="false" customHeight="false" outlineLevel="0" collapsed="false">
      <c r="DB2678" s="0" t="str">
        <f aca="false">IF($A2678="","",IF($AH2678=20,IF(AND(OR($A2678=21,$A2678=215),$AJ2678=10),"①病院一般",IF(AND($A2678=31,$AJ2678=41),"②病院短期","対象外")),IF($AJ2678=30,"③特定消防",IF(AND(OR($A2678=21,$A2678=215),$AJ2678=10),"④一般",IF(AND($A2678=31,$AJ2678=41),"⑤短期","対象外")))))</f>
        <v/>
      </c>
      <c r="DC2678" s="0" t="str">
        <f aca="false">IF($A2678="","",IF($AB2678&amp;""=設定!$C$4,1,0))</f>
        <v/>
      </c>
    </row>
    <row r="2679" customFormat="false" ht="15" hidden="false" customHeight="false" outlineLevel="0" collapsed="false">
      <c r="DB2679" s="0" t="str">
        <f aca="false">IF($A2679="","",IF($AH2679=20,IF(AND(OR($A2679=21,$A2679=215),$AJ2679=10),"①病院一般",IF(AND($A2679=31,$AJ2679=41),"②病院短期","対象外")),IF($AJ2679=30,"③特定消防",IF(AND(OR($A2679=21,$A2679=215),$AJ2679=10),"④一般",IF(AND($A2679=31,$AJ2679=41),"⑤短期","対象外")))))</f>
        <v/>
      </c>
      <c r="DC2679" s="0" t="str">
        <f aca="false">IF($A2679="","",IF($AB2679&amp;""=設定!$C$4,1,0))</f>
        <v/>
      </c>
    </row>
    <row r="2680" customFormat="false" ht="15" hidden="false" customHeight="false" outlineLevel="0" collapsed="false">
      <c r="DB2680" s="0" t="str">
        <f aca="false">IF($A2680="","",IF($AH2680=20,IF(AND(OR($A2680=21,$A2680=215),$AJ2680=10),"①病院一般",IF(AND($A2680=31,$AJ2680=41),"②病院短期","対象外")),IF($AJ2680=30,"③特定消防",IF(AND(OR($A2680=21,$A2680=215),$AJ2680=10),"④一般",IF(AND($A2680=31,$AJ2680=41),"⑤短期","対象外")))))</f>
        <v/>
      </c>
      <c r="DC2680" s="0" t="str">
        <f aca="false">IF($A2680="","",IF($AB2680&amp;""=設定!$C$4,1,0))</f>
        <v/>
      </c>
    </row>
    <row r="2681" customFormat="false" ht="15" hidden="false" customHeight="false" outlineLevel="0" collapsed="false">
      <c r="DB2681" s="0" t="str">
        <f aca="false">IF($A2681="","",IF($AH2681=20,IF(AND(OR($A2681=21,$A2681=215),$AJ2681=10),"①病院一般",IF(AND($A2681=31,$AJ2681=41),"②病院短期","対象外")),IF($AJ2681=30,"③特定消防",IF(AND(OR($A2681=21,$A2681=215),$AJ2681=10),"④一般",IF(AND($A2681=31,$AJ2681=41),"⑤短期","対象外")))))</f>
        <v/>
      </c>
      <c r="DC2681" s="0" t="str">
        <f aca="false">IF($A2681="","",IF($AB2681&amp;""=設定!$C$4,1,0))</f>
        <v/>
      </c>
    </row>
    <row r="2682" customFormat="false" ht="15" hidden="false" customHeight="false" outlineLevel="0" collapsed="false">
      <c r="DB2682" s="0" t="str">
        <f aca="false">IF($A2682="","",IF($AH2682=20,IF(AND(OR($A2682=21,$A2682=215),$AJ2682=10),"①病院一般",IF(AND($A2682=31,$AJ2682=41),"②病院短期","対象外")),IF($AJ2682=30,"③特定消防",IF(AND(OR($A2682=21,$A2682=215),$AJ2682=10),"④一般",IF(AND($A2682=31,$AJ2682=41),"⑤短期","対象外")))))</f>
        <v/>
      </c>
      <c r="DC2682" s="0" t="str">
        <f aca="false">IF($A2682="","",IF($AB2682&amp;""=設定!$C$4,1,0))</f>
        <v/>
      </c>
    </row>
    <row r="2683" customFormat="false" ht="15" hidden="false" customHeight="false" outlineLevel="0" collapsed="false">
      <c r="DB2683" s="0" t="str">
        <f aca="false">IF($A2683="","",IF($AH2683=20,IF(AND(OR($A2683=21,$A2683=215),$AJ2683=10),"①病院一般",IF(AND($A2683=31,$AJ2683=41),"②病院短期","対象外")),IF($AJ2683=30,"③特定消防",IF(AND(OR($A2683=21,$A2683=215),$AJ2683=10),"④一般",IF(AND($A2683=31,$AJ2683=41),"⑤短期","対象外")))))</f>
        <v/>
      </c>
      <c r="DC2683" s="0" t="str">
        <f aca="false">IF($A2683="","",IF($AB2683&amp;""=設定!$C$4,1,0))</f>
        <v/>
      </c>
    </row>
    <row r="2684" customFormat="false" ht="15" hidden="false" customHeight="false" outlineLevel="0" collapsed="false">
      <c r="DB2684" s="0" t="str">
        <f aca="false">IF($A2684="","",IF($AH2684=20,IF(AND(OR($A2684=21,$A2684=215),$AJ2684=10),"①病院一般",IF(AND($A2684=31,$AJ2684=41),"②病院短期","対象外")),IF($AJ2684=30,"③特定消防",IF(AND(OR($A2684=21,$A2684=215),$AJ2684=10),"④一般",IF(AND($A2684=31,$AJ2684=41),"⑤短期","対象外")))))</f>
        <v/>
      </c>
      <c r="DC2684" s="0" t="str">
        <f aca="false">IF($A2684="","",IF($AB2684&amp;""=設定!$C$4,1,0))</f>
        <v/>
      </c>
    </row>
    <row r="2685" customFormat="false" ht="15" hidden="false" customHeight="false" outlineLevel="0" collapsed="false">
      <c r="DB2685" s="0" t="str">
        <f aca="false">IF($A2685="","",IF($AH2685=20,IF(AND(OR($A2685=21,$A2685=215),$AJ2685=10),"①病院一般",IF(AND($A2685=31,$AJ2685=41),"②病院短期","対象外")),IF($AJ2685=30,"③特定消防",IF(AND(OR($A2685=21,$A2685=215),$AJ2685=10),"④一般",IF(AND($A2685=31,$AJ2685=41),"⑤短期","対象外")))))</f>
        <v/>
      </c>
      <c r="DC2685" s="0" t="str">
        <f aca="false">IF($A2685="","",IF($AB2685&amp;""=設定!$C$4,1,0))</f>
        <v/>
      </c>
    </row>
    <row r="2686" customFormat="false" ht="15" hidden="false" customHeight="false" outlineLevel="0" collapsed="false">
      <c r="DB2686" s="0" t="str">
        <f aca="false">IF($A2686="","",IF($AH2686=20,IF(AND(OR($A2686=21,$A2686=215),$AJ2686=10),"①病院一般",IF(AND($A2686=31,$AJ2686=41),"②病院短期","対象外")),IF($AJ2686=30,"③特定消防",IF(AND(OR($A2686=21,$A2686=215),$AJ2686=10),"④一般",IF(AND($A2686=31,$AJ2686=41),"⑤短期","対象外")))))</f>
        <v/>
      </c>
      <c r="DC2686" s="0" t="str">
        <f aca="false">IF($A2686="","",IF($AB2686&amp;""=設定!$C$4,1,0))</f>
        <v/>
      </c>
    </row>
    <row r="2687" customFormat="false" ht="15" hidden="false" customHeight="false" outlineLevel="0" collapsed="false">
      <c r="DB2687" s="0" t="str">
        <f aca="false">IF($A2687="","",IF($AH2687=20,IF(AND(OR($A2687=21,$A2687=215),$AJ2687=10),"①病院一般",IF(AND($A2687=31,$AJ2687=41),"②病院短期","対象外")),IF($AJ2687=30,"③特定消防",IF(AND(OR($A2687=21,$A2687=215),$AJ2687=10),"④一般",IF(AND($A2687=31,$AJ2687=41),"⑤短期","対象外")))))</f>
        <v/>
      </c>
      <c r="DC2687" s="0" t="str">
        <f aca="false">IF($A2687="","",IF($AB2687&amp;""=設定!$C$4,1,0))</f>
        <v/>
      </c>
    </row>
    <row r="2688" customFormat="false" ht="15" hidden="false" customHeight="false" outlineLevel="0" collapsed="false">
      <c r="DB2688" s="0" t="str">
        <f aca="false">IF($A2688="","",IF($AH2688=20,IF(AND(OR($A2688=21,$A2688=215),$AJ2688=10),"①病院一般",IF(AND($A2688=31,$AJ2688=41),"②病院短期","対象外")),IF($AJ2688=30,"③特定消防",IF(AND(OR($A2688=21,$A2688=215),$AJ2688=10),"④一般",IF(AND($A2688=31,$AJ2688=41),"⑤短期","対象外")))))</f>
        <v/>
      </c>
      <c r="DC2688" s="0" t="str">
        <f aca="false">IF($A2688="","",IF($AB2688&amp;""=設定!$C$4,1,0))</f>
        <v/>
      </c>
    </row>
    <row r="2689" customFormat="false" ht="15" hidden="false" customHeight="false" outlineLevel="0" collapsed="false">
      <c r="DB2689" s="0" t="str">
        <f aca="false">IF($A2689="","",IF($AH2689=20,IF(AND(OR($A2689=21,$A2689=215),$AJ2689=10),"①病院一般",IF(AND($A2689=31,$AJ2689=41),"②病院短期","対象外")),IF($AJ2689=30,"③特定消防",IF(AND(OR($A2689=21,$A2689=215),$AJ2689=10),"④一般",IF(AND($A2689=31,$AJ2689=41),"⑤短期","対象外")))))</f>
        <v/>
      </c>
      <c r="DC2689" s="0" t="str">
        <f aca="false">IF($A2689="","",IF($AB2689&amp;""=設定!$C$4,1,0))</f>
        <v/>
      </c>
    </row>
    <row r="2690" customFormat="false" ht="15" hidden="false" customHeight="false" outlineLevel="0" collapsed="false">
      <c r="DB2690" s="0" t="str">
        <f aca="false">IF($A2690="","",IF($AH2690=20,IF(AND(OR($A2690=21,$A2690=215),$AJ2690=10),"①病院一般",IF(AND($A2690=31,$AJ2690=41),"②病院短期","対象外")),IF($AJ2690=30,"③特定消防",IF(AND(OR($A2690=21,$A2690=215),$AJ2690=10),"④一般",IF(AND($A2690=31,$AJ2690=41),"⑤短期","対象外")))))</f>
        <v/>
      </c>
      <c r="DC2690" s="0" t="str">
        <f aca="false">IF($A2690="","",IF($AB2690&amp;""=設定!$C$4,1,0))</f>
        <v/>
      </c>
    </row>
    <row r="2691" customFormat="false" ht="15" hidden="false" customHeight="false" outlineLevel="0" collapsed="false">
      <c r="DB2691" s="0" t="str">
        <f aca="false">IF($A2691="","",IF($AH2691=20,IF(AND(OR($A2691=21,$A2691=215),$AJ2691=10),"①病院一般",IF(AND($A2691=31,$AJ2691=41),"②病院短期","対象外")),IF($AJ2691=30,"③特定消防",IF(AND(OR($A2691=21,$A2691=215),$AJ2691=10),"④一般",IF(AND($A2691=31,$AJ2691=41),"⑤短期","対象外")))))</f>
        <v/>
      </c>
      <c r="DC2691" s="0" t="str">
        <f aca="false">IF($A2691="","",IF($AB2691&amp;""=設定!$C$4,1,0))</f>
        <v/>
      </c>
    </row>
    <row r="2692" customFormat="false" ht="15" hidden="false" customHeight="false" outlineLevel="0" collapsed="false">
      <c r="DB2692" s="0" t="str">
        <f aca="false">IF($A2692="","",IF($AH2692=20,IF(AND(OR($A2692=21,$A2692=215),$AJ2692=10),"①病院一般",IF(AND($A2692=31,$AJ2692=41),"②病院短期","対象外")),IF($AJ2692=30,"③特定消防",IF(AND(OR($A2692=21,$A2692=215),$AJ2692=10),"④一般",IF(AND($A2692=31,$AJ2692=41),"⑤短期","対象外")))))</f>
        <v/>
      </c>
      <c r="DC2692" s="0" t="str">
        <f aca="false">IF($A2692="","",IF($AB2692&amp;""=設定!$C$4,1,0))</f>
        <v/>
      </c>
    </row>
    <row r="2693" customFormat="false" ht="15" hidden="false" customHeight="false" outlineLevel="0" collapsed="false">
      <c r="DB2693" s="0" t="str">
        <f aca="false">IF($A2693="","",IF($AH2693=20,IF(AND(OR($A2693=21,$A2693=215),$AJ2693=10),"①病院一般",IF(AND($A2693=31,$AJ2693=41),"②病院短期","対象外")),IF($AJ2693=30,"③特定消防",IF(AND(OR($A2693=21,$A2693=215),$AJ2693=10),"④一般",IF(AND($A2693=31,$AJ2693=41),"⑤短期","対象外")))))</f>
        <v/>
      </c>
      <c r="DC2693" s="0" t="str">
        <f aca="false">IF($A2693="","",IF($AB2693&amp;""=設定!$C$4,1,0))</f>
        <v/>
      </c>
    </row>
    <row r="2694" customFormat="false" ht="15" hidden="false" customHeight="false" outlineLevel="0" collapsed="false">
      <c r="DB2694" s="0" t="str">
        <f aca="false">IF($A2694="","",IF($AH2694=20,IF(AND(OR($A2694=21,$A2694=215),$AJ2694=10),"①病院一般",IF(AND($A2694=31,$AJ2694=41),"②病院短期","対象外")),IF($AJ2694=30,"③特定消防",IF(AND(OR($A2694=21,$A2694=215),$AJ2694=10),"④一般",IF(AND($A2694=31,$AJ2694=41),"⑤短期","対象外")))))</f>
        <v/>
      </c>
      <c r="DC2694" s="0" t="str">
        <f aca="false">IF($A2694="","",IF($AB2694&amp;""=設定!$C$4,1,0))</f>
        <v/>
      </c>
    </row>
    <row r="2695" customFormat="false" ht="15" hidden="false" customHeight="false" outlineLevel="0" collapsed="false">
      <c r="DB2695" s="0" t="str">
        <f aca="false">IF($A2695="","",IF($AH2695=20,IF(AND(OR($A2695=21,$A2695=215),$AJ2695=10),"①病院一般",IF(AND($A2695=31,$AJ2695=41),"②病院短期","対象外")),IF($AJ2695=30,"③特定消防",IF(AND(OR($A2695=21,$A2695=215),$AJ2695=10),"④一般",IF(AND($A2695=31,$AJ2695=41),"⑤短期","対象外")))))</f>
        <v/>
      </c>
      <c r="DC2695" s="0" t="str">
        <f aca="false">IF($A2695="","",IF($AB2695&amp;""=設定!$C$4,1,0))</f>
        <v/>
      </c>
    </row>
    <row r="2696" customFormat="false" ht="15" hidden="false" customHeight="false" outlineLevel="0" collapsed="false">
      <c r="DB2696" s="0" t="str">
        <f aca="false">IF($A2696="","",IF($AH2696=20,IF(AND(OR($A2696=21,$A2696=215),$AJ2696=10),"①病院一般",IF(AND($A2696=31,$AJ2696=41),"②病院短期","対象外")),IF($AJ2696=30,"③特定消防",IF(AND(OR($A2696=21,$A2696=215),$AJ2696=10),"④一般",IF(AND($A2696=31,$AJ2696=41),"⑤短期","対象外")))))</f>
        <v/>
      </c>
      <c r="DC2696" s="0" t="str">
        <f aca="false">IF($A2696="","",IF($AB2696&amp;""=設定!$C$4,1,0))</f>
        <v/>
      </c>
    </row>
    <row r="2697" customFormat="false" ht="15" hidden="false" customHeight="false" outlineLevel="0" collapsed="false">
      <c r="DB2697" s="0" t="str">
        <f aca="false">IF($A2697="","",IF($AH2697=20,IF(AND(OR($A2697=21,$A2697=215),$AJ2697=10),"①病院一般",IF(AND($A2697=31,$AJ2697=41),"②病院短期","対象外")),IF($AJ2697=30,"③特定消防",IF(AND(OR($A2697=21,$A2697=215),$AJ2697=10),"④一般",IF(AND($A2697=31,$AJ2697=41),"⑤短期","対象外")))))</f>
        <v/>
      </c>
      <c r="DC2697" s="0" t="str">
        <f aca="false">IF($A2697="","",IF($AB2697&amp;""=設定!$C$4,1,0))</f>
        <v/>
      </c>
    </row>
    <row r="2698" customFormat="false" ht="15" hidden="false" customHeight="false" outlineLevel="0" collapsed="false">
      <c r="DB2698" s="0" t="str">
        <f aca="false">IF($A2698="","",IF($AH2698=20,IF(AND(OR($A2698=21,$A2698=215),$AJ2698=10),"①病院一般",IF(AND($A2698=31,$AJ2698=41),"②病院短期","対象外")),IF($AJ2698=30,"③特定消防",IF(AND(OR($A2698=21,$A2698=215),$AJ2698=10),"④一般",IF(AND($A2698=31,$AJ2698=41),"⑤短期","対象外")))))</f>
        <v/>
      </c>
      <c r="DC2698" s="0" t="str">
        <f aca="false">IF($A2698="","",IF($AB2698&amp;""=設定!$C$4,1,0))</f>
        <v/>
      </c>
    </row>
    <row r="2699" customFormat="false" ht="15" hidden="false" customHeight="false" outlineLevel="0" collapsed="false">
      <c r="DB2699" s="0" t="str">
        <f aca="false">IF($A2699="","",IF($AH2699=20,IF(AND(OR($A2699=21,$A2699=215),$AJ2699=10),"①病院一般",IF(AND($A2699=31,$AJ2699=41),"②病院短期","対象外")),IF($AJ2699=30,"③特定消防",IF(AND(OR($A2699=21,$A2699=215),$AJ2699=10),"④一般",IF(AND($A2699=31,$AJ2699=41),"⑤短期","対象外")))))</f>
        <v/>
      </c>
      <c r="DC2699" s="0" t="str">
        <f aca="false">IF($A2699="","",IF($AB2699&amp;""=設定!$C$4,1,0))</f>
        <v/>
      </c>
    </row>
    <row r="2700" customFormat="false" ht="15" hidden="false" customHeight="false" outlineLevel="0" collapsed="false">
      <c r="DB2700" s="0" t="str">
        <f aca="false">IF($A2700="","",IF($AH2700=20,IF(AND(OR($A2700=21,$A2700=215),$AJ2700=10),"①病院一般",IF(AND($A2700=31,$AJ2700=41),"②病院短期","対象外")),IF($AJ2700=30,"③特定消防",IF(AND(OR($A2700=21,$A2700=215),$AJ2700=10),"④一般",IF(AND($A2700=31,$AJ2700=41),"⑤短期","対象外")))))</f>
        <v/>
      </c>
      <c r="DC2700" s="0" t="str">
        <f aca="false">IF($A2700="","",IF($AB2700&amp;""=設定!$C$4,1,0))</f>
        <v/>
      </c>
    </row>
    <row r="2701" customFormat="false" ht="15" hidden="false" customHeight="false" outlineLevel="0" collapsed="false">
      <c r="DB2701" s="0" t="str">
        <f aca="false">IF($A2701="","",IF($AH2701=20,IF(AND(OR($A2701=21,$A2701=215),$AJ2701=10),"①病院一般",IF(AND($A2701=31,$AJ2701=41),"②病院短期","対象外")),IF($AJ2701=30,"③特定消防",IF(AND(OR($A2701=21,$A2701=215),$AJ2701=10),"④一般",IF(AND($A2701=31,$AJ2701=41),"⑤短期","対象外")))))</f>
        <v/>
      </c>
      <c r="DC2701" s="0" t="str">
        <f aca="false">IF($A2701="","",IF($AB2701&amp;""=設定!$C$4,1,0))</f>
        <v/>
      </c>
    </row>
    <row r="2702" customFormat="false" ht="15" hidden="false" customHeight="false" outlineLevel="0" collapsed="false">
      <c r="DB2702" s="0" t="str">
        <f aca="false">IF($A2702="","",IF($AH2702=20,IF(AND(OR($A2702=21,$A2702=215),$AJ2702=10),"①病院一般",IF(AND($A2702=31,$AJ2702=41),"②病院短期","対象外")),IF($AJ2702=30,"③特定消防",IF(AND(OR($A2702=21,$A2702=215),$AJ2702=10),"④一般",IF(AND($A2702=31,$AJ2702=41),"⑤短期","対象外")))))</f>
        <v/>
      </c>
      <c r="DC2702" s="0" t="str">
        <f aca="false">IF($A2702="","",IF($AB2702&amp;""=設定!$C$4,1,0))</f>
        <v/>
      </c>
    </row>
    <row r="2703" customFormat="false" ht="15" hidden="false" customHeight="false" outlineLevel="0" collapsed="false">
      <c r="DB2703" s="0" t="str">
        <f aca="false">IF($A2703="","",IF($AH2703=20,IF(AND(OR($A2703=21,$A2703=215),$AJ2703=10),"①病院一般",IF(AND($A2703=31,$AJ2703=41),"②病院短期","対象外")),IF($AJ2703=30,"③特定消防",IF(AND(OR($A2703=21,$A2703=215),$AJ2703=10),"④一般",IF(AND($A2703=31,$AJ2703=41),"⑤短期","対象外")))))</f>
        <v/>
      </c>
      <c r="DC2703" s="0" t="str">
        <f aca="false">IF($A2703="","",IF($AB2703&amp;""=設定!$C$4,1,0))</f>
        <v/>
      </c>
    </row>
    <row r="2704" customFormat="false" ht="15" hidden="false" customHeight="false" outlineLevel="0" collapsed="false">
      <c r="DB2704" s="0" t="str">
        <f aca="false">IF($A2704="","",IF($AH2704=20,IF(AND(OR($A2704=21,$A2704=215),$AJ2704=10),"①病院一般",IF(AND($A2704=31,$AJ2704=41),"②病院短期","対象外")),IF($AJ2704=30,"③特定消防",IF(AND(OR($A2704=21,$A2704=215),$AJ2704=10),"④一般",IF(AND($A2704=31,$AJ2704=41),"⑤短期","対象外")))))</f>
        <v/>
      </c>
      <c r="DC2704" s="0" t="str">
        <f aca="false">IF($A2704="","",IF($AB2704&amp;""=設定!$C$4,1,0))</f>
        <v/>
      </c>
    </row>
    <row r="2705" customFormat="false" ht="15" hidden="false" customHeight="false" outlineLevel="0" collapsed="false">
      <c r="DB2705" s="0" t="str">
        <f aca="false">IF($A2705="","",IF($AH2705=20,IF(AND(OR($A2705=21,$A2705=215),$AJ2705=10),"①病院一般",IF(AND($A2705=31,$AJ2705=41),"②病院短期","対象外")),IF($AJ2705=30,"③特定消防",IF(AND(OR($A2705=21,$A2705=215),$AJ2705=10),"④一般",IF(AND($A2705=31,$AJ2705=41),"⑤短期","対象外")))))</f>
        <v/>
      </c>
      <c r="DC2705" s="0" t="str">
        <f aca="false">IF($A2705="","",IF($AB2705&amp;""=設定!$C$4,1,0))</f>
        <v/>
      </c>
    </row>
    <row r="2706" customFormat="false" ht="15" hidden="false" customHeight="false" outlineLevel="0" collapsed="false">
      <c r="DB2706" s="0" t="str">
        <f aca="false">IF($A2706="","",IF($AH2706=20,IF(AND(OR($A2706=21,$A2706=215),$AJ2706=10),"①病院一般",IF(AND($A2706=31,$AJ2706=41),"②病院短期","対象外")),IF($AJ2706=30,"③特定消防",IF(AND(OR($A2706=21,$A2706=215),$AJ2706=10),"④一般",IF(AND($A2706=31,$AJ2706=41),"⑤短期","対象外")))))</f>
        <v/>
      </c>
      <c r="DC2706" s="0" t="str">
        <f aca="false">IF($A2706="","",IF($AB2706&amp;""=設定!$C$4,1,0))</f>
        <v/>
      </c>
    </row>
    <row r="2707" customFormat="false" ht="15" hidden="false" customHeight="false" outlineLevel="0" collapsed="false">
      <c r="DB2707" s="0" t="str">
        <f aca="false">IF($A2707="","",IF($AH2707=20,IF(AND(OR($A2707=21,$A2707=215),$AJ2707=10),"①病院一般",IF(AND($A2707=31,$AJ2707=41),"②病院短期","対象外")),IF($AJ2707=30,"③特定消防",IF(AND(OR($A2707=21,$A2707=215),$AJ2707=10),"④一般",IF(AND($A2707=31,$AJ2707=41),"⑤短期","対象外")))))</f>
        <v/>
      </c>
      <c r="DC2707" s="0" t="str">
        <f aca="false">IF($A2707="","",IF($AB2707&amp;""=設定!$C$4,1,0))</f>
        <v/>
      </c>
    </row>
    <row r="2708" customFormat="false" ht="15" hidden="false" customHeight="false" outlineLevel="0" collapsed="false">
      <c r="DB2708" s="0" t="str">
        <f aca="false">IF($A2708="","",IF($AH2708=20,IF(AND(OR($A2708=21,$A2708=215),$AJ2708=10),"①病院一般",IF(AND($A2708=31,$AJ2708=41),"②病院短期","対象外")),IF($AJ2708=30,"③特定消防",IF(AND(OR($A2708=21,$A2708=215),$AJ2708=10),"④一般",IF(AND($A2708=31,$AJ2708=41),"⑤短期","対象外")))))</f>
        <v/>
      </c>
      <c r="DC2708" s="0" t="str">
        <f aca="false">IF($A2708="","",IF($AB2708&amp;""=設定!$C$4,1,0))</f>
        <v/>
      </c>
    </row>
    <row r="2709" customFormat="false" ht="15" hidden="false" customHeight="false" outlineLevel="0" collapsed="false">
      <c r="DB2709" s="0" t="str">
        <f aca="false">IF($A2709="","",IF($AH2709=20,IF(AND(OR($A2709=21,$A2709=215),$AJ2709=10),"①病院一般",IF(AND($A2709=31,$AJ2709=41),"②病院短期","対象外")),IF($AJ2709=30,"③特定消防",IF(AND(OR($A2709=21,$A2709=215),$AJ2709=10),"④一般",IF(AND($A2709=31,$AJ2709=41),"⑤短期","対象外")))))</f>
        <v/>
      </c>
      <c r="DC2709" s="0" t="str">
        <f aca="false">IF($A2709="","",IF($AB2709&amp;""=設定!$C$4,1,0))</f>
        <v/>
      </c>
    </row>
    <row r="2710" customFormat="false" ht="15" hidden="false" customHeight="false" outlineLevel="0" collapsed="false">
      <c r="DB2710" s="0" t="str">
        <f aca="false">IF($A2710="","",IF($AH2710=20,IF(AND(OR($A2710=21,$A2710=215),$AJ2710=10),"①病院一般",IF(AND($A2710=31,$AJ2710=41),"②病院短期","対象外")),IF($AJ2710=30,"③特定消防",IF(AND(OR($A2710=21,$A2710=215),$AJ2710=10),"④一般",IF(AND($A2710=31,$AJ2710=41),"⑤短期","対象外")))))</f>
        <v/>
      </c>
      <c r="DC2710" s="0" t="str">
        <f aca="false">IF($A2710="","",IF($AB2710&amp;""=設定!$C$4,1,0))</f>
        <v/>
      </c>
    </row>
    <row r="2711" customFormat="false" ht="15" hidden="false" customHeight="false" outlineLevel="0" collapsed="false">
      <c r="DB2711" s="0" t="str">
        <f aca="false">IF($A2711="","",IF($AH2711=20,IF(AND(OR($A2711=21,$A2711=215),$AJ2711=10),"①病院一般",IF(AND($A2711=31,$AJ2711=41),"②病院短期","対象外")),IF($AJ2711=30,"③特定消防",IF(AND(OR($A2711=21,$A2711=215),$AJ2711=10),"④一般",IF(AND($A2711=31,$AJ2711=41),"⑤短期","対象外")))))</f>
        <v/>
      </c>
      <c r="DC2711" s="0" t="str">
        <f aca="false">IF($A2711="","",IF($AB2711&amp;""=設定!$C$4,1,0))</f>
        <v/>
      </c>
    </row>
    <row r="2712" customFormat="false" ht="15" hidden="false" customHeight="false" outlineLevel="0" collapsed="false">
      <c r="DB2712" s="0" t="str">
        <f aca="false">IF($A2712="","",IF($AH2712=20,IF(AND(OR($A2712=21,$A2712=215),$AJ2712=10),"①病院一般",IF(AND($A2712=31,$AJ2712=41),"②病院短期","対象外")),IF($AJ2712=30,"③特定消防",IF(AND(OR($A2712=21,$A2712=215),$AJ2712=10),"④一般",IF(AND($A2712=31,$AJ2712=41),"⑤短期","対象外")))))</f>
        <v/>
      </c>
      <c r="DC2712" s="0" t="str">
        <f aca="false">IF($A2712="","",IF($AB2712&amp;""=設定!$C$4,1,0))</f>
        <v/>
      </c>
    </row>
    <row r="2713" customFormat="false" ht="15" hidden="false" customHeight="false" outlineLevel="0" collapsed="false">
      <c r="DB2713" s="0" t="str">
        <f aca="false">IF($A2713="","",IF($AH2713=20,IF(AND(OR($A2713=21,$A2713=215),$AJ2713=10),"①病院一般",IF(AND($A2713=31,$AJ2713=41),"②病院短期","対象外")),IF($AJ2713=30,"③特定消防",IF(AND(OR($A2713=21,$A2713=215),$AJ2713=10),"④一般",IF(AND($A2713=31,$AJ2713=41),"⑤短期","対象外")))))</f>
        <v/>
      </c>
      <c r="DC2713" s="0" t="str">
        <f aca="false">IF($A2713="","",IF($AB2713&amp;""=設定!$C$4,1,0))</f>
        <v/>
      </c>
    </row>
    <row r="2714" customFormat="false" ht="15" hidden="false" customHeight="false" outlineLevel="0" collapsed="false">
      <c r="DB2714" s="0" t="str">
        <f aca="false">IF($A2714="","",IF($AH2714=20,IF(AND(OR($A2714=21,$A2714=215),$AJ2714=10),"①病院一般",IF(AND($A2714=31,$AJ2714=41),"②病院短期","対象外")),IF($AJ2714=30,"③特定消防",IF(AND(OR($A2714=21,$A2714=215),$AJ2714=10),"④一般",IF(AND($A2714=31,$AJ2714=41),"⑤短期","対象外")))))</f>
        <v/>
      </c>
      <c r="DC2714" s="0" t="str">
        <f aca="false">IF($A2714="","",IF($AB2714&amp;""=設定!$C$4,1,0))</f>
        <v/>
      </c>
    </row>
    <row r="2715" customFormat="false" ht="15" hidden="false" customHeight="false" outlineLevel="0" collapsed="false">
      <c r="DB2715" s="0" t="str">
        <f aca="false">IF($A2715="","",IF($AH2715=20,IF(AND(OR($A2715=21,$A2715=215),$AJ2715=10),"①病院一般",IF(AND($A2715=31,$AJ2715=41),"②病院短期","対象外")),IF($AJ2715=30,"③特定消防",IF(AND(OR($A2715=21,$A2715=215),$AJ2715=10),"④一般",IF(AND($A2715=31,$AJ2715=41),"⑤短期","対象外")))))</f>
        <v/>
      </c>
      <c r="DC2715" s="0" t="str">
        <f aca="false">IF($A2715="","",IF($AB2715&amp;""=設定!$C$4,1,0))</f>
        <v/>
      </c>
    </row>
    <row r="2716" customFormat="false" ht="15" hidden="false" customHeight="false" outlineLevel="0" collapsed="false">
      <c r="DB2716" s="0" t="str">
        <f aca="false">IF($A2716="","",IF($AH2716=20,IF(AND(OR($A2716=21,$A2716=215),$AJ2716=10),"①病院一般",IF(AND($A2716=31,$AJ2716=41),"②病院短期","対象外")),IF($AJ2716=30,"③特定消防",IF(AND(OR($A2716=21,$A2716=215),$AJ2716=10),"④一般",IF(AND($A2716=31,$AJ2716=41),"⑤短期","対象外")))))</f>
        <v/>
      </c>
      <c r="DC2716" s="0" t="str">
        <f aca="false">IF($A2716="","",IF($AB2716&amp;""=設定!$C$4,1,0))</f>
        <v/>
      </c>
    </row>
    <row r="2717" customFormat="false" ht="15" hidden="false" customHeight="false" outlineLevel="0" collapsed="false">
      <c r="DB2717" s="0" t="str">
        <f aca="false">IF($A2717="","",IF($AH2717=20,IF(AND(OR($A2717=21,$A2717=215),$AJ2717=10),"①病院一般",IF(AND($A2717=31,$AJ2717=41),"②病院短期","対象外")),IF($AJ2717=30,"③特定消防",IF(AND(OR($A2717=21,$A2717=215),$AJ2717=10),"④一般",IF(AND($A2717=31,$AJ2717=41),"⑤短期","対象外")))))</f>
        <v/>
      </c>
      <c r="DC2717" s="0" t="str">
        <f aca="false">IF($A2717="","",IF($AB2717&amp;""=設定!$C$4,1,0))</f>
        <v/>
      </c>
    </row>
    <row r="2718" customFormat="false" ht="15" hidden="false" customHeight="false" outlineLevel="0" collapsed="false">
      <c r="DB2718" s="0" t="str">
        <f aca="false">IF($A2718="","",IF($AH2718=20,IF(AND(OR($A2718=21,$A2718=215),$AJ2718=10),"①病院一般",IF(AND($A2718=31,$AJ2718=41),"②病院短期","対象外")),IF($AJ2718=30,"③特定消防",IF(AND(OR($A2718=21,$A2718=215),$AJ2718=10),"④一般",IF(AND($A2718=31,$AJ2718=41),"⑤短期","対象外")))))</f>
        <v/>
      </c>
      <c r="DC2718" s="0" t="str">
        <f aca="false">IF($A2718="","",IF($AB2718&amp;""=設定!$C$4,1,0))</f>
        <v/>
      </c>
    </row>
    <row r="2719" customFormat="false" ht="15" hidden="false" customHeight="false" outlineLevel="0" collapsed="false">
      <c r="DB2719" s="0" t="str">
        <f aca="false">IF($A2719="","",IF($AH2719=20,IF(AND(OR($A2719=21,$A2719=215),$AJ2719=10),"①病院一般",IF(AND($A2719=31,$AJ2719=41),"②病院短期","対象外")),IF($AJ2719=30,"③特定消防",IF(AND(OR($A2719=21,$A2719=215),$AJ2719=10),"④一般",IF(AND($A2719=31,$AJ2719=41),"⑤短期","対象外")))))</f>
        <v/>
      </c>
      <c r="DC2719" s="0" t="str">
        <f aca="false">IF($A2719="","",IF($AB2719&amp;""=設定!$C$4,1,0))</f>
        <v/>
      </c>
    </row>
    <row r="2720" customFormat="false" ht="15" hidden="false" customHeight="false" outlineLevel="0" collapsed="false">
      <c r="DB2720" s="0" t="str">
        <f aca="false">IF($A2720="","",IF($AH2720=20,IF(AND(OR($A2720=21,$A2720=215),$AJ2720=10),"①病院一般",IF(AND($A2720=31,$AJ2720=41),"②病院短期","対象外")),IF($AJ2720=30,"③特定消防",IF(AND(OR($A2720=21,$A2720=215),$AJ2720=10),"④一般",IF(AND($A2720=31,$AJ2720=41),"⑤短期","対象外")))))</f>
        <v/>
      </c>
      <c r="DC2720" s="0" t="str">
        <f aca="false">IF($A2720="","",IF($AB2720&amp;""=設定!$C$4,1,0))</f>
        <v/>
      </c>
    </row>
    <row r="2721" customFormat="false" ht="15" hidden="false" customHeight="false" outlineLevel="0" collapsed="false">
      <c r="DB2721" s="0" t="str">
        <f aca="false">IF($A2721="","",IF($AH2721=20,IF(AND(OR($A2721=21,$A2721=215),$AJ2721=10),"①病院一般",IF(AND($A2721=31,$AJ2721=41),"②病院短期","対象外")),IF($AJ2721=30,"③特定消防",IF(AND(OR($A2721=21,$A2721=215),$AJ2721=10),"④一般",IF(AND($A2721=31,$AJ2721=41),"⑤短期","対象外")))))</f>
        <v/>
      </c>
      <c r="DC2721" s="0" t="str">
        <f aca="false">IF($A2721="","",IF($AB2721&amp;""=設定!$C$4,1,0))</f>
        <v/>
      </c>
    </row>
    <row r="2722" customFormat="false" ht="15" hidden="false" customHeight="false" outlineLevel="0" collapsed="false">
      <c r="DB2722" s="0" t="str">
        <f aca="false">IF($A2722="","",IF($AH2722=20,IF(AND(OR($A2722=21,$A2722=215),$AJ2722=10),"①病院一般",IF(AND($A2722=31,$AJ2722=41),"②病院短期","対象外")),IF($AJ2722=30,"③特定消防",IF(AND(OR($A2722=21,$A2722=215),$AJ2722=10),"④一般",IF(AND($A2722=31,$AJ2722=41),"⑤短期","対象外")))))</f>
        <v/>
      </c>
      <c r="DC2722" s="0" t="str">
        <f aca="false">IF($A2722="","",IF($AB2722&amp;""=設定!$C$4,1,0))</f>
        <v/>
      </c>
    </row>
    <row r="2723" customFormat="false" ht="15" hidden="false" customHeight="false" outlineLevel="0" collapsed="false">
      <c r="DB2723" s="0" t="str">
        <f aca="false">IF($A2723="","",IF($AH2723=20,IF(AND(OR($A2723=21,$A2723=215),$AJ2723=10),"①病院一般",IF(AND($A2723=31,$AJ2723=41),"②病院短期","対象外")),IF($AJ2723=30,"③特定消防",IF(AND(OR($A2723=21,$A2723=215),$AJ2723=10),"④一般",IF(AND($A2723=31,$AJ2723=41),"⑤短期","対象外")))))</f>
        <v/>
      </c>
      <c r="DC2723" s="0" t="str">
        <f aca="false">IF($A2723="","",IF($AB2723&amp;""=設定!$C$4,1,0))</f>
        <v/>
      </c>
    </row>
    <row r="2724" customFormat="false" ht="15" hidden="false" customHeight="false" outlineLevel="0" collapsed="false">
      <c r="DB2724" s="0" t="str">
        <f aca="false">IF($A2724="","",IF($AH2724=20,IF(AND(OR($A2724=21,$A2724=215),$AJ2724=10),"①病院一般",IF(AND($A2724=31,$AJ2724=41),"②病院短期","対象外")),IF($AJ2724=30,"③特定消防",IF(AND(OR($A2724=21,$A2724=215),$AJ2724=10),"④一般",IF(AND($A2724=31,$AJ2724=41),"⑤短期","対象外")))))</f>
        <v/>
      </c>
      <c r="DC2724" s="0" t="str">
        <f aca="false">IF($A2724="","",IF($AB2724&amp;""=設定!$C$4,1,0))</f>
        <v/>
      </c>
    </row>
    <row r="2725" customFormat="false" ht="15" hidden="false" customHeight="false" outlineLevel="0" collapsed="false">
      <c r="DB2725" s="0" t="str">
        <f aca="false">IF($A2725="","",IF($AH2725=20,IF(AND(OR($A2725=21,$A2725=215),$AJ2725=10),"①病院一般",IF(AND($A2725=31,$AJ2725=41),"②病院短期","対象外")),IF($AJ2725=30,"③特定消防",IF(AND(OR($A2725=21,$A2725=215),$AJ2725=10),"④一般",IF(AND($A2725=31,$AJ2725=41),"⑤短期","対象外")))))</f>
        <v/>
      </c>
      <c r="DC2725" s="0" t="str">
        <f aca="false">IF($A2725="","",IF($AB2725&amp;""=設定!$C$4,1,0))</f>
        <v/>
      </c>
    </row>
    <row r="2726" customFormat="false" ht="15" hidden="false" customHeight="false" outlineLevel="0" collapsed="false">
      <c r="DB2726" s="0" t="str">
        <f aca="false">IF($A2726="","",IF($AH2726=20,IF(AND(OR($A2726=21,$A2726=215),$AJ2726=10),"①病院一般",IF(AND($A2726=31,$AJ2726=41),"②病院短期","対象外")),IF($AJ2726=30,"③特定消防",IF(AND(OR($A2726=21,$A2726=215),$AJ2726=10),"④一般",IF(AND($A2726=31,$AJ2726=41),"⑤短期","対象外")))))</f>
        <v/>
      </c>
      <c r="DC2726" s="0" t="str">
        <f aca="false">IF($A2726="","",IF($AB2726&amp;""=設定!$C$4,1,0))</f>
        <v/>
      </c>
    </row>
    <row r="2727" customFormat="false" ht="15" hidden="false" customHeight="false" outlineLevel="0" collapsed="false">
      <c r="DB2727" s="0" t="str">
        <f aca="false">IF($A2727="","",IF($AH2727=20,IF(AND(OR($A2727=21,$A2727=215),$AJ2727=10),"①病院一般",IF(AND($A2727=31,$AJ2727=41),"②病院短期","対象外")),IF($AJ2727=30,"③特定消防",IF(AND(OR($A2727=21,$A2727=215),$AJ2727=10),"④一般",IF(AND($A2727=31,$AJ2727=41),"⑤短期","対象外")))))</f>
        <v/>
      </c>
      <c r="DC2727" s="0" t="str">
        <f aca="false">IF($A2727="","",IF($AB2727&amp;""=設定!$C$4,1,0))</f>
        <v/>
      </c>
    </row>
    <row r="2728" customFormat="false" ht="15" hidden="false" customHeight="false" outlineLevel="0" collapsed="false">
      <c r="DB2728" s="0" t="str">
        <f aca="false">IF($A2728="","",IF($AH2728=20,IF(AND(OR($A2728=21,$A2728=215),$AJ2728=10),"①病院一般",IF(AND($A2728=31,$AJ2728=41),"②病院短期","対象外")),IF($AJ2728=30,"③特定消防",IF(AND(OR($A2728=21,$A2728=215),$AJ2728=10),"④一般",IF(AND($A2728=31,$AJ2728=41),"⑤短期","対象外")))))</f>
        <v/>
      </c>
      <c r="DC2728" s="0" t="str">
        <f aca="false">IF($A2728="","",IF($AB2728&amp;""=設定!$C$4,1,0))</f>
        <v/>
      </c>
    </row>
    <row r="2729" customFormat="false" ht="15" hidden="false" customHeight="false" outlineLevel="0" collapsed="false">
      <c r="DB2729" s="0" t="str">
        <f aca="false">IF($A2729="","",IF($AH2729=20,IF(AND(OR($A2729=21,$A2729=215),$AJ2729=10),"①病院一般",IF(AND($A2729=31,$AJ2729=41),"②病院短期","対象外")),IF($AJ2729=30,"③特定消防",IF(AND(OR($A2729=21,$A2729=215),$AJ2729=10),"④一般",IF(AND($A2729=31,$AJ2729=41),"⑤短期","対象外")))))</f>
        <v/>
      </c>
      <c r="DC2729" s="0" t="str">
        <f aca="false">IF($A2729="","",IF($AB2729&amp;""=設定!$C$4,1,0))</f>
        <v/>
      </c>
    </row>
    <row r="2730" customFormat="false" ht="15" hidden="false" customHeight="false" outlineLevel="0" collapsed="false">
      <c r="DB2730" s="0" t="str">
        <f aca="false">IF($A2730="","",IF($AH2730=20,IF(AND(OR($A2730=21,$A2730=215),$AJ2730=10),"①病院一般",IF(AND($A2730=31,$AJ2730=41),"②病院短期","対象外")),IF($AJ2730=30,"③特定消防",IF(AND(OR($A2730=21,$A2730=215),$AJ2730=10),"④一般",IF(AND($A2730=31,$AJ2730=41),"⑤短期","対象外")))))</f>
        <v/>
      </c>
      <c r="DC2730" s="0" t="str">
        <f aca="false">IF($A2730="","",IF($AB2730&amp;""=設定!$C$4,1,0))</f>
        <v/>
      </c>
    </row>
    <row r="2731" customFormat="false" ht="15" hidden="false" customHeight="false" outlineLevel="0" collapsed="false">
      <c r="DB2731" s="0" t="str">
        <f aca="false">IF($A2731="","",IF($AH2731=20,IF(AND(OR($A2731=21,$A2731=215),$AJ2731=10),"①病院一般",IF(AND($A2731=31,$AJ2731=41),"②病院短期","対象外")),IF($AJ2731=30,"③特定消防",IF(AND(OR($A2731=21,$A2731=215),$AJ2731=10),"④一般",IF(AND($A2731=31,$AJ2731=41),"⑤短期","対象外")))))</f>
        <v/>
      </c>
      <c r="DC2731" s="0" t="str">
        <f aca="false">IF($A2731="","",IF($AB2731&amp;""=設定!$C$4,1,0))</f>
        <v/>
      </c>
    </row>
    <row r="2732" customFormat="false" ht="15" hidden="false" customHeight="false" outlineLevel="0" collapsed="false">
      <c r="DB2732" s="0" t="str">
        <f aca="false">IF($A2732="","",IF($AH2732=20,IF(AND(OR($A2732=21,$A2732=215),$AJ2732=10),"①病院一般",IF(AND($A2732=31,$AJ2732=41),"②病院短期","対象外")),IF($AJ2732=30,"③特定消防",IF(AND(OR($A2732=21,$A2732=215),$AJ2732=10),"④一般",IF(AND($A2732=31,$AJ2732=41),"⑤短期","対象外")))))</f>
        <v/>
      </c>
      <c r="DC2732" s="0" t="str">
        <f aca="false">IF($A2732="","",IF($AB2732&amp;""=設定!$C$4,1,0))</f>
        <v/>
      </c>
    </row>
    <row r="2733" customFormat="false" ht="15" hidden="false" customHeight="false" outlineLevel="0" collapsed="false">
      <c r="DB2733" s="0" t="str">
        <f aca="false">IF($A2733="","",IF($AH2733=20,IF(AND(OR($A2733=21,$A2733=215),$AJ2733=10),"①病院一般",IF(AND($A2733=31,$AJ2733=41),"②病院短期","対象外")),IF($AJ2733=30,"③特定消防",IF(AND(OR($A2733=21,$A2733=215),$AJ2733=10),"④一般",IF(AND($A2733=31,$AJ2733=41),"⑤短期","対象外")))))</f>
        <v/>
      </c>
      <c r="DC2733" s="0" t="str">
        <f aca="false">IF($A2733="","",IF($AB2733&amp;""=設定!$C$4,1,0))</f>
        <v/>
      </c>
    </row>
    <row r="2734" customFormat="false" ht="15" hidden="false" customHeight="false" outlineLevel="0" collapsed="false">
      <c r="DB2734" s="0" t="str">
        <f aca="false">IF($A2734="","",IF($AH2734=20,IF(AND(OR($A2734=21,$A2734=215),$AJ2734=10),"①病院一般",IF(AND($A2734=31,$AJ2734=41),"②病院短期","対象外")),IF($AJ2734=30,"③特定消防",IF(AND(OR($A2734=21,$A2734=215),$AJ2734=10),"④一般",IF(AND($A2734=31,$AJ2734=41),"⑤短期","対象外")))))</f>
        <v/>
      </c>
      <c r="DC2734" s="0" t="str">
        <f aca="false">IF($A2734="","",IF($AB2734&amp;""=設定!$C$4,1,0))</f>
        <v/>
      </c>
    </row>
    <row r="2735" customFormat="false" ht="15" hidden="false" customHeight="false" outlineLevel="0" collapsed="false">
      <c r="DB2735" s="0" t="str">
        <f aca="false">IF($A2735="","",IF($AH2735=20,IF(AND(OR($A2735=21,$A2735=215),$AJ2735=10),"①病院一般",IF(AND($A2735=31,$AJ2735=41),"②病院短期","対象外")),IF($AJ2735=30,"③特定消防",IF(AND(OR($A2735=21,$A2735=215),$AJ2735=10),"④一般",IF(AND($A2735=31,$AJ2735=41),"⑤短期","対象外")))))</f>
        <v/>
      </c>
      <c r="DC2735" s="0" t="str">
        <f aca="false">IF($A2735="","",IF($AB2735&amp;""=設定!$C$4,1,0))</f>
        <v/>
      </c>
    </row>
    <row r="2736" customFormat="false" ht="15" hidden="false" customHeight="false" outlineLevel="0" collapsed="false">
      <c r="DB2736" s="0" t="str">
        <f aca="false">IF($A2736="","",IF($AH2736=20,IF(AND(OR($A2736=21,$A2736=215),$AJ2736=10),"①病院一般",IF(AND($A2736=31,$AJ2736=41),"②病院短期","対象外")),IF($AJ2736=30,"③特定消防",IF(AND(OR($A2736=21,$A2736=215),$AJ2736=10),"④一般",IF(AND($A2736=31,$AJ2736=41),"⑤短期","対象外")))))</f>
        <v/>
      </c>
      <c r="DC2736" s="0" t="str">
        <f aca="false">IF($A2736="","",IF($AB2736&amp;""=設定!$C$4,1,0))</f>
        <v/>
      </c>
    </row>
    <row r="2737" customFormat="false" ht="15" hidden="false" customHeight="false" outlineLevel="0" collapsed="false">
      <c r="DB2737" s="0" t="str">
        <f aca="false">IF($A2737="","",IF($AH2737=20,IF(AND(OR($A2737=21,$A2737=215),$AJ2737=10),"①病院一般",IF(AND($A2737=31,$AJ2737=41),"②病院短期","対象外")),IF($AJ2737=30,"③特定消防",IF(AND(OR($A2737=21,$A2737=215),$AJ2737=10),"④一般",IF(AND($A2737=31,$AJ2737=41),"⑤短期","対象外")))))</f>
        <v/>
      </c>
      <c r="DC2737" s="0" t="str">
        <f aca="false">IF($A2737="","",IF($AB2737&amp;""=設定!$C$4,1,0))</f>
        <v/>
      </c>
    </row>
    <row r="2738" customFormat="false" ht="15" hidden="false" customHeight="false" outlineLevel="0" collapsed="false">
      <c r="DB2738" s="0" t="str">
        <f aca="false">IF($A2738="","",IF($AH2738=20,IF(AND(OR($A2738=21,$A2738=215),$AJ2738=10),"①病院一般",IF(AND($A2738=31,$AJ2738=41),"②病院短期","対象外")),IF($AJ2738=30,"③特定消防",IF(AND(OR($A2738=21,$A2738=215),$AJ2738=10),"④一般",IF(AND($A2738=31,$AJ2738=41),"⑤短期","対象外")))))</f>
        <v/>
      </c>
      <c r="DC2738" s="0" t="str">
        <f aca="false">IF($A2738="","",IF($AB2738&amp;""=設定!$C$4,1,0))</f>
        <v/>
      </c>
    </row>
    <row r="2739" customFormat="false" ht="15" hidden="false" customHeight="false" outlineLevel="0" collapsed="false">
      <c r="DB2739" s="0" t="str">
        <f aca="false">IF($A2739="","",IF($AH2739=20,IF(AND(OR($A2739=21,$A2739=215),$AJ2739=10),"①病院一般",IF(AND($A2739=31,$AJ2739=41),"②病院短期","対象外")),IF($AJ2739=30,"③特定消防",IF(AND(OR($A2739=21,$A2739=215),$AJ2739=10),"④一般",IF(AND($A2739=31,$AJ2739=41),"⑤短期","対象外")))))</f>
        <v/>
      </c>
      <c r="DC2739" s="0" t="str">
        <f aca="false">IF($A2739="","",IF($AB2739&amp;""=設定!$C$4,1,0))</f>
        <v/>
      </c>
    </row>
    <row r="2740" customFormat="false" ht="15" hidden="false" customHeight="false" outlineLevel="0" collapsed="false">
      <c r="DB2740" s="0" t="str">
        <f aca="false">IF($A2740="","",IF($AH2740=20,IF(AND(OR($A2740=21,$A2740=215),$AJ2740=10),"①病院一般",IF(AND($A2740=31,$AJ2740=41),"②病院短期","対象外")),IF($AJ2740=30,"③特定消防",IF(AND(OR($A2740=21,$A2740=215),$AJ2740=10),"④一般",IF(AND($A2740=31,$AJ2740=41),"⑤短期","対象外")))))</f>
        <v/>
      </c>
      <c r="DC2740" s="0" t="str">
        <f aca="false">IF($A2740="","",IF($AB2740&amp;""=設定!$C$4,1,0))</f>
        <v/>
      </c>
    </row>
    <row r="2741" customFormat="false" ht="15" hidden="false" customHeight="false" outlineLevel="0" collapsed="false">
      <c r="DB2741" s="0" t="str">
        <f aca="false">IF($A2741="","",IF($AH2741=20,IF(AND(OR($A2741=21,$A2741=215),$AJ2741=10),"①病院一般",IF(AND($A2741=31,$AJ2741=41),"②病院短期","対象外")),IF($AJ2741=30,"③特定消防",IF(AND(OR($A2741=21,$A2741=215),$AJ2741=10),"④一般",IF(AND($A2741=31,$AJ2741=41),"⑤短期","対象外")))))</f>
        <v/>
      </c>
      <c r="DC2741" s="0" t="str">
        <f aca="false">IF($A2741="","",IF($AB2741&amp;""=設定!$C$4,1,0))</f>
        <v/>
      </c>
    </row>
    <row r="2742" customFormat="false" ht="15" hidden="false" customHeight="false" outlineLevel="0" collapsed="false">
      <c r="DB2742" s="0" t="str">
        <f aca="false">IF($A2742="","",IF($AH2742=20,IF(AND(OR($A2742=21,$A2742=215),$AJ2742=10),"①病院一般",IF(AND($A2742=31,$AJ2742=41),"②病院短期","対象外")),IF($AJ2742=30,"③特定消防",IF(AND(OR($A2742=21,$A2742=215),$AJ2742=10),"④一般",IF(AND($A2742=31,$AJ2742=41),"⑤短期","対象外")))))</f>
        <v/>
      </c>
      <c r="DC2742" s="0" t="str">
        <f aca="false">IF($A2742="","",IF($AB2742&amp;""=設定!$C$4,1,0))</f>
        <v/>
      </c>
    </row>
    <row r="2743" customFormat="false" ht="15" hidden="false" customHeight="false" outlineLevel="0" collapsed="false">
      <c r="DB2743" s="0" t="str">
        <f aca="false">IF($A2743="","",IF($AH2743=20,IF(AND(OR($A2743=21,$A2743=215),$AJ2743=10),"①病院一般",IF(AND($A2743=31,$AJ2743=41),"②病院短期","対象外")),IF($AJ2743=30,"③特定消防",IF(AND(OR($A2743=21,$A2743=215),$AJ2743=10),"④一般",IF(AND($A2743=31,$AJ2743=41),"⑤短期","対象外")))))</f>
        <v/>
      </c>
      <c r="DC2743" s="0" t="str">
        <f aca="false">IF($A2743="","",IF($AB2743&amp;""=設定!$C$4,1,0))</f>
        <v/>
      </c>
    </row>
    <row r="2744" customFormat="false" ht="15" hidden="false" customHeight="false" outlineLevel="0" collapsed="false">
      <c r="DB2744" s="0" t="str">
        <f aca="false">IF($A2744="","",IF($AH2744=20,IF(AND(OR($A2744=21,$A2744=215),$AJ2744=10),"①病院一般",IF(AND($A2744=31,$AJ2744=41),"②病院短期","対象外")),IF($AJ2744=30,"③特定消防",IF(AND(OR($A2744=21,$A2744=215),$AJ2744=10),"④一般",IF(AND($A2744=31,$AJ2744=41),"⑤短期","対象外")))))</f>
        <v/>
      </c>
      <c r="DC2744" s="0" t="str">
        <f aca="false">IF($A2744="","",IF($AB2744&amp;""=設定!$C$4,1,0))</f>
        <v/>
      </c>
    </row>
    <row r="2745" customFormat="false" ht="15" hidden="false" customHeight="false" outlineLevel="0" collapsed="false">
      <c r="DB2745" s="0" t="str">
        <f aca="false">IF($A2745="","",IF($AH2745=20,IF(AND(OR($A2745=21,$A2745=215),$AJ2745=10),"①病院一般",IF(AND($A2745=31,$AJ2745=41),"②病院短期","対象外")),IF($AJ2745=30,"③特定消防",IF(AND(OR($A2745=21,$A2745=215),$AJ2745=10),"④一般",IF(AND($A2745=31,$AJ2745=41),"⑤短期","対象外")))))</f>
        <v/>
      </c>
      <c r="DC2745" s="0" t="str">
        <f aca="false">IF($A2745="","",IF($AB2745&amp;""=設定!$C$4,1,0))</f>
        <v/>
      </c>
    </row>
    <row r="2746" customFormat="false" ht="15" hidden="false" customHeight="false" outlineLevel="0" collapsed="false">
      <c r="DB2746" s="0" t="str">
        <f aca="false">IF($A2746="","",IF($AH2746=20,IF(AND(OR($A2746=21,$A2746=215),$AJ2746=10),"①病院一般",IF(AND($A2746=31,$AJ2746=41),"②病院短期","対象外")),IF($AJ2746=30,"③特定消防",IF(AND(OR($A2746=21,$A2746=215),$AJ2746=10),"④一般",IF(AND($A2746=31,$AJ2746=41),"⑤短期","対象外")))))</f>
        <v/>
      </c>
      <c r="DC2746" s="0" t="str">
        <f aca="false">IF($A2746="","",IF($AB2746&amp;""=設定!$C$4,1,0))</f>
        <v/>
      </c>
    </row>
    <row r="2747" customFormat="false" ht="15" hidden="false" customHeight="false" outlineLevel="0" collapsed="false">
      <c r="DB2747" s="0" t="str">
        <f aca="false">IF($A2747="","",IF($AH2747=20,IF(AND(OR($A2747=21,$A2747=215),$AJ2747=10),"①病院一般",IF(AND($A2747=31,$AJ2747=41),"②病院短期","対象外")),IF($AJ2747=30,"③特定消防",IF(AND(OR($A2747=21,$A2747=215),$AJ2747=10),"④一般",IF(AND($A2747=31,$AJ2747=41),"⑤短期","対象外")))))</f>
        <v/>
      </c>
      <c r="DC2747" s="0" t="str">
        <f aca="false">IF($A2747="","",IF($AB2747&amp;""=設定!$C$4,1,0))</f>
        <v/>
      </c>
    </row>
    <row r="2748" customFormat="false" ht="15" hidden="false" customHeight="false" outlineLevel="0" collapsed="false">
      <c r="DB2748" s="0" t="str">
        <f aca="false">IF($A2748="","",IF($AH2748=20,IF(AND(OR($A2748=21,$A2748=215),$AJ2748=10),"①病院一般",IF(AND($A2748=31,$AJ2748=41),"②病院短期","対象外")),IF($AJ2748=30,"③特定消防",IF(AND(OR($A2748=21,$A2748=215),$AJ2748=10),"④一般",IF(AND($A2748=31,$AJ2748=41),"⑤短期","対象外")))))</f>
        <v/>
      </c>
      <c r="DC2748" s="0" t="str">
        <f aca="false">IF($A2748="","",IF($AB2748&amp;""=設定!$C$4,1,0))</f>
        <v/>
      </c>
    </row>
    <row r="2749" customFormat="false" ht="15" hidden="false" customHeight="false" outlineLevel="0" collapsed="false">
      <c r="DB2749" s="0" t="str">
        <f aca="false">IF($A2749="","",IF($AH2749=20,IF(AND(OR($A2749=21,$A2749=215),$AJ2749=10),"①病院一般",IF(AND($A2749=31,$AJ2749=41),"②病院短期","対象外")),IF($AJ2749=30,"③特定消防",IF(AND(OR($A2749=21,$A2749=215),$AJ2749=10),"④一般",IF(AND($A2749=31,$AJ2749=41),"⑤短期","対象外")))))</f>
        <v/>
      </c>
      <c r="DC2749" s="0" t="str">
        <f aca="false">IF($A2749="","",IF($AB2749&amp;""=設定!$C$4,1,0))</f>
        <v/>
      </c>
    </row>
    <row r="2750" customFormat="false" ht="15" hidden="false" customHeight="false" outlineLevel="0" collapsed="false">
      <c r="DB2750" s="0" t="str">
        <f aca="false">IF($A2750="","",IF($AH2750=20,IF(AND(OR($A2750=21,$A2750=215),$AJ2750=10),"①病院一般",IF(AND($A2750=31,$AJ2750=41),"②病院短期","対象外")),IF($AJ2750=30,"③特定消防",IF(AND(OR($A2750=21,$A2750=215),$AJ2750=10),"④一般",IF(AND($A2750=31,$AJ2750=41),"⑤短期","対象外")))))</f>
        <v/>
      </c>
      <c r="DC2750" s="0" t="str">
        <f aca="false">IF($A2750="","",IF($AB2750&amp;""=設定!$C$4,1,0))</f>
        <v/>
      </c>
    </row>
    <row r="2751" customFormat="false" ht="15" hidden="false" customHeight="false" outlineLevel="0" collapsed="false">
      <c r="DB2751" s="0" t="str">
        <f aca="false">IF($A2751="","",IF($AH2751=20,IF(AND(OR($A2751=21,$A2751=215),$AJ2751=10),"①病院一般",IF(AND($A2751=31,$AJ2751=41),"②病院短期","対象外")),IF($AJ2751=30,"③特定消防",IF(AND(OR($A2751=21,$A2751=215),$AJ2751=10),"④一般",IF(AND($A2751=31,$AJ2751=41),"⑤短期","対象外")))))</f>
        <v/>
      </c>
      <c r="DC2751" s="0" t="str">
        <f aca="false">IF($A2751="","",IF($AB2751&amp;""=設定!$C$4,1,0))</f>
        <v/>
      </c>
    </row>
    <row r="2752" customFormat="false" ht="15" hidden="false" customHeight="false" outlineLevel="0" collapsed="false">
      <c r="DB2752" s="0" t="str">
        <f aca="false">IF($A2752="","",IF($AH2752=20,IF(AND(OR($A2752=21,$A2752=215),$AJ2752=10),"①病院一般",IF(AND($A2752=31,$AJ2752=41),"②病院短期","対象外")),IF($AJ2752=30,"③特定消防",IF(AND(OR($A2752=21,$A2752=215),$AJ2752=10),"④一般",IF(AND($A2752=31,$AJ2752=41),"⑤短期","対象外")))))</f>
        <v/>
      </c>
      <c r="DC2752" s="0" t="str">
        <f aca="false">IF($A2752="","",IF($AB2752&amp;""=設定!$C$4,1,0))</f>
        <v/>
      </c>
    </row>
    <row r="2753" customFormat="false" ht="15" hidden="false" customHeight="false" outlineLevel="0" collapsed="false">
      <c r="DB2753" s="0" t="str">
        <f aca="false">IF($A2753="","",IF($AH2753=20,IF(AND(OR($A2753=21,$A2753=215),$AJ2753=10),"①病院一般",IF(AND($A2753=31,$AJ2753=41),"②病院短期","対象外")),IF($AJ2753=30,"③特定消防",IF(AND(OR($A2753=21,$A2753=215),$AJ2753=10),"④一般",IF(AND($A2753=31,$AJ2753=41),"⑤短期","対象外")))))</f>
        <v/>
      </c>
      <c r="DC2753" s="0" t="str">
        <f aca="false">IF($A2753="","",IF($AB2753&amp;""=設定!$C$4,1,0))</f>
        <v/>
      </c>
    </row>
    <row r="2754" customFormat="false" ht="15" hidden="false" customHeight="false" outlineLevel="0" collapsed="false">
      <c r="DB2754" s="0" t="str">
        <f aca="false">IF($A2754="","",IF($AH2754=20,IF(AND(OR($A2754=21,$A2754=215),$AJ2754=10),"①病院一般",IF(AND($A2754=31,$AJ2754=41),"②病院短期","対象外")),IF($AJ2754=30,"③特定消防",IF(AND(OR($A2754=21,$A2754=215),$AJ2754=10),"④一般",IF(AND($A2754=31,$AJ2754=41),"⑤短期","対象外")))))</f>
        <v/>
      </c>
      <c r="DC2754" s="0" t="str">
        <f aca="false">IF($A2754="","",IF($AB2754&amp;""=設定!$C$4,1,0))</f>
        <v/>
      </c>
    </row>
    <row r="2755" customFormat="false" ht="15" hidden="false" customHeight="false" outlineLevel="0" collapsed="false">
      <c r="DB2755" s="0" t="str">
        <f aca="false">IF($A2755="","",IF($AH2755=20,IF(AND(OR($A2755=21,$A2755=215),$AJ2755=10),"①病院一般",IF(AND($A2755=31,$AJ2755=41),"②病院短期","対象外")),IF($AJ2755=30,"③特定消防",IF(AND(OR($A2755=21,$A2755=215),$AJ2755=10),"④一般",IF(AND($A2755=31,$AJ2755=41),"⑤短期","対象外")))))</f>
        <v/>
      </c>
      <c r="DC2755" s="0" t="str">
        <f aca="false">IF($A2755="","",IF($AB2755&amp;""=設定!$C$4,1,0))</f>
        <v/>
      </c>
    </row>
    <row r="2756" customFormat="false" ht="15" hidden="false" customHeight="false" outlineLevel="0" collapsed="false">
      <c r="DB2756" s="0" t="str">
        <f aca="false">IF($A2756="","",IF($AH2756=20,IF(AND(OR($A2756=21,$A2756=215),$AJ2756=10),"①病院一般",IF(AND($A2756=31,$AJ2756=41),"②病院短期","対象外")),IF($AJ2756=30,"③特定消防",IF(AND(OR($A2756=21,$A2756=215),$AJ2756=10),"④一般",IF(AND($A2756=31,$AJ2756=41),"⑤短期","対象外")))))</f>
        <v/>
      </c>
      <c r="DC2756" s="0" t="str">
        <f aca="false">IF($A2756="","",IF($AB2756&amp;""=設定!$C$4,1,0))</f>
        <v/>
      </c>
    </row>
    <row r="2757" customFormat="false" ht="15" hidden="false" customHeight="false" outlineLevel="0" collapsed="false">
      <c r="DB2757" s="0" t="str">
        <f aca="false">IF($A2757="","",IF($AH2757=20,IF(AND(OR($A2757=21,$A2757=215),$AJ2757=10),"①病院一般",IF(AND($A2757=31,$AJ2757=41),"②病院短期","対象外")),IF($AJ2757=30,"③特定消防",IF(AND(OR($A2757=21,$A2757=215),$AJ2757=10),"④一般",IF(AND($A2757=31,$AJ2757=41),"⑤短期","対象外")))))</f>
        <v/>
      </c>
      <c r="DC2757" s="0" t="str">
        <f aca="false">IF($A2757="","",IF($AB2757&amp;""=設定!$C$4,1,0))</f>
        <v/>
      </c>
    </row>
    <row r="2758" customFormat="false" ht="15" hidden="false" customHeight="false" outlineLevel="0" collapsed="false">
      <c r="DB2758" s="0" t="str">
        <f aca="false">IF($A2758="","",IF($AH2758=20,IF(AND(OR($A2758=21,$A2758=215),$AJ2758=10),"①病院一般",IF(AND($A2758=31,$AJ2758=41),"②病院短期","対象外")),IF($AJ2758=30,"③特定消防",IF(AND(OR($A2758=21,$A2758=215),$AJ2758=10),"④一般",IF(AND($A2758=31,$AJ2758=41),"⑤短期","対象外")))))</f>
        <v/>
      </c>
      <c r="DC2758" s="0" t="str">
        <f aca="false">IF($A2758="","",IF($AB2758&amp;""=設定!$C$4,1,0))</f>
        <v/>
      </c>
    </row>
    <row r="2759" customFormat="false" ht="15" hidden="false" customHeight="false" outlineLevel="0" collapsed="false">
      <c r="DB2759" s="0" t="str">
        <f aca="false">IF($A2759="","",IF($AH2759=20,IF(AND(OR($A2759=21,$A2759=215),$AJ2759=10),"①病院一般",IF(AND($A2759=31,$AJ2759=41),"②病院短期","対象外")),IF($AJ2759=30,"③特定消防",IF(AND(OR($A2759=21,$A2759=215),$AJ2759=10),"④一般",IF(AND($A2759=31,$AJ2759=41),"⑤短期","対象外")))))</f>
        <v/>
      </c>
      <c r="DC2759" s="0" t="str">
        <f aca="false">IF($A2759="","",IF($AB2759&amp;""=設定!$C$4,1,0))</f>
        <v/>
      </c>
    </row>
    <row r="2760" customFormat="false" ht="15" hidden="false" customHeight="false" outlineLevel="0" collapsed="false">
      <c r="DB2760" s="0" t="str">
        <f aca="false">IF($A2760="","",IF($AH2760=20,IF(AND(OR($A2760=21,$A2760=215),$AJ2760=10),"①病院一般",IF(AND($A2760=31,$AJ2760=41),"②病院短期","対象外")),IF($AJ2760=30,"③特定消防",IF(AND(OR($A2760=21,$A2760=215),$AJ2760=10),"④一般",IF(AND($A2760=31,$AJ2760=41),"⑤短期","対象外")))))</f>
        <v/>
      </c>
      <c r="DC2760" s="0" t="str">
        <f aca="false">IF($A2760="","",IF($AB2760&amp;""=設定!$C$4,1,0))</f>
        <v/>
      </c>
    </row>
    <row r="2761" customFormat="false" ht="15" hidden="false" customHeight="false" outlineLevel="0" collapsed="false">
      <c r="DB2761" s="0" t="str">
        <f aca="false">IF($A2761="","",IF($AH2761=20,IF(AND(OR($A2761=21,$A2761=215),$AJ2761=10),"①病院一般",IF(AND($A2761=31,$AJ2761=41),"②病院短期","対象外")),IF($AJ2761=30,"③特定消防",IF(AND(OR($A2761=21,$A2761=215),$AJ2761=10),"④一般",IF(AND($A2761=31,$AJ2761=41),"⑤短期","対象外")))))</f>
        <v/>
      </c>
      <c r="DC2761" s="0" t="str">
        <f aca="false">IF($A2761="","",IF($AB2761&amp;""=設定!$C$4,1,0))</f>
        <v/>
      </c>
    </row>
    <row r="2762" customFormat="false" ht="15" hidden="false" customHeight="false" outlineLevel="0" collapsed="false">
      <c r="DB2762" s="0" t="str">
        <f aca="false">IF($A2762="","",IF($AH2762=20,IF(AND(OR($A2762=21,$A2762=215),$AJ2762=10),"①病院一般",IF(AND($A2762=31,$AJ2762=41),"②病院短期","対象外")),IF($AJ2762=30,"③特定消防",IF(AND(OR($A2762=21,$A2762=215),$AJ2762=10),"④一般",IF(AND($A2762=31,$AJ2762=41),"⑤短期","対象外")))))</f>
        <v/>
      </c>
      <c r="DC2762" s="0" t="str">
        <f aca="false">IF($A2762="","",IF($AB2762&amp;""=設定!$C$4,1,0))</f>
        <v/>
      </c>
    </row>
    <row r="2763" customFormat="false" ht="15" hidden="false" customHeight="false" outlineLevel="0" collapsed="false">
      <c r="DB2763" s="0" t="str">
        <f aca="false">IF($A2763="","",IF($AH2763=20,IF(AND(OR($A2763=21,$A2763=215),$AJ2763=10),"①病院一般",IF(AND($A2763=31,$AJ2763=41),"②病院短期","対象外")),IF($AJ2763=30,"③特定消防",IF(AND(OR($A2763=21,$A2763=215),$AJ2763=10),"④一般",IF(AND($A2763=31,$AJ2763=41),"⑤短期","対象外")))))</f>
        <v/>
      </c>
      <c r="DC2763" s="0" t="str">
        <f aca="false">IF($A2763="","",IF($AB2763&amp;""=設定!$C$4,1,0))</f>
        <v/>
      </c>
    </row>
    <row r="2764" customFormat="false" ht="15" hidden="false" customHeight="false" outlineLevel="0" collapsed="false">
      <c r="DB2764" s="0" t="str">
        <f aca="false">IF($A2764="","",IF($AH2764=20,IF(AND(OR($A2764=21,$A2764=215),$AJ2764=10),"①病院一般",IF(AND($A2764=31,$AJ2764=41),"②病院短期","対象外")),IF($AJ2764=30,"③特定消防",IF(AND(OR($A2764=21,$A2764=215),$AJ2764=10),"④一般",IF(AND($A2764=31,$AJ2764=41),"⑤短期","対象外")))))</f>
        <v/>
      </c>
      <c r="DC2764" s="0" t="str">
        <f aca="false">IF($A2764="","",IF($AB2764&amp;""=設定!$C$4,1,0))</f>
        <v/>
      </c>
    </row>
    <row r="2765" customFormat="false" ht="15" hidden="false" customHeight="false" outlineLevel="0" collapsed="false">
      <c r="DB2765" s="0" t="str">
        <f aca="false">IF($A2765="","",IF($AH2765=20,IF(AND(OR($A2765=21,$A2765=215),$AJ2765=10),"①病院一般",IF(AND($A2765=31,$AJ2765=41),"②病院短期","対象外")),IF($AJ2765=30,"③特定消防",IF(AND(OR($A2765=21,$A2765=215),$AJ2765=10),"④一般",IF(AND($A2765=31,$AJ2765=41),"⑤短期","対象外")))))</f>
        <v/>
      </c>
      <c r="DC2765" s="0" t="str">
        <f aca="false">IF($A2765="","",IF($AB2765&amp;""=設定!$C$4,1,0))</f>
        <v/>
      </c>
    </row>
    <row r="2766" customFormat="false" ht="15" hidden="false" customHeight="false" outlineLevel="0" collapsed="false">
      <c r="DB2766" s="0" t="str">
        <f aca="false">IF($A2766="","",IF($AH2766=20,IF(AND(OR($A2766=21,$A2766=215),$AJ2766=10),"①病院一般",IF(AND($A2766=31,$AJ2766=41),"②病院短期","対象外")),IF($AJ2766=30,"③特定消防",IF(AND(OR($A2766=21,$A2766=215),$AJ2766=10),"④一般",IF(AND($A2766=31,$AJ2766=41),"⑤短期","対象外")))))</f>
        <v/>
      </c>
      <c r="DC2766" s="0" t="str">
        <f aca="false">IF($A2766="","",IF($AB2766&amp;""=設定!$C$4,1,0))</f>
        <v/>
      </c>
    </row>
    <row r="2767" customFormat="false" ht="15" hidden="false" customHeight="false" outlineLevel="0" collapsed="false">
      <c r="DB2767" s="0" t="str">
        <f aca="false">IF($A2767="","",IF($AH2767=20,IF(AND(OR($A2767=21,$A2767=215),$AJ2767=10),"①病院一般",IF(AND($A2767=31,$AJ2767=41),"②病院短期","対象外")),IF($AJ2767=30,"③特定消防",IF(AND(OR($A2767=21,$A2767=215),$AJ2767=10),"④一般",IF(AND($A2767=31,$AJ2767=41),"⑤短期","対象外")))))</f>
        <v/>
      </c>
      <c r="DC2767" s="0" t="str">
        <f aca="false">IF($A2767="","",IF($AB2767&amp;""=設定!$C$4,1,0))</f>
        <v/>
      </c>
    </row>
    <row r="2768" customFormat="false" ht="15" hidden="false" customHeight="false" outlineLevel="0" collapsed="false">
      <c r="DB2768" s="0" t="str">
        <f aca="false">IF($A2768="","",IF($AH2768=20,IF(AND(OR($A2768=21,$A2768=215),$AJ2768=10),"①病院一般",IF(AND($A2768=31,$AJ2768=41),"②病院短期","対象外")),IF($AJ2768=30,"③特定消防",IF(AND(OR($A2768=21,$A2768=215),$AJ2768=10),"④一般",IF(AND($A2768=31,$AJ2768=41),"⑤短期","対象外")))))</f>
        <v/>
      </c>
      <c r="DC2768" s="0" t="str">
        <f aca="false">IF($A2768="","",IF($AB2768&amp;""=設定!$C$4,1,0))</f>
        <v/>
      </c>
    </row>
    <row r="2769" customFormat="false" ht="15" hidden="false" customHeight="false" outlineLevel="0" collapsed="false">
      <c r="DB2769" s="0" t="str">
        <f aca="false">IF($A2769="","",IF($AH2769=20,IF(AND(OR($A2769=21,$A2769=215),$AJ2769=10),"①病院一般",IF(AND($A2769=31,$AJ2769=41),"②病院短期","対象外")),IF($AJ2769=30,"③特定消防",IF(AND(OR($A2769=21,$A2769=215),$AJ2769=10),"④一般",IF(AND($A2769=31,$AJ2769=41),"⑤短期","対象外")))))</f>
        <v/>
      </c>
      <c r="DC2769" s="0" t="str">
        <f aca="false">IF($A2769="","",IF($AB2769&amp;""=設定!$C$4,1,0))</f>
        <v/>
      </c>
    </row>
    <row r="2770" customFormat="false" ht="15" hidden="false" customHeight="false" outlineLevel="0" collapsed="false">
      <c r="DB2770" s="0" t="str">
        <f aca="false">IF($A2770="","",IF($AH2770=20,IF(AND(OR($A2770=21,$A2770=215),$AJ2770=10),"①病院一般",IF(AND($A2770=31,$AJ2770=41),"②病院短期","対象外")),IF($AJ2770=30,"③特定消防",IF(AND(OR($A2770=21,$A2770=215),$AJ2770=10),"④一般",IF(AND($A2770=31,$AJ2770=41),"⑤短期","対象外")))))</f>
        <v/>
      </c>
      <c r="DC2770" s="0" t="str">
        <f aca="false">IF($A2770="","",IF($AB2770&amp;""=設定!$C$4,1,0))</f>
        <v/>
      </c>
    </row>
    <row r="2771" customFormat="false" ht="15" hidden="false" customHeight="false" outlineLevel="0" collapsed="false">
      <c r="DB2771" s="0" t="str">
        <f aca="false">IF($A2771="","",IF($AH2771=20,IF(AND(OR($A2771=21,$A2771=215),$AJ2771=10),"①病院一般",IF(AND($A2771=31,$AJ2771=41),"②病院短期","対象外")),IF($AJ2771=30,"③特定消防",IF(AND(OR($A2771=21,$A2771=215),$AJ2771=10),"④一般",IF(AND($A2771=31,$AJ2771=41),"⑤短期","対象外")))))</f>
        <v/>
      </c>
      <c r="DC2771" s="0" t="str">
        <f aca="false">IF($A2771="","",IF($AB2771&amp;""=設定!$C$4,1,0))</f>
        <v/>
      </c>
    </row>
    <row r="2772" customFormat="false" ht="15" hidden="false" customHeight="false" outlineLevel="0" collapsed="false">
      <c r="DB2772" s="0" t="str">
        <f aca="false">IF($A2772="","",IF($AH2772=20,IF(AND(OR($A2772=21,$A2772=215),$AJ2772=10),"①病院一般",IF(AND($A2772=31,$AJ2772=41),"②病院短期","対象外")),IF($AJ2772=30,"③特定消防",IF(AND(OR($A2772=21,$A2772=215),$AJ2772=10),"④一般",IF(AND($A2772=31,$AJ2772=41),"⑤短期","対象外")))))</f>
        <v/>
      </c>
      <c r="DC2772" s="0" t="str">
        <f aca="false">IF($A2772="","",IF($AB2772&amp;""=設定!$C$4,1,0))</f>
        <v/>
      </c>
    </row>
    <row r="2773" customFormat="false" ht="15" hidden="false" customHeight="false" outlineLevel="0" collapsed="false">
      <c r="DB2773" s="0" t="str">
        <f aca="false">IF($A2773="","",IF($AH2773=20,IF(AND(OR($A2773=21,$A2773=215),$AJ2773=10),"①病院一般",IF(AND($A2773=31,$AJ2773=41),"②病院短期","対象外")),IF($AJ2773=30,"③特定消防",IF(AND(OR($A2773=21,$A2773=215),$AJ2773=10),"④一般",IF(AND($A2773=31,$AJ2773=41),"⑤短期","対象外")))))</f>
        <v/>
      </c>
      <c r="DC2773" s="0" t="str">
        <f aca="false">IF($A2773="","",IF($AB2773&amp;""=設定!$C$4,1,0))</f>
        <v/>
      </c>
    </row>
    <row r="2774" customFormat="false" ht="15" hidden="false" customHeight="false" outlineLevel="0" collapsed="false">
      <c r="DB2774" s="0" t="str">
        <f aca="false">IF($A2774="","",IF($AH2774=20,IF(AND(OR($A2774=21,$A2774=215),$AJ2774=10),"①病院一般",IF(AND($A2774=31,$AJ2774=41),"②病院短期","対象外")),IF($AJ2774=30,"③特定消防",IF(AND(OR($A2774=21,$A2774=215),$AJ2774=10),"④一般",IF(AND($A2774=31,$AJ2774=41),"⑤短期","対象外")))))</f>
        <v/>
      </c>
      <c r="DC2774" s="0" t="str">
        <f aca="false">IF($A2774="","",IF($AB2774&amp;""=設定!$C$4,1,0))</f>
        <v/>
      </c>
    </row>
    <row r="2775" customFormat="false" ht="15" hidden="false" customHeight="false" outlineLevel="0" collapsed="false">
      <c r="DB2775" s="0" t="str">
        <f aca="false">IF($A2775="","",IF($AH2775=20,IF(AND(OR($A2775=21,$A2775=215),$AJ2775=10),"①病院一般",IF(AND($A2775=31,$AJ2775=41),"②病院短期","対象外")),IF($AJ2775=30,"③特定消防",IF(AND(OR($A2775=21,$A2775=215),$AJ2775=10),"④一般",IF(AND($A2775=31,$AJ2775=41),"⑤短期","対象外")))))</f>
        <v/>
      </c>
      <c r="DC2775" s="0" t="str">
        <f aca="false">IF($A2775="","",IF($AB2775&amp;""=設定!$C$4,1,0))</f>
        <v/>
      </c>
    </row>
    <row r="2776" customFormat="false" ht="15" hidden="false" customHeight="false" outlineLevel="0" collapsed="false">
      <c r="DB2776" s="0" t="str">
        <f aca="false">IF($A2776="","",IF($AH2776=20,IF(AND(OR($A2776=21,$A2776=215),$AJ2776=10),"①病院一般",IF(AND($A2776=31,$AJ2776=41),"②病院短期","対象外")),IF($AJ2776=30,"③特定消防",IF(AND(OR($A2776=21,$A2776=215),$AJ2776=10),"④一般",IF(AND($A2776=31,$AJ2776=41),"⑤短期","対象外")))))</f>
        <v/>
      </c>
      <c r="DC2776" s="0" t="str">
        <f aca="false">IF($A2776="","",IF($AB2776&amp;""=設定!$C$4,1,0))</f>
        <v/>
      </c>
    </row>
    <row r="2777" customFormat="false" ht="15" hidden="false" customHeight="false" outlineLevel="0" collapsed="false">
      <c r="DB2777" s="0" t="str">
        <f aca="false">IF($A2777="","",IF($AH2777=20,IF(AND(OR($A2777=21,$A2777=215),$AJ2777=10),"①病院一般",IF(AND($A2777=31,$AJ2777=41),"②病院短期","対象外")),IF($AJ2777=30,"③特定消防",IF(AND(OR($A2777=21,$A2777=215),$AJ2777=10),"④一般",IF(AND($A2777=31,$AJ2777=41),"⑤短期","対象外")))))</f>
        <v/>
      </c>
      <c r="DC2777" s="0" t="str">
        <f aca="false">IF($A2777="","",IF($AB2777&amp;""=設定!$C$4,1,0))</f>
        <v/>
      </c>
    </row>
    <row r="2778" customFormat="false" ht="15" hidden="false" customHeight="false" outlineLevel="0" collapsed="false">
      <c r="DB2778" s="0" t="str">
        <f aca="false">IF($A2778="","",IF($AH2778=20,IF(AND(OR($A2778=21,$A2778=215),$AJ2778=10),"①病院一般",IF(AND($A2778=31,$AJ2778=41),"②病院短期","対象外")),IF($AJ2778=30,"③特定消防",IF(AND(OR($A2778=21,$A2778=215),$AJ2778=10),"④一般",IF(AND($A2778=31,$AJ2778=41),"⑤短期","対象外")))))</f>
        <v/>
      </c>
      <c r="DC2778" s="0" t="str">
        <f aca="false">IF($A2778="","",IF($AB2778&amp;""=設定!$C$4,1,0))</f>
        <v/>
      </c>
    </row>
    <row r="2779" customFormat="false" ht="15" hidden="false" customHeight="false" outlineLevel="0" collapsed="false">
      <c r="DB2779" s="0" t="str">
        <f aca="false">IF($A2779="","",IF($AH2779=20,IF(AND(OR($A2779=21,$A2779=215),$AJ2779=10),"①病院一般",IF(AND($A2779=31,$AJ2779=41),"②病院短期","対象外")),IF($AJ2779=30,"③特定消防",IF(AND(OR($A2779=21,$A2779=215),$AJ2779=10),"④一般",IF(AND($A2779=31,$AJ2779=41),"⑤短期","対象外")))))</f>
        <v/>
      </c>
      <c r="DC2779" s="0" t="str">
        <f aca="false">IF($A2779="","",IF($AB2779&amp;""=設定!$C$4,1,0))</f>
        <v/>
      </c>
    </row>
    <row r="2780" customFormat="false" ht="15" hidden="false" customHeight="false" outlineLevel="0" collapsed="false">
      <c r="DB2780" s="0" t="str">
        <f aca="false">IF($A2780="","",IF($AH2780=20,IF(AND(OR($A2780=21,$A2780=215),$AJ2780=10),"①病院一般",IF(AND($A2780=31,$AJ2780=41),"②病院短期","対象外")),IF($AJ2780=30,"③特定消防",IF(AND(OR($A2780=21,$A2780=215),$AJ2780=10),"④一般",IF(AND($A2780=31,$AJ2780=41),"⑤短期","対象外")))))</f>
        <v/>
      </c>
      <c r="DC2780" s="0" t="str">
        <f aca="false">IF($A2780="","",IF($AB2780&amp;""=設定!$C$4,1,0))</f>
        <v/>
      </c>
    </row>
    <row r="2781" customFormat="false" ht="15" hidden="false" customHeight="false" outlineLevel="0" collapsed="false">
      <c r="DB2781" s="0" t="str">
        <f aca="false">IF($A2781="","",IF($AH2781=20,IF(AND(OR($A2781=21,$A2781=215),$AJ2781=10),"①病院一般",IF(AND($A2781=31,$AJ2781=41),"②病院短期","対象外")),IF($AJ2781=30,"③特定消防",IF(AND(OR($A2781=21,$A2781=215),$AJ2781=10),"④一般",IF(AND($A2781=31,$AJ2781=41),"⑤短期","対象外")))))</f>
        <v/>
      </c>
      <c r="DC2781" s="0" t="str">
        <f aca="false">IF($A2781="","",IF($AB2781&amp;""=設定!$C$4,1,0))</f>
        <v/>
      </c>
    </row>
    <row r="2782" customFormat="false" ht="15" hidden="false" customHeight="false" outlineLevel="0" collapsed="false">
      <c r="DB2782" s="0" t="str">
        <f aca="false">IF($A2782="","",IF($AH2782=20,IF(AND(OR($A2782=21,$A2782=215),$AJ2782=10),"①病院一般",IF(AND($A2782=31,$AJ2782=41),"②病院短期","対象外")),IF($AJ2782=30,"③特定消防",IF(AND(OR($A2782=21,$A2782=215),$AJ2782=10),"④一般",IF(AND($A2782=31,$AJ2782=41),"⑤短期","対象外")))))</f>
        <v/>
      </c>
      <c r="DC2782" s="0" t="str">
        <f aca="false">IF($A2782="","",IF($AB2782&amp;""=設定!$C$4,1,0))</f>
        <v/>
      </c>
    </row>
    <row r="2783" customFormat="false" ht="15" hidden="false" customHeight="false" outlineLevel="0" collapsed="false">
      <c r="DB2783" s="0" t="str">
        <f aca="false">IF($A2783="","",IF($AH2783=20,IF(AND(OR($A2783=21,$A2783=215),$AJ2783=10),"①病院一般",IF(AND($A2783=31,$AJ2783=41),"②病院短期","対象外")),IF($AJ2783=30,"③特定消防",IF(AND(OR($A2783=21,$A2783=215),$AJ2783=10),"④一般",IF(AND($A2783=31,$AJ2783=41),"⑤短期","対象外")))))</f>
        <v/>
      </c>
      <c r="DC2783" s="0" t="str">
        <f aca="false">IF($A2783="","",IF($AB2783&amp;""=設定!$C$4,1,0))</f>
        <v/>
      </c>
    </row>
    <row r="2784" customFormat="false" ht="15" hidden="false" customHeight="false" outlineLevel="0" collapsed="false">
      <c r="DB2784" s="0" t="str">
        <f aca="false">IF($A2784="","",IF($AH2784=20,IF(AND(OR($A2784=21,$A2784=215),$AJ2784=10),"①病院一般",IF(AND($A2784=31,$AJ2784=41),"②病院短期","対象外")),IF($AJ2784=30,"③特定消防",IF(AND(OR($A2784=21,$A2784=215),$AJ2784=10),"④一般",IF(AND($A2784=31,$AJ2784=41),"⑤短期","対象外")))))</f>
        <v/>
      </c>
      <c r="DC2784" s="0" t="str">
        <f aca="false">IF($A2784="","",IF($AB2784&amp;""=設定!$C$4,1,0))</f>
        <v/>
      </c>
    </row>
    <row r="2785" customFormat="false" ht="15" hidden="false" customHeight="false" outlineLevel="0" collapsed="false">
      <c r="DB2785" s="0" t="str">
        <f aca="false">IF($A2785="","",IF($AH2785=20,IF(AND(OR($A2785=21,$A2785=215),$AJ2785=10),"①病院一般",IF(AND($A2785=31,$AJ2785=41),"②病院短期","対象外")),IF($AJ2785=30,"③特定消防",IF(AND(OR($A2785=21,$A2785=215),$AJ2785=10),"④一般",IF(AND($A2785=31,$AJ2785=41),"⑤短期","対象外")))))</f>
        <v/>
      </c>
      <c r="DC2785" s="0" t="str">
        <f aca="false">IF($A2785="","",IF($AB2785&amp;""=設定!$C$4,1,0))</f>
        <v/>
      </c>
    </row>
    <row r="2786" customFormat="false" ht="15" hidden="false" customHeight="false" outlineLevel="0" collapsed="false">
      <c r="DB2786" s="0" t="str">
        <f aca="false">IF($A2786="","",IF($AH2786=20,IF(AND(OR($A2786=21,$A2786=215),$AJ2786=10),"①病院一般",IF(AND($A2786=31,$AJ2786=41),"②病院短期","対象外")),IF($AJ2786=30,"③特定消防",IF(AND(OR($A2786=21,$A2786=215),$AJ2786=10),"④一般",IF(AND($A2786=31,$AJ2786=41),"⑤短期","対象外")))))</f>
        <v/>
      </c>
      <c r="DC2786" s="0" t="str">
        <f aca="false">IF($A2786="","",IF($AB2786&amp;""=設定!$C$4,1,0))</f>
        <v/>
      </c>
    </row>
    <row r="2787" customFormat="false" ht="15" hidden="false" customHeight="false" outlineLevel="0" collapsed="false">
      <c r="DB2787" s="0" t="str">
        <f aca="false">IF($A2787="","",IF($AH2787=20,IF(AND(OR($A2787=21,$A2787=215),$AJ2787=10),"①病院一般",IF(AND($A2787=31,$AJ2787=41),"②病院短期","対象外")),IF($AJ2787=30,"③特定消防",IF(AND(OR($A2787=21,$A2787=215),$AJ2787=10),"④一般",IF(AND($A2787=31,$AJ2787=41),"⑤短期","対象外")))))</f>
        <v/>
      </c>
      <c r="DC2787" s="0" t="str">
        <f aca="false">IF($A2787="","",IF($AB2787&amp;""=設定!$C$4,1,0))</f>
        <v/>
      </c>
    </row>
    <row r="2788" customFormat="false" ht="15" hidden="false" customHeight="false" outlineLevel="0" collapsed="false">
      <c r="DB2788" s="0" t="str">
        <f aca="false">IF($A2788="","",IF($AH2788=20,IF(AND(OR($A2788=21,$A2788=215),$AJ2788=10),"①病院一般",IF(AND($A2788=31,$AJ2788=41),"②病院短期","対象外")),IF($AJ2788=30,"③特定消防",IF(AND(OR($A2788=21,$A2788=215),$AJ2788=10),"④一般",IF(AND($A2788=31,$AJ2788=41),"⑤短期","対象外")))))</f>
        <v/>
      </c>
      <c r="DC2788" s="0" t="str">
        <f aca="false">IF($A2788="","",IF($AB2788&amp;""=設定!$C$4,1,0))</f>
        <v/>
      </c>
    </row>
    <row r="2789" customFormat="false" ht="15" hidden="false" customHeight="false" outlineLevel="0" collapsed="false">
      <c r="DB2789" s="0" t="str">
        <f aca="false">IF($A2789="","",IF($AH2789=20,IF(AND(OR($A2789=21,$A2789=215),$AJ2789=10),"①病院一般",IF(AND($A2789=31,$AJ2789=41),"②病院短期","対象外")),IF($AJ2789=30,"③特定消防",IF(AND(OR($A2789=21,$A2789=215),$AJ2789=10),"④一般",IF(AND($A2789=31,$AJ2789=41),"⑤短期","対象外")))))</f>
        <v/>
      </c>
      <c r="DC2789" s="0" t="str">
        <f aca="false">IF($A2789="","",IF($AB2789&amp;""=設定!$C$4,1,0))</f>
        <v/>
      </c>
    </row>
    <row r="2790" customFormat="false" ht="15" hidden="false" customHeight="false" outlineLevel="0" collapsed="false">
      <c r="DB2790" s="0" t="str">
        <f aca="false">IF($A2790="","",IF($AH2790=20,IF(AND(OR($A2790=21,$A2790=215),$AJ2790=10),"①病院一般",IF(AND($A2790=31,$AJ2790=41),"②病院短期","対象外")),IF($AJ2790=30,"③特定消防",IF(AND(OR($A2790=21,$A2790=215),$AJ2790=10),"④一般",IF(AND($A2790=31,$AJ2790=41),"⑤短期","対象外")))))</f>
        <v/>
      </c>
      <c r="DC2790" s="0" t="str">
        <f aca="false">IF($A2790="","",IF($AB2790&amp;""=設定!$C$4,1,0))</f>
        <v/>
      </c>
    </row>
    <row r="2791" customFormat="false" ht="15" hidden="false" customHeight="false" outlineLevel="0" collapsed="false">
      <c r="DB2791" s="0" t="str">
        <f aca="false">IF($A2791="","",IF($AH2791=20,IF(AND(OR($A2791=21,$A2791=215),$AJ2791=10),"①病院一般",IF(AND($A2791=31,$AJ2791=41),"②病院短期","対象外")),IF($AJ2791=30,"③特定消防",IF(AND(OR($A2791=21,$A2791=215),$AJ2791=10),"④一般",IF(AND($A2791=31,$AJ2791=41),"⑤短期","対象外")))))</f>
        <v/>
      </c>
      <c r="DC2791" s="0" t="str">
        <f aca="false">IF($A2791="","",IF($AB2791&amp;""=設定!$C$4,1,0))</f>
        <v/>
      </c>
    </row>
    <row r="2792" customFormat="false" ht="15" hidden="false" customHeight="false" outlineLevel="0" collapsed="false">
      <c r="DB2792" s="0" t="str">
        <f aca="false">IF($A2792="","",IF($AH2792=20,IF(AND(OR($A2792=21,$A2792=215),$AJ2792=10),"①病院一般",IF(AND($A2792=31,$AJ2792=41),"②病院短期","対象外")),IF($AJ2792=30,"③特定消防",IF(AND(OR($A2792=21,$A2792=215),$AJ2792=10),"④一般",IF(AND($A2792=31,$AJ2792=41),"⑤短期","対象外")))))</f>
        <v/>
      </c>
      <c r="DC2792" s="0" t="str">
        <f aca="false">IF($A2792="","",IF($AB2792&amp;""=設定!$C$4,1,0))</f>
        <v/>
      </c>
    </row>
    <row r="2793" customFormat="false" ht="15" hidden="false" customHeight="false" outlineLevel="0" collapsed="false">
      <c r="DB2793" s="0" t="str">
        <f aca="false">IF($A2793="","",IF($AH2793=20,IF(AND(OR($A2793=21,$A2793=215),$AJ2793=10),"①病院一般",IF(AND($A2793=31,$AJ2793=41),"②病院短期","対象外")),IF($AJ2793=30,"③特定消防",IF(AND(OR($A2793=21,$A2793=215),$AJ2793=10),"④一般",IF(AND($A2793=31,$AJ2793=41),"⑤短期","対象外")))))</f>
        <v/>
      </c>
      <c r="DC2793" s="0" t="str">
        <f aca="false">IF($A2793="","",IF($AB2793&amp;""=設定!$C$4,1,0))</f>
        <v/>
      </c>
    </row>
    <row r="2794" customFormat="false" ht="15" hidden="false" customHeight="false" outlineLevel="0" collapsed="false">
      <c r="DB2794" s="0" t="str">
        <f aca="false">IF($A2794="","",IF($AH2794=20,IF(AND(OR($A2794=21,$A2794=215),$AJ2794=10),"①病院一般",IF(AND($A2794=31,$AJ2794=41),"②病院短期","対象外")),IF($AJ2794=30,"③特定消防",IF(AND(OR($A2794=21,$A2794=215),$AJ2794=10),"④一般",IF(AND($A2794=31,$AJ2794=41),"⑤短期","対象外")))))</f>
        <v/>
      </c>
      <c r="DC2794" s="0" t="str">
        <f aca="false">IF($A2794="","",IF($AB2794&amp;""=設定!$C$4,1,0))</f>
        <v/>
      </c>
    </row>
    <row r="2795" customFormat="false" ht="15" hidden="false" customHeight="false" outlineLevel="0" collapsed="false">
      <c r="DB2795" s="0" t="str">
        <f aca="false">IF($A2795="","",IF($AH2795=20,IF(AND(OR($A2795=21,$A2795=215),$AJ2795=10),"①病院一般",IF(AND($A2795=31,$AJ2795=41),"②病院短期","対象外")),IF($AJ2795=30,"③特定消防",IF(AND(OR($A2795=21,$A2795=215),$AJ2795=10),"④一般",IF(AND($A2795=31,$AJ2795=41),"⑤短期","対象外")))))</f>
        <v/>
      </c>
      <c r="DC2795" s="0" t="str">
        <f aca="false">IF($A2795="","",IF($AB2795&amp;""=設定!$C$4,1,0))</f>
        <v/>
      </c>
    </row>
    <row r="2796" customFormat="false" ht="15" hidden="false" customHeight="false" outlineLevel="0" collapsed="false">
      <c r="DB2796" s="0" t="str">
        <f aca="false">IF($A2796="","",IF($AH2796=20,IF(AND(OR($A2796=21,$A2796=215),$AJ2796=10),"①病院一般",IF(AND($A2796=31,$AJ2796=41),"②病院短期","対象外")),IF($AJ2796=30,"③特定消防",IF(AND(OR($A2796=21,$A2796=215),$AJ2796=10),"④一般",IF(AND($A2796=31,$AJ2796=41),"⑤短期","対象外")))))</f>
        <v/>
      </c>
      <c r="DC2796" s="0" t="str">
        <f aca="false">IF($A2796="","",IF($AB2796&amp;""=設定!$C$4,1,0))</f>
        <v/>
      </c>
    </row>
    <row r="2797" customFormat="false" ht="15" hidden="false" customHeight="false" outlineLevel="0" collapsed="false">
      <c r="DB2797" s="0" t="str">
        <f aca="false">IF($A2797="","",IF($AH2797=20,IF(AND(OR($A2797=21,$A2797=215),$AJ2797=10),"①病院一般",IF(AND($A2797=31,$AJ2797=41),"②病院短期","対象外")),IF($AJ2797=30,"③特定消防",IF(AND(OR($A2797=21,$A2797=215),$AJ2797=10),"④一般",IF(AND($A2797=31,$AJ2797=41),"⑤短期","対象外")))))</f>
        <v/>
      </c>
      <c r="DC2797" s="0" t="str">
        <f aca="false">IF($A2797="","",IF($AB2797&amp;""=設定!$C$4,1,0))</f>
        <v/>
      </c>
    </row>
    <row r="2798" customFormat="false" ht="15" hidden="false" customHeight="false" outlineLevel="0" collapsed="false">
      <c r="DB2798" s="0" t="str">
        <f aca="false">IF($A2798="","",IF($AH2798=20,IF(AND(OR($A2798=21,$A2798=215),$AJ2798=10),"①病院一般",IF(AND($A2798=31,$AJ2798=41),"②病院短期","対象外")),IF($AJ2798=30,"③特定消防",IF(AND(OR($A2798=21,$A2798=215),$AJ2798=10),"④一般",IF(AND($A2798=31,$AJ2798=41),"⑤短期","対象外")))))</f>
        <v/>
      </c>
      <c r="DC2798" s="0" t="str">
        <f aca="false">IF($A2798="","",IF($AB2798&amp;""=設定!$C$4,1,0))</f>
        <v/>
      </c>
    </row>
    <row r="2799" customFormat="false" ht="15" hidden="false" customHeight="false" outlineLevel="0" collapsed="false">
      <c r="DB2799" s="0" t="str">
        <f aca="false">IF($A2799="","",IF($AH2799=20,IF(AND(OR($A2799=21,$A2799=215),$AJ2799=10),"①病院一般",IF(AND($A2799=31,$AJ2799=41),"②病院短期","対象外")),IF($AJ2799=30,"③特定消防",IF(AND(OR($A2799=21,$A2799=215),$AJ2799=10),"④一般",IF(AND($A2799=31,$AJ2799=41),"⑤短期","対象外")))))</f>
        <v/>
      </c>
      <c r="DC2799" s="0" t="str">
        <f aca="false">IF($A2799="","",IF($AB2799&amp;""=設定!$C$4,1,0))</f>
        <v/>
      </c>
    </row>
    <row r="2800" customFormat="false" ht="15" hidden="false" customHeight="false" outlineLevel="0" collapsed="false">
      <c r="DB2800" s="0" t="str">
        <f aca="false">IF($A2800="","",IF($AH2800=20,IF(AND(OR($A2800=21,$A2800=215),$AJ2800=10),"①病院一般",IF(AND($A2800=31,$AJ2800=41),"②病院短期","対象外")),IF($AJ2800=30,"③特定消防",IF(AND(OR($A2800=21,$A2800=215),$AJ2800=10),"④一般",IF(AND($A2800=31,$AJ2800=41),"⑤短期","対象外")))))</f>
        <v/>
      </c>
      <c r="DC2800" s="0" t="str">
        <f aca="false">IF($A2800="","",IF($AB2800&amp;""=設定!$C$4,1,0))</f>
        <v/>
      </c>
    </row>
    <row r="2801" customFormat="false" ht="15" hidden="false" customHeight="false" outlineLevel="0" collapsed="false">
      <c r="DB2801" s="0" t="str">
        <f aca="false">IF($A2801="","",IF($AH2801=20,IF(AND(OR($A2801=21,$A2801=215),$AJ2801=10),"①病院一般",IF(AND($A2801=31,$AJ2801=41),"②病院短期","対象外")),IF($AJ2801=30,"③特定消防",IF(AND(OR($A2801=21,$A2801=215),$AJ2801=10),"④一般",IF(AND($A2801=31,$AJ2801=41),"⑤短期","対象外")))))</f>
        <v/>
      </c>
      <c r="DC2801" s="0" t="str">
        <f aca="false">IF($A2801="","",IF($AB2801&amp;""=設定!$C$4,1,0))</f>
        <v/>
      </c>
    </row>
    <row r="2802" customFormat="false" ht="15" hidden="false" customHeight="false" outlineLevel="0" collapsed="false">
      <c r="DB2802" s="0" t="str">
        <f aca="false">IF($A2802="","",IF($AH2802=20,IF(AND(OR($A2802=21,$A2802=215),$AJ2802=10),"①病院一般",IF(AND($A2802=31,$AJ2802=41),"②病院短期","対象外")),IF($AJ2802=30,"③特定消防",IF(AND(OR($A2802=21,$A2802=215),$AJ2802=10),"④一般",IF(AND($A2802=31,$AJ2802=41),"⑤短期","対象外")))))</f>
        <v/>
      </c>
      <c r="DC2802" s="0" t="str">
        <f aca="false">IF($A2802="","",IF($AB2802&amp;""=設定!$C$4,1,0))</f>
        <v/>
      </c>
    </row>
    <row r="2803" customFormat="false" ht="15" hidden="false" customHeight="false" outlineLevel="0" collapsed="false">
      <c r="DB2803" s="0" t="str">
        <f aca="false">IF($A2803="","",IF($AH2803=20,IF(AND(OR($A2803=21,$A2803=215),$AJ2803=10),"①病院一般",IF(AND($A2803=31,$AJ2803=41),"②病院短期","対象外")),IF($AJ2803=30,"③特定消防",IF(AND(OR($A2803=21,$A2803=215),$AJ2803=10),"④一般",IF(AND($A2803=31,$AJ2803=41),"⑤短期","対象外")))))</f>
        <v/>
      </c>
      <c r="DC2803" s="0" t="str">
        <f aca="false">IF($A2803="","",IF($AB2803&amp;""=設定!$C$4,1,0))</f>
        <v/>
      </c>
    </row>
    <row r="2804" customFormat="false" ht="15" hidden="false" customHeight="false" outlineLevel="0" collapsed="false">
      <c r="DB2804" s="0" t="str">
        <f aca="false">IF($A2804="","",IF($AH2804=20,IF(AND(OR($A2804=21,$A2804=215),$AJ2804=10),"①病院一般",IF(AND($A2804=31,$AJ2804=41),"②病院短期","対象外")),IF($AJ2804=30,"③特定消防",IF(AND(OR($A2804=21,$A2804=215),$AJ2804=10),"④一般",IF(AND($A2804=31,$AJ2804=41),"⑤短期","対象外")))))</f>
        <v/>
      </c>
      <c r="DC2804" s="0" t="str">
        <f aca="false">IF($A2804="","",IF($AB2804&amp;""=設定!$C$4,1,0))</f>
        <v/>
      </c>
    </row>
    <row r="2805" customFormat="false" ht="15" hidden="false" customHeight="false" outlineLevel="0" collapsed="false">
      <c r="DB2805" s="0" t="str">
        <f aca="false">IF($A2805="","",IF($AH2805=20,IF(AND(OR($A2805=21,$A2805=215),$AJ2805=10),"①病院一般",IF(AND($A2805=31,$AJ2805=41),"②病院短期","対象外")),IF($AJ2805=30,"③特定消防",IF(AND(OR($A2805=21,$A2805=215),$AJ2805=10),"④一般",IF(AND($A2805=31,$AJ2805=41),"⑤短期","対象外")))))</f>
        <v/>
      </c>
      <c r="DC2805" s="0" t="str">
        <f aca="false">IF($A2805="","",IF($AB2805&amp;""=設定!$C$4,1,0))</f>
        <v/>
      </c>
    </row>
    <row r="2806" customFormat="false" ht="15" hidden="false" customHeight="false" outlineLevel="0" collapsed="false">
      <c r="DB2806" s="0" t="str">
        <f aca="false">IF($A2806="","",IF($AH2806=20,IF(AND(OR($A2806=21,$A2806=215),$AJ2806=10),"①病院一般",IF(AND($A2806=31,$AJ2806=41),"②病院短期","対象外")),IF($AJ2806=30,"③特定消防",IF(AND(OR($A2806=21,$A2806=215),$AJ2806=10),"④一般",IF(AND($A2806=31,$AJ2806=41),"⑤短期","対象外")))))</f>
        <v/>
      </c>
      <c r="DC2806" s="0" t="str">
        <f aca="false">IF($A2806="","",IF($AB2806&amp;""=設定!$C$4,1,0))</f>
        <v/>
      </c>
    </row>
    <row r="2807" customFormat="false" ht="15" hidden="false" customHeight="false" outlineLevel="0" collapsed="false">
      <c r="DB2807" s="0" t="str">
        <f aca="false">IF($A2807="","",IF($AH2807=20,IF(AND(OR($A2807=21,$A2807=215),$AJ2807=10),"①病院一般",IF(AND($A2807=31,$AJ2807=41),"②病院短期","対象外")),IF($AJ2807=30,"③特定消防",IF(AND(OR($A2807=21,$A2807=215),$AJ2807=10),"④一般",IF(AND($A2807=31,$AJ2807=41),"⑤短期","対象外")))))</f>
        <v/>
      </c>
      <c r="DC2807" s="0" t="str">
        <f aca="false">IF($A2807="","",IF($AB2807&amp;""=設定!$C$4,1,0))</f>
        <v/>
      </c>
    </row>
    <row r="2808" customFormat="false" ht="15" hidden="false" customHeight="false" outlineLevel="0" collapsed="false">
      <c r="DB2808" s="0" t="str">
        <f aca="false">IF($A2808="","",IF($AH2808=20,IF(AND(OR($A2808=21,$A2808=215),$AJ2808=10),"①病院一般",IF(AND($A2808=31,$AJ2808=41),"②病院短期","対象外")),IF($AJ2808=30,"③特定消防",IF(AND(OR($A2808=21,$A2808=215),$AJ2808=10),"④一般",IF(AND($A2808=31,$AJ2808=41),"⑤短期","対象外")))))</f>
        <v/>
      </c>
      <c r="DC2808" s="0" t="str">
        <f aca="false">IF($A2808="","",IF($AB2808&amp;""=設定!$C$4,1,0))</f>
        <v/>
      </c>
    </row>
    <row r="2809" customFormat="false" ht="15" hidden="false" customHeight="false" outlineLevel="0" collapsed="false">
      <c r="DB2809" s="0" t="str">
        <f aca="false">IF($A2809="","",IF($AH2809=20,IF(AND(OR($A2809=21,$A2809=215),$AJ2809=10),"①病院一般",IF(AND($A2809=31,$AJ2809=41),"②病院短期","対象外")),IF($AJ2809=30,"③特定消防",IF(AND(OR($A2809=21,$A2809=215),$AJ2809=10),"④一般",IF(AND($A2809=31,$AJ2809=41),"⑤短期","対象外")))))</f>
        <v/>
      </c>
      <c r="DC2809" s="0" t="str">
        <f aca="false">IF($A2809="","",IF($AB2809&amp;""=設定!$C$4,1,0))</f>
        <v/>
      </c>
    </row>
    <row r="2810" customFormat="false" ht="15" hidden="false" customHeight="false" outlineLevel="0" collapsed="false">
      <c r="DB2810" s="0" t="str">
        <f aca="false">IF($A2810="","",IF($AH2810=20,IF(AND(OR($A2810=21,$A2810=215),$AJ2810=10),"①病院一般",IF(AND($A2810=31,$AJ2810=41),"②病院短期","対象外")),IF($AJ2810=30,"③特定消防",IF(AND(OR($A2810=21,$A2810=215),$AJ2810=10),"④一般",IF(AND($A2810=31,$AJ2810=41),"⑤短期","対象外")))))</f>
        <v/>
      </c>
      <c r="DC2810" s="0" t="str">
        <f aca="false">IF($A2810="","",IF($AB2810&amp;""=設定!$C$4,1,0))</f>
        <v/>
      </c>
    </row>
    <row r="2811" customFormat="false" ht="15" hidden="false" customHeight="false" outlineLevel="0" collapsed="false">
      <c r="DB2811" s="0" t="str">
        <f aca="false">IF($A2811="","",IF($AH2811=20,IF(AND(OR($A2811=21,$A2811=215),$AJ2811=10),"①病院一般",IF(AND($A2811=31,$AJ2811=41),"②病院短期","対象外")),IF($AJ2811=30,"③特定消防",IF(AND(OR($A2811=21,$A2811=215),$AJ2811=10),"④一般",IF(AND($A2811=31,$AJ2811=41),"⑤短期","対象外")))))</f>
        <v/>
      </c>
      <c r="DC2811" s="0" t="str">
        <f aca="false">IF($A2811="","",IF($AB2811&amp;""=設定!$C$4,1,0))</f>
        <v/>
      </c>
    </row>
    <row r="2812" customFormat="false" ht="15" hidden="false" customHeight="false" outlineLevel="0" collapsed="false">
      <c r="DB2812" s="0" t="str">
        <f aca="false">IF($A2812="","",IF($AH2812=20,IF(AND(OR($A2812=21,$A2812=215),$AJ2812=10),"①病院一般",IF(AND($A2812=31,$AJ2812=41),"②病院短期","対象外")),IF($AJ2812=30,"③特定消防",IF(AND(OR($A2812=21,$A2812=215),$AJ2812=10),"④一般",IF(AND($A2812=31,$AJ2812=41),"⑤短期","対象外")))))</f>
        <v/>
      </c>
      <c r="DC2812" s="0" t="str">
        <f aca="false">IF($A2812="","",IF($AB2812&amp;""=設定!$C$4,1,0))</f>
        <v/>
      </c>
    </row>
    <row r="2813" customFormat="false" ht="15" hidden="false" customHeight="false" outlineLevel="0" collapsed="false">
      <c r="DB2813" s="0" t="str">
        <f aca="false">IF($A2813="","",IF($AH2813=20,IF(AND(OR($A2813=21,$A2813=215),$AJ2813=10),"①病院一般",IF(AND($A2813=31,$AJ2813=41),"②病院短期","対象外")),IF($AJ2813=30,"③特定消防",IF(AND(OR($A2813=21,$A2813=215),$AJ2813=10),"④一般",IF(AND($A2813=31,$AJ2813=41),"⑤短期","対象外")))))</f>
        <v/>
      </c>
      <c r="DC2813" s="0" t="str">
        <f aca="false">IF($A2813="","",IF($AB2813&amp;""=設定!$C$4,1,0))</f>
        <v/>
      </c>
    </row>
    <row r="2814" customFormat="false" ht="15" hidden="false" customHeight="false" outlineLevel="0" collapsed="false">
      <c r="DB2814" s="0" t="str">
        <f aca="false">IF($A2814="","",IF($AH2814=20,IF(AND(OR($A2814=21,$A2814=215),$AJ2814=10),"①病院一般",IF(AND($A2814=31,$AJ2814=41),"②病院短期","対象外")),IF($AJ2814=30,"③特定消防",IF(AND(OR($A2814=21,$A2814=215),$AJ2814=10),"④一般",IF(AND($A2814=31,$AJ2814=41),"⑤短期","対象外")))))</f>
        <v/>
      </c>
      <c r="DC2814" s="0" t="str">
        <f aca="false">IF($A2814="","",IF($AB2814&amp;""=設定!$C$4,1,0))</f>
        <v/>
      </c>
    </row>
    <row r="2815" customFormat="false" ht="15" hidden="false" customHeight="false" outlineLevel="0" collapsed="false">
      <c r="DB2815" s="0" t="str">
        <f aca="false">IF($A2815="","",IF($AH2815=20,IF(AND(OR($A2815=21,$A2815=215),$AJ2815=10),"①病院一般",IF(AND($A2815=31,$AJ2815=41),"②病院短期","対象外")),IF($AJ2815=30,"③特定消防",IF(AND(OR($A2815=21,$A2815=215),$AJ2815=10),"④一般",IF(AND($A2815=31,$AJ2815=41),"⑤短期","対象外")))))</f>
        <v/>
      </c>
      <c r="DC2815" s="0" t="str">
        <f aca="false">IF($A2815="","",IF($AB2815&amp;""=設定!$C$4,1,0))</f>
        <v/>
      </c>
    </row>
    <row r="2816" customFormat="false" ht="15" hidden="false" customHeight="false" outlineLevel="0" collapsed="false">
      <c r="DB2816" s="0" t="str">
        <f aca="false">IF($A2816="","",IF($AH2816=20,IF(AND(OR($A2816=21,$A2816=215),$AJ2816=10),"①病院一般",IF(AND($A2816=31,$AJ2816=41),"②病院短期","対象外")),IF($AJ2816=30,"③特定消防",IF(AND(OR($A2816=21,$A2816=215),$AJ2816=10),"④一般",IF(AND($A2816=31,$AJ2816=41),"⑤短期","対象外")))))</f>
        <v/>
      </c>
      <c r="DC2816" s="0" t="str">
        <f aca="false">IF($A2816="","",IF($AB2816&amp;""=設定!$C$4,1,0))</f>
        <v/>
      </c>
    </row>
    <row r="2817" customFormat="false" ht="15" hidden="false" customHeight="false" outlineLevel="0" collapsed="false">
      <c r="DB2817" s="0" t="str">
        <f aca="false">IF($A2817="","",IF($AH2817=20,IF(AND(OR($A2817=21,$A2817=215),$AJ2817=10),"①病院一般",IF(AND($A2817=31,$AJ2817=41),"②病院短期","対象外")),IF($AJ2817=30,"③特定消防",IF(AND(OR($A2817=21,$A2817=215),$AJ2817=10),"④一般",IF(AND($A2817=31,$AJ2817=41),"⑤短期","対象外")))))</f>
        <v/>
      </c>
      <c r="DC2817" s="0" t="str">
        <f aca="false">IF($A2817="","",IF($AB2817&amp;""=設定!$C$4,1,0))</f>
        <v/>
      </c>
    </row>
    <row r="2818" customFormat="false" ht="15" hidden="false" customHeight="false" outlineLevel="0" collapsed="false">
      <c r="DB2818" s="0" t="str">
        <f aca="false">IF($A2818="","",IF($AH2818=20,IF(AND(OR($A2818=21,$A2818=215),$AJ2818=10),"①病院一般",IF(AND($A2818=31,$AJ2818=41),"②病院短期","対象外")),IF($AJ2818=30,"③特定消防",IF(AND(OR($A2818=21,$A2818=215),$AJ2818=10),"④一般",IF(AND($A2818=31,$AJ2818=41),"⑤短期","対象外")))))</f>
        <v/>
      </c>
      <c r="DC2818" s="0" t="str">
        <f aca="false">IF($A2818="","",IF($AB2818&amp;""=設定!$C$4,1,0))</f>
        <v/>
      </c>
    </row>
    <row r="2819" customFormat="false" ht="15" hidden="false" customHeight="false" outlineLevel="0" collapsed="false">
      <c r="DB2819" s="0" t="str">
        <f aca="false">IF($A2819="","",IF($AH2819=20,IF(AND(OR($A2819=21,$A2819=215),$AJ2819=10),"①病院一般",IF(AND($A2819=31,$AJ2819=41),"②病院短期","対象外")),IF($AJ2819=30,"③特定消防",IF(AND(OR($A2819=21,$A2819=215),$AJ2819=10),"④一般",IF(AND($A2819=31,$AJ2819=41),"⑤短期","対象外")))))</f>
        <v/>
      </c>
      <c r="DC2819" s="0" t="str">
        <f aca="false">IF($A2819="","",IF($AB2819&amp;""=設定!$C$4,1,0))</f>
        <v/>
      </c>
    </row>
    <row r="2820" customFormat="false" ht="15" hidden="false" customHeight="false" outlineLevel="0" collapsed="false">
      <c r="DB2820" s="0" t="str">
        <f aca="false">IF($A2820="","",IF($AH2820=20,IF(AND(OR($A2820=21,$A2820=215),$AJ2820=10),"①病院一般",IF(AND($A2820=31,$AJ2820=41),"②病院短期","対象外")),IF($AJ2820=30,"③特定消防",IF(AND(OR($A2820=21,$A2820=215),$AJ2820=10),"④一般",IF(AND($A2820=31,$AJ2820=41),"⑤短期","対象外")))))</f>
        <v/>
      </c>
      <c r="DC2820" s="0" t="str">
        <f aca="false">IF($A2820="","",IF($AB2820&amp;""=設定!$C$4,1,0))</f>
        <v/>
      </c>
    </row>
    <row r="2821" customFormat="false" ht="15" hidden="false" customHeight="false" outlineLevel="0" collapsed="false">
      <c r="DB2821" s="0" t="str">
        <f aca="false">IF($A2821="","",IF($AH2821=20,IF(AND(OR($A2821=21,$A2821=215),$AJ2821=10),"①病院一般",IF(AND($A2821=31,$AJ2821=41),"②病院短期","対象外")),IF($AJ2821=30,"③特定消防",IF(AND(OR($A2821=21,$A2821=215),$AJ2821=10),"④一般",IF(AND($A2821=31,$AJ2821=41),"⑤短期","対象外")))))</f>
        <v/>
      </c>
      <c r="DC2821" s="0" t="str">
        <f aca="false">IF($A2821="","",IF($AB2821&amp;""=設定!$C$4,1,0))</f>
        <v/>
      </c>
    </row>
    <row r="2822" customFormat="false" ht="15" hidden="false" customHeight="false" outlineLevel="0" collapsed="false">
      <c r="DB2822" s="0" t="str">
        <f aca="false">IF($A2822="","",IF($AH2822=20,IF(AND(OR($A2822=21,$A2822=215),$AJ2822=10),"①病院一般",IF(AND($A2822=31,$AJ2822=41),"②病院短期","対象外")),IF($AJ2822=30,"③特定消防",IF(AND(OR($A2822=21,$A2822=215),$AJ2822=10),"④一般",IF(AND($A2822=31,$AJ2822=41),"⑤短期","対象外")))))</f>
        <v/>
      </c>
      <c r="DC2822" s="0" t="str">
        <f aca="false">IF($A2822="","",IF($AB2822&amp;""=設定!$C$4,1,0))</f>
        <v/>
      </c>
    </row>
    <row r="2823" customFormat="false" ht="15" hidden="false" customHeight="false" outlineLevel="0" collapsed="false">
      <c r="DB2823" s="0" t="str">
        <f aca="false">IF($A2823="","",IF($AH2823=20,IF(AND(OR($A2823=21,$A2823=215),$AJ2823=10),"①病院一般",IF(AND($A2823=31,$AJ2823=41),"②病院短期","対象外")),IF($AJ2823=30,"③特定消防",IF(AND(OR($A2823=21,$A2823=215),$AJ2823=10),"④一般",IF(AND($A2823=31,$AJ2823=41),"⑤短期","対象外")))))</f>
        <v/>
      </c>
      <c r="DC2823" s="0" t="str">
        <f aca="false">IF($A2823="","",IF($AB2823&amp;""=設定!$C$4,1,0))</f>
        <v/>
      </c>
    </row>
    <row r="2824" customFormat="false" ht="15" hidden="false" customHeight="false" outlineLevel="0" collapsed="false">
      <c r="DB2824" s="0" t="str">
        <f aca="false">IF($A2824="","",IF($AH2824=20,IF(AND(OR($A2824=21,$A2824=215),$AJ2824=10),"①病院一般",IF(AND($A2824=31,$AJ2824=41),"②病院短期","対象外")),IF($AJ2824=30,"③特定消防",IF(AND(OR($A2824=21,$A2824=215),$AJ2824=10),"④一般",IF(AND($A2824=31,$AJ2824=41),"⑤短期","対象外")))))</f>
        <v/>
      </c>
      <c r="DC2824" s="0" t="str">
        <f aca="false">IF($A2824="","",IF($AB2824&amp;""=設定!$C$4,1,0))</f>
        <v/>
      </c>
    </row>
    <row r="2825" customFormat="false" ht="15" hidden="false" customHeight="false" outlineLevel="0" collapsed="false">
      <c r="DB2825" s="0" t="str">
        <f aca="false">IF($A2825="","",IF($AH2825=20,IF(AND(OR($A2825=21,$A2825=215),$AJ2825=10),"①病院一般",IF(AND($A2825=31,$AJ2825=41),"②病院短期","対象外")),IF($AJ2825=30,"③特定消防",IF(AND(OR($A2825=21,$A2825=215),$AJ2825=10),"④一般",IF(AND($A2825=31,$AJ2825=41),"⑤短期","対象外")))))</f>
        <v/>
      </c>
      <c r="DC2825" s="0" t="str">
        <f aca="false">IF($A2825="","",IF($AB2825&amp;""=設定!$C$4,1,0))</f>
        <v/>
      </c>
    </row>
    <row r="2826" customFormat="false" ht="15" hidden="false" customHeight="false" outlineLevel="0" collapsed="false">
      <c r="DB2826" s="0" t="str">
        <f aca="false">IF($A2826="","",IF($AH2826=20,IF(AND(OR($A2826=21,$A2826=215),$AJ2826=10),"①病院一般",IF(AND($A2826=31,$AJ2826=41),"②病院短期","対象外")),IF($AJ2826=30,"③特定消防",IF(AND(OR($A2826=21,$A2826=215),$AJ2826=10),"④一般",IF(AND($A2826=31,$AJ2826=41),"⑤短期","対象外")))))</f>
        <v/>
      </c>
      <c r="DC2826" s="0" t="str">
        <f aca="false">IF($A2826="","",IF($AB2826&amp;""=設定!$C$4,1,0))</f>
        <v/>
      </c>
    </row>
    <row r="2827" customFormat="false" ht="15" hidden="false" customHeight="false" outlineLevel="0" collapsed="false">
      <c r="DB2827" s="0" t="str">
        <f aca="false">IF($A2827="","",IF($AH2827=20,IF(AND(OR($A2827=21,$A2827=215),$AJ2827=10),"①病院一般",IF(AND($A2827=31,$AJ2827=41),"②病院短期","対象外")),IF($AJ2827=30,"③特定消防",IF(AND(OR($A2827=21,$A2827=215),$AJ2827=10),"④一般",IF(AND($A2827=31,$AJ2827=41),"⑤短期","対象外")))))</f>
        <v/>
      </c>
      <c r="DC2827" s="0" t="str">
        <f aca="false">IF($A2827="","",IF($AB2827&amp;""=設定!$C$4,1,0))</f>
        <v/>
      </c>
    </row>
    <row r="2828" customFormat="false" ht="15" hidden="false" customHeight="false" outlineLevel="0" collapsed="false">
      <c r="DB2828" s="0" t="str">
        <f aca="false">IF($A2828="","",IF($AH2828=20,IF(AND(OR($A2828=21,$A2828=215),$AJ2828=10),"①病院一般",IF(AND($A2828=31,$AJ2828=41),"②病院短期","対象外")),IF($AJ2828=30,"③特定消防",IF(AND(OR($A2828=21,$A2828=215),$AJ2828=10),"④一般",IF(AND($A2828=31,$AJ2828=41),"⑤短期","対象外")))))</f>
        <v/>
      </c>
      <c r="DC2828" s="0" t="str">
        <f aca="false">IF($A2828="","",IF($AB2828&amp;""=設定!$C$4,1,0))</f>
        <v/>
      </c>
    </row>
    <row r="2829" customFormat="false" ht="15" hidden="false" customHeight="false" outlineLevel="0" collapsed="false">
      <c r="DB2829" s="0" t="str">
        <f aca="false">IF($A2829="","",IF($AH2829=20,IF(AND(OR($A2829=21,$A2829=215),$AJ2829=10),"①病院一般",IF(AND($A2829=31,$AJ2829=41),"②病院短期","対象外")),IF($AJ2829=30,"③特定消防",IF(AND(OR($A2829=21,$A2829=215),$AJ2829=10),"④一般",IF(AND($A2829=31,$AJ2829=41),"⑤短期","対象外")))))</f>
        <v/>
      </c>
      <c r="DC2829" s="0" t="str">
        <f aca="false">IF($A2829="","",IF($AB2829&amp;""=設定!$C$4,1,0))</f>
        <v/>
      </c>
    </row>
    <row r="2830" customFormat="false" ht="15" hidden="false" customHeight="false" outlineLevel="0" collapsed="false">
      <c r="DB2830" s="0" t="str">
        <f aca="false">IF($A2830="","",IF($AH2830=20,IF(AND(OR($A2830=21,$A2830=215),$AJ2830=10),"①病院一般",IF(AND($A2830=31,$AJ2830=41),"②病院短期","対象外")),IF($AJ2830=30,"③特定消防",IF(AND(OR($A2830=21,$A2830=215),$AJ2830=10),"④一般",IF(AND($A2830=31,$AJ2830=41),"⑤短期","対象外")))))</f>
        <v/>
      </c>
      <c r="DC2830" s="0" t="str">
        <f aca="false">IF($A2830="","",IF($AB2830&amp;""=設定!$C$4,1,0))</f>
        <v/>
      </c>
    </row>
    <row r="2831" customFormat="false" ht="15" hidden="false" customHeight="false" outlineLevel="0" collapsed="false">
      <c r="DB2831" s="0" t="str">
        <f aca="false">IF($A2831="","",IF($AH2831=20,IF(AND(OR($A2831=21,$A2831=215),$AJ2831=10),"①病院一般",IF(AND($A2831=31,$AJ2831=41),"②病院短期","対象外")),IF($AJ2831=30,"③特定消防",IF(AND(OR($A2831=21,$A2831=215),$AJ2831=10),"④一般",IF(AND($A2831=31,$AJ2831=41),"⑤短期","対象外")))))</f>
        <v/>
      </c>
      <c r="DC2831" s="0" t="str">
        <f aca="false">IF($A2831="","",IF($AB2831&amp;""=設定!$C$4,1,0))</f>
        <v/>
      </c>
    </row>
    <row r="2832" customFormat="false" ht="15" hidden="false" customHeight="false" outlineLevel="0" collapsed="false">
      <c r="DB2832" s="0" t="str">
        <f aca="false">IF($A2832="","",IF($AH2832=20,IF(AND(OR($A2832=21,$A2832=215),$AJ2832=10),"①病院一般",IF(AND($A2832=31,$AJ2832=41),"②病院短期","対象外")),IF($AJ2832=30,"③特定消防",IF(AND(OR($A2832=21,$A2832=215),$AJ2832=10),"④一般",IF(AND($A2832=31,$AJ2832=41),"⑤短期","対象外")))))</f>
        <v/>
      </c>
      <c r="DC2832" s="0" t="str">
        <f aca="false">IF($A2832="","",IF($AB2832&amp;""=設定!$C$4,1,0))</f>
        <v/>
      </c>
    </row>
    <row r="2833" customFormat="false" ht="15" hidden="false" customHeight="false" outlineLevel="0" collapsed="false">
      <c r="DB2833" s="0" t="str">
        <f aca="false">IF($A2833="","",IF($AH2833=20,IF(AND(OR($A2833=21,$A2833=215),$AJ2833=10),"①病院一般",IF(AND($A2833=31,$AJ2833=41),"②病院短期","対象外")),IF($AJ2833=30,"③特定消防",IF(AND(OR($A2833=21,$A2833=215),$AJ2833=10),"④一般",IF(AND($A2833=31,$AJ2833=41),"⑤短期","対象外")))))</f>
        <v/>
      </c>
      <c r="DC2833" s="0" t="str">
        <f aca="false">IF($A2833="","",IF($AB2833&amp;""=設定!$C$4,1,0))</f>
        <v/>
      </c>
    </row>
    <row r="2834" customFormat="false" ht="15" hidden="false" customHeight="false" outlineLevel="0" collapsed="false">
      <c r="DB2834" s="0" t="str">
        <f aca="false">IF($A2834="","",IF($AH2834=20,IF(AND(OR($A2834=21,$A2834=215),$AJ2834=10),"①病院一般",IF(AND($A2834=31,$AJ2834=41),"②病院短期","対象外")),IF($AJ2834=30,"③特定消防",IF(AND(OR($A2834=21,$A2834=215),$AJ2834=10),"④一般",IF(AND($A2834=31,$AJ2834=41),"⑤短期","対象外")))))</f>
        <v/>
      </c>
      <c r="DC2834" s="0" t="str">
        <f aca="false">IF($A2834="","",IF($AB2834&amp;""=設定!$C$4,1,0))</f>
        <v/>
      </c>
    </row>
    <row r="2835" customFormat="false" ht="15" hidden="false" customHeight="false" outlineLevel="0" collapsed="false">
      <c r="DB2835" s="0" t="str">
        <f aca="false">IF($A2835="","",IF($AH2835=20,IF(AND(OR($A2835=21,$A2835=215),$AJ2835=10),"①病院一般",IF(AND($A2835=31,$AJ2835=41),"②病院短期","対象外")),IF($AJ2835=30,"③特定消防",IF(AND(OR($A2835=21,$A2835=215),$AJ2835=10),"④一般",IF(AND($A2835=31,$AJ2835=41),"⑤短期","対象外")))))</f>
        <v/>
      </c>
      <c r="DC2835" s="0" t="str">
        <f aca="false">IF($A2835="","",IF($AB2835&amp;""=設定!$C$4,1,0))</f>
        <v/>
      </c>
    </row>
    <row r="2836" customFormat="false" ht="15" hidden="false" customHeight="false" outlineLevel="0" collapsed="false">
      <c r="DB2836" s="0" t="str">
        <f aca="false">IF($A2836="","",IF($AH2836=20,IF(AND(OR($A2836=21,$A2836=215),$AJ2836=10),"①病院一般",IF(AND($A2836=31,$AJ2836=41),"②病院短期","対象外")),IF($AJ2836=30,"③特定消防",IF(AND(OR($A2836=21,$A2836=215),$AJ2836=10),"④一般",IF(AND($A2836=31,$AJ2836=41),"⑤短期","対象外")))))</f>
        <v/>
      </c>
      <c r="DC2836" s="0" t="str">
        <f aca="false">IF($A2836="","",IF($AB2836&amp;""=設定!$C$4,1,0))</f>
        <v/>
      </c>
    </row>
    <row r="2837" customFormat="false" ht="15" hidden="false" customHeight="false" outlineLevel="0" collapsed="false">
      <c r="DB2837" s="0" t="str">
        <f aca="false">IF($A2837="","",IF($AH2837=20,IF(AND(OR($A2837=21,$A2837=215),$AJ2837=10),"①病院一般",IF(AND($A2837=31,$AJ2837=41),"②病院短期","対象外")),IF($AJ2837=30,"③特定消防",IF(AND(OR($A2837=21,$A2837=215),$AJ2837=10),"④一般",IF(AND($A2837=31,$AJ2837=41),"⑤短期","対象外")))))</f>
        <v/>
      </c>
      <c r="DC2837" s="0" t="str">
        <f aca="false">IF($A2837="","",IF($AB2837&amp;""=設定!$C$4,1,0))</f>
        <v/>
      </c>
    </row>
    <row r="2838" customFormat="false" ht="15" hidden="false" customHeight="false" outlineLevel="0" collapsed="false">
      <c r="DB2838" s="0" t="str">
        <f aca="false">IF($A2838="","",IF($AH2838=20,IF(AND(OR($A2838=21,$A2838=215),$AJ2838=10),"①病院一般",IF(AND($A2838=31,$AJ2838=41),"②病院短期","対象外")),IF($AJ2838=30,"③特定消防",IF(AND(OR($A2838=21,$A2838=215),$AJ2838=10),"④一般",IF(AND($A2838=31,$AJ2838=41),"⑤短期","対象外")))))</f>
        <v/>
      </c>
      <c r="DC2838" s="0" t="str">
        <f aca="false">IF($A2838="","",IF($AB2838&amp;""=設定!$C$4,1,0))</f>
        <v/>
      </c>
    </row>
    <row r="2839" customFormat="false" ht="15" hidden="false" customHeight="false" outlineLevel="0" collapsed="false">
      <c r="DB2839" s="0" t="str">
        <f aca="false">IF($A2839="","",IF($AH2839=20,IF(AND(OR($A2839=21,$A2839=215),$AJ2839=10),"①病院一般",IF(AND($A2839=31,$AJ2839=41),"②病院短期","対象外")),IF($AJ2839=30,"③特定消防",IF(AND(OR($A2839=21,$A2839=215),$AJ2839=10),"④一般",IF(AND($A2839=31,$AJ2839=41),"⑤短期","対象外")))))</f>
        <v/>
      </c>
      <c r="DC2839" s="0" t="str">
        <f aca="false">IF($A2839="","",IF($AB2839&amp;""=設定!$C$4,1,0))</f>
        <v/>
      </c>
    </row>
    <row r="2840" customFormat="false" ht="15" hidden="false" customHeight="false" outlineLevel="0" collapsed="false">
      <c r="DB2840" s="0" t="str">
        <f aca="false">IF($A2840="","",IF($AH2840=20,IF(AND(OR($A2840=21,$A2840=215),$AJ2840=10),"①病院一般",IF(AND($A2840=31,$AJ2840=41),"②病院短期","対象外")),IF($AJ2840=30,"③特定消防",IF(AND(OR($A2840=21,$A2840=215),$AJ2840=10),"④一般",IF(AND($A2840=31,$AJ2840=41),"⑤短期","対象外")))))</f>
        <v/>
      </c>
      <c r="DC2840" s="0" t="str">
        <f aca="false">IF($A2840="","",IF($AB2840&amp;""=設定!$C$4,1,0))</f>
        <v/>
      </c>
    </row>
    <row r="2841" customFormat="false" ht="15" hidden="false" customHeight="false" outlineLevel="0" collapsed="false">
      <c r="DB2841" s="0" t="str">
        <f aca="false">IF($A2841="","",IF($AH2841=20,IF(AND(OR($A2841=21,$A2841=215),$AJ2841=10),"①病院一般",IF(AND($A2841=31,$AJ2841=41),"②病院短期","対象外")),IF($AJ2841=30,"③特定消防",IF(AND(OR($A2841=21,$A2841=215),$AJ2841=10),"④一般",IF(AND($A2841=31,$AJ2841=41),"⑤短期","対象外")))))</f>
        <v/>
      </c>
      <c r="DC2841" s="0" t="str">
        <f aca="false">IF($A2841="","",IF($AB2841&amp;""=設定!$C$4,1,0))</f>
        <v/>
      </c>
    </row>
    <row r="2842" customFormat="false" ht="15" hidden="false" customHeight="false" outlineLevel="0" collapsed="false">
      <c r="DB2842" s="0" t="str">
        <f aca="false">IF($A2842="","",IF($AH2842=20,IF(AND(OR($A2842=21,$A2842=215),$AJ2842=10),"①病院一般",IF(AND($A2842=31,$AJ2842=41),"②病院短期","対象外")),IF($AJ2842=30,"③特定消防",IF(AND(OR($A2842=21,$A2842=215),$AJ2842=10),"④一般",IF(AND($A2842=31,$AJ2842=41),"⑤短期","対象外")))))</f>
        <v/>
      </c>
      <c r="DC2842" s="0" t="str">
        <f aca="false">IF($A2842="","",IF($AB2842&amp;""=設定!$C$4,1,0))</f>
        <v/>
      </c>
    </row>
    <row r="2843" customFormat="false" ht="15" hidden="false" customHeight="false" outlineLevel="0" collapsed="false">
      <c r="DB2843" s="0" t="str">
        <f aca="false">IF($A2843="","",IF($AH2843=20,IF(AND(OR($A2843=21,$A2843=215),$AJ2843=10),"①病院一般",IF(AND($A2843=31,$AJ2843=41),"②病院短期","対象外")),IF($AJ2843=30,"③特定消防",IF(AND(OR($A2843=21,$A2843=215),$AJ2843=10),"④一般",IF(AND($A2843=31,$AJ2843=41),"⑤短期","対象外")))))</f>
        <v/>
      </c>
      <c r="DC2843" s="0" t="str">
        <f aca="false">IF($A2843="","",IF($AB2843&amp;""=設定!$C$4,1,0))</f>
        <v/>
      </c>
    </row>
    <row r="2844" customFormat="false" ht="15" hidden="false" customHeight="false" outlineLevel="0" collapsed="false">
      <c r="DB2844" s="0" t="str">
        <f aca="false">IF($A2844="","",IF($AH2844=20,IF(AND(OR($A2844=21,$A2844=215),$AJ2844=10),"①病院一般",IF(AND($A2844=31,$AJ2844=41),"②病院短期","対象外")),IF($AJ2844=30,"③特定消防",IF(AND(OR($A2844=21,$A2844=215),$AJ2844=10),"④一般",IF(AND($A2844=31,$AJ2844=41),"⑤短期","対象外")))))</f>
        <v/>
      </c>
      <c r="DC2844" s="0" t="str">
        <f aca="false">IF($A2844="","",IF($AB2844&amp;""=設定!$C$4,1,0))</f>
        <v/>
      </c>
    </row>
    <row r="2845" customFormat="false" ht="15" hidden="false" customHeight="false" outlineLevel="0" collapsed="false">
      <c r="DB2845" s="0" t="str">
        <f aca="false">IF($A2845="","",IF($AH2845=20,IF(AND(OR($A2845=21,$A2845=215),$AJ2845=10),"①病院一般",IF(AND($A2845=31,$AJ2845=41),"②病院短期","対象外")),IF($AJ2845=30,"③特定消防",IF(AND(OR($A2845=21,$A2845=215),$AJ2845=10),"④一般",IF(AND($A2845=31,$AJ2845=41),"⑤短期","対象外")))))</f>
        <v/>
      </c>
      <c r="DC2845" s="0" t="str">
        <f aca="false">IF($A2845="","",IF($AB2845&amp;""=設定!$C$4,1,0))</f>
        <v/>
      </c>
    </row>
    <row r="2846" customFormat="false" ht="15" hidden="false" customHeight="false" outlineLevel="0" collapsed="false">
      <c r="DB2846" s="0" t="str">
        <f aca="false">IF($A2846="","",IF($AH2846=20,IF(AND(OR($A2846=21,$A2846=215),$AJ2846=10),"①病院一般",IF(AND($A2846=31,$AJ2846=41),"②病院短期","対象外")),IF($AJ2846=30,"③特定消防",IF(AND(OR($A2846=21,$A2846=215),$AJ2846=10),"④一般",IF(AND($A2846=31,$AJ2846=41),"⑤短期","対象外")))))</f>
        <v/>
      </c>
      <c r="DC2846" s="0" t="str">
        <f aca="false">IF($A2846="","",IF($AB2846&amp;""=設定!$C$4,1,0))</f>
        <v/>
      </c>
    </row>
    <row r="2847" customFormat="false" ht="15" hidden="false" customHeight="false" outlineLevel="0" collapsed="false">
      <c r="DB2847" s="0" t="str">
        <f aca="false">IF($A2847="","",IF($AH2847=20,IF(AND(OR($A2847=21,$A2847=215),$AJ2847=10),"①病院一般",IF(AND($A2847=31,$AJ2847=41),"②病院短期","対象外")),IF($AJ2847=30,"③特定消防",IF(AND(OR($A2847=21,$A2847=215),$AJ2847=10),"④一般",IF(AND($A2847=31,$AJ2847=41),"⑤短期","対象外")))))</f>
        <v/>
      </c>
      <c r="DC2847" s="0" t="str">
        <f aca="false">IF($A2847="","",IF($AB2847&amp;""=設定!$C$4,1,0))</f>
        <v/>
      </c>
    </row>
    <row r="2848" customFormat="false" ht="15" hidden="false" customHeight="false" outlineLevel="0" collapsed="false">
      <c r="DB2848" s="0" t="str">
        <f aca="false">IF($A2848="","",IF($AH2848=20,IF(AND(OR($A2848=21,$A2848=215),$AJ2848=10),"①病院一般",IF(AND($A2848=31,$AJ2848=41),"②病院短期","対象外")),IF($AJ2848=30,"③特定消防",IF(AND(OR($A2848=21,$A2848=215),$AJ2848=10),"④一般",IF(AND($A2848=31,$AJ2848=41),"⑤短期","対象外")))))</f>
        <v/>
      </c>
      <c r="DC2848" s="0" t="str">
        <f aca="false">IF($A2848="","",IF($AB2848&amp;""=設定!$C$4,1,0))</f>
        <v/>
      </c>
    </row>
    <row r="2849" customFormat="false" ht="15" hidden="false" customHeight="false" outlineLevel="0" collapsed="false">
      <c r="DB2849" s="0" t="str">
        <f aca="false">IF($A2849="","",IF($AH2849=20,IF(AND(OR($A2849=21,$A2849=215),$AJ2849=10),"①病院一般",IF(AND($A2849=31,$AJ2849=41),"②病院短期","対象外")),IF($AJ2849=30,"③特定消防",IF(AND(OR($A2849=21,$A2849=215),$AJ2849=10),"④一般",IF(AND($A2849=31,$AJ2849=41),"⑤短期","対象外")))))</f>
        <v/>
      </c>
      <c r="DC2849" s="0" t="str">
        <f aca="false">IF($A2849="","",IF($AB2849&amp;""=設定!$C$4,1,0))</f>
        <v/>
      </c>
    </row>
    <row r="2850" customFormat="false" ht="15" hidden="false" customHeight="false" outlineLevel="0" collapsed="false">
      <c r="DB2850" s="0" t="str">
        <f aca="false">IF($A2850="","",IF($AH2850=20,IF(AND(OR($A2850=21,$A2850=215),$AJ2850=10),"①病院一般",IF(AND($A2850=31,$AJ2850=41),"②病院短期","対象外")),IF($AJ2850=30,"③特定消防",IF(AND(OR($A2850=21,$A2850=215),$AJ2850=10),"④一般",IF(AND($A2850=31,$AJ2850=41),"⑤短期","対象外")))))</f>
        <v/>
      </c>
      <c r="DC2850" s="0" t="str">
        <f aca="false">IF($A2850="","",IF($AB2850&amp;""=設定!$C$4,1,0))</f>
        <v/>
      </c>
    </row>
    <row r="2851" customFormat="false" ht="15" hidden="false" customHeight="false" outlineLevel="0" collapsed="false">
      <c r="DB2851" s="0" t="str">
        <f aca="false">IF($A2851="","",IF($AH2851=20,IF(AND(OR($A2851=21,$A2851=215),$AJ2851=10),"①病院一般",IF(AND($A2851=31,$AJ2851=41),"②病院短期","対象外")),IF($AJ2851=30,"③特定消防",IF(AND(OR($A2851=21,$A2851=215),$AJ2851=10),"④一般",IF(AND($A2851=31,$AJ2851=41),"⑤短期","対象外")))))</f>
        <v/>
      </c>
      <c r="DC2851" s="0" t="str">
        <f aca="false">IF($A2851="","",IF($AB2851&amp;""=設定!$C$4,1,0))</f>
        <v/>
      </c>
    </row>
    <row r="2852" customFormat="false" ht="15" hidden="false" customHeight="false" outlineLevel="0" collapsed="false">
      <c r="DB2852" s="0" t="str">
        <f aca="false">IF($A2852="","",IF($AH2852=20,IF(AND(OR($A2852=21,$A2852=215),$AJ2852=10),"①病院一般",IF(AND($A2852=31,$AJ2852=41),"②病院短期","対象外")),IF($AJ2852=30,"③特定消防",IF(AND(OR($A2852=21,$A2852=215),$AJ2852=10),"④一般",IF(AND($A2852=31,$AJ2852=41),"⑤短期","対象外")))))</f>
        <v/>
      </c>
      <c r="DC2852" s="0" t="str">
        <f aca="false">IF($A2852="","",IF($AB2852&amp;""=設定!$C$4,1,0))</f>
        <v/>
      </c>
    </row>
    <row r="2853" customFormat="false" ht="15" hidden="false" customHeight="false" outlineLevel="0" collapsed="false">
      <c r="DB2853" s="0" t="str">
        <f aca="false">IF($A2853="","",IF($AH2853=20,IF(AND(OR($A2853=21,$A2853=215),$AJ2853=10),"①病院一般",IF(AND($A2853=31,$AJ2853=41),"②病院短期","対象外")),IF($AJ2853=30,"③特定消防",IF(AND(OR($A2853=21,$A2853=215),$AJ2853=10),"④一般",IF(AND($A2853=31,$AJ2853=41),"⑤短期","対象外")))))</f>
        <v/>
      </c>
      <c r="DC2853" s="0" t="str">
        <f aca="false">IF($A2853="","",IF($AB2853&amp;""=設定!$C$4,1,0))</f>
        <v/>
      </c>
    </row>
    <row r="2854" customFormat="false" ht="15" hidden="false" customHeight="false" outlineLevel="0" collapsed="false">
      <c r="DB2854" s="0" t="str">
        <f aca="false">IF($A2854="","",IF($AH2854=20,IF(AND(OR($A2854=21,$A2854=215),$AJ2854=10),"①病院一般",IF(AND($A2854=31,$AJ2854=41),"②病院短期","対象外")),IF($AJ2854=30,"③特定消防",IF(AND(OR($A2854=21,$A2854=215),$AJ2854=10),"④一般",IF(AND($A2854=31,$AJ2854=41),"⑤短期","対象外")))))</f>
        <v/>
      </c>
      <c r="DC2854" s="0" t="str">
        <f aca="false">IF($A2854="","",IF($AB2854&amp;""=設定!$C$4,1,0))</f>
        <v/>
      </c>
    </row>
    <row r="2855" customFormat="false" ht="15" hidden="false" customHeight="false" outlineLevel="0" collapsed="false">
      <c r="DB2855" s="0" t="str">
        <f aca="false">IF($A2855="","",IF($AH2855=20,IF(AND(OR($A2855=21,$A2855=215),$AJ2855=10),"①病院一般",IF(AND($A2855=31,$AJ2855=41),"②病院短期","対象外")),IF($AJ2855=30,"③特定消防",IF(AND(OR($A2855=21,$A2855=215),$AJ2855=10),"④一般",IF(AND($A2855=31,$AJ2855=41),"⑤短期","対象外")))))</f>
        <v/>
      </c>
      <c r="DC2855" s="0" t="str">
        <f aca="false">IF($A2855="","",IF($AB2855&amp;""=設定!$C$4,1,0))</f>
        <v/>
      </c>
    </row>
    <row r="2856" customFormat="false" ht="15" hidden="false" customHeight="false" outlineLevel="0" collapsed="false">
      <c r="DB2856" s="0" t="str">
        <f aca="false">IF($A2856="","",IF($AH2856=20,IF(AND(OR($A2856=21,$A2856=215),$AJ2856=10),"①病院一般",IF(AND($A2856=31,$AJ2856=41),"②病院短期","対象外")),IF($AJ2856=30,"③特定消防",IF(AND(OR($A2856=21,$A2856=215),$AJ2856=10),"④一般",IF(AND($A2856=31,$AJ2856=41),"⑤短期","対象外")))))</f>
        <v/>
      </c>
      <c r="DC2856" s="0" t="str">
        <f aca="false">IF($A2856="","",IF($AB2856&amp;""=設定!$C$4,1,0))</f>
        <v/>
      </c>
    </row>
    <row r="2857" customFormat="false" ht="15" hidden="false" customHeight="false" outlineLevel="0" collapsed="false">
      <c r="DB2857" s="0" t="str">
        <f aca="false">IF($A2857="","",IF($AH2857=20,IF(AND(OR($A2857=21,$A2857=215),$AJ2857=10),"①病院一般",IF(AND($A2857=31,$AJ2857=41),"②病院短期","対象外")),IF($AJ2857=30,"③特定消防",IF(AND(OR($A2857=21,$A2857=215),$AJ2857=10),"④一般",IF(AND($A2857=31,$AJ2857=41),"⑤短期","対象外")))))</f>
        <v/>
      </c>
      <c r="DC2857" s="0" t="str">
        <f aca="false">IF($A2857="","",IF($AB2857&amp;""=設定!$C$4,1,0))</f>
        <v/>
      </c>
    </row>
    <row r="2858" customFormat="false" ht="15" hidden="false" customHeight="false" outlineLevel="0" collapsed="false">
      <c r="DB2858" s="0" t="str">
        <f aca="false">IF($A2858="","",IF($AH2858=20,IF(AND(OR($A2858=21,$A2858=215),$AJ2858=10),"①病院一般",IF(AND($A2858=31,$AJ2858=41),"②病院短期","対象外")),IF($AJ2858=30,"③特定消防",IF(AND(OR($A2858=21,$A2858=215),$AJ2858=10),"④一般",IF(AND($A2858=31,$AJ2858=41),"⑤短期","対象外")))))</f>
        <v/>
      </c>
      <c r="DC2858" s="0" t="str">
        <f aca="false">IF($A2858="","",IF($AB2858&amp;""=設定!$C$4,1,0))</f>
        <v/>
      </c>
    </row>
    <row r="2859" customFormat="false" ht="15" hidden="false" customHeight="false" outlineLevel="0" collapsed="false">
      <c r="DB2859" s="0" t="str">
        <f aca="false">IF($A2859="","",IF($AH2859=20,IF(AND(OR($A2859=21,$A2859=215),$AJ2859=10),"①病院一般",IF(AND($A2859=31,$AJ2859=41),"②病院短期","対象外")),IF($AJ2859=30,"③特定消防",IF(AND(OR($A2859=21,$A2859=215),$AJ2859=10),"④一般",IF(AND($A2859=31,$AJ2859=41),"⑤短期","対象外")))))</f>
        <v/>
      </c>
      <c r="DC2859" s="0" t="str">
        <f aca="false">IF($A2859="","",IF($AB2859&amp;""=設定!$C$4,1,0))</f>
        <v/>
      </c>
    </row>
    <row r="2860" customFormat="false" ht="15" hidden="false" customHeight="false" outlineLevel="0" collapsed="false">
      <c r="DB2860" s="0" t="str">
        <f aca="false">IF($A2860="","",IF($AH2860=20,IF(AND(OR($A2860=21,$A2860=215),$AJ2860=10),"①病院一般",IF(AND($A2860=31,$AJ2860=41),"②病院短期","対象外")),IF($AJ2860=30,"③特定消防",IF(AND(OR($A2860=21,$A2860=215),$AJ2860=10),"④一般",IF(AND($A2860=31,$AJ2860=41),"⑤短期","対象外")))))</f>
        <v/>
      </c>
      <c r="DC2860" s="0" t="str">
        <f aca="false">IF($A2860="","",IF($AB2860&amp;""=設定!$C$4,1,0))</f>
        <v/>
      </c>
    </row>
    <row r="2861" customFormat="false" ht="15" hidden="false" customHeight="false" outlineLevel="0" collapsed="false">
      <c r="DB2861" s="0" t="str">
        <f aca="false">IF($A2861="","",IF($AH2861=20,IF(AND(OR($A2861=21,$A2861=215),$AJ2861=10),"①病院一般",IF(AND($A2861=31,$AJ2861=41),"②病院短期","対象外")),IF($AJ2861=30,"③特定消防",IF(AND(OR($A2861=21,$A2861=215),$AJ2861=10),"④一般",IF(AND($A2861=31,$AJ2861=41),"⑤短期","対象外")))))</f>
        <v/>
      </c>
      <c r="DC2861" s="0" t="str">
        <f aca="false">IF($A2861="","",IF($AB2861&amp;""=設定!$C$4,1,0))</f>
        <v/>
      </c>
    </row>
    <row r="2862" customFormat="false" ht="15" hidden="false" customHeight="false" outlineLevel="0" collapsed="false">
      <c r="DB2862" s="0" t="str">
        <f aca="false">IF($A2862="","",IF($AH2862=20,IF(AND(OR($A2862=21,$A2862=215),$AJ2862=10),"①病院一般",IF(AND($A2862=31,$AJ2862=41),"②病院短期","対象外")),IF($AJ2862=30,"③特定消防",IF(AND(OR($A2862=21,$A2862=215),$AJ2862=10),"④一般",IF(AND($A2862=31,$AJ2862=41),"⑤短期","対象外")))))</f>
        <v/>
      </c>
      <c r="DC2862" s="0" t="str">
        <f aca="false">IF($A2862="","",IF($AB2862&amp;""=設定!$C$4,1,0))</f>
        <v/>
      </c>
    </row>
    <row r="2863" customFormat="false" ht="15" hidden="false" customHeight="false" outlineLevel="0" collapsed="false">
      <c r="DB2863" s="0" t="str">
        <f aca="false">IF($A2863="","",IF($AH2863=20,IF(AND(OR($A2863=21,$A2863=215),$AJ2863=10),"①病院一般",IF(AND($A2863=31,$AJ2863=41),"②病院短期","対象外")),IF($AJ2863=30,"③特定消防",IF(AND(OR($A2863=21,$A2863=215),$AJ2863=10),"④一般",IF(AND($A2863=31,$AJ2863=41),"⑤短期","対象外")))))</f>
        <v/>
      </c>
      <c r="DC2863" s="0" t="str">
        <f aca="false">IF($A2863="","",IF($AB2863&amp;""=設定!$C$4,1,0))</f>
        <v/>
      </c>
    </row>
    <row r="2864" customFormat="false" ht="15" hidden="false" customHeight="false" outlineLevel="0" collapsed="false">
      <c r="DB2864" s="0" t="str">
        <f aca="false">IF($A2864="","",IF($AH2864=20,IF(AND(OR($A2864=21,$A2864=215),$AJ2864=10),"①病院一般",IF(AND($A2864=31,$AJ2864=41),"②病院短期","対象外")),IF($AJ2864=30,"③特定消防",IF(AND(OR($A2864=21,$A2864=215),$AJ2864=10),"④一般",IF(AND($A2864=31,$AJ2864=41),"⑤短期","対象外")))))</f>
        <v/>
      </c>
      <c r="DC2864" s="0" t="str">
        <f aca="false">IF($A2864="","",IF($AB2864&amp;""=設定!$C$4,1,0))</f>
        <v/>
      </c>
    </row>
    <row r="2865" customFormat="false" ht="15" hidden="false" customHeight="false" outlineLevel="0" collapsed="false">
      <c r="DB2865" s="0" t="str">
        <f aca="false">IF($A2865="","",IF($AH2865=20,IF(AND(OR($A2865=21,$A2865=215),$AJ2865=10),"①病院一般",IF(AND($A2865=31,$AJ2865=41),"②病院短期","対象外")),IF($AJ2865=30,"③特定消防",IF(AND(OR($A2865=21,$A2865=215),$AJ2865=10),"④一般",IF(AND($A2865=31,$AJ2865=41),"⑤短期","対象外")))))</f>
        <v/>
      </c>
      <c r="DC2865" s="0" t="str">
        <f aca="false">IF($A2865="","",IF($AB2865&amp;""=設定!$C$4,1,0))</f>
        <v/>
      </c>
    </row>
    <row r="2866" customFormat="false" ht="15" hidden="false" customHeight="false" outlineLevel="0" collapsed="false">
      <c r="DB2866" s="0" t="str">
        <f aca="false">IF($A2866="","",IF($AH2866=20,IF(AND(OR($A2866=21,$A2866=215),$AJ2866=10),"①病院一般",IF(AND($A2866=31,$AJ2866=41),"②病院短期","対象外")),IF($AJ2866=30,"③特定消防",IF(AND(OR($A2866=21,$A2866=215),$AJ2866=10),"④一般",IF(AND($A2866=31,$AJ2866=41),"⑤短期","対象外")))))</f>
        <v/>
      </c>
      <c r="DC2866" s="0" t="str">
        <f aca="false">IF($A2866="","",IF($AB2866&amp;""=設定!$C$4,1,0))</f>
        <v/>
      </c>
    </row>
    <row r="2867" customFormat="false" ht="15" hidden="false" customHeight="false" outlineLevel="0" collapsed="false">
      <c r="DB2867" s="0" t="str">
        <f aca="false">IF($A2867="","",IF($AH2867=20,IF(AND(OR($A2867=21,$A2867=215),$AJ2867=10),"①病院一般",IF(AND($A2867=31,$AJ2867=41),"②病院短期","対象外")),IF($AJ2867=30,"③特定消防",IF(AND(OR($A2867=21,$A2867=215),$AJ2867=10),"④一般",IF(AND($A2867=31,$AJ2867=41),"⑤短期","対象外")))))</f>
        <v/>
      </c>
      <c r="DC2867" s="0" t="str">
        <f aca="false">IF($A2867="","",IF($AB2867&amp;""=設定!$C$4,1,0))</f>
        <v/>
      </c>
    </row>
    <row r="2868" customFormat="false" ht="15" hidden="false" customHeight="false" outlineLevel="0" collapsed="false">
      <c r="DB2868" s="0" t="str">
        <f aca="false">IF($A2868="","",IF($AH2868=20,IF(AND(OR($A2868=21,$A2868=215),$AJ2868=10),"①病院一般",IF(AND($A2868=31,$AJ2868=41),"②病院短期","対象外")),IF($AJ2868=30,"③特定消防",IF(AND(OR($A2868=21,$A2868=215),$AJ2868=10),"④一般",IF(AND($A2868=31,$AJ2868=41),"⑤短期","対象外")))))</f>
        <v/>
      </c>
      <c r="DC2868" s="0" t="str">
        <f aca="false">IF($A2868="","",IF($AB2868&amp;""=設定!$C$4,1,0))</f>
        <v/>
      </c>
    </row>
    <row r="2869" customFormat="false" ht="15" hidden="false" customHeight="false" outlineLevel="0" collapsed="false">
      <c r="DB2869" s="0" t="str">
        <f aca="false">IF($A2869="","",IF($AH2869=20,IF(AND(OR($A2869=21,$A2869=215),$AJ2869=10),"①病院一般",IF(AND($A2869=31,$AJ2869=41),"②病院短期","対象外")),IF($AJ2869=30,"③特定消防",IF(AND(OR($A2869=21,$A2869=215),$AJ2869=10),"④一般",IF(AND($A2869=31,$AJ2869=41),"⑤短期","対象外")))))</f>
        <v/>
      </c>
      <c r="DC2869" s="0" t="str">
        <f aca="false">IF($A2869="","",IF($AB2869&amp;""=設定!$C$4,1,0))</f>
        <v/>
      </c>
    </row>
    <row r="2870" customFormat="false" ht="15" hidden="false" customHeight="false" outlineLevel="0" collapsed="false">
      <c r="DB2870" s="0" t="str">
        <f aca="false">IF($A2870="","",IF($AH2870=20,IF(AND(OR($A2870=21,$A2870=215),$AJ2870=10),"①病院一般",IF(AND($A2870=31,$AJ2870=41),"②病院短期","対象外")),IF($AJ2870=30,"③特定消防",IF(AND(OR($A2870=21,$A2870=215),$AJ2870=10),"④一般",IF(AND($A2870=31,$AJ2870=41),"⑤短期","対象外")))))</f>
        <v/>
      </c>
      <c r="DC2870" s="0" t="str">
        <f aca="false">IF($A2870="","",IF($AB2870&amp;""=設定!$C$4,1,0))</f>
        <v/>
      </c>
    </row>
    <row r="2871" customFormat="false" ht="15" hidden="false" customHeight="false" outlineLevel="0" collapsed="false">
      <c r="DB2871" s="0" t="str">
        <f aca="false">IF($A2871="","",IF($AH2871=20,IF(AND(OR($A2871=21,$A2871=215),$AJ2871=10),"①病院一般",IF(AND($A2871=31,$AJ2871=41),"②病院短期","対象外")),IF($AJ2871=30,"③特定消防",IF(AND(OR($A2871=21,$A2871=215),$AJ2871=10),"④一般",IF(AND($A2871=31,$AJ2871=41),"⑤短期","対象外")))))</f>
        <v/>
      </c>
      <c r="DC2871" s="0" t="str">
        <f aca="false">IF($A2871="","",IF($AB2871&amp;""=設定!$C$4,1,0))</f>
        <v/>
      </c>
    </row>
    <row r="2872" customFormat="false" ht="15" hidden="false" customHeight="false" outlineLevel="0" collapsed="false">
      <c r="DB2872" s="0" t="str">
        <f aca="false">IF($A2872="","",IF($AH2872=20,IF(AND(OR($A2872=21,$A2872=215),$AJ2872=10),"①病院一般",IF(AND($A2872=31,$AJ2872=41),"②病院短期","対象外")),IF($AJ2872=30,"③特定消防",IF(AND(OR($A2872=21,$A2872=215),$AJ2872=10),"④一般",IF(AND($A2872=31,$AJ2872=41),"⑤短期","対象外")))))</f>
        <v/>
      </c>
      <c r="DC2872" s="0" t="str">
        <f aca="false">IF($A2872="","",IF($AB2872&amp;""=設定!$C$4,1,0))</f>
        <v/>
      </c>
    </row>
    <row r="2873" customFormat="false" ht="15" hidden="false" customHeight="false" outlineLevel="0" collapsed="false">
      <c r="DB2873" s="0" t="str">
        <f aca="false">IF($A2873="","",IF($AH2873=20,IF(AND(OR($A2873=21,$A2873=215),$AJ2873=10),"①病院一般",IF(AND($A2873=31,$AJ2873=41),"②病院短期","対象外")),IF($AJ2873=30,"③特定消防",IF(AND(OR($A2873=21,$A2873=215),$AJ2873=10),"④一般",IF(AND($A2873=31,$AJ2873=41),"⑤短期","対象外")))))</f>
        <v/>
      </c>
      <c r="DC2873" s="0" t="str">
        <f aca="false">IF($A2873="","",IF($AB2873&amp;""=設定!$C$4,1,0))</f>
        <v/>
      </c>
    </row>
    <row r="2874" customFormat="false" ht="15" hidden="false" customHeight="false" outlineLevel="0" collapsed="false">
      <c r="DB2874" s="0" t="str">
        <f aca="false">IF($A2874="","",IF($AH2874=20,IF(AND(OR($A2874=21,$A2874=215),$AJ2874=10),"①病院一般",IF(AND($A2874=31,$AJ2874=41),"②病院短期","対象外")),IF($AJ2874=30,"③特定消防",IF(AND(OR($A2874=21,$A2874=215),$AJ2874=10),"④一般",IF(AND($A2874=31,$AJ2874=41),"⑤短期","対象外")))))</f>
        <v/>
      </c>
      <c r="DC2874" s="0" t="str">
        <f aca="false">IF($A2874="","",IF($AB2874&amp;""=設定!$C$4,1,0))</f>
        <v/>
      </c>
    </row>
    <row r="2875" customFormat="false" ht="15" hidden="false" customHeight="false" outlineLevel="0" collapsed="false">
      <c r="DB2875" s="0" t="str">
        <f aca="false">IF($A2875="","",IF($AH2875=20,IF(AND(OR($A2875=21,$A2875=215),$AJ2875=10),"①病院一般",IF(AND($A2875=31,$AJ2875=41),"②病院短期","対象外")),IF($AJ2875=30,"③特定消防",IF(AND(OR($A2875=21,$A2875=215),$AJ2875=10),"④一般",IF(AND($A2875=31,$AJ2875=41),"⑤短期","対象外")))))</f>
        <v/>
      </c>
      <c r="DC2875" s="0" t="str">
        <f aca="false">IF($A2875="","",IF($AB2875&amp;""=設定!$C$4,1,0))</f>
        <v/>
      </c>
    </row>
    <row r="2876" customFormat="false" ht="15" hidden="false" customHeight="false" outlineLevel="0" collapsed="false">
      <c r="DB2876" s="0" t="str">
        <f aca="false">IF($A2876="","",IF($AH2876=20,IF(AND(OR($A2876=21,$A2876=215),$AJ2876=10),"①病院一般",IF(AND($A2876=31,$AJ2876=41),"②病院短期","対象外")),IF($AJ2876=30,"③特定消防",IF(AND(OR($A2876=21,$A2876=215),$AJ2876=10),"④一般",IF(AND($A2876=31,$AJ2876=41),"⑤短期","対象外")))))</f>
        <v/>
      </c>
      <c r="DC2876" s="0" t="str">
        <f aca="false">IF($A2876="","",IF($AB2876&amp;""=設定!$C$4,1,0))</f>
        <v/>
      </c>
    </row>
    <row r="2877" customFormat="false" ht="15" hidden="false" customHeight="false" outlineLevel="0" collapsed="false">
      <c r="DB2877" s="0" t="str">
        <f aca="false">IF($A2877="","",IF($AH2877=20,IF(AND(OR($A2877=21,$A2877=215),$AJ2877=10),"①病院一般",IF(AND($A2877=31,$AJ2877=41),"②病院短期","対象外")),IF($AJ2877=30,"③特定消防",IF(AND(OR($A2877=21,$A2877=215),$AJ2877=10),"④一般",IF(AND($A2877=31,$AJ2877=41),"⑤短期","対象外")))))</f>
        <v/>
      </c>
      <c r="DC2877" s="0" t="str">
        <f aca="false">IF($A2877="","",IF($AB2877&amp;""=設定!$C$4,1,0))</f>
        <v/>
      </c>
    </row>
    <row r="2878" customFormat="false" ht="15" hidden="false" customHeight="false" outlineLevel="0" collapsed="false">
      <c r="DB2878" s="0" t="str">
        <f aca="false">IF($A2878="","",IF($AH2878=20,IF(AND(OR($A2878=21,$A2878=215),$AJ2878=10),"①病院一般",IF(AND($A2878=31,$AJ2878=41),"②病院短期","対象外")),IF($AJ2878=30,"③特定消防",IF(AND(OR($A2878=21,$A2878=215),$AJ2878=10),"④一般",IF(AND($A2878=31,$AJ2878=41),"⑤短期","対象外")))))</f>
        <v/>
      </c>
      <c r="DC2878" s="0" t="str">
        <f aca="false">IF($A2878="","",IF($AB2878&amp;""=設定!$C$4,1,0))</f>
        <v/>
      </c>
    </row>
    <row r="2879" customFormat="false" ht="15" hidden="false" customHeight="false" outlineLevel="0" collapsed="false">
      <c r="DB2879" s="0" t="str">
        <f aca="false">IF($A2879="","",IF($AH2879=20,IF(AND(OR($A2879=21,$A2879=215),$AJ2879=10),"①病院一般",IF(AND($A2879=31,$AJ2879=41),"②病院短期","対象外")),IF($AJ2879=30,"③特定消防",IF(AND(OR($A2879=21,$A2879=215),$AJ2879=10),"④一般",IF(AND($A2879=31,$AJ2879=41),"⑤短期","対象外")))))</f>
        <v/>
      </c>
      <c r="DC2879" s="0" t="str">
        <f aca="false">IF($A2879="","",IF($AB2879&amp;""=設定!$C$4,1,0))</f>
        <v/>
      </c>
    </row>
    <row r="2880" customFormat="false" ht="15" hidden="false" customHeight="false" outlineLevel="0" collapsed="false">
      <c r="DB2880" s="0" t="str">
        <f aca="false">IF($A2880="","",IF($AH2880=20,IF(AND(OR($A2880=21,$A2880=215),$AJ2880=10),"①病院一般",IF(AND($A2880=31,$AJ2880=41),"②病院短期","対象外")),IF($AJ2880=30,"③特定消防",IF(AND(OR($A2880=21,$A2880=215),$AJ2880=10),"④一般",IF(AND($A2880=31,$AJ2880=41),"⑤短期","対象外")))))</f>
        <v/>
      </c>
      <c r="DC2880" s="0" t="str">
        <f aca="false">IF($A2880="","",IF($AB2880&amp;""=設定!$C$4,1,0))</f>
        <v/>
      </c>
    </row>
    <row r="2881" customFormat="false" ht="15" hidden="false" customHeight="false" outlineLevel="0" collapsed="false">
      <c r="DB2881" s="0" t="str">
        <f aca="false">IF($A2881="","",IF($AH2881=20,IF(AND(OR($A2881=21,$A2881=215),$AJ2881=10),"①病院一般",IF(AND($A2881=31,$AJ2881=41),"②病院短期","対象外")),IF($AJ2881=30,"③特定消防",IF(AND(OR($A2881=21,$A2881=215),$AJ2881=10),"④一般",IF(AND($A2881=31,$AJ2881=41),"⑤短期","対象外")))))</f>
        <v/>
      </c>
      <c r="DC2881" s="0" t="str">
        <f aca="false">IF($A2881="","",IF($AB2881&amp;""=設定!$C$4,1,0))</f>
        <v/>
      </c>
    </row>
    <row r="2882" customFormat="false" ht="15" hidden="false" customHeight="false" outlineLevel="0" collapsed="false">
      <c r="DB2882" s="0" t="str">
        <f aca="false">IF($A2882="","",IF($AH2882=20,IF(AND(OR($A2882=21,$A2882=215),$AJ2882=10),"①病院一般",IF(AND($A2882=31,$AJ2882=41),"②病院短期","対象外")),IF($AJ2882=30,"③特定消防",IF(AND(OR($A2882=21,$A2882=215),$AJ2882=10),"④一般",IF(AND($A2882=31,$AJ2882=41),"⑤短期","対象外")))))</f>
        <v/>
      </c>
      <c r="DC2882" s="0" t="str">
        <f aca="false">IF($A2882="","",IF($AB2882&amp;""=設定!$C$4,1,0))</f>
        <v/>
      </c>
    </row>
    <row r="2883" customFormat="false" ht="15" hidden="false" customHeight="false" outlineLevel="0" collapsed="false">
      <c r="DB2883" s="0" t="str">
        <f aca="false">IF($A2883="","",IF($AH2883=20,IF(AND(OR($A2883=21,$A2883=215),$AJ2883=10),"①病院一般",IF(AND($A2883=31,$AJ2883=41),"②病院短期","対象外")),IF($AJ2883=30,"③特定消防",IF(AND(OR($A2883=21,$A2883=215),$AJ2883=10),"④一般",IF(AND($A2883=31,$AJ2883=41),"⑤短期","対象外")))))</f>
        <v/>
      </c>
      <c r="DC2883" s="0" t="str">
        <f aca="false">IF($A2883="","",IF($AB2883&amp;""=設定!$C$4,1,0))</f>
        <v/>
      </c>
    </row>
    <row r="2884" customFormat="false" ht="15" hidden="false" customHeight="false" outlineLevel="0" collapsed="false">
      <c r="DB2884" s="0" t="str">
        <f aca="false">IF($A2884="","",IF($AH2884=20,IF(AND(OR($A2884=21,$A2884=215),$AJ2884=10),"①病院一般",IF(AND($A2884=31,$AJ2884=41),"②病院短期","対象外")),IF($AJ2884=30,"③特定消防",IF(AND(OR($A2884=21,$A2884=215),$AJ2884=10),"④一般",IF(AND($A2884=31,$AJ2884=41),"⑤短期","対象外")))))</f>
        <v/>
      </c>
      <c r="DC2884" s="0" t="str">
        <f aca="false">IF($A2884="","",IF($AB2884&amp;""=設定!$C$4,1,0))</f>
        <v/>
      </c>
    </row>
    <row r="2885" customFormat="false" ht="15" hidden="false" customHeight="false" outlineLevel="0" collapsed="false">
      <c r="DB2885" s="0" t="str">
        <f aca="false">IF($A2885="","",IF($AH2885=20,IF(AND(OR($A2885=21,$A2885=215),$AJ2885=10),"①病院一般",IF(AND($A2885=31,$AJ2885=41),"②病院短期","対象外")),IF($AJ2885=30,"③特定消防",IF(AND(OR($A2885=21,$A2885=215),$AJ2885=10),"④一般",IF(AND($A2885=31,$AJ2885=41),"⑤短期","対象外")))))</f>
        <v/>
      </c>
      <c r="DC2885" s="0" t="str">
        <f aca="false">IF($A2885="","",IF($AB2885&amp;""=設定!$C$4,1,0))</f>
        <v/>
      </c>
    </row>
    <row r="2886" customFormat="false" ht="15" hidden="false" customHeight="false" outlineLevel="0" collapsed="false">
      <c r="DB2886" s="0" t="str">
        <f aca="false">IF($A2886="","",IF($AH2886=20,IF(AND(OR($A2886=21,$A2886=215),$AJ2886=10),"①病院一般",IF(AND($A2886=31,$AJ2886=41),"②病院短期","対象外")),IF($AJ2886=30,"③特定消防",IF(AND(OR($A2886=21,$A2886=215),$AJ2886=10),"④一般",IF(AND($A2886=31,$AJ2886=41),"⑤短期","対象外")))))</f>
        <v/>
      </c>
      <c r="DC2886" s="0" t="str">
        <f aca="false">IF($A2886="","",IF($AB2886&amp;""=設定!$C$4,1,0))</f>
        <v/>
      </c>
    </row>
    <row r="2887" customFormat="false" ht="15" hidden="false" customHeight="false" outlineLevel="0" collapsed="false">
      <c r="DB2887" s="0" t="str">
        <f aca="false">IF($A2887="","",IF($AH2887=20,IF(AND(OR($A2887=21,$A2887=215),$AJ2887=10),"①病院一般",IF(AND($A2887=31,$AJ2887=41),"②病院短期","対象外")),IF($AJ2887=30,"③特定消防",IF(AND(OR($A2887=21,$A2887=215),$AJ2887=10),"④一般",IF(AND($A2887=31,$AJ2887=41),"⑤短期","対象外")))))</f>
        <v/>
      </c>
      <c r="DC2887" s="0" t="str">
        <f aca="false">IF($A2887="","",IF($AB2887&amp;""=設定!$C$4,1,0))</f>
        <v/>
      </c>
    </row>
    <row r="2888" customFormat="false" ht="15" hidden="false" customHeight="false" outlineLevel="0" collapsed="false">
      <c r="DB2888" s="0" t="str">
        <f aca="false">IF($A2888="","",IF($AH2888=20,IF(AND(OR($A2888=21,$A2888=215),$AJ2888=10),"①病院一般",IF(AND($A2888=31,$AJ2888=41),"②病院短期","対象外")),IF($AJ2888=30,"③特定消防",IF(AND(OR($A2888=21,$A2888=215),$AJ2888=10),"④一般",IF(AND($A2888=31,$AJ2888=41),"⑤短期","対象外")))))</f>
        <v/>
      </c>
      <c r="DC2888" s="0" t="str">
        <f aca="false">IF($A2888="","",IF($AB2888&amp;""=設定!$C$4,1,0))</f>
        <v/>
      </c>
    </row>
    <row r="2889" customFormat="false" ht="15" hidden="false" customHeight="false" outlineLevel="0" collapsed="false">
      <c r="DB2889" s="0" t="str">
        <f aca="false">IF($A2889="","",IF($AH2889=20,IF(AND(OR($A2889=21,$A2889=215),$AJ2889=10),"①病院一般",IF(AND($A2889=31,$AJ2889=41),"②病院短期","対象外")),IF($AJ2889=30,"③特定消防",IF(AND(OR($A2889=21,$A2889=215),$AJ2889=10),"④一般",IF(AND($A2889=31,$AJ2889=41),"⑤短期","対象外")))))</f>
        <v/>
      </c>
      <c r="DC2889" s="0" t="str">
        <f aca="false">IF($A2889="","",IF($AB2889&amp;""=設定!$C$4,1,0))</f>
        <v/>
      </c>
    </row>
    <row r="2890" customFormat="false" ht="15" hidden="false" customHeight="false" outlineLevel="0" collapsed="false">
      <c r="DB2890" s="0" t="str">
        <f aca="false">IF($A2890="","",IF($AH2890=20,IF(AND(OR($A2890=21,$A2890=215),$AJ2890=10),"①病院一般",IF(AND($A2890=31,$AJ2890=41),"②病院短期","対象外")),IF($AJ2890=30,"③特定消防",IF(AND(OR($A2890=21,$A2890=215),$AJ2890=10),"④一般",IF(AND($A2890=31,$AJ2890=41),"⑤短期","対象外")))))</f>
        <v/>
      </c>
      <c r="DC2890" s="0" t="str">
        <f aca="false">IF($A2890="","",IF($AB2890&amp;""=設定!$C$4,1,0))</f>
        <v/>
      </c>
    </row>
    <row r="2891" customFormat="false" ht="15" hidden="false" customHeight="false" outlineLevel="0" collapsed="false">
      <c r="DB2891" s="0" t="str">
        <f aca="false">IF($A2891="","",IF($AH2891=20,IF(AND(OR($A2891=21,$A2891=215),$AJ2891=10),"①病院一般",IF(AND($A2891=31,$AJ2891=41),"②病院短期","対象外")),IF($AJ2891=30,"③特定消防",IF(AND(OR($A2891=21,$A2891=215),$AJ2891=10),"④一般",IF(AND($A2891=31,$AJ2891=41),"⑤短期","対象外")))))</f>
        <v/>
      </c>
      <c r="DC2891" s="0" t="str">
        <f aca="false">IF($A2891="","",IF($AB2891&amp;""=設定!$C$4,1,0))</f>
        <v/>
      </c>
    </row>
    <row r="2892" customFormat="false" ht="15" hidden="false" customHeight="false" outlineLevel="0" collapsed="false">
      <c r="DB2892" s="0" t="str">
        <f aca="false">IF($A2892="","",IF($AH2892=20,IF(AND(OR($A2892=21,$A2892=215),$AJ2892=10),"①病院一般",IF(AND($A2892=31,$AJ2892=41),"②病院短期","対象外")),IF($AJ2892=30,"③特定消防",IF(AND(OR($A2892=21,$A2892=215),$AJ2892=10),"④一般",IF(AND($A2892=31,$AJ2892=41),"⑤短期","対象外")))))</f>
        <v/>
      </c>
      <c r="DC2892" s="0" t="str">
        <f aca="false">IF($A2892="","",IF($AB2892&amp;""=設定!$C$4,1,0))</f>
        <v/>
      </c>
    </row>
    <row r="2893" customFormat="false" ht="15" hidden="false" customHeight="false" outlineLevel="0" collapsed="false">
      <c r="DB2893" s="0" t="str">
        <f aca="false">IF($A2893="","",IF($AH2893=20,IF(AND(OR($A2893=21,$A2893=215),$AJ2893=10),"①病院一般",IF(AND($A2893=31,$AJ2893=41),"②病院短期","対象外")),IF($AJ2893=30,"③特定消防",IF(AND(OR($A2893=21,$A2893=215),$AJ2893=10),"④一般",IF(AND($A2893=31,$AJ2893=41),"⑤短期","対象外")))))</f>
        <v/>
      </c>
      <c r="DC2893" s="0" t="str">
        <f aca="false">IF($A2893="","",IF($AB2893&amp;""=設定!$C$4,1,0))</f>
        <v/>
      </c>
    </row>
    <row r="2894" customFormat="false" ht="15" hidden="false" customHeight="false" outlineLevel="0" collapsed="false">
      <c r="DB2894" s="0" t="str">
        <f aca="false">IF($A2894="","",IF($AH2894=20,IF(AND(OR($A2894=21,$A2894=215),$AJ2894=10),"①病院一般",IF(AND($A2894=31,$AJ2894=41),"②病院短期","対象外")),IF($AJ2894=30,"③特定消防",IF(AND(OR($A2894=21,$A2894=215),$AJ2894=10),"④一般",IF(AND($A2894=31,$AJ2894=41),"⑤短期","対象外")))))</f>
        <v/>
      </c>
      <c r="DC2894" s="0" t="str">
        <f aca="false">IF($A2894="","",IF($AB2894&amp;""=設定!$C$4,1,0))</f>
        <v/>
      </c>
    </row>
    <row r="2895" customFormat="false" ht="15" hidden="false" customHeight="false" outlineLevel="0" collapsed="false">
      <c r="DB2895" s="0" t="str">
        <f aca="false">IF($A2895="","",IF($AH2895=20,IF(AND(OR($A2895=21,$A2895=215),$AJ2895=10),"①病院一般",IF(AND($A2895=31,$AJ2895=41),"②病院短期","対象外")),IF($AJ2895=30,"③特定消防",IF(AND(OR($A2895=21,$A2895=215),$AJ2895=10),"④一般",IF(AND($A2895=31,$AJ2895=41),"⑤短期","対象外")))))</f>
        <v/>
      </c>
      <c r="DC2895" s="0" t="str">
        <f aca="false">IF($A2895="","",IF($AB2895&amp;""=設定!$C$4,1,0))</f>
        <v/>
      </c>
    </row>
    <row r="2896" customFormat="false" ht="15" hidden="false" customHeight="false" outlineLevel="0" collapsed="false">
      <c r="DB2896" s="0" t="str">
        <f aca="false">IF($A2896="","",IF($AH2896=20,IF(AND(OR($A2896=21,$A2896=215),$AJ2896=10),"①病院一般",IF(AND($A2896=31,$AJ2896=41),"②病院短期","対象外")),IF($AJ2896=30,"③特定消防",IF(AND(OR($A2896=21,$A2896=215),$AJ2896=10),"④一般",IF(AND($A2896=31,$AJ2896=41),"⑤短期","対象外")))))</f>
        <v/>
      </c>
      <c r="DC2896" s="0" t="str">
        <f aca="false">IF($A2896="","",IF($AB2896&amp;""=設定!$C$4,1,0))</f>
        <v/>
      </c>
    </row>
    <row r="2897" customFormat="false" ht="15" hidden="false" customHeight="false" outlineLevel="0" collapsed="false">
      <c r="DB2897" s="0" t="str">
        <f aca="false">IF($A2897="","",IF($AH2897=20,IF(AND(OR($A2897=21,$A2897=215),$AJ2897=10),"①病院一般",IF(AND($A2897=31,$AJ2897=41),"②病院短期","対象外")),IF($AJ2897=30,"③特定消防",IF(AND(OR($A2897=21,$A2897=215),$AJ2897=10),"④一般",IF(AND($A2897=31,$AJ2897=41),"⑤短期","対象外")))))</f>
        <v/>
      </c>
      <c r="DC2897" s="0" t="str">
        <f aca="false">IF($A2897="","",IF($AB2897&amp;""=設定!$C$4,1,0))</f>
        <v/>
      </c>
    </row>
    <row r="2898" customFormat="false" ht="15" hidden="false" customHeight="false" outlineLevel="0" collapsed="false">
      <c r="DB2898" s="0" t="str">
        <f aca="false">IF($A2898="","",IF($AH2898=20,IF(AND(OR($A2898=21,$A2898=215),$AJ2898=10),"①病院一般",IF(AND($A2898=31,$AJ2898=41),"②病院短期","対象外")),IF($AJ2898=30,"③特定消防",IF(AND(OR($A2898=21,$A2898=215),$AJ2898=10),"④一般",IF(AND($A2898=31,$AJ2898=41),"⑤短期","対象外")))))</f>
        <v/>
      </c>
      <c r="DC2898" s="0" t="str">
        <f aca="false">IF($A2898="","",IF($AB2898&amp;""=設定!$C$4,1,0))</f>
        <v/>
      </c>
    </row>
    <row r="2899" customFormat="false" ht="15" hidden="false" customHeight="false" outlineLevel="0" collapsed="false">
      <c r="DB2899" s="0" t="str">
        <f aca="false">IF($A2899="","",IF($AH2899=20,IF(AND(OR($A2899=21,$A2899=215),$AJ2899=10),"①病院一般",IF(AND($A2899=31,$AJ2899=41),"②病院短期","対象外")),IF($AJ2899=30,"③特定消防",IF(AND(OR($A2899=21,$A2899=215),$AJ2899=10),"④一般",IF(AND($A2899=31,$AJ2899=41),"⑤短期","対象外")))))</f>
        <v/>
      </c>
      <c r="DC2899" s="0" t="str">
        <f aca="false">IF($A2899="","",IF($AB2899&amp;""=設定!$C$4,1,0))</f>
        <v/>
      </c>
    </row>
    <row r="2900" customFormat="false" ht="15" hidden="false" customHeight="false" outlineLevel="0" collapsed="false">
      <c r="DB2900" s="0" t="str">
        <f aca="false">IF($A2900="","",IF($AH2900=20,IF(AND(OR($A2900=21,$A2900=215),$AJ2900=10),"①病院一般",IF(AND($A2900=31,$AJ2900=41),"②病院短期","対象外")),IF($AJ2900=30,"③特定消防",IF(AND(OR($A2900=21,$A2900=215),$AJ2900=10),"④一般",IF(AND($A2900=31,$AJ2900=41),"⑤短期","対象外")))))</f>
        <v/>
      </c>
      <c r="DC2900" s="0" t="str">
        <f aca="false">IF($A2900="","",IF($AB2900&amp;""=設定!$C$4,1,0))</f>
        <v/>
      </c>
    </row>
    <row r="2901" customFormat="false" ht="15" hidden="false" customHeight="false" outlineLevel="0" collapsed="false">
      <c r="DB2901" s="0" t="str">
        <f aca="false">IF($A2901="","",IF($AH2901=20,IF(AND(OR($A2901=21,$A2901=215),$AJ2901=10),"①病院一般",IF(AND($A2901=31,$AJ2901=41),"②病院短期","対象外")),IF($AJ2901=30,"③特定消防",IF(AND(OR($A2901=21,$A2901=215),$AJ2901=10),"④一般",IF(AND($A2901=31,$AJ2901=41),"⑤短期","対象外")))))</f>
        <v/>
      </c>
      <c r="DC2901" s="0" t="str">
        <f aca="false">IF($A2901="","",IF($AB2901&amp;""=設定!$C$4,1,0))</f>
        <v/>
      </c>
    </row>
    <row r="2902" customFormat="false" ht="15" hidden="false" customHeight="false" outlineLevel="0" collapsed="false">
      <c r="DB2902" s="0" t="str">
        <f aca="false">IF($A2902="","",IF($AH2902=20,IF(AND(OR($A2902=21,$A2902=215),$AJ2902=10),"①病院一般",IF(AND($A2902=31,$AJ2902=41),"②病院短期","対象外")),IF($AJ2902=30,"③特定消防",IF(AND(OR($A2902=21,$A2902=215),$AJ2902=10),"④一般",IF(AND($A2902=31,$AJ2902=41),"⑤短期","対象外")))))</f>
        <v/>
      </c>
      <c r="DC2902" s="0" t="str">
        <f aca="false">IF($A2902="","",IF($AB2902&amp;""=設定!$C$4,1,0))</f>
        <v/>
      </c>
    </row>
    <row r="2903" customFormat="false" ht="15" hidden="false" customHeight="false" outlineLevel="0" collapsed="false">
      <c r="DB2903" s="0" t="str">
        <f aca="false">IF($A2903="","",IF($AH2903=20,IF(AND(OR($A2903=21,$A2903=215),$AJ2903=10),"①病院一般",IF(AND($A2903=31,$AJ2903=41),"②病院短期","対象外")),IF($AJ2903=30,"③特定消防",IF(AND(OR($A2903=21,$A2903=215),$AJ2903=10),"④一般",IF(AND($A2903=31,$AJ2903=41),"⑤短期","対象外")))))</f>
        <v/>
      </c>
      <c r="DC2903" s="0" t="str">
        <f aca="false">IF($A2903="","",IF($AB2903&amp;""=設定!$C$4,1,0))</f>
        <v/>
      </c>
    </row>
    <row r="2904" customFormat="false" ht="15" hidden="false" customHeight="false" outlineLevel="0" collapsed="false">
      <c r="DB2904" s="0" t="str">
        <f aca="false">IF($A2904="","",IF($AH2904=20,IF(AND(OR($A2904=21,$A2904=215),$AJ2904=10),"①病院一般",IF(AND($A2904=31,$AJ2904=41),"②病院短期","対象外")),IF($AJ2904=30,"③特定消防",IF(AND(OR($A2904=21,$A2904=215),$AJ2904=10),"④一般",IF(AND($A2904=31,$AJ2904=41),"⑤短期","対象外")))))</f>
        <v/>
      </c>
      <c r="DC2904" s="0" t="str">
        <f aca="false">IF($A2904="","",IF($AB2904&amp;""=設定!$C$4,1,0))</f>
        <v/>
      </c>
    </row>
    <row r="2905" customFormat="false" ht="15" hidden="false" customHeight="false" outlineLevel="0" collapsed="false">
      <c r="DB2905" s="0" t="str">
        <f aca="false">IF($A2905="","",IF($AH2905=20,IF(AND(OR($A2905=21,$A2905=215),$AJ2905=10),"①病院一般",IF(AND($A2905=31,$AJ2905=41),"②病院短期","対象外")),IF($AJ2905=30,"③特定消防",IF(AND(OR($A2905=21,$A2905=215),$AJ2905=10),"④一般",IF(AND($A2905=31,$AJ2905=41),"⑤短期","対象外")))))</f>
        <v/>
      </c>
      <c r="DC2905" s="0" t="str">
        <f aca="false">IF($A2905="","",IF($AB2905&amp;""=設定!$C$4,1,0))</f>
        <v/>
      </c>
    </row>
    <row r="2906" customFormat="false" ht="15" hidden="false" customHeight="false" outlineLevel="0" collapsed="false">
      <c r="DB2906" s="0" t="str">
        <f aca="false">IF($A2906="","",IF($AH2906=20,IF(AND(OR($A2906=21,$A2906=215),$AJ2906=10),"①病院一般",IF(AND($A2906=31,$AJ2906=41),"②病院短期","対象外")),IF($AJ2906=30,"③特定消防",IF(AND(OR($A2906=21,$A2906=215),$AJ2906=10),"④一般",IF(AND($A2906=31,$AJ2906=41),"⑤短期","対象外")))))</f>
        <v/>
      </c>
      <c r="DC2906" s="0" t="str">
        <f aca="false">IF($A2906="","",IF($AB2906&amp;""=設定!$C$4,1,0))</f>
        <v/>
      </c>
    </row>
    <row r="2907" customFormat="false" ht="15" hidden="false" customHeight="false" outlineLevel="0" collapsed="false">
      <c r="DB2907" s="0" t="str">
        <f aca="false">IF($A2907="","",IF($AH2907=20,IF(AND(OR($A2907=21,$A2907=215),$AJ2907=10),"①病院一般",IF(AND($A2907=31,$AJ2907=41),"②病院短期","対象外")),IF($AJ2907=30,"③特定消防",IF(AND(OR($A2907=21,$A2907=215),$AJ2907=10),"④一般",IF(AND($A2907=31,$AJ2907=41),"⑤短期","対象外")))))</f>
        <v/>
      </c>
      <c r="DC2907" s="0" t="str">
        <f aca="false">IF($A2907="","",IF($AB2907&amp;""=設定!$C$4,1,0))</f>
        <v/>
      </c>
    </row>
    <row r="2908" customFormat="false" ht="15" hidden="false" customHeight="false" outlineLevel="0" collapsed="false">
      <c r="DB2908" s="0" t="str">
        <f aca="false">IF($A2908="","",IF($AH2908=20,IF(AND(OR($A2908=21,$A2908=215),$AJ2908=10),"①病院一般",IF(AND($A2908=31,$AJ2908=41),"②病院短期","対象外")),IF($AJ2908=30,"③特定消防",IF(AND(OR($A2908=21,$A2908=215),$AJ2908=10),"④一般",IF(AND($A2908=31,$AJ2908=41),"⑤短期","対象外")))))</f>
        <v/>
      </c>
      <c r="DC2908" s="0" t="str">
        <f aca="false">IF($A2908="","",IF($AB2908&amp;""=設定!$C$4,1,0))</f>
        <v/>
      </c>
    </row>
    <row r="2909" customFormat="false" ht="15" hidden="false" customHeight="false" outlineLevel="0" collapsed="false">
      <c r="DB2909" s="0" t="str">
        <f aca="false">IF($A2909="","",IF($AH2909=20,IF(AND(OR($A2909=21,$A2909=215),$AJ2909=10),"①病院一般",IF(AND($A2909=31,$AJ2909=41),"②病院短期","対象外")),IF($AJ2909=30,"③特定消防",IF(AND(OR($A2909=21,$A2909=215),$AJ2909=10),"④一般",IF(AND($A2909=31,$AJ2909=41),"⑤短期","対象外")))))</f>
        <v/>
      </c>
      <c r="DC2909" s="0" t="str">
        <f aca="false">IF($A2909="","",IF($AB2909&amp;""=設定!$C$4,1,0))</f>
        <v/>
      </c>
    </row>
    <row r="2910" customFormat="false" ht="15" hidden="false" customHeight="false" outlineLevel="0" collapsed="false">
      <c r="DB2910" s="0" t="str">
        <f aca="false">IF($A2910="","",IF($AH2910=20,IF(AND(OR($A2910=21,$A2910=215),$AJ2910=10),"①病院一般",IF(AND($A2910=31,$AJ2910=41),"②病院短期","対象外")),IF($AJ2910=30,"③特定消防",IF(AND(OR($A2910=21,$A2910=215),$AJ2910=10),"④一般",IF(AND($A2910=31,$AJ2910=41),"⑤短期","対象外")))))</f>
        <v/>
      </c>
      <c r="DC2910" s="0" t="str">
        <f aca="false">IF($A2910="","",IF($AB2910&amp;""=設定!$C$4,1,0))</f>
        <v/>
      </c>
    </row>
    <row r="2911" customFormat="false" ht="15" hidden="false" customHeight="false" outlineLevel="0" collapsed="false">
      <c r="DB2911" s="0" t="str">
        <f aca="false">IF($A2911="","",IF($AH2911=20,IF(AND(OR($A2911=21,$A2911=215),$AJ2911=10),"①病院一般",IF(AND($A2911=31,$AJ2911=41),"②病院短期","対象外")),IF($AJ2911=30,"③特定消防",IF(AND(OR($A2911=21,$A2911=215),$AJ2911=10),"④一般",IF(AND($A2911=31,$AJ2911=41),"⑤短期","対象外")))))</f>
        <v/>
      </c>
      <c r="DC2911" s="0" t="str">
        <f aca="false">IF($A2911="","",IF($AB2911&amp;""=設定!$C$4,1,0))</f>
        <v/>
      </c>
    </row>
    <row r="2912" customFormat="false" ht="15" hidden="false" customHeight="false" outlineLevel="0" collapsed="false">
      <c r="DB2912" s="0" t="str">
        <f aca="false">IF($A2912="","",IF($AH2912=20,IF(AND(OR($A2912=21,$A2912=215),$AJ2912=10),"①病院一般",IF(AND($A2912=31,$AJ2912=41),"②病院短期","対象外")),IF($AJ2912=30,"③特定消防",IF(AND(OR($A2912=21,$A2912=215),$AJ2912=10),"④一般",IF(AND($A2912=31,$AJ2912=41),"⑤短期","対象外")))))</f>
        <v/>
      </c>
      <c r="DC2912" s="0" t="str">
        <f aca="false">IF($A2912="","",IF($AB2912&amp;""=設定!$C$4,1,0))</f>
        <v/>
      </c>
    </row>
    <row r="2913" customFormat="false" ht="15" hidden="false" customHeight="false" outlineLevel="0" collapsed="false">
      <c r="DB2913" s="0" t="str">
        <f aca="false">IF($A2913="","",IF($AH2913=20,IF(AND(OR($A2913=21,$A2913=215),$AJ2913=10),"①病院一般",IF(AND($A2913=31,$AJ2913=41),"②病院短期","対象外")),IF($AJ2913=30,"③特定消防",IF(AND(OR($A2913=21,$A2913=215),$AJ2913=10),"④一般",IF(AND($A2913=31,$AJ2913=41),"⑤短期","対象外")))))</f>
        <v/>
      </c>
      <c r="DC2913" s="0" t="str">
        <f aca="false">IF($A2913="","",IF($AB2913&amp;""=設定!$C$4,1,0))</f>
        <v/>
      </c>
    </row>
    <row r="2914" customFormat="false" ht="15" hidden="false" customHeight="false" outlineLevel="0" collapsed="false">
      <c r="DB2914" s="0" t="str">
        <f aca="false">IF($A2914="","",IF($AH2914=20,IF(AND(OR($A2914=21,$A2914=215),$AJ2914=10),"①病院一般",IF(AND($A2914=31,$AJ2914=41),"②病院短期","対象外")),IF($AJ2914=30,"③特定消防",IF(AND(OR($A2914=21,$A2914=215),$AJ2914=10),"④一般",IF(AND($A2914=31,$AJ2914=41),"⑤短期","対象外")))))</f>
        <v/>
      </c>
      <c r="DC2914" s="0" t="str">
        <f aca="false">IF($A2914="","",IF($AB2914&amp;""=設定!$C$4,1,0))</f>
        <v/>
      </c>
    </row>
    <row r="2915" customFormat="false" ht="15" hidden="false" customHeight="false" outlineLevel="0" collapsed="false">
      <c r="DB2915" s="0" t="str">
        <f aca="false">IF($A2915="","",IF($AH2915=20,IF(AND(OR($A2915=21,$A2915=215),$AJ2915=10),"①病院一般",IF(AND($A2915=31,$AJ2915=41),"②病院短期","対象外")),IF($AJ2915=30,"③特定消防",IF(AND(OR($A2915=21,$A2915=215),$AJ2915=10),"④一般",IF(AND($A2915=31,$AJ2915=41),"⑤短期","対象外")))))</f>
        <v/>
      </c>
      <c r="DC2915" s="0" t="str">
        <f aca="false">IF($A2915="","",IF($AB2915&amp;""=設定!$C$4,1,0))</f>
        <v/>
      </c>
    </row>
    <row r="2916" customFormat="false" ht="15" hidden="false" customHeight="false" outlineLevel="0" collapsed="false">
      <c r="DB2916" s="0" t="str">
        <f aca="false">IF($A2916="","",IF($AH2916=20,IF(AND(OR($A2916=21,$A2916=215),$AJ2916=10),"①病院一般",IF(AND($A2916=31,$AJ2916=41),"②病院短期","対象外")),IF($AJ2916=30,"③特定消防",IF(AND(OR($A2916=21,$A2916=215),$AJ2916=10),"④一般",IF(AND($A2916=31,$AJ2916=41),"⑤短期","対象外")))))</f>
        <v/>
      </c>
      <c r="DC2916" s="0" t="str">
        <f aca="false">IF($A2916="","",IF($AB2916&amp;""=設定!$C$4,1,0))</f>
        <v/>
      </c>
    </row>
    <row r="2917" customFormat="false" ht="15" hidden="false" customHeight="false" outlineLevel="0" collapsed="false">
      <c r="DB2917" s="0" t="str">
        <f aca="false">IF($A2917="","",IF($AH2917=20,IF(AND(OR($A2917=21,$A2917=215),$AJ2917=10),"①病院一般",IF(AND($A2917=31,$AJ2917=41),"②病院短期","対象外")),IF($AJ2917=30,"③特定消防",IF(AND(OR($A2917=21,$A2917=215),$AJ2917=10),"④一般",IF(AND($A2917=31,$AJ2917=41),"⑤短期","対象外")))))</f>
        <v/>
      </c>
      <c r="DC2917" s="0" t="str">
        <f aca="false">IF($A2917="","",IF($AB2917&amp;""=設定!$C$4,1,0))</f>
        <v/>
      </c>
    </row>
    <row r="2918" customFormat="false" ht="15" hidden="false" customHeight="false" outlineLevel="0" collapsed="false">
      <c r="DB2918" s="0" t="str">
        <f aca="false">IF($A2918="","",IF($AH2918=20,IF(AND(OR($A2918=21,$A2918=215),$AJ2918=10),"①病院一般",IF(AND($A2918=31,$AJ2918=41),"②病院短期","対象外")),IF($AJ2918=30,"③特定消防",IF(AND(OR($A2918=21,$A2918=215),$AJ2918=10),"④一般",IF(AND($A2918=31,$AJ2918=41),"⑤短期","対象外")))))</f>
        <v/>
      </c>
      <c r="DC2918" s="0" t="str">
        <f aca="false">IF($A2918="","",IF($AB2918&amp;""=設定!$C$4,1,0))</f>
        <v/>
      </c>
    </row>
    <row r="2919" customFormat="false" ht="15" hidden="false" customHeight="false" outlineLevel="0" collapsed="false">
      <c r="DB2919" s="0" t="str">
        <f aca="false">IF($A2919="","",IF($AH2919=20,IF(AND(OR($A2919=21,$A2919=215),$AJ2919=10),"①病院一般",IF(AND($A2919=31,$AJ2919=41),"②病院短期","対象外")),IF($AJ2919=30,"③特定消防",IF(AND(OR($A2919=21,$A2919=215),$AJ2919=10),"④一般",IF(AND($A2919=31,$AJ2919=41),"⑤短期","対象外")))))</f>
        <v/>
      </c>
      <c r="DC2919" s="0" t="str">
        <f aca="false">IF($A2919="","",IF($AB2919&amp;""=設定!$C$4,1,0))</f>
        <v/>
      </c>
    </row>
    <row r="2920" customFormat="false" ht="15" hidden="false" customHeight="false" outlineLevel="0" collapsed="false">
      <c r="DB2920" s="0" t="str">
        <f aca="false">IF($A2920="","",IF($AH2920=20,IF(AND(OR($A2920=21,$A2920=215),$AJ2920=10),"①病院一般",IF(AND($A2920=31,$AJ2920=41),"②病院短期","対象外")),IF($AJ2920=30,"③特定消防",IF(AND(OR($A2920=21,$A2920=215),$AJ2920=10),"④一般",IF(AND($A2920=31,$AJ2920=41),"⑤短期","対象外")))))</f>
        <v/>
      </c>
      <c r="DC2920" s="0" t="str">
        <f aca="false">IF($A2920="","",IF($AB2920&amp;""=設定!$C$4,1,0))</f>
        <v/>
      </c>
    </row>
    <row r="2921" customFormat="false" ht="15" hidden="false" customHeight="false" outlineLevel="0" collapsed="false">
      <c r="DB2921" s="0" t="str">
        <f aca="false">IF($A2921="","",IF($AH2921=20,IF(AND(OR($A2921=21,$A2921=215),$AJ2921=10),"①病院一般",IF(AND($A2921=31,$AJ2921=41),"②病院短期","対象外")),IF($AJ2921=30,"③特定消防",IF(AND(OR($A2921=21,$A2921=215),$AJ2921=10),"④一般",IF(AND($A2921=31,$AJ2921=41),"⑤短期","対象外")))))</f>
        <v/>
      </c>
      <c r="DC2921" s="0" t="str">
        <f aca="false">IF($A2921="","",IF($AB2921&amp;""=設定!$C$4,1,0))</f>
        <v/>
      </c>
    </row>
    <row r="2922" customFormat="false" ht="15" hidden="false" customHeight="false" outlineLevel="0" collapsed="false">
      <c r="DB2922" s="0" t="str">
        <f aca="false">IF($A2922="","",IF($AH2922=20,IF(AND(OR($A2922=21,$A2922=215),$AJ2922=10),"①病院一般",IF(AND($A2922=31,$AJ2922=41),"②病院短期","対象外")),IF($AJ2922=30,"③特定消防",IF(AND(OR($A2922=21,$A2922=215),$AJ2922=10),"④一般",IF(AND($A2922=31,$AJ2922=41),"⑤短期","対象外")))))</f>
        <v/>
      </c>
      <c r="DC2922" s="0" t="str">
        <f aca="false">IF($A2922="","",IF($AB2922&amp;""=設定!$C$4,1,0))</f>
        <v/>
      </c>
    </row>
    <row r="2923" customFormat="false" ht="15" hidden="false" customHeight="false" outlineLevel="0" collapsed="false">
      <c r="DB2923" s="0" t="str">
        <f aca="false">IF($A2923="","",IF($AH2923=20,IF(AND(OR($A2923=21,$A2923=215),$AJ2923=10),"①病院一般",IF(AND($A2923=31,$AJ2923=41),"②病院短期","対象外")),IF($AJ2923=30,"③特定消防",IF(AND(OR($A2923=21,$A2923=215),$AJ2923=10),"④一般",IF(AND($A2923=31,$AJ2923=41),"⑤短期","対象外")))))</f>
        <v/>
      </c>
      <c r="DC2923" s="0" t="str">
        <f aca="false">IF($A2923="","",IF($AB2923&amp;""=設定!$C$4,1,0))</f>
        <v/>
      </c>
    </row>
    <row r="2924" customFormat="false" ht="15" hidden="false" customHeight="false" outlineLevel="0" collapsed="false">
      <c r="DB2924" s="0" t="str">
        <f aca="false">IF($A2924="","",IF($AH2924=20,IF(AND(OR($A2924=21,$A2924=215),$AJ2924=10),"①病院一般",IF(AND($A2924=31,$AJ2924=41),"②病院短期","対象外")),IF($AJ2924=30,"③特定消防",IF(AND(OR($A2924=21,$A2924=215),$AJ2924=10),"④一般",IF(AND($A2924=31,$AJ2924=41),"⑤短期","対象外")))))</f>
        <v/>
      </c>
      <c r="DC2924" s="0" t="str">
        <f aca="false">IF($A2924="","",IF($AB2924&amp;""=設定!$C$4,1,0))</f>
        <v/>
      </c>
    </row>
    <row r="2925" customFormat="false" ht="15" hidden="false" customHeight="false" outlineLevel="0" collapsed="false">
      <c r="DB2925" s="0" t="str">
        <f aca="false">IF($A2925="","",IF($AH2925=20,IF(AND(OR($A2925=21,$A2925=215),$AJ2925=10),"①病院一般",IF(AND($A2925=31,$AJ2925=41),"②病院短期","対象外")),IF($AJ2925=30,"③特定消防",IF(AND(OR($A2925=21,$A2925=215),$AJ2925=10),"④一般",IF(AND($A2925=31,$AJ2925=41),"⑤短期","対象外")))))</f>
        <v/>
      </c>
      <c r="DC2925" s="0" t="str">
        <f aca="false">IF($A2925="","",IF($AB2925&amp;""=設定!$C$4,1,0))</f>
        <v/>
      </c>
    </row>
    <row r="2926" customFormat="false" ht="15" hidden="false" customHeight="false" outlineLevel="0" collapsed="false">
      <c r="DB2926" s="0" t="str">
        <f aca="false">IF($A2926="","",IF($AH2926=20,IF(AND(OR($A2926=21,$A2926=215),$AJ2926=10),"①病院一般",IF(AND($A2926=31,$AJ2926=41),"②病院短期","対象外")),IF($AJ2926=30,"③特定消防",IF(AND(OR($A2926=21,$A2926=215),$AJ2926=10),"④一般",IF(AND($A2926=31,$AJ2926=41),"⑤短期","対象外")))))</f>
        <v/>
      </c>
      <c r="DC2926" s="0" t="str">
        <f aca="false">IF($A2926="","",IF($AB2926&amp;""=設定!$C$4,1,0))</f>
        <v/>
      </c>
    </row>
    <row r="2927" customFormat="false" ht="15" hidden="false" customHeight="false" outlineLevel="0" collapsed="false">
      <c r="DB2927" s="0" t="str">
        <f aca="false">IF($A2927="","",IF($AH2927=20,IF(AND(OR($A2927=21,$A2927=215),$AJ2927=10),"①病院一般",IF(AND($A2927=31,$AJ2927=41),"②病院短期","対象外")),IF($AJ2927=30,"③特定消防",IF(AND(OR($A2927=21,$A2927=215),$AJ2927=10),"④一般",IF(AND($A2927=31,$AJ2927=41),"⑤短期","対象外")))))</f>
        <v/>
      </c>
      <c r="DC2927" s="0" t="str">
        <f aca="false">IF($A2927="","",IF($AB2927&amp;""=設定!$C$4,1,0))</f>
        <v/>
      </c>
    </row>
    <row r="2928" customFormat="false" ht="15" hidden="false" customHeight="false" outlineLevel="0" collapsed="false">
      <c r="DB2928" s="0" t="str">
        <f aca="false">IF($A2928="","",IF($AH2928=20,IF(AND(OR($A2928=21,$A2928=215),$AJ2928=10),"①病院一般",IF(AND($A2928=31,$AJ2928=41),"②病院短期","対象外")),IF($AJ2928=30,"③特定消防",IF(AND(OR($A2928=21,$A2928=215),$AJ2928=10),"④一般",IF(AND($A2928=31,$AJ2928=41),"⑤短期","対象外")))))</f>
        <v/>
      </c>
      <c r="DC2928" s="0" t="str">
        <f aca="false">IF($A2928="","",IF($AB2928&amp;""=設定!$C$4,1,0))</f>
        <v/>
      </c>
    </row>
    <row r="2929" customFormat="false" ht="15" hidden="false" customHeight="false" outlineLevel="0" collapsed="false">
      <c r="DB2929" s="0" t="str">
        <f aca="false">IF($A2929="","",IF($AH2929=20,IF(AND(OR($A2929=21,$A2929=215),$AJ2929=10),"①病院一般",IF(AND($A2929=31,$AJ2929=41),"②病院短期","対象外")),IF($AJ2929=30,"③特定消防",IF(AND(OR($A2929=21,$A2929=215),$AJ2929=10),"④一般",IF(AND($A2929=31,$AJ2929=41),"⑤短期","対象外")))))</f>
        <v/>
      </c>
      <c r="DC2929" s="0" t="str">
        <f aca="false">IF($A2929="","",IF($AB2929&amp;""=設定!$C$4,1,0))</f>
        <v/>
      </c>
    </row>
    <row r="2930" customFormat="false" ht="15" hidden="false" customHeight="false" outlineLevel="0" collapsed="false">
      <c r="DB2930" s="0" t="str">
        <f aca="false">IF($A2930="","",IF($AH2930=20,IF(AND(OR($A2930=21,$A2930=215),$AJ2930=10),"①病院一般",IF(AND($A2930=31,$AJ2930=41),"②病院短期","対象外")),IF($AJ2930=30,"③特定消防",IF(AND(OR($A2930=21,$A2930=215),$AJ2930=10),"④一般",IF(AND($A2930=31,$AJ2930=41),"⑤短期","対象外")))))</f>
        <v/>
      </c>
      <c r="DC2930" s="0" t="str">
        <f aca="false">IF($A2930="","",IF($AB2930&amp;""=設定!$C$4,1,0))</f>
        <v/>
      </c>
    </row>
    <row r="2931" customFormat="false" ht="15" hidden="false" customHeight="false" outlineLevel="0" collapsed="false">
      <c r="DB2931" s="0" t="str">
        <f aca="false">IF($A2931="","",IF($AH2931=20,IF(AND(OR($A2931=21,$A2931=215),$AJ2931=10),"①病院一般",IF(AND($A2931=31,$AJ2931=41),"②病院短期","対象外")),IF($AJ2931=30,"③特定消防",IF(AND(OR($A2931=21,$A2931=215),$AJ2931=10),"④一般",IF(AND($A2931=31,$AJ2931=41),"⑤短期","対象外")))))</f>
        <v/>
      </c>
      <c r="DC2931" s="0" t="str">
        <f aca="false">IF($A2931="","",IF($AB2931&amp;""=設定!$C$4,1,0))</f>
        <v/>
      </c>
    </row>
    <row r="2932" customFormat="false" ht="15" hidden="false" customHeight="false" outlineLevel="0" collapsed="false">
      <c r="DB2932" s="0" t="str">
        <f aca="false">IF($A2932="","",IF($AH2932=20,IF(AND(OR($A2932=21,$A2932=215),$AJ2932=10),"①病院一般",IF(AND($A2932=31,$AJ2932=41),"②病院短期","対象外")),IF($AJ2932=30,"③特定消防",IF(AND(OR($A2932=21,$A2932=215),$AJ2932=10),"④一般",IF(AND($A2932=31,$AJ2932=41),"⑤短期","対象外")))))</f>
        <v/>
      </c>
      <c r="DC2932" s="0" t="str">
        <f aca="false">IF($A2932="","",IF($AB2932&amp;""=設定!$C$4,1,0))</f>
        <v/>
      </c>
    </row>
    <row r="2933" customFormat="false" ht="15" hidden="false" customHeight="false" outlineLevel="0" collapsed="false">
      <c r="DB2933" s="0" t="str">
        <f aca="false">IF($A2933="","",IF($AH2933=20,IF(AND(OR($A2933=21,$A2933=215),$AJ2933=10),"①病院一般",IF(AND($A2933=31,$AJ2933=41),"②病院短期","対象外")),IF($AJ2933=30,"③特定消防",IF(AND(OR($A2933=21,$A2933=215),$AJ2933=10),"④一般",IF(AND($A2933=31,$AJ2933=41),"⑤短期","対象外")))))</f>
        <v/>
      </c>
      <c r="DC2933" s="0" t="str">
        <f aca="false">IF($A2933="","",IF($AB2933&amp;""=設定!$C$4,1,0))</f>
        <v/>
      </c>
    </row>
    <row r="2934" customFormat="false" ht="15" hidden="false" customHeight="false" outlineLevel="0" collapsed="false">
      <c r="DB2934" s="0" t="str">
        <f aca="false">IF($A2934="","",IF($AH2934=20,IF(AND(OR($A2934=21,$A2934=215),$AJ2934=10),"①病院一般",IF(AND($A2934=31,$AJ2934=41),"②病院短期","対象外")),IF($AJ2934=30,"③特定消防",IF(AND(OR($A2934=21,$A2934=215),$AJ2934=10),"④一般",IF(AND($A2934=31,$AJ2934=41),"⑤短期","対象外")))))</f>
        <v/>
      </c>
      <c r="DC2934" s="0" t="str">
        <f aca="false">IF($A2934="","",IF($AB2934&amp;""=設定!$C$4,1,0))</f>
        <v/>
      </c>
    </row>
    <row r="2935" customFormat="false" ht="15" hidden="false" customHeight="false" outlineLevel="0" collapsed="false">
      <c r="DB2935" s="0" t="str">
        <f aca="false">IF($A2935="","",IF($AH2935=20,IF(AND(OR($A2935=21,$A2935=215),$AJ2935=10),"①病院一般",IF(AND($A2935=31,$AJ2935=41),"②病院短期","対象外")),IF($AJ2935=30,"③特定消防",IF(AND(OR($A2935=21,$A2935=215),$AJ2935=10),"④一般",IF(AND($A2935=31,$AJ2935=41),"⑤短期","対象外")))))</f>
        <v/>
      </c>
      <c r="DC2935" s="0" t="str">
        <f aca="false">IF($A2935="","",IF($AB2935&amp;""=設定!$C$4,1,0))</f>
        <v/>
      </c>
    </row>
    <row r="2936" customFormat="false" ht="15" hidden="false" customHeight="false" outlineLevel="0" collapsed="false">
      <c r="DB2936" s="0" t="str">
        <f aca="false">IF($A2936="","",IF($AH2936=20,IF(AND(OR($A2936=21,$A2936=215),$AJ2936=10),"①病院一般",IF(AND($A2936=31,$AJ2936=41),"②病院短期","対象外")),IF($AJ2936=30,"③特定消防",IF(AND(OR($A2936=21,$A2936=215),$AJ2936=10),"④一般",IF(AND($A2936=31,$AJ2936=41),"⑤短期","対象外")))))</f>
        <v/>
      </c>
      <c r="DC2936" s="0" t="str">
        <f aca="false">IF($A2936="","",IF($AB2936&amp;""=設定!$C$4,1,0))</f>
        <v/>
      </c>
    </row>
    <row r="2937" customFormat="false" ht="15" hidden="false" customHeight="false" outlineLevel="0" collapsed="false">
      <c r="DB2937" s="0" t="str">
        <f aca="false">IF($A2937="","",IF($AH2937=20,IF(AND(OR($A2937=21,$A2937=215),$AJ2937=10),"①病院一般",IF(AND($A2937=31,$AJ2937=41),"②病院短期","対象外")),IF($AJ2937=30,"③特定消防",IF(AND(OR($A2937=21,$A2937=215),$AJ2937=10),"④一般",IF(AND($A2937=31,$AJ2937=41),"⑤短期","対象外")))))</f>
        <v/>
      </c>
      <c r="DC2937" s="0" t="str">
        <f aca="false">IF($A2937="","",IF($AB2937&amp;""=設定!$C$4,1,0))</f>
        <v/>
      </c>
    </row>
    <row r="2938" customFormat="false" ht="15" hidden="false" customHeight="false" outlineLevel="0" collapsed="false">
      <c r="DB2938" s="0" t="str">
        <f aca="false">IF($A2938="","",IF($AH2938=20,IF(AND(OR($A2938=21,$A2938=215),$AJ2938=10),"①病院一般",IF(AND($A2938=31,$AJ2938=41),"②病院短期","対象外")),IF($AJ2938=30,"③特定消防",IF(AND(OR($A2938=21,$A2938=215),$AJ2938=10),"④一般",IF(AND($A2938=31,$AJ2938=41),"⑤短期","対象外")))))</f>
        <v/>
      </c>
      <c r="DC2938" s="0" t="str">
        <f aca="false">IF($A2938="","",IF($AB2938&amp;""=設定!$C$4,1,0))</f>
        <v/>
      </c>
    </row>
    <row r="2939" customFormat="false" ht="15" hidden="false" customHeight="false" outlineLevel="0" collapsed="false">
      <c r="DB2939" s="0" t="str">
        <f aca="false">IF($A2939="","",IF($AH2939=20,IF(AND(OR($A2939=21,$A2939=215),$AJ2939=10),"①病院一般",IF(AND($A2939=31,$AJ2939=41),"②病院短期","対象外")),IF($AJ2939=30,"③特定消防",IF(AND(OR($A2939=21,$A2939=215),$AJ2939=10),"④一般",IF(AND($A2939=31,$AJ2939=41),"⑤短期","対象外")))))</f>
        <v/>
      </c>
      <c r="DC2939" s="0" t="str">
        <f aca="false">IF($A2939="","",IF($AB2939&amp;""=設定!$C$4,1,0))</f>
        <v/>
      </c>
    </row>
    <row r="2940" customFormat="false" ht="15" hidden="false" customHeight="false" outlineLevel="0" collapsed="false">
      <c r="DB2940" s="0" t="str">
        <f aca="false">IF($A2940="","",IF($AH2940=20,IF(AND(OR($A2940=21,$A2940=215),$AJ2940=10),"①病院一般",IF(AND($A2940=31,$AJ2940=41),"②病院短期","対象外")),IF($AJ2940=30,"③特定消防",IF(AND(OR($A2940=21,$A2940=215),$AJ2940=10),"④一般",IF(AND($A2940=31,$AJ2940=41),"⑤短期","対象外")))))</f>
        <v/>
      </c>
      <c r="DC2940" s="0" t="str">
        <f aca="false">IF($A2940="","",IF($AB2940&amp;""=設定!$C$4,1,0))</f>
        <v/>
      </c>
    </row>
    <row r="2941" customFormat="false" ht="15" hidden="false" customHeight="false" outlineLevel="0" collapsed="false">
      <c r="DB2941" s="0" t="str">
        <f aca="false">IF($A2941="","",IF($AH2941=20,IF(AND(OR($A2941=21,$A2941=215),$AJ2941=10),"①病院一般",IF(AND($A2941=31,$AJ2941=41),"②病院短期","対象外")),IF($AJ2941=30,"③特定消防",IF(AND(OR($A2941=21,$A2941=215),$AJ2941=10),"④一般",IF(AND($A2941=31,$AJ2941=41),"⑤短期","対象外")))))</f>
        <v/>
      </c>
      <c r="DC2941" s="0" t="str">
        <f aca="false">IF($A2941="","",IF($AB2941&amp;""=設定!$C$4,1,0))</f>
        <v/>
      </c>
    </row>
    <row r="2942" customFormat="false" ht="15" hidden="false" customHeight="false" outlineLevel="0" collapsed="false">
      <c r="DB2942" s="0" t="str">
        <f aca="false">IF($A2942="","",IF($AH2942=20,IF(AND(OR($A2942=21,$A2942=215),$AJ2942=10),"①病院一般",IF(AND($A2942=31,$AJ2942=41),"②病院短期","対象外")),IF($AJ2942=30,"③特定消防",IF(AND(OR($A2942=21,$A2942=215),$AJ2942=10),"④一般",IF(AND($A2942=31,$AJ2942=41),"⑤短期","対象外")))))</f>
        <v/>
      </c>
      <c r="DC2942" s="0" t="str">
        <f aca="false">IF($A2942="","",IF($AB2942&amp;""=設定!$C$4,1,0))</f>
        <v/>
      </c>
    </row>
    <row r="2943" customFormat="false" ht="15" hidden="false" customHeight="false" outlineLevel="0" collapsed="false">
      <c r="DB2943" s="0" t="str">
        <f aca="false">IF($A2943="","",IF($AH2943=20,IF(AND(OR($A2943=21,$A2943=215),$AJ2943=10),"①病院一般",IF(AND($A2943=31,$AJ2943=41),"②病院短期","対象外")),IF($AJ2943=30,"③特定消防",IF(AND(OR($A2943=21,$A2943=215),$AJ2943=10),"④一般",IF(AND($A2943=31,$AJ2943=41),"⑤短期","対象外")))))</f>
        <v/>
      </c>
      <c r="DC2943" s="0" t="str">
        <f aca="false">IF($A2943="","",IF($AB2943&amp;""=設定!$C$4,1,0))</f>
        <v/>
      </c>
    </row>
    <row r="2944" customFormat="false" ht="15" hidden="false" customHeight="false" outlineLevel="0" collapsed="false">
      <c r="DB2944" s="0" t="str">
        <f aca="false">IF($A2944="","",IF($AH2944=20,IF(AND(OR($A2944=21,$A2944=215),$AJ2944=10),"①病院一般",IF(AND($A2944=31,$AJ2944=41),"②病院短期","対象外")),IF($AJ2944=30,"③特定消防",IF(AND(OR($A2944=21,$A2944=215),$AJ2944=10),"④一般",IF(AND($A2944=31,$AJ2944=41),"⑤短期","対象外")))))</f>
        <v/>
      </c>
      <c r="DC2944" s="0" t="str">
        <f aca="false">IF($A2944="","",IF($AB2944&amp;""=設定!$C$4,1,0))</f>
        <v/>
      </c>
    </row>
    <row r="2945" customFormat="false" ht="15" hidden="false" customHeight="false" outlineLevel="0" collapsed="false">
      <c r="DB2945" s="0" t="str">
        <f aca="false">IF($A2945="","",IF($AH2945=20,IF(AND(OR($A2945=21,$A2945=215),$AJ2945=10),"①病院一般",IF(AND($A2945=31,$AJ2945=41),"②病院短期","対象外")),IF($AJ2945=30,"③特定消防",IF(AND(OR($A2945=21,$A2945=215),$AJ2945=10),"④一般",IF(AND($A2945=31,$AJ2945=41),"⑤短期","対象外")))))</f>
        <v/>
      </c>
      <c r="DC2945" s="0" t="str">
        <f aca="false">IF($A2945="","",IF($AB2945&amp;""=設定!$C$4,1,0))</f>
        <v/>
      </c>
    </row>
    <row r="2946" customFormat="false" ht="15" hidden="false" customHeight="false" outlineLevel="0" collapsed="false">
      <c r="DB2946" s="0" t="str">
        <f aca="false">IF($A2946="","",IF($AH2946=20,IF(AND(OR($A2946=21,$A2946=215),$AJ2946=10),"①病院一般",IF(AND($A2946=31,$AJ2946=41),"②病院短期","対象外")),IF($AJ2946=30,"③特定消防",IF(AND(OR($A2946=21,$A2946=215),$AJ2946=10),"④一般",IF(AND($A2946=31,$AJ2946=41),"⑤短期","対象外")))))</f>
        <v/>
      </c>
      <c r="DC2946" s="0" t="str">
        <f aca="false">IF($A2946="","",IF($AB2946&amp;""=設定!$C$4,1,0))</f>
        <v/>
      </c>
    </row>
    <row r="2947" customFormat="false" ht="15" hidden="false" customHeight="false" outlineLevel="0" collapsed="false">
      <c r="DB2947" s="0" t="str">
        <f aca="false">IF($A2947="","",IF($AH2947=20,IF(AND(OR($A2947=21,$A2947=215),$AJ2947=10),"①病院一般",IF(AND($A2947=31,$AJ2947=41),"②病院短期","対象外")),IF($AJ2947=30,"③特定消防",IF(AND(OR($A2947=21,$A2947=215),$AJ2947=10),"④一般",IF(AND($A2947=31,$AJ2947=41),"⑤短期","対象外")))))</f>
        <v/>
      </c>
      <c r="DC2947" s="0" t="str">
        <f aca="false">IF($A2947="","",IF($AB2947&amp;""=設定!$C$4,1,0))</f>
        <v/>
      </c>
    </row>
    <row r="2948" customFormat="false" ht="15" hidden="false" customHeight="false" outlineLevel="0" collapsed="false">
      <c r="DB2948" s="0" t="str">
        <f aca="false">IF($A2948="","",IF($AH2948=20,IF(AND(OR($A2948=21,$A2948=215),$AJ2948=10),"①病院一般",IF(AND($A2948=31,$AJ2948=41),"②病院短期","対象外")),IF($AJ2948=30,"③特定消防",IF(AND(OR($A2948=21,$A2948=215),$AJ2948=10),"④一般",IF(AND($A2948=31,$AJ2948=41),"⑤短期","対象外")))))</f>
        <v/>
      </c>
      <c r="DC2948" s="0" t="str">
        <f aca="false">IF($A2948="","",IF($AB2948&amp;""=設定!$C$4,1,0))</f>
        <v/>
      </c>
    </row>
    <row r="2949" customFormat="false" ht="15" hidden="false" customHeight="false" outlineLevel="0" collapsed="false">
      <c r="DB2949" s="0" t="str">
        <f aca="false">IF($A2949="","",IF($AH2949=20,IF(AND(OR($A2949=21,$A2949=215),$AJ2949=10),"①病院一般",IF(AND($A2949=31,$AJ2949=41),"②病院短期","対象外")),IF($AJ2949=30,"③特定消防",IF(AND(OR($A2949=21,$A2949=215),$AJ2949=10),"④一般",IF(AND($A2949=31,$AJ2949=41),"⑤短期","対象外")))))</f>
        <v/>
      </c>
      <c r="DC2949" s="0" t="str">
        <f aca="false">IF($A2949="","",IF($AB2949&amp;""=設定!$C$4,1,0))</f>
        <v/>
      </c>
    </row>
    <row r="2950" customFormat="false" ht="15" hidden="false" customHeight="false" outlineLevel="0" collapsed="false">
      <c r="DB2950" s="0" t="str">
        <f aca="false">IF($A2950="","",IF($AH2950=20,IF(AND(OR($A2950=21,$A2950=215),$AJ2950=10),"①病院一般",IF(AND($A2950=31,$AJ2950=41),"②病院短期","対象外")),IF($AJ2950=30,"③特定消防",IF(AND(OR($A2950=21,$A2950=215),$AJ2950=10),"④一般",IF(AND($A2950=31,$AJ2950=41),"⑤短期","対象外")))))</f>
        <v/>
      </c>
      <c r="DC2950" s="0" t="str">
        <f aca="false">IF($A2950="","",IF($AB2950&amp;""=設定!$C$4,1,0))</f>
        <v/>
      </c>
    </row>
    <row r="2951" customFormat="false" ht="15" hidden="false" customHeight="false" outlineLevel="0" collapsed="false">
      <c r="DB2951" s="0" t="str">
        <f aca="false">IF($A2951="","",IF($AH2951=20,IF(AND(OR($A2951=21,$A2951=215),$AJ2951=10),"①病院一般",IF(AND($A2951=31,$AJ2951=41),"②病院短期","対象外")),IF($AJ2951=30,"③特定消防",IF(AND(OR($A2951=21,$A2951=215),$AJ2951=10),"④一般",IF(AND($A2951=31,$AJ2951=41),"⑤短期","対象外")))))</f>
        <v/>
      </c>
      <c r="DC2951" s="0" t="str">
        <f aca="false">IF($A2951="","",IF($AB2951&amp;""=設定!$C$4,1,0))</f>
        <v/>
      </c>
    </row>
    <row r="2952" customFormat="false" ht="15" hidden="false" customHeight="false" outlineLevel="0" collapsed="false">
      <c r="DB2952" s="0" t="str">
        <f aca="false">IF($A2952="","",IF($AH2952=20,IF(AND(OR($A2952=21,$A2952=215),$AJ2952=10),"①病院一般",IF(AND($A2952=31,$AJ2952=41),"②病院短期","対象外")),IF($AJ2952=30,"③特定消防",IF(AND(OR($A2952=21,$A2952=215),$AJ2952=10),"④一般",IF(AND($A2952=31,$AJ2952=41),"⑤短期","対象外")))))</f>
        <v/>
      </c>
      <c r="DC2952" s="0" t="str">
        <f aca="false">IF($A2952="","",IF($AB2952&amp;""=設定!$C$4,1,0))</f>
        <v/>
      </c>
    </row>
    <row r="2953" customFormat="false" ht="15" hidden="false" customHeight="false" outlineLevel="0" collapsed="false">
      <c r="DB2953" s="0" t="str">
        <f aca="false">IF($A2953="","",IF($AH2953=20,IF(AND(OR($A2953=21,$A2953=215),$AJ2953=10),"①病院一般",IF(AND($A2953=31,$AJ2953=41),"②病院短期","対象外")),IF($AJ2953=30,"③特定消防",IF(AND(OR($A2953=21,$A2953=215),$AJ2953=10),"④一般",IF(AND($A2953=31,$AJ2953=41),"⑤短期","対象外")))))</f>
        <v/>
      </c>
      <c r="DC2953" s="0" t="str">
        <f aca="false">IF($A2953="","",IF($AB2953&amp;""=設定!$C$4,1,0))</f>
        <v/>
      </c>
    </row>
    <row r="2954" customFormat="false" ht="15" hidden="false" customHeight="false" outlineLevel="0" collapsed="false">
      <c r="DB2954" s="0" t="str">
        <f aca="false">IF($A2954="","",IF($AH2954=20,IF(AND(OR($A2954=21,$A2954=215),$AJ2954=10),"①病院一般",IF(AND($A2954=31,$AJ2954=41),"②病院短期","対象外")),IF($AJ2954=30,"③特定消防",IF(AND(OR($A2954=21,$A2954=215),$AJ2954=10),"④一般",IF(AND($A2954=31,$AJ2954=41),"⑤短期","対象外")))))</f>
        <v/>
      </c>
      <c r="DC2954" s="0" t="str">
        <f aca="false">IF($A2954="","",IF($AB2954&amp;""=設定!$C$4,1,0))</f>
        <v/>
      </c>
    </row>
    <row r="2955" customFormat="false" ht="15" hidden="false" customHeight="false" outlineLevel="0" collapsed="false">
      <c r="DB2955" s="0" t="str">
        <f aca="false">IF($A2955="","",IF($AH2955=20,IF(AND(OR($A2955=21,$A2955=215),$AJ2955=10),"①病院一般",IF(AND($A2955=31,$AJ2955=41),"②病院短期","対象外")),IF($AJ2955=30,"③特定消防",IF(AND(OR($A2955=21,$A2955=215),$AJ2955=10),"④一般",IF(AND($A2955=31,$AJ2955=41),"⑤短期","対象外")))))</f>
        <v/>
      </c>
      <c r="DC2955" s="0" t="str">
        <f aca="false">IF($A2955="","",IF($AB2955&amp;""=設定!$C$4,1,0))</f>
        <v/>
      </c>
    </row>
    <row r="2956" customFormat="false" ht="15" hidden="false" customHeight="false" outlineLevel="0" collapsed="false">
      <c r="DB2956" s="0" t="str">
        <f aca="false">IF($A2956="","",IF($AH2956=20,IF(AND(OR($A2956=21,$A2956=215),$AJ2956=10),"①病院一般",IF(AND($A2956=31,$AJ2956=41),"②病院短期","対象外")),IF($AJ2956=30,"③特定消防",IF(AND(OR($A2956=21,$A2956=215),$AJ2956=10),"④一般",IF(AND($A2956=31,$AJ2956=41),"⑤短期","対象外")))))</f>
        <v/>
      </c>
      <c r="DC2956" s="0" t="str">
        <f aca="false">IF($A2956="","",IF($AB2956&amp;""=設定!$C$4,1,0))</f>
        <v/>
      </c>
    </row>
    <row r="2957" customFormat="false" ht="15" hidden="false" customHeight="false" outlineLevel="0" collapsed="false">
      <c r="DB2957" s="0" t="str">
        <f aca="false">IF($A2957="","",IF($AH2957=20,IF(AND(OR($A2957=21,$A2957=215),$AJ2957=10),"①病院一般",IF(AND($A2957=31,$AJ2957=41),"②病院短期","対象外")),IF($AJ2957=30,"③特定消防",IF(AND(OR($A2957=21,$A2957=215),$AJ2957=10),"④一般",IF(AND($A2957=31,$AJ2957=41),"⑤短期","対象外")))))</f>
        <v/>
      </c>
      <c r="DC2957" s="0" t="str">
        <f aca="false">IF($A2957="","",IF($AB2957&amp;""=設定!$C$4,1,0))</f>
        <v/>
      </c>
    </row>
    <row r="2958" customFormat="false" ht="15" hidden="false" customHeight="false" outlineLevel="0" collapsed="false">
      <c r="DB2958" s="0" t="str">
        <f aca="false">IF($A2958="","",IF($AH2958=20,IF(AND(OR($A2958=21,$A2958=215),$AJ2958=10),"①病院一般",IF(AND($A2958=31,$AJ2958=41),"②病院短期","対象外")),IF($AJ2958=30,"③特定消防",IF(AND(OR($A2958=21,$A2958=215),$AJ2958=10),"④一般",IF(AND($A2958=31,$AJ2958=41),"⑤短期","対象外")))))</f>
        <v/>
      </c>
      <c r="DC2958" s="0" t="str">
        <f aca="false">IF($A2958="","",IF($AB2958&amp;""=設定!$C$4,1,0))</f>
        <v/>
      </c>
    </row>
    <row r="2959" customFormat="false" ht="15" hidden="false" customHeight="false" outlineLevel="0" collapsed="false">
      <c r="DB2959" s="0" t="str">
        <f aca="false">IF($A2959="","",IF($AH2959=20,IF(AND(OR($A2959=21,$A2959=215),$AJ2959=10),"①病院一般",IF(AND($A2959=31,$AJ2959=41),"②病院短期","対象外")),IF($AJ2959=30,"③特定消防",IF(AND(OR($A2959=21,$A2959=215),$AJ2959=10),"④一般",IF(AND($A2959=31,$AJ2959=41),"⑤短期","対象外")))))</f>
        <v/>
      </c>
      <c r="DC2959" s="0" t="str">
        <f aca="false">IF($A2959="","",IF($AB2959&amp;""=設定!$C$4,1,0))</f>
        <v/>
      </c>
    </row>
    <row r="2960" customFormat="false" ht="15" hidden="false" customHeight="false" outlineLevel="0" collapsed="false">
      <c r="DB2960" s="0" t="str">
        <f aca="false">IF($A2960="","",IF($AH2960=20,IF(AND(OR($A2960=21,$A2960=215),$AJ2960=10),"①病院一般",IF(AND($A2960=31,$AJ2960=41),"②病院短期","対象外")),IF($AJ2960=30,"③特定消防",IF(AND(OR($A2960=21,$A2960=215),$AJ2960=10),"④一般",IF(AND($A2960=31,$AJ2960=41),"⑤短期","対象外")))))</f>
        <v/>
      </c>
      <c r="DC2960" s="0" t="str">
        <f aca="false">IF($A2960="","",IF($AB2960&amp;""=設定!$C$4,1,0))</f>
        <v/>
      </c>
    </row>
    <row r="2961" customFormat="false" ht="15" hidden="false" customHeight="false" outlineLevel="0" collapsed="false">
      <c r="DB2961" s="0" t="str">
        <f aca="false">IF($A2961="","",IF($AH2961=20,IF(AND(OR($A2961=21,$A2961=215),$AJ2961=10),"①病院一般",IF(AND($A2961=31,$AJ2961=41),"②病院短期","対象外")),IF($AJ2961=30,"③特定消防",IF(AND(OR($A2961=21,$A2961=215),$AJ2961=10),"④一般",IF(AND($A2961=31,$AJ2961=41),"⑤短期","対象外")))))</f>
        <v/>
      </c>
      <c r="DC2961" s="0" t="str">
        <f aca="false">IF($A2961="","",IF($AB2961&amp;""=設定!$C$4,1,0))</f>
        <v/>
      </c>
    </row>
    <row r="2962" customFormat="false" ht="15" hidden="false" customHeight="false" outlineLevel="0" collapsed="false">
      <c r="DB2962" s="0" t="str">
        <f aca="false">IF($A2962="","",IF($AH2962=20,IF(AND(OR($A2962=21,$A2962=215),$AJ2962=10),"①病院一般",IF(AND($A2962=31,$AJ2962=41),"②病院短期","対象外")),IF($AJ2962=30,"③特定消防",IF(AND(OR($A2962=21,$A2962=215),$AJ2962=10),"④一般",IF(AND($A2962=31,$AJ2962=41),"⑤短期","対象外")))))</f>
        <v/>
      </c>
      <c r="DC2962" s="0" t="str">
        <f aca="false">IF($A2962="","",IF($AB2962&amp;""=設定!$C$4,1,0))</f>
        <v/>
      </c>
    </row>
    <row r="2963" customFormat="false" ht="15" hidden="false" customHeight="false" outlineLevel="0" collapsed="false">
      <c r="DB2963" s="0" t="str">
        <f aca="false">IF($A2963="","",IF($AH2963=20,IF(AND(OR($A2963=21,$A2963=215),$AJ2963=10),"①病院一般",IF(AND($A2963=31,$AJ2963=41),"②病院短期","対象外")),IF($AJ2963=30,"③特定消防",IF(AND(OR($A2963=21,$A2963=215),$AJ2963=10),"④一般",IF(AND($A2963=31,$AJ2963=41),"⑤短期","対象外")))))</f>
        <v/>
      </c>
      <c r="DC2963" s="0" t="str">
        <f aca="false">IF($A2963="","",IF($AB2963&amp;""=設定!$C$4,1,0))</f>
        <v/>
      </c>
    </row>
    <row r="2964" customFormat="false" ht="15" hidden="false" customHeight="false" outlineLevel="0" collapsed="false">
      <c r="DB2964" s="0" t="str">
        <f aca="false">IF($A2964="","",IF($AH2964=20,IF(AND(OR($A2964=21,$A2964=215),$AJ2964=10),"①病院一般",IF(AND($A2964=31,$AJ2964=41),"②病院短期","対象外")),IF($AJ2964=30,"③特定消防",IF(AND(OR($A2964=21,$A2964=215),$AJ2964=10),"④一般",IF(AND($A2964=31,$AJ2964=41),"⑤短期","対象外")))))</f>
        <v/>
      </c>
      <c r="DC2964" s="0" t="str">
        <f aca="false">IF($A2964="","",IF($AB2964&amp;""=設定!$C$4,1,0))</f>
        <v/>
      </c>
    </row>
    <row r="2965" customFormat="false" ht="15" hidden="false" customHeight="false" outlineLevel="0" collapsed="false">
      <c r="DB2965" s="0" t="str">
        <f aca="false">IF($A2965="","",IF($AH2965=20,IF(AND(OR($A2965=21,$A2965=215),$AJ2965=10),"①病院一般",IF(AND($A2965=31,$AJ2965=41),"②病院短期","対象外")),IF($AJ2965=30,"③特定消防",IF(AND(OR($A2965=21,$A2965=215),$AJ2965=10),"④一般",IF(AND($A2965=31,$AJ2965=41),"⑤短期","対象外")))))</f>
        <v/>
      </c>
      <c r="DC2965" s="0" t="str">
        <f aca="false">IF($A2965="","",IF($AB2965&amp;""=設定!$C$4,1,0))</f>
        <v/>
      </c>
    </row>
    <row r="2966" customFormat="false" ht="15" hidden="false" customHeight="false" outlineLevel="0" collapsed="false">
      <c r="DB2966" s="0" t="str">
        <f aca="false">IF($A2966="","",IF($AH2966=20,IF(AND(OR($A2966=21,$A2966=215),$AJ2966=10),"①病院一般",IF(AND($A2966=31,$AJ2966=41),"②病院短期","対象外")),IF($AJ2966=30,"③特定消防",IF(AND(OR($A2966=21,$A2966=215),$AJ2966=10),"④一般",IF(AND($A2966=31,$AJ2966=41),"⑤短期","対象外")))))</f>
        <v/>
      </c>
      <c r="DC2966" s="0" t="str">
        <f aca="false">IF($A2966="","",IF($AB2966&amp;""=設定!$C$4,1,0))</f>
        <v/>
      </c>
    </row>
    <row r="2967" customFormat="false" ht="15" hidden="false" customHeight="false" outlineLevel="0" collapsed="false">
      <c r="DB2967" s="0" t="str">
        <f aca="false">IF($A2967="","",IF($AH2967=20,IF(AND(OR($A2967=21,$A2967=215),$AJ2967=10),"①病院一般",IF(AND($A2967=31,$AJ2967=41),"②病院短期","対象外")),IF($AJ2967=30,"③特定消防",IF(AND(OR($A2967=21,$A2967=215),$AJ2967=10),"④一般",IF(AND($A2967=31,$AJ2967=41),"⑤短期","対象外")))))</f>
        <v/>
      </c>
      <c r="DC2967" s="0" t="str">
        <f aca="false">IF($A2967="","",IF($AB2967&amp;""=設定!$C$4,1,0))</f>
        <v/>
      </c>
    </row>
    <row r="2968" customFormat="false" ht="15" hidden="false" customHeight="false" outlineLevel="0" collapsed="false">
      <c r="DB2968" s="0" t="str">
        <f aca="false">IF($A2968="","",IF($AH2968=20,IF(AND(OR($A2968=21,$A2968=215),$AJ2968=10),"①病院一般",IF(AND($A2968=31,$AJ2968=41),"②病院短期","対象外")),IF($AJ2968=30,"③特定消防",IF(AND(OR($A2968=21,$A2968=215),$AJ2968=10),"④一般",IF(AND($A2968=31,$AJ2968=41),"⑤短期","対象外")))))</f>
        <v/>
      </c>
      <c r="DC2968" s="0" t="str">
        <f aca="false">IF($A2968="","",IF($AB2968&amp;""=設定!$C$4,1,0))</f>
        <v/>
      </c>
    </row>
    <row r="2969" customFormat="false" ht="15" hidden="false" customHeight="false" outlineLevel="0" collapsed="false">
      <c r="DB2969" s="0" t="str">
        <f aca="false">IF($A2969="","",IF($AH2969=20,IF(AND(OR($A2969=21,$A2969=215),$AJ2969=10),"①病院一般",IF(AND($A2969=31,$AJ2969=41),"②病院短期","対象外")),IF($AJ2969=30,"③特定消防",IF(AND(OR($A2969=21,$A2969=215),$AJ2969=10),"④一般",IF(AND($A2969=31,$AJ2969=41),"⑤短期","対象外")))))</f>
        <v/>
      </c>
      <c r="DC2969" s="0" t="str">
        <f aca="false">IF($A2969="","",IF($AB2969&amp;""=設定!$C$4,1,0))</f>
        <v/>
      </c>
    </row>
    <row r="2970" customFormat="false" ht="15" hidden="false" customHeight="false" outlineLevel="0" collapsed="false">
      <c r="DB2970" s="0" t="str">
        <f aca="false">IF($A2970="","",IF($AH2970=20,IF(AND(OR($A2970=21,$A2970=215),$AJ2970=10),"①病院一般",IF(AND($A2970=31,$AJ2970=41),"②病院短期","対象外")),IF($AJ2970=30,"③特定消防",IF(AND(OR($A2970=21,$A2970=215),$AJ2970=10),"④一般",IF(AND($A2970=31,$AJ2970=41),"⑤短期","対象外")))))</f>
        <v/>
      </c>
      <c r="DC2970" s="0" t="str">
        <f aca="false">IF($A2970="","",IF($AB2970&amp;""=設定!$C$4,1,0))</f>
        <v/>
      </c>
    </row>
    <row r="2971" customFormat="false" ht="15" hidden="false" customHeight="false" outlineLevel="0" collapsed="false">
      <c r="DB2971" s="0" t="str">
        <f aca="false">IF($A2971="","",IF($AH2971=20,IF(AND(OR($A2971=21,$A2971=215),$AJ2971=10),"①病院一般",IF(AND($A2971=31,$AJ2971=41),"②病院短期","対象外")),IF($AJ2971=30,"③特定消防",IF(AND(OR($A2971=21,$A2971=215),$AJ2971=10),"④一般",IF(AND($A2971=31,$AJ2971=41),"⑤短期","対象外")))))</f>
        <v/>
      </c>
      <c r="DC2971" s="0" t="str">
        <f aca="false">IF($A2971="","",IF($AB2971&amp;""=設定!$C$4,1,0))</f>
        <v/>
      </c>
    </row>
    <row r="2972" customFormat="false" ht="15" hidden="false" customHeight="false" outlineLevel="0" collapsed="false">
      <c r="DB2972" s="0" t="str">
        <f aca="false">IF($A2972="","",IF($AH2972=20,IF(AND(OR($A2972=21,$A2972=215),$AJ2972=10),"①病院一般",IF(AND($A2972=31,$AJ2972=41),"②病院短期","対象外")),IF($AJ2972=30,"③特定消防",IF(AND(OR($A2972=21,$A2972=215),$AJ2972=10),"④一般",IF(AND($A2972=31,$AJ2972=41),"⑤短期","対象外")))))</f>
        <v/>
      </c>
      <c r="DC2972" s="0" t="str">
        <f aca="false">IF($A2972="","",IF($AB2972&amp;""=設定!$C$4,1,0))</f>
        <v/>
      </c>
    </row>
    <row r="2973" customFormat="false" ht="15" hidden="false" customHeight="false" outlineLevel="0" collapsed="false">
      <c r="DB2973" s="0" t="str">
        <f aca="false">IF($A2973="","",IF($AH2973=20,IF(AND(OR($A2973=21,$A2973=215),$AJ2973=10),"①病院一般",IF(AND($A2973=31,$AJ2973=41),"②病院短期","対象外")),IF($AJ2973=30,"③特定消防",IF(AND(OR($A2973=21,$A2973=215),$AJ2973=10),"④一般",IF(AND($A2973=31,$AJ2973=41),"⑤短期","対象外")))))</f>
        <v/>
      </c>
      <c r="DC2973" s="0" t="str">
        <f aca="false">IF($A2973="","",IF($AB2973&amp;""=設定!$C$4,1,0))</f>
        <v/>
      </c>
    </row>
    <row r="2974" customFormat="false" ht="15" hidden="false" customHeight="false" outlineLevel="0" collapsed="false">
      <c r="DB2974" s="0" t="str">
        <f aca="false">IF($A2974="","",IF($AH2974=20,IF(AND(OR($A2974=21,$A2974=215),$AJ2974=10),"①病院一般",IF(AND($A2974=31,$AJ2974=41),"②病院短期","対象外")),IF($AJ2974=30,"③特定消防",IF(AND(OR($A2974=21,$A2974=215),$AJ2974=10),"④一般",IF(AND($A2974=31,$AJ2974=41),"⑤短期","対象外")))))</f>
        <v/>
      </c>
      <c r="DC2974" s="0" t="str">
        <f aca="false">IF($A2974="","",IF($AB2974&amp;""=設定!$C$4,1,0))</f>
        <v/>
      </c>
    </row>
    <row r="2975" customFormat="false" ht="15" hidden="false" customHeight="false" outlineLevel="0" collapsed="false">
      <c r="DB2975" s="0" t="str">
        <f aca="false">IF($A2975="","",IF($AH2975=20,IF(AND(OR($A2975=21,$A2975=215),$AJ2975=10),"①病院一般",IF(AND($A2975=31,$AJ2975=41),"②病院短期","対象外")),IF($AJ2975=30,"③特定消防",IF(AND(OR($A2975=21,$A2975=215),$AJ2975=10),"④一般",IF(AND($A2975=31,$AJ2975=41),"⑤短期","対象外")))))</f>
        <v/>
      </c>
      <c r="DC2975" s="0" t="str">
        <f aca="false">IF($A2975="","",IF($AB2975&amp;""=設定!$C$4,1,0))</f>
        <v/>
      </c>
    </row>
    <row r="2976" customFormat="false" ht="15" hidden="false" customHeight="false" outlineLevel="0" collapsed="false">
      <c r="DB2976" s="0" t="str">
        <f aca="false">IF($A2976="","",IF($AH2976=20,IF(AND(OR($A2976=21,$A2976=215),$AJ2976=10),"①病院一般",IF(AND($A2976=31,$AJ2976=41),"②病院短期","対象外")),IF($AJ2976=30,"③特定消防",IF(AND(OR($A2976=21,$A2976=215),$AJ2976=10),"④一般",IF(AND($A2976=31,$AJ2976=41),"⑤短期","対象外")))))</f>
        <v/>
      </c>
      <c r="DC2976" s="0" t="str">
        <f aca="false">IF($A2976="","",IF($AB2976&amp;""=設定!$C$4,1,0))</f>
        <v/>
      </c>
    </row>
    <row r="2977" customFormat="false" ht="15" hidden="false" customHeight="false" outlineLevel="0" collapsed="false">
      <c r="DB2977" s="0" t="str">
        <f aca="false">IF($A2977="","",IF($AH2977=20,IF(AND(OR($A2977=21,$A2977=215),$AJ2977=10),"①病院一般",IF(AND($A2977=31,$AJ2977=41),"②病院短期","対象外")),IF($AJ2977=30,"③特定消防",IF(AND(OR($A2977=21,$A2977=215),$AJ2977=10),"④一般",IF(AND($A2977=31,$AJ2977=41),"⑤短期","対象外")))))</f>
        <v/>
      </c>
      <c r="DC2977" s="0" t="str">
        <f aca="false">IF($A2977="","",IF($AB2977&amp;""=設定!$C$4,1,0))</f>
        <v/>
      </c>
    </row>
    <row r="2978" customFormat="false" ht="15" hidden="false" customHeight="false" outlineLevel="0" collapsed="false">
      <c r="DB2978" s="0" t="str">
        <f aca="false">IF($A2978="","",IF($AH2978=20,IF(AND(OR($A2978=21,$A2978=215),$AJ2978=10),"①病院一般",IF(AND($A2978=31,$AJ2978=41),"②病院短期","対象外")),IF($AJ2978=30,"③特定消防",IF(AND(OR($A2978=21,$A2978=215),$AJ2978=10),"④一般",IF(AND($A2978=31,$AJ2978=41),"⑤短期","対象外")))))</f>
        <v/>
      </c>
      <c r="DC2978" s="0" t="str">
        <f aca="false">IF($A2978="","",IF($AB2978&amp;""=設定!$C$4,1,0))</f>
        <v/>
      </c>
    </row>
    <row r="2979" customFormat="false" ht="15" hidden="false" customHeight="false" outlineLevel="0" collapsed="false">
      <c r="DB2979" s="0" t="str">
        <f aca="false">IF($A2979="","",IF($AH2979=20,IF(AND(OR($A2979=21,$A2979=215),$AJ2979=10),"①病院一般",IF(AND($A2979=31,$AJ2979=41),"②病院短期","対象外")),IF($AJ2979=30,"③特定消防",IF(AND(OR($A2979=21,$A2979=215),$AJ2979=10),"④一般",IF(AND($A2979=31,$AJ2979=41),"⑤短期","対象外")))))</f>
        <v/>
      </c>
      <c r="DC2979" s="0" t="str">
        <f aca="false">IF($A2979="","",IF($AB2979&amp;""=設定!$C$4,1,0))</f>
        <v/>
      </c>
    </row>
    <row r="2980" customFormat="false" ht="15" hidden="false" customHeight="false" outlineLevel="0" collapsed="false">
      <c r="DB2980" s="0" t="str">
        <f aca="false">IF($A2980="","",IF($AH2980=20,IF(AND(OR($A2980=21,$A2980=215),$AJ2980=10),"①病院一般",IF(AND($A2980=31,$AJ2980=41),"②病院短期","対象外")),IF($AJ2980=30,"③特定消防",IF(AND(OR($A2980=21,$A2980=215),$AJ2980=10),"④一般",IF(AND($A2980=31,$AJ2980=41),"⑤短期","対象外")))))</f>
        <v/>
      </c>
      <c r="DC2980" s="0" t="str">
        <f aca="false">IF($A2980="","",IF($AB2980&amp;""=設定!$C$4,1,0))</f>
        <v/>
      </c>
    </row>
    <row r="2981" customFormat="false" ht="15" hidden="false" customHeight="false" outlineLevel="0" collapsed="false">
      <c r="DB2981" s="0" t="str">
        <f aca="false">IF($A2981="","",IF($AH2981=20,IF(AND(OR($A2981=21,$A2981=215),$AJ2981=10),"①病院一般",IF(AND($A2981=31,$AJ2981=41),"②病院短期","対象外")),IF($AJ2981=30,"③特定消防",IF(AND(OR($A2981=21,$A2981=215),$AJ2981=10),"④一般",IF(AND($A2981=31,$AJ2981=41),"⑤短期","対象外")))))</f>
        <v/>
      </c>
      <c r="DC2981" s="0" t="str">
        <f aca="false">IF($A2981="","",IF($AB2981&amp;""=設定!$C$4,1,0))</f>
        <v/>
      </c>
    </row>
    <row r="2982" customFormat="false" ht="15" hidden="false" customHeight="false" outlineLevel="0" collapsed="false">
      <c r="DB2982" s="0" t="str">
        <f aca="false">IF($A2982="","",IF($AH2982=20,IF(AND(OR($A2982=21,$A2982=215),$AJ2982=10),"①病院一般",IF(AND($A2982=31,$AJ2982=41),"②病院短期","対象外")),IF($AJ2982=30,"③特定消防",IF(AND(OR($A2982=21,$A2982=215),$AJ2982=10),"④一般",IF(AND($A2982=31,$AJ2982=41),"⑤短期","対象外")))))</f>
        <v/>
      </c>
      <c r="DC2982" s="0" t="str">
        <f aca="false">IF($A2982="","",IF($AB2982&amp;""=設定!$C$4,1,0))</f>
        <v/>
      </c>
    </row>
    <row r="2983" customFormat="false" ht="15" hidden="false" customHeight="false" outlineLevel="0" collapsed="false">
      <c r="DB2983" s="0" t="str">
        <f aca="false">IF($A2983="","",IF($AH2983=20,IF(AND(OR($A2983=21,$A2983=215),$AJ2983=10),"①病院一般",IF(AND($A2983=31,$AJ2983=41),"②病院短期","対象外")),IF($AJ2983=30,"③特定消防",IF(AND(OR($A2983=21,$A2983=215),$AJ2983=10),"④一般",IF(AND($A2983=31,$AJ2983=41),"⑤短期","対象外")))))</f>
        <v/>
      </c>
      <c r="DC2983" s="0" t="str">
        <f aca="false">IF($A2983="","",IF($AB2983&amp;""=設定!$C$4,1,0))</f>
        <v/>
      </c>
    </row>
    <row r="2984" customFormat="false" ht="15" hidden="false" customHeight="false" outlineLevel="0" collapsed="false">
      <c r="DB2984" s="0" t="str">
        <f aca="false">IF($A2984="","",IF($AH2984=20,IF(AND(OR($A2984=21,$A2984=215),$AJ2984=10),"①病院一般",IF(AND($A2984=31,$AJ2984=41),"②病院短期","対象外")),IF($AJ2984=30,"③特定消防",IF(AND(OR($A2984=21,$A2984=215),$AJ2984=10),"④一般",IF(AND($A2984=31,$AJ2984=41),"⑤短期","対象外")))))</f>
        <v/>
      </c>
      <c r="DC2984" s="0" t="str">
        <f aca="false">IF($A2984="","",IF($AB2984&amp;""=設定!$C$4,1,0))</f>
        <v/>
      </c>
    </row>
    <row r="2985" customFormat="false" ht="15" hidden="false" customHeight="false" outlineLevel="0" collapsed="false">
      <c r="DB2985" s="0" t="str">
        <f aca="false">IF($A2985="","",IF($AH2985=20,IF(AND(OR($A2985=21,$A2985=215),$AJ2985=10),"①病院一般",IF(AND($A2985=31,$AJ2985=41),"②病院短期","対象外")),IF($AJ2985=30,"③特定消防",IF(AND(OR($A2985=21,$A2985=215),$AJ2985=10),"④一般",IF(AND($A2985=31,$AJ2985=41),"⑤短期","対象外")))))</f>
        <v/>
      </c>
      <c r="DC2985" s="0" t="str">
        <f aca="false">IF($A2985="","",IF($AB2985&amp;""=設定!$C$4,1,0))</f>
        <v/>
      </c>
    </row>
    <row r="2986" customFormat="false" ht="15" hidden="false" customHeight="false" outlineLevel="0" collapsed="false">
      <c r="DB2986" s="0" t="str">
        <f aca="false">IF($A2986="","",IF($AH2986=20,IF(AND(OR($A2986=21,$A2986=215),$AJ2986=10),"①病院一般",IF(AND($A2986=31,$AJ2986=41),"②病院短期","対象外")),IF($AJ2986=30,"③特定消防",IF(AND(OR($A2986=21,$A2986=215),$AJ2986=10),"④一般",IF(AND($A2986=31,$AJ2986=41),"⑤短期","対象外")))))</f>
        <v/>
      </c>
      <c r="DC2986" s="0" t="str">
        <f aca="false">IF($A2986="","",IF($AB2986&amp;""=設定!$C$4,1,0))</f>
        <v/>
      </c>
    </row>
    <row r="2987" customFormat="false" ht="15" hidden="false" customHeight="false" outlineLevel="0" collapsed="false">
      <c r="DB2987" s="0" t="str">
        <f aca="false">IF($A2987="","",IF($AH2987=20,IF(AND(OR($A2987=21,$A2987=215),$AJ2987=10),"①病院一般",IF(AND($A2987=31,$AJ2987=41),"②病院短期","対象外")),IF($AJ2987=30,"③特定消防",IF(AND(OR($A2987=21,$A2987=215),$AJ2987=10),"④一般",IF(AND($A2987=31,$AJ2987=41),"⑤短期","対象外")))))</f>
        <v/>
      </c>
      <c r="DC2987" s="0" t="str">
        <f aca="false">IF($A2987="","",IF($AB2987&amp;""=設定!$C$4,1,0))</f>
        <v/>
      </c>
    </row>
    <row r="2988" customFormat="false" ht="15" hidden="false" customHeight="false" outlineLevel="0" collapsed="false">
      <c r="DB2988" s="0" t="str">
        <f aca="false">IF($A2988="","",IF($AH2988=20,IF(AND(OR($A2988=21,$A2988=215),$AJ2988=10),"①病院一般",IF(AND($A2988=31,$AJ2988=41),"②病院短期","対象外")),IF($AJ2988=30,"③特定消防",IF(AND(OR($A2988=21,$A2988=215),$AJ2988=10),"④一般",IF(AND($A2988=31,$AJ2988=41),"⑤短期","対象外")))))</f>
        <v/>
      </c>
      <c r="DC2988" s="0" t="str">
        <f aca="false">IF($A2988="","",IF($AB2988&amp;""=設定!$C$4,1,0))</f>
        <v/>
      </c>
    </row>
    <row r="2989" customFormat="false" ht="15" hidden="false" customHeight="false" outlineLevel="0" collapsed="false">
      <c r="DB2989" s="0" t="str">
        <f aca="false">IF($A2989="","",IF($AH2989=20,IF(AND(OR($A2989=21,$A2989=215),$AJ2989=10),"①病院一般",IF(AND($A2989=31,$AJ2989=41),"②病院短期","対象外")),IF($AJ2989=30,"③特定消防",IF(AND(OR($A2989=21,$A2989=215),$AJ2989=10),"④一般",IF(AND($A2989=31,$AJ2989=41),"⑤短期","対象外")))))</f>
        <v/>
      </c>
      <c r="DC2989" s="0" t="str">
        <f aca="false">IF($A2989="","",IF($AB2989&amp;""=設定!$C$4,1,0))</f>
        <v/>
      </c>
    </row>
    <row r="2990" customFormat="false" ht="15" hidden="false" customHeight="false" outlineLevel="0" collapsed="false">
      <c r="DB2990" s="0" t="str">
        <f aca="false">IF($A2990="","",IF($AH2990=20,IF(AND(OR($A2990=21,$A2990=215),$AJ2990=10),"①病院一般",IF(AND($A2990=31,$AJ2990=41),"②病院短期","対象外")),IF($AJ2990=30,"③特定消防",IF(AND(OR($A2990=21,$A2990=215),$AJ2990=10),"④一般",IF(AND($A2990=31,$AJ2990=41),"⑤短期","対象外")))))</f>
        <v/>
      </c>
      <c r="DC2990" s="0" t="str">
        <f aca="false">IF($A2990="","",IF($AB2990&amp;""=設定!$C$4,1,0))</f>
        <v/>
      </c>
    </row>
    <row r="2991" customFormat="false" ht="15" hidden="false" customHeight="false" outlineLevel="0" collapsed="false">
      <c r="DB2991" s="0" t="str">
        <f aca="false">IF($A2991="","",IF($AH2991=20,IF(AND(OR($A2991=21,$A2991=215),$AJ2991=10),"①病院一般",IF(AND($A2991=31,$AJ2991=41),"②病院短期","対象外")),IF($AJ2991=30,"③特定消防",IF(AND(OR($A2991=21,$A2991=215),$AJ2991=10),"④一般",IF(AND($A2991=31,$AJ2991=41),"⑤短期","対象外")))))</f>
        <v/>
      </c>
      <c r="DC2991" s="0" t="str">
        <f aca="false">IF($A2991="","",IF($AB2991&amp;""=設定!$C$4,1,0))</f>
        <v/>
      </c>
    </row>
    <row r="2992" customFormat="false" ht="15" hidden="false" customHeight="false" outlineLevel="0" collapsed="false">
      <c r="DB2992" s="0" t="str">
        <f aca="false">IF($A2992="","",IF($AH2992=20,IF(AND(OR($A2992=21,$A2992=215),$AJ2992=10),"①病院一般",IF(AND($A2992=31,$AJ2992=41),"②病院短期","対象外")),IF($AJ2992=30,"③特定消防",IF(AND(OR($A2992=21,$A2992=215),$AJ2992=10),"④一般",IF(AND($A2992=31,$AJ2992=41),"⑤短期","対象外")))))</f>
        <v/>
      </c>
      <c r="DC2992" s="0" t="str">
        <f aca="false">IF($A2992="","",IF($AB2992&amp;""=設定!$C$4,1,0))</f>
        <v/>
      </c>
    </row>
    <row r="2993" customFormat="false" ht="15" hidden="false" customHeight="false" outlineLevel="0" collapsed="false">
      <c r="DB2993" s="0" t="str">
        <f aca="false">IF($A2993="","",IF($AH2993=20,IF(AND(OR($A2993=21,$A2993=215),$AJ2993=10),"①病院一般",IF(AND($A2993=31,$AJ2993=41),"②病院短期","対象外")),IF($AJ2993=30,"③特定消防",IF(AND(OR($A2993=21,$A2993=215),$AJ2993=10),"④一般",IF(AND($A2993=31,$AJ2993=41),"⑤短期","対象外")))))</f>
        <v/>
      </c>
      <c r="DC2993" s="0" t="str">
        <f aca="false">IF($A2993="","",IF($AB2993&amp;""=設定!$C$4,1,0))</f>
        <v/>
      </c>
    </row>
    <row r="2994" customFormat="false" ht="15" hidden="false" customHeight="false" outlineLevel="0" collapsed="false">
      <c r="DB2994" s="0" t="str">
        <f aca="false">IF($A2994="","",IF($AH2994=20,IF(AND(OR($A2994=21,$A2994=215),$AJ2994=10),"①病院一般",IF(AND($A2994=31,$AJ2994=41),"②病院短期","対象外")),IF($AJ2994=30,"③特定消防",IF(AND(OR($A2994=21,$A2994=215),$AJ2994=10),"④一般",IF(AND($A2994=31,$AJ2994=41),"⑤短期","対象外")))))</f>
        <v/>
      </c>
      <c r="DC2994" s="0" t="str">
        <f aca="false">IF($A2994="","",IF($AB2994&amp;""=設定!$C$4,1,0))</f>
        <v/>
      </c>
    </row>
    <row r="2995" customFormat="false" ht="15" hidden="false" customHeight="false" outlineLevel="0" collapsed="false">
      <c r="DB2995" s="0" t="str">
        <f aca="false">IF($A2995="","",IF($AH2995=20,IF(AND(OR($A2995=21,$A2995=215),$AJ2995=10),"①病院一般",IF(AND($A2995=31,$AJ2995=41),"②病院短期","対象外")),IF($AJ2995=30,"③特定消防",IF(AND(OR($A2995=21,$A2995=215),$AJ2995=10),"④一般",IF(AND($A2995=31,$AJ2995=41),"⑤短期","対象外")))))</f>
        <v/>
      </c>
      <c r="DC2995" s="0" t="str">
        <f aca="false">IF($A2995="","",IF($AB2995&amp;""=設定!$C$4,1,0))</f>
        <v/>
      </c>
    </row>
    <row r="2996" customFormat="false" ht="15" hidden="false" customHeight="false" outlineLevel="0" collapsed="false">
      <c r="DB2996" s="0" t="str">
        <f aca="false">IF($A2996="","",IF($AH2996=20,IF(AND(OR($A2996=21,$A2996=215),$AJ2996=10),"①病院一般",IF(AND($A2996=31,$AJ2996=41),"②病院短期","対象外")),IF($AJ2996=30,"③特定消防",IF(AND(OR($A2996=21,$A2996=215),$AJ2996=10),"④一般",IF(AND($A2996=31,$AJ2996=41),"⑤短期","対象外")))))</f>
        <v/>
      </c>
      <c r="DC2996" s="0" t="str">
        <f aca="false">IF($A2996="","",IF($AB2996&amp;""=設定!$C$4,1,0))</f>
        <v/>
      </c>
    </row>
    <row r="2997" customFormat="false" ht="15" hidden="false" customHeight="false" outlineLevel="0" collapsed="false">
      <c r="DB2997" s="0" t="str">
        <f aca="false">IF($A2997="","",IF($AH2997=20,IF(AND(OR($A2997=21,$A2997=215),$AJ2997=10),"①病院一般",IF(AND($A2997=31,$AJ2997=41),"②病院短期","対象外")),IF($AJ2997=30,"③特定消防",IF(AND(OR($A2997=21,$A2997=215),$AJ2997=10),"④一般",IF(AND($A2997=31,$AJ2997=41),"⑤短期","対象外")))))</f>
        <v/>
      </c>
      <c r="DC2997" s="0" t="str">
        <f aca="false">IF($A2997="","",IF($AB2997&amp;""=設定!$C$4,1,0))</f>
        <v/>
      </c>
    </row>
    <row r="2998" customFormat="false" ht="15" hidden="false" customHeight="false" outlineLevel="0" collapsed="false">
      <c r="DB2998" s="0" t="str">
        <f aca="false">IF($A2998="","",IF($AH2998=20,IF(AND(OR($A2998=21,$A2998=215),$AJ2998=10),"①病院一般",IF(AND($A2998=31,$AJ2998=41),"②病院短期","対象外")),IF($AJ2998=30,"③特定消防",IF(AND(OR($A2998=21,$A2998=215),$AJ2998=10),"④一般",IF(AND($A2998=31,$AJ2998=41),"⑤短期","対象外")))))</f>
        <v/>
      </c>
      <c r="DC2998" s="0" t="str">
        <f aca="false">IF($A2998="","",IF($AB2998&amp;""=設定!$C$4,1,0))</f>
        <v/>
      </c>
    </row>
    <row r="2999" customFormat="false" ht="15" hidden="false" customHeight="false" outlineLevel="0" collapsed="false">
      <c r="DB2999" s="0" t="str">
        <f aca="false">IF($A2999="","",IF($AH2999=20,IF(AND(OR($A2999=21,$A2999=215),$AJ2999=10),"①病院一般",IF(AND($A2999=31,$AJ2999=41),"②病院短期","対象外")),IF($AJ2999=30,"③特定消防",IF(AND(OR($A2999=21,$A2999=215),$AJ2999=10),"④一般",IF(AND($A2999=31,$AJ2999=41),"⑤短期","対象外")))))</f>
        <v/>
      </c>
      <c r="DC2999" s="0" t="str">
        <f aca="false">IF($A2999="","",IF($AB2999&amp;""=設定!$C$4,1,0))</f>
        <v/>
      </c>
    </row>
    <row r="3000" customFormat="false" ht="15" hidden="false" customHeight="false" outlineLevel="0" collapsed="false">
      <c r="DB3000" s="0" t="str">
        <f aca="false">IF($A3000="","",IF($AH3000=20,IF(AND(OR($A3000=21,$A3000=215),$AJ3000=10),"①病院一般",IF(AND($A3000=31,$AJ3000=41),"②病院短期","対象外")),IF($AJ3000=30,"③特定消防",IF(AND(OR($A3000=21,$A3000=215),$AJ3000=10),"④一般",IF(AND($A3000=31,$AJ3000=41),"⑤短期","対象外")))))</f>
        <v/>
      </c>
      <c r="DC3000" s="0" t="str">
        <f aca="false">IF($A3000="","",IF($AB3000&amp;""=設定!$C$4,1,0))</f>
        <v/>
      </c>
    </row>
    <row r="3001" customFormat="false" ht="15" hidden="false" customHeight="false" outlineLevel="0" collapsed="false">
      <c r="DB3001" s="0" t="str">
        <f aca="false">IF($A3001="","",IF($AH3001=20,IF(AND(OR($A3001=21,$A3001=215),$AJ3001=10),"①病院一般",IF(AND($A3001=31,$AJ3001=41),"②病院短期","対象外")),IF($AJ3001=30,"③特定消防",IF(AND(OR($A3001=21,$A3001=215),$AJ3001=10),"④一般",IF(AND($A3001=31,$AJ3001=41),"⑤短期","対象外")))))</f>
        <v/>
      </c>
      <c r="DC3001" s="0" t="str">
        <f aca="false">IF($A3001="","",IF($AB3001&amp;""=設定!$C$4,1,0))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6" min="106" style="0" width="24"/>
  </cols>
  <sheetData>
    <row r="1" customFormat="false" ht="15" hidden="false" customHeight="false" outlineLevel="0" collapsed="false">
      <c r="A1" s="0" t="s">
        <v>190</v>
      </c>
      <c r="B1" s="0" t="s">
        <v>191</v>
      </c>
      <c r="C1" s="0" t="s">
        <v>192</v>
      </c>
      <c r="D1" s="0" t="s">
        <v>193</v>
      </c>
      <c r="G1" s="0" t="s">
        <v>194</v>
      </c>
      <c r="H1" s="0" t="s">
        <v>195</v>
      </c>
      <c r="I1" s="0" t="s">
        <v>196</v>
      </c>
      <c r="J1" s="0" t="s">
        <v>197</v>
      </c>
      <c r="K1" s="0" t="s">
        <v>198</v>
      </c>
      <c r="L1" s="0" t="s">
        <v>199</v>
      </c>
      <c r="M1" s="0" t="s">
        <v>200</v>
      </c>
      <c r="N1" s="0" t="s">
        <v>201</v>
      </c>
      <c r="O1" s="0" t="s">
        <v>202</v>
      </c>
      <c r="P1" s="0" t="s">
        <v>203</v>
      </c>
      <c r="Q1" s="0" t="s">
        <v>204</v>
      </c>
      <c r="R1" s="0" t="s">
        <v>205</v>
      </c>
      <c r="S1" s="0" t="s">
        <v>206</v>
      </c>
      <c r="T1" s="0" t="s">
        <v>207</v>
      </c>
      <c r="U1" s="0" t="s">
        <v>208</v>
      </c>
      <c r="V1" s="0" t="s">
        <v>209</v>
      </c>
      <c r="W1" s="0" t="s">
        <v>210</v>
      </c>
      <c r="X1" s="0" t="s">
        <v>211</v>
      </c>
      <c r="Y1" s="0" t="s">
        <v>212</v>
      </c>
      <c r="Z1" s="0" t="s">
        <v>213</v>
      </c>
      <c r="AA1" s="0" t="s">
        <v>214</v>
      </c>
      <c r="AB1" s="0" t="s">
        <v>215</v>
      </c>
      <c r="AC1" s="0" t="s">
        <v>216</v>
      </c>
      <c r="AD1" s="0" t="s">
        <v>217</v>
      </c>
      <c r="AE1" s="0" t="s">
        <v>218</v>
      </c>
      <c r="AF1" s="0" t="s">
        <v>219</v>
      </c>
      <c r="AG1" s="0" t="s">
        <v>220</v>
      </c>
      <c r="AH1" s="0" t="s">
        <v>221</v>
      </c>
      <c r="AI1" s="0" t="s">
        <v>222</v>
      </c>
      <c r="AJ1" s="0" t="s">
        <v>223</v>
      </c>
      <c r="AK1" s="0" t="s">
        <v>224</v>
      </c>
      <c r="AL1" s="0" t="s">
        <v>225</v>
      </c>
      <c r="AM1" s="0" t="s">
        <v>226</v>
      </c>
      <c r="AN1" s="0" t="s">
        <v>227</v>
      </c>
      <c r="AO1" s="0" t="s">
        <v>228</v>
      </c>
      <c r="AP1" s="0" t="s">
        <v>229</v>
      </c>
      <c r="AQ1" s="0" t="s">
        <v>230</v>
      </c>
      <c r="AR1" s="0" t="s">
        <v>231</v>
      </c>
      <c r="AS1" s="0" t="s">
        <v>232</v>
      </c>
      <c r="AT1" s="0" t="s">
        <v>233</v>
      </c>
      <c r="AU1" s="0" t="s">
        <v>234</v>
      </c>
      <c r="AV1" s="0" t="s">
        <v>235</v>
      </c>
      <c r="AW1" s="0" t="s">
        <v>236</v>
      </c>
      <c r="AX1" s="0" t="s">
        <v>237</v>
      </c>
      <c r="AY1" s="0" t="s">
        <v>238</v>
      </c>
      <c r="AZ1" s="0" t="s">
        <v>239</v>
      </c>
      <c r="BA1" s="0" t="s">
        <v>240</v>
      </c>
      <c r="BB1" s="0" t="s">
        <v>241</v>
      </c>
      <c r="BC1" s="0" t="s">
        <v>242</v>
      </c>
      <c r="BD1" s="0" t="s">
        <v>243</v>
      </c>
      <c r="BE1" s="0" t="s">
        <v>244</v>
      </c>
      <c r="BF1" s="0" t="s">
        <v>245</v>
      </c>
      <c r="BG1" s="0" t="s">
        <v>246</v>
      </c>
      <c r="BH1" s="0" t="s">
        <v>247</v>
      </c>
      <c r="BI1" s="0" t="s">
        <v>248</v>
      </c>
      <c r="BJ1" s="0" t="s">
        <v>249</v>
      </c>
      <c r="BK1" s="0" t="s">
        <v>250</v>
      </c>
      <c r="BL1" s="0" t="s">
        <v>251</v>
      </c>
      <c r="BM1" s="0" t="s">
        <v>252</v>
      </c>
      <c r="BN1" s="0" t="s">
        <v>253</v>
      </c>
      <c r="BO1" s="0" t="s">
        <v>254</v>
      </c>
      <c r="BP1" s="0" t="s">
        <v>255</v>
      </c>
      <c r="BQ1" s="0" t="s">
        <v>256</v>
      </c>
      <c r="BR1" s="0" t="s">
        <v>257</v>
      </c>
      <c r="BS1" s="0" t="s">
        <v>258</v>
      </c>
      <c r="BT1" s="0" t="s">
        <v>259</v>
      </c>
      <c r="BU1" s="0" t="s">
        <v>260</v>
      </c>
      <c r="BV1" s="0" t="s">
        <v>261</v>
      </c>
      <c r="BW1" s="0" t="s">
        <v>262</v>
      </c>
      <c r="BX1" s="0" t="s">
        <v>263</v>
      </c>
      <c r="BY1" s="0" t="s">
        <v>264</v>
      </c>
      <c r="BZ1" s="0" t="s">
        <v>265</v>
      </c>
      <c r="CA1" s="0" t="s">
        <v>266</v>
      </c>
      <c r="CB1" s="0" t="s">
        <v>267</v>
      </c>
      <c r="CC1" s="0" t="s">
        <v>268</v>
      </c>
      <c r="CD1" s="0" t="s">
        <v>269</v>
      </c>
      <c r="CE1" s="0" t="s">
        <v>270</v>
      </c>
      <c r="CF1" s="0" t="s">
        <v>271</v>
      </c>
      <c r="CG1" s="0" t="s">
        <v>272</v>
      </c>
      <c r="CH1" s="0" t="s">
        <v>273</v>
      </c>
      <c r="CI1" s="0" t="s">
        <v>274</v>
      </c>
      <c r="CJ1" s="0" t="s">
        <v>275</v>
      </c>
      <c r="CK1" s="0" t="s">
        <v>276</v>
      </c>
      <c r="CL1" s="0" t="s">
        <v>277</v>
      </c>
      <c r="CM1" s="0" t="s">
        <v>278</v>
      </c>
      <c r="CN1" s="0" t="s">
        <v>279</v>
      </c>
      <c r="CO1" s="0" t="s">
        <v>280</v>
      </c>
      <c r="CP1" s="0" t="s">
        <v>281</v>
      </c>
      <c r="CQ1" s="0" t="s">
        <v>282</v>
      </c>
      <c r="CR1" s="0" t="s">
        <v>283</v>
      </c>
      <c r="CS1" s="0" t="s">
        <v>284</v>
      </c>
      <c r="CT1" s="0" t="s">
        <v>285</v>
      </c>
      <c r="CU1" s="0" t="s">
        <v>286</v>
      </c>
      <c r="CV1" s="0" t="s">
        <v>287</v>
      </c>
      <c r="CW1" s="0" t="s">
        <v>288</v>
      </c>
      <c r="CX1" s="0" t="s">
        <v>289</v>
      </c>
      <c r="CY1" s="0" t="s">
        <v>290</v>
      </c>
      <c r="CZ1" s="0" t="s">
        <v>291</v>
      </c>
      <c r="DB1" s="6" t="s">
        <v>292</v>
      </c>
      <c r="DC1" s="6" t="s">
        <v>293</v>
      </c>
    </row>
    <row r="2" customFormat="false" ht="15" hidden="false" customHeight="false" outlineLevel="0" collapsed="false">
      <c r="A2" s="0" t="n">
        <v>21</v>
      </c>
      <c r="AA2" s="0" t="n">
        <v>21</v>
      </c>
      <c r="AB2" s="0" t="s">
        <v>385</v>
      </c>
      <c r="AD2" s="0" t="n">
        <v>11</v>
      </c>
      <c r="AE2" s="0" t="s">
        <v>96</v>
      </c>
      <c r="AH2" s="0" t="n">
        <v>1</v>
      </c>
      <c r="AJ2" s="0" t="n">
        <v>10</v>
      </c>
      <c r="AP2" s="0" t="n">
        <v>380000</v>
      </c>
      <c r="DB2" s="0" t="str">
        <f aca="false">IF($A2="","",IF($AE2&amp;""&lt;&gt;設定!$C$4,"対象外",IF($AH2=20,IF(OR($AJ2=10,$AJ2=11,$AJ2=18),"①病院一般",IF($AJ2=41,"②病院短期","対象外")),IF($AH2=5,IF($AJ2=30,"③特定消防","対象外"),IF(OR($AJ2=10,$AJ2=11,$AJ2=74),"④一般",IF(OR($AJ2=41,$AJ2=47),"⑤短期","対象外"))))))</f>
        <v>④一般</v>
      </c>
    </row>
    <row r="3" customFormat="false" ht="15" hidden="false" customHeight="false" outlineLevel="0" collapsed="false">
      <c r="A3" s="0" t="n">
        <v>21</v>
      </c>
      <c r="AA3" s="0" t="n">
        <v>21</v>
      </c>
      <c r="AB3" s="0" t="s">
        <v>385</v>
      </c>
      <c r="AD3" s="0" t="n">
        <v>11</v>
      </c>
      <c r="AE3" s="0" t="s">
        <v>96</v>
      </c>
      <c r="AH3" s="0" t="n">
        <v>1</v>
      </c>
      <c r="AJ3" s="0" t="n">
        <v>10</v>
      </c>
      <c r="AP3" s="0" t="n">
        <v>380000</v>
      </c>
      <c r="DB3" s="0" t="str">
        <f aca="false">IF($A3="","",IF($AE3&amp;""&lt;&gt;設定!$C$4,"対象外",IF($AH3=20,IF(OR($AJ3=10,$AJ3=11,$AJ3=18),"①病院一般",IF($AJ3=41,"②病院短期","対象外")),IF($AH3=5,IF($AJ3=30,"③特定消防","対象外"),IF(OR($AJ3=10,$AJ3=11,$AJ3=74),"④一般",IF(OR($AJ3=41,$AJ3=47),"⑤短期","対象外"))))))</f>
        <v>④一般</v>
      </c>
    </row>
    <row r="4" customFormat="false" ht="15" hidden="false" customHeight="false" outlineLevel="0" collapsed="false">
      <c r="A4" s="0" t="n">
        <v>21</v>
      </c>
      <c r="AA4" s="0" t="n">
        <v>21</v>
      </c>
      <c r="AB4" s="0" t="s">
        <v>385</v>
      </c>
      <c r="AD4" s="0" t="n">
        <v>11</v>
      </c>
      <c r="AE4" s="0" t="s">
        <v>96</v>
      </c>
      <c r="AH4" s="0" t="n">
        <v>1</v>
      </c>
      <c r="AJ4" s="0" t="n">
        <v>10</v>
      </c>
      <c r="AP4" s="0" t="n">
        <v>380000</v>
      </c>
      <c r="DB4" s="0" t="str">
        <f aca="false">IF($A4="","",IF($AE4&amp;""&lt;&gt;設定!$C$4,"対象外",IF($AH4=20,IF(OR($AJ4=10,$AJ4=11,$AJ4=18),"①病院一般",IF($AJ4=41,"②病院短期","対象外")),IF($AH4=5,IF($AJ4=30,"③特定消防","対象外"),IF(OR($AJ4=10,$AJ4=11,$AJ4=74),"④一般",IF(OR($AJ4=41,$AJ4=47),"⑤短期","対象外"))))))</f>
        <v>④一般</v>
      </c>
    </row>
    <row r="5" customFormat="false" ht="15" hidden="false" customHeight="false" outlineLevel="0" collapsed="false">
      <c r="A5" s="0" t="n">
        <v>21</v>
      </c>
      <c r="AA5" s="0" t="n">
        <v>21</v>
      </c>
      <c r="AB5" s="0" t="s">
        <v>385</v>
      </c>
      <c r="AD5" s="0" t="n">
        <v>11</v>
      </c>
      <c r="AE5" s="0" t="s">
        <v>96</v>
      </c>
      <c r="AH5" s="0" t="n">
        <v>1</v>
      </c>
      <c r="AJ5" s="0" t="n">
        <v>10</v>
      </c>
      <c r="AP5" s="0" t="n">
        <v>340000</v>
      </c>
      <c r="DB5" s="0" t="str">
        <f aca="false">IF($A5="","",IF($AE5&amp;""&lt;&gt;設定!$C$4,"対象外",IF($AH5=20,IF(OR($AJ5=10,$AJ5=11,$AJ5=18),"①病院一般",IF($AJ5=41,"②病院短期","対象外")),IF($AH5=5,IF($AJ5=30,"③特定消防","対象外"),IF(OR($AJ5=10,$AJ5=11,$AJ5=74),"④一般",IF(OR($AJ5=41,$AJ5=47),"⑤短期","対象外"))))))</f>
        <v>④一般</v>
      </c>
    </row>
    <row r="6" customFormat="false" ht="15" hidden="false" customHeight="false" outlineLevel="0" collapsed="false">
      <c r="A6" s="0" t="n">
        <v>21</v>
      </c>
      <c r="AA6" s="0" t="n">
        <v>21</v>
      </c>
      <c r="AB6" s="0" t="s">
        <v>385</v>
      </c>
      <c r="AD6" s="0" t="n">
        <v>11</v>
      </c>
      <c r="AE6" s="0" t="s">
        <v>96</v>
      </c>
      <c r="AH6" s="0" t="n">
        <v>1</v>
      </c>
      <c r="AJ6" s="0" t="n">
        <v>10</v>
      </c>
      <c r="AP6" s="0" t="n">
        <v>340000</v>
      </c>
      <c r="DB6" s="0" t="str">
        <f aca="false">IF($A6="","",IF($AE6&amp;""&lt;&gt;設定!$C$4,"対象外",IF($AH6=20,IF(OR($AJ6=10,$AJ6=11,$AJ6=18),"①病院一般",IF($AJ6=41,"②病院短期","対象外")),IF($AH6=5,IF($AJ6=30,"③特定消防","対象外"),IF(OR($AJ6=10,$AJ6=11,$AJ6=74),"④一般",IF(OR($AJ6=41,$AJ6=47),"⑤短期","対象外"))))))</f>
        <v>④一般</v>
      </c>
    </row>
    <row r="7" customFormat="false" ht="15" hidden="false" customHeight="false" outlineLevel="0" collapsed="false">
      <c r="A7" s="0" t="n">
        <v>21</v>
      </c>
      <c r="AA7" s="0" t="n">
        <v>21</v>
      </c>
      <c r="AB7" s="0" t="s">
        <v>385</v>
      </c>
      <c r="AD7" s="0" t="n">
        <v>11</v>
      </c>
      <c r="AE7" s="0" t="s">
        <v>96</v>
      </c>
      <c r="AH7" s="0" t="n">
        <v>1</v>
      </c>
      <c r="AJ7" s="0" t="n">
        <v>10</v>
      </c>
      <c r="AP7" s="0" t="n">
        <v>410000</v>
      </c>
      <c r="DB7" s="0" t="str">
        <f aca="false">IF($A7="","",IF($AE7&amp;""&lt;&gt;設定!$C$4,"対象外",IF($AH7=20,IF(OR($AJ7=10,$AJ7=11,$AJ7=18),"①病院一般",IF($AJ7=41,"②病院短期","対象外")),IF($AH7=5,IF($AJ7=30,"③特定消防","対象外"),IF(OR($AJ7=10,$AJ7=11,$AJ7=74),"④一般",IF(OR($AJ7=41,$AJ7=47),"⑤短期","対象外"))))))</f>
        <v>④一般</v>
      </c>
    </row>
    <row r="8" customFormat="false" ht="15" hidden="false" customHeight="false" outlineLevel="0" collapsed="false">
      <c r="A8" s="0" t="n">
        <v>21</v>
      </c>
      <c r="AA8" s="0" t="n">
        <v>21</v>
      </c>
      <c r="AB8" s="0" t="s">
        <v>385</v>
      </c>
      <c r="AD8" s="0" t="n">
        <v>12</v>
      </c>
      <c r="AE8" s="0" t="s">
        <v>96</v>
      </c>
      <c r="AH8" s="0" t="n">
        <v>1</v>
      </c>
      <c r="AJ8" s="0" t="n">
        <v>10</v>
      </c>
      <c r="AP8" s="0" t="n">
        <v>340000</v>
      </c>
      <c r="DB8" s="0" t="str">
        <f aca="false">IF($A8="","",IF($AE8&amp;""&lt;&gt;設定!$C$4,"対象外",IF($AH8=20,IF(OR($AJ8=10,$AJ8=11,$AJ8=18),"①病院一般",IF($AJ8=41,"②病院短期","対象外")),IF($AH8=5,IF($AJ8=30,"③特定消防","対象外"),IF(OR($AJ8=10,$AJ8=11,$AJ8=74),"④一般",IF(OR($AJ8=41,$AJ8=47),"⑤短期","対象外"))))))</f>
        <v>④一般</v>
      </c>
    </row>
    <row r="9" customFormat="false" ht="15" hidden="false" customHeight="false" outlineLevel="0" collapsed="false">
      <c r="A9" s="0" t="n">
        <v>21</v>
      </c>
      <c r="AA9" s="0" t="n">
        <v>21</v>
      </c>
      <c r="AB9" s="0" t="s">
        <v>385</v>
      </c>
      <c r="AD9" s="0" t="n">
        <v>11</v>
      </c>
      <c r="AE9" s="0" t="s">
        <v>96</v>
      </c>
      <c r="AH9" s="0" t="n">
        <v>5</v>
      </c>
      <c r="AJ9" s="0" t="n">
        <v>30</v>
      </c>
      <c r="AP9" s="0" t="n">
        <v>380000</v>
      </c>
      <c r="DB9" s="0" t="str">
        <f aca="false">IF($A9="","",IF($AE9&amp;""&lt;&gt;設定!$C$4,"対象外",IF($AH9=20,IF(OR($AJ9=10,$AJ9=11,$AJ9=18),"①病院一般",IF($AJ9=41,"②病院短期","対象外")),IF($AH9=5,IF($AJ9=30,"③特定消防","対象外"),IF(OR($AJ9=10,$AJ9=11,$AJ9=74),"④一般",IF(OR($AJ9=41,$AJ9=47),"⑤短期","対象外"))))))</f>
        <v>③特定消防</v>
      </c>
    </row>
    <row r="10" customFormat="false" ht="15" hidden="false" customHeight="false" outlineLevel="0" collapsed="false">
      <c r="A10" s="0" t="n">
        <v>21</v>
      </c>
      <c r="AA10" s="0" t="n">
        <v>21</v>
      </c>
      <c r="AB10" s="0" t="s">
        <v>385</v>
      </c>
      <c r="AD10" s="0" t="n">
        <v>11</v>
      </c>
      <c r="AE10" s="0" t="s">
        <v>96</v>
      </c>
      <c r="AH10" s="0" t="n">
        <v>39</v>
      </c>
      <c r="AJ10" s="0" t="n">
        <v>74</v>
      </c>
      <c r="AP10" s="0" t="n">
        <v>340000</v>
      </c>
      <c r="DB10" s="0" t="str">
        <f aca="false">IF($A10="","",IF($AE10&amp;""&lt;&gt;設定!$C$4,"対象外",IF($AH10=20,IF(OR($AJ10=10,$AJ10=11,$AJ10=18),"①病院一般",IF($AJ10=41,"②病院短期","対象外")),IF($AH10=5,IF($AJ10=30,"③特定消防","対象外"),IF(OR($AJ10=10,$AJ10=11,$AJ10=74),"④一般",IF(OR($AJ10=41,$AJ10=47),"⑤短期","対象外"))))))</f>
        <v>④一般</v>
      </c>
    </row>
    <row r="11" customFormat="false" ht="15" hidden="false" customHeight="false" outlineLevel="0" collapsed="false">
      <c r="A11" s="0" t="n">
        <v>21</v>
      </c>
      <c r="AA11" s="0" t="n">
        <v>21</v>
      </c>
      <c r="AB11" s="0" t="s">
        <v>385</v>
      </c>
      <c r="AD11" s="0" t="n">
        <v>11</v>
      </c>
      <c r="AE11" s="0" t="s">
        <v>96</v>
      </c>
      <c r="AH11" s="0" t="n">
        <v>5</v>
      </c>
      <c r="AJ11" s="0" t="n">
        <v>30</v>
      </c>
      <c r="AP11" s="0" t="n">
        <v>410000</v>
      </c>
      <c r="DB11" s="0" t="str">
        <f aca="false">IF($A11="","",IF($AE11&amp;""&lt;&gt;設定!$C$4,"対象外",IF($AH11=20,IF(OR($AJ11=10,$AJ11=11,$AJ11=18),"①病院一般",IF($AJ11=41,"②病院短期","対象外")),IF($AH11=5,IF($AJ11=30,"③特定消防","対象外"),IF(OR($AJ11=10,$AJ11=11,$AJ11=74),"④一般",IF(OR($AJ11=41,$AJ11=47),"⑤短期","対象外"))))))</f>
        <v>③特定消防</v>
      </c>
    </row>
    <row r="12" customFormat="false" ht="15" hidden="false" customHeight="false" outlineLevel="0" collapsed="false">
      <c r="A12" s="0" t="n">
        <v>21</v>
      </c>
      <c r="AA12" s="0" t="n">
        <v>21</v>
      </c>
      <c r="AB12" s="0" t="s">
        <v>385</v>
      </c>
      <c r="AD12" s="0" t="n">
        <v>11</v>
      </c>
      <c r="AE12" s="0" t="s">
        <v>96</v>
      </c>
      <c r="AH12" s="0" t="n">
        <v>5</v>
      </c>
      <c r="AJ12" s="0" t="n">
        <v>30</v>
      </c>
      <c r="AP12" s="0" t="n">
        <v>380000</v>
      </c>
      <c r="DB12" s="0" t="str">
        <f aca="false">IF($A12="","",IF($AE12&amp;""&lt;&gt;設定!$C$4,"対象外",IF($AH12=20,IF(OR($AJ12=10,$AJ12=11,$AJ12=18),"①病院一般",IF($AJ12=41,"②病院短期","対象外")),IF($AH12=5,IF($AJ12=30,"③特定消防","対象外"),IF(OR($AJ12=10,$AJ12=11,$AJ12=74),"④一般",IF(OR($AJ12=41,$AJ12=47),"⑤短期","対象外"))))))</f>
        <v>③特定消防</v>
      </c>
    </row>
    <row r="13" customFormat="false" ht="15" hidden="false" customHeight="false" outlineLevel="0" collapsed="false">
      <c r="A13" s="0" t="n">
        <v>21</v>
      </c>
      <c r="AA13" s="0" t="n">
        <v>21</v>
      </c>
      <c r="AB13" s="0" t="s">
        <v>385</v>
      </c>
      <c r="AD13" s="0" t="n">
        <v>11</v>
      </c>
      <c r="AE13" s="0" t="s">
        <v>96</v>
      </c>
      <c r="AH13" s="0" t="n">
        <v>5</v>
      </c>
      <c r="AJ13" s="0" t="n">
        <v>30</v>
      </c>
      <c r="AP13" s="0" t="n">
        <v>380000</v>
      </c>
      <c r="DB13" s="0" t="str">
        <f aca="false">IF($A13="","",IF($AE13&amp;""&lt;&gt;設定!$C$4,"対象外",IF($AH13=20,IF(OR($AJ13=10,$AJ13=11,$AJ13=18),"①病院一般",IF($AJ13=41,"②病院短期","対象外")),IF($AH13=5,IF($AJ13=30,"③特定消防","対象外"),IF(OR($AJ13=10,$AJ13=11,$AJ13=74),"④一般",IF(OR($AJ13=41,$AJ13=47),"⑤短期","対象外"))))))</f>
        <v>③特定消防</v>
      </c>
    </row>
    <row r="14" customFormat="false" ht="15" hidden="false" customHeight="false" outlineLevel="0" collapsed="false">
      <c r="A14" s="0" t="n">
        <v>21</v>
      </c>
      <c r="AA14" s="0" t="n">
        <v>21</v>
      </c>
      <c r="AB14" s="0" t="s">
        <v>386</v>
      </c>
      <c r="AD14" s="0" t="n">
        <v>11</v>
      </c>
      <c r="AE14" s="0" t="s">
        <v>96</v>
      </c>
      <c r="AH14" s="0" t="n">
        <v>5</v>
      </c>
      <c r="AJ14" s="0" t="n">
        <v>30</v>
      </c>
      <c r="AP14" s="0" t="n">
        <v>360000</v>
      </c>
      <c r="DB14" s="0" t="str">
        <f aca="false">IF($A14="","",IF($AE14&amp;""&lt;&gt;設定!$C$4,"対象外",IF($AH14=20,IF(OR($AJ14=10,$AJ14=11,$AJ14=18),"①病院一般",IF($AJ14=41,"②病院短期","対象外")),IF($AH14=5,IF($AJ14=30,"③特定消防","対象外"),IF(OR($AJ14=10,$AJ14=11,$AJ14=74),"④一般",IF(OR($AJ14=41,$AJ14=47),"⑤短期","対象外"))))))</f>
        <v>③特定消防</v>
      </c>
    </row>
    <row r="15" customFormat="false" ht="15" hidden="false" customHeight="false" outlineLevel="0" collapsed="false">
      <c r="A15" s="0" t="n">
        <v>21</v>
      </c>
      <c r="AA15" s="0" t="n">
        <v>21</v>
      </c>
      <c r="AB15" s="0" t="s">
        <v>385</v>
      </c>
      <c r="AD15" s="0" t="n">
        <v>11</v>
      </c>
      <c r="AE15" s="0" t="s">
        <v>96</v>
      </c>
      <c r="AH15" s="0" t="n">
        <v>4</v>
      </c>
      <c r="AJ15" s="0" t="n">
        <v>10</v>
      </c>
      <c r="AP15" s="0" t="n">
        <v>360000</v>
      </c>
      <c r="DB15" s="0" t="str">
        <f aca="false">IF($A15="","",IF($AE15&amp;""&lt;&gt;設定!$C$4,"対象外",IF($AH15=20,IF(OR($AJ15=10,$AJ15=11,$AJ15=18),"①病院一般",IF($AJ15=41,"②病院短期","対象外")),IF($AH15=5,IF($AJ15=30,"③特定消防","対象外"),IF(OR($AJ15=10,$AJ15=11,$AJ15=74),"④一般",IF(OR($AJ15=41,$AJ15=47),"⑤短期","対象外"))))))</f>
        <v>④一般</v>
      </c>
    </row>
    <row r="16" customFormat="false" ht="15" hidden="false" customHeight="false" outlineLevel="0" collapsed="false">
      <c r="A16" s="0" t="n">
        <v>21</v>
      </c>
      <c r="AA16" s="0" t="n">
        <v>21</v>
      </c>
      <c r="AB16" s="0" t="s">
        <v>385</v>
      </c>
      <c r="AD16" s="0" t="n">
        <v>11</v>
      </c>
      <c r="AE16" s="0" t="s">
        <v>96</v>
      </c>
      <c r="AH16" s="0" t="n">
        <v>4</v>
      </c>
      <c r="AJ16" s="0" t="n">
        <v>10</v>
      </c>
      <c r="AP16" s="0" t="n">
        <v>340000</v>
      </c>
      <c r="DB16" s="0" t="str">
        <f aca="false">IF($A16="","",IF($AE16&amp;""&lt;&gt;設定!$C$4,"対象外",IF($AH16=20,IF(OR($AJ16=10,$AJ16=11,$AJ16=18),"①病院一般",IF($AJ16=41,"②病院短期","対象外")),IF($AH16=5,IF($AJ16=30,"③特定消防","対象外"),IF(OR($AJ16=10,$AJ16=11,$AJ16=74),"④一般",IF(OR($AJ16=41,$AJ16=47),"⑤短期","対象外"))))))</f>
        <v>④一般</v>
      </c>
    </row>
    <row r="17" customFormat="false" ht="15" hidden="false" customHeight="false" outlineLevel="0" collapsed="false">
      <c r="A17" s="0" t="n">
        <v>21</v>
      </c>
      <c r="AA17" s="0" t="n">
        <v>21</v>
      </c>
      <c r="AB17" s="0" t="s">
        <v>385</v>
      </c>
      <c r="AD17" s="0" t="n">
        <v>11</v>
      </c>
      <c r="AE17" s="0" t="s">
        <v>96</v>
      </c>
      <c r="AH17" s="0" t="n">
        <v>4</v>
      </c>
      <c r="AJ17" s="0" t="n">
        <v>10</v>
      </c>
      <c r="AP17" s="0" t="n">
        <v>340000</v>
      </c>
      <c r="DB17" s="0" t="str">
        <f aca="false">IF($A17="","",IF($AE17&amp;""&lt;&gt;設定!$C$4,"対象外",IF($AH17=20,IF(OR($AJ17=10,$AJ17=11,$AJ17=18),"①病院一般",IF($AJ17=41,"②病院短期","対象外")),IF($AH17=5,IF($AJ17=30,"③特定消防","対象外"),IF(OR($AJ17=10,$AJ17=11,$AJ17=74),"④一般",IF(OR($AJ17=41,$AJ17=47),"⑤短期","対象外"))))))</f>
        <v>④一般</v>
      </c>
    </row>
    <row r="18" customFormat="false" ht="15" hidden="false" customHeight="false" outlineLevel="0" collapsed="false">
      <c r="A18" s="0" t="n">
        <v>21</v>
      </c>
      <c r="AA18" s="0" t="n">
        <v>21</v>
      </c>
      <c r="AB18" s="0" t="s">
        <v>387</v>
      </c>
      <c r="AD18" s="0" t="n">
        <v>12</v>
      </c>
      <c r="AE18" s="0" t="s">
        <v>96</v>
      </c>
      <c r="AH18" s="0" t="n">
        <v>5</v>
      </c>
      <c r="AJ18" s="0" t="n">
        <v>10</v>
      </c>
      <c r="AP18" s="0" t="n">
        <v>620000</v>
      </c>
      <c r="DB18" s="0" t="str">
        <f aca="false">IF($A18="","",IF($AE18&amp;""&lt;&gt;設定!$C$4,"対象外",IF($AH18=20,IF(OR($AJ18=10,$AJ18=11,$AJ18=18),"①病院一般",IF($AJ18=41,"②病院短期","対象外")),IF($AH18=5,IF($AJ18=30,"③特定消防","対象外"),IF(OR($AJ18=10,$AJ18=11,$AJ18=74),"④一般",IF(OR($AJ18=41,$AJ18=47),"⑤短期","対象外"))))))</f>
        <v>対象外</v>
      </c>
    </row>
    <row r="19" customFormat="false" ht="15" hidden="false" customHeight="false" outlineLevel="0" collapsed="false">
      <c r="A19" s="0" t="n">
        <v>21</v>
      </c>
      <c r="AA19" s="0" t="n">
        <v>21</v>
      </c>
      <c r="AB19" s="0" t="s">
        <v>387</v>
      </c>
      <c r="AD19" s="0" t="n">
        <v>12</v>
      </c>
      <c r="AE19" s="0" t="s">
        <v>96</v>
      </c>
      <c r="AH19" s="0" t="n">
        <v>5</v>
      </c>
      <c r="AJ19" s="0" t="n">
        <v>30</v>
      </c>
      <c r="AP19" s="0" t="n">
        <v>560000</v>
      </c>
      <c r="DB19" s="0" t="str">
        <f aca="false">IF($A19="","",IF($AE19&amp;""&lt;&gt;設定!$C$4,"対象外",IF($AH19=20,IF(OR($AJ19=10,$AJ19=11,$AJ19=18),"①病院一般",IF($AJ19=41,"②病院短期","対象外")),IF($AH19=5,IF($AJ19=30,"③特定消防","対象外"),IF(OR($AJ19=10,$AJ19=11,$AJ19=74),"④一般",IF(OR($AJ19=41,$AJ19=47),"⑤短期","対象外"))))))</f>
        <v>③特定消防</v>
      </c>
    </row>
    <row r="20" customFormat="false" ht="15" hidden="false" customHeight="false" outlineLevel="0" collapsed="false">
      <c r="A20" s="0" t="n">
        <v>21</v>
      </c>
      <c r="AA20" s="0" t="n">
        <v>21</v>
      </c>
      <c r="AB20" s="0" t="s">
        <v>387</v>
      </c>
      <c r="AD20" s="0" t="n">
        <v>12</v>
      </c>
      <c r="AE20" s="0" t="s">
        <v>96</v>
      </c>
      <c r="AH20" s="0" t="n">
        <v>5</v>
      </c>
      <c r="AJ20" s="0" t="n">
        <v>30</v>
      </c>
      <c r="AP20" s="0" t="n">
        <v>560000</v>
      </c>
      <c r="DB20" s="0" t="str">
        <f aca="false">IF($A20="","",IF($AE20&amp;""&lt;&gt;設定!$C$4,"対象外",IF($AH20=20,IF(OR($AJ20=10,$AJ20=11,$AJ20=18),"①病院一般",IF($AJ20=41,"②病院短期","対象外")),IF($AH20=5,IF($AJ20=30,"③特定消防","対象外"),IF(OR($AJ20=10,$AJ20=11,$AJ20=74),"④一般",IF(OR($AJ20=41,$AJ20=47),"⑤短期","対象外"))))))</f>
        <v>③特定消防</v>
      </c>
    </row>
    <row r="21" customFormat="false" ht="15" hidden="false" customHeight="false" outlineLevel="0" collapsed="false">
      <c r="A21" s="0" t="n">
        <v>21</v>
      </c>
      <c r="AA21" s="0" t="n">
        <v>21</v>
      </c>
      <c r="AB21" s="0" t="s">
        <v>387</v>
      </c>
      <c r="AD21" s="0" t="n">
        <v>12</v>
      </c>
      <c r="AE21" s="0" t="s">
        <v>303</v>
      </c>
      <c r="AH21" s="0" t="n">
        <v>5</v>
      </c>
      <c r="AJ21" s="0" t="n">
        <v>30</v>
      </c>
      <c r="AP21" s="0" t="n">
        <v>320000</v>
      </c>
      <c r="DB21" s="0" t="str">
        <f aca="false">IF($A21="","",IF($AE21&amp;""&lt;&gt;設定!$C$4,"対象外",IF($AH21=20,IF(OR($AJ21=10,$AJ21=11,$AJ21=18),"①病院一般",IF($AJ21=41,"②病院短期","対象外")),IF($AH21=5,IF($AJ21=30,"③特定消防","対象外"),IF(OR($AJ21=10,$AJ21=11,$AJ21=74),"④一般",IF(OR($AJ21=41,$AJ21=47),"⑤短期","対象外"))))))</f>
        <v>対象外</v>
      </c>
    </row>
    <row r="22" customFormat="false" ht="15" hidden="false" customHeight="false" outlineLevel="0" collapsed="false">
      <c r="A22" s="0" t="n">
        <v>21</v>
      </c>
      <c r="AA22" s="0" t="n">
        <v>21</v>
      </c>
      <c r="AB22" s="0" t="s">
        <v>387</v>
      </c>
      <c r="AD22" s="0" t="n">
        <v>12</v>
      </c>
      <c r="AE22" s="0" t="s">
        <v>96</v>
      </c>
      <c r="AH22" s="0" t="n">
        <v>5</v>
      </c>
      <c r="AJ22" s="0" t="n">
        <v>10</v>
      </c>
      <c r="AP22" s="0" t="n">
        <v>590000</v>
      </c>
      <c r="DB22" s="0" t="str">
        <f aca="false">IF($A22="","",IF($AE22&amp;""&lt;&gt;設定!$C$4,"対象外",IF($AH22=20,IF(OR($AJ22=10,$AJ22=11,$AJ22=18),"①病院一般",IF($AJ22=41,"②病院短期","対象外")),IF($AH22=5,IF($AJ22=30,"③特定消防","対象外"),IF(OR($AJ22=10,$AJ22=11,$AJ22=74),"④一般",IF(OR($AJ22=41,$AJ22=47),"⑤短期","対象外"))))))</f>
        <v>対象外</v>
      </c>
    </row>
    <row r="23" customFormat="false" ht="15" hidden="false" customHeight="false" outlineLevel="0" collapsed="false">
      <c r="A23" s="0" t="n">
        <v>21</v>
      </c>
      <c r="AA23" s="0" t="n">
        <v>21</v>
      </c>
      <c r="AB23" s="0" t="s">
        <v>387</v>
      </c>
      <c r="AD23" s="0" t="n">
        <v>12</v>
      </c>
      <c r="AE23" s="0" t="s">
        <v>96</v>
      </c>
      <c r="AH23" s="0" t="n">
        <v>5</v>
      </c>
      <c r="AJ23" s="0" t="n">
        <v>30</v>
      </c>
      <c r="AP23" s="0" t="n">
        <v>590000</v>
      </c>
      <c r="DB23" s="0" t="str">
        <f aca="false">IF($A23="","",IF($AE23&amp;""&lt;&gt;設定!$C$4,"対象外",IF($AH23=20,IF(OR($AJ23=10,$AJ23=11,$AJ23=18),"①病院一般",IF($AJ23=41,"②病院短期","対象外")),IF($AH23=5,IF($AJ23=30,"③特定消防","対象外"),IF(OR($AJ23=10,$AJ23=11,$AJ23=74),"④一般",IF(OR($AJ23=41,$AJ23=47),"⑤短期","対象外"))))))</f>
        <v>③特定消防</v>
      </c>
    </row>
    <row r="24" customFormat="false" ht="15" hidden="false" customHeight="false" outlineLevel="0" collapsed="false">
      <c r="A24" s="0" t="n">
        <v>21</v>
      </c>
      <c r="AA24" s="0" t="n">
        <v>21</v>
      </c>
      <c r="AB24" s="0" t="s">
        <v>387</v>
      </c>
      <c r="AD24" s="0" t="n">
        <v>11</v>
      </c>
      <c r="AE24" s="0" t="s">
        <v>96</v>
      </c>
      <c r="AH24" s="0" t="n">
        <v>5</v>
      </c>
      <c r="AJ24" s="0" t="n">
        <v>30</v>
      </c>
      <c r="AP24" s="0" t="n">
        <v>410000</v>
      </c>
      <c r="DB24" s="0" t="str">
        <f aca="false">IF($A24="","",IF($AE24&amp;""&lt;&gt;設定!$C$4,"対象外",IF($AH24=20,IF(OR($AJ24=10,$AJ24=11,$AJ24=18),"①病院一般",IF($AJ24=41,"②病院短期","対象外")),IF($AH24=5,IF($AJ24=30,"③特定消防","対象外"),IF(OR($AJ24=10,$AJ24=11,$AJ24=74),"④一般",IF(OR($AJ24=41,$AJ24=47),"⑤短期","対象外"))))))</f>
        <v>③特定消防</v>
      </c>
    </row>
    <row r="25" customFormat="false" ht="15" hidden="false" customHeight="false" outlineLevel="0" collapsed="false">
      <c r="A25" s="0" t="n">
        <v>21</v>
      </c>
      <c r="AA25" s="0" t="n">
        <v>21</v>
      </c>
      <c r="AB25" s="0" t="s">
        <v>388</v>
      </c>
      <c r="AD25" s="0" t="n">
        <v>12</v>
      </c>
      <c r="AE25" s="0" t="s">
        <v>96</v>
      </c>
      <c r="AH25" s="0" t="n">
        <v>5</v>
      </c>
      <c r="AJ25" s="0" t="n">
        <v>10</v>
      </c>
      <c r="AP25" s="0" t="n">
        <v>650000</v>
      </c>
      <c r="DB25" s="0" t="str">
        <f aca="false">IF($A25="","",IF($AE25&amp;""&lt;&gt;設定!$C$4,"対象外",IF($AH25=20,IF(OR($AJ25=10,$AJ25=11,$AJ25=18),"①病院一般",IF($AJ25=41,"②病院短期","対象外")),IF($AH25=5,IF($AJ25=30,"③特定消防","対象外"),IF(OR($AJ25=10,$AJ25=11,$AJ25=74),"④一般",IF(OR($AJ25=41,$AJ25=47),"⑤短期","対象外"))))))</f>
        <v>対象外</v>
      </c>
    </row>
    <row r="26" customFormat="false" ht="15" hidden="false" customHeight="false" outlineLevel="0" collapsed="false">
      <c r="A26" s="0" t="n">
        <v>21</v>
      </c>
      <c r="AA26" s="0" t="n">
        <v>21</v>
      </c>
      <c r="AB26" s="0" t="s">
        <v>387</v>
      </c>
      <c r="AD26" s="0" t="n">
        <v>12</v>
      </c>
      <c r="AE26" s="0" t="s">
        <v>96</v>
      </c>
      <c r="AH26" s="0" t="n">
        <v>11</v>
      </c>
      <c r="AJ26" s="0" t="n">
        <v>10</v>
      </c>
      <c r="AP26" s="0" t="n">
        <v>410000</v>
      </c>
      <c r="DB26" s="0" t="str">
        <f aca="false">IF($A26="","",IF($AE26&amp;""&lt;&gt;設定!$C$4,"対象外",IF($AH26=20,IF(OR($AJ26=10,$AJ26=11,$AJ26=18),"①病院一般",IF($AJ26=41,"②病院短期","対象外")),IF($AH26=5,IF($AJ26=30,"③特定消防","対象外"),IF(OR($AJ26=10,$AJ26=11,$AJ26=74),"④一般",IF(OR($AJ26=41,$AJ26=47),"⑤短期","対象外"))))))</f>
        <v>④一般</v>
      </c>
    </row>
    <row r="27" customFormat="false" ht="15" hidden="false" customHeight="false" outlineLevel="0" collapsed="false">
      <c r="A27" s="0" t="n">
        <v>21</v>
      </c>
      <c r="AA27" s="0" t="n">
        <v>21</v>
      </c>
      <c r="AB27" s="0" t="s">
        <v>387</v>
      </c>
      <c r="AD27" s="0" t="n">
        <v>11</v>
      </c>
      <c r="AE27" s="0" t="s">
        <v>96</v>
      </c>
      <c r="AH27" s="0" t="n">
        <v>1</v>
      </c>
      <c r="AJ27" s="0" t="n">
        <v>10</v>
      </c>
      <c r="AP27" s="0" t="n">
        <v>360000</v>
      </c>
      <c r="DB27" s="0" t="str">
        <f aca="false">IF($A27="","",IF($AE27&amp;""&lt;&gt;設定!$C$4,"対象外",IF($AH27=20,IF(OR($AJ27=10,$AJ27=11,$AJ27=18),"①病院一般",IF($AJ27=41,"②病院短期","対象外")),IF($AH27=5,IF($AJ27=30,"③特定消防","対象外"),IF(OR($AJ27=10,$AJ27=11,$AJ27=74),"④一般",IF(OR($AJ27=41,$AJ27=47),"⑤短期","対象外"))))))</f>
        <v>④一般</v>
      </c>
    </row>
    <row r="28" customFormat="false" ht="15" hidden="false" customHeight="false" outlineLevel="0" collapsed="false">
      <c r="A28" s="0" t="n">
        <v>21</v>
      </c>
      <c r="AA28" s="0" t="n">
        <v>21</v>
      </c>
      <c r="AB28" s="0" t="s">
        <v>387</v>
      </c>
      <c r="AD28" s="0" t="n">
        <v>12</v>
      </c>
      <c r="AE28" s="0" t="s">
        <v>96</v>
      </c>
      <c r="AH28" s="0" t="n">
        <v>1</v>
      </c>
      <c r="AJ28" s="0" t="n">
        <v>10</v>
      </c>
      <c r="AP28" s="0" t="n">
        <v>710000</v>
      </c>
      <c r="DB28" s="0" t="str">
        <f aca="false">IF($A28="","",IF($AE28&amp;""&lt;&gt;設定!$C$4,"対象外",IF($AH28=20,IF(OR($AJ28=10,$AJ28=11,$AJ28=18),"①病院一般",IF($AJ28=41,"②病院短期","対象外")),IF($AH28=5,IF($AJ28=30,"③特定消防","対象外"),IF(OR($AJ28=10,$AJ28=11,$AJ28=74),"④一般",IF(OR($AJ28=41,$AJ28=47),"⑤短期","対象外"))))))</f>
        <v>④一般</v>
      </c>
    </row>
    <row r="29" customFormat="false" ht="15" hidden="false" customHeight="false" outlineLevel="0" collapsed="false">
      <c r="A29" s="0" t="n">
        <v>21</v>
      </c>
      <c r="AA29" s="0" t="n">
        <v>21</v>
      </c>
      <c r="AB29" s="0" t="s">
        <v>387</v>
      </c>
      <c r="AD29" s="0" t="n">
        <v>12</v>
      </c>
      <c r="AE29" s="0" t="s">
        <v>96</v>
      </c>
      <c r="AH29" s="0" t="n">
        <v>1</v>
      </c>
      <c r="AJ29" s="0" t="n">
        <v>10</v>
      </c>
      <c r="AP29" s="0" t="n">
        <v>470000</v>
      </c>
      <c r="DB29" s="0" t="str">
        <f aca="false">IF($A29="","",IF($AE29&amp;""&lt;&gt;設定!$C$4,"対象外",IF($AH29=20,IF(OR($AJ29=10,$AJ29=11,$AJ29=18),"①病院一般",IF($AJ29=41,"②病院短期","対象外")),IF($AH29=5,IF($AJ29=30,"③特定消防","対象外"),IF(OR($AJ29=10,$AJ29=11,$AJ29=74),"④一般",IF(OR($AJ29=41,$AJ29=47),"⑤短期","対象外"))))))</f>
        <v>④一般</v>
      </c>
    </row>
    <row r="30" customFormat="false" ht="15" hidden="false" customHeight="false" outlineLevel="0" collapsed="false">
      <c r="A30" s="0" t="n">
        <v>21</v>
      </c>
      <c r="AA30" s="0" t="n">
        <v>21</v>
      </c>
      <c r="AB30" s="0" t="s">
        <v>387</v>
      </c>
      <c r="AD30" s="0" t="n">
        <v>12</v>
      </c>
      <c r="AE30" s="0" t="s">
        <v>96</v>
      </c>
      <c r="AH30" s="0" t="n">
        <v>11</v>
      </c>
      <c r="AJ30" s="0" t="n">
        <v>10</v>
      </c>
      <c r="AP30" s="0" t="n">
        <v>470000</v>
      </c>
      <c r="DB30" s="0" t="str">
        <f aca="false">IF($A30="","",IF($AE30&amp;""&lt;&gt;設定!$C$4,"対象外",IF($AH30=20,IF(OR($AJ30=10,$AJ30=11,$AJ30=18),"①病院一般",IF($AJ30=41,"②病院短期","対象外")),IF($AH30=5,IF($AJ30=30,"③特定消防","対象外"),IF(OR($AJ30=10,$AJ30=11,$AJ30=74),"④一般",IF(OR($AJ30=41,$AJ30=47),"⑤短期","対象外"))))))</f>
        <v>④一般</v>
      </c>
    </row>
    <row r="31" customFormat="false" ht="15" hidden="false" customHeight="false" outlineLevel="0" collapsed="false">
      <c r="A31" s="0" t="n">
        <v>21</v>
      </c>
      <c r="AA31" s="0" t="n">
        <v>21</v>
      </c>
      <c r="AB31" s="0" t="s">
        <v>387</v>
      </c>
      <c r="AD31" s="0" t="n">
        <v>12</v>
      </c>
      <c r="AE31" s="0" t="s">
        <v>96</v>
      </c>
      <c r="AH31" s="0" t="n">
        <v>1</v>
      </c>
      <c r="AJ31" s="0" t="n">
        <v>10</v>
      </c>
      <c r="AP31" s="0" t="n">
        <v>590000</v>
      </c>
      <c r="DB31" s="0" t="str">
        <f aca="false">IF($A31="","",IF($AE31&amp;""&lt;&gt;設定!$C$4,"対象外",IF($AH31=20,IF(OR($AJ31=10,$AJ31=11,$AJ31=18),"①病院一般",IF($AJ31=41,"②病院短期","対象外")),IF($AH31=5,IF($AJ31=30,"③特定消防","対象外"),IF(OR($AJ31=10,$AJ31=11,$AJ31=74),"④一般",IF(OR($AJ31=41,$AJ31=47),"⑤短期","対象外"))))))</f>
        <v>④一般</v>
      </c>
    </row>
    <row r="32" customFormat="false" ht="15" hidden="false" customHeight="false" outlineLevel="0" collapsed="false">
      <c r="A32" s="0" t="n">
        <v>21</v>
      </c>
      <c r="AA32" s="0" t="n">
        <v>21</v>
      </c>
      <c r="AB32" s="0" t="s">
        <v>387</v>
      </c>
      <c r="AD32" s="0" t="n">
        <v>12</v>
      </c>
      <c r="AE32" s="0" t="s">
        <v>96</v>
      </c>
      <c r="AH32" s="0" t="n">
        <v>1</v>
      </c>
      <c r="AJ32" s="0" t="n">
        <v>10</v>
      </c>
      <c r="AP32" s="0" t="n">
        <v>560000</v>
      </c>
      <c r="DB32" s="0" t="str">
        <f aca="false">IF($A32="","",IF($AE32&amp;""&lt;&gt;設定!$C$4,"対象外",IF($AH32=20,IF(OR($AJ32=10,$AJ32=11,$AJ32=18),"①病院一般",IF($AJ32=41,"②病院短期","対象外")),IF($AH32=5,IF($AJ32=30,"③特定消防","対象外"),IF(OR($AJ32=10,$AJ32=11,$AJ32=74),"④一般",IF(OR($AJ32=41,$AJ32=47),"⑤短期","対象外"))))))</f>
        <v>④一般</v>
      </c>
    </row>
    <row r="33" customFormat="false" ht="15" hidden="false" customHeight="false" outlineLevel="0" collapsed="false">
      <c r="A33" s="0" t="n">
        <v>21</v>
      </c>
      <c r="AA33" s="0" t="n">
        <v>21</v>
      </c>
      <c r="AB33" s="0" t="s">
        <v>387</v>
      </c>
      <c r="AD33" s="0" t="n">
        <v>12</v>
      </c>
      <c r="AE33" s="0" t="s">
        <v>96</v>
      </c>
      <c r="AH33" s="0" t="n">
        <v>1</v>
      </c>
      <c r="AJ33" s="0" t="n">
        <v>10</v>
      </c>
      <c r="AP33" s="0" t="n">
        <v>560000</v>
      </c>
      <c r="DB33" s="0" t="str">
        <f aca="false">IF($A33="","",IF($AE33&amp;""&lt;&gt;設定!$C$4,"対象外",IF($AH33=20,IF(OR($AJ33=10,$AJ33=11,$AJ33=18),"①病院一般",IF($AJ33=41,"②病院短期","対象外")),IF($AH33=5,IF($AJ33=30,"③特定消防","対象外"),IF(OR($AJ33=10,$AJ33=11,$AJ33=74),"④一般",IF(OR($AJ33=41,$AJ33=47),"⑤短期","対象外"))))))</f>
        <v>④一般</v>
      </c>
    </row>
    <row r="34" customFormat="false" ht="15" hidden="false" customHeight="false" outlineLevel="0" collapsed="false">
      <c r="A34" s="0" t="n">
        <v>21</v>
      </c>
      <c r="AA34" s="0" t="n">
        <v>21</v>
      </c>
      <c r="AB34" s="0" t="s">
        <v>387</v>
      </c>
      <c r="AD34" s="0" t="n">
        <v>12</v>
      </c>
      <c r="AE34" s="0" t="s">
        <v>96</v>
      </c>
      <c r="AH34" s="0" t="n">
        <v>1</v>
      </c>
      <c r="AJ34" s="0" t="n">
        <v>10</v>
      </c>
      <c r="AP34" s="0" t="n">
        <v>620000</v>
      </c>
      <c r="DB34" s="0" t="str">
        <f aca="false">IF($A34="","",IF($AE34&amp;""&lt;&gt;設定!$C$4,"対象外",IF($AH34=20,IF(OR($AJ34=10,$AJ34=11,$AJ34=18),"①病院一般",IF($AJ34=41,"②病院短期","対象外")),IF($AH34=5,IF($AJ34=30,"③特定消防","対象外"),IF(OR($AJ34=10,$AJ34=11,$AJ34=74),"④一般",IF(OR($AJ34=41,$AJ34=47),"⑤短期","対象外"))))))</f>
        <v>④一般</v>
      </c>
    </row>
    <row r="35" customFormat="false" ht="15" hidden="false" customHeight="false" outlineLevel="0" collapsed="false">
      <c r="A35" s="0" t="n">
        <v>21</v>
      </c>
      <c r="AA35" s="0" t="n">
        <v>21</v>
      </c>
      <c r="AB35" s="0" t="s">
        <v>387</v>
      </c>
      <c r="AD35" s="0" t="n">
        <v>12</v>
      </c>
      <c r="AE35" s="0" t="s">
        <v>96</v>
      </c>
      <c r="AH35" s="0" t="n">
        <v>1</v>
      </c>
      <c r="AJ35" s="0" t="n">
        <v>10</v>
      </c>
      <c r="AP35" s="0" t="n">
        <v>650000</v>
      </c>
      <c r="DB35" s="0" t="str">
        <f aca="false">IF($A35="","",IF($AE35&amp;""&lt;&gt;設定!$C$4,"対象外",IF($AH35=20,IF(OR($AJ35=10,$AJ35=11,$AJ35=18),"①病院一般",IF($AJ35=41,"②病院短期","対象外")),IF($AH35=5,IF($AJ35=30,"③特定消防","対象外"),IF(OR($AJ35=10,$AJ35=11,$AJ35=74),"④一般",IF(OR($AJ35=41,$AJ35=47),"⑤短期","対象外"))))))</f>
        <v>④一般</v>
      </c>
    </row>
    <row r="36" customFormat="false" ht="15" hidden="false" customHeight="false" outlineLevel="0" collapsed="false">
      <c r="A36" s="0" t="n">
        <v>21</v>
      </c>
      <c r="AA36" s="0" t="n">
        <v>21</v>
      </c>
      <c r="AB36" s="0" t="s">
        <v>389</v>
      </c>
      <c r="AD36" s="0" t="n">
        <v>12</v>
      </c>
      <c r="AE36" s="0" t="s">
        <v>96</v>
      </c>
      <c r="AH36" s="0" t="n">
        <v>20</v>
      </c>
      <c r="AJ36" s="0" t="n">
        <v>10</v>
      </c>
      <c r="AP36" s="0" t="n">
        <v>340000</v>
      </c>
      <c r="DB36" s="0" t="str">
        <f aca="false">IF($A36="","",IF($AE36&amp;""&lt;&gt;設定!$C$4,"対象外",IF($AH36=20,IF(OR($AJ36=10,$AJ36=11,$AJ36=18),"①病院一般",IF($AJ36=41,"②病院短期","対象外")),IF($AH36=5,IF($AJ36=30,"③特定消防","対象外"),IF(OR($AJ36=10,$AJ36=11,$AJ36=74),"④一般",IF(OR($AJ36=41,$AJ36=47),"⑤短期","対象外"))))))</f>
        <v>①病院一般</v>
      </c>
    </row>
    <row r="37" customFormat="false" ht="15" hidden="false" customHeight="false" outlineLevel="0" collapsed="false">
      <c r="A37" s="0" t="n">
        <v>21</v>
      </c>
      <c r="AA37" s="0" t="n">
        <v>21</v>
      </c>
      <c r="AB37" s="0" t="s">
        <v>390</v>
      </c>
      <c r="AD37" s="0" t="n">
        <v>11</v>
      </c>
      <c r="AE37" s="0" t="s">
        <v>96</v>
      </c>
      <c r="AH37" s="0" t="n">
        <v>5</v>
      </c>
      <c r="AJ37" s="0" t="n">
        <v>30</v>
      </c>
      <c r="AP37" s="0" t="n">
        <v>410000</v>
      </c>
      <c r="DB37" s="0" t="str">
        <f aca="false">IF($A37="","",IF($AE37&amp;""&lt;&gt;設定!$C$4,"対象外",IF($AH37=20,IF(OR($AJ37=10,$AJ37=11,$AJ37=18),"①病院一般",IF($AJ37=41,"②病院短期","対象外")),IF($AH37=5,IF($AJ37=30,"③特定消防","対象外"),IF(OR($AJ37=10,$AJ37=11,$AJ37=74),"④一般",IF(OR($AJ37=41,$AJ37=47),"⑤短期","対象外"))))))</f>
        <v>③特定消防</v>
      </c>
    </row>
    <row r="38" customFormat="false" ht="15" hidden="false" customHeight="false" outlineLevel="0" collapsed="false">
      <c r="A38" s="0" t="n">
        <v>21</v>
      </c>
      <c r="AA38" s="0" t="n">
        <v>21</v>
      </c>
      <c r="AB38" s="0" t="s">
        <v>390</v>
      </c>
      <c r="AD38" s="0" t="n">
        <v>12</v>
      </c>
      <c r="AE38" s="0" t="s">
        <v>96</v>
      </c>
      <c r="AH38" s="0" t="n">
        <v>5</v>
      </c>
      <c r="AJ38" s="0" t="n">
        <v>30</v>
      </c>
      <c r="AP38" s="0" t="n">
        <v>530000</v>
      </c>
      <c r="DB38" s="0" t="str">
        <f aca="false">IF($A38="","",IF($AE38&amp;""&lt;&gt;設定!$C$4,"対象外",IF($AH38=20,IF(OR($AJ38=10,$AJ38=11,$AJ38=18),"①病院一般",IF($AJ38=41,"②病院短期","対象外")),IF($AH38=5,IF($AJ38=30,"③特定消防","対象外"),IF(OR($AJ38=10,$AJ38=11,$AJ38=74),"④一般",IF(OR($AJ38=41,$AJ38=47),"⑤短期","対象外"))))))</f>
        <v>③特定消防</v>
      </c>
    </row>
    <row r="39" customFormat="false" ht="15" hidden="false" customHeight="false" outlineLevel="0" collapsed="false">
      <c r="A39" s="0" t="n">
        <v>21</v>
      </c>
      <c r="AA39" s="0" t="n">
        <v>21</v>
      </c>
      <c r="AB39" s="0" t="s">
        <v>391</v>
      </c>
      <c r="AD39" s="0" t="n">
        <v>12</v>
      </c>
      <c r="AE39" s="0" t="s">
        <v>96</v>
      </c>
      <c r="AH39" s="0" t="n">
        <v>5</v>
      </c>
      <c r="AJ39" s="0" t="n">
        <v>10</v>
      </c>
      <c r="AP39" s="0" t="n">
        <v>650000</v>
      </c>
      <c r="DB39" s="0" t="str">
        <f aca="false">IF($A39="","",IF($AE39&amp;""&lt;&gt;設定!$C$4,"対象外",IF($AH39=20,IF(OR($AJ39=10,$AJ39=11,$AJ39=18),"①病院一般",IF($AJ39=41,"②病院短期","対象外")),IF($AH39=5,IF($AJ39=30,"③特定消防","対象外"),IF(OR($AJ39=10,$AJ39=11,$AJ39=74),"④一般",IF(OR($AJ39=41,$AJ39=47),"⑤短期","対象外"))))))</f>
        <v>対象外</v>
      </c>
    </row>
    <row r="40" customFormat="false" ht="15" hidden="false" customHeight="false" outlineLevel="0" collapsed="false">
      <c r="A40" s="0" t="n">
        <v>21</v>
      </c>
      <c r="AA40" s="0" t="n">
        <v>21</v>
      </c>
      <c r="AB40" s="0" t="s">
        <v>391</v>
      </c>
      <c r="AD40" s="0" t="n">
        <v>12</v>
      </c>
      <c r="AE40" s="0" t="s">
        <v>96</v>
      </c>
      <c r="AH40" s="0" t="n">
        <v>5</v>
      </c>
      <c r="AJ40" s="0" t="n">
        <v>10</v>
      </c>
      <c r="AP40" s="0" t="n">
        <v>650000</v>
      </c>
      <c r="DB40" s="0" t="str">
        <f aca="false">IF($A40="","",IF($AE40&amp;""&lt;&gt;設定!$C$4,"対象外",IF($AH40=20,IF(OR($AJ40=10,$AJ40=11,$AJ40=18),"①病院一般",IF($AJ40=41,"②病院短期","対象外")),IF($AH40=5,IF($AJ40=30,"③特定消防","対象外"),IF(OR($AJ40=10,$AJ40=11,$AJ40=74),"④一般",IF(OR($AJ40=41,$AJ40=47),"⑤短期","対象外"))))))</f>
        <v>対象外</v>
      </c>
    </row>
    <row r="41" customFormat="false" ht="15" hidden="false" customHeight="false" outlineLevel="0" collapsed="false">
      <c r="A41" s="0" t="n">
        <v>21</v>
      </c>
      <c r="AA41" s="0" t="n">
        <v>21</v>
      </c>
      <c r="AB41" s="0" t="s">
        <v>391</v>
      </c>
      <c r="AD41" s="0" t="n">
        <v>11</v>
      </c>
      <c r="AE41" s="0" t="s">
        <v>96</v>
      </c>
      <c r="AH41" s="0" t="n">
        <v>5</v>
      </c>
      <c r="AJ41" s="0" t="n">
        <v>30</v>
      </c>
      <c r="AP41" s="0" t="n">
        <v>340000</v>
      </c>
      <c r="DB41" s="0" t="str">
        <f aca="false">IF($A41="","",IF($AE41&amp;""&lt;&gt;設定!$C$4,"対象外",IF($AH41=20,IF(OR($AJ41=10,$AJ41=11,$AJ41=18),"①病院一般",IF($AJ41=41,"②病院短期","対象外")),IF($AH41=5,IF($AJ41=30,"③特定消防","対象外"),IF(OR($AJ41=10,$AJ41=11,$AJ41=74),"④一般",IF(OR($AJ41=41,$AJ41=47),"⑤短期","対象外"))))))</f>
        <v>③特定消防</v>
      </c>
    </row>
    <row r="42" customFormat="false" ht="15" hidden="false" customHeight="false" outlineLevel="0" collapsed="false">
      <c r="A42" s="0" t="n">
        <v>21</v>
      </c>
      <c r="AA42" s="0" t="n">
        <v>21</v>
      </c>
      <c r="AB42" s="0" t="s">
        <v>391</v>
      </c>
      <c r="AD42" s="0" t="n">
        <v>11</v>
      </c>
      <c r="AE42" s="0" t="s">
        <v>96</v>
      </c>
      <c r="AH42" s="0" t="n">
        <v>5</v>
      </c>
      <c r="AJ42" s="0" t="n">
        <v>30</v>
      </c>
      <c r="AP42" s="0" t="n">
        <v>380000</v>
      </c>
      <c r="DB42" s="0" t="str">
        <f aca="false">IF($A42="","",IF($AE42&amp;""&lt;&gt;設定!$C$4,"対象外",IF($AH42=20,IF(OR($AJ42=10,$AJ42=11,$AJ42=18),"①病院一般",IF($AJ42=41,"②病院短期","対象外")),IF($AH42=5,IF($AJ42=30,"③特定消防","対象外"),IF(OR($AJ42=10,$AJ42=11,$AJ42=74),"④一般",IF(OR($AJ42=41,$AJ42=47),"⑤短期","対象外"))))))</f>
        <v>③特定消防</v>
      </c>
    </row>
    <row r="43" customFormat="false" ht="15" hidden="false" customHeight="false" outlineLevel="0" collapsed="false">
      <c r="A43" s="0" t="n">
        <v>21</v>
      </c>
      <c r="AA43" s="0" t="n">
        <v>21</v>
      </c>
      <c r="AB43" s="0" t="s">
        <v>391</v>
      </c>
      <c r="AD43" s="0" t="n">
        <v>12</v>
      </c>
      <c r="AE43" s="0" t="s">
        <v>96</v>
      </c>
      <c r="AH43" s="0" t="n">
        <v>5</v>
      </c>
      <c r="AJ43" s="0" t="n">
        <v>10</v>
      </c>
      <c r="AP43" s="0" t="n">
        <v>560000</v>
      </c>
      <c r="DB43" s="0" t="str">
        <f aca="false">IF($A43="","",IF($AE43&amp;""&lt;&gt;設定!$C$4,"対象外",IF($AH43=20,IF(OR($AJ43=10,$AJ43=11,$AJ43=18),"①病院一般",IF($AJ43=41,"②病院短期","対象外")),IF($AH43=5,IF($AJ43=30,"③特定消防","対象外"),IF(OR($AJ43=10,$AJ43=11,$AJ43=74),"④一般",IF(OR($AJ43=41,$AJ43=47),"⑤短期","対象外"))))))</f>
        <v>対象外</v>
      </c>
    </row>
    <row r="44" customFormat="false" ht="15" hidden="false" customHeight="false" outlineLevel="0" collapsed="false">
      <c r="A44" s="0" t="n">
        <v>21</v>
      </c>
      <c r="AA44" s="0" t="n">
        <v>21</v>
      </c>
      <c r="AB44" s="0" t="s">
        <v>390</v>
      </c>
      <c r="AD44" s="0" t="n">
        <v>11</v>
      </c>
      <c r="AE44" s="0" t="s">
        <v>96</v>
      </c>
      <c r="AH44" s="0" t="n">
        <v>1</v>
      </c>
      <c r="AJ44" s="0" t="n">
        <v>10</v>
      </c>
      <c r="AP44" s="0" t="n">
        <v>360000</v>
      </c>
      <c r="DB44" s="0" t="str">
        <f aca="false">IF($A44="","",IF($AE44&amp;""&lt;&gt;設定!$C$4,"対象外",IF($AH44=20,IF(OR($AJ44=10,$AJ44=11,$AJ44=18),"①病院一般",IF($AJ44=41,"②病院短期","対象外")),IF($AH44=5,IF($AJ44=30,"③特定消防","対象外"),IF(OR($AJ44=10,$AJ44=11,$AJ44=74),"④一般",IF(OR($AJ44=41,$AJ44=47),"⑤短期","対象外"))))))</f>
        <v>④一般</v>
      </c>
    </row>
    <row r="45" customFormat="false" ht="15" hidden="false" customHeight="false" outlineLevel="0" collapsed="false">
      <c r="A45" s="0" t="n">
        <v>21</v>
      </c>
      <c r="AA45" s="0" t="n">
        <v>21</v>
      </c>
      <c r="AB45" s="0" t="s">
        <v>390</v>
      </c>
      <c r="AD45" s="0" t="n">
        <v>11</v>
      </c>
      <c r="AE45" s="0" t="s">
        <v>96</v>
      </c>
      <c r="AH45" s="0" t="n">
        <v>1</v>
      </c>
      <c r="AJ45" s="0" t="n">
        <v>10</v>
      </c>
      <c r="AP45" s="0" t="n">
        <v>440000</v>
      </c>
      <c r="DB45" s="0" t="str">
        <f aca="false">IF($A45="","",IF($AE45&amp;""&lt;&gt;設定!$C$4,"対象外",IF($AH45=20,IF(OR($AJ45=10,$AJ45=11,$AJ45=18),"①病院一般",IF($AJ45=41,"②病院短期","対象外")),IF($AH45=5,IF($AJ45=30,"③特定消防","対象外"),IF(OR($AJ45=10,$AJ45=11,$AJ45=74),"④一般",IF(OR($AJ45=41,$AJ45=47),"⑤短期","対象外"))))))</f>
        <v>④一般</v>
      </c>
    </row>
    <row r="46" customFormat="false" ht="15" hidden="false" customHeight="false" outlineLevel="0" collapsed="false">
      <c r="A46" s="0" t="n">
        <v>21</v>
      </c>
      <c r="AA46" s="0" t="n">
        <v>21</v>
      </c>
      <c r="AB46" s="0" t="s">
        <v>390</v>
      </c>
      <c r="AD46" s="0" t="n">
        <v>12</v>
      </c>
      <c r="AE46" s="0" t="s">
        <v>96</v>
      </c>
      <c r="AH46" s="0" t="n">
        <v>1</v>
      </c>
      <c r="AJ46" s="0" t="n">
        <v>10</v>
      </c>
      <c r="AP46" s="0" t="n">
        <v>560000</v>
      </c>
      <c r="DB46" s="0" t="str">
        <f aca="false">IF($A46="","",IF($AE46&amp;""&lt;&gt;設定!$C$4,"対象外",IF($AH46=20,IF(OR($AJ46=10,$AJ46=11,$AJ46=18),"①病院一般",IF($AJ46=41,"②病院短期","対象外")),IF($AH46=5,IF($AJ46=30,"③特定消防","対象外"),IF(OR($AJ46=10,$AJ46=11,$AJ46=74),"④一般",IF(OR($AJ46=41,$AJ46=47),"⑤短期","対象外"))))))</f>
        <v>④一般</v>
      </c>
    </row>
    <row r="47" customFormat="false" ht="15" hidden="false" customHeight="false" outlineLevel="0" collapsed="false">
      <c r="A47" s="0" t="n">
        <v>21</v>
      </c>
      <c r="AA47" s="0" t="n">
        <v>21</v>
      </c>
      <c r="AB47" s="0" t="s">
        <v>390</v>
      </c>
      <c r="AD47" s="0" t="n">
        <v>11</v>
      </c>
      <c r="AE47" s="0" t="s">
        <v>96</v>
      </c>
      <c r="AH47" s="0" t="n">
        <v>4</v>
      </c>
      <c r="AJ47" s="0" t="n">
        <v>10</v>
      </c>
      <c r="AP47" s="0" t="n">
        <v>340000</v>
      </c>
      <c r="DB47" s="0" t="str">
        <f aca="false">IF($A47="","",IF($AE47&amp;""&lt;&gt;設定!$C$4,"対象外",IF($AH47=20,IF(OR($AJ47=10,$AJ47=11,$AJ47=18),"①病院一般",IF($AJ47=41,"②病院短期","対象外")),IF($AH47=5,IF($AJ47=30,"③特定消防","対象外"),IF(OR($AJ47=10,$AJ47=11,$AJ47=74),"④一般",IF(OR($AJ47=41,$AJ47=47),"⑤短期","対象外"))))))</f>
        <v>④一般</v>
      </c>
    </row>
    <row r="48" customFormat="false" ht="15" hidden="false" customHeight="false" outlineLevel="0" collapsed="false">
      <c r="A48" s="0" t="n">
        <v>21</v>
      </c>
      <c r="AA48" s="0" t="n">
        <v>21</v>
      </c>
      <c r="AB48" s="0" t="s">
        <v>390</v>
      </c>
      <c r="AD48" s="0" t="n">
        <v>11</v>
      </c>
      <c r="AE48" s="0" t="s">
        <v>96</v>
      </c>
      <c r="AH48" s="0" t="n">
        <v>1</v>
      </c>
      <c r="AJ48" s="0" t="n">
        <v>10</v>
      </c>
      <c r="AP48" s="0" t="n">
        <v>340000</v>
      </c>
      <c r="DB48" s="0" t="str">
        <f aca="false">IF($A48="","",IF($AE48&amp;""&lt;&gt;設定!$C$4,"対象外",IF($AH48=20,IF(OR($AJ48=10,$AJ48=11,$AJ48=18),"①病院一般",IF($AJ48=41,"②病院短期","対象外")),IF($AH48=5,IF($AJ48=30,"③特定消防","対象外"),IF(OR($AJ48=10,$AJ48=11,$AJ48=74),"④一般",IF(OR($AJ48=41,$AJ48=47),"⑤短期","対象外"))))))</f>
        <v>④一般</v>
      </c>
    </row>
    <row r="49" customFormat="false" ht="15" hidden="false" customHeight="false" outlineLevel="0" collapsed="false">
      <c r="A49" s="0" t="n">
        <v>21</v>
      </c>
      <c r="AA49" s="0" t="n">
        <v>21</v>
      </c>
      <c r="AB49" s="0" t="s">
        <v>392</v>
      </c>
      <c r="AD49" s="0" t="n">
        <v>11</v>
      </c>
      <c r="AE49" s="0" t="s">
        <v>96</v>
      </c>
      <c r="AH49" s="0" t="n">
        <v>1</v>
      </c>
      <c r="AJ49" s="0" t="n">
        <v>10</v>
      </c>
      <c r="AP49" s="0" t="n">
        <v>340000</v>
      </c>
      <c r="DB49" s="0" t="str">
        <f aca="false">IF($A49="","",IF($AE49&amp;""&lt;&gt;設定!$C$4,"対象外",IF($AH49=20,IF(OR($AJ49=10,$AJ49=11,$AJ49=18),"①病院一般",IF($AJ49=41,"②病院短期","対象外")),IF($AH49=5,IF($AJ49=30,"③特定消防","対象外"),IF(OR($AJ49=10,$AJ49=11,$AJ49=74),"④一般",IF(OR($AJ49=41,$AJ49=47),"⑤短期","対象外"))))))</f>
        <v>④一般</v>
      </c>
    </row>
    <row r="50" customFormat="false" ht="15" hidden="false" customHeight="false" outlineLevel="0" collapsed="false">
      <c r="A50" s="0" t="n">
        <v>21</v>
      </c>
      <c r="AA50" s="0" t="n">
        <v>24</v>
      </c>
      <c r="AB50" s="0" t="s">
        <v>393</v>
      </c>
      <c r="AD50" s="0" t="n">
        <v>12</v>
      </c>
      <c r="AE50" s="0" t="s">
        <v>96</v>
      </c>
      <c r="AH50" s="0" t="n">
        <v>1</v>
      </c>
      <c r="AJ50" s="0" t="n">
        <v>10</v>
      </c>
      <c r="AP50" s="0" t="n">
        <v>360000</v>
      </c>
      <c r="DB50" s="0" t="str">
        <f aca="false">IF($A50="","",IF($AE50&amp;""&lt;&gt;設定!$C$4,"対象外",IF($AH50=20,IF(OR($AJ50=10,$AJ50=11,$AJ50=18),"①病院一般",IF($AJ50=41,"②病院短期","対象外")),IF($AH50=5,IF($AJ50=30,"③特定消防","対象外"),IF(OR($AJ50=10,$AJ50=11,$AJ50=74),"④一般",IF(OR($AJ50=41,$AJ50=47),"⑤短期","対象外"))))))</f>
        <v>④一般</v>
      </c>
    </row>
    <row r="51" customFormat="false" ht="15" hidden="false" customHeight="false" outlineLevel="0" collapsed="false">
      <c r="A51" s="0" t="n">
        <v>21</v>
      </c>
      <c r="AA51" s="0" t="n">
        <v>21</v>
      </c>
      <c r="AB51" s="0" t="s">
        <v>390</v>
      </c>
      <c r="AD51" s="0" t="n">
        <v>11</v>
      </c>
      <c r="AE51" s="0" t="s">
        <v>96</v>
      </c>
      <c r="AH51" s="0" t="n">
        <v>1</v>
      </c>
      <c r="AJ51" s="0" t="n">
        <v>10</v>
      </c>
      <c r="AP51" s="0" t="n">
        <v>320000</v>
      </c>
      <c r="DB51" s="0" t="str">
        <f aca="false">IF($A51="","",IF($AE51&amp;""&lt;&gt;設定!$C$4,"対象外",IF($AH51=20,IF(OR($AJ51=10,$AJ51=11,$AJ51=18),"①病院一般",IF($AJ51=41,"②病院短期","対象外")),IF($AH51=5,IF($AJ51=30,"③特定消防","対象外"),IF(OR($AJ51=10,$AJ51=11,$AJ51=74),"④一般",IF(OR($AJ51=41,$AJ51=47),"⑤短期","対象外"))))))</f>
        <v>④一般</v>
      </c>
    </row>
    <row r="52" customFormat="false" ht="15" hidden="false" customHeight="false" outlineLevel="0" collapsed="false">
      <c r="A52" s="0" t="n">
        <v>21</v>
      </c>
      <c r="AA52" s="0" t="n">
        <v>21</v>
      </c>
      <c r="AB52" s="0" t="s">
        <v>391</v>
      </c>
      <c r="AD52" s="0" t="n">
        <v>11</v>
      </c>
      <c r="AE52" s="0" t="s">
        <v>96</v>
      </c>
      <c r="AH52" s="0" t="n">
        <v>1</v>
      </c>
      <c r="AJ52" s="0" t="n">
        <v>10</v>
      </c>
      <c r="AP52" s="0" t="n">
        <v>340000</v>
      </c>
      <c r="DB52" s="0" t="str">
        <f aca="false">IF($A52="","",IF($AE52&amp;""&lt;&gt;設定!$C$4,"対象外",IF($AH52=20,IF(OR($AJ52=10,$AJ52=11,$AJ52=18),"①病院一般",IF($AJ52=41,"②病院短期","対象外")),IF($AH52=5,IF($AJ52=30,"③特定消防","対象外"),IF(OR($AJ52=10,$AJ52=11,$AJ52=74),"④一般",IF(OR($AJ52=41,$AJ52=47),"⑤短期","対象外"))))))</f>
        <v>④一般</v>
      </c>
    </row>
    <row r="53" customFormat="false" ht="15" hidden="false" customHeight="false" outlineLevel="0" collapsed="false">
      <c r="A53" s="0" t="n">
        <v>21</v>
      </c>
      <c r="AA53" s="0" t="n">
        <v>21</v>
      </c>
      <c r="AB53" s="0" t="s">
        <v>390</v>
      </c>
      <c r="AD53" s="0" t="n">
        <v>12</v>
      </c>
      <c r="AE53" s="0" t="s">
        <v>96</v>
      </c>
      <c r="AH53" s="0" t="n">
        <v>4</v>
      </c>
      <c r="AJ53" s="0" t="n">
        <v>10</v>
      </c>
      <c r="AP53" s="0" t="n">
        <v>650000</v>
      </c>
      <c r="DB53" s="0" t="str">
        <f aca="false">IF($A53="","",IF($AE53&amp;""&lt;&gt;設定!$C$4,"対象外",IF($AH53=20,IF(OR($AJ53=10,$AJ53=11,$AJ53=18),"①病院一般",IF($AJ53=41,"②病院短期","対象外")),IF($AH53=5,IF($AJ53=30,"③特定消防","対象外"),IF(OR($AJ53=10,$AJ53=11,$AJ53=74),"④一般",IF(OR($AJ53=41,$AJ53=47),"⑤短期","対象外"))))))</f>
        <v>④一般</v>
      </c>
    </row>
    <row r="54" customFormat="false" ht="15" hidden="false" customHeight="false" outlineLevel="0" collapsed="false">
      <c r="A54" s="0" t="n">
        <v>21</v>
      </c>
      <c r="AA54" s="0" t="n">
        <v>21</v>
      </c>
      <c r="AB54" s="0" t="s">
        <v>390</v>
      </c>
      <c r="AD54" s="0" t="n">
        <v>11</v>
      </c>
      <c r="AE54" s="0" t="s">
        <v>96</v>
      </c>
      <c r="AH54" s="0" t="n">
        <v>4</v>
      </c>
      <c r="AJ54" s="0" t="n">
        <v>10</v>
      </c>
      <c r="AP54" s="0" t="n">
        <v>340000</v>
      </c>
      <c r="DB54" s="0" t="str">
        <f aca="false">IF($A54="","",IF($AE54&amp;""&lt;&gt;設定!$C$4,"対象外",IF($AH54=20,IF(OR($AJ54=10,$AJ54=11,$AJ54=18),"①病院一般",IF($AJ54=41,"②病院短期","対象外")),IF($AH54=5,IF($AJ54=30,"③特定消防","対象外"),IF(OR($AJ54=10,$AJ54=11,$AJ54=74),"④一般",IF(OR($AJ54=41,$AJ54=47),"⑤短期","対象外"))))))</f>
        <v>④一般</v>
      </c>
    </row>
    <row r="55" customFormat="false" ht="15" hidden="false" customHeight="false" outlineLevel="0" collapsed="false">
      <c r="A55" s="0" t="n">
        <v>21</v>
      </c>
      <c r="AA55" s="0" t="n">
        <v>21</v>
      </c>
      <c r="AB55" s="0" t="s">
        <v>390</v>
      </c>
      <c r="AD55" s="0" t="n">
        <v>11</v>
      </c>
      <c r="AE55" s="0" t="s">
        <v>96</v>
      </c>
      <c r="AH55" s="0" t="n">
        <v>4</v>
      </c>
      <c r="AJ55" s="0" t="n">
        <v>10</v>
      </c>
      <c r="AP55" s="0" t="n">
        <v>340000</v>
      </c>
      <c r="DB55" s="0" t="str">
        <f aca="false">IF($A55="","",IF($AE55&amp;""&lt;&gt;設定!$C$4,"対象外",IF($AH55=20,IF(OR($AJ55=10,$AJ55=11,$AJ55=18),"①病院一般",IF($AJ55=41,"②病院短期","対象外")),IF($AH55=5,IF($AJ55=30,"③特定消防","対象外"),IF(OR($AJ55=10,$AJ55=11,$AJ55=74),"④一般",IF(OR($AJ55=41,$AJ55=47),"⑤短期","対象外"))))))</f>
        <v>④一般</v>
      </c>
    </row>
    <row r="56" customFormat="false" ht="15" hidden="false" customHeight="false" outlineLevel="0" collapsed="false">
      <c r="A56" s="0" t="n">
        <v>21</v>
      </c>
      <c r="AA56" s="0" t="n">
        <v>21</v>
      </c>
      <c r="AB56" s="0" t="s">
        <v>390</v>
      </c>
      <c r="AD56" s="0" t="n">
        <v>12</v>
      </c>
      <c r="AE56" s="0" t="s">
        <v>96</v>
      </c>
      <c r="AH56" s="0" t="n">
        <v>4</v>
      </c>
      <c r="AJ56" s="0" t="n">
        <v>10</v>
      </c>
      <c r="AP56" s="0" t="n">
        <v>470000</v>
      </c>
      <c r="DB56" s="0" t="str">
        <f aca="false">IF($A56="","",IF($AE56&amp;""&lt;&gt;設定!$C$4,"対象外",IF($AH56=20,IF(OR($AJ56=10,$AJ56=11,$AJ56=18),"①病院一般",IF($AJ56=41,"②病院短期","対象外")),IF($AH56=5,IF($AJ56=30,"③特定消防","対象外"),IF(OR($AJ56=10,$AJ56=11,$AJ56=74),"④一般",IF(OR($AJ56=41,$AJ56=47),"⑤短期","対象外"))))))</f>
        <v>④一般</v>
      </c>
    </row>
    <row r="57" customFormat="false" ht="15" hidden="false" customHeight="false" outlineLevel="0" collapsed="false">
      <c r="A57" s="0" t="n">
        <v>21</v>
      </c>
      <c r="AA57" s="0" t="n">
        <v>21</v>
      </c>
      <c r="AB57" s="0" t="s">
        <v>394</v>
      </c>
      <c r="AD57" s="0" t="n">
        <v>11</v>
      </c>
      <c r="AE57" s="0" t="s">
        <v>96</v>
      </c>
      <c r="AH57" s="0" t="n">
        <v>1</v>
      </c>
      <c r="AJ57" s="0" t="n">
        <v>10</v>
      </c>
      <c r="AP57" s="0" t="n">
        <v>340000</v>
      </c>
      <c r="DB57" s="0" t="str">
        <f aca="false">IF($A57="","",IF($AE57&amp;""&lt;&gt;設定!$C$4,"対象外",IF($AH57=20,IF(OR($AJ57=10,$AJ57=11,$AJ57=18),"①病院一般",IF($AJ57=41,"②病院短期","対象外")),IF($AH57=5,IF($AJ57=30,"③特定消防","対象外"),IF(OR($AJ57=10,$AJ57=11,$AJ57=74),"④一般",IF(OR($AJ57=41,$AJ57=47),"⑤短期","対象外"))))))</f>
        <v>④一般</v>
      </c>
    </row>
    <row r="58" customFormat="false" ht="15" hidden="false" customHeight="false" outlineLevel="0" collapsed="false">
      <c r="A58" s="0" t="n">
        <v>21</v>
      </c>
      <c r="AA58" s="0" t="n">
        <v>21</v>
      </c>
      <c r="AB58" s="0" t="s">
        <v>395</v>
      </c>
      <c r="AD58" s="0" t="n">
        <v>12</v>
      </c>
      <c r="AE58" s="0" t="s">
        <v>96</v>
      </c>
      <c r="AH58" s="0" t="n">
        <v>20</v>
      </c>
      <c r="AJ58" s="0" t="n">
        <v>10</v>
      </c>
      <c r="AP58" s="0" t="n">
        <v>380000</v>
      </c>
      <c r="DB58" s="0" t="str">
        <f aca="false">IF($A58="","",IF($AE58&amp;""&lt;&gt;設定!$C$4,"対象外",IF($AH58=20,IF(OR($AJ58=10,$AJ58=11,$AJ58=18),"①病院一般",IF($AJ58=41,"②病院短期","対象外")),IF($AH58=5,IF($AJ58=30,"③特定消防","対象外"),IF(OR($AJ58=10,$AJ58=11,$AJ58=74),"④一般",IF(OR($AJ58=41,$AJ58=47),"⑤短期","対象外"))))))</f>
        <v>①病院一般</v>
      </c>
    </row>
    <row r="59" customFormat="false" ht="15" hidden="false" customHeight="false" outlineLevel="0" collapsed="false">
      <c r="A59" s="0" t="n">
        <v>21</v>
      </c>
      <c r="AA59" s="0" t="n">
        <v>21</v>
      </c>
      <c r="AB59" s="0" t="s">
        <v>395</v>
      </c>
      <c r="AD59" s="0" t="n">
        <v>12</v>
      </c>
      <c r="AE59" s="0" t="s">
        <v>96</v>
      </c>
      <c r="AH59" s="0" t="n">
        <v>20</v>
      </c>
      <c r="AJ59" s="0" t="n">
        <v>10</v>
      </c>
      <c r="AP59" s="0" t="n">
        <v>590000</v>
      </c>
      <c r="DB59" s="0" t="str">
        <f aca="false">IF($A59="","",IF($AE59&amp;""&lt;&gt;設定!$C$4,"対象外",IF($AH59=20,IF(OR($AJ59=10,$AJ59=11,$AJ59=18),"①病院一般",IF($AJ59=41,"②病院短期","対象外")),IF($AH59=5,IF($AJ59=30,"③特定消防","対象外"),IF(OR($AJ59=10,$AJ59=11,$AJ59=74),"④一般",IF(OR($AJ59=41,$AJ59=47),"⑤短期","対象外"))))))</f>
        <v>①病院一般</v>
      </c>
    </row>
    <row r="60" customFormat="false" ht="15" hidden="false" customHeight="false" outlineLevel="0" collapsed="false">
      <c r="A60" s="0" t="n">
        <v>21</v>
      </c>
      <c r="AA60" s="0" t="n">
        <v>21</v>
      </c>
      <c r="AB60" s="0" t="s">
        <v>396</v>
      </c>
      <c r="AD60" s="0" t="n">
        <v>16</v>
      </c>
      <c r="AE60" s="0" t="s">
        <v>96</v>
      </c>
      <c r="AH60" s="0" t="n">
        <v>20</v>
      </c>
      <c r="AJ60" s="0" t="n">
        <v>10</v>
      </c>
      <c r="AP60" s="0" t="n">
        <v>380000</v>
      </c>
      <c r="DB60" s="0" t="str">
        <f aca="false">IF($A60="","",IF($AE60&amp;""&lt;&gt;設定!$C$4,"対象外",IF($AH60=20,IF(OR($AJ60=10,$AJ60=11,$AJ60=18),"①病院一般",IF($AJ60=41,"②病院短期","対象外")),IF($AH60=5,IF($AJ60=30,"③特定消防","対象外"),IF(OR($AJ60=10,$AJ60=11,$AJ60=74),"④一般",IF(OR($AJ60=41,$AJ60=47),"⑤短期","対象外"))))))</f>
        <v>①病院一般</v>
      </c>
    </row>
    <row r="61" customFormat="false" ht="15" hidden="false" customHeight="false" outlineLevel="0" collapsed="false">
      <c r="A61" s="0" t="n">
        <v>21</v>
      </c>
      <c r="AA61" s="0" t="n">
        <v>21</v>
      </c>
      <c r="AB61" s="0" t="s">
        <v>397</v>
      </c>
      <c r="AD61" s="0" t="n">
        <v>12</v>
      </c>
      <c r="AE61" s="0" t="s">
        <v>96</v>
      </c>
      <c r="AH61" s="0" t="n">
        <v>20</v>
      </c>
      <c r="AJ61" s="0" t="n">
        <v>10</v>
      </c>
      <c r="AP61" s="0" t="n">
        <v>360000</v>
      </c>
      <c r="DB61" s="0" t="str">
        <f aca="false">IF($A61="","",IF($AE61&amp;""&lt;&gt;設定!$C$4,"対象外",IF($AH61=20,IF(OR($AJ61=10,$AJ61=11,$AJ61=18),"①病院一般",IF($AJ61=41,"②病院短期","対象外")),IF($AH61=5,IF($AJ61=30,"③特定消防","対象外"),IF(OR($AJ61=10,$AJ61=11,$AJ61=74),"④一般",IF(OR($AJ61=41,$AJ61=47),"⑤短期","対象外"))))))</f>
        <v>①病院一般</v>
      </c>
    </row>
    <row r="62" customFormat="false" ht="15" hidden="false" customHeight="false" outlineLevel="0" collapsed="false">
      <c r="A62" s="0" t="n">
        <v>21</v>
      </c>
      <c r="AA62" s="0" t="n">
        <v>21</v>
      </c>
      <c r="AB62" s="0" t="s">
        <v>398</v>
      </c>
      <c r="AD62" s="0" t="n">
        <v>11</v>
      </c>
      <c r="AE62" s="0" t="s">
        <v>96</v>
      </c>
      <c r="AH62" s="0" t="n">
        <v>1</v>
      </c>
      <c r="AJ62" s="0" t="n">
        <v>10</v>
      </c>
      <c r="AP62" s="0" t="n">
        <v>530000</v>
      </c>
      <c r="DB62" s="0" t="str">
        <f aca="false">IF($A62="","",IF($AE62&amp;""&lt;&gt;設定!$C$4,"対象外",IF($AH62=20,IF(OR($AJ62=10,$AJ62=11,$AJ62=18),"①病院一般",IF($AJ62=41,"②病院短期","対象外")),IF($AH62=5,IF($AJ62=30,"③特定消防","対象外"),IF(OR($AJ62=10,$AJ62=11,$AJ62=74),"④一般",IF(OR($AJ62=41,$AJ62=47),"⑤短期","対象外"))))))</f>
        <v>④一般</v>
      </c>
    </row>
    <row r="63" customFormat="false" ht="15" hidden="false" customHeight="false" outlineLevel="0" collapsed="false">
      <c r="A63" s="0" t="n">
        <v>21</v>
      </c>
      <c r="AA63" s="0" t="n">
        <v>21</v>
      </c>
      <c r="AB63" s="0" t="s">
        <v>399</v>
      </c>
      <c r="AD63" s="0" t="n">
        <v>12</v>
      </c>
      <c r="AE63" s="0" t="s">
        <v>96</v>
      </c>
      <c r="AH63" s="0" t="n">
        <v>20</v>
      </c>
      <c r="AJ63" s="0" t="n">
        <v>10</v>
      </c>
      <c r="AP63" s="0" t="n">
        <v>440000</v>
      </c>
      <c r="DB63" s="0" t="str">
        <f aca="false">IF($A63="","",IF($AE63&amp;""&lt;&gt;設定!$C$4,"対象外",IF($AH63=20,IF(OR($AJ63=10,$AJ63=11,$AJ63=18),"①病院一般",IF($AJ63=41,"②病院短期","対象外")),IF($AH63=5,IF($AJ63=30,"③特定消防","対象外"),IF(OR($AJ63=10,$AJ63=11,$AJ63=74),"④一般",IF(OR($AJ63=41,$AJ63=47),"⑤短期","対象外"))))))</f>
        <v>①病院一般</v>
      </c>
    </row>
    <row r="64" customFormat="false" ht="15" hidden="false" customHeight="false" outlineLevel="0" collapsed="false">
      <c r="A64" s="0" t="n">
        <v>21</v>
      </c>
      <c r="AA64" s="0" t="n">
        <v>21</v>
      </c>
      <c r="AB64" s="0" t="s">
        <v>394</v>
      </c>
      <c r="AD64" s="0" t="n">
        <v>12</v>
      </c>
      <c r="AE64" s="0" t="s">
        <v>96</v>
      </c>
      <c r="AH64" s="0" t="n">
        <v>5</v>
      </c>
      <c r="AJ64" s="0" t="n">
        <v>30</v>
      </c>
      <c r="AP64" s="0" t="n">
        <v>320000</v>
      </c>
      <c r="DB64" s="0" t="str">
        <f aca="false">IF($A64="","",IF($AE64&amp;""&lt;&gt;設定!$C$4,"対象外",IF($AH64=20,IF(OR($AJ64=10,$AJ64=11,$AJ64=18),"①病院一般",IF($AJ64=41,"②病院短期","対象外")),IF($AH64=5,IF($AJ64=30,"③特定消防","対象外"),IF(OR($AJ64=10,$AJ64=11,$AJ64=74),"④一般",IF(OR($AJ64=41,$AJ64=47),"⑤短期","対象外"))))))</f>
        <v>③特定消防</v>
      </c>
    </row>
    <row r="65" customFormat="false" ht="15" hidden="false" customHeight="false" outlineLevel="0" collapsed="false">
      <c r="A65" s="0" t="n">
        <v>21</v>
      </c>
      <c r="AA65" s="0" t="n">
        <v>21</v>
      </c>
      <c r="AB65" s="0" t="s">
        <v>394</v>
      </c>
      <c r="AD65" s="0" t="n">
        <v>11</v>
      </c>
      <c r="AE65" s="0" t="s">
        <v>96</v>
      </c>
      <c r="AH65" s="0" t="n">
        <v>1</v>
      </c>
      <c r="AJ65" s="0" t="n">
        <v>10</v>
      </c>
      <c r="AP65" s="0" t="n">
        <v>320000</v>
      </c>
      <c r="DB65" s="0" t="str">
        <f aca="false">IF($A65="","",IF($AE65&amp;""&lt;&gt;設定!$C$4,"対象外",IF($AH65=20,IF(OR($AJ65=10,$AJ65=11,$AJ65=18),"①病院一般",IF($AJ65=41,"②病院短期","対象外")),IF($AH65=5,IF($AJ65=30,"③特定消防","対象外"),IF(OR($AJ65=10,$AJ65=11,$AJ65=74),"④一般",IF(OR($AJ65=41,$AJ65=47),"⑤短期","対象外"))))))</f>
        <v>④一般</v>
      </c>
    </row>
    <row r="66" customFormat="false" ht="15" hidden="false" customHeight="false" outlineLevel="0" collapsed="false">
      <c r="A66" s="0" t="n">
        <v>21</v>
      </c>
      <c r="AA66" s="0" t="n">
        <v>21</v>
      </c>
      <c r="AB66" s="0" t="s">
        <v>394</v>
      </c>
      <c r="AD66" s="0" t="n">
        <v>12</v>
      </c>
      <c r="AE66" s="0" t="s">
        <v>96</v>
      </c>
      <c r="AH66" s="0" t="n">
        <v>1</v>
      </c>
      <c r="AJ66" s="0" t="n">
        <v>10</v>
      </c>
      <c r="AP66" s="0" t="n">
        <v>560000</v>
      </c>
      <c r="DB66" s="0" t="str">
        <f aca="false">IF($A66="","",IF($AE66&amp;""&lt;&gt;設定!$C$4,"対象外",IF($AH66=20,IF(OR($AJ66=10,$AJ66=11,$AJ66=18),"①病院一般",IF($AJ66=41,"②病院短期","対象外")),IF($AH66=5,IF($AJ66=30,"③特定消防","対象外"),IF(OR($AJ66=10,$AJ66=11,$AJ66=74),"④一般",IF(OR($AJ66=41,$AJ66=47),"⑤短期","対象外"))))))</f>
        <v>④一般</v>
      </c>
    </row>
    <row r="67" customFormat="false" ht="15" hidden="false" customHeight="false" outlineLevel="0" collapsed="false">
      <c r="A67" s="0" t="n">
        <v>21</v>
      </c>
      <c r="AA67" s="0" t="n">
        <v>21</v>
      </c>
      <c r="AB67" s="0" t="s">
        <v>394</v>
      </c>
      <c r="AD67" s="0" t="n">
        <v>12</v>
      </c>
      <c r="AE67" s="0" t="s">
        <v>96</v>
      </c>
      <c r="AH67" s="0" t="n">
        <v>1</v>
      </c>
      <c r="AJ67" s="0" t="n">
        <v>10</v>
      </c>
      <c r="AP67" s="0" t="n">
        <v>560000</v>
      </c>
      <c r="DB67" s="0" t="str">
        <f aca="false">IF($A67="","",IF($AE67&amp;""&lt;&gt;設定!$C$4,"対象外",IF($AH67=20,IF(OR($AJ67=10,$AJ67=11,$AJ67=18),"①病院一般",IF($AJ67=41,"②病院短期","対象外")),IF($AH67=5,IF($AJ67=30,"③特定消防","対象外"),IF(OR($AJ67=10,$AJ67=11,$AJ67=74),"④一般",IF(OR($AJ67=41,$AJ67=47),"⑤短期","対象外"))))))</f>
        <v>④一般</v>
      </c>
    </row>
    <row r="68" customFormat="false" ht="15" hidden="false" customHeight="false" outlineLevel="0" collapsed="false">
      <c r="A68" s="0" t="n">
        <v>21</v>
      </c>
      <c r="AA68" s="0" t="n">
        <v>21</v>
      </c>
      <c r="AB68" s="0" t="s">
        <v>394</v>
      </c>
      <c r="AD68" s="0" t="n">
        <v>11</v>
      </c>
      <c r="AE68" s="0" t="s">
        <v>96</v>
      </c>
      <c r="AH68" s="0" t="n">
        <v>1</v>
      </c>
      <c r="AJ68" s="0" t="n">
        <v>10</v>
      </c>
      <c r="AP68" s="0" t="n">
        <v>560000</v>
      </c>
      <c r="DB68" s="0" t="str">
        <f aca="false">IF($A68="","",IF($AE68&amp;""&lt;&gt;設定!$C$4,"対象外",IF($AH68=20,IF(OR($AJ68=10,$AJ68=11,$AJ68=18),"①病院一般",IF($AJ68=41,"②病院短期","対象外")),IF($AH68=5,IF($AJ68=30,"③特定消防","対象外"),IF(OR($AJ68=10,$AJ68=11,$AJ68=74),"④一般",IF(OR($AJ68=41,$AJ68=47),"⑤短期","対象外"))))))</f>
        <v>④一般</v>
      </c>
    </row>
    <row r="69" customFormat="false" ht="15" hidden="false" customHeight="false" outlineLevel="0" collapsed="false">
      <c r="A69" s="0" t="n">
        <v>21</v>
      </c>
      <c r="AA69" s="0" t="n">
        <v>21</v>
      </c>
      <c r="AB69" s="0" t="s">
        <v>394</v>
      </c>
      <c r="AD69" s="0" t="n">
        <v>11</v>
      </c>
      <c r="AE69" s="0" t="s">
        <v>96</v>
      </c>
      <c r="AH69" s="0" t="n">
        <v>1</v>
      </c>
      <c r="AJ69" s="0" t="n">
        <v>10</v>
      </c>
      <c r="AP69" s="0" t="n">
        <v>500000</v>
      </c>
      <c r="DB69" s="0" t="str">
        <f aca="false">IF($A69="","",IF($AE69&amp;""&lt;&gt;設定!$C$4,"対象外",IF($AH69=20,IF(OR($AJ69=10,$AJ69=11,$AJ69=18),"①病院一般",IF($AJ69=41,"②病院短期","対象外")),IF($AH69=5,IF($AJ69=30,"③特定消防","対象外"),IF(OR($AJ69=10,$AJ69=11,$AJ69=74),"④一般",IF(OR($AJ69=41,$AJ69=47),"⑤短期","対象外"))))))</f>
        <v>④一般</v>
      </c>
    </row>
    <row r="70" customFormat="false" ht="15" hidden="false" customHeight="false" outlineLevel="0" collapsed="false">
      <c r="A70" s="0" t="n">
        <v>21</v>
      </c>
      <c r="AA70" s="0" t="n">
        <v>21</v>
      </c>
      <c r="AB70" s="0" t="s">
        <v>394</v>
      </c>
      <c r="AD70" s="0" t="n">
        <v>12</v>
      </c>
      <c r="AE70" s="0" t="s">
        <v>96</v>
      </c>
      <c r="AH70" s="0" t="n">
        <v>1</v>
      </c>
      <c r="AJ70" s="0" t="n">
        <v>10</v>
      </c>
      <c r="AP70" s="0" t="n">
        <v>530000</v>
      </c>
      <c r="DB70" s="0" t="str">
        <f aca="false">IF($A70="","",IF($AE70&amp;""&lt;&gt;設定!$C$4,"対象外",IF($AH70=20,IF(OR($AJ70=10,$AJ70=11,$AJ70=18),"①病院一般",IF($AJ70=41,"②病院短期","対象外")),IF($AH70=5,IF($AJ70=30,"③特定消防","対象外"),IF(OR($AJ70=10,$AJ70=11,$AJ70=74),"④一般",IF(OR($AJ70=41,$AJ70=47),"⑤短期","対象外"))))))</f>
        <v>④一般</v>
      </c>
    </row>
    <row r="71" customFormat="false" ht="15" hidden="false" customHeight="false" outlineLevel="0" collapsed="false">
      <c r="A71" s="0" t="n">
        <v>21</v>
      </c>
      <c r="AA71" s="0" t="n">
        <v>24</v>
      </c>
      <c r="AB71" s="0" t="s">
        <v>400</v>
      </c>
      <c r="AD71" s="0" t="n">
        <v>12</v>
      </c>
      <c r="AE71" s="0" t="s">
        <v>96</v>
      </c>
      <c r="AH71" s="0" t="n">
        <v>1</v>
      </c>
      <c r="AJ71" s="0" t="n">
        <v>10</v>
      </c>
      <c r="AP71" s="0" t="n">
        <v>560000</v>
      </c>
      <c r="DB71" s="0" t="str">
        <f aca="false">IF($A71="","",IF($AE71&amp;""&lt;&gt;設定!$C$4,"対象外",IF($AH71=20,IF(OR($AJ71=10,$AJ71=11,$AJ71=18),"①病院一般",IF($AJ71=41,"②病院短期","対象外")),IF($AH71=5,IF($AJ71=30,"③特定消防","対象外"),IF(OR($AJ71=10,$AJ71=11,$AJ71=74),"④一般",IF(OR($AJ71=41,$AJ71=47),"⑤短期","対象外"))))))</f>
        <v>④一般</v>
      </c>
    </row>
    <row r="72" customFormat="false" ht="15" hidden="false" customHeight="false" outlineLevel="0" collapsed="false">
      <c r="A72" s="0" t="n">
        <v>21</v>
      </c>
      <c r="AA72" s="0" t="n">
        <v>21</v>
      </c>
      <c r="AB72" s="0" t="s">
        <v>397</v>
      </c>
      <c r="AD72" s="0" t="n">
        <v>12</v>
      </c>
      <c r="AE72" s="0" t="s">
        <v>96</v>
      </c>
      <c r="AH72" s="0" t="n">
        <v>1</v>
      </c>
      <c r="AJ72" s="0" t="n">
        <v>10</v>
      </c>
      <c r="AP72" s="0" t="n">
        <v>500000</v>
      </c>
      <c r="DB72" s="0" t="str">
        <f aca="false">IF($A72="","",IF($AE72&amp;""&lt;&gt;設定!$C$4,"対象外",IF($AH72=20,IF(OR($AJ72=10,$AJ72=11,$AJ72=18),"①病院一般",IF($AJ72=41,"②病院短期","対象外")),IF($AH72=5,IF($AJ72=30,"③特定消防","対象外"),IF(OR($AJ72=10,$AJ72=11,$AJ72=74),"④一般",IF(OR($AJ72=41,$AJ72=47),"⑤短期","対象外"))))))</f>
        <v>④一般</v>
      </c>
    </row>
    <row r="73" customFormat="false" ht="15" hidden="false" customHeight="false" outlineLevel="0" collapsed="false">
      <c r="A73" s="0" t="n">
        <v>21</v>
      </c>
      <c r="AA73" s="0" t="n">
        <v>21</v>
      </c>
      <c r="AB73" s="0" t="s">
        <v>401</v>
      </c>
      <c r="AD73" s="0" t="n">
        <v>12</v>
      </c>
      <c r="AE73" s="0" t="s">
        <v>96</v>
      </c>
      <c r="AH73" s="0" t="n">
        <v>20</v>
      </c>
      <c r="AJ73" s="0" t="n">
        <v>10</v>
      </c>
      <c r="AP73" s="0" t="n">
        <v>680000</v>
      </c>
      <c r="DB73" s="0" t="str">
        <f aca="false">IF($A73="","",IF($AE73&amp;""&lt;&gt;設定!$C$4,"対象外",IF($AH73=20,IF(OR($AJ73=10,$AJ73=11,$AJ73=18),"①病院一般",IF($AJ73=41,"②病院短期","対象外")),IF($AH73=5,IF($AJ73=30,"③特定消防","対象外"),IF(OR($AJ73=10,$AJ73=11,$AJ73=74),"④一般",IF(OR($AJ73=41,$AJ73=47),"⑤短期","対象外"))))))</f>
        <v>①病院一般</v>
      </c>
    </row>
    <row r="74" customFormat="false" ht="15" hidden="false" customHeight="false" outlineLevel="0" collapsed="false">
      <c r="A74" s="0" t="n">
        <v>21</v>
      </c>
      <c r="AA74" s="0" t="n">
        <v>21</v>
      </c>
      <c r="AB74" s="0" t="s">
        <v>402</v>
      </c>
      <c r="AD74" s="0" t="n">
        <v>11</v>
      </c>
      <c r="AE74" s="0" t="s">
        <v>96</v>
      </c>
      <c r="AH74" s="0" t="n">
        <v>20</v>
      </c>
      <c r="AJ74" s="0" t="n">
        <v>10</v>
      </c>
      <c r="AP74" s="0" t="n">
        <v>360000</v>
      </c>
      <c r="DB74" s="0" t="str">
        <f aca="false">IF($A74="","",IF($AE74&amp;""&lt;&gt;設定!$C$4,"対象外",IF($AH74=20,IF(OR($AJ74=10,$AJ74=11,$AJ74=18),"①病院一般",IF($AJ74=41,"②病院短期","対象外")),IF($AH74=5,IF($AJ74=30,"③特定消防","対象外"),IF(OR($AJ74=10,$AJ74=11,$AJ74=74),"④一般",IF(OR($AJ74=41,$AJ74=47),"⑤短期","対象外"))))))</f>
        <v>①病院一般</v>
      </c>
    </row>
    <row r="75" customFormat="false" ht="15" hidden="false" customHeight="false" outlineLevel="0" collapsed="false">
      <c r="A75" s="0" t="n">
        <v>21</v>
      </c>
      <c r="AA75" s="0" t="n">
        <v>21</v>
      </c>
      <c r="AB75" s="0" t="s">
        <v>403</v>
      </c>
      <c r="AD75" s="0" t="n">
        <v>12</v>
      </c>
      <c r="AE75" s="0" t="s">
        <v>96</v>
      </c>
      <c r="AH75" s="0" t="n">
        <v>20</v>
      </c>
      <c r="AJ75" s="0" t="n">
        <v>10</v>
      </c>
      <c r="AP75" s="0" t="n">
        <v>560000</v>
      </c>
      <c r="DB75" s="0" t="str">
        <f aca="false">IF($A75="","",IF($AE75&amp;""&lt;&gt;設定!$C$4,"対象外",IF($AH75=20,IF(OR($AJ75=10,$AJ75=11,$AJ75=18),"①病院一般",IF($AJ75=41,"②病院短期","対象外")),IF($AH75=5,IF($AJ75=30,"③特定消防","対象外"),IF(OR($AJ75=10,$AJ75=11,$AJ75=74),"④一般",IF(OR($AJ75=41,$AJ75=47),"⑤短期","対象外"))))))</f>
        <v>①病院一般</v>
      </c>
    </row>
    <row r="76" customFormat="false" ht="15" hidden="false" customHeight="false" outlineLevel="0" collapsed="false">
      <c r="A76" s="0" t="n">
        <v>21</v>
      </c>
      <c r="AA76" s="0" t="n">
        <v>21</v>
      </c>
      <c r="AB76" s="0" t="s">
        <v>401</v>
      </c>
      <c r="AD76" s="0" t="n">
        <v>12</v>
      </c>
      <c r="AE76" s="0" t="s">
        <v>96</v>
      </c>
      <c r="AH76" s="0" t="n">
        <v>20</v>
      </c>
      <c r="AJ76" s="0" t="n">
        <v>10</v>
      </c>
      <c r="AP76" s="0" t="n">
        <v>680000</v>
      </c>
      <c r="DB76" s="0" t="str">
        <f aca="false">IF($A76="","",IF($AE76&amp;""&lt;&gt;設定!$C$4,"対象外",IF($AH76=20,IF(OR($AJ76=10,$AJ76=11,$AJ76=18),"①病院一般",IF($AJ76=41,"②病院短期","対象外")),IF($AH76=5,IF($AJ76=30,"③特定消防","対象外"),IF(OR($AJ76=10,$AJ76=11,$AJ76=74),"④一般",IF(OR($AJ76=41,$AJ76=47),"⑤短期","対象外"))))))</f>
        <v>①病院一般</v>
      </c>
    </row>
    <row r="77" customFormat="false" ht="15" hidden="false" customHeight="false" outlineLevel="0" collapsed="false">
      <c r="A77" s="0" t="n">
        <v>21</v>
      </c>
      <c r="AA77" s="0" t="n">
        <v>21</v>
      </c>
      <c r="AB77" s="0" t="s">
        <v>404</v>
      </c>
      <c r="AD77" s="0" t="n">
        <v>11</v>
      </c>
      <c r="AE77" s="0" t="s">
        <v>96</v>
      </c>
      <c r="AH77" s="0" t="n">
        <v>5</v>
      </c>
      <c r="AJ77" s="0" t="n">
        <v>30</v>
      </c>
      <c r="AP77" s="0" t="n">
        <v>340000</v>
      </c>
      <c r="DB77" s="0" t="str">
        <f aca="false">IF($A77="","",IF($AE77&amp;""&lt;&gt;設定!$C$4,"対象外",IF($AH77=20,IF(OR($AJ77=10,$AJ77=11,$AJ77=18),"①病院一般",IF($AJ77=41,"②病院短期","対象外")),IF($AH77=5,IF($AJ77=30,"③特定消防","対象外"),IF(OR($AJ77=10,$AJ77=11,$AJ77=74),"④一般",IF(OR($AJ77=41,$AJ77=47),"⑤短期","対象外"))))))</f>
        <v>③特定消防</v>
      </c>
    </row>
    <row r="78" customFormat="false" ht="15" hidden="false" customHeight="false" outlineLevel="0" collapsed="false">
      <c r="A78" s="0" t="n">
        <v>21</v>
      </c>
      <c r="AA78" s="0" t="n">
        <v>21</v>
      </c>
      <c r="AB78" s="0" t="s">
        <v>404</v>
      </c>
      <c r="AD78" s="0" t="n">
        <v>12</v>
      </c>
      <c r="AE78" s="0" t="s">
        <v>96</v>
      </c>
      <c r="AH78" s="0" t="n">
        <v>5</v>
      </c>
      <c r="AJ78" s="0" t="n">
        <v>30</v>
      </c>
      <c r="AP78" s="0" t="n">
        <v>360000</v>
      </c>
      <c r="DB78" s="0" t="str">
        <f aca="false">IF($A78="","",IF($AE78&amp;""&lt;&gt;設定!$C$4,"対象外",IF($AH78=20,IF(OR($AJ78=10,$AJ78=11,$AJ78=18),"①病院一般",IF($AJ78=41,"②病院短期","対象外")),IF($AH78=5,IF($AJ78=30,"③特定消防","対象外"),IF(OR($AJ78=10,$AJ78=11,$AJ78=74),"④一般",IF(OR($AJ78=41,$AJ78=47),"⑤短期","対象外"))))))</f>
        <v>③特定消防</v>
      </c>
    </row>
    <row r="79" customFormat="false" ht="15" hidden="false" customHeight="false" outlineLevel="0" collapsed="false">
      <c r="A79" s="0" t="n">
        <v>21</v>
      </c>
      <c r="AA79" s="0" t="n">
        <v>21</v>
      </c>
      <c r="AB79" s="0" t="s">
        <v>404</v>
      </c>
      <c r="AD79" s="0" t="n">
        <v>11</v>
      </c>
      <c r="AE79" s="0" t="s">
        <v>96</v>
      </c>
      <c r="AH79" s="0" t="n">
        <v>5</v>
      </c>
      <c r="AJ79" s="0" t="n">
        <v>30</v>
      </c>
      <c r="AP79" s="0" t="n">
        <v>380000</v>
      </c>
      <c r="DB79" s="0" t="str">
        <f aca="false">IF($A79="","",IF($AE79&amp;""&lt;&gt;設定!$C$4,"対象外",IF($AH79=20,IF(OR($AJ79=10,$AJ79=11,$AJ79=18),"①病院一般",IF($AJ79=41,"②病院短期","対象外")),IF($AH79=5,IF($AJ79=30,"③特定消防","対象外"),IF(OR($AJ79=10,$AJ79=11,$AJ79=74),"④一般",IF(OR($AJ79=41,$AJ79=47),"⑤短期","対象外"))))))</f>
        <v>③特定消防</v>
      </c>
    </row>
    <row r="80" customFormat="false" ht="15" hidden="false" customHeight="false" outlineLevel="0" collapsed="false">
      <c r="A80" s="0" t="n">
        <v>21</v>
      </c>
      <c r="AA80" s="0" t="n">
        <v>21</v>
      </c>
      <c r="AB80" s="0" t="s">
        <v>404</v>
      </c>
      <c r="AD80" s="0" t="n">
        <v>11</v>
      </c>
      <c r="AE80" s="0" t="s">
        <v>96</v>
      </c>
      <c r="AH80" s="0" t="n">
        <v>1</v>
      </c>
      <c r="AJ80" s="0" t="n">
        <v>10</v>
      </c>
      <c r="AP80" s="0" t="n">
        <v>380000</v>
      </c>
      <c r="DB80" s="0" t="str">
        <f aca="false">IF($A80="","",IF($AE80&amp;""&lt;&gt;設定!$C$4,"対象外",IF($AH80=20,IF(OR($AJ80=10,$AJ80=11,$AJ80=18),"①病院一般",IF($AJ80=41,"②病院短期","対象外")),IF($AH80=5,IF($AJ80=30,"③特定消防","対象外"),IF(OR($AJ80=10,$AJ80=11,$AJ80=74),"④一般",IF(OR($AJ80=41,$AJ80=47),"⑤短期","対象外"))))))</f>
        <v>④一般</v>
      </c>
    </row>
    <row r="81" customFormat="false" ht="15" hidden="false" customHeight="false" outlineLevel="0" collapsed="false">
      <c r="A81" s="0" t="n">
        <v>21</v>
      </c>
      <c r="AA81" s="0" t="n">
        <v>21</v>
      </c>
      <c r="AB81" s="0" t="s">
        <v>404</v>
      </c>
      <c r="AD81" s="0" t="n">
        <v>11</v>
      </c>
      <c r="AE81" s="0" t="s">
        <v>96</v>
      </c>
      <c r="AH81" s="0" t="n">
        <v>14</v>
      </c>
      <c r="AJ81" s="0" t="n">
        <v>10</v>
      </c>
      <c r="AP81" s="0" t="n">
        <v>360000</v>
      </c>
      <c r="DB81" s="0" t="str">
        <f aca="false">IF($A81="","",IF($AE81&amp;""&lt;&gt;設定!$C$4,"対象外",IF($AH81=20,IF(OR($AJ81=10,$AJ81=11,$AJ81=18),"①病院一般",IF($AJ81=41,"②病院短期","対象外")),IF($AH81=5,IF($AJ81=30,"③特定消防","対象外"),IF(OR($AJ81=10,$AJ81=11,$AJ81=74),"④一般",IF(OR($AJ81=41,$AJ81=47),"⑤短期","対象外"))))))</f>
        <v>④一般</v>
      </c>
    </row>
    <row r="82" customFormat="false" ht="15" hidden="false" customHeight="false" outlineLevel="0" collapsed="false">
      <c r="A82" s="0" t="n">
        <v>21</v>
      </c>
      <c r="AA82" s="0" t="n">
        <v>21</v>
      </c>
      <c r="AB82" s="0" t="s">
        <v>404</v>
      </c>
      <c r="AD82" s="0" t="n">
        <v>11</v>
      </c>
      <c r="AE82" s="0" t="s">
        <v>96</v>
      </c>
      <c r="AH82" s="0" t="n">
        <v>1</v>
      </c>
      <c r="AJ82" s="0" t="n">
        <v>10</v>
      </c>
      <c r="AP82" s="0" t="n">
        <v>470000</v>
      </c>
      <c r="DB82" s="0" t="str">
        <f aca="false">IF($A82="","",IF($AE82&amp;""&lt;&gt;設定!$C$4,"対象外",IF($AH82=20,IF(OR($AJ82=10,$AJ82=11,$AJ82=18),"①病院一般",IF($AJ82=41,"②病院短期","対象外")),IF($AH82=5,IF($AJ82=30,"③特定消防","対象外"),IF(OR($AJ82=10,$AJ82=11,$AJ82=74),"④一般",IF(OR($AJ82=41,$AJ82=47),"⑤短期","対象外"))))))</f>
        <v>④一般</v>
      </c>
    </row>
    <row r="83" customFormat="false" ht="15" hidden="false" customHeight="false" outlineLevel="0" collapsed="false">
      <c r="A83" s="0" t="n">
        <v>21</v>
      </c>
      <c r="AA83" s="0" t="n">
        <v>21</v>
      </c>
      <c r="AB83" s="0" t="s">
        <v>404</v>
      </c>
      <c r="AD83" s="0" t="n">
        <v>11</v>
      </c>
      <c r="AE83" s="0" t="s">
        <v>96</v>
      </c>
      <c r="AH83" s="0" t="n">
        <v>11</v>
      </c>
      <c r="AJ83" s="0" t="n">
        <v>10</v>
      </c>
      <c r="AP83" s="0" t="n">
        <v>380000</v>
      </c>
      <c r="DB83" s="0" t="str">
        <f aca="false">IF($A83="","",IF($AE83&amp;""&lt;&gt;設定!$C$4,"対象外",IF($AH83=20,IF(OR($AJ83=10,$AJ83=11,$AJ83=18),"①病院一般",IF($AJ83=41,"②病院短期","対象外")),IF($AH83=5,IF($AJ83=30,"③特定消防","対象外"),IF(OR($AJ83=10,$AJ83=11,$AJ83=74),"④一般",IF(OR($AJ83=41,$AJ83=47),"⑤短期","対象外"))))))</f>
        <v>④一般</v>
      </c>
    </row>
    <row r="84" customFormat="false" ht="15" hidden="false" customHeight="false" outlineLevel="0" collapsed="false">
      <c r="A84" s="0" t="n">
        <v>21</v>
      </c>
      <c r="AA84" s="0" t="n">
        <v>21</v>
      </c>
      <c r="AB84" s="0" t="s">
        <v>404</v>
      </c>
      <c r="AD84" s="0" t="n">
        <v>12</v>
      </c>
      <c r="AE84" s="0" t="s">
        <v>96</v>
      </c>
      <c r="AH84" s="0" t="n">
        <v>1</v>
      </c>
      <c r="AJ84" s="0" t="n">
        <v>10</v>
      </c>
      <c r="AP84" s="0" t="n">
        <v>410000</v>
      </c>
      <c r="DB84" s="0" t="str">
        <f aca="false">IF($A84="","",IF($AE84&amp;""&lt;&gt;設定!$C$4,"対象外",IF($AH84=20,IF(OR($AJ84=10,$AJ84=11,$AJ84=18),"①病院一般",IF($AJ84=41,"②病院短期","対象外")),IF($AH84=5,IF($AJ84=30,"③特定消防","対象外"),IF(OR($AJ84=10,$AJ84=11,$AJ84=74),"④一般",IF(OR($AJ84=41,$AJ84=47),"⑤短期","対象外"))))))</f>
        <v>④一般</v>
      </c>
    </row>
    <row r="85" customFormat="false" ht="15" hidden="false" customHeight="false" outlineLevel="0" collapsed="false">
      <c r="A85" s="0" t="n">
        <v>21</v>
      </c>
      <c r="AA85" s="0" t="n">
        <v>21</v>
      </c>
      <c r="AB85" s="0" t="s">
        <v>404</v>
      </c>
      <c r="AD85" s="0" t="n">
        <v>11</v>
      </c>
      <c r="AE85" s="0" t="s">
        <v>96</v>
      </c>
      <c r="AH85" s="0" t="n">
        <v>1</v>
      </c>
      <c r="AJ85" s="0" t="n">
        <v>10</v>
      </c>
      <c r="AP85" s="0" t="n">
        <v>380000</v>
      </c>
      <c r="DB85" s="0" t="str">
        <f aca="false">IF($A85="","",IF($AE85&amp;""&lt;&gt;設定!$C$4,"対象外",IF($AH85=20,IF(OR($AJ85=10,$AJ85=11,$AJ85=18),"①病院一般",IF($AJ85=41,"②病院短期","対象外")),IF($AH85=5,IF($AJ85=30,"③特定消防","対象外"),IF(OR($AJ85=10,$AJ85=11,$AJ85=74),"④一般",IF(OR($AJ85=41,$AJ85=47),"⑤短期","対象外"))))))</f>
        <v>④一般</v>
      </c>
    </row>
    <row r="86" customFormat="false" ht="15" hidden="false" customHeight="false" outlineLevel="0" collapsed="false">
      <c r="A86" s="0" t="n">
        <v>21</v>
      </c>
      <c r="AA86" s="0" t="n">
        <v>21</v>
      </c>
      <c r="AB86" s="0" t="s">
        <v>404</v>
      </c>
      <c r="AD86" s="0" t="n">
        <v>12</v>
      </c>
      <c r="AE86" s="0" t="s">
        <v>96</v>
      </c>
      <c r="AH86" s="0" t="n">
        <v>1</v>
      </c>
      <c r="AJ86" s="0" t="n">
        <v>10</v>
      </c>
      <c r="AP86" s="0" t="n">
        <v>360000</v>
      </c>
      <c r="DB86" s="0" t="str">
        <f aca="false">IF($A86="","",IF($AE86&amp;""&lt;&gt;設定!$C$4,"対象外",IF($AH86=20,IF(OR($AJ86=10,$AJ86=11,$AJ86=18),"①病院一般",IF($AJ86=41,"②病院短期","対象外")),IF($AH86=5,IF($AJ86=30,"③特定消防","対象外"),IF(OR($AJ86=10,$AJ86=11,$AJ86=74),"④一般",IF(OR($AJ86=41,$AJ86=47),"⑤短期","対象外"))))))</f>
        <v>④一般</v>
      </c>
    </row>
    <row r="87" customFormat="false" ht="15" hidden="false" customHeight="false" outlineLevel="0" collapsed="false">
      <c r="A87" s="0" t="n">
        <v>21</v>
      </c>
      <c r="AA87" s="0" t="n">
        <v>21</v>
      </c>
      <c r="AB87" s="0" t="s">
        <v>404</v>
      </c>
      <c r="AD87" s="0" t="n">
        <v>11</v>
      </c>
      <c r="AE87" s="0" t="s">
        <v>96</v>
      </c>
      <c r="AH87" s="0" t="n">
        <v>1</v>
      </c>
      <c r="AJ87" s="0" t="n">
        <v>10</v>
      </c>
      <c r="AP87" s="0" t="n">
        <v>360000</v>
      </c>
      <c r="DB87" s="0" t="str">
        <f aca="false">IF($A87="","",IF($AE87&amp;""&lt;&gt;設定!$C$4,"対象外",IF($AH87=20,IF(OR($AJ87=10,$AJ87=11,$AJ87=18),"①病院一般",IF($AJ87=41,"②病院短期","対象外")),IF($AH87=5,IF($AJ87=30,"③特定消防","対象外"),IF(OR($AJ87=10,$AJ87=11,$AJ87=74),"④一般",IF(OR($AJ87=41,$AJ87=47),"⑤短期","対象外"))))))</f>
        <v>④一般</v>
      </c>
    </row>
    <row r="88" customFormat="false" ht="15" hidden="false" customHeight="false" outlineLevel="0" collapsed="false">
      <c r="A88" s="0" t="n">
        <v>21</v>
      </c>
      <c r="AA88" s="0" t="n">
        <v>21</v>
      </c>
      <c r="AB88" s="0" t="s">
        <v>404</v>
      </c>
      <c r="AD88" s="0" t="n">
        <v>11</v>
      </c>
      <c r="AE88" s="0" t="s">
        <v>96</v>
      </c>
      <c r="AH88" s="0" t="n">
        <v>1</v>
      </c>
      <c r="AJ88" s="0" t="n">
        <v>10</v>
      </c>
      <c r="AP88" s="0" t="n">
        <v>410000</v>
      </c>
      <c r="DB88" s="0" t="str">
        <f aca="false">IF($A88="","",IF($AE88&amp;""&lt;&gt;設定!$C$4,"対象外",IF($AH88=20,IF(OR($AJ88=10,$AJ88=11,$AJ88=18),"①病院一般",IF($AJ88=41,"②病院短期","対象外")),IF($AH88=5,IF($AJ88=30,"③特定消防","対象外"),IF(OR($AJ88=10,$AJ88=11,$AJ88=74),"④一般",IF(OR($AJ88=41,$AJ88=47),"⑤短期","対象外"))))))</f>
        <v>④一般</v>
      </c>
    </row>
    <row r="89" customFormat="false" ht="15" hidden="false" customHeight="false" outlineLevel="0" collapsed="false">
      <c r="A89" s="0" t="n">
        <v>21</v>
      </c>
      <c r="AA89" s="0" t="n">
        <v>21</v>
      </c>
      <c r="AB89" s="0" t="s">
        <v>404</v>
      </c>
      <c r="AD89" s="0" t="n">
        <v>12</v>
      </c>
      <c r="AE89" s="0" t="s">
        <v>96</v>
      </c>
      <c r="AH89" s="0" t="n">
        <v>1</v>
      </c>
      <c r="AJ89" s="0" t="n">
        <v>10</v>
      </c>
      <c r="AP89" s="0" t="n">
        <v>500000</v>
      </c>
      <c r="DB89" s="0" t="str">
        <f aca="false">IF($A89="","",IF($AE89&amp;""&lt;&gt;設定!$C$4,"対象外",IF($AH89=20,IF(OR($AJ89=10,$AJ89=11,$AJ89=18),"①病院一般",IF($AJ89=41,"②病院短期","対象外")),IF($AH89=5,IF($AJ89=30,"③特定消防","対象外"),IF(OR($AJ89=10,$AJ89=11,$AJ89=74),"④一般",IF(OR($AJ89=41,$AJ89=47),"⑤短期","対象外"))))))</f>
        <v>④一般</v>
      </c>
    </row>
    <row r="90" customFormat="false" ht="15" hidden="false" customHeight="false" outlineLevel="0" collapsed="false">
      <c r="A90" s="0" t="n">
        <v>21</v>
      </c>
      <c r="AA90" s="0" t="n">
        <v>21</v>
      </c>
      <c r="AB90" s="0" t="s">
        <v>404</v>
      </c>
      <c r="AD90" s="0" t="n">
        <v>11</v>
      </c>
      <c r="AE90" s="0" t="s">
        <v>96</v>
      </c>
      <c r="AH90" s="0" t="n">
        <v>1</v>
      </c>
      <c r="AJ90" s="0" t="n">
        <v>10</v>
      </c>
      <c r="AP90" s="0" t="n">
        <v>530000</v>
      </c>
      <c r="DB90" s="0" t="str">
        <f aca="false">IF($A90="","",IF($AE90&amp;""&lt;&gt;設定!$C$4,"対象外",IF($AH90=20,IF(OR($AJ90=10,$AJ90=11,$AJ90=18),"①病院一般",IF($AJ90=41,"②病院短期","対象外")),IF($AH90=5,IF($AJ90=30,"③特定消防","対象外"),IF(OR($AJ90=10,$AJ90=11,$AJ90=74),"④一般",IF(OR($AJ90=41,$AJ90=47),"⑤短期","対象外"))))))</f>
        <v>④一般</v>
      </c>
    </row>
    <row r="91" customFormat="false" ht="15" hidden="false" customHeight="false" outlineLevel="0" collapsed="false">
      <c r="A91" s="0" t="n">
        <v>21</v>
      </c>
      <c r="AA91" s="0" t="n">
        <v>21</v>
      </c>
      <c r="AB91" s="0" t="s">
        <v>405</v>
      </c>
      <c r="AD91" s="0" t="n">
        <v>11</v>
      </c>
      <c r="AE91" s="0" t="s">
        <v>96</v>
      </c>
      <c r="AH91" s="0" t="n">
        <v>1</v>
      </c>
      <c r="AJ91" s="0" t="n">
        <v>10</v>
      </c>
      <c r="AP91" s="0" t="n">
        <v>340000</v>
      </c>
      <c r="DB91" s="0" t="str">
        <f aca="false">IF($A91="","",IF($AE91&amp;""&lt;&gt;設定!$C$4,"対象外",IF($AH91=20,IF(OR($AJ91=10,$AJ91=11,$AJ91=18),"①病院一般",IF($AJ91=41,"②病院短期","対象外")),IF($AH91=5,IF($AJ91=30,"③特定消防","対象外"),IF(OR($AJ91=10,$AJ91=11,$AJ91=74),"④一般",IF(OR($AJ91=41,$AJ91=47),"⑤短期","対象外"))))))</f>
        <v>④一般</v>
      </c>
    </row>
    <row r="92" customFormat="false" ht="15" hidden="false" customHeight="false" outlineLevel="0" collapsed="false">
      <c r="A92" s="0" t="n">
        <v>21</v>
      </c>
      <c r="AA92" s="0" t="n">
        <v>21</v>
      </c>
      <c r="AB92" s="0" t="s">
        <v>404</v>
      </c>
      <c r="AD92" s="0" t="n">
        <v>11</v>
      </c>
      <c r="AE92" s="0" t="s">
        <v>96</v>
      </c>
      <c r="AH92" s="0" t="n">
        <v>3</v>
      </c>
      <c r="AJ92" s="0" t="n">
        <v>10</v>
      </c>
      <c r="AP92" s="0" t="n">
        <v>410000</v>
      </c>
      <c r="DB92" s="0" t="str">
        <f aca="false">IF($A92="","",IF($AE92&amp;""&lt;&gt;設定!$C$4,"対象外",IF($AH92=20,IF(OR($AJ92=10,$AJ92=11,$AJ92=18),"①病院一般",IF($AJ92=41,"②病院短期","対象外")),IF($AH92=5,IF($AJ92=30,"③特定消防","対象外"),IF(OR($AJ92=10,$AJ92=11,$AJ92=74),"④一般",IF(OR($AJ92=41,$AJ92=47),"⑤短期","対象外"))))))</f>
        <v>④一般</v>
      </c>
    </row>
    <row r="93" customFormat="false" ht="15" hidden="false" customHeight="false" outlineLevel="0" collapsed="false">
      <c r="A93" s="0" t="n">
        <v>21</v>
      </c>
      <c r="AA93" s="0" t="n">
        <v>21</v>
      </c>
      <c r="AB93" s="0" t="s">
        <v>404</v>
      </c>
      <c r="AD93" s="0" t="n">
        <v>11</v>
      </c>
      <c r="AE93" s="0" t="s">
        <v>96</v>
      </c>
      <c r="AH93" s="0" t="n">
        <v>4</v>
      </c>
      <c r="AJ93" s="0" t="n">
        <v>10</v>
      </c>
      <c r="AP93" s="0" t="n">
        <v>380000</v>
      </c>
      <c r="DB93" s="0" t="str">
        <f aca="false">IF($A93="","",IF($AE93&amp;""&lt;&gt;設定!$C$4,"対象外",IF($AH93=20,IF(OR($AJ93=10,$AJ93=11,$AJ93=18),"①病院一般",IF($AJ93=41,"②病院短期","対象外")),IF($AH93=5,IF($AJ93=30,"③特定消防","対象外"),IF(OR($AJ93=10,$AJ93=11,$AJ93=74),"④一般",IF(OR($AJ93=41,$AJ93=47),"⑤短期","対象外"))))))</f>
        <v>④一般</v>
      </c>
    </row>
    <row r="94" customFormat="false" ht="15" hidden="false" customHeight="false" outlineLevel="0" collapsed="false">
      <c r="A94" s="0" t="n">
        <v>21</v>
      </c>
      <c r="AA94" s="0" t="n">
        <v>21</v>
      </c>
      <c r="AB94" s="0" t="s">
        <v>406</v>
      </c>
      <c r="AD94" s="0" t="n">
        <v>12</v>
      </c>
      <c r="AE94" s="0" t="s">
        <v>96</v>
      </c>
      <c r="AH94" s="0" t="n">
        <v>20</v>
      </c>
      <c r="AJ94" s="0" t="n">
        <v>10</v>
      </c>
      <c r="AP94" s="0" t="n">
        <v>590000</v>
      </c>
      <c r="DB94" s="0" t="str">
        <f aca="false">IF($A94="","",IF($AE94&amp;""&lt;&gt;設定!$C$4,"対象外",IF($AH94=20,IF(OR($AJ94=10,$AJ94=11,$AJ94=18),"①病院一般",IF($AJ94=41,"②病院短期","対象外")),IF($AH94=5,IF($AJ94=30,"③特定消防","対象外"),IF(OR($AJ94=10,$AJ94=11,$AJ94=74),"④一般",IF(OR($AJ94=41,$AJ94=47),"⑤短期","対象外"))))))</f>
        <v>①病院一般</v>
      </c>
    </row>
    <row r="95" customFormat="false" ht="15" hidden="false" customHeight="false" outlineLevel="0" collapsed="false">
      <c r="A95" s="0" t="n">
        <v>21</v>
      </c>
      <c r="AA95" s="0" t="n">
        <v>21</v>
      </c>
      <c r="AB95" s="0" t="s">
        <v>407</v>
      </c>
      <c r="AD95" s="0" t="n">
        <v>12</v>
      </c>
      <c r="AE95" s="0" t="s">
        <v>96</v>
      </c>
      <c r="AH95" s="0" t="n">
        <v>20</v>
      </c>
      <c r="AJ95" s="0" t="n">
        <v>10</v>
      </c>
      <c r="AP95" s="0" t="n">
        <v>360000</v>
      </c>
      <c r="DB95" s="0" t="str">
        <f aca="false">IF($A95="","",IF($AE95&amp;""&lt;&gt;設定!$C$4,"対象外",IF($AH95=20,IF(OR($AJ95=10,$AJ95=11,$AJ95=18),"①病院一般",IF($AJ95=41,"②病院短期","対象外")),IF($AH95=5,IF($AJ95=30,"③特定消防","対象外"),IF(OR($AJ95=10,$AJ95=11,$AJ95=74),"④一般",IF(OR($AJ95=41,$AJ95=47),"⑤短期","対象外"))))))</f>
        <v>①病院一般</v>
      </c>
    </row>
    <row r="96" customFormat="false" ht="15" hidden="false" customHeight="false" outlineLevel="0" collapsed="false">
      <c r="A96" s="0" t="n">
        <v>21</v>
      </c>
      <c r="AA96" s="0" t="n">
        <v>21</v>
      </c>
      <c r="AB96" s="0" t="s">
        <v>407</v>
      </c>
      <c r="AD96" s="0" t="n">
        <v>12</v>
      </c>
      <c r="AE96" s="0" t="s">
        <v>96</v>
      </c>
      <c r="AH96" s="0" t="n">
        <v>1</v>
      </c>
      <c r="AJ96" s="0" t="n">
        <v>10</v>
      </c>
      <c r="AP96" s="0" t="n">
        <v>530000</v>
      </c>
      <c r="DB96" s="0" t="str">
        <f aca="false">IF($A96="","",IF($AE96&amp;""&lt;&gt;設定!$C$4,"対象外",IF($AH96=20,IF(OR($AJ96=10,$AJ96=11,$AJ96=18),"①病院一般",IF($AJ96=41,"②病院短期","対象外")),IF($AH96=5,IF($AJ96=30,"③特定消防","対象外"),IF(OR($AJ96=10,$AJ96=11,$AJ96=74),"④一般",IF(OR($AJ96=41,$AJ96=47),"⑤短期","対象外"))))))</f>
        <v>④一般</v>
      </c>
    </row>
    <row r="97" customFormat="false" ht="15" hidden="false" customHeight="false" outlineLevel="0" collapsed="false">
      <c r="A97" s="0" t="n">
        <v>21</v>
      </c>
      <c r="AA97" s="0" t="n">
        <v>21</v>
      </c>
      <c r="AB97" s="0" t="s">
        <v>408</v>
      </c>
      <c r="AD97" s="0" t="n">
        <v>12</v>
      </c>
      <c r="AE97" s="0" t="s">
        <v>96</v>
      </c>
      <c r="AH97" s="0" t="n">
        <v>20</v>
      </c>
      <c r="AJ97" s="0" t="n">
        <v>10</v>
      </c>
      <c r="AP97" s="0" t="n">
        <v>380000</v>
      </c>
      <c r="DB97" s="0" t="str">
        <f aca="false">IF($A97="","",IF($AE97&amp;""&lt;&gt;設定!$C$4,"対象外",IF($AH97=20,IF(OR($AJ97=10,$AJ97=11,$AJ97=18),"①病院一般",IF($AJ97=41,"②病院短期","対象外")),IF($AH97=5,IF($AJ97=30,"③特定消防","対象外"),IF(OR($AJ97=10,$AJ97=11,$AJ97=74),"④一般",IF(OR($AJ97=41,$AJ97=47),"⑤短期","対象外"))))))</f>
        <v>①病院一般</v>
      </c>
    </row>
    <row r="98" customFormat="false" ht="15" hidden="false" customHeight="false" outlineLevel="0" collapsed="false">
      <c r="A98" s="0" t="n">
        <v>21</v>
      </c>
      <c r="AA98" s="0" t="n">
        <v>21</v>
      </c>
      <c r="AB98" s="0" t="s">
        <v>409</v>
      </c>
      <c r="AD98" s="0" t="n">
        <v>12</v>
      </c>
      <c r="AE98" s="0" t="s">
        <v>96</v>
      </c>
      <c r="AH98" s="0" t="n">
        <v>5</v>
      </c>
      <c r="AJ98" s="0" t="n">
        <v>30</v>
      </c>
      <c r="AP98" s="0" t="n">
        <v>500000</v>
      </c>
      <c r="DB98" s="0" t="str">
        <f aca="false">IF($A98="","",IF($AE98&amp;""&lt;&gt;設定!$C$4,"対象外",IF($AH98=20,IF(OR($AJ98=10,$AJ98=11,$AJ98=18),"①病院一般",IF($AJ98=41,"②病院短期","対象外")),IF($AH98=5,IF($AJ98=30,"③特定消防","対象外"),IF(OR($AJ98=10,$AJ98=11,$AJ98=74),"④一般",IF(OR($AJ98=41,$AJ98=47),"⑤短期","対象外"))))))</f>
        <v>③特定消防</v>
      </c>
    </row>
    <row r="99" customFormat="false" ht="15" hidden="false" customHeight="false" outlineLevel="0" collapsed="false">
      <c r="A99" s="0" t="n">
        <v>21</v>
      </c>
      <c r="AA99" s="0" t="n">
        <v>21</v>
      </c>
      <c r="AB99" s="0" t="s">
        <v>409</v>
      </c>
      <c r="AD99" s="0" t="n">
        <v>11</v>
      </c>
      <c r="AE99" s="0" t="s">
        <v>96</v>
      </c>
      <c r="AH99" s="0" t="n">
        <v>5</v>
      </c>
      <c r="AJ99" s="0" t="n">
        <v>30</v>
      </c>
      <c r="AP99" s="0" t="n">
        <v>340000</v>
      </c>
      <c r="DB99" s="0" t="str">
        <f aca="false">IF($A99="","",IF($AE99&amp;""&lt;&gt;設定!$C$4,"対象外",IF($AH99=20,IF(OR($AJ99=10,$AJ99=11,$AJ99=18),"①病院一般",IF($AJ99=41,"②病院短期","対象外")),IF($AH99=5,IF($AJ99=30,"③特定消防","対象外"),IF(OR($AJ99=10,$AJ99=11,$AJ99=74),"④一般",IF(OR($AJ99=41,$AJ99=47),"⑤短期","対象外"))))))</f>
        <v>③特定消防</v>
      </c>
    </row>
    <row r="100" customFormat="false" ht="15" hidden="false" customHeight="false" outlineLevel="0" collapsed="false">
      <c r="A100" s="0" t="n">
        <v>21</v>
      </c>
      <c r="AA100" s="0" t="n">
        <v>21</v>
      </c>
      <c r="AB100" s="0" t="s">
        <v>409</v>
      </c>
      <c r="AD100" s="0" t="n">
        <v>11</v>
      </c>
      <c r="AE100" s="0" t="s">
        <v>96</v>
      </c>
      <c r="AH100" s="0" t="n">
        <v>5</v>
      </c>
      <c r="AJ100" s="0" t="n">
        <v>30</v>
      </c>
      <c r="AP100" s="0" t="n">
        <v>360000</v>
      </c>
      <c r="DB100" s="0" t="str">
        <f aca="false">IF($A100="","",IF($AE100&amp;""&lt;&gt;設定!$C$4,"対象外",IF($AH100=20,IF(OR($AJ100=10,$AJ100=11,$AJ100=18),"①病院一般",IF($AJ100=41,"②病院短期","対象外")),IF($AH100=5,IF($AJ100=30,"③特定消防","対象外"),IF(OR($AJ100=10,$AJ100=11,$AJ100=74),"④一般",IF(OR($AJ100=41,$AJ100=47),"⑤短期","対象外"))))))</f>
        <v>③特定消防</v>
      </c>
    </row>
    <row r="101" customFormat="false" ht="15" hidden="false" customHeight="false" outlineLevel="0" collapsed="false">
      <c r="A101" s="0" t="n">
        <v>21</v>
      </c>
      <c r="AA101" s="0" t="n">
        <v>21</v>
      </c>
      <c r="AB101" s="0" t="s">
        <v>409</v>
      </c>
      <c r="AD101" s="0" t="n">
        <v>11</v>
      </c>
      <c r="AE101" s="0" t="s">
        <v>96</v>
      </c>
      <c r="AH101" s="0" t="n">
        <v>5</v>
      </c>
      <c r="AJ101" s="0" t="n">
        <v>30</v>
      </c>
      <c r="AP101" s="0" t="n">
        <v>340000</v>
      </c>
      <c r="DB101" s="0" t="str">
        <f aca="false">IF($A101="","",IF($AE101&amp;""&lt;&gt;設定!$C$4,"対象外",IF($AH101=20,IF(OR($AJ101=10,$AJ101=11,$AJ101=18),"①病院一般",IF($AJ101=41,"②病院短期","対象外")),IF($AH101=5,IF($AJ101=30,"③特定消防","対象外"),IF(OR($AJ101=10,$AJ101=11,$AJ101=74),"④一般",IF(OR($AJ101=41,$AJ101=47),"⑤短期","対象外"))))))</f>
        <v>③特定消防</v>
      </c>
    </row>
    <row r="102" customFormat="false" ht="15" hidden="false" customHeight="false" outlineLevel="0" collapsed="false">
      <c r="A102" s="0" t="n">
        <v>21</v>
      </c>
      <c r="AA102" s="0" t="n">
        <v>21</v>
      </c>
      <c r="AB102" s="0" t="s">
        <v>409</v>
      </c>
      <c r="AD102" s="0" t="n">
        <v>11</v>
      </c>
      <c r="AE102" s="0" t="s">
        <v>96</v>
      </c>
      <c r="AH102" s="0" t="n">
        <v>1</v>
      </c>
      <c r="AJ102" s="0" t="n">
        <v>10</v>
      </c>
      <c r="AP102" s="0" t="n">
        <v>340000</v>
      </c>
      <c r="DB102" s="0" t="str">
        <f aca="false">IF($A102="","",IF($AE102&amp;""&lt;&gt;設定!$C$4,"対象外",IF($AH102=20,IF(OR($AJ102=10,$AJ102=11,$AJ102=18),"①病院一般",IF($AJ102=41,"②病院短期","対象外")),IF($AH102=5,IF($AJ102=30,"③特定消防","対象外"),IF(OR($AJ102=10,$AJ102=11,$AJ102=74),"④一般",IF(OR($AJ102=41,$AJ102=47),"⑤短期","対象外"))))))</f>
        <v>④一般</v>
      </c>
    </row>
    <row r="103" customFormat="false" ht="15" hidden="false" customHeight="false" outlineLevel="0" collapsed="false">
      <c r="A103" s="0" t="n">
        <v>21</v>
      </c>
      <c r="AA103" s="0" t="n">
        <v>21</v>
      </c>
      <c r="AB103" s="0" t="s">
        <v>409</v>
      </c>
      <c r="AD103" s="0" t="n">
        <v>12</v>
      </c>
      <c r="AE103" s="0" t="s">
        <v>96</v>
      </c>
      <c r="AH103" s="0" t="n">
        <v>1</v>
      </c>
      <c r="AJ103" s="0" t="n">
        <v>10</v>
      </c>
      <c r="AP103" s="0" t="n">
        <v>620000</v>
      </c>
      <c r="DB103" s="0" t="str">
        <f aca="false">IF($A103="","",IF($AE103&amp;""&lt;&gt;設定!$C$4,"対象外",IF($AH103=20,IF(OR($AJ103=10,$AJ103=11,$AJ103=18),"①病院一般",IF($AJ103=41,"②病院短期","対象外")),IF($AH103=5,IF($AJ103=30,"③特定消防","対象外"),IF(OR($AJ103=10,$AJ103=11,$AJ103=74),"④一般",IF(OR($AJ103=41,$AJ103=47),"⑤短期","対象外"))))))</f>
        <v>④一般</v>
      </c>
    </row>
    <row r="104" customFormat="false" ht="15" hidden="false" customHeight="false" outlineLevel="0" collapsed="false">
      <c r="A104" s="0" t="n">
        <v>21</v>
      </c>
      <c r="AA104" s="0" t="n">
        <v>21</v>
      </c>
      <c r="AB104" s="0" t="s">
        <v>409</v>
      </c>
      <c r="AD104" s="0" t="n">
        <v>11</v>
      </c>
      <c r="AE104" s="0" t="s">
        <v>96</v>
      </c>
      <c r="AH104" s="0" t="n">
        <v>1</v>
      </c>
      <c r="AJ104" s="0" t="n">
        <v>10</v>
      </c>
      <c r="AP104" s="0" t="n">
        <v>440000</v>
      </c>
      <c r="DB104" s="0" t="str">
        <f aca="false">IF($A104="","",IF($AE104&amp;""&lt;&gt;設定!$C$4,"対象外",IF($AH104=20,IF(OR($AJ104=10,$AJ104=11,$AJ104=18),"①病院一般",IF($AJ104=41,"②病院短期","対象外")),IF($AH104=5,IF($AJ104=30,"③特定消防","対象外"),IF(OR($AJ104=10,$AJ104=11,$AJ104=74),"④一般",IF(OR($AJ104=41,$AJ104=47),"⑤短期","対象外"))))))</f>
        <v>④一般</v>
      </c>
    </row>
    <row r="105" customFormat="false" ht="15" hidden="false" customHeight="false" outlineLevel="0" collapsed="false">
      <c r="A105" s="0" t="n">
        <v>21</v>
      </c>
      <c r="AA105" s="0" t="n">
        <v>21</v>
      </c>
      <c r="AB105" s="0" t="s">
        <v>409</v>
      </c>
      <c r="AD105" s="0" t="n">
        <v>11</v>
      </c>
      <c r="AE105" s="0" t="s">
        <v>96</v>
      </c>
      <c r="AH105" s="0" t="n">
        <v>1</v>
      </c>
      <c r="AJ105" s="0" t="n">
        <v>10</v>
      </c>
      <c r="AP105" s="0" t="n">
        <v>440000</v>
      </c>
      <c r="DB105" s="0" t="str">
        <f aca="false">IF($A105="","",IF($AE105&amp;""&lt;&gt;設定!$C$4,"対象外",IF($AH105=20,IF(OR($AJ105=10,$AJ105=11,$AJ105=18),"①病院一般",IF($AJ105=41,"②病院短期","対象外")),IF($AH105=5,IF($AJ105=30,"③特定消防","対象外"),IF(OR($AJ105=10,$AJ105=11,$AJ105=74),"④一般",IF(OR($AJ105=41,$AJ105=47),"⑤短期","対象外"))))))</f>
        <v>④一般</v>
      </c>
    </row>
    <row r="106" customFormat="false" ht="15" hidden="false" customHeight="false" outlineLevel="0" collapsed="false">
      <c r="A106" s="0" t="n">
        <v>21</v>
      </c>
      <c r="AA106" s="0" t="n">
        <v>21</v>
      </c>
      <c r="AB106" s="0" t="s">
        <v>409</v>
      </c>
      <c r="AD106" s="0" t="n">
        <v>11</v>
      </c>
      <c r="AE106" s="0" t="s">
        <v>96</v>
      </c>
      <c r="AH106" s="0" t="n">
        <v>1</v>
      </c>
      <c r="AJ106" s="0" t="n">
        <v>10</v>
      </c>
      <c r="AP106" s="0" t="n">
        <v>380000</v>
      </c>
      <c r="DB106" s="0" t="str">
        <f aca="false">IF($A106="","",IF($AE106&amp;""&lt;&gt;設定!$C$4,"対象外",IF($AH106=20,IF(OR($AJ106=10,$AJ106=11,$AJ106=18),"①病院一般",IF($AJ106=41,"②病院短期","対象外")),IF($AH106=5,IF($AJ106=30,"③特定消防","対象外"),IF(OR($AJ106=10,$AJ106=11,$AJ106=74),"④一般",IF(OR($AJ106=41,$AJ106=47),"⑤短期","対象外"))))))</f>
        <v>④一般</v>
      </c>
    </row>
    <row r="107" customFormat="false" ht="15" hidden="false" customHeight="false" outlineLevel="0" collapsed="false">
      <c r="A107" s="0" t="n">
        <v>21</v>
      </c>
      <c r="AA107" s="0" t="n">
        <v>21</v>
      </c>
      <c r="AB107" s="0" t="s">
        <v>409</v>
      </c>
      <c r="AD107" s="0" t="n">
        <v>12</v>
      </c>
      <c r="AE107" s="0" t="s">
        <v>96</v>
      </c>
      <c r="AH107" s="0" t="n">
        <v>1</v>
      </c>
      <c r="AJ107" s="0" t="n">
        <v>10</v>
      </c>
      <c r="AP107" s="0" t="n">
        <v>340000</v>
      </c>
      <c r="DB107" s="0" t="str">
        <f aca="false">IF($A107="","",IF($AE107&amp;""&lt;&gt;設定!$C$4,"対象外",IF($AH107=20,IF(OR($AJ107=10,$AJ107=11,$AJ107=18),"①病院一般",IF($AJ107=41,"②病院短期","対象外")),IF($AH107=5,IF($AJ107=30,"③特定消防","対象外"),IF(OR($AJ107=10,$AJ107=11,$AJ107=74),"④一般",IF(OR($AJ107=41,$AJ107=47),"⑤短期","対象外"))))))</f>
        <v>④一般</v>
      </c>
    </row>
    <row r="108" customFormat="false" ht="15" hidden="false" customHeight="false" outlineLevel="0" collapsed="false">
      <c r="A108" s="0" t="n">
        <v>21</v>
      </c>
      <c r="AA108" s="0" t="n">
        <v>21</v>
      </c>
      <c r="AB108" s="0" t="s">
        <v>409</v>
      </c>
      <c r="AD108" s="0" t="n">
        <v>12</v>
      </c>
      <c r="AE108" s="0" t="s">
        <v>96</v>
      </c>
      <c r="AH108" s="0" t="n">
        <v>1</v>
      </c>
      <c r="AJ108" s="0" t="n">
        <v>10</v>
      </c>
      <c r="AP108" s="0" t="n">
        <v>710000</v>
      </c>
      <c r="DB108" s="0" t="str">
        <f aca="false">IF($A108="","",IF($AE108&amp;""&lt;&gt;設定!$C$4,"対象外",IF($AH108=20,IF(OR($AJ108=10,$AJ108=11,$AJ108=18),"①病院一般",IF($AJ108=41,"②病院短期","対象外")),IF($AH108=5,IF($AJ108=30,"③特定消防","対象外"),IF(OR($AJ108=10,$AJ108=11,$AJ108=74),"④一般",IF(OR($AJ108=41,$AJ108=47),"⑤短期","対象外"))))))</f>
        <v>④一般</v>
      </c>
    </row>
    <row r="109" customFormat="false" ht="15" hidden="false" customHeight="false" outlineLevel="0" collapsed="false">
      <c r="A109" s="0" t="n">
        <v>21</v>
      </c>
      <c r="AA109" s="0" t="n">
        <v>21</v>
      </c>
      <c r="AB109" s="0" t="s">
        <v>409</v>
      </c>
      <c r="AD109" s="0" t="n">
        <v>11</v>
      </c>
      <c r="AE109" s="0" t="s">
        <v>96</v>
      </c>
      <c r="AH109" s="0" t="n">
        <v>1</v>
      </c>
      <c r="AJ109" s="0" t="n">
        <v>10</v>
      </c>
      <c r="AP109" s="0" t="n">
        <v>380000</v>
      </c>
      <c r="DB109" s="0" t="str">
        <f aca="false">IF($A109="","",IF($AE109&amp;""&lt;&gt;設定!$C$4,"対象外",IF($AH109=20,IF(OR($AJ109=10,$AJ109=11,$AJ109=18),"①病院一般",IF($AJ109=41,"②病院短期","対象外")),IF($AH109=5,IF($AJ109=30,"③特定消防","対象外"),IF(OR($AJ109=10,$AJ109=11,$AJ109=74),"④一般",IF(OR($AJ109=41,$AJ109=47),"⑤短期","対象外"))))))</f>
        <v>④一般</v>
      </c>
    </row>
    <row r="110" customFormat="false" ht="15" hidden="false" customHeight="false" outlineLevel="0" collapsed="false">
      <c r="A110" s="0" t="n">
        <v>21</v>
      </c>
      <c r="AA110" s="0" t="n">
        <v>21</v>
      </c>
      <c r="AB110" s="0" t="s">
        <v>409</v>
      </c>
      <c r="AD110" s="0" t="n">
        <v>12</v>
      </c>
      <c r="AE110" s="0" t="s">
        <v>96</v>
      </c>
      <c r="AH110" s="0" t="n">
        <v>13</v>
      </c>
      <c r="AJ110" s="0" t="n">
        <v>10</v>
      </c>
      <c r="AP110" s="0" t="n">
        <v>710000</v>
      </c>
      <c r="DB110" s="0" t="str">
        <f aca="false">IF($A110="","",IF($AE110&amp;""&lt;&gt;設定!$C$4,"対象外",IF($AH110=20,IF(OR($AJ110=10,$AJ110=11,$AJ110=18),"①病院一般",IF($AJ110=41,"②病院短期","対象外")),IF($AH110=5,IF($AJ110=30,"③特定消防","対象外"),IF(OR($AJ110=10,$AJ110=11,$AJ110=74),"④一般",IF(OR($AJ110=41,$AJ110=47),"⑤短期","対象外"))))))</f>
        <v>④一般</v>
      </c>
    </row>
    <row r="111" customFormat="false" ht="15" hidden="false" customHeight="false" outlineLevel="0" collapsed="false">
      <c r="A111" s="0" t="n">
        <v>21</v>
      </c>
      <c r="AA111" s="0" t="n">
        <v>21</v>
      </c>
      <c r="AB111" s="0" t="s">
        <v>409</v>
      </c>
      <c r="AD111" s="0" t="n">
        <v>11</v>
      </c>
      <c r="AE111" s="0" t="s">
        <v>96</v>
      </c>
      <c r="AH111" s="0" t="n">
        <v>1</v>
      </c>
      <c r="AJ111" s="0" t="n">
        <v>10</v>
      </c>
      <c r="AP111" s="0" t="n">
        <v>380000</v>
      </c>
      <c r="DB111" s="0" t="str">
        <f aca="false">IF($A111="","",IF($AE111&amp;""&lt;&gt;設定!$C$4,"対象外",IF($AH111=20,IF(OR($AJ111=10,$AJ111=11,$AJ111=18),"①病院一般",IF($AJ111=41,"②病院短期","対象外")),IF($AH111=5,IF($AJ111=30,"③特定消防","対象外"),IF(OR($AJ111=10,$AJ111=11,$AJ111=74),"④一般",IF(OR($AJ111=41,$AJ111=47),"⑤短期","対象外"))))))</f>
        <v>④一般</v>
      </c>
    </row>
    <row r="112" customFormat="false" ht="15" hidden="false" customHeight="false" outlineLevel="0" collapsed="false">
      <c r="A112" s="0" t="n">
        <v>21</v>
      </c>
      <c r="AA112" s="0" t="n">
        <v>21</v>
      </c>
      <c r="AB112" s="0" t="s">
        <v>409</v>
      </c>
      <c r="AD112" s="0" t="n">
        <v>12</v>
      </c>
      <c r="AE112" s="0" t="s">
        <v>96</v>
      </c>
      <c r="AH112" s="0" t="n">
        <v>1</v>
      </c>
      <c r="AJ112" s="0" t="n">
        <v>10</v>
      </c>
      <c r="AP112" s="0" t="n">
        <v>650000</v>
      </c>
      <c r="DB112" s="0" t="str">
        <f aca="false">IF($A112="","",IF($AE112&amp;""&lt;&gt;設定!$C$4,"対象外",IF($AH112=20,IF(OR($AJ112=10,$AJ112=11,$AJ112=18),"①病院一般",IF($AJ112=41,"②病院短期","対象外")),IF($AH112=5,IF($AJ112=30,"③特定消防","対象外"),IF(OR($AJ112=10,$AJ112=11,$AJ112=74),"④一般",IF(OR($AJ112=41,$AJ112=47),"⑤短期","対象外"))))))</f>
        <v>④一般</v>
      </c>
    </row>
    <row r="113" customFormat="false" ht="15" hidden="false" customHeight="false" outlineLevel="0" collapsed="false">
      <c r="A113" s="0" t="n">
        <v>21</v>
      </c>
      <c r="AA113" s="0" t="n">
        <v>21</v>
      </c>
      <c r="AB113" s="0" t="s">
        <v>409</v>
      </c>
      <c r="AD113" s="0" t="n">
        <v>12</v>
      </c>
      <c r="AE113" s="0" t="s">
        <v>96</v>
      </c>
      <c r="AH113" s="0" t="n">
        <v>1</v>
      </c>
      <c r="AJ113" s="0" t="n">
        <v>10</v>
      </c>
      <c r="AP113" s="0" t="n">
        <v>560000</v>
      </c>
      <c r="DB113" s="0" t="str">
        <f aca="false">IF($A113="","",IF($AE113&amp;""&lt;&gt;設定!$C$4,"対象外",IF($AH113=20,IF(OR($AJ113=10,$AJ113=11,$AJ113=18),"①病院一般",IF($AJ113=41,"②病院短期","対象外")),IF($AH113=5,IF($AJ113=30,"③特定消防","対象外"),IF(OR($AJ113=10,$AJ113=11,$AJ113=74),"④一般",IF(OR($AJ113=41,$AJ113=47),"⑤短期","対象外"))))))</f>
        <v>④一般</v>
      </c>
    </row>
    <row r="114" customFormat="false" ht="15" hidden="false" customHeight="false" outlineLevel="0" collapsed="false">
      <c r="A114" s="0" t="n">
        <v>21</v>
      </c>
      <c r="AA114" s="0" t="n">
        <v>21</v>
      </c>
      <c r="AB114" s="0" t="s">
        <v>409</v>
      </c>
      <c r="AD114" s="0" t="n">
        <v>12</v>
      </c>
      <c r="AE114" s="0" t="s">
        <v>96</v>
      </c>
      <c r="AH114" s="0" t="n">
        <v>1</v>
      </c>
      <c r="AJ114" s="0" t="n">
        <v>10</v>
      </c>
      <c r="AP114" s="0" t="n">
        <v>650000</v>
      </c>
      <c r="DB114" s="0" t="str">
        <f aca="false">IF($A114="","",IF($AE114&amp;""&lt;&gt;設定!$C$4,"対象外",IF($AH114=20,IF(OR($AJ114=10,$AJ114=11,$AJ114=18),"①病院一般",IF($AJ114=41,"②病院短期","対象外")),IF($AH114=5,IF($AJ114=30,"③特定消防","対象外"),IF(OR($AJ114=10,$AJ114=11,$AJ114=74),"④一般",IF(OR($AJ114=41,$AJ114=47),"⑤短期","対象外"))))))</f>
        <v>④一般</v>
      </c>
    </row>
    <row r="115" customFormat="false" ht="15" hidden="false" customHeight="false" outlineLevel="0" collapsed="false">
      <c r="A115" s="0" t="n">
        <v>21</v>
      </c>
      <c r="AA115" s="0" t="n">
        <v>21</v>
      </c>
      <c r="AB115" s="0" t="s">
        <v>409</v>
      </c>
      <c r="AD115" s="0" t="n">
        <v>12</v>
      </c>
      <c r="AE115" s="0" t="s">
        <v>96</v>
      </c>
      <c r="AH115" s="0" t="n">
        <v>1</v>
      </c>
      <c r="AJ115" s="0" t="n">
        <v>10</v>
      </c>
      <c r="AP115" s="0" t="n">
        <v>590000</v>
      </c>
      <c r="DB115" s="0" t="str">
        <f aca="false">IF($A115="","",IF($AE115&amp;""&lt;&gt;設定!$C$4,"対象外",IF($AH115=20,IF(OR($AJ115=10,$AJ115=11,$AJ115=18),"①病院一般",IF($AJ115=41,"②病院短期","対象外")),IF($AH115=5,IF($AJ115=30,"③特定消防","対象外"),IF(OR($AJ115=10,$AJ115=11,$AJ115=74),"④一般",IF(OR($AJ115=41,$AJ115=47),"⑤短期","対象外"))))))</f>
        <v>④一般</v>
      </c>
    </row>
    <row r="116" customFormat="false" ht="15" hidden="false" customHeight="false" outlineLevel="0" collapsed="false">
      <c r="A116" s="0" t="n">
        <v>21</v>
      </c>
      <c r="AA116" s="0" t="n">
        <v>24</v>
      </c>
      <c r="AB116" s="0" t="s">
        <v>410</v>
      </c>
      <c r="AD116" s="0" t="n">
        <v>11</v>
      </c>
      <c r="AE116" s="0" t="s">
        <v>96</v>
      </c>
      <c r="AH116" s="0" t="n">
        <v>1</v>
      </c>
      <c r="AJ116" s="0" t="n">
        <v>10</v>
      </c>
      <c r="AP116" s="0" t="n">
        <v>560000</v>
      </c>
      <c r="DB116" s="0" t="str">
        <f aca="false">IF($A116="","",IF($AE116&amp;""&lt;&gt;設定!$C$4,"対象外",IF($AH116=20,IF(OR($AJ116=10,$AJ116=11,$AJ116=18),"①病院一般",IF($AJ116=41,"②病院短期","対象外")),IF($AH116=5,IF($AJ116=30,"③特定消防","対象外"),IF(OR($AJ116=10,$AJ116=11,$AJ116=74),"④一般",IF(OR($AJ116=41,$AJ116=47),"⑤短期","対象外"))))))</f>
        <v>④一般</v>
      </c>
    </row>
    <row r="117" customFormat="false" ht="15" hidden="false" customHeight="false" outlineLevel="0" collapsed="false">
      <c r="A117" s="0" t="n">
        <v>21</v>
      </c>
      <c r="AA117" s="0" t="n">
        <v>21</v>
      </c>
      <c r="AB117" s="0" t="s">
        <v>409</v>
      </c>
      <c r="AD117" s="0" t="n">
        <v>11</v>
      </c>
      <c r="AE117" s="0" t="s">
        <v>96</v>
      </c>
      <c r="AH117" s="0" t="n">
        <v>1</v>
      </c>
      <c r="AJ117" s="0" t="n">
        <v>10</v>
      </c>
      <c r="AP117" s="0" t="n">
        <v>360000</v>
      </c>
      <c r="DB117" s="0" t="str">
        <f aca="false">IF($A117="","",IF($AE117&amp;""&lt;&gt;設定!$C$4,"対象外",IF($AH117=20,IF(OR($AJ117=10,$AJ117=11,$AJ117=18),"①病院一般",IF($AJ117=41,"②病院短期","対象外")),IF($AH117=5,IF($AJ117=30,"③特定消防","対象外"),IF(OR($AJ117=10,$AJ117=11,$AJ117=74),"④一般",IF(OR($AJ117=41,$AJ117=47),"⑤短期","対象外"))))))</f>
        <v>④一般</v>
      </c>
    </row>
    <row r="118" customFormat="false" ht="15" hidden="false" customHeight="false" outlineLevel="0" collapsed="false">
      <c r="A118" s="0" t="n">
        <v>21</v>
      </c>
      <c r="AA118" s="0" t="n">
        <v>21</v>
      </c>
      <c r="AB118" s="0" t="s">
        <v>409</v>
      </c>
      <c r="AD118" s="0" t="n">
        <v>12</v>
      </c>
      <c r="AE118" s="0" t="s">
        <v>96</v>
      </c>
      <c r="AH118" s="0" t="n">
        <v>1</v>
      </c>
      <c r="AJ118" s="0" t="n">
        <v>10</v>
      </c>
      <c r="AP118" s="0" t="n">
        <v>500000</v>
      </c>
      <c r="DB118" s="0" t="str">
        <f aca="false">IF($A118="","",IF($AE118&amp;""&lt;&gt;設定!$C$4,"対象外",IF($AH118=20,IF(OR($AJ118=10,$AJ118=11,$AJ118=18),"①病院一般",IF($AJ118=41,"②病院短期","対象外")),IF($AH118=5,IF($AJ118=30,"③特定消防","対象外"),IF(OR($AJ118=10,$AJ118=11,$AJ118=74),"④一般",IF(OR($AJ118=41,$AJ118=47),"⑤短期","対象外"))))))</f>
        <v>④一般</v>
      </c>
    </row>
    <row r="119" customFormat="false" ht="15" hidden="false" customHeight="false" outlineLevel="0" collapsed="false">
      <c r="A119" s="0" t="n">
        <v>21</v>
      </c>
      <c r="AA119" s="0" t="n">
        <v>21</v>
      </c>
      <c r="AB119" s="0" t="s">
        <v>409</v>
      </c>
      <c r="AD119" s="0" t="n">
        <v>12</v>
      </c>
      <c r="AE119" s="0" t="s">
        <v>96</v>
      </c>
      <c r="AH119" s="0" t="n">
        <v>1</v>
      </c>
      <c r="AJ119" s="0" t="n">
        <v>10</v>
      </c>
      <c r="AP119" s="0" t="n">
        <v>560000</v>
      </c>
      <c r="DB119" s="0" t="str">
        <f aca="false">IF($A119="","",IF($AE119&amp;""&lt;&gt;設定!$C$4,"対象外",IF($AH119=20,IF(OR($AJ119=10,$AJ119=11,$AJ119=18),"①病院一般",IF($AJ119=41,"②病院短期","対象外")),IF($AH119=5,IF($AJ119=30,"③特定消防","対象外"),IF(OR($AJ119=10,$AJ119=11,$AJ119=74),"④一般",IF(OR($AJ119=41,$AJ119=47),"⑤短期","対象外"))))))</f>
        <v>④一般</v>
      </c>
    </row>
    <row r="120" customFormat="false" ht="15" hidden="false" customHeight="false" outlineLevel="0" collapsed="false">
      <c r="A120" s="0" t="n">
        <v>21</v>
      </c>
      <c r="AA120" s="0" t="n">
        <v>21</v>
      </c>
      <c r="AB120" s="0" t="s">
        <v>409</v>
      </c>
      <c r="AD120" s="0" t="n">
        <v>11</v>
      </c>
      <c r="AE120" s="0" t="s">
        <v>96</v>
      </c>
      <c r="AH120" s="0" t="n">
        <v>1</v>
      </c>
      <c r="AJ120" s="0" t="n">
        <v>10</v>
      </c>
      <c r="AP120" s="0" t="n">
        <v>380000</v>
      </c>
      <c r="DB120" s="0" t="str">
        <f aca="false">IF($A120="","",IF($AE120&amp;""&lt;&gt;設定!$C$4,"対象外",IF($AH120=20,IF(OR($AJ120=10,$AJ120=11,$AJ120=18),"①病院一般",IF($AJ120=41,"②病院短期","対象外")),IF($AH120=5,IF($AJ120=30,"③特定消防","対象外"),IF(OR($AJ120=10,$AJ120=11,$AJ120=74),"④一般",IF(OR($AJ120=41,$AJ120=47),"⑤短期","対象外"))))))</f>
        <v>④一般</v>
      </c>
    </row>
    <row r="121" customFormat="false" ht="15" hidden="false" customHeight="false" outlineLevel="0" collapsed="false">
      <c r="A121" s="0" t="n">
        <v>21</v>
      </c>
      <c r="AA121" s="0" t="n">
        <v>21</v>
      </c>
      <c r="AB121" s="0" t="s">
        <v>409</v>
      </c>
      <c r="AD121" s="0" t="n">
        <v>12</v>
      </c>
      <c r="AE121" s="0" t="s">
        <v>96</v>
      </c>
      <c r="AH121" s="0" t="n">
        <v>11</v>
      </c>
      <c r="AJ121" s="0" t="n">
        <v>10</v>
      </c>
      <c r="AP121" s="0" t="n">
        <v>530000</v>
      </c>
      <c r="DB121" s="0" t="str">
        <f aca="false">IF($A121="","",IF($AE121&amp;""&lt;&gt;設定!$C$4,"対象外",IF($AH121=20,IF(OR($AJ121=10,$AJ121=11,$AJ121=18),"①病院一般",IF($AJ121=41,"②病院短期","対象外")),IF($AH121=5,IF($AJ121=30,"③特定消防","対象外"),IF(OR($AJ121=10,$AJ121=11,$AJ121=74),"④一般",IF(OR($AJ121=41,$AJ121=47),"⑤短期","対象外"))))))</f>
        <v>④一般</v>
      </c>
    </row>
    <row r="122" customFormat="false" ht="15" hidden="false" customHeight="false" outlineLevel="0" collapsed="false">
      <c r="A122" s="0" t="n">
        <v>21</v>
      </c>
      <c r="AA122" s="0" t="n">
        <v>21</v>
      </c>
      <c r="AB122" s="0" t="s">
        <v>409</v>
      </c>
      <c r="AD122" s="0" t="n">
        <v>11</v>
      </c>
      <c r="AE122" s="0" t="s">
        <v>96</v>
      </c>
      <c r="AH122" s="0" t="n">
        <v>1</v>
      </c>
      <c r="AJ122" s="0" t="n">
        <v>10</v>
      </c>
      <c r="AP122" s="0" t="n">
        <v>360000</v>
      </c>
      <c r="DB122" s="0" t="str">
        <f aca="false">IF($A122="","",IF($AE122&amp;""&lt;&gt;設定!$C$4,"対象外",IF($AH122=20,IF(OR($AJ122=10,$AJ122=11,$AJ122=18),"①病院一般",IF($AJ122=41,"②病院短期","対象外")),IF($AH122=5,IF($AJ122=30,"③特定消防","対象外"),IF(OR($AJ122=10,$AJ122=11,$AJ122=74),"④一般",IF(OR($AJ122=41,$AJ122=47),"⑤短期","対象外"))))))</f>
        <v>④一般</v>
      </c>
    </row>
    <row r="123" customFormat="false" ht="15" hidden="false" customHeight="false" outlineLevel="0" collapsed="false">
      <c r="A123" s="0" t="n">
        <v>21</v>
      </c>
      <c r="AA123" s="0" t="n">
        <v>21</v>
      </c>
      <c r="AB123" s="0" t="s">
        <v>409</v>
      </c>
      <c r="AD123" s="0" t="n">
        <v>12</v>
      </c>
      <c r="AE123" s="0" t="s">
        <v>96</v>
      </c>
      <c r="AH123" s="0" t="n">
        <v>1</v>
      </c>
      <c r="AJ123" s="0" t="n">
        <v>10</v>
      </c>
      <c r="AP123" s="0" t="n">
        <v>590000</v>
      </c>
      <c r="DB123" s="0" t="str">
        <f aca="false">IF($A123="","",IF($AE123&amp;""&lt;&gt;設定!$C$4,"対象外",IF($AH123=20,IF(OR($AJ123=10,$AJ123=11,$AJ123=18),"①病院一般",IF($AJ123=41,"②病院短期","対象外")),IF($AH123=5,IF($AJ123=30,"③特定消防","対象外"),IF(OR($AJ123=10,$AJ123=11,$AJ123=74),"④一般",IF(OR($AJ123=41,$AJ123=47),"⑤短期","対象外"))))))</f>
        <v>④一般</v>
      </c>
    </row>
    <row r="124" customFormat="false" ht="15" hidden="false" customHeight="false" outlineLevel="0" collapsed="false">
      <c r="A124" s="0" t="n">
        <v>21</v>
      </c>
      <c r="AA124" s="0" t="n">
        <v>21</v>
      </c>
      <c r="AB124" s="0" t="s">
        <v>409</v>
      </c>
      <c r="AD124" s="0" t="n">
        <v>11</v>
      </c>
      <c r="AE124" s="0" t="s">
        <v>96</v>
      </c>
      <c r="AH124" s="0" t="n">
        <v>1</v>
      </c>
      <c r="AJ124" s="0" t="n">
        <v>10</v>
      </c>
      <c r="AP124" s="0" t="n">
        <v>360000</v>
      </c>
      <c r="DB124" s="0" t="str">
        <f aca="false">IF($A124="","",IF($AE124&amp;""&lt;&gt;設定!$C$4,"対象外",IF($AH124=20,IF(OR($AJ124=10,$AJ124=11,$AJ124=18),"①病院一般",IF($AJ124=41,"②病院短期","対象外")),IF($AH124=5,IF($AJ124=30,"③特定消防","対象外"),IF(OR($AJ124=10,$AJ124=11,$AJ124=74),"④一般",IF(OR($AJ124=41,$AJ124=47),"⑤短期","対象外"))))))</f>
        <v>④一般</v>
      </c>
    </row>
    <row r="125" customFormat="false" ht="15" hidden="false" customHeight="false" outlineLevel="0" collapsed="false">
      <c r="A125" s="0" t="n">
        <v>21</v>
      </c>
      <c r="AA125" s="0" t="n">
        <v>21</v>
      </c>
      <c r="AB125" s="0" t="s">
        <v>409</v>
      </c>
      <c r="AD125" s="0" t="n">
        <v>12</v>
      </c>
      <c r="AE125" s="0" t="s">
        <v>96</v>
      </c>
      <c r="AH125" s="0" t="n">
        <v>21</v>
      </c>
      <c r="AJ125" s="0" t="n">
        <v>74</v>
      </c>
      <c r="AP125" s="0" t="n">
        <v>560000</v>
      </c>
      <c r="DB125" s="0" t="str">
        <f aca="false">IF($A125="","",IF($AE125&amp;""&lt;&gt;設定!$C$4,"対象外",IF($AH125=20,IF(OR($AJ125=10,$AJ125=11,$AJ125=18),"①病院一般",IF($AJ125=41,"②病院短期","対象外")),IF($AH125=5,IF($AJ125=30,"③特定消防","対象外"),IF(OR($AJ125=10,$AJ125=11,$AJ125=74),"④一般",IF(OR($AJ125=41,$AJ125=47),"⑤短期","対象外"))))))</f>
        <v>④一般</v>
      </c>
    </row>
    <row r="126" customFormat="false" ht="15" hidden="false" customHeight="false" outlineLevel="0" collapsed="false">
      <c r="A126" s="0" t="n">
        <v>21</v>
      </c>
      <c r="AA126" s="0" t="n">
        <v>21</v>
      </c>
      <c r="AB126" s="0" t="s">
        <v>409</v>
      </c>
      <c r="AD126" s="0" t="n">
        <v>12</v>
      </c>
      <c r="AE126" s="0" t="s">
        <v>96</v>
      </c>
      <c r="AH126" s="0" t="n">
        <v>1</v>
      </c>
      <c r="AJ126" s="0" t="n">
        <v>10</v>
      </c>
      <c r="AP126" s="0" t="n">
        <v>590000</v>
      </c>
      <c r="DB126" s="0" t="str">
        <f aca="false">IF($A126="","",IF($AE126&amp;""&lt;&gt;設定!$C$4,"対象外",IF($AH126=20,IF(OR($AJ126=10,$AJ126=11,$AJ126=18),"①病院一般",IF($AJ126=41,"②病院短期","対象外")),IF($AH126=5,IF($AJ126=30,"③特定消防","対象外"),IF(OR($AJ126=10,$AJ126=11,$AJ126=74),"④一般",IF(OR($AJ126=41,$AJ126=47),"⑤短期","対象外"))))))</f>
        <v>④一般</v>
      </c>
    </row>
    <row r="127" customFormat="false" ht="15" hidden="false" customHeight="false" outlineLevel="0" collapsed="false">
      <c r="A127" s="0" t="n">
        <v>21</v>
      </c>
      <c r="AA127" s="0" t="n">
        <v>21</v>
      </c>
      <c r="AB127" s="0" t="s">
        <v>409</v>
      </c>
      <c r="AD127" s="0" t="n">
        <v>11</v>
      </c>
      <c r="AE127" s="0" t="s">
        <v>96</v>
      </c>
      <c r="AH127" s="0" t="n">
        <v>20</v>
      </c>
      <c r="AJ127" s="0" t="n">
        <v>10</v>
      </c>
      <c r="AP127" s="0" t="n">
        <v>500000</v>
      </c>
      <c r="DB127" s="0" t="str">
        <f aca="false">IF($A127="","",IF($AE127&amp;""&lt;&gt;設定!$C$4,"対象外",IF($AH127=20,IF(OR($AJ127=10,$AJ127=11,$AJ127=18),"①病院一般",IF($AJ127=41,"②病院短期","対象外")),IF($AH127=5,IF($AJ127=30,"③特定消防","対象外"),IF(OR($AJ127=10,$AJ127=11,$AJ127=74),"④一般",IF(OR($AJ127=41,$AJ127=47),"⑤短期","対象外"))))))</f>
        <v>①病院一般</v>
      </c>
    </row>
    <row r="128" customFormat="false" ht="15" hidden="false" customHeight="false" outlineLevel="0" collapsed="false">
      <c r="A128" s="0" t="n">
        <v>21</v>
      </c>
      <c r="AA128" s="0" t="n">
        <v>21</v>
      </c>
      <c r="AB128" s="0" t="s">
        <v>409</v>
      </c>
      <c r="AD128" s="0" t="n">
        <v>12</v>
      </c>
      <c r="AE128" s="0" t="s">
        <v>96</v>
      </c>
      <c r="AH128" s="0" t="n">
        <v>1</v>
      </c>
      <c r="AJ128" s="0" t="n">
        <v>10</v>
      </c>
      <c r="AP128" s="0" t="n">
        <v>500000</v>
      </c>
      <c r="DB128" s="0" t="str">
        <f aca="false">IF($A128="","",IF($AE128&amp;""&lt;&gt;設定!$C$4,"対象外",IF($AH128=20,IF(OR($AJ128=10,$AJ128=11,$AJ128=18),"①病院一般",IF($AJ128=41,"②病院短期","対象外")),IF($AH128=5,IF($AJ128=30,"③特定消防","対象外"),IF(OR($AJ128=10,$AJ128=11,$AJ128=74),"④一般",IF(OR($AJ128=41,$AJ128=47),"⑤短期","対象外"))))))</f>
        <v>④一般</v>
      </c>
    </row>
    <row r="129" customFormat="false" ht="15" hidden="false" customHeight="false" outlineLevel="0" collapsed="false">
      <c r="A129" s="0" t="n">
        <v>21</v>
      </c>
      <c r="AA129" s="0" t="n">
        <v>21</v>
      </c>
      <c r="AB129" s="0" t="s">
        <v>409</v>
      </c>
      <c r="AD129" s="0" t="n">
        <v>12</v>
      </c>
      <c r="AE129" s="0" t="s">
        <v>96</v>
      </c>
      <c r="AH129" s="0" t="n">
        <v>1</v>
      </c>
      <c r="AJ129" s="0" t="n">
        <v>10</v>
      </c>
      <c r="AP129" s="0" t="n">
        <v>500000</v>
      </c>
      <c r="DB129" s="0" t="str">
        <f aca="false">IF($A129="","",IF($AE129&amp;""&lt;&gt;設定!$C$4,"対象外",IF($AH129=20,IF(OR($AJ129=10,$AJ129=11,$AJ129=18),"①病院一般",IF($AJ129=41,"②病院短期","対象外")),IF($AH129=5,IF($AJ129=30,"③特定消防","対象外"),IF(OR($AJ129=10,$AJ129=11,$AJ129=74),"④一般",IF(OR($AJ129=41,$AJ129=47),"⑤短期","対象外"))))))</f>
        <v>④一般</v>
      </c>
    </row>
    <row r="130" customFormat="false" ht="15" hidden="false" customHeight="false" outlineLevel="0" collapsed="false">
      <c r="A130" s="0" t="n">
        <v>21</v>
      </c>
      <c r="AA130" s="0" t="n">
        <v>21</v>
      </c>
      <c r="AB130" s="0" t="s">
        <v>409</v>
      </c>
      <c r="AD130" s="0" t="n">
        <v>12</v>
      </c>
      <c r="AE130" s="0" t="s">
        <v>96</v>
      </c>
      <c r="AH130" s="0" t="n">
        <v>32</v>
      </c>
      <c r="AJ130" s="0" t="n">
        <v>74</v>
      </c>
      <c r="AP130" s="0" t="n">
        <v>530000</v>
      </c>
      <c r="DB130" s="0" t="str">
        <f aca="false">IF($A130="","",IF($AE130&amp;""&lt;&gt;設定!$C$4,"対象外",IF($AH130=20,IF(OR($AJ130=10,$AJ130=11,$AJ130=18),"①病院一般",IF($AJ130=41,"②病院短期","対象外")),IF($AH130=5,IF($AJ130=30,"③特定消防","対象外"),IF(OR($AJ130=10,$AJ130=11,$AJ130=74),"④一般",IF(OR($AJ130=41,$AJ130=47),"⑤短期","対象外"))))))</f>
        <v>④一般</v>
      </c>
    </row>
    <row r="131" customFormat="false" ht="15" hidden="false" customHeight="false" outlineLevel="0" collapsed="false">
      <c r="A131" s="0" t="n">
        <v>21</v>
      </c>
      <c r="AA131" s="0" t="n">
        <v>21</v>
      </c>
      <c r="AB131" s="0" t="s">
        <v>407</v>
      </c>
      <c r="AD131" s="0" t="n">
        <v>12</v>
      </c>
      <c r="AE131" s="0" t="s">
        <v>96</v>
      </c>
      <c r="AH131" s="0" t="n">
        <v>20</v>
      </c>
      <c r="AJ131" s="0" t="n">
        <v>10</v>
      </c>
      <c r="AP131" s="0" t="n">
        <v>380000</v>
      </c>
      <c r="DB131" s="0" t="str">
        <f aca="false">IF($A131="","",IF($AE131&amp;""&lt;&gt;設定!$C$4,"対象外",IF($AH131=20,IF(OR($AJ131=10,$AJ131=11,$AJ131=18),"①病院一般",IF($AJ131=41,"②病院短期","対象外")),IF($AH131=5,IF($AJ131=30,"③特定消防","対象外"),IF(OR($AJ131=10,$AJ131=11,$AJ131=74),"④一般",IF(OR($AJ131=41,$AJ131=47),"⑤短期","対象外"))))))</f>
        <v>①病院一般</v>
      </c>
    </row>
    <row r="132" customFormat="false" ht="15" hidden="false" customHeight="false" outlineLevel="0" collapsed="false">
      <c r="A132" s="0" t="n">
        <v>21</v>
      </c>
      <c r="AA132" s="0" t="n">
        <v>21</v>
      </c>
      <c r="AB132" s="0" t="s">
        <v>411</v>
      </c>
      <c r="AD132" s="0" t="n">
        <v>12</v>
      </c>
      <c r="AE132" s="0" t="s">
        <v>96</v>
      </c>
      <c r="AH132" s="0" t="n">
        <v>3</v>
      </c>
      <c r="AJ132" s="0" t="n">
        <v>10</v>
      </c>
      <c r="AP132" s="0" t="n">
        <v>410000</v>
      </c>
      <c r="DB132" s="0" t="str">
        <f aca="false">IF($A132="","",IF($AE132&amp;""&lt;&gt;設定!$C$4,"対象外",IF($AH132=20,IF(OR($AJ132=10,$AJ132=11,$AJ132=18),"①病院一般",IF($AJ132=41,"②病院短期","対象外")),IF($AH132=5,IF($AJ132=30,"③特定消防","対象外"),IF(OR($AJ132=10,$AJ132=11,$AJ132=74),"④一般",IF(OR($AJ132=41,$AJ132=47),"⑤短期","対象外"))))))</f>
        <v>④一般</v>
      </c>
    </row>
    <row r="133" customFormat="false" ht="15" hidden="false" customHeight="false" outlineLevel="0" collapsed="false">
      <c r="A133" s="0" t="n">
        <v>21</v>
      </c>
      <c r="AA133" s="0" t="n">
        <v>24</v>
      </c>
      <c r="AB133" s="0" t="s">
        <v>400</v>
      </c>
      <c r="AD133" s="0" t="n">
        <v>11</v>
      </c>
      <c r="AE133" s="0" t="s">
        <v>96</v>
      </c>
      <c r="AH133" s="0" t="n">
        <v>47</v>
      </c>
      <c r="AJ133" s="0" t="n">
        <v>74</v>
      </c>
      <c r="AP133" s="0" t="n">
        <v>360000</v>
      </c>
      <c r="DB133" s="0" t="str">
        <f aca="false">IF($A133="","",IF($AE133&amp;""&lt;&gt;設定!$C$4,"対象外",IF($AH133=20,IF(OR($AJ133=10,$AJ133=11,$AJ133=18),"①病院一般",IF($AJ133=41,"②病院短期","対象外")),IF($AH133=5,IF($AJ133=30,"③特定消防","対象外"),IF(OR($AJ133=10,$AJ133=11,$AJ133=74),"④一般",IF(OR($AJ133=41,$AJ133=47),"⑤短期","対象外"))))))</f>
        <v>④一般</v>
      </c>
    </row>
    <row r="134" customFormat="false" ht="15" hidden="false" customHeight="false" outlineLevel="0" collapsed="false">
      <c r="A134" s="0" t="n">
        <v>21</v>
      </c>
      <c r="AA134" s="0" t="n">
        <v>21</v>
      </c>
      <c r="AB134" s="0" t="s">
        <v>409</v>
      </c>
      <c r="AD134" s="0" t="n">
        <v>12</v>
      </c>
      <c r="AE134" s="0" t="s">
        <v>96</v>
      </c>
      <c r="AH134" s="0" t="n">
        <v>4</v>
      </c>
      <c r="AJ134" s="0" t="n">
        <v>10</v>
      </c>
      <c r="AP134" s="0" t="n">
        <v>620000</v>
      </c>
      <c r="DB134" s="0" t="str">
        <f aca="false">IF($A134="","",IF($AE134&amp;""&lt;&gt;設定!$C$4,"対象外",IF($AH134=20,IF(OR($AJ134=10,$AJ134=11,$AJ134=18),"①病院一般",IF($AJ134=41,"②病院短期","対象外")),IF($AH134=5,IF($AJ134=30,"③特定消防","対象外"),IF(OR($AJ134=10,$AJ134=11,$AJ134=74),"④一般",IF(OR($AJ134=41,$AJ134=47),"⑤短期","対象外"))))))</f>
        <v>④一般</v>
      </c>
    </row>
    <row r="135" customFormat="false" ht="15" hidden="false" customHeight="false" outlineLevel="0" collapsed="false">
      <c r="A135" s="0" t="n">
        <v>21</v>
      </c>
      <c r="AA135" s="0" t="n">
        <v>21</v>
      </c>
      <c r="AB135" s="0" t="s">
        <v>409</v>
      </c>
      <c r="AD135" s="0" t="n">
        <v>11</v>
      </c>
      <c r="AE135" s="0" t="s">
        <v>96</v>
      </c>
      <c r="AH135" s="0" t="n">
        <v>4</v>
      </c>
      <c r="AJ135" s="0" t="n">
        <v>10</v>
      </c>
      <c r="AP135" s="0" t="n">
        <v>360000</v>
      </c>
      <c r="DB135" s="0" t="str">
        <f aca="false">IF($A135="","",IF($AE135&amp;""&lt;&gt;設定!$C$4,"対象外",IF($AH135=20,IF(OR($AJ135=10,$AJ135=11,$AJ135=18),"①病院一般",IF($AJ135=41,"②病院短期","対象外")),IF($AH135=5,IF($AJ135=30,"③特定消防","対象外"),IF(OR($AJ135=10,$AJ135=11,$AJ135=74),"④一般",IF(OR($AJ135=41,$AJ135=47),"⑤短期","対象外"))))))</f>
        <v>④一般</v>
      </c>
    </row>
    <row r="136" customFormat="false" ht="15" hidden="false" customHeight="false" outlineLevel="0" collapsed="false">
      <c r="A136" s="0" t="n">
        <v>21</v>
      </c>
      <c r="AA136" s="0" t="n">
        <v>21</v>
      </c>
      <c r="AB136" s="0" t="s">
        <v>412</v>
      </c>
      <c r="AD136" s="0" t="n">
        <v>12</v>
      </c>
      <c r="AE136" s="0" t="s">
        <v>96</v>
      </c>
      <c r="AH136" s="0" t="n">
        <v>20</v>
      </c>
      <c r="AJ136" s="0" t="n">
        <v>10</v>
      </c>
      <c r="AP136" s="0" t="n">
        <v>340000</v>
      </c>
      <c r="DB136" s="0" t="str">
        <f aca="false">IF($A136="","",IF($AE136&amp;""&lt;&gt;設定!$C$4,"対象外",IF($AH136=20,IF(OR($AJ136=10,$AJ136=11,$AJ136=18),"①病院一般",IF($AJ136=41,"②病院短期","対象外")),IF($AH136=5,IF($AJ136=30,"③特定消防","対象外"),IF(OR($AJ136=10,$AJ136=11,$AJ136=74),"④一般",IF(OR($AJ136=41,$AJ136=47),"⑤短期","対象外"))))))</f>
        <v>①病院一般</v>
      </c>
    </row>
    <row r="137" customFormat="false" ht="15" hidden="false" customHeight="false" outlineLevel="0" collapsed="false">
      <c r="A137" s="0" t="n">
        <v>21</v>
      </c>
      <c r="AA137" s="0" t="n">
        <v>21</v>
      </c>
      <c r="AB137" s="0" t="s">
        <v>413</v>
      </c>
      <c r="AD137" s="0" t="n">
        <v>12</v>
      </c>
      <c r="AE137" s="0" t="s">
        <v>96</v>
      </c>
      <c r="AH137" s="0" t="n">
        <v>5</v>
      </c>
      <c r="AJ137" s="0" t="n">
        <v>10</v>
      </c>
      <c r="AP137" s="0" t="n">
        <v>710000</v>
      </c>
      <c r="DB137" s="0" t="str">
        <f aca="false">IF($A137="","",IF($AE137&amp;""&lt;&gt;設定!$C$4,"対象外",IF($AH137=20,IF(OR($AJ137=10,$AJ137=11,$AJ137=18),"①病院一般",IF($AJ137=41,"②病院短期","対象外")),IF($AH137=5,IF($AJ137=30,"③特定消防","対象外"),IF(OR($AJ137=10,$AJ137=11,$AJ137=74),"④一般",IF(OR($AJ137=41,$AJ137=47),"⑤短期","対象外"))))))</f>
        <v>対象外</v>
      </c>
    </row>
    <row r="138" customFormat="false" ht="15" hidden="false" customHeight="false" outlineLevel="0" collapsed="false">
      <c r="A138" s="0" t="n">
        <v>21</v>
      </c>
      <c r="AA138" s="0" t="n">
        <v>21</v>
      </c>
      <c r="AB138" s="0" t="s">
        <v>413</v>
      </c>
      <c r="AD138" s="0" t="n">
        <v>12</v>
      </c>
      <c r="AE138" s="0" t="s">
        <v>96</v>
      </c>
      <c r="AH138" s="0" t="n">
        <v>1</v>
      </c>
      <c r="AJ138" s="0" t="n">
        <v>10</v>
      </c>
      <c r="AP138" s="0" t="n">
        <v>750000</v>
      </c>
      <c r="DB138" s="0" t="str">
        <f aca="false">IF($A138="","",IF($AE138&amp;""&lt;&gt;設定!$C$4,"対象外",IF($AH138=20,IF(OR($AJ138=10,$AJ138=11,$AJ138=18),"①病院一般",IF($AJ138=41,"②病院短期","対象外")),IF($AH138=5,IF($AJ138=30,"③特定消防","対象外"),IF(OR($AJ138=10,$AJ138=11,$AJ138=74),"④一般",IF(OR($AJ138=41,$AJ138=47),"⑤短期","対象外"))))))</f>
        <v>④一般</v>
      </c>
    </row>
    <row r="139" customFormat="false" ht="15" hidden="false" customHeight="false" outlineLevel="0" collapsed="false">
      <c r="A139" s="0" t="n">
        <v>21</v>
      </c>
      <c r="AA139" s="0" t="n">
        <v>21</v>
      </c>
      <c r="AB139" s="0" t="s">
        <v>413</v>
      </c>
      <c r="AD139" s="0" t="n">
        <v>11</v>
      </c>
      <c r="AE139" s="0" t="s">
        <v>96</v>
      </c>
      <c r="AH139" s="0" t="n">
        <v>1</v>
      </c>
      <c r="AJ139" s="0" t="n">
        <v>10</v>
      </c>
      <c r="AP139" s="0" t="n">
        <v>500000</v>
      </c>
      <c r="DB139" s="0" t="str">
        <f aca="false">IF($A139="","",IF($AE139&amp;""&lt;&gt;設定!$C$4,"対象外",IF($AH139=20,IF(OR($AJ139=10,$AJ139=11,$AJ139=18),"①病院一般",IF($AJ139=41,"②病院短期","対象外")),IF($AH139=5,IF($AJ139=30,"③特定消防","対象外"),IF(OR($AJ139=10,$AJ139=11,$AJ139=74),"④一般",IF(OR($AJ139=41,$AJ139=47),"⑤短期","対象外"))))))</f>
        <v>④一般</v>
      </c>
    </row>
    <row r="140" customFormat="false" ht="15" hidden="false" customHeight="false" outlineLevel="0" collapsed="false">
      <c r="A140" s="0" t="n">
        <v>21</v>
      </c>
      <c r="AA140" s="0" t="n">
        <v>21</v>
      </c>
      <c r="AB140" s="0" t="s">
        <v>413</v>
      </c>
      <c r="AD140" s="0" t="n">
        <v>12</v>
      </c>
      <c r="AE140" s="0" t="s">
        <v>96</v>
      </c>
      <c r="AH140" s="0" t="n">
        <v>14</v>
      </c>
      <c r="AJ140" s="0" t="n">
        <v>10</v>
      </c>
      <c r="AP140" s="0" t="n">
        <v>710000</v>
      </c>
      <c r="DB140" s="0" t="str">
        <f aca="false">IF($A140="","",IF($AE140&amp;""&lt;&gt;設定!$C$4,"対象外",IF($AH140=20,IF(OR($AJ140=10,$AJ140=11,$AJ140=18),"①病院一般",IF($AJ140=41,"②病院短期","対象外")),IF($AH140=5,IF($AJ140=30,"③特定消防","対象外"),IF(OR($AJ140=10,$AJ140=11,$AJ140=74),"④一般",IF(OR($AJ140=41,$AJ140=47),"⑤短期","対象外"))))))</f>
        <v>④一般</v>
      </c>
    </row>
    <row r="141" customFormat="false" ht="15" hidden="false" customHeight="false" outlineLevel="0" collapsed="false">
      <c r="A141" s="0" t="n">
        <v>21</v>
      </c>
      <c r="AA141" s="0" t="n">
        <v>21</v>
      </c>
      <c r="AB141" s="0" t="s">
        <v>413</v>
      </c>
      <c r="AD141" s="0" t="n">
        <v>11</v>
      </c>
      <c r="AE141" s="0" t="s">
        <v>96</v>
      </c>
      <c r="AH141" s="0" t="n">
        <v>1</v>
      </c>
      <c r="AJ141" s="0" t="n">
        <v>10</v>
      </c>
      <c r="AP141" s="0" t="n">
        <v>650000</v>
      </c>
      <c r="DB141" s="0" t="str">
        <f aca="false">IF($A141="","",IF($AE141&amp;""&lt;&gt;設定!$C$4,"対象外",IF($AH141=20,IF(OR($AJ141=10,$AJ141=11,$AJ141=18),"①病院一般",IF($AJ141=41,"②病院短期","対象外")),IF($AH141=5,IF($AJ141=30,"③特定消防","対象外"),IF(OR($AJ141=10,$AJ141=11,$AJ141=74),"④一般",IF(OR($AJ141=41,$AJ141=47),"⑤短期","対象外"))))))</f>
        <v>④一般</v>
      </c>
    </row>
    <row r="142" customFormat="false" ht="15" hidden="false" customHeight="false" outlineLevel="0" collapsed="false">
      <c r="A142" s="0" t="n">
        <v>21</v>
      </c>
      <c r="AA142" s="0" t="n">
        <v>21</v>
      </c>
      <c r="AB142" s="0" t="s">
        <v>413</v>
      </c>
      <c r="AD142" s="0" t="n">
        <v>11</v>
      </c>
      <c r="AE142" s="0" t="s">
        <v>96</v>
      </c>
      <c r="AH142" s="0" t="n">
        <v>1</v>
      </c>
      <c r="AJ142" s="0" t="n">
        <v>10</v>
      </c>
      <c r="AP142" s="0" t="n">
        <v>320000</v>
      </c>
      <c r="DB142" s="0" t="str">
        <f aca="false">IF($A142="","",IF($AE142&amp;""&lt;&gt;設定!$C$4,"対象外",IF($AH142=20,IF(OR($AJ142=10,$AJ142=11,$AJ142=18),"①病院一般",IF($AJ142=41,"②病院短期","対象外")),IF($AH142=5,IF($AJ142=30,"③特定消防","対象外"),IF(OR($AJ142=10,$AJ142=11,$AJ142=74),"④一般",IF(OR($AJ142=41,$AJ142=47),"⑤短期","対象外"))))))</f>
        <v>④一般</v>
      </c>
    </row>
    <row r="143" customFormat="false" ht="15" hidden="false" customHeight="false" outlineLevel="0" collapsed="false">
      <c r="A143" s="0" t="n">
        <v>21</v>
      </c>
      <c r="AA143" s="0" t="n">
        <v>21</v>
      </c>
      <c r="AB143" s="0" t="s">
        <v>413</v>
      </c>
      <c r="AD143" s="0" t="n">
        <v>12</v>
      </c>
      <c r="AE143" s="0" t="s">
        <v>96</v>
      </c>
      <c r="AH143" s="0" t="n">
        <v>47</v>
      </c>
      <c r="AJ143" s="0" t="n">
        <v>74</v>
      </c>
      <c r="AP143" s="0" t="n">
        <v>530000</v>
      </c>
      <c r="DB143" s="0" t="str">
        <f aca="false">IF($A143="","",IF($AE143&amp;""&lt;&gt;設定!$C$4,"対象外",IF($AH143=20,IF(OR($AJ143=10,$AJ143=11,$AJ143=18),"①病院一般",IF($AJ143=41,"②病院短期","対象外")),IF($AH143=5,IF($AJ143=30,"③特定消防","対象外"),IF(OR($AJ143=10,$AJ143=11,$AJ143=74),"④一般",IF(OR($AJ143=41,$AJ143=47),"⑤短期","対象外"))))))</f>
        <v>④一般</v>
      </c>
    </row>
    <row r="144" customFormat="false" ht="15" hidden="false" customHeight="false" outlineLevel="0" collapsed="false">
      <c r="A144" s="0" t="n">
        <v>21</v>
      </c>
      <c r="AA144" s="0" t="n">
        <v>21</v>
      </c>
      <c r="AB144" s="0" t="s">
        <v>413</v>
      </c>
      <c r="AD144" s="0" t="n">
        <v>12</v>
      </c>
      <c r="AE144" s="0" t="s">
        <v>96</v>
      </c>
      <c r="AH144" s="0" t="n">
        <v>1</v>
      </c>
      <c r="AJ144" s="0" t="n">
        <v>10</v>
      </c>
      <c r="AP144" s="0" t="n">
        <v>710000</v>
      </c>
      <c r="DB144" s="0" t="str">
        <f aca="false">IF($A144="","",IF($AE144&amp;""&lt;&gt;設定!$C$4,"対象外",IF($AH144=20,IF(OR($AJ144=10,$AJ144=11,$AJ144=18),"①病院一般",IF($AJ144=41,"②病院短期","対象外")),IF($AH144=5,IF($AJ144=30,"③特定消防","対象外"),IF(OR($AJ144=10,$AJ144=11,$AJ144=74),"④一般",IF(OR($AJ144=41,$AJ144=47),"⑤短期","対象外"))))))</f>
        <v>④一般</v>
      </c>
    </row>
    <row r="145" customFormat="false" ht="15" hidden="false" customHeight="false" outlineLevel="0" collapsed="false">
      <c r="A145" s="0" t="n">
        <v>21</v>
      </c>
      <c r="AA145" s="0" t="n">
        <v>21</v>
      </c>
      <c r="AB145" s="0" t="s">
        <v>413</v>
      </c>
      <c r="AD145" s="0" t="n">
        <v>12</v>
      </c>
      <c r="AE145" s="0" t="s">
        <v>96</v>
      </c>
      <c r="AH145" s="0" t="n">
        <v>1</v>
      </c>
      <c r="AJ145" s="0" t="n">
        <v>10</v>
      </c>
      <c r="AP145" s="0" t="n">
        <v>650000</v>
      </c>
      <c r="DB145" s="0" t="str">
        <f aca="false">IF($A145="","",IF($AE145&amp;""&lt;&gt;設定!$C$4,"対象外",IF($AH145=20,IF(OR($AJ145=10,$AJ145=11,$AJ145=18),"①病院一般",IF($AJ145=41,"②病院短期","対象外")),IF($AH145=5,IF($AJ145=30,"③特定消防","対象外"),IF(OR($AJ145=10,$AJ145=11,$AJ145=74),"④一般",IF(OR($AJ145=41,$AJ145=47),"⑤短期","対象外"))))))</f>
        <v>④一般</v>
      </c>
    </row>
    <row r="146" customFormat="false" ht="15" hidden="false" customHeight="false" outlineLevel="0" collapsed="false">
      <c r="A146" s="0" t="n">
        <v>21</v>
      </c>
      <c r="AA146" s="0" t="n">
        <v>21</v>
      </c>
      <c r="AB146" s="0" t="s">
        <v>413</v>
      </c>
      <c r="AD146" s="0" t="n">
        <v>11</v>
      </c>
      <c r="AE146" s="0" t="s">
        <v>96</v>
      </c>
      <c r="AH146" s="0" t="n">
        <v>1</v>
      </c>
      <c r="AJ146" s="0" t="n">
        <v>10</v>
      </c>
      <c r="AP146" s="0" t="n">
        <v>470000</v>
      </c>
      <c r="DB146" s="0" t="str">
        <f aca="false">IF($A146="","",IF($AE146&amp;""&lt;&gt;設定!$C$4,"対象外",IF($AH146=20,IF(OR($AJ146=10,$AJ146=11,$AJ146=18),"①病院一般",IF($AJ146=41,"②病院短期","対象外")),IF($AH146=5,IF($AJ146=30,"③特定消防","対象外"),IF(OR($AJ146=10,$AJ146=11,$AJ146=74),"④一般",IF(OR($AJ146=41,$AJ146=47),"⑤短期","対象外"))))))</f>
        <v>④一般</v>
      </c>
    </row>
    <row r="147" customFormat="false" ht="15" hidden="false" customHeight="false" outlineLevel="0" collapsed="false">
      <c r="A147" s="0" t="n">
        <v>21</v>
      </c>
      <c r="AA147" s="0" t="n">
        <v>21</v>
      </c>
      <c r="AB147" s="0" t="s">
        <v>413</v>
      </c>
      <c r="AD147" s="0" t="n">
        <v>12</v>
      </c>
      <c r="AE147" s="0" t="s">
        <v>96</v>
      </c>
      <c r="AH147" s="0" t="n">
        <v>1</v>
      </c>
      <c r="AJ147" s="0" t="n">
        <v>10</v>
      </c>
      <c r="AP147" s="0" t="n">
        <v>710000</v>
      </c>
      <c r="DB147" s="0" t="str">
        <f aca="false">IF($A147="","",IF($AE147&amp;""&lt;&gt;設定!$C$4,"対象外",IF($AH147=20,IF(OR($AJ147=10,$AJ147=11,$AJ147=18),"①病院一般",IF($AJ147=41,"②病院短期","対象外")),IF($AH147=5,IF($AJ147=30,"③特定消防","対象外"),IF(OR($AJ147=10,$AJ147=11,$AJ147=74),"④一般",IF(OR($AJ147=41,$AJ147=47),"⑤短期","対象外"))))))</f>
        <v>④一般</v>
      </c>
    </row>
    <row r="148" customFormat="false" ht="15" hidden="false" customHeight="false" outlineLevel="0" collapsed="false">
      <c r="A148" s="0" t="n">
        <v>21</v>
      </c>
      <c r="AA148" s="0" t="n">
        <v>21</v>
      </c>
      <c r="AB148" s="0" t="s">
        <v>413</v>
      </c>
      <c r="AD148" s="0" t="n">
        <v>11</v>
      </c>
      <c r="AE148" s="0" t="s">
        <v>96</v>
      </c>
      <c r="AH148" s="0" t="n">
        <v>1</v>
      </c>
      <c r="AJ148" s="0" t="n">
        <v>10</v>
      </c>
      <c r="AP148" s="0" t="n">
        <v>680000</v>
      </c>
      <c r="DB148" s="0" t="str">
        <f aca="false">IF($A148="","",IF($AE148&amp;""&lt;&gt;設定!$C$4,"対象外",IF($AH148=20,IF(OR($AJ148=10,$AJ148=11,$AJ148=18),"①病院一般",IF($AJ148=41,"②病院短期","対象外")),IF($AH148=5,IF($AJ148=30,"③特定消防","対象外"),IF(OR($AJ148=10,$AJ148=11,$AJ148=74),"④一般",IF(OR($AJ148=41,$AJ148=47),"⑤短期","対象外"))))))</f>
        <v>④一般</v>
      </c>
    </row>
    <row r="149" customFormat="false" ht="15" hidden="false" customHeight="false" outlineLevel="0" collapsed="false">
      <c r="A149" s="0" t="n">
        <v>21</v>
      </c>
      <c r="AA149" s="0" t="n">
        <v>21</v>
      </c>
      <c r="AB149" s="0" t="s">
        <v>413</v>
      </c>
      <c r="AD149" s="0" t="n">
        <v>12</v>
      </c>
      <c r="AE149" s="0" t="s">
        <v>414</v>
      </c>
      <c r="AH149" s="0" t="n">
        <v>1</v>
      </c>
      <c r="AJ149" s="0" t="n">
        <v>10</v>
      </c>
      <c r="AP149" s="0" t="n">
        <v>410000</v>
      </c>
      <c r="DB149" s="0" t="str">
        <f aca="false">IF($A149="","",IF($AE149&amp;""&lt;&gt;設定!$C$4,"対象外",IF($AH149=20,IF(OR($AJ149=10,$AJ149=11,$AJ149=18),"①病院一般",IF($AJ149=41,"②病院短期","対象外")),IF($AH149=5,IF($AJ149=30,"③特定消防","対象外"),IF(OR($AJ149=10,$AJ149=11,$AJ149=74),"④一般",IF(OR($AJ149=41,$AJ149=47),"⑤短期","対象外"))))))</f>
        <v>対象外</v>
      </c>
    </row>
    <row r="150" customFormat="false" ht="15" hidden="false" customHeight="false" outlineLevel="0" collapsed="false">
      <c r="A150" s="0" t="n">
        <v>21</v>
      </c>
      <c r="AA150" s="0" t="n">
        <v>21</v>
      </c>
      <c r="AB150" s="0" t="s">
        <v>413</v>
      </c>
      <c r="AD150" s="0" t="n">
        <v>12</v>
      </c>
      <c r="AE150" s="0" t="s">
        <v>96</v>
      </c>
      <c r="AH150" s="0" t="n">
        <v>1</v>
      </c>
      <c r="AJ150" s="0" t="n">
        <v>10</v>
      </c>
      <c r="AP150" s="0" t="n">
        <v>620000</v>
      </c>
      <c r="DB150" s="0" t="str">
        <f aca="false">IF($A150="","",IF($AE150&amp;""&lt;&gt;設定!$C$4,"対象外",IF($AH150=20,IF(OR($AJ150=10,$AJ150=11,$AJ150=18),"①病院一般",IF($AJ150=41,"②病院短期","対象外")),IF($AH150=5,IF($AJ150=30,"③特定消防","対象外"),IF(OR($AJ150=10,$AJ150=11,$AJ150=74),"④一般",IF(OR($AJ150=41,$AJ150=47),"⑤短期","対象外"))))))</f>
        <v>④一般</v>
      </c>
    </row>
    <row r="151" customFormat="false" ht="15" hidden="false" customHeight="false" outlineLevel="0" collapsed="false">
      <c r="A151" s="0" t="n">
        <v>21</v>
      </c>
      <c r="AA151" s="0" t="n">
        <v>21</v>
      </c>
      <c r="AB151" s="0" t="s">
        <v>413</v>
      </c>
      <c r="AD151" s="0" t="n">
        <v>12</v>
      </c>
      <c r="AE151" s="0" t="s">
        <v>96</v>
      </c>
      <c r="AH151" s="0" t="n">
        <v>20</v>
      </c>
      <c r="AJ151" s="0" t="n">
        <v>10</v>
      </c>
      <c r="AP151" s="0" t="n">
        <v>410000</v>
      </c>
      <c r="DB151" s="0" t="str">
        <f aca="false">IF($A151="","",IF($AE151&amp;""&lt;&gt;設定!$C$4,"対象外",IF($AH151=20,IF(OR($AJ151=10,$AJ151=11,$AJ151=18),"①病院一般",IF($AJ151=41,"②病院短期","対象外")),IF($AH151=5,IF($AJ151=30,"③特定消防","対象外"),IF(OR($AJ151=10,$AJ151=11,$AJ151=74),"④一般",IF(OR($AJ151=41,$AJ151=47),"⑤短期","対象外"))))))</f>
        <v>①病院一般</v>
      </c>
    </row>
    <row r="152" customFormat="false" ht="15" hidden="false" customHeight="false" outlineLevel="0" collapsed="false">
      <c r="A152" s="0" t="n">
        <v>21</v>
      </c>
      <c r="AA152" s="0" t="n">
        <v>21</v>
      </c>
      <c r="AB152" s="0" t="s">
        <v>413</v>
      </c>
      <c r="AD152" s="0" t="n">
        <v>11</v>
      </c>
      <c r="AE152" s="0" t="s">
        <v>96</v>
      </c>
      <c r="AH152" s="0" t="n">
        <v>1</v>
      </c>
      <c r="AJ152" s="0" t="n">
        <v>10</v>
      </c>
      <c r="AP152" s="0" t="n">
        <v>620000</v>
      </c>
      <c r="DB152" s="0" t="str">
        <f aca="false">IF($A152="","",IF($AE152&amp;""&lt;&gt;設定!$C$4,"対象外",IF($AH152=20,IF(OR($AJ152=10,$AJ152=11,$AJ152=18),"①病院一般",IF($AJ152=41,"②病院短期","対象外")),IF($AH152=5,IF($AJ152=30,"③特定消防","対象外"),IF(OR($AJ152=10,$AJ152=11,$AJ152=74),"④一般",IF(OR($AJ152=41,$AJ152=47),"⑤短期","対象外"))))))</f>
        <v>④一般</v>
      </c>
    </row>
    <row r="153" customFormat="false" ht="15" hidden="false" customHeight="false" outlineLevel="0" collapsed="false">
      <c r="A153" s="0" t="n">
        <v>21</v>
      </c>
      <c r="AA153" s="0" t="n">
        <v>21</v>
      </c>
      <c r="AB153" s="0" t="s">
        <v>413</v>
      </c>
      <c r="AD153" s="0" t="n">
        <v>12</v>
      </c>
      <c r="AE153" s="0" t="s">
        <v>96</v>
      </c>
      <c r="AH153" s="0" t="n">
        <v>1</v>
      </c>
      <c r="AJ153" s="0" t="n">
        <v>10</v>
      </c>
      <c r="AP153" s="0" t="n">
        <v>470000</v>
      </c>
      <c r="DB153" s="0" t="str">
        <f aca="false">IF($A153="","",IF($AE153&amp;""&lt;&gt;設定!$C$4,"対象外",IF($AH153=20,IF(OR($AJ153=10,$AJ153=11,$AJ153=18),"①病院一般",IF($AJ153=41,"②病院短期","対象外")),IF($AH153=5,IF($AJ153=30,"③特定消防","対象外"),IF(OR($AJ153=10,$AJ153=11,$AJ153=74),"④一般",IF(OR($AJ153=41,$AJ153=47),"⑤短期","対象外"))))))</f>
        <v>④一般</v>
      </c>
    </row>
    <row r="154" customFormat="false" ht="15" hidden="false" customHeight="false" outlineLevel="0" collapsed="false">
      <c r="A154" s="0" t="n">
        <v>21</v>
      </c>
      <c r="AA154" s="0" t="n">
        <v>21</v>
      </c>
      <c r="AB154" s="0" t="s">
        <v>413</v>
      </c>
      <c r="AD154" s="0" t="n">
        <v>12</v>
      </c>
      <c r="AE154" s="0" t="s">
        <v>96</v>
      </c>
      <c r="AH154" s="0" t="n">
        <v>1</v>
      </c>
      <c r="AJ154" s="0" t="n">
        <v>10</v>
      </c>
      <c r="AP154" s="0" t="n">
        <v>790000</v>
      </c>
      <c r="DB154" s="0" t="str">
        <f aca="false">IF($A154="","",IF($AE154&amp;""&lt;&gt;設定!$C$4,"対象外",IF($AH154=20,IF(OR($AJ154=10,$AJ154=11,$AJ154=18),"①病院一般",IF($AJ154=41,"②病院短期","対象外")),IF($AH154=5,IF($AJ154=30,"③特定消防","対象外"),IF(OR($AJ154=10,$AJ154=11,$AJ154=74),"④一般",IF(OR($AJ154=41,$AJ154=47),"⑤短期","対象外"))))))</f>
        <v>④一般</v>
      </c>
    </row>
    <row r="155" customFormat="false" ht="15" hidden="false" customHeight="false" outlineLevel="0" collapsed="false">
      <c r="A155" s="0" t="n">
        <v>21</v>
      </c>
      <c r="AA155" s="0" t="n">
        <v>21</v>
      </c>
      <c r="AB155" s="0" t="s">
        <v>413</v>
      </c>
      <c r="AD155" s="0" t="n">
        <v>12</v>
      </c>
      <c r="AE155" s="0" t="s">
        <v>96</v>
      </c>
      <c r="AH155" s="0" t="n">
        <v>1</v>
      </c>
      <c r="AJ155" s="0" t="n">
        <v>10</v>
      </c>
      <c r="AP155" s="0" t="n">
        <v>560000</v>
      </c>
      <c r="DB155" s="0" t="str">
        <f aca="false">IF($A155="","",IF($AE155&amp;""&lt;&gt;設定!$C$4,"対象外",IF($AH155=20,IF(OR($AJ155=10,$AJ155=11,$AJ155=18),"①病院一般",IF($AJ155=41,"②病院短期","対象外")),IF($AH155=5,IF($AJ155=30,"③特定消防","対象外"),IF(OR($AJ155=10,$AJ155=11,$AJ155=74),"④一般",IF(OR($AJ155=41,$AJ155=47),"⑤短期","対象外"))))))</f>
        <v>④一般</v>
      </c>
    </row>
    <row r="156" customFormat="false" ht="15" hidden="false" customHeight="false" outlineLevel="0" collapsed="false">
      <c r="A156" s="0" t="n">
        <v>21</v>
      </c>
      <c r="AA156" s="0" t="n">
        <v>21</v>
      </c>
      <c r="AB156" s="0" t="s">
        <v>413</v>
      </c>
      <c r="AD156" s="0" t="n">
        <v>12</v>
      </c>
      <c r="AE156" s="0" t="s">
        <v>96</v>
      </c>
      <c r="AH156" s="0" t="n">
        <v>1</v>
      </c>
      <c r="AJ156" s="0" t="n">
        <v>10</v>
      </c>
      <c r="AP156" s="0" t="n">
        <v>590000</v>
      </c>
      <c r="DB156" s="0" t="str">
        <f aca="false">IF($A156="","",IF($AE156&amp;""&lt;&gt;設定!$C$4,"対象外",IF($AH156=20,IF(OR($AJ156=10,$AJ156=11,$AJ156=18),"①病院一般",IF($AJ156=41,"②病院短期","対象外")),IF($AH156=5,IF($AJ156=30,"③特定消防","対象外"),IF(OR($AJ156=10,$AJ156=11,$AJ156=74),"④一般",IF(OR($AJ156=41,$AJ156=47),"⑤短期","対象外"))))))</f>
        <v>④一般</v>
      </c>
    </row>
    <row r="157" customFormat="false" ht="15" hidden="false" customHeight="false" outlineLevel="0" collapsed="false">
      <c r="A157" s="0" t="n">
        <v>21</v>
      </c>
      <c r="AA157" s="0" t="n">
        <v>21</v>
      </c>
      <c r="AB157" s="0" t="s">
        <v>413</v>
      </c>
      <c r="AD157" s="0" t="n">
        <v>12</v>
      </c>
      <c r="AE157" s="0" t="s">
        <v>96</v>
      </c>
      <c r="AH157" s="0" t="n">
        <v>1</v>
      </c>
      <c r="AJ157" s="0" t="n">
        <v>10</v>
      </c>
      <c r="AP157" s="0" t="n">
        <v>590000</v>
      </c>
      <c r="DB157" s="0" t="str">
        <f aca="false">IF($A157="","",IF($AE157&amp;""&lt;&gt;設定!$C$4,"対象外",IF($AH157=20,IF(OR($AJ157=10,$AJ157=11,$AJ157=18),"①病院一般",IF($AJ157=41,"②病院短期","対象外")),IF($AH157=5,IF($AJ157=30,"③特定消防","対象外"),IF(OR($AJ157=10,$AJ157=11,$AJ157=74),"④一般",IF(OR($AJ157=41,$AJ157=47),"⑤短期","対象外"))))))</f>
        <v>④一般</v>
      </c>
    </row>
    <row r="158" customFormat="false" ht="15" hidden="false" customHeight="false" outlineLevel="0" collapsed="false">
      <c r="A158" s="0" t="n">
        <v>21</v>
      </c>
      <c r="AA158" s="0" t="n">
        <v>21</v>
      </c>
      <c r="AB158" s="0" t="s">
        <v>413</v>
      </c>
      <c r="AD158" s="0" t="n">
        <v>12</v>
      </c>
      <c r="AE158" s="0" t="s">
        <v>96</v>
      </c>
      <c r="AH158" s="0" t="n">
        <v>1</v>
      </c>
      <c r="AJ158" s="0" t="n">
        <v>10</v>
      </c>
      <c r="AP158" s="0" t="n">
        <v>710000</v>
      </c>
      <c r="DB158" s="0" t="str">
        <f aca="false">IF($A158="","",IF($AE158&amp;""&lt;&gt;設定!$C$4,"対象外",IF($AH158=20,IF(OR($AJ158=10,$AJ158=11,$AJ158=18),"①病院一般",IF($AJ158=41,"②病院短期","対象外")),IF($AH158=5,IF($AJ158=30,"③特定消防","対象外"),IF(OR($AJ158=10,$AJ158=11,$AJ158=74),"④一般",IF(OR($AJ158=41,$AJ158=47),"⑤短期","対象外"))))))</f>
        <v>④一般</v>
      </c>
    </row>
    <row r="159" customFormat="false" ht="15" hidden="false" customHeight="false" outlineLevel="0" collapsed="false">
      <c r="A159" s="0" t="n">
        <v>21</v>
      </c>
      <c r="AA159" s="0" t="n">
        <v>21</v>
      </c>
      <c r="AB159" s="0" t="s">
        <v>413</v>
      </c>
      <c r="AD159" s="0" t="n">
        <v>12</v>
      </c>
      <c r="AE159" s="0" t="s">
        <v>96</v>
      </c>
      <c r="AH159" s="0" t="n">
        <v>1</v>
      </c>
      <c r="AJ159" s="0" t="n">
        <v>10</v>
      </c>
      <c r="AP159" s="0" t="n">
        <v>560000</v>
      </c>
      <c r="DB159" s="0" t="str">
        <f aca="false">IF($A159="","",IF($AE159&amp;""&lt;&gt;設定!$C$4,"対象外",IF($AH159=20,IF(OR($AJ159=10,$AJ159=11,$AJ159=18),"①病院一般",IF($AJ159=41,"②病院短期","対象外")),IF($AH159=5,IF($AJ159=30,"③特定消防","対象外"),IF(OR($AJ159=10,$AJ159=11,$AJ159=74),"④一般",IF(OR($AJ159=41,$AJ159=47),"⑤短期","対象外"))))))</f>
        <v>④一般</v>
      </c>
    </row>
    <row r="160" customFormat="false" ht="15" hidden="false" customHeight="false" outlineLevel="0" collapsed="false">
      <c r="A160" s="0" t="n">
        <v>21</v>
      </c>
      <c r="AA160" s="0" t="n">
        <v>21</v>
      </c>
      <c r="AB160" s="0" t="s">
        <v>413</v>
      </c>
      <c r="AD160" s="0" t="n">
        <v>12</v>
      </c>
      <c r="AE160" s="0" t="s">
        <v>96</v>
      </c>
      <c r="AH160" s="0" t="n">
        <v>1</v>
      </c>
      <c r="AJ160" s="0" t="n">
        <v>10</v>
      </c>
      <c r="AP160" s="0" t="n">
        <v>470000</v>
      </c>
      <c r="DB160" s="0" t="str">
        <f aca="false">IF($A160="","",IF($AE160&amp;""&lt;&gt;設定!$C$4,"対象外",IF($AH160=20,IF(OR($AJ160=10,$AJ160=11,$AJ160=18),"①病院一般",IF($AJ160=41,"②病院短期","対象外")),IF($AH160=5,IF($AJ160=30,"③特定消防","対象外"),IF(OR($AJ160=10,$AJ160=11,$AJ160=74),"④一般",IF(OR($AJ160=41,$AJ160=47),"⑤短期","対象外"))))))</f>
        <v>④一般</v>
      </c>
    </row>
    <row r="161" customFormat="false" ht="15" hidden="false" customHeight="false" outlineLevel="0" collapsed="false">
      <c r="A161" s="0" t="n">
        <v>21</v>
      </c>
      <c r="AA161" s="0" t="n">
        <v>21</v>
      </c>
      <c r="AB161" s="0" t="s">
        <v>413</v>
      </c>
      <c r="AD161" s="0" t="n">
        <v>12</v>
      </c>
      <c r="AE161" s="0" t="s">
        <v>96</v>
      </c>
      <c r="AH161" s="0" t="n">
        <v>1</v>
      </c>
      <c r="AJ161" s="0" t="n">
        <v>10</v>
      </c>
      <c r="AP161" s="0" t="n">
        <v>620000</v>
      </c>
      <c r="DB161" s="0" t="str">
        <f aca="false">IF($A161="","",IF($AE161&amp;""&lt;&gt;設定!$C$4,"対象外",IF($AH161=20,IF(OR($AJ161=10,$AJ161=11,$AJ161=18),"①病院一般",IF($AJ161=41,"②病院短期","対象外")),IF($AH161=5,IF($AJ161=30,"③特定消防","対象外"),IF(OR($AJ161=10,$AJ161=11,$AJ161=74),"④一般",IF(OR($AJ161=41,$AJ161=47),"⑤短期","対象外"))))))</f>
        <v>④一般</v>
      </c>
    </row>
    <row r="162" customFormat="false" ht="15" hidden="false" customHeight="false" outlineLevel="0" collapsed="false">
      <c r="A162" s="0" t="n">
        <v>21</v>
      </c>
      <c r="AA162" s="0" t="n">
        <v>21</v>
      </c>
      <c r="AB162" s="0" t="s">
        <v>413</v>
      </c>
      <c r="AD162" s="0" t="n">
        <v>12</v>
      </c>
      <c r="AE162" s="0" t="s">
        <v>96</v>
      </c>
      <c r="AH162" s="0" t="n">
        <v>1</v>
      </c>
      <c r="AJ162" s="0" t="n">
        <v>10</v>
      </c>
      <c r="AP162" s="0" t="n">
        <v>560000</v>
      </c>
      <c r="DB162" s="0" t="str">
        <f aca="false">IF($A162="","",IF($AE162&amp;""&lt;&gt;設定!$C$4,"対象外",IF($AH162=20,IF(OR($AJ162=10,$AJ162=11,$AJ162=18),"①病院一般",IF($AJ162=41,"②病院短期","対象外")),IF($AH162=5,IF($AJ162=30,"③特定消防","対象外"),IF(OR($AJ162=10,$AJ162=11,$AJ162=74),"④一般",IF(OR($AJ162=41,$AJ162=47),"⑤短期","対象外"))))))</f>
        <v>④一般</v>
      </c>
    </row>
    <row r="163" customFormat="false" ht="15" hidden="false" customHeight="false" outlineLevel="0" collapsed="false">
      <c r="A163" s="0" t="n">
        <v>21</v>
      </c>
      <c r="AA163" s="0" t="n">
        <v>21</v>
      </c>
      <c r="AB163" s="0" t="s">
        <v>413</v>
      </c>
      <c r="AD163" s="0" t="n">
        <v>12</v>
      </c>
      <c r="AE163" s="0" t="s">
        <v>96</v>
      </c>
      <c r="AH163" s="0" t="n">
        <v>1</v>
      </c>
      <c r="AJ163" s="0" t="n">
        <v>10</v>
      </c>
      <c r="AP163" s="0" t="n">
        <v>470000</v>
      </c>
      <c r="DB163" s="0" t="str">
        <f aca="false">IF($A163="","",IF($AE163&amp;""&lt;&gt;設定!$C$4,"対象外",IF($AH163=20,IF(OR($AJ163=10,$AJ163=11,$AJ163=18),"①病院一般",IF($AJ163=41,"②病院短期","対象外")),IF($AH163=5,IF($AJ163=30,"③特定消防","対象外"),IF(OR($AJ163=10,$AJ163=11,$AJ163=74),"④一般",IF(OR($AJ163=41,$AJ163=47),"⑤短期","対象外"))))))</f>
        <v>④一般</v>
      </c>
    </row>
    <row r="164" customFormat="false" ht="15" hidden="false" customHeight="false" outlineLevel="0" collapsed="false">
      <c r="A164" s="0" t="n">
        <v>21</v>
      </c>
      <c r="AA164" s="0" t="n">
        <v>21</v>
      </c>
      <c r="AB164" s="0" t="s">
        <v>413</v>
      </c>
      <c r="AD164" s="0" t="n">
        <v>12</v>
      </c>
      <c r="AE164" s="0" t="s">
        <v>96</v>
      </c>
      <c r="AH164" s="0" t="n">
        <v>1</v>
      </c>
      <c r="AJ164" s="0" t="n">
        <v>10</v>
      </c>
      <c r="AP164" s="0" t="n">
        <v>560000</v>
      </c>
      <c r="DB164" s="0" t="str">
        <f aca="false">IF($A164="","",IF($AE164&amp;""&lt;&gt;設定!$C$4,"対象外",IF($AH164=20,IF(OR($AJ164=10,$AJ164=11,$AJ164=18),"①病院一般",IF($AJ164=41,"②病院短期","対象外")),IF($AH164=5,IF($AJ164=30,"③特定消防","対象外"),IF(OR($AJ164=10,$AJ164=11,$AJ164=74),"④一般",IF(OR($AJ164=41,$AJ164=47),"⑤短期","対象外"))))))</f>
        <v>④一般</v>
      </c>
    </row>
    <row r="165" customFormat="false" ht="15" hidden="false" customHeight="false" outlineLevel="0" collapsed="false">
      <c r="A165" s="0" t="n">
        <v>21</v>
      </c>
      <c r="AA165" s="0" t="n">
        <v>21</v>
      </c>
      <c r="AB165" s="0" t="s">
        <v>413</v>
      </c>
      <c r="AD165" s="0" t="n">
        <v>12</v>
      </c>
      <c r="AE165" s="0" t="s">
        <v>96</v>
      </c>
      <c r="AH165" s="0" t="n">
        <v>1</v>
      </c>
      <c r="AJ165" s="0" t="n">
        <v>10</v>
      </c>
      <c r="AP165" s="0" t="n">
        <v>410000</v>
      </c>
      <c r="DB165" s="0" t="str">
        <f aca="false">IF($A165="","",IF($AE165&amp;""&lt;&gt;設定!$C$4,"対象外",IF($AH165=20,IF(OR($AJ165=10,$AJ165=11,$AJ165=18),"①病院一般",IF($AJ165=41,"②病院短期","対象外")),IF($AH165=5,IF($AJ165=30,"③特定消防","対象外"),IF(OR($AJ165=10,$AJ165=11,$AJ165=74),"④一般",IF(OR($AJ165=41,$AJ165=47),"⑤短期","対象外"))))))</f>
        <v>④一般</v>
      </c>
    </row>
    <row r="166" customFormat="false" ht="15" hidden="false" customHeight="false" outlineLevel="0" collapsed="false">
      <c r="A166" s="0" t="n">
        <v>21</v>
      </c>
      <c r="AA166" s="0" t="n">
        <v>21</v>
      </c>
      <c r="AB166" s="0" t="s">
        <v>413</v>
      </c>
      <c r="AD166" s="0" t="n">
        <v>12</v>
      </c>
      <c r="AE166" s="0" t="s">
        <v>96</v>
      </c>
      <c r="AH166" s="0" t="n">
        <v>1</v>
      </c>
      <c r="AJ166" s="0" t="n">
        <v>10</v>
      </c>
      <c r="AP166" s="0" t="n">
        <v>440000</v>
      </c>
      <c r="DB166" s="0" t="str">
        <f aca="false">IF($A166="","",IF($AE166&amp;""&lt;&gt;設定!$C$4,"対象外",IF($AH166=20,IF(OR($AJ166=10,$AJ166=11,$AJ166=18),"①病院一般",IF($AJ166=41,"②病院短期","対象外")),IF($AH166=5,IF($AJ166=30,"③特定消防","対象外"),IF(OR($AJ166=10,$AJ166=11,$AJ166=74),"④一般",IF(OR($AJ166=41,$AJ166=47),"⑤短期","対象外"))))))</f>
        <v>④一般</v>
      </c>
    </row>
    <row r="167" customFormat="false" ht="15" hidden="false" customHeight="false" outlineLevel="0" collapsed="false">
      <c r="A167" s="0" t="n">
        <v>21</v>
      </c>
      <c r="AA167" s="0" t="n">
        <v>21</v>
      </c>
      <c r="AB167" s="0" t="s">
        <v>413</v>
      </c>
      <c r="AD167" s="0" t="n">
        <v>11</v>
      </c>
      <c r="AE167" s="0" t="s">
        <v>96</v>
      </c>
      <c r="AH167" s="0" t="n">
        <v>1</v>
      </c>
      <c r="AJ167" s="0" t="n">
        <v>10</v>
      </c>
      <c r="AP167" s="0" t="n">
        <v>380000</v>
      </c>
      <c r="DB167" s="0" t="str">
        <f aca="false">IF($A167="","",IF($AE167&amp;""&lt;&gt;設定!$C$4,"対象外",IF($AH167=20,IF(OR($AJ167=10,$AJ167=11,$AJ167=18),"①病院一般",IF($AJ167=41,"②病院短期","対象外")),IF($AH167=5,IF($AJ167=30,"③特定消防","対象外"),IF(OR($AJ167=10,$AJ167=11,$AJ167=74),"④一般",IF(OR($AJ167=41,$AJ167=47),"⑤短期","対象外"))))))</f>
        <v>④一般</v>
      </c>
    </row>
    <row r="168" customFormat="false" ht="15" hidden="false" customHeight="false" outlineLevel="0" collapsed="false">
      <c r="A168" s="0" t="n">
        <v>21</v>
      </c>
      <c r="AA168" s="0" t="n">
        <v>21</v>
      </c>
      <c r="AB168" s="0" t="s">
        <v>413</v>
      </c>
      <c r="AD168" s="0" t="n">
        <v>12</v>
      </c>
      <c r="AE168" s="0" t="s">
        <v>96</v>
      </c>
      <c r="AH168" s="0" t="n">
        <v>4</v>
      </c>
      <c r="AJ168" s="0" t="n">
        <v>10</v>
      </c>
      <c r="AP168" s="0" t="n">
        <v>590000</v>
      </c>
      <c r="DB168" s="0" t="str">
        <f aca="false">IF($A168="","",IF($AE168&amp;""&lt;&gt;設定!$C$4,"対象外",IF($AH168=20,IF(OR($AJ168=10,$AJ168=11,$AJ168=18),"①病院一般",IF($AJ168=41,"②病院短期","対象外")),IF($AH168=5,IF($AJ168=30,"③特定消防","対象外"),IF(OR($AJ168=10,$AJ168=11,$AJ168=74),"④一般",IF(OR($AJ168=41,$AJ168=47),"⑤短期","対象外"))))))</f>
        <v>④一般</v>
      </c>
    </row>
    <row r="169" customFormat="false" ht="15" hidden="false" customHeight="false" outlineLevel="0" collapsed="false">
      <c r="A169" s="0" t="n">
        <v>21</v>
      </c>
      <c r="AA169" s="0" t="n">
        <v>21</v>
      </c>
      <c r="AB169" s="0" t="s">
        <v>415</v>
      </c>
      <c r="AD169" s="0" t="n">
        <v>12</v>
      </c>
      <c r="AE169" s="0" t="s">
        <v>96</v>
      </c>
      <c r="AH169" s="0" t="n">
        <v>20</v>
      </c>
      <c r="AJ169" s="0" t="n">
        <v>18</v>
      </c>
      <c r="AP169" s="0" t="n">
        <v>1090000</v>
      </c>
      <c r="DB169" s="0" t="str">
        <f aca="false">IF($A169="","",IF($AE169&amp;""&lt;&gt;設定!$C$4,"対象外",IF($AH169=20,IF(OR($AJ169=10,$AJ169=11,$AJ169=18),"①病院一般",IF($AJ169=41,"②病院短期","対象外")),IF($AH169=5,IF($AJ169=30,"③特定消防","対象外"),IF(OR($AJ169=10,$AJ169=11,$AJ169=74),"④一般",IF(OR($AJ169=41,$AJ169=47),"⑤短期","対象外"))))))</f>
        <v>①病院一般</v>
      </c>
    </row>
    <row r="170" customFormat="false" ht="15" hidden="false" customHeight="false" outlineLevel="0" collapsed="false">
      <c r="A170" s="0" t="n">
        <v>21</v>
      </c>
      <c r="AA170" s="0" t="n">
        <v>21</v>
      </c>
      <c r="AB170" s="0" t="s">
        <v>415</v>
      </c>
      <c r="AD170" s="0" t="n">
        <v>12</v>
      </c>
      <c r="AE170" s="0" t="s">
        <v>294</v>
      </c>
      <c r="AH170" s="0" t="n">
        <v>1</v>
      </c>
      <c r="AJ170" s="0" t="n">
        <v>11</v>
      </c>
      <c r="AP170" s="0" t="n">
        <v>1090000</v>
      </c>
      <c r="DB170" s="0" t="str">
        <f aca="false">IF($A170="","",IF($AE170&amp;""&lt;&gt;設定!$C$4,"対象外",IF($AH170=20,IF(OR($AJ170=10,$AJ170=11,$AJ170=18),"①病院一般",IF($AJ170=41,"②病院短期","対象外")),IF($AH170=5,IF($AJ170=30,"③特定消防","対象外"),IF(OR($AJ170=10,$AJ170=11,$AJ170=74),"④一般",IF(OR($AJ170=41,$AJ170=47),"⑤短期","対象外"))))))</f>
        <v>対象外</v>
      </c>
    </row>
    <row r="171" customFormat="false" ht="15" hidden="false" customHeight="false" outlineLevel="0" collapsed="false">
      <c r="A171" s="0" t="n">
        <v>21</v>
      </c>
      <c r="AA171" s="0" t="n">
        <v>21</v>
      </c>
      <c r="AB171" s="0" t="s">
        <v>415</v>
      </c>
      <c r="AD171" s="0" t="n">
        <v>11</v>
      </c>
      <c r="AE171" s="0" t="s">
        <v>96</v>
      </c>
      <c r="AH171" s="0" t="n">
        <v>1</v>
      </c>
      <c r="AJ171" s="0" t="n">
        <v>10</v>
      </c>
      <c r="AP171" s="0" t="n">
        <v>380000</v>
      </c>
      <c r="DB171" s="0" t="str">
        <f aca="false">IF($A171="","",IF($AE171&amp;""&lt;&gt;設定!$C$4,"対象外",IF($AH171=20,IF(OR($AJ171=10,$AJ171=11,$AJ171=18),"①病院一般",IF($AJ171=41,"②病院短期","対象外")),IF($AH171=5,IF($AJ171=30,"③特定消防","対象外"),IF(OR($AJ171=10,$AJ171=11,$AJ171=74),"④一般",IF(OR($AJ171=41,$AJ171=47),"⑤短期","対象外"))))))</f>
        <v>④一般</v>
      </c>
    </row>
    <row r="172" customFormat="false" ht="15" hidden="false" customHeight="false" outlineLevel="0" collapsed="false">
      <c r="A172" s="0" t="n">
        <v>21</v>
      </c>
      <c r="AA172" s="0" t="n">
        <v>21</v>
      </c>
      <c r="AB172" s="0" t="s">
        <v>415</v>
      </c>
      <c r="AD172" s="0" t="n">
        <v>11</v>
      </c>
      <c r="AE172" s="0" t="s">
        <v>96</v>
      </c>
      <c r="AH172" s="0" t="n">
        <v>1</v>
      </c>
      <c r="AJ172" s="0" t="n">
        <v>10</v>
      </c>
      <c r="AP172" s="0" t="n">
        <v>440000</v>
      </c>
      <c r="DB172" s="0" t="str">
        <f aca="false">IF($A172="","",IF($AE172&amp;""&lt;&gt;設定!$C$4,"対象外",IF($AH172=20,IF(OR($AJ172=10,$AJ172=11,$AJ172=18),"①病院一般",IF($AJ172=41,"②病院短期","対象外")),IF($AH172=5,IF($AJ172=30,"③特定消防","対象外"),IF(OR($AJ172=10,$AJ172=11,$AJ172=74),"④一般",IF(OR($AJ172=41,$AJ172=47),"⑤短期","対象外"))))))</f>
        <v>④一般</v>
      </c>
    </row>
    <row r="173" customFormat="false" ht="15" hidden="false" customHeight="false" outlineLevel="0" collapsed="false">
      <c r="A173" s="0" t="n">
        <v>21</v>
      </c>
      <c r="AA173" s="0" t="n">
        <v>21</v>
      </c>
      <c r="AB173" s="0" t="s">
        <v>415</v>
      </c>
      <c r="AD173" s="0" t="n">
        <v>12</v>
      </c>
      <c r="AE173" s="0" t="s">
        <v>96</v>
      </c>
      <c r="AH173" s="0" t="n">
        <v>1</v>
      </c>
      <c r="AJ173" s="0" t="n">
        <v>10</v>
      </c>
      <c r="AP173" s="0" t="n">
        <v>750000</v>
      </c>
      <c r="DB173" s="0" t="str">
        <f aca="false">IF($A173="","",IF($AE173&amp;""&lt;&gt;設定!$C$4,"対象外",IF($AH173=20,IF(OR($AJ173=10,$AJ173=11,$AJ173=18),"①病院一般",IF($AJ173=41,"②病院短期","対象外")),IF($AH173=5,IF($AJ173=30,"③特定消防","対象外"),IF(OR($AJ173=10,$AJ173=11,$AJ173=74),"④一般",IF(OR($AJ173=41,$AJ173=47),"⑤短期","対象外"))))))</f>
        <v>④一般</v>
      </c>
    </row>
    <row r="174" customFormat="false" ht="15" hidden="false" customHeight="false" outlineLevel="0" collapsed="false">
      <c r="A174" s="0" t="n">
        <v>21</v>
      </c>
      <c r="AA174" s="0" t="n">
        <v>21</v>
      </c>
      <c r="AB174" s="0" t="s">
        <v>415</v>
      </c>
      <c r="AD174" s="0" t="n">
        <v>12</v>
      </c>
      <c r="AE174" s="0" t="s">
        <v>314</v>
      </c>
      <c r="AH174" s="0" t="n">
        <v>1</v>
      </c>
      <c r="AJ174" s="0" t="n">
        <v>10</v>
      </c>
      <c r="AP174" s="0" t="n">
        <v>620000</v>
      </c>
      <c r="DB174" s="0" t="str">
        <f aca="false">IF($A174="","",IF($AE174&amp;""&lt;&gt;設定!$C$4,"対象外",IF($AH174=20,IF(OR($AJ174=10,$AJ174=11,$AJ174=18),"①病院一般",IF($AJ174=41,"②病院短期","対象外")),IF($AH174=5,IF($AJ174=30,"③特定消防","対象外"),IF(OR($AJ174=10,$AJ174=11,$AJ174=74),"④一般",IF(OR($AJ174=41,$AJ174=47),"⑤短期","対象外"))))))</f>
        <v>対象外</v>
      </c>
    </row>
    <row r="175" customFormat="false" ht="15" hidden="false" customHeight="false" outlineLevel="0" collapsed="false">
      <c r="A175" s="0" t="n">
        <v>21</v>
      </c>
      <c r="AA175" s="0" t="n">
        <v>21</v>
      </c>
      <c r="AB175" s="0" t="s">
        <v>415</v>
      </c>
      <c r="AD175" s="0" t="n">
        <v>12</v>
      </c>
      <c r="AE175" s="0" t="s">
        <v>96</v>
      </c>
      <c r="AH175" s="0" t="n">
        <v>14</v>
      </c>
      <c r="AJ175" s="0" t="n">
        <v>10</v>
      </c>
      <c r="AP175" s="0" t="n">
        <v>650000</v>
      </c>
      <c r="DB175" s="0" t="str">
        <f aca="false">IF($A175="","",IF($AE175&amp;""&lt;&gt;設定!$C$4,"対象外",IF($AH175=20,IF(OR($AJ175=10,$AJ175=11,$AJ175=18),"①病院一般",IF($AJ175=41,"②病院短期","対象外")),IF($AH175=5,IF($AJ175=30,"③特定消防","対象外"),IF(OR($AJ175=10,$AJ175=11,$AJ175=74),"④一般",IF(OR($AJ175=41,$AJ175=47),"⑤短期","対象外"))))))</f>
        <v>④一般</v>
      </c>
    </row>
    <row r="176" customFormat="false" ht="15" hidden="false" customHeight="false" outlineLevel="0" collapsed="false">
      <c r="A176" s="0" t="n">
        <v>21</v>
      </c>
      <c r="AA176" s="0" t="n">
        <v>21</v>
      </c>
      <c r="AB176" s="0" t="s">
        <v>415</v>
      </c>
      <c r="AD176" s="0" t="n">
        <v>12</v>
      </c>
      <c r="AE176" s="0" t="s">
        <v>96</v>
      </c>
      <c r="AH176" s="0" t="n">
        <v>1</v>
      </c>
      <c r="AJ176" s="0" t="n">
        <v>10</v>
      </c>
      <c r="AP176" s="0" t="n">
        <v>470000</v>
      </c>
      <c r="DB176" s="0" t="str">
        <f aca="false">IF($A176="","",IF($AE176&amp;""&lt;&gt;設定!$C$4,"対象外",IF($AH176=20,IF(OR($AJ176=10,$AJ176=11,$AJ176=18),"①病院一般",IF($AJ176=41,"②病院短期","対象外")),IF($AH176=5,IF($AJ176=30,"③特定消防","対象外"),IF(OR($AJ176=10,$AJ176=11,$AJ176=74),"④一般",IF(OR($AJ176=41,$AJ176=47),"⑤短期","対象外"))))))</f>
        <v>④一般</v>
      </c>
    </row>
    <row r="177" customFormat="false" ht="15" hidden="false" customHeight="false" outlineLevel="0" collapsed="false">
      <c r="A177" s="0" t="n">
        <v>21</v>
      </c>
      <c r="AA177" s="0" t="n">
        <v>21</v>
      </c>
      <c r="AB177" s="0" t="s">
        <v>415</v>
      </c>
      <c r="AD177" s="0" t="n">
        <v>11</v>
      </c>
      <c r="AE177" s="0" t="s">
        <v>96</v>
      </c>
      <c r="AH177" s="0" t="n">
        <v>1</v>
      </c>
      <c r="AJ177" s="0" t="n">
        <v>10</v>
      </c>
      <c r="AP177" s="0" t="n">
        <v>340000</v>
      </c>
      <c r="DB177" s="0" t="str">
        <f aca="false">IF($A177="","",IF($AE177&amp;""&lt;&gt;設定!$C$4,"対象外",IF($AH177=20,IF(OR($AJ177=10,$AJ177=11,$AJ177=18),"①病院一般",IF($AJ177=41,"②病院短期","対象外")),IF($AH177=5,IF($AJ177=30,"③特定消防","対象外"),IF(OR($AJ177=10,$AJ177=11,$AJ177=74),"④一般",IF(OR($AJ177=41,$AJ177=47),"⑤短期","対象外"))))))</f>
        <v>④一般</v>
      </c>
    </row>
    <row r="178" customFormat="false" ht="15" hidden="false" customHeight="false" outlineLevel="0" collapsed="false">
      <c r="A178" s="0" t="n">
        <v>21</v>
      </c>
      <c r="AA178" s="0" t="n">
        <v>21</v>
      </c>
      <c r="AB178" s="0" t="s">
        <v>415</v>
      </c>
      <c r="AD178" s="0" t="n">
        <v>11</v>
      </c>
      <c r="AE178" s="0" t="s">
        <v>96</v>
      </c>
      <c r="AH178" s="0" t="n">
        <v>1</v>
      </c>
      <c r="AJ178" s="0" t="n">
        <v>10</v>
      </c>
      <c r="AP178" s="0" t="n">
        <v>380000</v>
      </c>
      <c r="DB178" s="0" t="str">
        <f aca="false">IF($A178="","",IF($AE178&amp;""&lt;&gt;設定!$C$4,"対象外",IF($AH178=20,IF(OR($AJ178=10,$AJ178=11,$AJ178=18),"①病院一般",IF($AJ178=41,"②病院短期","対象外")),IF($AH178=5,IF($AJ178=30,"③特定消防","対象外"),IF(OR($AJ178=10,$AJ178=11,$AJ178=74),"④一般",IF(OR($AJ178=41,$AJ178=47),"⑤短期","対象外"))))))</f>
        <v>④一般</v>
      </c>
    </row>
    <row r="179" customFormat="false" ht="15" hidden="false" customHeight="false" outlineLevel="0" collapsed="false">
      <c r="A179" s="0" t="n">
        <v>21</v>
      </c>
      <c r="AA179" s="0" t="n">
        <v>21</v>
      </c>
      <c r="AB179" s="0" t="s">
        <v>416</v>
      </c>
      <c r="AD179" s="0" t="n">
        <v>11</v>
      </c>
      <c r="AE179" s="0" t="s">
        <v>96</v>
      </c>
      <c r="AH179" s="0" t="n">
        <v>3</v>
      </c>
      <c r="AJ179" s="0" t="n">
        <v>10</v>
      </c>
      <c r="AP179" s="0" t="n">
        <v>470000</v>
      </c>
      <c r="DB179" s="0" t="str">
        <f aca="false">IF($A179="","",IF($AE179&amp;""&lt;&gt;設定!$C$4,"対象外",IF($AH179=20,IF(OR($AJ179=10,$AJ179=11,$AJ179=18),"①病院一般",IF($AJ179=41,"②病院短期","対象外")),IF($AH179=5,IF($AJ179=30,"③特定消防","対象外"),IF(OR($AJ179=10,$AJ179=11,$AJ179=74),"④一般",IF(OR($AJ179=41,$AJ179=47),"⑤短期","対象外"))))))</f>
        <v>④一般</v>
      </c>
    </row>
    <row r="180" customFormat="false" ht="15" hidden="false" customHeight="false" outlineLevel="0" collapsed="false">
      <c r="A180" s="0" t="n">
        <v>21</v>
      </c>
      <c r="AA180" s="0" t="n">
        <v>21</v>
      </c>
      <c r="AB180" s="0" t="s">
        <v>415</v>
      </c>
      <c r="AD180" s="0" t="n">
        <v>11</v>
      </c>
      <c r="AE180" s="0" t="s">
        <v>96</v>
      </c>
      <c r="AH180" s="0" t="n">
        <v>3</v>
      </c>
      <c r="AJ180" s="0" t="n">
        <v>10</v>
      </c>
      <c r="AP180" s="0" t="n">
        <v>410000</v>
      </c>
      <c r="DB180" s="0" t="str">
        <f aca="false">IF($A180="","",IF($AE180&amp;""&lt;&gt;設定!$C$4,"対象外",IF($AH180=20,IF(OR($AJ180=10,$AJ180=11,$AJ180=18),"①病院一般",IF($AJ180=41,"②病院短期","対象外")),IF($AH180=5,IF($AJ180=30,"③特定消防","対象外"),IF(OR($AJ180=10,$AJ180=11,$AJ180=74),"④一般",IF(OR($AJ180=41,$AJ180=47),"⑤短期","対象外"))))))</f>
        <v>④一般</v>
      </c>
    </row>
    <row r="181" customFormat="false" ht="15" hidden="false" customHeight="false" outlineLevel="0" collapsed="false">
      <c r="A181" s="0" t="n">
        <v>21</v>
      </c>
      <c r="AA181" s="0" t="n">
        <v>21</v>
      </c>
      <c r="AB181" s="0" t="s">
        <v>415</v>
      </c>
      <c r="AD181" s="0" t="n">
        <v>11</v>
      </c>
      <c r="AE181" s="0" t="s">
        <v>96</v>
      </c>
      <c r="AH181" s="0" t="n">
        <v>4</v>
      </c>
      <c r="AJ181" s="0" t="n">
        <v>10</v>
      </c>
      <c r="AP181" s="0" t="n">
        <v>360000</v>
      </c>
      <c r="DB181" s="0" t="str">
        <f aca="false">IF($A181="","",IF($AE181&amp;""&lt;&gt;設定!$C$4,"対象外",IF($AH181=20,IF(OR($AJ181=10,$AJ181=11,$AJ181=18),"①病院一般",IF($AJ181=41,"②病院短期","対象外")),IF($AH181=5,IF($AJ181=30,"③特定消防","対象外"),IF(OR($AJ181=10,$AJ181=11,$AJ181=74),"④一般",IF(OR($AJ181=41,$AJ181=47),"⑤短期","対象外"))))))</f>
        <v>④一般</v>
      </c>
    </row>
    <row r="182" customFormat="false" ht="15" hidden="false" customHeight="false" outlineLevel="0" collapsed="false">
      <c r="A182" s="0" t="n">
        <v>21</v>
      </c>
      <c r="AA182" s="0" t="n">
        <v>21</v>
      </c>
      <c r="AB182" s="0" t="s">
        <v>415</v>
      </c>
      <c r="AD182" s="0" t="n">
        <v>11</v>
      </c>
      <c r="AE182" s="0" t="s">
        <v>96</v>
      </c>
      <c r="AH182" s="0" t="n">
        <v>1</v>
      </c>
      <c r="AJ182" s="0" t="n">
        <v>10</v>
      </c>
      <c r="AP182" s="0" t="n">
        <v>340000</v>
      </c>
      <c r="DB182" s="0" t="str">
        <f aca="false">IF($A182="","",IF($AE182&amp;""&lt;&gt;設定!$C$4,"対象外",IF($AH182=20,IF(OR($AJ182=10,$AJ182=11,$AJ182=18),"①病院一般",IF($AJ182=41,"②病院短期","対象外")),IF($AH182=5,IF($AJ182=30,"③特定消防","対象外"),IF(OR($AJ182=10,$AJ182=11,$AJ182=74),"④一般",IF(OR($AJ182=41,$AJ182=47),"⑤短期","対象外"))))))</f>
        <v>④一般</v>
      </c>
    </row>
    <row r="183" customFormat="false" ht="15" hidden="false" customHeight="false" outlineLevel="0" collapsed="false">
      <c r="A183" s="0" t="n">
        <v>21</v>
      </c>
      <c r="AA183" s="0" t="n">
        <v>21</v>
      </c>
      <c r="AB183" s="0" t="s">
        <v>417</v>
      </c>
      <c r="AD183" s="0" t="n">
        <v>11</v>
      </c>
      <c r="AE183" s="0" t="s">
        <v>96</v>
      </c>
      <c r="AH183" s="0" t="n">
        <v>20</v>
      </c>
      <c r="AJ183" s="0" t="n">
        <v>10</v>
      </c>
      <c r="AP183" s="0" t="n">
        <v>360000</v>
      </c>
      <c r="DB183" s="0" t="str">
        <f aca="false">IF($A183="","",IF($AE183&amp;""&lt;&gt;設定!$C$4,"対象外",IF($AH183=20,IF(OR($AJ183=10,$AJ183=11,$AJ183=18),"①病院一般",IF($AJ183=41,"②病院短期","対象外")),IF($AH183=5,IF($AJ183=30,"③特定消防","対象外"),IF(OR($AJ183=10,$AJ183=11,$AJ183=74),"④一般",IF(OR($AJ183=41,$AJ183=47),"⑤短期","対象外"))))))</f>
        <v>①病院一般</v>
      </c>
    </row>
    <row r="184" customFormat="false" ht="15" hidden="false" customHeight="false" outlineLevel="0" collapsed="false">
      <c r="A184" s="0" t="n">
        <v>21</v>
      </c>
      <c r="AA184" s="0" t="n">
        <v>21</v>
      </c>
      <c r="AB184" s="0" t="s">
        <v>417</v>
      </c>
      <c r="AD184" s="0" t="n">
        <v>12</v>
      </c>
      <c r="AE184" s="0" t="s">
        <v>96</v>
      </c>
      <c r="AH184" s="0" t="n">
        <v>1</v>
      </c>
      <c r="AJ184" s="0" t="n">
        <v>10</v>
      </c>
      <c r="AP184" s="0" t="n">
        <v>620000</v>
      </c>
      <c r="DB184" s="0" t="str">
        <f aca="false">IF($A184="","",IF($AE184&amp;""&lt;&gt;設定!$C$4,"対象外",IF($AH184=20,IF(OR($AJ184=10,$AJ184=11,$AJ184=18),"①病院一般",IF($AJ184=41,"②病院短期","対象外")),IF($AH184=5,IF($AJ184=30,"③特定消防","対象外"),IF(OR($AJ184=10,$AJ184=11,$AJ184=74),"④一般",IF(OR($AJ184=41,$AJ184=47),"⑤短期","対象外"))))))</f>
        <v>④一般</v>
      </c>
    </row>
    <row r="185" customFormat="false" ht="15" hidden="false" customHeight="false" outlineLevel="0" collapsed="false">
      <c r="A185" s="0" t="n">
        <v>21</v>
      </c>
      <c r="AA185" s="0" t="n">
        <v>21</v>
      </c>
      <c r="AB185" s="0" t="s">
        <v>418</v>
      </c>
      <c r="AD185" s="0" t="n">
        <v>12</v>
      </c>
      <c r="AE185" s="0" t="s">
        <v>96</v>
      </c>
      <c r="AH185" s="0" t="n">
        <v>45</v>
      </c>
      <c r="AJ185" s="0" t="n">
        <v>74</v>
      </c>
      <c r="AP185" s="0" t="n">
        <v>650000</v>
      </c>
      <c r="DB185" s="0" t="str">
        <f aca="false">IF($A185="","",IF($AE185&amp;""&lt;&gt;設定!$C$4,"対象外",IF($AH185=20,IF(OR($AJ185=10,$AJ185=11,$AJ185=18),"①病院一般",IF($AJ185=41,"②病院短期","対象外")),IF($AH185=5,IF($AJ185=30,"③特定消防","対象外"),IF(OR($AJ185=10,$AJ185=11,$AJ185=74),"④一般",IF(OR($AJ185=41,$AJ185=47),"⑤短期","対象外"))))))</f>
        <v>④一般</v>
      </c>
    </row>
    <row r="186" customFormat="false" ht="15" hidden="false" customHeight="false" outlineLevel="0" collapsed="false">
      <c r="A186" s="0" t="n">
        <v>21</v>
      </c>
      <c r="AA186" s="0" t="n">
        <v>21</v>
      </c>
      <c r="AB186" s="0" t="s">
        <v>417</v>
      </c>
      <c r="AD186" s="0" t="n">
        <v>11</v>
      </c>
      <c r="AE186" s="0" t="s">
        <v>96</v>
      </c>
      <c r="AH186" s="0" t="n">
        <v>3</v>
      </c>
      <c r="AJ186" s="0" t="n">
        <v>10</v>
      </c>
      <c r="AP186" s="0" t="n">
        <v>650000</v>
      </c>
      <c r="DB186" s="0" t="str">
        <f aca="false">IF($A186="","",IF($AE186&amp;""&lt;&gt;設定!$C$4,"対象外",IF($AH186=20,IF(OR($AJ186=10,$AJ186=11,$AJ186=18),"①病院一般",IF($AJ186=41,"②病院短期","対象外")),IF($AH186=5,IF($AJ186=30,"③特定消防","対象外"),IF(OR($AJ186=10,$AJ186=11,$AJ186=74),"④一般",IF(OR($AJ186=41,$AJ186=47),"⑤短期","対象外"))))))</f>
        <v>④一般</v>
      </c>
    </row>
    <row r="187" customFormat="false" ht="15" hidden="false" customHeight="false" outlineLevel="0" collapsed="false">
      <c r="A187" s="0" t="n">
        <v>21</v>
      </c>
      <c r="AA187" s="0" t="n">
        <v>21</v>
      </c>
      <c r="AB187" s="0" t="s">
        <v>417</v>
      </c>
      <c r="AD187" s="0" t="n">
        <v>12</v>
      </c>
      <c r="AE187" s="0" t="s">
        <v>96</v>
      </c>
      <c r="AH187" s="0" t="n">
        <v>1</v>
      </c>
      <c r="AJ187" s="0" t="n">
        <v>10</v>
      </c>
      <c r="AP187" s="0" t="n">
        <v>750000</v>
      </c>
      <c r="DB187" s="0" t="str">
        <f aca="false">IF($A187="","",IF($AE187&amp;""&lt;&gt;設定!$C$4,"対象外",IF($AH187=20,IF(OR($AJ187=10,$AJ187=11,$AJ187=18),"①病院一般",IF($AJ187=41,"②病院短期","対象外")),IF($AH187=5,IF($AJ187=30,"③特定消防","対象外"),IF(OR($AJ187=10,$AJ187=11,$AJ187=74),"④一般",IF(OR($AJ187=41,$AJ187=47),"⑤短期","対象外"))))))</f>
        <v>④一般</v>
      </c>
    </row>
    <row r="188" customFormat="false" ht="15" hidden="false" customHeight="false" outlineLevel="0" collapsed="false">
      <c r="A188" s="0" t="n">
        <v>21</v>
      </c>
      <c r="AA188" s="0" t="n">
        <v>21</v>
      </c>
      <c r="AB188" s="0" t="s">
        <v>417</v>
      </c>
      <c r="AD188" s="0" t="n">
        <v>12</v>
      </c>
      <c r="AE188" s="0" t="s">
        <v>96</v>
      </c>
      <c r="AH188" s="0" t="n">
        <v>1</v>
      </c>
      <c r="AJ188" s="0" t="n">
        <v>10</v>
      </c>
      <c r="AP188" s="0" t="n">
        <v>530000</v>
      </c>
      <c r="DB188" s="0" t="str">
        <f aca="false">IF($A188="","",IF($AE188&amp;""&lt;&gt;設定!$C$4,"対象外",IF($AH188=20,IF(OR($AJ188=10,$AJ188=11,$AJ188=18),"①病院一般",IF($AJ188=41,"②病院短期","対象外")),IF($AH188=5,IF($AJ188=30,"③特定消防","対象外"),IF(OR($AJ188=10,$AJ188=11,$AJ188=74),"④一般",IF(OR($AJ188=41,$AJ188=47),"⑤短期","対象外"))))))</f>
        <v>④一般</v>
      </c>
    </row>
    <row r="189" customFormat="false" ht="15" hidden="false" customHeight="false" outlineLevel="0" collapsed="false">
      <c r="A189" s="0" t="n">
        <v>21</v>
      </c>
      <c r="AA189" s="0" t="n">
        <v>21</v>
      </c>
      <c r="AB189" s="0" t="s">
        <v>417</v>
      </c>
      <c r="AD189" s="0" t="n">
        <v>12</v>
      </c>
      <c r="AE189" s="0" t="s">
        <v>419</v>
      </c>
      <c r="AH189" s="0" t="n">
        <v>1</v>
      </c>
      <c r="AJ189" s="0" t="n">
        <v>10</v>
      </c>
      <c r="AP189" s="0" t="n">
        <v>680000</v>
      </c>
      <c r="DB189" s="0" t="str">
        <f aca="false">IF($A189="","",IF($AE189&amp;""&lt;&gt;設定!$C$4,"対象外",IF($AH189=20,IF(OR($AJ189=10,$AJ189=11,$AJ189=18),"①病院一般",IF($AJ189=41,"②病院短期","対象外")),IF($AH189=5,IF($AJ189=30,"③特定消防","対象外"),IF(OR($AJ189=10,$AJ189=11,$AJ189=74),"④一般",IF(OR($AJ189=41,$AJ189=47),"⑤短期","対象外"))))))</f>
        <v>対象外</v>
      </c>
    </row>
    <row r="190" customFormat="false" ht="15" hidden="false" customHeight="false" outlineLevel="0" collapsed="false">
      <c r="A190" s="0" t="n">
        <v>21</v>
      </c>
      <c r="AA190" s="0" t="n">
        <v>21</v>
      </c>
      <c r="AB190" s="0" t="s">
        <v>417</v>
      </c>
      <c r="AD190" s="0" t="n">
        <v>12</v>
      </c>
      <c r="AE190" s="0" t="s">
        <v>96</v>
      </c>
      <c r="AH190" s="0" t="n">
        <v>1</v>
      </c>
      <c r="AJ190" s="0" t="n">
        <v>10</v>
      </c>
      <c r="AP190" s="0" t="n">
        <v>680000</v>
      </c>
      <c r="DB190" s="0" t="str">
        <f aca="false">IF($A190="","",IF($AE190&amp;""&lt;&gt;設定!$C$4,"対象外",IF($AH190=20,IF(OR($AJ190=10,$AJ190=11,$AJ190=18),"①病院一般",IF($AJ190=41,"②病院短期","対象外")),IF($AH190=5,IF($AJ190=30,"③特定消防","対象外"),IF(OR($AJ190=10,$AJ190=11,$AJ190=74),"④一般",IF(OR($AJ190=41,$AJ190=47),"⑤短期","対象外"))))))</f>
        <v>④一般</v>
      </c>
    </row>
    <row r="191" customFormat="false" ht="15" hidden="false" customHeight="false" outlineLevel="0" collapsed="false">
      <c r="A191" s="0" t="n">
        <v>21</v>
      </c>
      <c r="AA191" s="0" t="n">
        <v>21</v>
      </c>
      <c r="AB191" s="0" t="s">
        <v>417</v>
      </c>
      <c r="AD191" s="0" t="n">
        <v>11</v>
      </c>
      <c r="AE191" s="0" t="s">
        <v>96</v>
      </c>
      <c r="AH191" s="0" t="n">
        <v>1</v>
      </c>
      <c r="AJ191" s="0" t="n">
        <v>10</v>
      </c>
      <c r="AP191" s="0" t="n">
        <v>440000</v>
      </c>
      <c r="DB191" s="0" t="str">
        <f aca="false">IF($A191="","",IF($AE191&amp;""&lt;&gt;設定!$C$4,"対象外",IF($AH191=20,IF(OR($AJ191=10,$AJ191=11,$AJ191=18),"①病院一般",IF($AJ191=41,"②病院短期","対象外")),IF($AH191=5,IF($AJ191=30,"③特定消防","対象外"),IF(OR($AJ191=10,$AJ191=11,$AJ191=74),"④一般",IF(OR($AJ191=41,$AJ191=47),"⑤短期","対象外"))))))</f>
        <v>④一般</v>
      </c>
    </row>
    <row r="192" customFormat="false" ht="15" hidden="false" customHeight="false" outlineLevel="0" collapsed="false">
      <c r="A192" s="0" t="n">
        <v>21</v>
      </c>
      <c r="AA192" s="0" t="n">
        <v>21</v>
      </c>
      <c r="AB192" s="0" t="s">
        <v>417</v>
      </c>
      <c r="AD192" s="0" t="n">
        <v>12</v>
      </c>
      <c r="AE192" s="0" t="s">
        <v>96</v>
      </c>
      <c r="AH192" s="0" t="n">
        <v>1</v>
      </c>
      <c r="AJ192" s="0" t="n">
        <v>10</v>
      </c>
      <c r="AP192" s="0" t="n">
        <v>380000</v>
      </c>
      <c r="DB192" s="0" t="str">
        <f aca="false">IF($A192="","",IF($AE192&amp;""&lt;&gt;設定!$C$4,"対象外",IF($AH192=20,IF(OR($AJ192=10,$AJ192=11,$AJ192=18),"①病院一般",IF($AJ192=41,"②病院短期","対象外")),IF($AH192=5,IF($AJ192=30,"③特定消防","対象外"),IF(OR($AJ192=10,$AJ192=11,$AJ192=74),"④一般",IF(OR($AJ192=41,$AJ192=47),"⑤短期","対象外"))))))</f>
        <v>④一般</v>
      </c>
    </row>
    <row r="193" customFormat="false" ht="15" hidden="false" customHeight="false" outlineLevel="0" collapsed="false">
      <c r="A193" s="0" t="n">
        <v>21</v>
      </c>
      <c r="AA193" s="0" t="n">
        <v>21</v>
      </c>
      <c r="AB193" s="0" t="s">
        <v>420</v>
      </c>
      <c r="AD193" s="0" t="n">
        <v>11</v>
      </c>
      <c r="AE193" s="0" t="s">
        <v>96</v>
      </c>
      <c r="AH193" s="0" t="n">
        <v>1</v>
      </c>
      <c r="AJ193" s="0" t="n">
        <v>10</v>
      </c>
      <c r="AP193" s="0" t="n">
        <v>880000</v>
      </c>
      <c r="DB193" s="0" t="str">
        <f aca="false">IF($A193="","",IF($AE193&amp;""&lt;&gt;設定!$C$4,"対象外",IF($AH193=20,IF(OR($AJ193=10,$AJ193=11,$AJ193=18),"①病院一般",IF($AJ193=41,"②病院短期","対象外")),IF($AH193=5,IF($AJ193=30,"③特定消防","対象外"),IF(OR($AJ193=10,$AJ193=11,$AJ193=74),"④一般",IF(OR($AJ193=41,$AJ193=47),"⑤短期","対象外"))))))</f>
        <v>④一般</v>
      </c>
    </row>
    <row r="194" customFormat="false" ht="15" hidden="false" customHeight="false" outlineLevel="0" collapsed="false">
      <c r="A194" s="0" t="n">
        <v>21</v>
      </c>
      <c r="AA194" s="0" t="n">
        <v>21</v>
      </c>
      <c r="AB194" s="0" t="s">
        <v>417</v>
      </c>
      <c r="AD194" s="0" t="n">
        <v>12</v>
      </c>
      <c r="AE194" s="0" t="s">
        <v>96</v>
      </c>
      <c r="AH194" s="0" t="n">
        <v>4</v>
      </c>
      <c r="AJ194" s="0" t="n">
        <v>11</v>
      </c>
      <c r="AP194" s="0" t="n">
        <v>710000</v>
      </c>
      <c r="DB194" s="0" t="str">
        <f aca="false">IF($A194="","",IF($AE194&amp;""&lt;&gt;設定!$C$4,"対象外",IF($AH194=20,IF(OR($AJ194=10,$AJ194=11,$AJ194=18),"①病院一般",IF($AJ194=41,"②病院短期","対象外")),IF($AH194=5,IF($AJ194=30,"③特定消防","対象外"),IF(OR($AJ194=10,$AJ194=11,$AJ194=74),"④一般",IF(OR($AJ194=41,$AJ194=47),"⑤短期","対象外"))))))</f>
        <v>④一般</v>
      </c>
    </row>
    <row r="195" customFormat="false" ht="15" hidden="false" customHeight="false" outlineLevel="0" collapsed="false">
      <c r="A195" s="0" t="n">
        <v>21</v>
      </c>
      <c r="AA195" s="0" t="n">
        <v>21</v>
      </c>
      <c r="AB195" s="0" t="s">
        <v>421</v>
      </c>
      <c r="AD195" s="0" t="n">
        <v>12</v>
      </c>
      <c r="AE195" s="0" t="s">
        <v>96</v>
      </c>
      <c r="AH195" s="0" t="n">
        <v>20</v>
      </c>
      <c r="AJ195" s="0" t="n">
        <v>10</v>
      </c>
      <c r="AP195" s="0" t="n">
        <v>530000</v>
      </c>
      <c r="DB195" s="0" t="str">
        <f aca="false">IF($A195="","",IF($AE195&amp;""&lt;&gt;設定!$C$4,"対象外",IF($AH195=20,IF(OR($AJ195=10,$AJ195=11,$AJ195=18),"①病院一般",IF($AJ195=41,"②病院短期","対象外")),IF($AH195=5,IF($AJ195=30,"③特定消防","対象外"),IF(OR($AJ195=10,$AJ195=11,$AJ195=74),"④一般",IF(OR($AJ195=41,$AJ195=47),"⑤短期","対象外"))))))</f>
        <v>①病院一般</v>
      </c>
    </row>
    <row r="196" customFormat="false" ht="15" hidden="false" customHeight="false" outlineLevel="0" collapsed="false">
      <c r="A196" s="0" t="n">
        <v>21</v>
      </c>
      <c r="AA196" s="0" t="n">
        <v>21</v>
      </c>
      <c r="AB196" s="0" t="s">
        <v>422</v>
      </c>
      <c r="AD196" s="0" t="n">
        <v>12</v>
      </c>
      <c r="AE196" s="0" t="s">
        <v>96</v>
      </c>
      <c r="AH196" s="0" t="n">
        <v>1</v>
      </c>
      <c r="AJ196" s="0" t="n">
        <v>10</v>
      </c>
      <c r="AP196" s="0" t="n">
        <v>560000</v>
      </c>
      <c r="DB196" s="0" t="str">
        <f aca="false">IF($A196="","",IF($AE196&amp;""&lt;&gt;設定!$C$4,"対象外",IF($AH196=20,IF(OR($AJ196=10,$AJ196=11,$AJ196=18),"①病院一般",IF($AJ196=41,"②病院短期","対象外")),IF($AH196=5,IF($AJ196=30,"③特定消防","対象外"),IF(OR($AJ196=10,$AJ196=11,$AJ196=74),"④一般",IF(OR($AJ196=41,$AJ196=47),"⑤短期","対象外"))))))</f>
        <v>④一般</v>
      </c>
    </row>
    <row r="197" customFormat="false" ht="15" hidden="false" customHeight="false" outlineLevel="0" collapsed="false">
      <c r="A197" s="0" t="n">
        <v>21</v>
      </c>
      <c r="AA197" s="0" t="n">
        <v>21</v>
      </c>
      <c r="AB197" s="0" t="s">
        <v>422</v>
      </c>
      <c r="AD197" s="0" t="n">
        <v>12</v>
      </c>
      <c r="AE197" s="0" t="s">
        <v>96</v>
      </c>
      <c r="AH197" s="0" t="n">
        <v>1</v>
      </c>
      <c r="AJ197" s="0" t="n">
        <v>10</v>
      </c>
      <c r="AP197" s="0" t="n">
        <v>470000</v>
      </c>
      <c r="DB197" s="0" t="str">
        <f aca="false">IF($A197="","",IF($AE197&amp;""&lt;&gt;設定!$C$4,"対象外",IF($AH197=20,IF(OR($AJ197=10,$AJ197=11,$AJ197=18),"①病院一般",IF($AJ197=41,"②病院短期","対象外")),IF($AH197=5,IF($AJ197=30,"③特定消防","対象外"),IF(OR($AJ197=10,$AJ197=11,$AJ197=74),"④一般",IF(OR($AJ197=41,$AJ197=47),"⑤短期","対象外"))))))</f>
        <v>④一般</v>
      </c>
    </row>
    <row r="198" customFormat="false" ht="15" hidden="false" customHeight="false" outlineLevel="0" collapsed="false">
      <c r="A198" s="0" t="n">
        <v>21</v>
      </c>
      <c r="AA198" s="0" t="n">
        <v>21</v>
      </c>
      <c r="AB198" s="0" t="s">
        <v>422</v>
      </c>
      <c r="AD198" s="0" t="n">
        <v>12</v>
      </c>
      <c r="AE198" s="0" t="s">
        <v>96</v>
      </c>
      <c r="AH198" s="0" t="n">
        <v>1</v>
      </c>
      <c r="AJ198" s="0" t="n">
        <v>10</v>
      </c>
      <c r="AP198" s="0" t="n">
        <v>500000</v>
      </c>
      <c r="DB198" s="0" t="str">
        <f aca="false">IF($A198="","",IF($AE198&amp;""&lt;&gt;設定!$C$4,"対象外",IF($AH198=20,IF(OR($AJ198=10,$AJ198=11,$AJ198=18),"①病院一般",IF($AJ198=41,"②病院短期","対象外")),IF($AH198=5,IF($AJ198=30,"③特定消防","対象外"),IF(OR($AJ198=10,$AJ198=11,$AJ198=74),"④一般",IF(OR($AJ198=41,$AJ198=47),"⑤短期","対象外"))))))</f>
        <v>④一般</v>
      </c>
    </row>
    <row r="199" customFormat="false" ht="15" hidden="false" customHeight="false" outlineLevel="0" collapsed="false">
      <c r="A199" s="0" t="n">
        <v>21</v>
      </c>
      <c r="AA199" s="0" t="n">
        <v>24</v>
      </c>
      <c r="AB199" s="0" t="s">
        <v>423</v>
      </c>
      <c r="AD199" s="0" t="n">
        <v>12</v>
      </c>
      <c r="AE199" s="0" t="s">
        <v>96</v>
      </c>
      <c r="AH199" s="0" t="n">
        <v>1</v>
      </c>
      <c r="AJ199" s="0" t="n">
        <v>10</v>
      </c>
      <c r="AP199" s="0" t="n">
        <v>530000</v>
      </c>
      <c r="DB199" s="0" t="str">
        <f aca="false">IF($A199="","",IF($AE199&amp;""&lt;&gt;設定!$C$4,"対象外",IF($AH199=20,IF(OR($AJ199=10,$AJ199=11,$AJ199=18),"①病院一般",IF($AJ199=41,"②病院短期","対象外")),IF($AH199=5,IF($AJ199=30,"③特定消防","対象外"),IF(OR($AJ199=10,$AJ199=11,$AJ199=74),"④一般",IF(OR($AJ199=41,$AJ199=47),"⑤短期","対象外"))))))</f>
        <v>④一般</v>
      </c>
    </row>
    <row r="200" customFormat="false" ht="15" hidden="false" customHeight="false" outlineLevel="0" collapsed="false">
      <c r="A200" s="0" t="n">
        <v>21</v>
      </c>
      <c r="AA200" s="0" t="n">
        <v>21</v>
      </c>
      <c r="AB200" s="0" t="s">
        <v>422</v>
      </c>
      <c r="AD200" s="0" t="n">
        <v>11</v>
      </c>
      <c r="AE200" s="0" t="s">
        <v>96</v>
      </c>
      <c r="AH200" s="0" t="n">
        <v>1</v>
      </c>
      <c r="AJ200" s="0" t="n">
        <v>10</v>
      </c>
      <c r="AP200" s="0" t="n">
        <v>470000</v>
      </c>
      <c r="DB200" s="0" t="str">
        <f aca="false">IF($A200="","",IF($AE200&amp;""&lt;&gt;設定!$C$4,"対象外",IF($AH200=20,IF(OR($AJ200=10,$AJ200=11,$AJ200=18),"①病院一般",IF($AJ200=41,"②病院短期","対象外")),IF($AH200=5,IF($AJ200=30,"③特定消防","対象外"),IF(OR($AJ200=10,$AJ200=11,$AJ200=74),"④一般",IF(OR($AJ200=41,$AJ200=47),"⑤短期","対象外"))))))</f>
        <v>④一般</v>
      </c>
    </row>
    <row r="201" customFormat="false" ht="15" hidden="false" customHeight="false" outlineLevel="0" collapsed="false">
      <c r="A201" s="0" t="n">
        <v>21</v>
      </c>
      <c r="AA201" s="0" t="n">
        <v>21</v>
      </c>
      <c r="AB201" s="0" t="s">
        <v>424</v>
      </c>
      <c r="AD201" s="0" t="n">
        <v>12</v>
      </c>
      <c r="AE201" s="0" t="s">
        <v>96</v>
      </c>
      <c r="AH201" s="0" t="n">
        <v>1</v>
      </c>
      <c r="AJ201" s="0" t="n">
        <v>10</v>
      </c>
      <c r="AP201" s="0" t="n">
        <v>470000</v>
      </c>
      <c r="DB201" s="0" t="str">
        <f aca="false">IF($A201="","",IF($AE201&amp;""&lt;&gt;設定!$C$4,"対象外",IF($AH201=20,IF(OR($AJ201=10,$AJ201=11,$AJ201=18),"①病院一般",IF($AJ201=41,"②病院短期","対象外")),IF($AH201=5,IF($AJ201=30,"③特定消防","対象外"),IF(OR($AJ201=10,$AJ201=11,$AJ201=74),"④一般",IF(OR($AJ201=41,$AJ201=47),"⑤短期","対象外"))))))</f>
        <v>④一般</v>
      </c>
    </row>
    <row r="202" customFormat="false" ht="15" hidden="false" customHeight="false" outlineLevel="0" collapsed="false">
      <c r="A202" s="0" t="n">
        <v>21</v>
      </c>
      <c r="AA202" s="0" t="n">
        <v>21</v>
      </c>
      <c r="AB202" s="0" t="s">
        <v>424</v>
      </c>
      <c r="AD202" s="0" t="n">
        <v>12</v>
      </c>
      <c r="AE202" s="0" t="s">
        <v>96</v>
      </c>
      <c r="AH202" s="0" t="n">
        <v>1</v>
      </c>
      <c r="AJ202" s="0" t="n">
        <v>10</v>
      </c>
      <c r="AP202" s="0" t="n">
        <v>410000</v>
      </c>
      <c r="DB202" s="0" t="str">
        <f aca="false">IF($A202="","",IF($AE202&amp;""&lt;&gt;設定!$C$4,"対象外",IF($AH202=20,IF(OR($AJ202=10,$AJ202=11,$AJ202=18),"①病院一般",IF($AJ202=41,"②病院短期","対象外")),IF($AH202=5,IF($AJ202=30,"③特定消防","対象外"),IF(OR($AJ202=10,$AJ202=11,$AJ202=74),"④一般",IF(OR($AJ202=41,$AJ202=47),"⑤短期","対象外"))))))</f>
        <v>④一般</v>
      </c>
    </row>
    <row r="203" customFormat="false" ht="15" hidden="false" customHeight="false" outlineLevel="0" collapsed="false">
      <c r="A203" s="0" t="n">
        <v>21</v>
      </c>
      <c r="AA203" s="0" t="n">
        <v>21</v>
      </c>
      <c r="AB203" s="0" t="s">
        <v>424</v>
      </c>
      <c r="AD203" s="0" t="n">
        <v>12</v>
      </c>
      <c r="AE203" s="0" t="s">
        <v>294</v>
      </c>
      <c r="AH203" s="0" t="n">
        <v>1</v>
      </c>
      <c r="AJ203" s="0" t="n">
        <v>10</v>
      </c>
      <c r="AP203" s="0" t="n">
        <v>530000</v>
      </c>
      <c r="DB203" s="0" t="str">
        <f aca="false">IF($A203="","",IF($AE203&amp;""&lt;&gt;設定!$C$4,"対象外",IF($AH203=20,IF(OR($AJ203=10,$AJ203=11,$AJ203=18),"①病院一般",IF($AJ203=41,"②病院短期","対象外")),IF($AH203=5,IF($AJ203=30,"③特定消防","対象外"),IF(OR($AJ203=10,$AJ203=11,$AJ203=74),"④一般",IF(OR($AJ203=41,$AJ203=47),"⑤短期","対象外"))))))</f>
        <v>対象外</v>
      </c>
    </row>
    <row r="204" customFormat="false" ht="15" hidden="false" customHeight="false" outlineLevel="0" collapsed="false">
      <c r="A204" s="0" t="n">
        <v>21</v>
      </c>
      <c r="AA204" s="0" t="n">
        <v>21</v>
      </c>
      <c r="AB204" s="0" t="s">
        <v>424</v>
      </c>
      <c r="AD204" s="0" t="n">
        <v>12</v>
      </c>
      <c r="AE204" s="0" t="s">
        <v>96</v>
      </c>
      <c r="AH204" s="0" t="n">
        <v>1</v>
      </c>
      <c r="AJ204" s="0" t="n">
        <v>10</v>
      </c>
      <c r="AP204" s="0" t="n">
        <v>440000</v>
      </c>
      <c r="DB204" s="0" t="str">
        <f aca="false">IF($A204="","",IF($AE204&amp;""&lt;&gt;設定!$C$4,"対象外",IF($AH204=20,IF(OR($AJ204=10,$AJ204=11,$AJ204=18),"①病院一般",IF($AJ204=41,"②病院短期","対象外")),IF($AH204=5,IF($AJ204=30,"③特定消防","対象外"),IF(OR($AJ204=10,$AJ204=11,$AJ204=74),"④一般",IF(OR($AJ204=41,$AJ204=47),"⑤短期","対象外"))))))</f>
        <v>④一般</v>
      </c>
    </row>
    <row r="205" customFormat="false" ht="15" hidden="false" customHeight="false" outlineLevel="0" collapsed="false">
      <c r="A205" s="0" t="n">
        <v>21</v>
      </c>
      <c r="AA205" s="0" t="n">
        <v>21</v>
      </c>
      <c r="AB205" s="0" t="s">
        <v>424</v>
      </c>
      <c r="AD205" s="0" t="n">
        <v>12</v>
      </c>
      <c r="AE205" s="0" t="s">
        <v>96</v>
      </c>
      <c r="AH205" s="0" t="n">
        <v>1</v>
      </c>
      <c r="AJ205" s="0" t="n">
        <v>10</v>
      </c>
      <c r="AP205" s="0" t="n">
        <v>500000</v>
      </c>
      <c r="DB205" s="0" t="str">
        <f aca="false">IF($A205="","",IF($AE205&amp;""&lt;&gt;設定!$C$4,"対象外",IF($AH205=20,IF(OR($AJ205=10,$AJ205=11,$AJ205=18),"①病院一般",IF($AJ205=41,"②病院短期","対象外")),IF($AH205=5,IF($AJ205=30,"③特定消防","対象外"),IF(OR($AJ205=10,$AJ205=11,$AJ205=74),"④一般",IF(OR($AJ205=41,$AJ205=47),"⑤短期","対象外"))))))</f>
        <v>④一般</v>
      </c>
    </row>
    <row r="206" customFormat="false" ht="15" hidden="false" customHeight="false" outlineLevel="0" collapsed="false">
      <c r="A206" s="0" t="n">
        <v>21</v>
      </c>
      <c r="AA206" s="0" t="n">
        <v>21</v>
      </c>
      <c r="AB206" s="0" t="s">
        <v>424</v>
      </c>
      <c r="AD206" s="0" t="n">
        <v>11</v>
      </c>
      <c r="AE206" s="0" t="s">
        <v>96</v>
      </c>
      <c r="AH206" s="0" t="n">
        <v>1</v>
      </c>
      <c r="AJ206" s="0" t="n">
        <v>10</v>
      </c>
      <c r="AP206" s="0" t="n">
        <v>410000</v>
      </c>
      <c r="DB206" s="0" t="str">
        <f aca="false">IF($A206="","",IF($AE206&amp;""&lt;&gt;設定!$C$4,"対象外",IF($AH206=20,IF(OR($AJ206=10,$AJ206=11,$AJ206=18),"①病院一般",IF($AJ206=41,"②病院短期","対象外")),IF($AH206=5,IF($AJ206=30,"③特定消防","対象外"),IF(OR($AJ206=10,$AJ206=11,$AJ206=74),"④一般",IF(OR($AJ206=41,$AJ206=47),"⑤短期","対象外"))))))</f>
        <v>④一般</v>
      </c>
    </row>
    <row r="207" customFormat="false" ht="15" hidden="false" customHeight="false" outlineLevel="0" collapsed="false">
      <c r="A207" s="0" t="n">
        <v>21</v>
      </c>
      <c r="AA207" s="0" t="n">
        <v>21</v>
      </c>
      <c r="AB207" s="0" t="s">
        <v>424</v>
      </c>
      <c r="AD207" s="0" t="n">
        <v>11</v>
      </c>
      <c r="AE207" s="0" t="s">
        <v>96</v>
      </c>
      <c r="AH207" s="0" t="n">
        <v>3</v>
      </c>
      <c r="AJ207" s="0" t="n">
        <v>10</v>
      </c>
      <c r="AP207" s="0" t="n">
        <v>470000</v>
      </c>
      <c r="DB207" s="0" t="str">
        <f aca="false">IF($A207="","",IF($AE207&amp;""&lt;&gt;設定!$C$4,"対象外",IF($AH207=20,IF(OR($AJ207=10,$AJ207=11,$AJ207=18),"①病院一般",IF($AJ207=41,"②病院短期","対象外")),IF($AH207=5,IF($AJ207=30,"③特定消防","対象外"),IF(OR($AJ207=10,$AJ207=11,$AJ207=74),"④一般",IF(OR($AJ207=41,$AJ207=47),"⑤短期","対象外"))))))</f>
        <v>④一般</v>
      </c>
    </row>
    <row r="208" customFormat="false" ht="15" hidden="false" customHeight="false" outlineLevel="0" collapsed="false">
      <c r="A208" s="0" t="n">
        <v>21</v>
      </c>
      <c r="AA208" s="0" t="n">
        <v>21</v>
      </c>
      <c r="AB208" s="0" t="s">
        <v>424</v>
      </c>
      <c r="AD208" s="0" t="n">
        <v>12</v>
      </c>
      <c r="AE208" s="0" t="s">
        <v>96</v>
      </c>
      <c r="AH208" s="0" t="n">
        <v>20</v>
      </c>
      <c r="AJ208" s="0" t="n">
        <v>10</v>
      </c>
      <c r="AP208" s="0" t="n">
        <v>530000</v>
      </c>
      <c r="DB208" s="0" t="str">
        <f aca="false">IF($A208="","",IF($AE208&amp;""&lt;&gt;設定!$C$4,"対象外",IF($AH208=20,IF(OR($AJ208=10,$AJ208=11,$AJ208=18),"①病院一般",IF($AJ208=41,"②病院短期","対象外")),IF($AH208=5,IF($AJ208=30,"③特定消防","対象外"),IF(OR($AJ208=10,$AJ208=11,$AJ208=74),"④一般",IF(OR($AJ208=41,$AJ208=47),"⑤短期","対象外"))))))</f>
        <v>①病院一般</v>
      </c>
    </row>
    <row r="209" customFormat="false" ht="15" hidden="false" customHeight="false" outlineLevel="0" collapsed="false">
      <c r="A209" s="0" t="n">
        <v>21</v>
      </c>
      <c r="AA209" s="0" t="n">
        <v>21</v>
      </c>
      <c r="AB209" s="0" t="s">
        <v>425</v>
      </c>
      <c r="AD209" s="0" t="n">
        <v>12</v>
      </c>
      <c r="AE209" s="0" t="s">
        <v>96</v>
      </c>
      <c r="AH209" s="0" t="n">
        <v>20</v>
      </c>
      <c r="AJ209" s="0" t="n">
        <v>10</v>
      </c>
      <c r="AP209" s="0" t="n">
        <v>360000</v>
      </c>
      <c r="DB209" s="0" t="str">
        <f aca="false">IF($A209="","",IF($AE209&amp;""&lt;&gt;設定!$C$4,"対象外",IF($AH209=20,IF(OR($AJ209=10,$AJ209=11,$AJ209=18),"①病院一般",IF($AJ209=41,"②病院短期","対象外")),IF($AH209=5,IF($AJ209=30,"③特定消防","対象外"),IF(OR($AJ209=10,$AJ209=11,$AJ209=74),"④一般",IF(OR($AJ209=41,$AJ209=47),"⑤短期","対象外"))))))</f>
        <v>①病院一般</v>
      </c>
    </row>
    <row r="210" customFormat="false" ht="15" hidden="false" customHeight="false" outlineLevel="0" collapsed="false">
      <c r="A210" s="0" t="n">
        <v>21</v>
      </c>
      <c r="AA210" s="0" t="n">
        <v>24</v>
      </c>
      <c r="AB210" s="0" t="s">
        <v>426</v>
      </c>
      <c r="AD210" s="0" t="n">
        <v>12</v>
      </c>
      <c r="AE210" s="0" t="s">
        <v>96</v>
      </c>
      <c r="AH210" s="0" t="n">
        <v>20</v>
      </c>
      <c r="AJ210" s="0" t="n">
        <v>10</v>
      </c>
      <c r="AP210" s="0" t="n">
        <v>280000</v>
      </c>
      <c r="DB210" s="0" t="str">
        <f aca="false">IF($A210="","",IF($AE210&amp;""&lt;&gt;設定!$C$4,"対象外",IF($AH210=20,IF(OR($AJ210=10,$AJ210=11,$AJ210=18),"①病院一般",IF($AJ210=41,"②病院短期","対象外")),IF($AH210=5,IF($AJ210=30,"③特定消防","対象外"),IF(OR($AJ210=10,$AJ210=11,$AJ210=74),"④一般",IF(OR($AJ210=41,$AJ210=47),"⑤短期","対象外"))))))</f>
        <v>①病院一般</v>
      </c>
    </row>
    <row r="211" customFormat="false" ht="15" hidden="false" customHeight="false" outlineLevel="0" collapsed="false">
      <c r="A211" s="0" t="n">
        <v>21</v>
      </c>
      <c r="AA211" s="0" t="n">
        <v>21</v>
      </c>
      <c r="AB211" s="0" t="s">
        <v>427</v>
      </c>
      <c r="AD211" s="0" t="n">
        <v>12</v>
      </c>
      <c r="AE211" s="0" t="s">
        <v>96</v>
      </c>
      <c r="AH211" s="0" t="n">
        <v>1</v>
      </c>
      <c r="AJ211" s="0" t="n">
        <v>10</v>
      </c>
      <c r="AP211" s="0" t="n">
        <v>590000</v>
      </c>
      <c r="DB211" s="0" t="str">
        <f aca="false">IF($A211="","",IF($AE211&amp;""&lt;&gt;設定!$C$4,"対象外",IF($AH211=20,IF(OR($AJ211=10,$AJ211=11,$AJ211=18),"①病院一般",IF($AJ211=41,"②病院短期","対象外")),IF($AH211=5,IF($AJ211=30,"③特定消防","対象外"),IF(OR($AJ211=10,$AJ211=11,$AJ211=74),"④一般",IF(OR($AJ211=41,$AJ211=47),"⑤短期","対象外"))))))</f>
        <v>④一般</v>
      </c>
    </row>
    <row r="212" customFormat="false" ht="15" hidden="false" customHeight="false" outlineLevel="0" collapsed="false">
      <c r="A212" s="0" t="n">
        <v>21</v>
      </c>
      <c r="AA212" s="0" t="n">
        <v>21</v>
      </c>
      <c r="AB212" s="0" t="s">
        <v>427</v>
      </c>
      <c r="AD212" s="0" t="n">
        <v>11</v>
      </c>
      <c r="AE212" s="0" t="s">
        <v>96</v>
      </c>
      <c r="AH212" s="0" t="n">
        <v>1</v>
      </c>
      <c r="AJ212" s="0" t="n">
        <v>10</v>
      </c>
      <c r="AP212" s="0" t="n">
        <v>380000</v>
      </c>
      <c r="DB212" s="0" t="str">
        <f aca="false">IF($A212="","",IF($AE212&amp;""&lt;&gt;設定!$C$4,"対象外",IF($AH212=20,IF(OR($AJ212=10,$AJ212=11,$AJ212=18),"①病院一般",IF($AJ212=41,"②病院短期","対象外")),IF($AH212=5,IF($AJ212=30,"③特定消防","対象外"),IF(OR($AJ212=10,$AJ212=11,$AJ212=74),"④一般",IF(OR($AJ212=41,$AJ212=47),"⑤短期","対象外"))))))</f>
        <v>④一般</v>
      </c>
    </row>
    <row r="213" customFormat="false" ht="15" hidden="false" customHeight="false" outlineLevel="0" collapsed="false">
      <c r="A213" s="0" t="n">
        <v>21</v>
      </c>
      <c r="AA213" s="0" t="n">
        <v>21</v>
      </c>
      <c r="AB213" s="0" t="s">
        <v>428</v>
      </c>
      <c r="AD213" s="0" t="n">
        <v>12</v>
      </c>
      <c r="AE213" s="0" t="s">
        <v>96</v>
      </c>
      <c r="AH213" s="0" t="n">
        <v>20</v>
      </c>
      <c r="AJ213" s="0" t="n">
        <v>10</v>
      </c>
      <c r="AP213" s="0" t="n">
        <v>980000</v>
      </c>
      <c r="DB213" s="0" t="str">
        <f aca="false">IF($A213="","",IF($AE213&amp;""&lt;&gt;設定!$C$4,"対象外",IF($AH213=20,IF(OR($AJ213=10,$AJ213=11,$AJ213=18),"①病院一般",IF($AJ213=41,"②病院短期","対象外")),IF($AH213=5,IF($AJ213=30,"③特定消防","対象外"),IF(OR($AJ213=10,$AJ213=11,$AJ213=74),"④一般",IF(OR($AJ213=41,$AJ213=47),"⑤短期","対象外"))))))</f>
        <v>①病院一般</v>
      </c>
    </row>
    <row r="214" customFormat="false" ht="15" hidden="false" customHeight="false" outlineLevel="0" collapsed="false">
      <c r="A214" s="0" t="n">
        <v>21</v>
      </c>
      <c r="AA214" s="0" t="n">
        <v>21</v>
      </c>
      <c r="AB214" s="0" t="s">
        <v>429</v>
      </c>
      <c r="AD214" s="0" t="n">
        <v>12</v>
      </c>
      <c r="AE214" s="0" t="s">
        <v>301</v>
      </c>
      <c r="AH214" s="0" t="n">
        <v>1</v>
      </c>
      <c r="AJ214" s="0" t="n">
        <v>10</v>
      </c>
      <c r="AP214" s="0" t="n">
        <v>440000</v>
      </c>
      <c r="DB214" s="0" t="str">
        <f aca="false">IF($A214="","",IF($AE214&amp;""&lt;&gt;設定!$C$4,"対象外",IF($AH214=20,IF(OR($AJ214=10,$AJ214=11,$AJ214=18),"①病院一般",IF($AJ214=41,"②病院短期","対象外")),IF($AH214=5,IF($AJ214=30,"③特定消防","対象外"),IF(OR($AJ214=10,$AJ214=11,$AJ214=74),"④一般",IF(OR($AJ214=41,$AJ214=47),"⑤短期","対象外"))))))</f>
        <v>対象外</v>
      </c>
    </row>
    <row r="215" customFormat="false" ht="15" hidden="false" customHeight="false" outlineLevel="0" collapsed="false">
      <c r="A215" s="0" t="n">
        <v>21</v>
      </c>
      <c r="AA215" s="0" t="n">
        <v>21</v>
      </c>
      <c r="AB215" s="0" t="s">
        <v>429</v>
      </c>
      <c r="AD215" s="0" t="n">
        <v>11</v>
      </c>
      <c r="AE215" s="0" t="s">
        <v>96</v>
      </c>
      <c r="AH215" s="0" t="n">
        <v>1</v>
      </c>
      <c r="AJ215" s="0" t="n">
        <v>10</v>
      </c>
      <c r="AP215" s="0" t="n">
        <v>410000</v>
      </c>
      <c r="DB215" s="0" t="str">
        <f aca="false">IF($A215="","",IF($AE215&amp;""&lt;&gt;設定!$C$4,"対象外",IF($AH215=20,IF(OR($AJ215=10,$AJ215=11,$AJ215=18),"①病院一般",IF($AJ215=41,"②病院短期","対象外")),IF($AH215=5,IF($AJ215=30,"③特定消防","対象外"),IF(OR($AJ215=10,$AJ215=11,$AJ215=74),"④一般",IF(OR($AJ215=41,$AJ215=47),"⑤短期","対象外"))))))</f>
        <v>④一般</v>
      </c>
    </row>
    <row r="216" customFormat="false" ht="15" hidden="false" customHeight="false" outlineLevel="0" collapsed="false">
      <c r="A216" s="0" t="n">
        <v>21</v>
      </c>
      <c r="AA216" s="0" t="n">
        <v>21</v>
      </c>
      <c r="AB216" s="0" t="s">
        <v>429</v>
      </c>
      <c r="AD216" s="0" t="n">
        <v>11</v>
      </c>
      <c r="AE216" s="0" t="s">
        <v>96</v>
      </c>
      <c r="AH216" s="0" t="n">
        <v>1</v>
      </c>
      <c r="AJ216" s="0" t="n">
        <v>10</v>
      </c>
      <c r="AP216" s="0" t="n">
        <v>410000</v>
      </c>
      <c r="DB216" s="0" t="str">
        <f aca="false">IF($A216="","",IF($AE216&amp;""&lt;&gt;設定!$C$4,"対象外",IF($AH216=20,IF(OR($AJ216=10,$AJ216=11,$AJ216=18),"①病院一般",IF($AJ216=41,"②病院短期","対象外")),IF($AH216=5,IF($AJ216=30,"③特定消防","対象外"),IF(OR($AJ216=10,$AJ216=11,$AJ216=74),"④一般",IF(OR($AJ216=41,$AJ216=47),"⑤短期","対象外"))))))</f>
        <v>④一般</v>
      </c>
    </row>
    <row r="217" customFormat="false" ht="15" hidden="false" customHeight="false" outlineLevel="0" collapsed="false">
      <c r="A217" s="0" t="n">
        <v>21</v>
      </c>
      <c r="AA217" s="0" t="n">
        <v>21</v>
      </c>
      <c r="AB217" s="0" t="s">
        <v>429</v>
      </c>
      <c r="AD217" s="0" t="n">
        <v>11</v>
      </c>
      <c r="AE217" s="0" t="s">
        <v>96</v>
      </c>
      <c r="AH217" s="0" t="n">
        <v>3</v>
      </c>
      <c r="AJ217" s="0" t="n">
        <v>10</v>
      </c>
      <c r="AP217" s="0" t="n">
        <v>410000</v>
      </c>
      <c r="DB217" s="0" t="str">
        <f aca="false">IF($A217="","",IF($AE217&amp;""&lt;&gt;設定!$C$4,"対象外",IF($AH217=20,IF(OR($AJ217=10,$AJ217=11,$AJ217=18),"①病院一般",IF($AJ217=41,"②病院短期","対象外")),IF($AH217=5,IF($AJ217=30,"③特定消防","対象外"),IF(OR($AJ217=10,$AJ217=11,$AJ217=74),"④一般",IF(OR($AJ217=41,$AJ217=47),"⑤短期","対象外"))))))</f>
        <v>④一般</v>
      </c>
    </row>
    <row r="218" customFormat="false" ht="15" hidden="false" customHeight="false" outlineLevel="0" collapsed="false">
      <c r="A218" s="0" t="n">
        <v>21</v>
      </c>
      <c r="AA218" s="0" t="n">
        <v>21</v>
      </c>
      <c r="AB218" s="0" t="s">
        <v>429</v>
      </c>
      <c r="AD218" s="0" t="n">
        <v>12</v>
      </c>
      <c r="AE218" s="0" t="s">
        <v>96</v>
      </c>
      <c r="AH218" s="0" t="n">
        <v>11</v>
      </c>
      <c r="AJ218" s="0" t="n">
        <v>10</v>
      </c>
      <c r="AP218" s="0" t="n">
        <v>470000</v>
      </c>
      <c r="DB218" s="0" t="str">
        <f aca="false">IF($A218="","",IF($AE218&amp;""&lt;&gt;設定!$C$4,"対象外",IF($AH218=20,IF(OR($AJ218=10,$AJ218=11,$AJ218=18),"①病院一般",IF($AJ218=41,"②病院短期","対象外")),IF($AH218=5,IF($AJ218=30,"③特定消防","対象外"),IF(OR($AJ218=10,$AJ218=11,$AJ218=74),"④一般",IF(OR($AJ218=41,$AJ218=47),"⑤短期","対象外"))))))</f>
        <v>④一般</v>
      </c>
    </row>
    <row r="219" customFormat="false" ht="15" hidden="false" customHeight="false" outlineLevel="0" collapsed="false">
      <c r="A219" s="0" t="n">
        <v>21</v>
      </c>
      <c r="AA219" s="0" t="n">
        <v>21</v>
      </c>
      <c r="AB219" s="0" t="s">
        <v>429</v>
      </c>
      <c r="AD219" s="0" t="n">
        <v>11</v>
      </c>
      <c r="AE219" s="0" t="s">
        <v>96</v>
      </c>
      <c r="AH219" s="0" t="n">
        <v>11</v>
      </c>
      <c r="AJ219" s="0" t="n">
        <v>10</v>
      </c>
      <c r="AP219" s="0" t="n">
        <v>320000</v>
      </c>
      <c r="DB219" s="0" t="str">
        <f aca="false">IF($A219="","",IF($AE219&amp;""&lt;&gt;設定!$C$4,"対象外",IF($AH219=20,IF(OR($AJ219=10,$AJ219=11,$AJ219=18),"①病院一般",IF($AJ219=41,"②病院短期","対象外")),IF($AH219=5,IF($AJ219=30,"③特定消防","対象外"),IF(OR($AJ219=10,$AJ219=11,$AJ219=74),"④一般",IF(OR($AJ219=41,$AJ219=47),"⑤短期","対象外"))))))</f>
        <v>④一般</v>
      </c>
    </row>
    <row r="220" customFormat="false" ht="15" hidden="false" customHeight="false" outlineLevel="0" collapsed="false">
      <c r="A220" s="0" t="n">
        <v>21</v>
      </c>
      <c r="AA220" s="0" t="n">
        <v>21</v>
      </c>
      <c r="AB220" s="0" t="s">
        <v>429</v>
      </c>
      <c r="AD220" s="0" t="n">
        <v>11</v>
      </c>
      <c r="AE220" s="0" t="s">
        <v>96</v>
      </c>
      <c r="AH220" s="0" t="n">
        <v>1</v>
      </c>
      <c r="AJ220" s="0" t="n">
        <v>10</v>
      </c>
      <c r="AP220" s="0" t="n">
        <v>340000</v>
      </c>
      <c r="DB220" s="0" t="str">
        <f aca="false">IF($A220="","",IF($AE220&amp;""&lt;&gt;設定!$C$4,"対象外",IF($AH220=20,IF(OR($AJ220=10,$AJ220=11,$AJ220=18),"①病院一般",IF($AJ220=41,"②病院短期","対象外")),IF($AH220=5,IF($AJ220=30,"③特定消防","対象外"),IF(OR($AJ220=10,$AJ220=11,$AJ220=74),"④一般",IF(OR($AJ220=41,$AJ220=47),"⑤短期","対象外"))))))</f>
        <v>④一般</v>
      </c>
    </row>
    <row r="221" customFormat="false" ht="15" hidden="false" customHeight="false" outlineLevel="0" collapsed="false">
      <c r="A221" s="0" t="n">
        <v>21</v>
      </c>
      <c r="AA221" s="0" t="n">
        <v>21</v>
      </c>
      <c r="AB221" s="0" t="s">
        <v>429</v>
      </c>
      <c r="AD221" s="0" t="n">
        <v>12</v>
      </c>
      <c r="AE221" s="0" t="s">
        <v>96</v>
      </c>
      <c r="AH221" s="0" t="n">
        <v>1</v>
      </c>
      <c r="AJ221" s="0" t="n">
        <v>10</v>
      </c>
      <c r="AP221" s="0" t="n">
        <v>410000</v>
      </c>
      <c r="DB221" s="0" t="str">
        <f aca="false">IF($A221="","",IF($AE221&amp;""&lt;&gt;設定!$C$4,"対象外",IF($AH221=20,IF(OR($AJ221=10,$AJ221=11,$AJ221=18),"①病院一般",IF($AJ221=41,"②病院短期","対象外")),IF($AH221=5,IF($AJ221=30,"③特定消防","対象外"),IF(OR($AJ221=10,$AJ221=11,$AJ221=74),"④一般",IF(OR($AJ221=41,$AJ221=47),"⑤短期","対象外"))))))</f>
        <v>④一般</v>
      </c>
    </row>
    <row r="222" customFormat="false" ht="15" hidden="false" customHeight="false" outlineLevel="0" collapsed="false">
      <c r="A222" s="0" t="n">
        <v>21</v>
      </c>
      <c r="AA222" s="0" t="n">
        <v>21</v>
      </c>
      <c r="AB222" s="0" t="s">
        <v>430</v>
      </c>
      <c r="AD222" s="0" t="n">
        <v>12</v>
      </c>
      <c r="AE222" s="0" t="s">
        <v>96</v>
      </c>
      <c r="AH222" s="0" t="n">
        <v>20</v>
      </c>
      <c r="AJ222" s="0" t="n">
        <v>10</v>
      </c>
      <c r="AP222" s="0" t="n">
        <v>560000</v>
      </c>
      <c r="DB222" s="0" t="str">
        <f aca="false">IF($A222="","",IF($AE222&amp;""&lt;&gt;設定!$C$4,"対象外",IF($AH222=20,IF(OR($AJ222=10,$AJ222=11,$AJ222=18),"①病院一般",IF($AJ222=41,"②病院短期","対象外")),IF($AH222=5,IF($AJ222=30,"③特定消防","対象外"),IF(OR($AJ222=10,$AJ222=11,$AJ222=74),"④一般",IF(OR($AJ222=41,$AJ222=47),"⑤短期","対象外"))))))</f>
        <v>①病院一般</v>
      </c>
    </row>
    <row r="223" customFormat="false" ht="15" hidden="false" customHeight="false" outlineLevel="0" collapsed="false">
      <c r="A223" s="0" t="n">
        <v>21</v>
      </c>
      <c r="AA223" s="0" t="n">
        <v>24</v>
      </c>
      <c r="AB223" s="0" t="s">
        <v>423</v>
      </c>
      <c r="AD223" s="0" t="n">
        <v>12</v>
      </c>
      <c r="AE223" s="0" t="s">
        <v>303</v>
      </c>
      <c r="AH223" s="0" t="n">
        <v>20</v>
      </c>
      <c r="AJ223" s="0" t="n">
        <v>10</v>
      </c>
      <c r="AP223" s="0" t="n">
        <v>410000</v>
      </c>
      <c r="DB223" s="0" t="str">
        <f aca="false">IF($A223="","",IF($AE223&amp;""&lt;&gt;設定!$C$4,"対象外",IF($AH223=20,IF(OR($AJ223=10,$AJ223=11,$AJ223=18),"①病院一般",IF($AJ223=41,"②病院短期","対象外")),IF($AH223=5,IF($AJ223=30,"③特定消防","対象外"),IF(OR($AJ223=10,$AJ223=11,$AJ223=74),"④一般",IF(OR($AJ223=41,$AJ223=47),"⑤短期","対象外"))))))</f>
        <v>対象外</v>
      </c>
    </row>
    <row r="224" customFormat="false" ht="15" hidden="false" customHeight="false" outlineLevel="0" collapsed="false">
      <c r="A224" s="0" t="n">
        <v>21</v>
      </c>
      <c r="AA224" s="0" t="n">
        <v>21</v>
      </c>
      <c r="AB224" s="0" t="s">
        <v>431</v>
      </c>
      <c r="AD224" s="0" t="n">
        <v>12</v>
      </c>
      <c r="AE224" s="0" t="s">
        <v>298</v>
      </c>
      <c r="AH224" s="0" t="n">
        <v>1</v>
      </c>
      <c r="AJ224" s="0" t="n">
        <v>10</v>
      </c>
      <c r="AP224" s="0" t="n">
        <v>470000</v>
      </c>
      <c r="DB224" s="0" t="str">
        <f aca="false">IF($A224="","",IF($AE224&amp;""&lt;&gt;設定!$C$4,"対象外",IF($AH224=20,IF(OR($AJ224=10,$AJ224=11,$AJ224=18),"①病院一般",IF($AJ224=41,"②病院短期","対象外")),IF($AH224=5,IF($AJ224=30,"③特定消防","対象外"),IF(OR($AJ224=10,$AJ224=11,$AJ224=74),"④一般",IF(OR($AJ224=41,$AJ224=47),"⑤短期","対象外"))))))</f>
        <v>対象外</v>
      </c>
    </row>
    <row r="225" customFormat="false" ht="15" hidden="false" customHeight="false" outlineLevel="0" collapsed="false">
      <c r="A225" s="0" t="n">
        <v>21</v>
      </c>
      <c r="AA225" s="0" t="n">
        <v>24</v>
      </c>
      <c r="AB225" s="0" t="s">
        <v>432</v>
      </c>
      <c r="AD225" s="0" t="n">
        <v>12</v>
      </c>
      <c r="AE225" s="0" t="s">
        <v>96</v>
      </c>
      <c r="AH225" s="0" t="n">
        <v>1</v>
      </c>
      <c r="AJ225" s="0" t="n">
        <v>10</v>
      </c>
      <c r="AP225" s="0" t="n">
        <v>470000</v>
      </c>
      <c r="DB225" s="0" t="str">
        <f aca="false">IF($A225="","",IF($AE225&amp;""&lt;&gt;設定!$C$4,"対象外",IF($AH225=20,IF(OR($AJ225=10,$AJ225=11,$AJ225=18),"①病院一般",IF($AJ225=41,"②病院短期","対象外")),IF($AH225=5,IF($AJ225=30,"③特定消防","対象外"),IF(OR($AJ225=10,$AJ225=11,$AJ225=74),"④一般",IF(OR($AJ225=41,$AJ225=47),"⑤短期","対象外"))))))</f>
        <v>④一般</v>
      </c>
    </row>
    <row r="226" customFormat="false" ht="15" hidden="false" customHeight="false" outlineLevel="0" collapsed="false">
      <c r="A226" s="0" t="n">
        <v>21</v>
      </c>
      <c r="AA226" s="0" t="n">
        <v>21</v>
      </c>
      <c r="AB226" s="0" t="s">
        <v>431</v>
      </c>
      <c r="AD226" s="0" t="n">
        <v>12</v>
      </c>
      <c r="AE226" s="0" t="s">
        <v>96</v>
      </c>
      <c r="AH226" s="0" t="n">
        <v>1</v>
      </c>
      <c r="AJ226" s="0" t="n">
        <v>10</v>
      </c>
      <c r="AP226" s="0" t="n">
        <v>380000</v>
      </c>
      <c r="DB226" s="0" t="str">
        <f aca="false">IF($A226="","",IF($AE226&amp;""&lt;&gt;設定!$C$4,"対象外",IF($AH226=20,IF(OR($AJ226=10,$AJ226=11,$AJ226=18),"①病院一般",IF($AJ226=41,"②病院短期","対象外")),IF($AH226=5,IF($AJ226=30,"③特定消防","対象外"),IF(OR($AJ226=10,$AJ226=11,$AJ226=74),"④一般",IF(OR($AJ226=41,$AJ226=47),"⑤短期","対象外"))))))</f>
        <v>④一般</v>
      </c>
    </row>
    <row r="227" customFormat="false" ht="15" hidden="false" customHeight="false" outlineLevel="0" collapsed="false">
      <c r="A227" s="0" t="n">
        <v>21</v>
      </c>
      <c r="AA227" s="0" t="n">
        <v>21</v>
      </c>
      <c r="AB227" s="0" t="s">
        <v>431</v>
      </c>
      <c r="AD227" s="0" t="n">
        <v>11</v>
      </c>
      <c r="AE227" s="0" t="s">
        <v>96</v>
      </c>
      <c r="AH227" s="0" t="n">
        <v>11</v>
      </c>
      <c r="AJ227" s="0" t="n">
        <v>10</v>
      </c>
      <c r="AP227" s="0" t="n">
        <v>340000</v>
      </c>
      <c r="DB227" s="0" t="str">
        <f aca="false">IF($A227="","",IF($AE227&amp;""&lt;&gt;設定!$C$4,"対象外",IF($AH227=20,IF(OR($AJ227=10,$AJ227=11,$AJ227=18),"①病院一般",IF($AJ227=41,"②病院短期","対象外")),IF($AH227=5,IF($AJ227=30,"③特定消防","対象外"),IF(OR($AJ227=10,$AJ227=11,$AJ227=74),"④一般",IF(OR($AJ227=41,$AJ227=47),"⑤短期","対象外"))))))</f>
        <v>④一般</v>
      </c>
    </row>
    <row r="228" customFormat="false" ht="15" hidden="false" customHeight="false" outlineLevel="0" collapsed="false">
      <c r="A228" s="0" t="n">
        <v>21</v>
      </c>
      <c r="AA228" s="0" t="n">
        <v>21</v>
      </c>
      <c r="AB228" s="0" t="s">
        <v>433</v>
      </c>
      <c r="AD228" s="0" t="n">
        <v>12</v>
      </c>
      <c r="AE228" s="0" t="s">
        <v>305</v>
      </c>
      <c r="AH228" s="0" t="n">
        <v>1</v>
      </c>
      <c r="AJ228" s="0" t="n">
        <v>10</v>
      </c>
      <c r="AP228" s="0" t="n">
        <v>530000</v>
      </c>
      <c r="DB228" s="0" t="str">
        <f aca="false">IF($A228="","",IF($AE228&amp;""&lt;&gt;設定!$C$4,"対象外",IF($AH228=20,IF(OR($AJ228=10,$AJ228=11,$AJ228=18),"①病院一般",IF($AJ228=41,"②病院短期","対象外")),IF($AH228=5,IF($AJ228=30,"③特定消防","対象外"),IF(OR($AJ228=10,$AJ228=11,$AJ228=74),"④一般",IF(OR($AJ228=41,$AJ228=47),"⑤短期","対象外"))))))</f>
        <v>対象外</v>
      </c>
    </row>
    <row r="229" customFormat="false" ht="15" hidden="false" customHeight="false" outlineLevel="0" collapsed="false">
      <c r="A229" s="0" t="n">
        <v>21</v>
      </c>
      <c r="AA229" s="0" t="n">
        <v>21</v>
      </c>
      <c r="AB229" s="0" t="s">
        <v>433</v>
      </c>
      <c r="AD229" s="0" t="n">
        <v>11</v>
      </c>
      <c r="AE229" s="0" t="s">
        <v>96</v>
      </c>
      <c r="AH229" s="0" t="n">
        <v>1</v>
      </c>
      <c r="AJ229" s="0" t="n">
        <v>10</v>
      </c>
      <c r="AP229" s="0" t="n">
        <v>360000</v>
      </c>
      <c r="DB229" s="0" t="str">
        <f aca="false">IF($A229="","",IF($AE229&amp;""&lt;&gt;設定!$C$4,"対象外",IF($AH229=20,IF(OR($AJ229=10,$AJ229=11,$AJ229=18),"①病院一般",IF($AJ229=41,"②病院短期","対象外")),IF($AH229=5,IF($AJ229=30,"③特定消防","対象外"),IF(OR($AJ229=10,$AJ229=11,$AJ229=74),"④一般",IF(OR($AJ229=41,$AJ229=47),"⑤短期","対象外"))))))</f>
        <v>④一般</v>
      </c>
    </row>
    <row r="230" customFormat="false" ht="15" hidden="false" customHeight="false" outlineLevel="0" collapsed="false">
      <c r="A230" s="0" t="n">
        <v>21</v>
      </c>
      <c r="AA230" s="0" t="n">
        <v>21</v>
      </c>
      <c r="AB230" s="0" t="s">
        <v>433</v>
      </c>
      <c r="AD230" s="0" t="n">
        <v>12</v>
      </c>
      <c r="AE230" s="0" t="s">
        <v>96</v>
      </c>
      <c r="AH230" s="0" t="n">
        <v>11</v>
      </c>
      <c r="AJ230" s="0" t="n">
        <v>10</v>
      </c>
      <c r="AP230" s="0" t="n">
        <v>440000</v>
      </c>
      <c r="DB230" s="0" t="str">
        <f aca="false">IF($A230="","",IF($AE230&amp;""&lt;&gt;設定!$C$4,"対象外",IF($AH230=20,IF(OR($AJ230=10,$AJ230=11,$AJ230=18),"①病院一般",IF($AJ230=41,"②病院短期","対象外")),IF($AH230=5,IF($AJ230=30,"③特定消防","対象外"),IF(OR($AJ230=10,$AJ230=11,$AJ230=74),"④一般",IF(OR($AJ230=41,$AJ230=47),"⑤短期","対象外"))))))</f>
        <v>④一般</v>
      </c>
    </row>
    <row r="231" customFormat="false" ht="15" hidden="false" customHeight="false" outlineLevel="0" collapsed="false">
      <c r="A231" s="0" t="n">
        <v>21</v>
      </c>
      <c r="AA231" s="0" t="n">
        <v>21</v>
      </c>
      <c r="AB231" s="0" t="s">
        <v>433</v>
      </c>
      <c r="AD231" s="0" t="n">
        <v>11</v>
      </c>
      <c r="AE231" s="0" t="s">
        <v>96</v>
      </c>
      <c r="AH231" s="0" t="n">
        <v>11</v>
      </c>
      <c r="AJ231" s="0" t="n">
        <v>10</v>
      </c>
      <c r="AP231" s="0" t="n">
        <v>280000</v>
      </c>
      <c r="DB231" s="0" t="str">
        <f aca="false">IF($A231="","",IF($AE231&amp;""&lt;&gt;設定!$C$4,"対象外",IF($AH231=20,IF(OR($AJ231=10,$AJ231=11,$AJ231=18),"①病院一般",IF($AJ231=41,"②病院短期","対象外")),IF($AH231=5,IF($AJ231=30,"③特定消防","対象外"),IF(OR($AJ231=10,$AJ231=11,$AJ231=74),"④一般",IF(OR($AJ231=41,$AJ231=47),"⑤短期","対象外"))))))</f>
        <v>④一般</v>
      </c>
    </row>
    <row r="232" customFormat="false" ht="15" hidden="false" customHeight="false" outlineLevel="0" collapsed="false">
      <c r="A232" s="0" t="n">
        <v>21</v>
      </c>
      <c r="AA232" s="0" t="n">
        <v>21</v>
      </c>
      <c r="AB232" s="0" t="s">
        <v>433</v>
      </c>
      <c r="AD232" s="0" t="n">
        <v>11</v>
      </c>
      <c r="AE232" s="0" t="s">
        <v>96</v>
      </c>
      <c r="AH232" s="0" t="n">
        <v>11</v>
      </c>
      <c r="AJ232" s="0" t="n">
        <v>10</v>
      </c>
      <c r="AP232" s="0" t="n">
        <v>300000</v>
      </c>
      <c r="DB232" s="0" t="str">
        <f aca="false">IF($A232="","",IF($AE232&amp;""&lt;&gt;設定!$C$4,"対象外",IF($AH232=20,IF(OR($AJ232=10,$AJ232=11,$AJ232=18),"①病院一般",IF($AJ232=41,"②病院短期","対象外")),IF($AH232=5,IF($AJ232=30,"③特定消防","対象外"),IF(OR($AJ232=10,$AJ232=11,$AJ232=74),"④一般",IF(OR($AJ232=41,$AJ232=47),"⑤短期","対象外"))))))</f>
        <v>④一般</v>
      </c>
    </row>
    <row r="233" customFormat="false" ht="15" hidden="false" customHeight="false" outlineLevel="0" collapsed="false">
      <c r="A233" s="0" t="n">
        <v>21</v>
      </c>
      <c r="AA233" s="0" t="n">
        <v>21</v>
      </c>
      <c r="AB233" s="0" t="s">
        <v>433</v>
      </c>
      <c r="AD233" s="0" t="n">
        <v>11</v>
      </c>
      <c r="AE233" s="0" t="s">
        <v>96</v>
      </c>
      <c r="AH233" s="0" t="n">
        <v>11</v>
      </c>
      <c r="AJ233" s="0" t="n">
        <v>10</v>
      </c>
      <c r="AP233" s="0" t="n">
        <v>300000</v>
      </c>
      <c r="DB233" s="0" t="str">
        <f aca="false">IF($A233="","",IF($AE233&amp;""&lt;&gt;設定!$C$4,"対象外",IF($AH233=20,IF(OR($AJ233=10,$AJ233=11,$AJ233=18),"①病院一般",IF($AJ233=41,"②病院短期","対象外")),IF($AH233=5,IF($AJ233=30,"③特定消防","対象外"),IF(OR($AJ233=10,$AJ233=11,$AJ233=74),"④一般",IF(OR($AJ233=41,$AJ233=47),"⑤短期","対象外"))))))</f>
        <v>④一般</v>
      </c>
    </row>
    <row r="234" customFormat="false" ht="15" hidden="false" customHeight="false" outlineLevel="0" collapsed="false">
      <c r="A234" s="0" t="n">
        <v>21</v>
      </c>
      <c r="AA234" s="0" t="n">
        <v>21</v>
      </c>
      <c r="AB234" s="0" t="s">
        <v>433</v>
      </c>
      <c r="AD234" s="0" t="n">
        <v>11</v>
      </c>
      <c r="AE234" s="0" t="s">
        <v>96</v>
      </c>
      <c r="AH234" s="0" t="n">
        <v>20</v>
      </c>
      <c r="AJ234" s="0" t="n">
        <v>10</v>
      </c>
      <c r="AP234" s="0" t="n">
        <v>930000</v>
      </c>
      <c r="DB234" s="0" t="str">
        <f aca="false">IF($A234="","",IF($AE234&amp;""&lt;&gt;設定!$C$4,"対象外",IF($AH234=20,IF(OR($AJ234=10,$AJ234=11,$AJ234=18),"①病院一般",IF($AJ234=41,"②病院短期","対象外")),IF($AH234=5,IF($AJ234=30,"③特定消防","対象外"),IF(OR($AJ234=10,$AJ234=11,$AJ234=74),"④一般",IF(OR($AJ234=41,$AJ234=47),"⑤短期","対象外"))))))</f>
        <v>①病院一般</v>
      </c>
    </row>
    <row r="235" customFormat="false" ht="15" hidden="false" customHeight="false" outlineLevel="0" collapsed="false">
      <c r="A235" s="0" t="n">
        <v>21</v>
      </c>
      <c r="AA235" s="0" t="n">
        <v>21</v>
      </c>
      <c r="AB235" s="0" t="s">
        <v>434</v>
      </c>
      <c r="AD235" s="0" t="n">
        <v>12</v>
      </c>
      <c r="AE235" s="0" t="s">
        <v>96</v>
      </c>
      <c r="AH235" s="0" t="n">
        <v>20</v>
      </c>
      <c r="AJ235" s="0" t="n">
        <v>10</v>
      </c>
      <c r="AP235" s="0" t="n">
        <v>590000</v>
      </c>
      <c r="DB235" s="0" t="str">
        <f aca="false">IF($A235="","",IF($AE235&amp;""&lt;&gt;設定!$C$4,"対象外",IF($AH235=20,IF(OR($AJ235=10,$AJ235=11,$AJ235=18),"①病院一般",IF($AJ235=41,"②病院短期","対象外")),IF($AH235=5,IF($AJ235=30,"③特定消防","対象外"),IF(OR($AJ235=10,$AJ235=11,$AJ235=74),"④一般",IF(OR($AJ235=41,$AJ235=47),"⑤短期","対象外"))))))</f>
        <v>①病院一般</v>
      </c>
    </row>
    <row r="236" customFormat="false" ht="15" hidden="false" customHeight="false" outlineLevel="0" collapsed="false">
      <c r="A236" s="0" t="n">
        <v>21</v>
      </c>
      <c r="AA236" s="0" t="n">
        <v>21</v>
      </c>
      <c r="AB236" s="0" t="s">
        <v>435</v>
      </c>
      <c r="AD236" s="0" t="n">
        <v>12</v>
      </c>
      <c r="AE236" s="0" t="s">
        <v>96</v>
      </c>
      <c r="AH236" s="0" t="n">
        <v>1</v>
      </c>
      <c r="AJ236" s="0" t="n">
        <v>10</v>
      </c>
      <c r="AP236" s="0" t="n">
        <v>470000</v>
      </c>
      <c r="DB236" s="0" t="str">
        <f aca="false">IF($A236="","",IF($AE236&amp;""&lt;&gt;設定!$C$4,"対象外",IF($AH236=20,IF(OR($AJ236=10,$AJ236=11,$AJ236=18),"①病院一般",IF($AJ236=41,"②病院短期","対象外")),IF($AH236=5,IF($AJ236=30,"③特定消防","対象外"),IF(OR($AJ236=10,$AJ236=11,$AJ236=74),"④一般",IF(OR($AJ236=41,$AJ236=47),"⑤短期","対象外"))))))</f>
        <v>④一般</v>
      </c>
    </row>
    <row r="237" customFormat="false" ht="15" hidden="false" customHeight="false" outlineLevel="0" collapsed="false">
      <c r="A237" s="0" t="n">
        <v>21</v>
      </c>
      <c r="AA237" s="0" t="n">
        <v>21</v>
      </c>
      <c r="AB237" s="0" t="s">
        <v>436</v>
      </c>
      <c r="AD237" s="0" t="n">
        <v>12</v>
      </c>
      <c r="AE237" s="0" t="s">
        <v>299</v>
      </c>
      <c r="AH237" s="0" t="n">
        <v>1</v>
      </c>
      <c r="AJ237" s="0" t="n">
        <v>10</v>
      </c>
      <c r="AP237" s="0" t="n">
        <v>440000</v>
      </c>
      <c r="DB237" s="0" t="str">
        <f aca="false">IF($A237="","",IF($AE237&amp;""&lt;&gt;設定!$C$4,"対象外",IF($AH237=20,IF(OR($AJ237=10,$AJ237=11,$AJ237=18),"①病院一般",IF($AJ237=41,"②病院短期","対象外")),IF($AH237=5,IF($AJ237=30,"③特定消防","対象外"),IF(OR($AJ237=10,$AJ237=11,$AJ237=74),"④一般",IF(OR($AJ237=41,$AJ237=47),"⑤短期","対象外"))))))</f>
        <v>対象外</v>
      </c>
    </row>
    <row r="238" customFormat="false" ht="15" hidden="false" customHeight="false" outlineLevel="0" collapsed="false">
      <c r="A238" s="0" t="n">
        <v>21</v>
      </c>
      <c r="AA238" s="0" t="n">
        <v>21</v>
      </c>
      <c r="AB238" s="0" t="s">
        <v>436</v>
      </c>
      <c r="AD238" s="0" t="n">
        <v>11</v>
      </c>
      <c r="AE238" s="0" t="s">
        <v>96</v>
      </c>
      <c r="AH238" s="0" t="n">
        <v>1</v>
      </c>
      <c r="AJ238" s="0" t="n">
        <v>10</v>
      </c>
      <c r="AP238" s="0" t="n">
        <v>300000</v>
      </c>
      <c r="DB238" s="0" t="str">
        <f aca="false">IF($A238="","",IF($AE238&amp;""&lt;&gt;設定!$C$4,"対象外",IF($AH238=20,IF(OR($AJ238=10,$AJ238=11,$AJ238=18),"①病院一般",IF($AJ238=41,"②病院短期","対象外")),IF($AH238=5,IF($AJ238=30,"③特定消防","対象外"),IF(OR($AJ238=10,$AJ238=11,$AJ238=74),"④一般",IF(OR($AJ238=41,$AJ238=47),"⑤短期","対象外"))))))</f>
        <v>④一般</v>
      </c>
    </row>
    <row r="239" customFormat="false" ht="15" hidden="false" customHeight="false" outlineLevel="0" collapsed="false">
      <c r="A239" s="0" t="n">
        <v>21</v>
      </c>
      <c r="AA239" s="0" t="n">
        <v>21</v>
      </c>
      <c r="AB239" s="0" t="s">
        <v>436</v>
      </c>
      <c r="AD239" s="0" t="n">
        <v>12</v>
      </c>
      <c r="AE239" s="0" t="s">
        <v>96</v>
      </c>
      <c r="AH239" s="0" t="n">
        <v>20</v>
      </c>
      <c r="AJ239" s="0" t="n">
        <v>10</v>
      </c>
      <c r="AP239" s="0" t="n">
        <v>530000</v>
      </c>
      <c r="DB239" s="0" t="str">
        <f aca="false">IF($A239="","",IF($AE239&amp;""&lt;&gt;設定!$C$4,"対象外",IF($AH239=20,IF(OR($AJ239=10,$AJ239=11,$AJ239=18),"①病院一般",IF($AJ239=41,"②病院短期","対象外")),IF($AH239=5,IF($AJ239=30,"③特定消防","対象外"),IF(OR($AJ239=10,$AJ239=11,$AJ239=74),"④一般",IF(OR($AJ239=41,$AJ239=47),"⑤短期","対象外"))))))</f>
        <v>①病院一般</v>
      </c>
    </row>
    <row r="240" customFormat="false" ht="15" hidden="false" customHeight="false" outlineLevel="0" collapsed="false">
      <c r="A240" s="0" t="n">
        <v>21</v>
      </c>
      <c r="AA240" s="0" t="n">
        <v>21</v>
      </c>
      <c r="AB240" s="0" t="s">
        <v>436</v>
      </c>
      <c r="AD240" s="0" t="n">
        <v>12</v>
      </c>
      <c r="AE240" s="0" t="s">
        <v>96</v>
      </c>
      <c r="AH240" s="0" t="n">
        <v>1</v>
      </c>
      <c r="AJ240" s="0" t="n">
        <v>10</v>
      </c>
      <c r="AP240" s="0" t="n">
        <v>500000</v>
      </c>
      <c r="DB240" s="0" t="str">
        <f aca="false">IF($A240="","",IF($AE240&amp;""&lt;&gt;設定!$C$4,"対象外",IF($AH240=20,IF(OR($AJ240=10,$AJ240=11,$AJ240=18),"①病院一般",IF($AJ240=41,"②病院短期","対象外")),IF($AH240=5,IF($AJ240=30,"③特定消防","対象外"),IF(OR($AJ240=10,$AJ240=11,$AJ240=74),"④一般",IF(OR($AJ240=41,$AJ240=47),"⑤短期","対象外"))))))</f>
        <v>④一般</v>
      </c>
    </row>
    <row r="241" customFormat="false" ht="15" hidden="false" customHeight="false" outlineLevel="0" collapsed="false">
      <c r="A241" s="0" t="n">
        <v>21</v>
      </c>
      <c r="AA241" s="0" t="n">
        <v>21</v>
      </c>
      <c r="AB241" s="0" t="s">
        <v>437</v>
      </c>
      <c r="AD241" s="0" t="n">
        <v>12</v>
      </c>
      <c r="AE241" s="0" t="s">
        <v>96</v>
      </c>
      <c r="AH241" s="0" t="n">
        <v>20</v>
      </c>
      <c r="AJ241" s="0" t="n">
        <v>10</v>
      </c>
      <c r="AP241" s="0" t="n">
        <v>360000</v>
      </c>
      <c r="DB241" s="0" t="str">
        <f aca="false">IF($A241="","",IF($AE241&amp;""&lt;&gt;設定!$C$4,"対象外",IF($AH241=20,IF(OR($AJ241=10,$AJ241=11,$AJ241=18),"①病院一般",IF($AJ241=41,"②病院短期","対象外")),IF($AH241=5,IF($AJ241=30,"③特定消防","対象外"),IF(OR($AJ241=10,$AJ241=11,$AJ241=74),"④一般",IF(OR($AJ241=41,$AJ241=47),"⑤短期","対象外"))))))</f>
        <v>①病院一般</v>
      </c>
    </row>
    <row r="242" customFormat="false" ht="15" hidden="false" customHeight="false" outlineLevel="0" collapsed="false">
      <c r="A242" s="0" t="n">
        <v>21</v>
      </c>
      <c r="AA242" s="0" t="n">
        <v>21</v>
      </c>
      <c r="AB242" s="0" t="s">
        <v>438</v>
      </c>
      <c r="AD242" s="0" t="n">
        <v>15</v>
      </c>
      <c r="AE242" s="0" t="s">
        <v>294</v>
      </c>
      <c r="AH242" s="0" t="n">
        <v>1</v>
      </c>
      <c r="AJ242" s="0" t="n">
        <v>10</v>
      </c>
      <c r="AP242" s="0" t="n">
        <v>560000</v>
      </c>
      <c r="DB242" s="0" t="str">
        <f aca="false">IF($A242="","",IF($AE242&amp;""&lt;&gt;設定!$C$4,"対象外",IF($AH242=20,IF(OR($AJ242=10,$AJ242=11,$AJ242=18),"①病院一般",IF($AJ242=41,"②病院短期","対象外")),IF($AH242=5,IF($AJ242=30,"③特定消防","対象外"),IF(OR($AJ242=10,$AJ242=11,$AJ242=74),"④一般",IF(OR($AJ242=41,$AJ242=47),"⑤短期","対象外"))))))</f>
        <v>対象外</v>
      </c>
    </row>
    <row r="243" customFormat="false" ht="15" hidden="false" customHeight="false" outlineLevel="0" collapsed="false">
      <c r="A243" s="0" t="n">
        <v>21</v>
      </c>
      <c r="AA243" s="0" t="n">
        <v>21</v>
      </c>
      <c r="AB243" s="0" t="s">
        <v>438</v>
      </c>
      <c r="AD243" s="0" t="n">
        <v>12</v>
      </c>
      <c r="AE243" s="0" t="s">
        <v>96</v>
      </c>
      <c r="AH243" s="0" t="n">
        <v>1</v>
      </c>
      <c r="AJ243" s="0" t="n">
        <v>10</v>
      </c>
      <c r="AP243" s="0" t="n">
        <v>500000</v>
      </c>
      <c r="DB243" s="0" t="str">
        <f aca="false">IF($A243="","",IF($AE243&amp;""&lt;&gt;設定!$C$4,"対象外",IF($AH243=20,IF(OR($AJ243=10,$AJ243=11,$AJ243=18),"①病院一般",IF($AJ243=41,"②病院短期","対象外")),IF($AH243=5,IF($AJ243=30,"③特定消防","対象外"),IF(OR($AJ243=10,$AJ243=11,$AJ243=74),"④一般",IF(OR($AJ243=41,$AJ243=47),"⑤短期","対象外"))))))</f>
        <v>④一般</v>
      </c>
    </row>
    <row r="244" customFormat="false" ht="15" hidden="false" customHeight="false" outlineLevel="0" collapsed="false">
      <c r="A244" s="0" t="n">
        <v>21</v>
      </c>
      <c r="AA244" s="0" t="n">
        <v>21</v>
      </c>
      <c r="AB244" s="0" t="s">
        <v>438</v>
      </c>
      <c r="AD244" s="0" t="n">
        <v>11</v>
      </c>
      <c r="AE244" s="0" t="s">
        <v>96</v>
      </c>
      <c r="AH244" s="0" t="n">
        <v>1</v>
      </c>
      <c r="AJ244" s="0" t="n">
        <v>10</v>
      </c>
      <c r="AP244" s="0" t="n">
        <v>380000</v>
      </c>
      <c r="DB244" s="0" t="str">
        <f aca="false">IF($A244="","",IF($AE244&amp;""&lt;&gt;設定!$C$4,"対象外",IF($AH244=20,IF(OR($AJ244=10,$AJ244=11,$AJ244=18),"①病院一般",IF($AJ244=41,"②病院短期","対象外")),IF($AH244=5,IF($AJ244=30,"③特定消防","対象外"),IF(OR($AJ244=10,$AJ244=11,$AJ244=74),"④一般",IF(OR($AJ244=41,$AJ244=47),"⑤短期","対象外"))))))</f>
        <v>④一般</v>
      </c>
    </row>
    <row r="245" customFormat="false" ht="15" hidden="false" customHeight="false" outlineLevel="0" collapsed="false">
      <c r="A245" s="0" t="n">
        <v>21</v>
      </c>
      <c r="AA245" s="0" t="n">
        <v>21</v>
      </c>
      <c r="AB245" s="0" t="s">
        <v>438</v>
      </c>
      <c r="AD245" s="0" t="n">
        <v>11</v>
      </c>
      <c r="AE245" s="0" t="s">
        <v>96</v>
      </c>
      <c r="AH245" s="0" t="n">
        <v>11</v>
      </c>
      <c r="AJ245" s="0" t="n">
        <v>10</v>
      </c>
      <c r="AP245" s="0" t="n">
        <v>300000</v>
      </c>
      <c r="DB245" s="0" t="str">
        <f aca="false">IF($A245="","",IF($AE245&amp;""&lt;&gt;設定!$C$4,"対象外",IF($AH245=20,IF(OR($AJ245=10,$AJ245=11,$AJ245=18),"①病院一般",IF($AJ245=41,"②病院短期","対象外")),IF($AH245=5,IF($AJ245=30,"③特定消防","対象外"),IF(OR($AJ245=10,$AJ245=11,$AJ245=74),"④一般",IF(OR($AJ245=41,$AJ245=47),"⑤短期","対象外"))))))</f>
        <v>④一般</v>
      </c>
    </row>
    <row r="246" customFormat="false" ht="15" hidden="false" customHeight="false" outlineLevel="0" collapsed="false">
      <c r="A246" s="0" t="n">
        <v>21</v>
      </c>
      <c r="AA246" s="0" t="n">
        <v>21</v>
      </c>
      <c r="AB246" s="0" t="s">
        <v>438</v>
      </c>
      <c r="AD246" s="0" t="n">
        <v>12</v>
      </c>
      <c r="AE246" s="0" t="s">
        <v>96</v>
      </c>
      <c r="AH246" s="0" t="n">
        <v>20</v>
      </c>
      <c r="AJ246" s="0" t="n">
        <v>10</v>
      </c>
      <c r="AP246" s="0" t="n">
        <v>650000</v>
      </c>
      <c r="DB246" s="0" t="str">
        <f aca="false">IF($A246="","",IF($AE246&amp;""&lt;&gt;設定!$C$4,"対象外",IF($AH246=20,IF(OR($AJ246=10,$AJ246=11,$AJ246=18),"①病院一般",IF($AJ246=41,"②病院短期","対象外")),IF($AH246=5,IF($AJ246=30,"③特定消防","対象外"),IF(OR($AJ246=10,$AJ246=11,$AJ246=74),"④一般",IF(OR($AJ246=41,$AJ246=47),"⑤短期","対象外"))))))</f>
        <v>①病院一般</v>
      </c>
    </row>
    <row r="247" customFormat="false" ht="15" hidden="false" customHeight="false" outlineLevel="0" collapsed="false">
      <c r="A247" s="0" t="n">
        <v>21</v>
      </c>
      <c r="AA247" s="0" t="n">
        <v>21</v>
      </c>
      <c r="AB247" s="0" t="s">
        <v>438</v>
      </c>
      <c r="AD247" s="0" t="n">
        <v>12</v>
      </c>
      <c r="AE247" s="0" t="s">
        <v>96</v>
      </c>
      <c r="AH247" s="0" t="n">
        <v>20</v>
      </c>
      <c r="AJ247" s="0" t="n">
        <v>10</v>
      </c>
      <c r="AP247" s="0" t="n">
        <v>340000</v>
      </c>
      <c r="DB247" s="0" t="str">
        <f aca="false">IF($A247="","",IF($AE247&amp;""&lt;&gt;設定!$C$4,"対象外",IF($AH247=20,IF(OR($AJ247=10,$AJ247=11,$AJ247=18),"①病院一般",IF($AJ247=41,"②病院短期","対象外")),IF($AH247=5,IF($AJ247=30,"③特定消防","対象外"),IF(OR($AJ247=10,$AJ247=11,$AJ247=74),"④一般",IF(OR($AJ247=41,$AJ247=47),"⑤短期","対象外"))))))</f>
        <v>①病院一般</v>
      </c>
    </row>
    <row r="248" customFormat="false" ht="15" hidden="false" customHeight="false" outlineLevel="0" collapsed="false">
      <c r="A248" s="0" t="n">
        <v>21</v>
      </c>
      <c r="AA248" s="0" t="n">
        <v>21</v>
      </c>
      <c r="AB248" s="0" t="s">
        <v>438</v>
      </c>
      <c r="AD248" s="0" t="n">
        <v>12</v>
      </c>
      <c r="AE248" s="0" t="s">
        <v>96</v>
      </c>
      <c r="AH248" s="0" t="n">
        <v>1</v>
      </c>
      <c r="AJ248" s="0" t="n">
        <v>10</v>
      </c>
      <c r="AP248" s="0" t="n">
        <v>440000</v>
      </c>
      <c r="DB248" s="0" t="str">
        <f aca="false">IF($A248="","",IF($AE248&amp;""&lt;&gt;設定!$C$4,"対象外",IF($AH248=20,IF(OR($AJ248=10,$AJ248=11,$AJ248=18),"①病院一般",IF($AJ248=41,"②病院短期","対象外")),IF($AH248=5,IF($AJ248=30,"③特定消防","対象外"),IF(OR($AJ248=10,$AJ248=11,$AJ248=74),"④一般",IF(OR($AJ248=41,$AJ248=47),"⑤短期","対象外"))))))</f>
        <v>④一般</v>
      </c>
    </row>
    <row r="249" customFormat="false" ht="15" hidden="false" customHeight="false" outlineLevel="0" collapsed="false">
      <c r="A249" s="0" t="n">
        <v>21</v>
      </c>
      <c r="AA249" s="0" t="n">
        <v>21</v>
      </c>
      <c r="AB249" s="0" t="s">
        <v>438</v>
      </c>
      <c r="AD249" s="0" t="n">
        <v>11</v>
      </c>
      <c r="AE249" s="0" t="s">
        <v>96</v>
      </c>
      <c r="AH249" s="0" t="n">
        <v>1</v>
      </c>
      <c r="AJ249" s="0" t="n">
        <v>10</v>
      </c>
      <c r="AP249" s="0" t="n">
        <v>830000</v>
      </c>
      <c r="DB249" s="0" t="str">
        <f aca="false">IF($A249="","",IF($AE249&amp;""&lt;&gt;設定!$C$4,"対象外",IF($AH249=20,IF(OR($AJ249=10,$AJ249=11,$AJ249=18),"①病院一般",IF($AJ249=41,"②病院短期","対象外")),IF($AH249=5,IF($AJ249=30,"③特定消防","対象外"),IF(OR($AJ249=10,$AJ249=11,$AJ249=74),"④一般",IF(OR($AJ249=41,$AJ249=47),"⑤短期","対象外"))))))</f>
        <v>④一般</v>
      </c>
    </row>
    <row r="250" customFormat="false" ht="15" hidden="false" customHeight="false" outlineLevel="0" collapsed="false">
      <c r="A250" s="0" t="n">
        <v>21</v>
      </c>
      <c r="AA250" s="0" t="n">
        <v>24</v>
      </c>
      <c r="AB250" s="0" t="s">
        <v>439</v>
      </c>
      <c r="AD250" s="0" t="n">
        <v>11</v>
      </c>
      <c r="AE250" s="0" t="s">
        <v>96</v>
      </c>
      <c r="AH250" s="0" t="n">
        <v>1</v>
      </c>
      <c r="AJ250" s="0" t="n">
        <v>10</v>
      </c>
      <c r="AP250" s="0" t="n">
        <v>410000</v>
      </c>
      <c r="DB250" s="0" t="str">
        <f aca="false">IF($A250="","",IF($AE250&amp;""&lt;&gt;設定!$C$4,"対象外",IF($AH250=20,IF(OR($AJ250=10,$AJ250=11,$AJ250=18),"①病院一般",IF($AJ250=41,"②病院短期","対象外")),IF($AH250=5,IF($AJ250=30,"③特定消防","対象外"),IF(OR($AJ250=10,$AJ250=11,$AJ250=74),"④一般",IF(OR($AJ250=41,$AJ250=47),"⑤短期","対象外"))))))</f>
        <v>④一般</v>
      </c>
    </row>
    <row r="251" customFormat="false" ht="15" hidden="false" customHeight="false" outlineLevel="0" collapsed="false">
      <c r="A251" s="0" t="n">
        <v>21</v>
      </c>
      <c r="AA251" s="0" t="n">
        <v>21</v>
      </c>
      <c r="AB251" s="0" t="s">
        <v>440</v>
      </c>
      <c r="AD251" s="0" t="n">
        <v>12</v>
      </c>
      <c r="AE251" s="0" t="s">
        <v>96</v>
      </c>
      <c r="AH251" s="0" t="n">
        <v>20</v>
      </c>
      <c r="AJ251" s="0" t="n">
        <v>10</v>
      </c>
      <c r="AP251" s="0" t="n">
        <v>380000</v>
      </c>
      <c r="DB251" s="0" t="str">
        <f aca="false">IF($A251="","",IF($AE251&amp;""&lt;&gt;設定!$C$4,"対象外",IF($AH251=20,IF(OR($AJ251=10,$AJ251=11,$AJ251=18),"①病院一般",IF($AJ251=41,"②病院短期","対象外")),IF($AH251=5,IF($AJ251=30,"③特定消防","対象外"),IF(OR($AJ251=10,$AJ251=11,$AJ251=74),"④一般",IF(OR($AJ251=41,$AJ251=47),"⑤短期","対象外"))))))</f>
        <v>①病院一般</v>
      </c>
    </row>
    <row r="252" customFormat="false" ht="15" hidden="false" customHeight="false" outlineLevel="0" collapsed="false">
      <c r="A252" s="0" t="n">
        <v>21</v>
      </c>
      <c r="AA252" s="0" t="n">
        <v>21</v>
      </c>
      <c r="AB252" s="0" t="s">
        <v>441</v>
      </c>
      <c r="AD252" s="0" t="n">
        <v>12</v>
      </c>
      <c r="AE252" s="0" t="s">
        <v>96</v>
      </c>
      <c r="AH252" s="0" t="n">
        <v>11</v>
      </c>
      <c r="AJ252" s="0" t="n">
        <v>10</v>
      </c>
      <c r="AP252" s="0" t="n">
        <v>650000</v>
      </c>
      <c r="DB252" s="0" t="str">
        <f aca="false">IF($A252="","",IF($AE252&amp;""&lt;&gt;設定!$C$4,"対象外",IF($AH252=20,IF(OR($AJ252=10,$AJ252=11,$AJ252=18),"①病院一般",IF($AJ252=41,"②病院短期","対象外")),IF($AH252=5,IF($AJ252=30,"③特定消防","対象外"),IF(OR($AJ252=10,$AJ252=11,$AJ252=74),"④一般",IF(OR($AJ252=41,$AJ252=47),"⑤短期","対象外"))))))</f>
        <v>④一般</v>
      </c>
    </row>
    <row r="253" customFormat="false" ht="15" hidden="false" customHeight="false" outlineLevel="0" collapsed="false">
      <c r="A253" s="0" t="n">
        <v>21</v>
      </c>
      <c r="AA253" s="0" t="n">
        <v>21</v>
      </c>
      <c r="AB253" s="0" t="s">
        <v>442</v>
      </c>
      <c r="AD253" s="0" t="n">
        <v>12</v>
      </c>
      <c r="AE253" s="0" t="s">
        <v>96</v>
      </c>
      <c r="AH253" s="0" t="n">
        <v>11</v>
      </c>
      <c r="AJ253" s="0" t="n">
        <v>10</v>
      </c>
      <c r="AP253" s="0" t="n">
        <v>470000</v>
      </c>
      <c r="DB253" s="0" t="str">
        <f aca="false">IF($A253="","",IF($AE253&amp;""&lt;&gt;設定!$C$4,"対象外",IF($AH253=20,IF(OR($AJ253=10,$AJ253=11,$AJ253=18),"①病院一般",IF($AJ253=41,"②病院短期","対象外")),IF($AH253=5,IF($AJ253=30,"③特定消防","対象外"),IF(OR($AJ253=10,$AJ253=11,$AJ253=74),"④一般",IF(OR($AJ253=41,$AJ253=47),"⑤短期","対象外"))))))</f>
        <v>④一般</v>
      </c>
    </row>
    <row r="254" customFormat="false" ht="15" hidden="false" customHeight="false" outlineLevel="0" collapsed="false">
      <c r="A254" s="0" t="n">
        <v>21</v>
      </c>
      <c r="AA254" s="0" t="n">
        <v>24</v>
      </c>
      <c r="AB254" s="0" t="s">
        <v>426</v>
      </c>
      <c r="AD254" s="0" t="n">
        <v>11</v>
      </c>
      <c r="AE254" s="0" t="s">
        <v>96</v>
      </c>
      <c r="AH254" s="0" t="n">
        <v>20</v>
      </c>
      <c r="AJ254" s="0" t="n">
        <v>10</v>
      </c>
      <c r="AP254" s="0" t="n">
        <v>260000</v>
      </c>
      <c r="DB254" s="0" t="str">
        <f aca="false">IF($A254="","",IF($AE254&amp;""&lt;&gt;設定!$C$4,"対象外",IF($AH254=20,IF(OR($AJ254=10,$AJ254=11,$AJ254=18),"①病院一般",IF($AJ254=41,"②病院短期","対象外")),IF($AH254=5,IF($AJ254=30,"③特定消防","対象外"),IF(OR($AJ254=10,$AJ254=11,$AJ254=74),"④一般",IF(OR($AJ254=41,$AJ254=47),"⑤短期","対象外"))))))</f>
        <v>①病院一般</v>
      </c>
    </row>
    <row r="255" customFormat="false" ht="15" hidden="false" customHeight="false" outlineLevel="0" collapsed="false">
      <c r="A255" s="0" t="n">
        <v>21</v>
      </c>
      <c r="AA255" s="0" t="n">
        <v>21</v>
      </c>
      <c r="AB255" s="0" t="s">
        <v>443</v>
      </c>
      <c r="AD255" s="0" t="n">
        <v>12</v>
      </c>
      <c r="AE255" s="0" t="s">
        <v>96</v>
      </c>
      <c r="AH255" s="0" t="n">
        <v>1</v>
      </c>
      <c r="AJ255" s="0" t="n">
        <v>10</v>
      </c>
      <c r="AP255" s="0" t="n">
        <v>560000</v>
      </c>
      <c r="DB255" s="0" t="str">
        <f aca="false">IF($A255="","",IF($AE255&amp;""&lt;&gt;設定!$C$4,"対象外",IF($AH255=20,IF(OR($AJ255=10,$AJ255=11,$AJ255=18),"①病院一般",IF($AJ255=41,"②病院短期","対象外")),IF($AH255=5,IF($AJ255=30,"③特定消防","対象外"),IF(OR($AJ255=10,$AJ255=11,$AJ255=74),"④一般",IF(OR($AJ255=41,$AJ255=47),"⑤短期","対象外"))))))</f>
        <v>④一般</v>
      </c>
    </row>
    <row r="256" customFormat="false" ht="15" hidden="false" customHeight="false" outlineLevel="0" collapsed="false">
      <c r="A256" s="0" t="n">
        <v>21</v>
      </c>
      <c r="AA256" s="0" t="n">
        <v>24</v>
      </c>
      <c r="AB256" s="0" t="s">
        <v>444</v>
      </c>
      <c r="AD256" s="0" t="n">
        <v>12</v>
      </c>
      <c r="AE256" s="0" t="s">
        <v>96</v>
      </c>
      <c r="AH256" s="0" t="n">
        <v>20</v>
      </c>
      <c r="AJ256" s="0" t="n">
        <v>10</v>
      </c>
      <c r="AP256" s="0" t="n">
        <v>260000</v>
      </c>
      <c r="DB256" s="0" t="str">
        <f aca="false">IF($A256="","",IF($AE256&amp;""&lt;&gt;設定!$C$4,"対象外",IF($AH256=20,IF(OR($AJ256=10,$AJ256=11,$AJ256=18),"①病院一般",IF($AJ256=41,"②病院短期","対象外")),IF($AH256=5,IF($AJ256=30,"③特定消防","対象外"),IF(OR($AJ256=10,$AJ256=11,$AJ256=74),"④一般",IF(OR($AJ256=41,$AJ256=47),"⑤短期","対象外"))))))</f>
        <v>①病院一般</v>
      </c>
    </row>
    <row r="257" customFormat="false" ht="15" hidden="false" customHeight="false" outlineLevel="0" collapsed="false">
      <c r="A257" s="0" t="n">
        <v>21</v>
      </c>
      <c r="AA257" s="0" t="n">
        <v>21</v>
      </c>
      <c r="AB257" s="0" t="s">
        <v>445</v>
      </c>
      <c r="AD257" s="0" t="n">
        <v>12</v>
      </c>
      <c r="AE257" s="0" t="s">
        <v>96</v>
      </c>
      <c r="AH257" s="0" t="n">
        <v>20</v>
      </c>
      <c r="AJ257" s="0" t="n">
        <v>10</v>
      </c>
      <c r="AP257" s="0" t="n">
        <v>590000</v>
      </c>
      <c r="DB257" s="0" t="str">
        <f aca="false">IF($A257="","",IF($AE257&amp;""&lt;&gt;設定!$C$4,"対象外",IF($AH257=20,IF(OR($AJ257=10,$AJ257=11,$AJ257=18),"①病院一般",IF($AJ257=41,"②病院短期","対象外")),IF($AH257=5,IF($AJ257=30,"③特定消防","対象外"),IF(OR($AJ257=10,$AJ257=11,$AJ257=74),"④一般",IF(OR($AJ257=41,$AJ257=47),"⑤短期","対象外"))))))</f>
        <v>①病院一般</v>
      </c>
    </row>
    <row r="258" customFormat="false" ht="15" hidden="false" customHeight="false" outlineLevel="0" collapsed="false">
      <c r="A258" s="0" t="n">
        <v>21</v>
      </c>
      <c r="AA258" s="0" t="n">
        <v>21</v>
      </c>
      <c r="AB258" s="0" t="s">
        <v>446</v>
      </c>
      <c r="AD258" s="0" t="n">
        <v>12</v>
      </c>
      <c r="AE258" s="0" t="s">
        <v>96</v>
      </c>
      <c r="AH258" s="0" t="n">
        <v>1</v>
      </c>
      <c r="AJ258" s="0" t="n">
        <v>10</v>
      </c>
      <c r="AP258" s="0" t="n">
        <v>500000</v>
      </c>
      <c r="DB258" s="0" t="str">
        <f aca="false">IF($A258="","",IF($AE258&amp;""&lt;&gt;設定!$C$4,"対象外",IF($AH258=20,IF(OR($AJ258=10,$AJ258=11,$AJ258=18),"①病院一般",IF($AJ258=41,"②病院短期","対象外")),IF($AH258=5,IF($AJ258=30,"③特定消防","対象外"),IF(OR($AJ258=10,$AJ258=11,$AJ258=74),"④一般",IF(OR($AJ258=41,$AJ258=47),"⑤短期","対象外"))))))</f>
        <v>④一般</v>
      </c>
    </row>
    <row r="259" customFormat="false" ht="15" hidden="false" customHeight="false" outlineLevel="0" collapsed="false">
      <c r="A259" s="0" t="n">
        <v>21</v>
      </c>
      <c r="AA259" s="0" t="n">
        <v>21</v>
      </c>
      <c r="AB259" s="0" t="s">
        <v>446</v>
      </c>
      <c r="AD259" s="0" t="n">
        <v>12</v>
      </c>
      <c r="AE259" s="0" t="s">
        <v>96</v>
      </c>
      <c r="AH259" s="0" t="n">
        <v>1</v>
      </c>
      <c r="AJ259" s="0" t="n">
        <v>10</v>
      </c>
      <c r="AP259" s="0" t="n">
        <v>470000</v>
      </c>
      <c r="DB259" s="0" t="str">
        <f aca="false">IF($A259="","",IF($AE259&amp;""&lt;&gt;設定!$C$4,"対象外",IF($AH259=20,IF(OR($AJ259=10,$AJ259=11,$AJ259=18),"①病院一般",IF($AJ259=41,"②病院短期","対象外")),IF($AH259=5,IF($AJ259=30,"③特定消防","対象外"),IF(OR($AJ259=10,$AJ259=11,$AJ259=74),"④一般",IF(OR($AJ259=41,$AJ259=47),"⑤短期","対象外"))))))</f>
        <v>④一般</v>
      </c>
    </row>
    <row r="260" customFormat="false" ht="15" hidden="false" customHeight="false" outlineLevel="0" collapsed="false">
      <c r="A260" s="0" t="n">
        <v>21</v>
      </c>
      <c r="AA260" s="0" t="n">
        <v>21</v>
      </c>
      <c r="AB260" s="0" t="s">
        <v>446</v>
      </c>
      <c r="AD260" s="0" t="n">
        <v>12</v>
      </c>
      <c r="AE260" s="0" t="s">
        <v>96</v>
      </c>
      <c r="AH260" s="0" t="n">
        <v>20</v>
      </c>
      <c r="AJ260" s="0" t="n">
        <v>10</v>
      </c>
      <c r="AP260" s="0" t="n">
        <v>620000</v>
      </c>
      <c r="DB260" s="0" t="str">
        <f aca="false">IF($A260="","",IF($AE260&amp;""&lt;&gt;設定!$C$4,"対象外",IF($AH260=20,IF(OR($AJ260=10,$AJ260=11,$AJ260=18),"①病院一般",IF($AJ260=41,"②病院短期","対象外")),IF($AH260=5,IF($AJ260=30,"③特定消防","対象外"),IF(OR($AJ260=10,$AJ260=11,$AJ260=74),"④一般",IF(OR($AJ260=41,$AJ260=47),"⑤短期","対象外"))))))</f>
        <v>①病院一般</v>
      </c>
    </row>
    <row r="261" customFormat="false" ht="15" hidden="false" customHeight="false" outlineLevel="0" collapsed="false">
      <c r="A261" s="0" t="n">
        <v>21</v>
      </c>
      <c r="AA261" s="0" t="n">
        <v>21</v>
      </c>
      <c r="AB261" s="0" t="s">
        <v>446</v>
      </c>
      <c r="AD261" s="0" t="n">
        <v>12</v>
      </c>
      <c r="AE261" s="0" t="s">
        <v>96</v>
      </c>
      <c r="AH261" s="0" t="n">
        <v>11</v>
      </c>
      <c r="AJ261" s="0" t="n">
        <v>10</v>
      </c>
      <c r="AP261" s="0" t="n">
        <v>280000</v>
      </c>
      <c r="DB261" s="0" t="str">
        <f aca="false">IF($A261="","",IF($AE261&amp;""&lt;&gt;設定!$C$4,"対象外",IF($AH261=20,IF(OR($AJ261=10,$AJ261=11,$AJ261=18),"①病院一般",IF($AJ261=41,"②病院短期","対象外")),IF($AH261=5,IF($AJ261=30,"③特定消防","対象外"),IF(OR($AJ261=10,$AJ261=11,$AJ261=74),"④一般",IF(OR($AJ261=41,$AJ261=47),"⑤短期","対象外"))))))</f>
        <v>④一般</v>
      </c>
    </row>
    <row r="262" customFormat="false" ht="15" hidden="false" customHeight="false" outlineLevel="0" collapsed="false">
      <c r="A262" s="0" t="n">
        <v>21</v>
      </c>
      <c r="AA262" s="0" t="n">
        <v>21</v>
      </c>
      <c r="AB262" s="0" t="s">
        <v>446</v>
      </c>
      <c r="AD262" s="0" t="n">
        <v>11</v>
      </c>
      <c r="AE262" s="0" t="s">
        <v>96</v>
      </c>
      <c r="AH262" s="0" t="n">
        <v>1</v>
      </c>
      <c r="AJ262" s="0" t="n">
        <v>10</v>
      </c>
      <c r="AP262" s="0" t="n">
        <v>440000</v>
      </c>
      <c r="DB262" s="0" t="str">
        <f aca="false">IF($A262="","",IF($AE262&amp;""&lt;&gt;設定!$C$4,"対象外",IF($AH262=20,IF(OR($AJ262=10,$AJ262=11,$AJ262=18),"①病院一般",IF($AJ262=41,"②病院短期","対象外")),IF($AH262=5,IF($AJ262=30,"③特定消防","対象外"),IF(OR($AJ262=10,$AJ262=11,$AJ262=74),"④一般",IF(OR($AJ262=41,$AJ262=47),"⑤短期","対象外"))))))</f>
        <v>④一般</v>
      </c>
    </row>
    <row r="263" customFormat="false" ht="15" hidden="false" customHeight="false" outlineLevel="0" collapsed="false">
      <c r="A263" s="0" t="n">
        <v>21</v>
      </c>
      <c r="AA263" s="0" t="n">
        <v>21</v>
      </c>
      <c r="AB263" s="0" t="s">
        <v>447</v>
      </c>
      <c r="AD263" s="0" t="n">
        <v>12</v>
      </c>
      <c r="AE263" s="0" t="s">
        <v>96</v>
      </c>
      <c r="AH263" s="0" t="n">
        <v>20</v>
      </c>
      <c r="AJ263" s="0" t="n">
        <v>10</v>
      </c>
      <c r="AP263" s="0" t="n">
        <v>590000</v>
      </c>
      <c r="DB263" s="0" t="str">
        <f aca="false">IF($A263="","",IF($AE263&amp;""&lt;&gt;設定!$C$4,"対象外",IF($AH263=20,IF(OR($AJ263=10,$AJ263=11,$AJ263=18),"①病院一般",IF($AJ263=41,"②病院短期","対象外")),IF($AH263=5,IF($AJ263=30,"③特定消防","対象外"),IF(OR($AJ263=10,$AJ263=11,$AJ263=74),"④一般",IF(OR($AJ263=41,$AJ263=47),"⑤短期","対象外"))))))</f>
        <v>①病院一般</v>
      </c>
    </row>
    <row r="264" customFormat="false" ht="15" hidden="false" customHeight="false" outlineLevel="0" collapsed="false">
      <c r="A264" s="0" t="n">
        <v>21</v>
      </c>
      <c r="AA264" s="0" t="n">
        <v>21</v>
      </c>
      <c r="AB264" s="0" t="s">
        <v>441</v>
      </c>
      <c r="AD264" s="0" t="n">
        <v>12</v>
      </c>
      <c r="AE264" s="0" t="s">
        <v>96</v>
      </c>
      <c r="AH264" s="0" t="n">
        <v>1</v>
      </c>
      <c r="AJ264" s="0" t="n">
        <v>10</v>
      </c>
      <c r="AP264" s="0" t="n">
        <v>240000</v>
      </c>
      <c r="DB264" s="0" t="str">
        <f aca="false">IF($A264="","",IF($AE264&amp;""&lt;&gt;設定!$C$4,"対象外",IF($AH264=20,IF(OR($AJ264=10,$AJ264=11,$AJ264=18),"①病院一般",IF($AJ264=41,"②病院短期","対象外")),IF($AH264=5,IF($AJ264=30,"③特定消防","対象外"),IF(OR($AJ264=10,$AJ264=11,$AJ264=74),"④一般",IF(OR($AJ264=41,$AJ264=47),"⑤短期","対象外"))))))</f>
        <v>④一般</v>
      </c>
    </row>
    <row r="265" customFormat="false" ht="15" hidden="false" customHeight="false" outlineLevel="0" collapsed="false">
      <c r="A265" s="0" t="n">
        <v>21</v>
      </c>
      <c r="AA265" s="0" t="n">
        <v>21</v>
      </c>
      <c r="AB265" s="0" t="s">
        <v>441</v>
      </c>
      <c r="AD265" s="0" t="n">
        <v>12</v>
      </c>
      <c r="AE265" s="0" t="s">
        <v>96</v>
      </c>
      <c r="AH265" s="0" t="n">
        <v>1</v>
      </c>
      <c r="AJ265" s="0" t="n">
        <v>10</v>
      </c>
      <c r="AP265" s="0" t="n">
        <v>410000</v>
      </c>
      <c r="DB265" s="0" t="str">
        <f aca="false">IF($A265="","",IF($AE265&amp;""&lt;&gt;設定!$C$4,"対象外",IF($AH265=20,IF(OR($AJ265=10,$AJ265=11,$AJ265=18),"①病院一般",IF($AJ265=41,"②病院短期","対象外")),IF($AH265=5,IF($AJ265=30,"③特定消防","対象外"),IF(OR($AJ265=10,$AJ265=11,$AJ265=74),"④一般",IF(OR($AJ265=41,$AJ265=47),"⑤短期","対象外"))))))</f>
        <v>④一般</v>
      </c>
    </row>
    <row r="266" customFormat="false" ht="15" hidden="false" customHeight="false" outlineLevel="0" collapsed="false">
      <c r="A266" s="0" t="n">
        <v>21</v>
      </c>
      <c r="AA266" s="0" t="n">
        <v>21</v>
      </c>
      <c r="AB266" s="0" t="s">
        <v>441</v>
      </c>
      <c r="AD266" s="0" t="n">
        <v>12</v>
      </c>
      <c r="AE266" s="0" t="s">
        <v>96</v>
      </c>
      <c r="AH266" s="0" t="n">
        <v>11</v>
      </c>
      <c r="AJ266" s="0" t="n">
        <v>10</v>
      </c>
      <c r="AP266" s="0" t="n">
        <v>280000</v>
      </c>
      <c r="DB266" s="0" t="str">
        <f aca="false">IF($A266="","",IF($AE266&amp;""&lt;&gt;設定!$C$4,"対象外",IF($AH266=20,IF(OR($AJ266=10,$AJ266=11,$AJ266=18),"①病院一般",IF($AJ266=41,"②病院短期","対象外")),IF($AH266=5,IF($AJ266=30,"③特定消防","対象外"),IF(OR($AJ266=10,$AJ266=11,$AJ266=74),"④一般",IF(OR($AJ266=41,$AJ266=47),"⑤短期","対象外"))))))</f>
        <v>④一般</v>
      </c>
    </row>
    <row r="267" customFormat="false" ht="15" hidden="false" customHeight="false" outlineLevel="0" collapsed="false">
      <c r="A267" s="0" t="n">
        <v>21</v>
      </c>
      <c r="AA267" s="0" t="n">
        <v>21</v>
      </c>
      <c r="AB267" s="0" t="s">
        <v>441</v>
      </c>
      <c r="AD267" s="0" t="n">
        <v>12</v>
      </c>
      <c r="AE267" s="0" t="s">
        <v>96</v>
      </c>
      <c r="AH267" s="0" t="n">
        <v>11</v>
      </c>
      <c r="AJ267" s="0" t="n">
        <v>10</v>
      </c>
      <c r="AP267" s="0" t="n">
        <v>410000</v>
      </c>
      <c r="DB267" s="0" t="str">
        <f aca="false">IF($A267="","",IF($AE267&amp;""&lt;&gt;設定!$C$4,"対象外",IF($AH267=20,IF(OR($AJ267=10,$AJ267=11,$AJ267=18),"①病院一般",IF($AJ267=41,"②病院短期","対象外")),IF($AH267=5,IF($AJ267=30,"③特定消防","対象外"),IF(OR($AJ267=10,$AJ267=11,$AJ267=74),"④一般",IF(OR($AJ267=41,$AJ267=47),"⑤短期","対象外"))))))</f>
        <v>④一般</v>
      </c>
    </row>
    <row r="268" customFormat="false" ht="15" hidden="false" customHeight="false" outlineLevel="0" collapsed="false">
      <c r="A268" s="0" t="n">
        <v>21</v>
      </c>
      <c r="AA268" s="0" t="n">
        <v>21</v>
      </c>
      <c r="AB268" s="0" t="s">
        <v>441</v>
      </c>
      <c r="AD268" s="0" t="n">
        <v>11</v>
      </c>
      <c r="AE268" s="0" t="s">
        <v>96</v>
      </c>
      <c r="AH268" s="0" t="n">
        <v>11</v>
      </c>
      <c r="AJ268" s="0" t="n">
        <v>10</v>
      </c>
      <c r="AP268" s="0" t="n">
        <v>280000</v>
      </c>
      <c r="DB268" s="0" t="str">
        <f aca="false">IF($A268="","",IF($AE268&amp;""&lt;&gt;設定!$C$4,"対象外",IF($AH268=20,IF(OR($AJ268=10,$AJ268=11,$AJ268=18),"①病院一般",IF($AJ268=41,"②病院短期","対象外")),IF($AH268=5,IF($AJ268=30,"③特定消防","対象外"),IF(OR($AJ268=10,$AJ268=11,$AJ268=74),"④一般",IF(OR($AJ268=41,$AJ268=47),"⑤短期","対象外"))))))</f>
        <v>④一般</v>
      </c>
    </row>
    <row r="269" customFormat="false" ht="15" hidden="false" customHeight="false" outlineLevel="0" collapsed="false">
      <c r="A269" s="0" t="n">
        <v>21</v>
      </c>
      <c r="AA269" s="0" t="n">
        <v>21</v>
      </c>
      <c r="AB269" s="0" t="s">
        <v>448</v>
      </c>
      <c r="AD269" s="0" t="n">
        <v>12</v>
      </c>
      <c r="AE269" s="0" t="s">
        <v>96</v>
      </c>
      <c r="AH269" s="0" t="n">
        <v>1</v>
      </c>
      <c r="AJ269" s="0" t="n">
        <v>10</v>
      </c>
      <c r="AP269" s="0" t="n">
        <v>360000</v>
      </c>
      <c r="DB269" s="0" t="str">
        <f aca="false">IF($A269="","",IF($AE269&amp;""&lt;&gt;設定!$C$4,"対象外",IF($AH269=20,IF(OR($AJ269=10,$AJ269=11,$AJ269=18),"①病院一般",IF($AJ269=41,"②病院短期","対象外")),IF($AH269=5,IF($AJ269=30,"③特定消防","対象外"),IF(OR($AJ269=10,$AJ269=11,$AJ269=74),"④一般",IF(OR($AJ269=41,$AJ269=47),"⑤短期","対象外"))))))</f>
        <v>④一般</v>
      </c>
    </row>
    <row r="270" customFormat="false" ht="15" hidden="false" customHeight="false" outlineLevel="0" collapsed="false">
      <c r="A270" s="0" t="n">
        <v>21</v>
      </c>
      <c r="AA270" s="0" t="n">
        <v>21</v>
      </c>
      <c r="AB270" s="0" t="s">
        <v>448</v>
      </c>
      <c r="AD270" s="0" t="n">
        <v>11</v>
      </c>
      <c r="AE270" s="0" t="s">
        <v>96</v>
      </c>
      <c r="AH270" s="0" t="n">
        <v>1</v>
      </c>
      <c r="AJ270" s="0" t="n">
        <v>10</v>
      </c>
      <c r="AP270" s="0" t="n">
        <v>360000</v>
      </c>
      <c r="DB270" s="0" t="str">
        <f aca="false">IF($A270="","",IF($AE270&amp;""&lt;&gt;設定!$C$4,"対象外",IF($AH270=20,IF(OR($AJ270=10,$AJ270=11,$AJ270=18),"①病院一般",IF($AJ270=41,"②病院短期","対象外")),IF($AH270=5,IF($AJ270=30,"③特定消防","対象外"),IF(OR($AJ270=10,$AJ270=11,$AJ270=74),"④一般",IF(OR($AJ270=41,$AJ270=47),"⑤短期","対象外"))))))</f>
        <v>④一般</v>
      </c>
    </row>
    <row r="271" customFormat="false" ht="15" hidden="false" customHeight="false" outlineLevel="0" collapsed="false">
      <c r="A271" s="0" t="n">
        <v>21</v>
      </c>
      <c r="AA271" s="0" t="n">
        <v>21</v>
      </c>
      <c r="AB271" s="0" t="s">
        <v>448</v>
      </c>
      <c r="AD271" s="0" t="n">
        <v>11</v>
      </c>
      <c r="AE271" s="0" t="s">
        <v>96</v>
      </c>
      <c r="AH271" s="0" t="n">
        <v>1</v>
      </c>
      <c r="AJ271" s="0" t="n">
        <v>10</v>
      </c>
      <c r="AP271" s="0" t="n">
        <v>620000</v>
      </c>
      <c r="DB271" s="0" t="str">
        <f aca="false">IF($A271="","",IF($AE271&amp;""&lt;&gt;設定!$C$4,"対象外",IF($AH271=20,IF(OR($AJ271=10,$AJ271=11,$AJ271=18),"①病院一般",IF($AJ271=41,"②病院短期","対象外")),IF($AH271=5,IF($AJ271=30,"③特定消防","対象外"),IF(OR($AJ271=10,$AJ271=11,$AJ271=74),"④一般",IF(OR($AJ271=41,$AJ271=47),"⑤短期","対象外"))))))</f>
        <v>④一般</v>
      </c>
    </row>
    <row r="272" customFormat="false" ht="15" hidden="false" customHeight="false" outlineLevel="0" collapsed="false">
      <c r="A272" s="0" t="n">
        <v>21</v>
      </c>
      <c r="AA272" s="0" t="n">
        <v>21</v>
      </c>
      <c r="AB272" s="0" t="s">
        <v>449</v>
      </c>
      <c r="AD272" s="0" t="n">
        <v>12</v>
      </c>
      <c r="AE272" s="0" t="s">
        <v>96</v>
      </c>
      <c r="AH272" s="0" t="n">
        <v>20</v>
      </c>
      <c r="AJ272" s="0" t="n">
        <v>10</v>
      </c>
      <c r="AP272" s="0" t="n">
        <v>1030000</v>
      </c>
      <c r="DB272" s="0" t="str">
        <f aca="false">IF($A272="","",IF($AE272&amp;""&lt;&gt;設定!$C$4,"対象外",IF($AH272=20,IF(OR($AJ272=10,$AJ272=11,$AJ272=18),"①病院一般",IF($AJ272=41,"②病院短期","対象外")),IF($AH272=5,IF($AJ272=30,"③特定消防","対象外"),IF(OR($AJ272=10,$AJ272=11,$AJ272=74),"④一般",IF(OR($AJ272=41,$AJ272=47),"⑤短期","対象外"))))))</f>
        <v>①病院一般</v>
      </c>
    </row>
    <row r="273" customFormat="false" ht="15" hidden="false" customHeight="false" outlineLevel="0" collapsed="false">
      <c r="A273" s="0" t="n">
        <v>21</v>
      </c>
      <c r="AA273" s="0" t="n">
        <v>21</v>
      </c>
      <c r="AB273" s="0" t="s">
        <v>410</v>
      </c>
      <c r="AD273" s="0" t="n">
        <v>12</v>
      </c>
      <c r="AE273" s="0" t="s">
        <v>96</v>
      </c>
      <c r="AH273" s="0" t="n">
        <v>11</v>
      </c>
      <c r="AJ273" s="0" t="n">
        <v>10</v>
      </c>
      <c r="AP273" s="0" t="n">
        <v>530000</v>
      </c>
      <c r="DB273" s="0" t="str">
        <f aca="false">IF($A273="","",IF($AE273&amp;""&lt;&gt;設定!$C$4,"対象外",IF($AH273=20,IF(OR($AJ273=10,$AJ273=11,$AJ273=18),"①病院一般",IF($AJ273=41,"②病院短期","対象外")),IF($AH273=5,IF($AJ273=30,"③特定消防","対象外"),IF(OR($AJ273=10,$AJ273=11,$AJ273=74),"④一般",IF(OR($AJ273=41,$AJ273=47),"⑤短期","対象外"))))))</f>
        <v>④一般</v>
      </c>
    </row>
    <row r="274" customFormat="false" ht="15" hidden="false" customHeight="false" outlineLevel="0" collapsed="false">
      <c r="A274" s="0" t="n">
        <v>21</v>
      </c>
      <c r="AA274" s="0" t="n">
        <v>21</v>
      </c>
      <c r="AB274" s="0" t="s">
        <v>450</v>
      </c>
      <c r="AD274" s="0" t="n">
        <v>12</v>
      </c>
      <c r="AE274" s="0" t="s">
        <v>96</v>
      </c>
      <c r="AH274" s="0" t="n">
        <v>1</v>
      </c>
      <c r="AJ274" s="0" t="n">
        <v>10</v>
      </c>
      <c r="AP274" s="0" t="n">
        <v>500000</v>
      </c>
      <c r="DB274" s="0" t="str">
        <f aca="false">IF($A274="","",IF($AE274&amp;""&lt;&gt;設定!$C$4,"対象外",IF($AH274=20,IF(OR($AJ274=10,$AJ274=11,$AJ274=18),"①病院一般",IF($AJ274=41,"②病院短期","対象外")),IF($AH274=5,IF($AJ274=30,"③特定消防","対象外"),IF(OR($AJ274=10,$AJ274=11,$AJ274=74),"④一般",IF(OR($AJ274=41,$AJ274=47),"⑤短期","対象外"))))))</f>
        <v>④一般</v>
      </c>
    </row>
    <row r="275" customFormat="false" ht="15" hidden="false" customHeight="false" outlineLevel="0" collapsed="false">
      <c r="A275" s="0" t="n">
        <v>21</v>
      </c>
      <c r="AA275" s="0" t="n">
        <v>21</v>
      </c>
      <c r="AB275" s="0" t="s">
        <v>450</v>
      </c>
      <c r="AD275" s="0" t="n">
        <v>11</v>
      </c>
      <c r="AE275" s="0" t="s">
        <v>96</v>
      </c>
      <c r="AH275" s="0" t="n">
        <v>1</v>
      </c>
      <c r="AJ275" s="0" t="n">
        <v>10</v>
      </c>
      <c r="AP275" s="0" t="n">
        <v>340000</v>
      </c>
      <c r="DB275" s="0" t="str">
        <f aca="false">IF($A275="","",IF($AE275&amp;""&lt;&gt;設定!$C$4,"対象外",IF($AH275=20,IF(OR($AJ275=10,$AJ275=11,$AJ275=18),"①病院一般",IF($AJ275=41,"②病院短期","対象外")),IF($AH275=5,IF($AJ275=30,"③特定消防","対象外"),IF(OR($AJ275=10,$AJ275=11,$AJ275=74),"④一般",IF(OR($AJ275=41,$AJ275=47),"⑤短期","対象外"))))))</f>
        <v>④一般</v>
      </c>
    </row>
    <row r="276" customFormat="false" ht="15" hidden="false" customHeight="false" outlineLevel="0" collapsed="false">
      <c r="A276" s="0" t="n">
        <v>21</v>
      </c>
      <c r="AA276" s="0" t="n">
        <v>21</v>
      </c>
      <c r="AB276" s="0" t="s">
        <v>450</v>
      </c>
      <c r="AD276" s="0" t="n">
        <v>11</v>
      </c>
      <c r="AE276" s="0" t="s">
        <v>96</v>
      </c>
      <c r="AH276" s="0" t="n">
        <v>1</v>
      </c>
      <c r="AJ276" s="0" t="n">
        <v>10</v>
      </c>
      <c r="AP276" s="0" t="n">
        <v>410000</v>
      </c>
      <c r="DB276" s="0" t="str">
        <f aca="false">IF($A276="","",IF($AE276&amp;""&lt;&gt;設定!$C$4,"対象外",IF($AH276=20,IF(OR($AJ276=10,$AJ276=11,$AJ276=18),"①病院一般",IF($AJ276=41,"②病院短期","対象外")),IF($AH276=5,IF($AJ276=30,"③特定消防","対象外"),IF(OR($AJ276=10,$AJ276=11,$AJ276=74),"④一般",IF(OR($AJ276=41,$AJ276=47),"⑤短期","対象外"))))))</f>
        <v>④一般</v>
      </c>
    </row>
    <row r="277" customFormat="false" ht="15" hidden="false" customHeight="false" outlineLevel="0" collapsed="false">
      <c r="A277" s="0" t="n">
        <v>21</v>
      </c>
      <c r="AA277" s="0" t="n">
        <v>21</v>
      </c>
      <c r="AB277" s="0" t="s">
        <v>451</v>
      </c>
      <c r="AD277" s="0" t="n">
        <v>12</v>
      </c>
      <c r="AE277" s="0" t="s">
        <v>299</v>
      </c>
      <c r="AH277" s="0" t="n">
        <v>1</v>
      </c>
      <c r="AJ277" s="0" t="n">
        <v>10</v>
      </c>
      <c r="AP277" s="0" t="n">
        <v>440000</v>
      </c>
      <c r="DB277" s="0" t="str">
        <f aca="false">IF($A277="","",IF($AE277&amp;""&lt;&gt;設定!$C$4,"対象外",IF($AH277=20,IF(OR($AJ277=10,$AJ277=11,$AJ277=18),"①病院一般",IF($AJ277=41,"②病院短期","対象外")),IF($AH277=5,IF($AJ277=30,"③特定消防","対象外"),IF(OR($AJ277=10,$AJ277=11,$AJ277=74),"④一般",IF(OR($AJ277=41,$AJ277=47),"⑤短期","対象外"))))))</f>
        <v>対象外</v>
      </c>
    </row>
    <row r="278" customFormat="false" ht="15" hidden="false" customHeight="false" outlineLevel="0" collapsed="false">
      <c r="A278" s="0" t="n">
        <v>21</v>
      </c>
      <c r="AA278" s="0" t="n">
        <v>24</v>
      </c>
      <c r="AB278" s="0" t="s">
        <v>452</v>
      </c>
      <c r="AD278" s="0" t="n">
        <v>12</v>
      </c>
      <c r="AE278" s="0" t="s">
        <v>96</v>
      </c>
      <c r="AH278" s="0" t="n">
        <v>20</v>
      </c>
      <c r="AJ278" s="0" t="n">
        <v>10</v>
      </c>
      <c r="AP278" s="0" t="n">
        <v>260000</v>
      </c>
      <c r="DB278" s="0" t="str">
        <f aca="false">IF($A278="","",IF($AE278&amp;""&lt;&gt;設定!$C$4,"対象外",IF($AH278=20,IF(OR($AJ278=10,$AJ278=11,$AJ278=18),"①病院一般",IF($AJ278=41,"②病院短期","対象外")),IF($AH278=5,IF($AJ278=30,"③特定消防","対象外"),IF(OR($AJ278=10,$AJ278=11,$AJ278=74),"④一般",IF(OR($AJ278=41,$AJ278=47),"⑤短期","対象外"))))))</f>
        <v>①病院一般</v>
      </c>
    </row>
    <row r="279" customFormat="false" ht="15" hidden="false" customHeight="false" outlineLevel="0" collapsed="false">
      <c r="A279" s="0" t="n">
        <v>21</v>
      </c>
      <c r="AA279" s="0" t="n">
        <v>21</v>
      </c>
      <c r="AB279" s="0" t="s">
        <v>453</v>
      </c>
      <c r="AD279" s="0" t="n">
        <v>12</v>
      </c>
      <c r="AE279" s="0" t="s">
        <v>96</v>
      </c>
      <c r="AH279" s="0" t="n">
        <v>1</v>
      </c>
      <c r="AJ279" s="0" t="n">
        <v>10</v>
      </c>
      <c r="AP279" s="0" t="n">
        <v>220000</v>
      </c>
      <c r="DB279" s="0" t="str">
        <f aca="false">IF($A279="","",IF($AE279&amp;""&lt;&gt;設定!$C$4,"対象外",IF($AH279=20,IF(OR($AJ279=10,$AJ279=11,$AJ279=18),"①病院一般",IF($AJ279=41,"②病院短期","対象外")),IF($AH279=5,IF($AJ279=30,"③特定消防","対象外"),IF(OR($AJ279=10,$AJ279=11,$AJ279=74),"④一般",IF(OR($AJ279=41,$AJ279=47),"⑤短期","対象外"))))))</f>
        <v>④一般</v>
      </c>
    </row>
    <row r="280" customFormat="false" ht="15" hidden="false" customHeight="false" outlineLevel="0" collapsed="false">
      <c r="A280" s="0" t="n">
        <v>21</v>
      </c>
      <c r="AA280" s="0" t="n">
        <v>21</v>
      </c>
      <c r="AB280" s="0" t="s">
        <v>454</v>
      </c>
      <c r="AD280" s="0" t="n">
        <v>12</v>
      </c>
      <c r="AE280" s="0" t="s">
        <v>96</v>
      </c>
      <c r="AH280" s="0" t="n">
        <v>20</v>
      </c>
      <c r="AJ280" s="0" t="n">
        <v>10</v>
      </c>
      <c r="AP280" s="0" t="n">
        <v>410000</v>
      </c>
      <c r="DB280" s="0" t="str">
        <f aca="false">IF($A280="","",IF($AE280&amp;""&lt;&gt;設定!$C$4,"対象外",IF($AH280=20,IF(OR($AJ280=10,$AJ280=11,$AJ280=18),"①病院一般",IF($AJ280=41,"②病院短期","対象外")),IF($AH280=5,IF($AJ280=30,"③特定消防","対象外"),IF(OR($AJ280=10,$AJ280=11,$AJ280=74),"④一般",IF(OR($AJ280=41,$AJ280=47),"⑤短期","対象外"))))))</f>
        <v>①病院一般</v>
      </c>
    </row>
    <row r="281" customFormat="false" ht="15" hidden="false" customHeight="false" outlineLevel="0" collapsed="false">
      <c r="A281" s="0" t="n">
        <v>21</v>
      </c>
      <c r="AA281" s="0" t="n">
        <v>21</v>
      </c>
      <c r="AB281" s="0" t="s">
        <v>455</v>
      </c>
      <c r="AD281" s="0" t="n">
        <v>12</v>
      </c>
      <c r="AE281" s="0" t="s">
        <v>96</v>
      </c>
      <c r="AH281" s="0" t="n">
        <v>32</v>
      </c>
      <c r="AJ281" s="0" t="n">
        <v>74</v>
      </c>
      <c r="AP281" s="0" t="n">
        <v>980000</v>
      </c>
      <c r="DB281" s="0" t="str">
        <f aca="false">IF($A281="","",IF($AE281&amp;""&lt;&gt;設定!$C$4,"対象外",IF($AH281=20,IF(OR($AJ281=10,$AJ281=11,$AJ281=18),"①病院一般",IF($AJ281=41,"②病院短期","対象外")),IF($AH281=5,IF($AJ281=30,"③特定消防","対象外"),IF(OR($AJ281=10,$AJ281=11,$AJ281=74),"④一般",IF(OR($AJ281=41,$AJ281=47),"⑤短期","対象外"))))))</f>
        <v>④一般</v>
      </c>
    </row>
    <row r="282" customFormat="false" ht="15" hidden="false" customHeight="false" outlineLevel="0" collapsed="false">
      <c r="A282" s="0" t="n">
        <v>21</v>
      </c>
      <c r="AA282" s="0" t="n">
        <v>21</v>
      </c>
      <c r="AB282" s="0" t="s">
        <v>456</v>
      </c>
      <c r="AD282" s="0" t="n">
        <v>12</v>
      </c>
      <c r="AE282" s="0" t="s">
        <v>96</v>
      </c>
      <c r="AH282" s="0" t="n">
        <v>1</v>
      </c>
      <c r="AJ282" s="0" t="n">
        <v>10</v>
      </c>
      <c r="AP282" s="0" t="n">
        <v>530000</v>
      </c>
      <c r="DB282" s="0" t="str">
        <f aca="false">IF($A282="","",IF($AE282&amp;""&lt;&gt;設定!$C$4,"対象外",IF($AH282=20,IF(OR($AJ282=10,$AJ282=11,$AJ282=18),"①病院一般",IF($AJ282=41,"②病院短期","対象外")),IF($AH282=5,IF($AJ282=30,"③特定消防","対象外"),IF(OR($AJ282=10,$AJ282=11,$AJ282=74),"④一般",IF(OR($AJ282=41,$AJ282=47),"⑤短期","対象外"))))))</f>
        <v>④一般</v>
      </c>
    </row>
    <row r="283" customFormat="false" ht="15" hidden="false" customHeight="false" outlineLevel="0" collapsed="false">
      <c r="A283" s="0" t="n">
        <v>21</v>
      </c>
      <c r="AA283" s="0" t="n">
        <v>21</v>
      </c>
      <c r="AB283" s="0" t="s">
        <v>456</v>
      </c>
      <c r="AD283" s="0" t="n">
        <v>12</v>
      </c>
      <c r="AE283" s="0" t="s">
        <v>303</v>
      </c>
      <c r="AH283" s="0" t="n">
        <v>1</v>
      </c>
      <c r="AJ283" s="0" t="n">
        <v>10</v>
      </c>
      <c r="AP283" s="0" t="n">
        <v>220000</v>
      </c>
      <c r="DB283" s="0" t="str">
        <f aca="false">IF($A283="","",IF($AE283&amp;""&lt;&gt;設定!$C$4,"対象外",IF($AH283=20,IF(OR($AJ283=10,$AJ283=11,$AJ283=18),"①病院一般",IF($AJ283=41,"②病院短期","対象外")),IF($AH283=5,IF($AJ283=30,"③特定消防","対象外"),IF(OR($AJ283=10,$AJ283=11,$AJ283=74),"④一般",IF(OR($AJ283=41,$AJ283=47),"⑤短期","対象外"))))))</f>
        <v>対象外</v>
      </c>
    </row>
    <row r="284" customFormat="false" ht="15" hidden="false" customHeight="false" outlineLevel="0" collapsed="false">
      <c r="A284" s="0" t="n">
        <v>21</v>
      </c>
      <c r="AA284" s="0" t="n">
        <v>21</v>
      </c>
      <c r="AB284" s="0" t="s">
        <v>456</v>
      </c>
      <c r="AD284" s="0" t="n">
        <v>12</v>
      </c>
      <c r="AE284" s="0" t="s">
        <v>354</v>
      </c>
      <c r="AH284" s="0" t="n">
        <v>20</v>
      </c>
      <c r="AJ284" s="0" t="n">
        <v>10</v>
      </c>
      <c r="AP284" s="0" t="n">
        <v>300000</v>
      </c>
      <c r="DB284" s="0" t="str">
        <f aca="false">IF($A284="","",IF($AE284&amp;""&lt;&gt;設定!$C$4,"対象外",IF($AH284=20,IF(OR($AJ284=10,$AJ284=11,$AJ284=18),"①病院一般",IF($AJ284=41,"②病院短期","対象外")),IF($AH284=5,IF($AJ284=30,"③特定消防","対象外"),IF(OR($AJ284=10,$AJ284=11,$AJ284=74),"④一般",IF(OR($AJ284=41,$AJ284=47),"⑤短期","対象外"))))))</f>
        <v>対象外</v>
      </c>
    </row>
    <row r="285" customFormat="false" ht="15" hidden="false" customHeight="false" outlineLevel="0" collapsed="false">
      <c r="A285" s="0" t="n">
        <v>21</v>
      </c>
      <c r="AA285" s="0" t="n">
        <v>21</v>
      </c>
      <c r="AB285" s="0" t="s">
        <v>457</v>
      </c>
      <c r="AD285" s="0" t="n">
        <v>12</v>
      </c>
      <c r="AE285" s="0" t="s">
        <v>96</v>
      </c>
      <c r="AH285" s="0" t="n">
        <v>1</v>
      </c>
      <c r="AJ285" s="0" t="n">
        <v>10</v>
      </c>
      <c r="AP285" s="0" t="n">
        <v>360000</v>
      </c>
      <c r="DB285" s="0" t="str">
        <f aca="false">IF($A285="","",IF($AE285&amp;""&lt;&gt;設定!$C$4,"対象外",IF($AH285=20,IF(OR($AJ285=10,$AJ285=11,$AJ285=18),"①病院一般",IF($AJ285=41,"②病院短期","対象外")),IF($AH285=5,IF($AJ285=30,"③特定消防","対象外"),IF(OR($AJ285=10,$AJ285=11,$AJ285=74),"④一般",IF(OR($AJ285=41,$AJ285=47),"⑤短期","対象外"))))))</f>
        <v>④一般</v>
      </c>
    </row>
    <row r="286" customFormat="false" ht="15" hidden="false" customHeight="false" outlineLevel="0" collapsed="false">
      <c r="A286" s="0" t="n">
        <v>21</v>
      </c>
      <c r="AA286" s="0" t="n">
        <v>21</v>
      </c>
      <c r="AB286" s="0" t="s">
        <v>457</v>
      </c>
      <c r="AD286" s="0" t="n">
        <v>12</v>
      </c>
      <c r="AE286" s="0" t="s">
        <v>96</v>
      </c>
      <c r="AH286" s="0" t="n">
        <v>1</v>
      </c>
      <c r="AJ286" s="0" t="n">
        <v>10</v>
      </c>
      <c r="AP286" s="0" t="n">
        <v>240000</v>
      </c>
      <c r="DB286" s="0" t="str">
        <f aca="false">IF($A286="","",IF($AE286&amp;""&lt;&gt;設定!$C$4,"対象外",IF($AH286=20,IF(OR($AJ286=10,$AJ286=11,$AJ286=18),"①病院一般",IF($AJ286=41,"②病院短期","対象外")),IF($AH286=5,IF($AJ286=30,"③特定消防","対象外"),IF(OR($AJ286=10,$AJ286=11,$AJ286=74),"④一般",IF(OR($AJ286=41,$AJ286=47),"⑤短期","対象外"))))))</f>
        <v>④一般</v>
      </c>
    </row>
    <row r="287" customFormat="false" ht="15" hidden="false" customHeight="false" outlineLevel="0" collapsed="false">
      <c r="A287" s="0" t="n">
        <v>21</v>
      </c>
      <c r="AA287" s="0" t="n">
        <v>21</v>
      </c>
      <c r="AB287" s="0" t="s">
        <v>458</v>
      </c>
      <c r="AD287" s="0" t="n">
        <v>12</v>
      </c>
      <c r="AE287" s="0" t="s">
        <v>96</v>
      </c>
      <c r="AH287" s="0" t="n">
        <v>11</v>
      </c>
      <c r="AJ287" s="0" t="n">
        <v>10</v>
      </c>
      <c r="AP287" s="0" t="n">
        <v>620000</v>
      </c>
      <c r="DB287" s="0" t="str">
        <f aca="false">IF($A287="","",IF($AE287&amp;""&lt;&gt;設定!$C$4,"対象外",IF($AH287=20,IF(OR($AJ287=10,$AJ287=11,$AJ287=18),"①病院一般",IF($AJ287=41,"②病院短期","対象外")),IF($AH287=5,IF($AJ287=30,"③特定消防","対象外"),IF(OR($AJ287=10,$AJ287=11,$AJ287=74),"④一般",IF(OR($AJ287=41,$AJ287=47),"⑤短期","対象外"))))))</f>
        <v>④一般</v>
      </c>
    </row>
    <row r="288" customFormat="false" ht="15" hidden="false" customHeight="false" outlineLevel="0" collapsed="false">
      <c r="A288" s="0" t="n">
        <v>21</v>
      </c>
      <c r="AA288" s="0" t="n">
        <v>21</v>
      </c>
      <c r="AB288" s="0" t="s">
        <v>459</v>
      </c>
      <c r="AD288" s="0" t="n">
        <v>12</v>
      </c>
      <c r="AE288" s="0" t="s">
        <v>294</v>
      </c>
      <c r="AH288" s="0" t="n">
        <v>1</v>
      </c>
      <c r="AJ288" s="0" t="n">
        <v>10</v>
      </c>
      <c r="AP288" s="0" t="n">
        <v>500000</v>
      </c>
      <c r="DB288" s="0" t="str">
        <f aca="false">IF($A288="","",IF($AE288&amp;""&lt;&gt;設定!$C$4,"対象外",IF($AH288=20,IF(OR($AJ288=10,$AJ288=11,$AJ288=18),"①病院一般",IF($AJ288=41,"②病院短期","対象外")),IF($AH288=5,IF($AJ288=30,"③特定消防","対象外"),IF(OR($AJ288=10,$AJ288=11,$AJ288=74),"④一般",IF(OR($AJ288=41,$AJ288=47),"⑤短期","対象外"))))))</f>
        <v>対象外</v>
      </c>
    </row>
    <row r="289" customFormat="false" ht="15" hidden="false" customHeight="false" outlineLevel="0" collapsed="false">
      <c r="A289" s="0" t="n">
        <v>21</v>
      </c>
      <c r="AA289" s="0" t="n">
        <v>21</v>
      </c>
      <c r="AB289" s="0" t="s">
        <v>459</v>
      </c>
      <c r="AD289" s="0" t="n">
        <v>12</v>
      </c>
      <c r="AE289" s="0" t="s">
        <v>96</v>
      </c>
      <c r="AH289" s="0" t="n">
        <v>20</v>
      </c>
      <c r="AJ289" s="0" t="n">
        <v>10</v>
      </c>
      <c r="AP289" s="0" t="n">
        <v>360000</v>
      </c>
      <c r="DB289" s="0" t="str">
        <f aca="false">IF($A289="","",IF($AE289&amp;""&lt;&gt;設定!$C$4,"対象外",IF($AH289=20,IF(OR($AJ289=10,$AJ289=11,$AJ289=18),"①病院一般",IF($AJ289=41,"②病院短期","対象外")),IF($AH289=5,IF($AJ289=30,"③特定消防","対象外"),IF(OR($AJ289=10,$AJ289=11,$AJ289=74),"④一般",IF(OR($AJ289=41,$AJ289=47),"⑤短期","対象外"))))))</f>
        <v>①病院一般</v>
      </c>
    </row>
    <row r="290" customFormat="false" ht="15" hidden="false" customHeight="false" outlineLevel="0" collapsed="false">
      <c r="A290" s="0" t="n">
        <v>21</v>
      </c>
      <c r="AA290" s="0" t="n">
        <v>21</v>
      </c>
      <c r="AB290" s="0" t="s">
        <v>459</v>
      </c>
      <c r="AD290" s="0" t="n">
        <v>12</v>
      </c>
      <c r="AE290" s="0" t="s">
        <v>96</v>
      </c>
      <c r="AH290" s="0" t="n">
        <v>1</v>
      </c>
      <c r="AJ290" s="0" t="n">
        <v>10</v>
      </c>
      <c r="AP290" s="0" t="n">
        <v>500000</v>
      </c>
      <c r="DB290" s="0" t="str">
        <f aca="false">IF($A290="","",IF($AE290&amp;""&lt;&gt;設定!$C$4,"対象外",IF($AH290=20,IF(OR($AJ290=10,$AJ290=11,$AJ290=18),"①病院一般",IF($AJ290=41,"②病院短期","対象外")),IF($AH290=5,IF($AJ290=30,"③特定消防","対象外"),IF(OR($AJ290=10,$AJ290=11,$AJ290=74),"④一般",IF(OR($AJ290=41,$AJ290=47),"⑤短期","対象外"))))))</f>
        <v>④一般</v>
      </c>
    </row>
    <row r="291" customFormat="false" ht="15" hidden="false" customHeight="false" outlineLevel="0" collapsed="false">
      <c r="A291" s="0" t="n">
        <v>21</v>
      </c>
      <c r="AA291" s="0" t="n">
        <v>21</v>
      </c>
      <c r="AB291" s="0" t="s">
        <v>459</v>
      </c>
      <c r="AD291" s="0" t="n">
        <v>12</v>
      </c>
      <c r="AE291" s="0" t="s">
        <v>378</v>
      </c>
      <c r="AH291" s="0" t="n">
        <v>1</v>
      </c>
      <c r="AJ291" s="0" t="n">
        <v>10</v>
      </c>
      <c r="AP291" s="0" t="n">
        <v>190000</v>
      </c>
      <c r="DB291" s="0" t="str">
        <f aca="false">IF($A291="","",IF($AE291&amp;""&lt;&gt;設定!$C$4,"対象外",IF($AH291=20,IF(OR($AJ291=10,$AJ291=11,$AJ291=18),"①病院一般",IF($AJ291=41,"②病院短期","対象外")),IF($AH291=5,IF($AJ291=30,"③特定消防","対象外"),IF(OR($AJ291=10,$AJ291=11,$AJ291=74),"④一般",IF(OR($AJ291=41,$AJ291=47),"⑤短期","対象外"))))))</f>
        <v>対象外</v>
      </c>
    </row>
    <row r="292" customFormat="false" ht="15" hidden="false" customHeight="false" outlineLevel="0" collapsed="false">
      <c r="A292" s="0" t="n">
        <v>21</v>
      </c>
      <c r="AA292" s="0" t="n">
        <v>21</v>
      </c>
      <c r="AB292" s="0" t="s">
        <v>459</v>
      </c>
      <c r="AD292" s="0" t="n">
        <v>12</v>
      </c>
      <c r="AE292" s="0" t="s">
        <v>96</v>
      </c>
      <c r="AH292" s="0" t="n">
        <v>1</v>
      </c>
      <c r="AJ292" s="0" t="n">
        <v>10</v>
      </c>
      <c r="AP292" s="0" t="n">
        <v>380000</v>
      </c>
      <c r="DB292" s="0" t="str">
        <f aca="false">IF($A292="","",IF($AE292&amp;""&lt;&gt;設定!$C$4,"対象外",IF($AH292=20,IF(OR($AJ292=10,$AJ292=11,$AJ292=18),"①病院一般",IF($AJ292=41,"②病院短期","対象外")),IF($AH292=5,IF($AJ292=30,"③特定消防","対象外"),IF(OR($AJ292=10,$AJ292=11,$AJ292=74),"④一般",IF(OR($AJ292=41,$AJ292=47),"⑤短期","対象外"))))))</f>
        <v>④一般</v>
      </c>
    </row>
    <row r="293" customFormat="false" ht="15" hidden="false" customHeight="false" outlineLevel="0" collapsed="false">
      <c r="A293" s="0" t="n">
        <v>21</v>
      </c>
      <c r="AA293" s="0" t="n">
        <v>21</v>
      </c>
      <c r="AB293" s="0" t="s">
        <v>459</v>
      </c>
      <c r="AD293" s="0" t="n">
        <v>12</v>
      </c>
      <c r="AE293" s="0" t="s">
        <v>96</v>
      </c>
      <c r="AH293" s="0" t="n">
        <v>1</v>
      </c>
      <c r="AJ293" s="0" t="n">
        <v>10</v>
      </c>
      <c r="AP293" s="0" t="n">
        <v>410000</v>
      </c>
      <c r="DB293" s="0" t="str">
        <f aca="false">IF($A293="","",IF($AE293&amp;""&lt;&gt;設定!$C$4,"対象外",IF($AH293=20,IF(OR($AJ293=10,$AJ293=11,$AJ293=18),"①病院一般",IF($AJ293=41,"②病院短期","対象外")),IF($AH293=5,IF($AJ293=30,"③特定消防","対象外"),IF(OR($AJ293=10,$AJ293=11,$AJ293=74),"④一般",IF(OR($AJ293=41,$AJ293=47),"⑤短期","対象外"))))))</f>
        <v>④一般</v>
      </c>
    </row>
    <row r="294" customFormat="false" ht="15" hidden="false" customHeight="false" outlineLevel="0" collapsed="false">
      <c r="A294" s="0" t="n">
        <v>21</v>
      </c>
      <c r="AA294" s="0" t="n">
        <v>21</v>
      </c>
      <c r="AB294" s="0" t="s">
        <v>459</v>
      </c>
      <c r="AD294" s="0" t="n">
        <v>12</v>
      </c>
      <c r="AE294" s="0" t="s">
        <v>96</v>
      </c>
      <c r="AH294" s="0" t="n">
        <v>1</v>
      </c>
      <c r="AJ294" s="0" t="n">
        <v>10</v>
      </c>
      <c r="AP294" s="0" t="n">
        <v>380000</v>
      </c>
      <c r="DB294" s="0" t="str">
        <f aca="false">IF($A294="","",IF($AE294&amp;""&lt;&gt;設定!$C$4,"対象外",IF($AH294=20,IF(OR($AJ294=10,$AJ294=11,$AJ294=18),"①病院一般",IF($AJ294=41,"②病院短期","対象外")),IF($AH294=5,IF($AJ294=30,"③特定消防","対象外"),IF(OR($AJ294=10,$AJ294=11,$AJ294=74),"④一般",IF(OR($AJ294=41,$AJ294=47),"⑤短期","対象外"))))))</f>
        <v>④一般</v>
      </c>
    </row>
    <row r="295" customFormat="false" ht="15" hidden="false" customHeight="false" outlineLevel="0" collapsed="false">
      <c r="A295" s="0" t="n">
        <v>21</v>
      </c>
      <c r="AA295" s="0" t="n">
        <v>21</v>
      </c>
      <c r="AB295" s="0" t="s">
        <v>459</v>
      </c>
      <c r="AD295" s="0" t="n">
        <v>12</v>
      </c>
      <c r="AE295" s="0" t="s">
        <v>96</v>
      </c>
      <c r="AH295" s="0" t="n">
        <v>1</v>
      </c>
      <c r="AJ295" s="0" t="n">
        <v>10</v>
      </c>
      <c r="AP295" s="0" t="n">
        <v>410000</v>
      </c>
      <c r="DB295" s="0" t="str">
        <f aca="false">IF($A295="","",IF($AE295&amp;""&lt;&gt;設定!$C$4,"対象外",IF($AH295=20,IF(OR($AJ295=10,$AJ295=11,$AJ295=18),"①病院一般",IF($AJ295=41,"②病院短期","対象外")),IF($AH295=5,IF($AJ295=30,"③特定消防","対象外"),IF(OR($AJ295=10,$AJ295=11,$AJ295=74),"④一般",IF(OR($AJ295=41,$AJ295=47),"⑤短期","対象外"))))))</f>
        <v>④一般</v>
      </c>
    </row>
    <row r="296" customFormat="false" ht="15" hidden="false" customHeight="false" outlineLevel="0" collapsed="false">
      <c r="A296" s="0" t="n">
        <v>21</v>
      </c>
      <c r="AA296" s="0" t="n">
        <v>21</v>
      </c>
      <c r="AB296" s="0" t="s">
        <v>459</v>
      </c>
      <c r="AD296" s="0" t="n">
        <v>12</v>
      </c>
      <c r="AE296" s="0" t="s">
        <v>96</v>
      </c>
      <c r="AH296" s="0" t="n">
        <v>1</v>
      </c>
      <c r="AJ296" s="0" t="n">
        <v>10</v>
      </c>
      <c r="AP296" s="0" t="n">
        <v>220000</v>
      </c>
      <c r="DB296" s="0" t="str">
        <f aca="false">IF($A296="","",IF($AE296&amp;""&lt;&gt;設定!$C$4,"対象外",IF($AH296=20,IF(OR($AJ296=10,$AJ296=11,$AJ296=18),"①病院一般",IF($AJ296=41,"②病院短期","対象外")),IF($AH296=5,IF($AJ296=30,"③特定消防","対象外"),IF(OR($AJ296=10,$AJ296=11,$AJ296=74),"④一般",IF(OR($AJ296=41,$AJ296=47),"⑤短期","対象外"))))))</f>
        <v>④一般</v>
      </c>
    </row>
    <row r="297" customFormat="false" ht="15" hidden="false" customHeight="false" outlineLevel="0" collapsed="false">
      <c r="A297" s="0" t="n">
        <v>21</v>
      </c>
      <c r="AA297" s="0" t="n">
        <v>21</v>
      </c>
      <c r="AB297" s="0" t="s">
        <v>459</v>
      </c>
      <c r="AD297" s="0" t="n">
        <v>12</v>
      </c>
      <c r="AE297" s="0" t="s">
        <v>96</v>
      </c>
      <c r="AH297" s="0" t="n">
        <v>1</v>
      </c>
      <c r="AJ297" s="0" t="n">
        <v>10</v>
      </c>
      <c r="AP297" s="0" t="n">
        <v>440000</v>
      </c>
      <c r="DB297" s="0" t="str">
        <f aca="false">IF($A297="","",IF($AE297&amp;""&lt;&gt;設定!$C$4,"対象外",IF($AH297=20,IF(OR($AJ297=10,$AJ297=11,$AJ297=18),"①病院一般",IF($AJ297=41,"②病院短期","対象外")),IF($AH297=5,IF($AJ297=30,"③特定消防","対象外"),IF(OR($AJ297=10,$AJ297=11,$AJ297=74),"④一般",IF(OR($AJ297=41,$AJ297=47),"⑤短期","対象外"))))))</f>
        <v>④一般</v>
      </c>
    </row>
    <row r="298" customFormat="false" ht="15" hidden="false" customHeight="false" outlineLevel="0" collapsed="false">
      <c r="A298" s="0" t="n">
        <v>21</v>
      </c>
      <c r="AA298" s="0" t="n">
        <v>21</v>
      </c>
      <c r="AB298" s="0" t="s">
        <v>460</v>
      </c>
      <c r="AD298" s="0" t="n">
        <v>12</v>
      </c>
      <c r="AE298" s="0" t="s">
        <v>96</v>
      </c>
      <c r="AH298" s="0" t="n">
        <v>20</v>
      </c>
      <c r="AJ298" s="0" t="n">
        <v>10</v>
      </c>
      <c r="AP298" s="0" t="n">
        <v>360000</v>
      </c>
      <c r="DB298" s="0" t="str">
        <f aca="false">IF($A298="","",IF($AE298&amp;""&lt;&gt;設定!$C$4,"対象外",IF($AH298=20,IF(OR($AJ298=10,$AJ298=11,$AJ298=18),"①病院一般",IF($AJ298=41,"②病院短期","対象外")),IF($AH298=5,IF($AJ298=30,"③特定消防","対象外"),IF(OR($AJ298=10,$AJ298=11,$AJ298=74),"④一般",IF(OR($AJ298=41,$AJ298=47),"⑤短期","対象外"))))))</f>
        <v>①病院一般</v>
      </c>
    </row>
    <row r="299" customFormat="false" ht="15" hidden="false" customHeight="false" outlineLevel="0" collapsed="false">
      <c r="A299" s="0" t="n">
        <v>21</v>
      </c>
      <c r="AA299" s="0" t="n">
        <v>21</v>
      </c>
      <c r="AB299" s="0" t="s">
        <v>461</v>
      </c>
      <c r="AD299" s="0" t="n">
        <v>12</v>
      </c>
      <c r="AE299" s="0" t="s">
        <v>96</v>
      </c>
      <c r="AH299" s="0" t="n">
        <v>20</v>
      </c>
      <c r="AJ299" s="0" t="n">
        <v>10</v>
      </c>
      <c r="AP299" s="0" t="n">
        <v>410000</v>
      </c>
      <c r="DB299" s="0" t="str">
        <f aca="false">IF($A299="","",IF($AE299&amp;""&lt;&gt;設定!$C$4,"対象外",IF($AH299=20,IF(OR($AJ299=10,$AJ299=11,$AJ299=18),"①病院一般",IF($AJ299=41,"②病院短期","対象外")),IF($AH299=5,IF($AJ299=30,"③特定消防","対象外"),IF(OR($AJ299=10,$AJ299=11,$AJ299=74),"④一般",IF(OR($AJ299=41,$AJ299=47),"⑤短期","対象外"))))))</f>
        <v>①病院一般</v>
      </c>
    </row>
    <row r="300" customFormat="false" ht="15" hidden="false" customHeight="false" outlineLevel="0" collapsed="false">
      <c r="A300" s="0" t="n">
        <v>21</v>
      </c>
      <c r="AA300" s="0" t="n">
        <v>21</v>
      </c>
      <c r="AB300" s="0" t="s">
        <v>462</v>
      </c>
      <c r="AD300" s="0" t="n">
        <v>12</v>
      </c>
      <c r="AE300" s="0" t="s">
        <v>96</v>
      </c>
      <c r="AH300" s="0" t="n">
        <v>1</v>
      </c>
      <c r="AJ300" s="0" t="n">
        <v>10</v>
      </c>
      <c r="AP300" s="0" t="n">
        <v>410000</v>
      </c>
      <c r="DB300" s="0" t="str">
        <f aca="false">IF($A300="","",IF($AE300&amp;""&lt;&gt;設定!$C$4,"対象外",IF($AH300=20,IF(OR($AJ300=10,$AJ300=11,$AJ300=18),"①病院一般",IF($AJ300=41,"②病院短期","対象外")),IF($AH300=5,IF($AJ300=30,"③特定消防","対象外"),IF(OR($AJ300=10,$AJ300=11,$AJ300=74),"④一般",IF(OR($AJ300=41,$AJ300=47),"⑤短期","対象外"))))))</f>
        <v>④一般</v>
      </c>
    </row>
    <row r="301" customFormat="false" ht="15" hidden="false" customHeight="false" outlineLevel="0" collapsed="false">
      <c r="A301" s="0" t="n">
        <v>21</v>
      </c>
      <c r="AA301" s="0" t="n">
        <v>21</v>
      </c>
      <c r="AB301" s="0" t="s">
        <v>463</v>
      </c>
      <c r="AD301" s="0" t="n">
        <v>12</v>
      </c>
      <c r="AE301" s="0" t="s">
        <v>294</v>
      </c>
      <c r="AH301" s="0" t="n">
        <v>20</v>
      </c>
      <c r="AJ301" s="0" t="n">
        <v>10</v>
      </c>
      <c r="AP301" s="0" t="n">
        <v>260000</v>
      </c>
      <c r="DB301" s="0" t="str">
        <f aca="false">IF($A301="","",IF($AE301&amp;""&lt;&gt;設定!$C$4,"対象外",IF($AH301=20,IF(OR($AJ301=10,$AJ301=11,$AJ301=18),"①病院一般",IF($AJ301=41,"②病院短期","対象外")),IF($AH301=5,IF($AJ301=30,"③特定消防","対象外"),IF(OR($AJ301=10,$AJ301=11,$AJ301=74),"④一般",IF(OR($AJ301=41,$AJ301=47),"⑤短期","対象外"))))))</f>
        <v>対象外</v>
      </c>
    </row>
    <row r="302" customFormat="false" ht="15" hidden="false" customHeight="false" outlineLevel="0" collapsed="false">
      <c r="A302" s="0" t="n">
        <v>21</v>
      </c>
      <c r="AA302" s="0" t="n">
        <v>21</v>
      </c>
      <c r="AB302" s="0" t="s">
        <v>464</v>
      </c>
      <c r="AD302" s="0" t="n">
        <v>12</v>
      </c>
      <c r="AE302" s="0" t="s">
        <v>96</v>
      </c>
      <c r="AH302" s="0" t="n">
        <v>20</v>
      </c>
      <c r="AJ302" s="0" t="n">
        <v>10</v>
      </c>
      <c r="AP302" s="0" t="n">
        <v>240000</v>
      </c>
      <c r="DB302" s="0" t="str">
        <f aca="false">IF($A302="","",IF($AE302&amp;""&lt;&gt;設定!$C$4,"対象外",IF($AH302=20,IF(OR($AJ302=10,$AJ302=11,$AJ302=18),"①病院一般",IF($AJ302=41,"②病院短期","対象外")),IF($AH302=5,IF($AJ302=30,"③特定消防","対象外"),IF(OR($AJ302=10,$AJ302=11,$AJ302=74),"④一般",IF(OR($AJ302=41,$AJ302=47),"⑤短期","対象外"))))))</f>
        <v>①病院一般</v>
      </c>
    </row>
    <row r="303" customFormat="false" ht="15" hidden="false" customHeight="false" outlineLevel="0" collapsed="false">
      <c r="A303" s="0" t="n">
        <v>21</v>
      </c>
      <c r="AA303" s="0" t="n">
        <v>21</v>
      </c>
      <c r="AB303" s="0" t="s">
        <v>465</v>
      </c>
      <c r="AD303" s="0" t="n">
        <v>12</v>
      </c>
      <c r="AE303" s="0" t="s">
        <v>96</v>
      </c>
      <c r="AH303" s="0" t="n">
        <v>20</v>
      </c>
      <c r="AJ303" s="0" t="n">
        <v>10</v>
      </c>
      <c r="AP303" s="0" t="n">
        <v>380000</v>
      </c>
      <c r="DB303" s="0" t="str">
        <f aca="false">IF($A303="","",IF($AE303&amp;""&lt;&gt;設定!$C$4,"対象外",IF($AH303=20,IF(OR($AJ303=10,$AJ303=11,$AJ303=18),"①病院一般",IF($AJ303=41,"②病院短期","対象外")),IF($AH303=5,IF($AJ303=30,"③特定消防","対象外"),IF(OR($AJ303=10,$AJ303=11,$AJ303=74),"④一般",IF(OR($AJ303=41,$AJ303=47),"⑤短期","対象外"))))))</f>
        <v>①病院一般</v>
      </c>
    </row>
    <row r="304" customFormat="false" ht="15" hidden="false" customHeight="false" outlineLevel="0" collapsed="false">
      <c r="A304" s="0" t="n">
        <v>21</v>
      </c>
      <c r="AA304" s="0" t="n">
        <v>21</v>
      </c>
      <c r="AB304" s="0" t="s">
        <v>400</v>
      </c>
      <c r="AD304" s="0" t="n">
        <v>12</v>
      </c>
      <c r="AE304" s="0" t="s">
        <v>96</v>
      </c>
      <c r="AH304" s="0" t="n">
        <v>1</v>
      </c>
      <c r="AJ304" s="0" t="n">
        <v>10</v>
      </c>
      <c r="AP304" s="0" t="n">
        <v>380000</v>
      </c>
      <c r="DB304" s="0" t="str">
        <f aca="false">IF($A304="","",IF($AE304&amp;""&lt;&gt;設定!$C$4,"対象外",IF($AH304=20,IF(OR($AJ304=10,$AJ304=11,$AJ304=18),"①病院一般",IF($AJ304=41,"②病院短期","対象外")),IF($AH304=5,IF($AJ304=30,"③特定消防","対象外"),IF(OR($AJ304=10,$AJ304=11,$AJ304=74),"④一般",IF(OR($AJ304=41,$AJ304=47),"⑤短期","対象外"))))))</f>
        <v>④一般</v>
      </c>
    </row>
    <row r="305" customFormat="false" ht="15" hidden="false" customHeight="false" outlineLevel="0" collapsed="false">
      <c r="A305" s="0" t="n">
        <v>21</v>
      </c>
      <c r="AA305" s="0" t="n">
        <v>21</v>
      </c>
      <c r="AB305" s="0" t="s">
        <v>400</v>
      </c>
      <c r="AD305" s="0" t="n">
        <v>12</v>
      </c>
      <c r="AE305" s="0" t="s">
        <v>96</v>
      </c>
      <c r="AH305" s="0" t="n">
        <v>3</v>
      </c>
      <c r="AJ305" s="0" t="n">
        <v>10</v>
      </c>
      <c r="AP305" s="0" t="n">
        <v>320000</v>
      </c>
      <c r="DB305" s="0" t="str">
        <f aca="false">IF($A305="","",IF($AE305&amp;""&lt;&gt;設定!$C$4,"対象外",IF($AH305=20,IF(OR($AJ305=10,$AJ305=11,$AJ305=18),"①病院一般",IF($AJ305=41,"②病院短期","対象外")),IF($AH305=5,IF($AJ305=30,"③特定消防","対象外"),IF(OR($AJ305=10,$AJ305=11,$AJ305=74),"④一般",IF(OR($AJ305=41,$AJ305=47),"⑤短期","対象外"))))))</f>
        <v>④一般</v>
      </c>
    </row>
    <row r="306" customFormat="false" ht="15" hidden="false" customHeight="false" outlineLevel="0" collapsed="false">
      <c r="A306" s="0" t="n">
        <v>21</v>
      </c>
      <c r="AA306" s="0" t="n">
        <v>21</v>
      </c>
      <c r="AB306" s="0" t="s">
        <v>400</v>
      </c>
      <c r="AD306" s="0" t="n">
        <v>12</v>
      </c>
      <c r="AE306" s="0" t="s">
        <v>96</v>
      </c>
      <c r="AH306" s="0" t="n">
        <v>20</v>
      </c>
      <c r="AJ306" s="0" t="n">
        <v>10</v>
      </c>
      <c r="AP306" s="0" t="n">
        <v>280000</v>
      </c>
      <c r="DB306" s="0" t="str">
        <f aca="false">IF($A306="","",IF($AE306&amp;""&lt;&gt;設定!$C$4,"対象外",IF($AH306=20,IF(OR($AJ306=10,$AJ306=11,$AJ306=18),"①病院一般",IF($AJ306=41,"②病院短期","対象外")),IF($AH306=5,IF($AJ306=30,"③特定消防","対象外"),IF(OR($AJ306=10,$AJ306=11,$AJ306=74),"④一般",IF(OR($AJ306=41,$AJ306=47),"⑤短期","対象外"))))))</f>
        <v>①病院一般</v>
      </c>
    </row>
    <row r="307" customFormat="false" ht="15" hidden="false" customHeight="false" outlineLevel="0" collapsed="false">
      <c r="A307" s="0" t="n">
        <v>21</v>
      </c>
      <c r="AA307" s="0" t="n">
        <v>21</v>
      </c>
      <c r="AB307" s="0" t="s">
        <v>400</v>
      </c>
      <c r="AD307" s="0" t="n">
        <v>11</v>
      </c>
      <c r="AE307" s="0" t="s">
        <v>96</v>
      </c>
      <c r="AH307" s="0" t="n">
        <v>47</v>
      </c>
      <c r="AJ307" s="0" t="n">
        <v>74</v>
      </c>
      <c r="AP307" s="0" t="n">
        <v>380000</v>
      </c>
      <c r="DB307" s="0" t="str">
        <f aca="false">IF($A307="","",IF($AE307&amp;""&lt;&gt;設定!$C$4,"対象外",IF($AH307=20,IF(OR($AJ307=10,$AJ307=11,$AJ307=18),"①病院一般",IF($AJ307=41,"②病院短期","対象外")),IF($AH307=5,IF($AJ307=30,"③特定消防","対象外"),IF(OR($AJ307=10,$AJ307=11,$AJ307=74),"④一般",IF(OR($AJ307=41,$AJ307=47),"⑤短期","対象外"))))))</f>
        <v>④一般</v>
      </c>
    </row>
    <row r="308" customFormat="false" ht="15" hidden="false" customHeight="false" outlineLevel="0" collapsed="false">
      <c r="A308" s="0" t="n">
        <v>21</v>
      </c>
      <c r="AA308" s="0" t="n">
        <v>21</v>
      </c>
      <c r="AB308" s="0" t="s">
        <v>410</v>
      </c>
      <c r="AD308" s="0" t="n">
        <v>12</v>
      </c>
      <c r="AE308" s="0" t="s">
        <v>96</v>
      </c>
      <c r="AH308" s="0" t="n">
        <v>11</v>
      </c>
      <c r="AJ308" s="0" t="n">
        <v>10</v>
      </c>
      <c r="AP308" s="0" t="n">
        <v>500000</v>
      </c>
      <c r="DB308" s="0" t="str">
        <f aca="false">IF($A308="","",IF($AE308&amp;""&lt;&gt;設定!$C$4,"対象外",IF($AH308=20,IF(OR($AJ308=10,$AJ308=11,$AJ308=18),"①病院一般",IF($AJ308=41,"②病院短期","対象外")),IF($AH308=5,IF($AJ308=30,"③特定消防","対象外"),IF(OR($AJ308=10,$AJ308=11,$AJ308=74),"④一般",IF(OR($AJ308=41,$AJ308=47),"⑤短期","対象外"))))))</f>
        <v>④一般</v>
      </c>
    </row>
    <row r="309" customFormat="false" ht="15" hidden="false" customHeight="false" outlineLevel="0" collapsed="false">
      <c r="A309" s="0" t="n">
        <v>21</v>
      </c>
      <c r="AA309" s="0" t="n">
        <v>21</v>
      </c>
      <c r="AB309" s="0" t="s">
        <v>466</v>
      </c>
      <c r="AD309" s="0" t="n">
        <v>12</v>
      </c>
      <c r="AE309" s="0" t="s">
        <v>96</v>
      </c>
      <c r="AH309" s="0" t="n">
        <v>1</v>
      </c>
      <c r="AJ309" s="0" t="n">
        <v>10</v>
      </c>
      <c r="AP309" s="0" t="n">
        <v>440000</v>
      </c>
      <c r="DB309" s="0" t="str">
        <f aca="false">IF($A309="","",IF($AE309&amp;""&lt;&gt;設定!$C$4,"対象外",IF($AH309=20,IF(OR($AJ309=10,$AJ309=11,$AJ309=18),"①病院一般",IF($AJ309=41,"②病院短期","対象外")),IF($AH309=5,IF($AJ309=30,"③特定消防","対象外"),IF(OR($AJ309=10,$AJ309=11,$AJ309=74),"④一般",IF(OR($AJ309=41,$AJ309=47),"⑤短期","対象外"))))))</f>
        <v>④一般</v>
      </c>
    </row>
    <row r="310" customFormat="false" ht="15" hidden="false" customHeight="false" outlineLevel="0" collapsed="false">
      <c r="A310" s="0" t="n">
        <v>21</v>
      </c>
      <c r="AA310" s="0" t="n">
        <v>21</v>
      </c>
      <c r="AB310" s="0" t="s">
        <v>466</v>
      </c>
      <c r="AD310" s="0" t="n">
        <v>12</v>
      </c>
      <c r="AE310" s="0" t="s">
        <v>303</v>
      </c>
      <c r="AH310" s="0" t="n">
        <v>20</v>
      </c>
      <c r="AJ310" s="0" t="n">
        <v>10</v>
      </c>
      <c r="AP310" s="0" t="n">
        <v>240000</v>
      </c>
      <c r="DB310" s="0" t="str">
        <f aca="false">IF($A310="","",IF($AE310&amp;""&lt;&gt;設定!$C$4,"対象外",IF($AH310=20,IF(OR($AJ310=10,$AJ310=11,$AJ310=18),"①病院一般",IF($AJ310=41,"②病院短期","対象外")),IF($AH310=5,IF($AJ310=30,"③特定消防","対象外"),IF(OR($AJ310=10,$AJ310=11,$AJ310=74),"④一般",IF(OR($AJ310=41,$AJ310=47),"⑤短期","対象外"))))))</f>
        <v>対象外</v>
      </c>
    </row>
    <row r="311" customFormat="false" ht="15" hidden="false" customHeight="false" outlineLevel="0" collapsed="false">
      <c r="A311" s="0" t="n">
        <v>21</v>
      </c>
      <c r="AA311" s="0" t="n">
        <v>21</v>
      </c>
      <c r="AB311" s="0" t="s">
        <v>466</v>
      </c>
      <c r="AD311" s="0" t="n">
        <v>12</v>
      </c>
      <c r="AE311" s="0" t="s">
        <v>96</v>
      </c>
      <c r="AH311" s="0" t="n">
        <v>20</v>
      </c>
      <c r="AJ311" s="0" t="n">
        <v>10</v>
      </c>
      <c r="AP311" s="0" t="n">
        <v>440000</v>
      </c>
      <c r="DB311" s="0" t="str">
        <f aca="false">IF($A311="","",IF($AE311&amp;""&lt;&gt;設定!$C$4,"対象外",IF($AH311=20,IF(OR($AJ311=10,$AJ311=11,$AJ311=18),"①病院一般",IF($AJ311=41,"②病院短期","対象外")),IF($AH311=5,IF($AJ311=30,"③特定消防","対象外"),IF(OR($AJ311=10,$AJ311=11,$AJ311=74),"④一般",IF(OR($AJ311=41,$AJ311=47),"⑤短期","対象外"))))))</f>
        <v>①病院一般</v>
      </c>
    </row>
    <row r="312" customFormat="false" ht="15" hidden="false" customHeight="false" outlineLevel="0" collapsed="false">
      <c r="A312" s="0" t="n">
        <v>21</v>
      </c>
      <c r="AA312" s="0" t="n">
        <v>21</v>
      </c>
      <c r="AB312" s="0" t="s">
        <v>466</v>
      </c>
      <c r="AD312" s="0" t="n">
        <v>11</v>
      </c>
      <c r="AE312" s="0" t="s">
        <v>96</v>
      </c>
      <c r="AH312" s="0" t="n">
        <v>20</v>
      </c>
      <c r="AJ312" s="0" t="n">
        <v>10</v>
      </c>
      <c r="AP312" s="0" t="n">
        <v>980000</v>
      </c>
      <c r="DB312" s="0" t="str">
        <f aca="false">IF($A312="","",IF($AE312&amp;""&lt;&gt;設定!$C$4,"対象外",IF($AH312=20,IF(OR($AJ312=10,$AJ312=11,$AJ312=18),"①病院一般",IF($AJ312=41,"②病院短期","対象外")),IF($AH312=5,IF($AJ312=30,"③特定消防","対象外"),IF(OR($AJ312=10,$AJ312=11,$AJ312=74),"④一般",IF(OR($AJ312=41,$AJ312=47),"⑤短期","対象外"))))))</f>
        <v>①病院一般</v>
      </c>
    </row>
    <row r="313" customFormat="false" ht="15" hidden="false" customHeight="false" outlineLevel="0" collapsed="false">
      <c r="A313" s="0" t="n">
        <v>21</v>
      </c>
      <c r="AA313" s="0" t="n">
        <v>21</v>
      </c>
      <c r="AB313" s="0" t="s">
        <v>467</v>
      </c>
      <c r="AD313" s="0" t="n">
        <v>12</v>
      </c>
      <c r="AE313" s="0" t="s">
        <v>96</v>
      </c>
      <c r="AH313" s="0" t="n">
        <v>20</v>
      </c>
      <c r="AJ313" s="0" t="n">
        <v>10</v>
      </c>
      <c r="AP313" s="0" t="n">
        <v>590000</v>
      </c>
      <c r="DB313" s="0" t="str">
        <f aca="false">IF($A313="","",IF($AE313&amp;""&lt;&gt;設定!$C$4,"対象外",IF($AH313=20,IF(OR($AJ313=10,$AJ313=11,$AJ313=18),"①病院一般",IF($AJ313=41,"②病院短期","対象外")),IF($AH313=5,IF($AJ313=30,"③特定消防","対象外"),IF(OR($AJ313=10,$AJ313=11,$AJ313=74),"④一般",IF(OR($AJ313=41,$AJ313=47),"⑤短期","対象外"))))))</f>
        <v>①病院一般</v>
      </c>
    </row>
    <row r="314" customFormat="false" ht="15" hidden="false" customHeight="false" outlineLevel="0" collapsed="false">
      <c r="A314" s="0" t="n">
        <v>21</v>
      </c>
      <c r="AA314" s="0" t="n">
        <v>21</v>
      </c>
      <c r="AB314" s="0" t="s">
        <v>468</v>
      </c>
      <c r="AD314" s="0" t="n">
        <v>12</v>
      </c>
      <c r="AE314" s="0" t="s">
        <v>96</v>
      </c>
      <c r="AH314" s="0" t="n">
        <v>20</v>
      </c>
      <c r="AJ314" s="0" t="n">
        <v>10</v>
      </c>
      <c r="AP314" s="0" t="n">
        <v>240000</v>
      </c>
      <c r="DB314" s="0" t="str">
        <f aca="false">IF($A314="","",IF($AE314&amp;""&lt;&gt;設定!$C$4,"対象外",IF($AH314=20,IF(OR($AJ314=10,$AJ314=11,$AJ314=18),"①病院一般",IF($AJ314=41,"②病院短期","対象外")),IF($AH314=5,IF($AJ314=30,"③特定消防","対象外"),IF(OR($AJ314=10,$AJ314=11,$AJ314=74),"④一般",IF(OR($AJ314=41,$AJ314=47),"⑤短期","対象外"))))))</f>
        <v>①病院一般</v>
      </c>
    </row>
    <row r="315" customFormat="false" ht="15" hidden="false" customHeight="false" outlineLevel="0" collapsed="false">
      <c r="A315" s="0" t="n">
        <v>21</v>
      </c>
      <c r="AA315" s="0" t="n">
        <v>21</v>
      </c>
      <c r="AB315" s="0" t="s">
        <v>468</v>
      </c>
      <c r="AD315" s="0" t="n">
        <v>12</v>
      </c>
      <c r="AE315" s="0" t="s">
        <v>96</v>
      </c>
      <c r="AH315" s="0" t="n">
        <v>20</v>
      </c>
      <c r="AJ315" s="0" t="n">
        <v>10</v>
      </c>
      <c r="AP315" s="0" t="n">
        <v>440000</v>
      </c>
      <c r="DB315" s="0" t="str">
        <f aca="false">IF($A315="","",IF($AE315&amp;""&lt;&gt;設定!$C$4,"対象外",IF($AH315=20,IF(OR($AJ315=10,$AJ315=11,$AJ315=18),"①病院一般",IF($AJ315=41,"②病院短期","対象外")),IF($AH315=5,IF($AJ315=30,"③特定消防","対象外"),IF(OR($AJ315=10,$AJ315=11,$AJ315=74),"④一般",IF(OR($AJ315=41,$AJ315=47),"⑤短期","対象外"))))))</f>
        <v>①病院一般</v>
      </c>
    </row>
    <row r="316" customFormat="false" ht="15" hidden="false" customHeight="false" outlineLevel="0" collapsed="false">
      <c r="A316" s="0" t="n">
        <v>21</v>
      </c>
      <c r="AA316" s="0" t="n">
        <v>21</v>
      </c>
      <c r="AB316" s="0" t="s">
        <v>423</v>
      </c>
      <c r="AD316" s="0" t="n">
        <v>12</v>
      </c>
      <c r="AE316" s="0" t="s">
        <v>96</v>
      </c>
      <c r="AH316" s="0" t="n">
        <v>11</v>
      </c>
      <c r="AJ316" s="0" t="n">
        <v>10</v>
      </c>
      <c r="AP316" s="0" t="n">
        <v>590000</v>
      </c>
      <c r="DB316" s="0" t="str">
        <f aca="false">IF($A316="","",IF($AE316&amp;""&lt;&gt;設定!$C$4,"対象外",IF($AH316=20,IF(OR($AJ316=10,$AJ316=11,$AJ316=18),"①病院一般",IF($AJ316=41,"②病院短期","対象外")),IF($AH316=5,IF($AJ316=30,"③特定消防","対象外"),IF(OR($AJ316=10,$AJ316=11,$AJ316=74),"④一般",IF(OR($AJ316=41,$AJ316=47),"⑤短期","対象外"))))))</f>
        <v>④一般</v>
      </c>
    </row>
    <row r="317" customFormat="false" ht="15" hidden="false" customHeight="false" outlineLevel="0" collapsed="false">
      <c r="A317" s="0" t="n">
        <v>21</v>
      </c>
      <c r="AA317" s="0" t="n">
        <v>21</v>
      </c>
      <c r="AB317" s="0" t="s">
        <v>393</v>
      </c>
      <c r="AD317" s="0" t="n">
        <v>12</v>
      </c>
      <c r="AE317" s="0" t="s">
        <v>96</v>
      </c>
      <c r="AH317" s="0" t="n">
        <v>1</v>
      </c>
      <c r="AJ317" s="0" t="n">
        <v>10</v>
      </c>
      <c r="AP317" s="0" t="n">
        <v>410000</v>
      </c>
      <c r="DB317" s="0" t="str">
        <f aca="false">IF($A317="","",IF($AE317&amp;""&lt;&gt;設定!$C$4,"対象外",IF($AH317=20,IF(OR($AJ317=10,$AJ317=11,$AJ317=18),"①病院一般",IF($AJ317=41,"②病院短期","対象外")),IF($AH317=5,IF($AJ317=30,"③特定消防","対象外"),IF(OR($AJ317=10,$AJ317=11,$AJ317=74),"④一般",IF(OR($AJ317=41,$AJ317=47),"⑤短期","対象外"))))))</f>
        <v>④一般</v>
      </c>
    </row>
    <row r="318" customFormat="false" ht="15" hidden="false" customHeight="false" outlineLevel="0" collapsed="false">
      <c r="A318" s="0" t="n">
        <v>21</v>
      </c>
      <c r="AA318" s="0" t="n">
        <v>21</v>
      </c>
      <c r="AB318" s="0" t="s">
        <v>393</v>
      </c>
      <c r="AD318" s="0" t="n">
        <v>12</v>
      </c>
      <c r="AE318" s="0" t="s">
        <v>96</v>
      </c>
      <c r="AH318" s="0" t="n">
        <v>1</v>
      </c>
      <c r="AJ318" s="0" t="n">
        <v>10</v>
      </c>
      <c r="AP318" s="0" t="n">
        <v>200000</v>
      </c>
      <c r="DB318" s="0" t="str">
        <f aca="false">IF($A318="","",IF($AE318&amp;""&lt;&gt;設定!$C$4,"対象外",IF($AH318=20,IF(OR($AJ318=10,$AJ318=11,$AJ318=18),"①病院一般",IF($AJ318=41,"②病院短期","対象外")),IF($AH318=5,IF($AJ318=30,"③特定消防","対象外"),IF(OR($AJ318=10,$AJ318=11,$AJ318=74),"④一般",IF(OR($AJ318=41,$AJ318=47),"⑤短期","対象外"))))))</f>
        <v>④一般</v>
      </c>
    </row>
    <row r="319" customFormat="false" ht="15" hidden="false" customHeight="false" outlineLevel="0" collapsed="false">
      <c r="A319" s="0" t="n">
        <v>21</v>
      </c>
      <c r="AA319" s="0" t="n">
        <v>21</v>
      </c>
      <c r="AB319" s="0" t="s">
        <v>393</v>
      </c>
      <c r="AD319" s="0" t="n">
        <v>12</v>
      </c>
      <c r="AE319" s="0" t="s">
        <v>96</v>
      </c>
      <c r="AH319" s="0" t="n">
        <v>1</v>
      </c>
      <c r="AJ319" s="0" t="n">
        <v>10</v>
      </c>
      <c r="AP319" s="0" t="n">
        <v>170000</v>
      </c>
      <c r="DB319" s="0" t="str">
        <f aca="false">IF($A319="","",IF($AE319&amp;""&lt;&gt;設定!$C$4,"対象外",IF($AH319=20,IF(OR($AJ319=10,$AJ319=11,$AJ319=18),"①病院一般",IF($AJ319=41,"②病院短期","対象外")),IF($AH319=5,IF($AJ319=30,"③特定消防","対象外"),IF(OR($AJ319=10,$AJ319=11,$AJ319=74),"④一般",IF(OR($AJ319=41,$AJ319=47),"⑤短期","対象外"))))))</f>
        <v>④一般</v>
      </c>
    </row>
    <row r="320" customFormat="false" ht="15" hidden="false" customHeight="false" outlineLevel="0" collapsed="false">
      <c r="A320" s="0" t="n">
        <v>21</v>
      </c>
      <c r="AA320" s="0" t="n">
        <v>21</v>
      </c>
      <c r="AB320" s="0" t="s">
        <v>469</v>
      </c>
      <c r="AD320" s="0" t="n">
        <v>11</v>
      </c>
      <c r="AE320" s="0" t="s">
        <v>96</v>
      </c>
      <c r="AH320" s="0" t="n">
        <v>20</v>
      </c>
      <c r="AJ320" s="0" t="n">
        <v>10</v>
      </c>
      <c r="AP320" s="0" t="n">
        <v>1090000</v>
      </c>
      <c r="DB320" s="0" t="str">
        <f aca="false">IF($A320="","",IF($AE320&amp;""&lt;&gt;設定!$C$4,"対象外",IF($AH320=20,IF(OR($AJ320=10,$AJ320=11,$AJ320=18),"①病院一般",IF($AJ320=41,"②病院短期","対象外")),IF($AH320=5,IF($AJ320=30,"③特定消防","対象外"),IF(OR($AJ320=10,$AJ320=11,$AJ320=74),"④一般",IF(OR($AJ320=41,$AJ320=47),"⑤短期","対象外"))))))</f>
        <v>①病院一般</v>
      </c>
    </row>
    <row r="321" customFormat="false" ht="15" hidden="false" customHeight="false" outlineLevel="0" collapsed="false">
      <c r="A321" s="0" t="n">
        <v>21</v>
      </c>
      <c r="AA321" s="0" t="n">
        <v>21</v>
      </c>
      <c r="AB321" s="0" t="s">
        <v>470</v>
      </c>
      <c r="AD321" s="0" t="n">
        <v>12</v>
      </c>
      <c r="AE321" s="0" t="s">
        <v>471</v>
      </c>
      <c r="AH321" s="0" t="n">
        <v>20</v>
      </c>
      <c r="AJ321" s="0" t="n">
        <v>10</v>
      </c>
      <c r="AP321" s="0" t="n">
        <v>360000</v>
      </c>
      <c r="DB321" s="0" t="str">
        <f aca="false">IF($A321="","",IF($AE321&amp;""&lt;&gt;設定!$C$4,"対象外",IF($AH321=20,IF(OR($AJ321=10,$AJ321=11,$AJ321=18),"①病院一般",IF($AJ321=41,"②病院短期","対象外")),IF($AH321=5,IF($AJ321=30,"③特定消防","対象外"),IF(OR($AJ321=10,$AJ321=11,$AJ321=74),"④一般",IF(OR($AJ321=41,$AJ321=47),"⑤短期","対象外"))))))</f>
        <v>対象外</v>
      </c>
    </row>
    <row r="322" customFormat="false" ht="15" hidden="false" customHeight="false" outlineLevel="0" collapsed="false">
      <c r="A322" s="0" t="n">
        <v>21</v>
      </c>
      <c r="AA322" s="0" t="n">
        <v>21</v>
      </c>
      <c r="AB322" s="0" t="s">
        <v>472</v>
      </c>
      <c r="AD322" s="0" t="n">
        <v>12</v>
      </c>
      <c r="AE322" s="0" t="s">
        <v>96</v>
      </c>
      <c r="AH322" s="0" t="n">
        <v>1</v>
      </c>
      <c r="AJ322" s="0" t="n">
        <v>10</v>
      </c>
      <c r="AP322" s="0" t="n">
        <v>320000</v>
      </c>
      <c r="DB322" s="0" t="str">
        <f aca="false">IF($A322="","",IF($AE322&amp;""&lt;&gt;設定!$C$4,"対象外",IF($AH322=20,IF(OR($AJ322=10,$AJ322=11,$AJ322=18),"①病院一般",IF($AJ322=41,"②病院短期","対象外")),IF($AH322=5,IF($AJ322=30,"③特定消防","対象外"),IF(OR($AJ322=10,$AJ322=11,$AJ322=74),"④一般",IF(OR($AJ322=41,$AJ322=47),"⑤短期","対象外"))))))</f>
        <v>④一般</v>
      </c>
    </row>
    <row r="323" customFormat="false" ht="15" hidden="false" customHeight="false" outlineLevel="0" collapsed="false">
      <c r="A323" s="0" t="n">
        <v>21</v>
      </c>
      <c r="AA323" s="0" t="n">
        <v>21</v>
      </c>
      <c r="AB323" s="0" t="s">
        <v>472</v>
      </c>
      <c r="AD323" s="0" t="n">
        <v>12</v>
      </c>
      <c r="AE323" s="0" t="s">
        <v>294</v>
      </c>
      <c r="AH323" s="0" t="n">
        <v>1</v>
      </c>
      <c r="AJ323" s="0" t="n">
        <v>10</v>
      </c>
      <c r="AP323" s="0" t="n">
        <v>380000</v>
      </c>
      <c r="DB323" s="0" t="str">
        <f aca="false">IF($A323="","",IF($AE323&amp;""&lt;&gt;設定!$C$4,"対象外",IF($AH323=20,IF(OR($AJ323=10,$AJ323=11,$AJ323=18),"①病院一般",IF($AJ323=41,"②病院短期","対象外")),IF($AH323=5,IF($AJ323=30,"③特定消防","対象外"),IF(OR($AJ323=10,$AJ323=11,$AJ323=74),"④一般",IF(OR($AJ323=41,$AJ323=47),"⑤短期","対象外"))))))</f>
        <v>対象外</v>
      </c>
    </row>
    <row r="324" customFormat="false" ht="15" hidden="false" customHeight="false" outlineLevel="0" collapsed="false">
      <c r="A324" s="0" t="n">
        <v>21</v>
      </c>
      <c r="AA324" s="0" t="n">
        <v>21</v>
      </c>
      <c r="AB324" s="0" t="s">
        <v>472</v>
      </c>
      <c r="AD324" s="0" t="n">
        <v>12</v>
      </c>
      <c r="AE324" s="0" t="s">
        <v>96</v>
      </c>
      <c r="AH324" s="0" t="n">
        <v>5</v>
      </c>
      <c r="AJ324" s="0" t="n">
        <v>30</v>
      </c>
      <c r="AP324" s="0" t="n">
        <v>440000</v>
      </c>
      <c r="DB324" s="0" t="str">
        <f aca="false">IF($A324="","",IF($AE324&amp;""&lt;&gt;設定!$C$4,"対象外",IF($AH324=20,IF(OR($AJ324=10,$AJ324=11,$AJ324=18),"①病院一般",IF($AJ324=41,"②病院短期","対象外")),IF($AH324=5,IF($AJ324=30,"③特定消防","対象外"),IF(OR($AJ324=10,$AJ324=11,$AJ324=74),"④一般",IF(OR($AJ324=41,$AJ324=47),"⑤短期","対象外"))))))</f>
        <v>③特定消防</v>
      </c>
    </row>
    <row r="325" customFormat="false" ht="15" hidden="false" customHeight="false" outlineLevel="0" collapsed="false">
      <c r="A325" s="0" t="n">
        <v>21</v>
      </c>
      <c r="AA325" s="0" t="n">
        <v>21</v>
      </c>
      <c r="AB325" s="0" t="s">
        <v>472</v>
      </c>
      <c r="AD325" s="0" t="n">
        <v>12</v>
      </c>
      <c r="AE325" s="0" t="s">
        <v>299</v>
      </c>
      <c r="AH325" s="0" t="n">
        <v>5</v>
      </c>
      <c r="AJ325" s="0" t="n">
        <v>30</v>
      </c>
      <c r="AP325" s="0" t="n">
        <v>360000</v>
      </c>
      <c r="DB325" s="0" t="str">
        <f aca="false">IF($A325="","",IF($AE325&amp;""&lt;&gt;設定!$C$4,"対象外",IF($AH325=20,IF(OR($AJ325=10,$AJ325=11,$AJ325=18),"①病院一般",IF($AJ325=41,"②病院短期","対象外")),IF($AH325=5,IF($AJ325=30,"③特定消防","対象外"),IF(OR($AJ325=10,$AJ325=11,$AJ325=74),"④一般",IF(OR($AJ325=41,$AJ325=47),"⑤短期","対象外"))))))</f>
        <v>対象外</v>
      </c>
    </row>
    <row r="326" customFormat="false" ht="15" hidden="false" customHeight="false" outlineLevel="0" collapsed="false">
      <c r="A326" s="0" t="n">
        <v>21</v>
      </c>
      <c r="AA326" s="0" t="n">
        <v>21</v>
      </c>
      <c r="AB326" s="0" t="s">
        <v>473</v>
      </c>
      <c r="AD326" s="0" t="n">
        <v>12</v>
      </c>
      <c r="AE326" s="0" t="s">
        <v>96</v>
      </c>
      <c r="AH326" s="0" t="n">
        <v>20</v>
      </c>
      <c r="AJ326" s="0" t="n">
        <v>10</v>
      </c>
      <c r="AP326" s="0" t="n">
        <v>360000</v>
      </c>
      <c r="DB326" s="0" t="str">
        <f aca="false">IF($A326="","",IF($AE326&amp;""&lt;&gt;設定!$C$4,"対象外",IF($AH326=20,IF(OR($AJ326=10,$AJ326=11,$AJ326=18),"①病院一般",IF($AJ326=41,"②病院短期","対象外")),IF($AH326=5,IF($AJ326=30,"③特定消防","対象外"),IF(OR($AJ326=10,$AJ326=11,$AJ326=74),"④一般",IF(OR($AJ326=41,$AJ326=47),"⑤短期","対象外"))))))</f>
        <v>①病院一般</v>
      </c>
    </row>
    <row r="327" customFormat="false" ht="15" hidden="false" customHeight="false" outlineLevel="0" collapsed="false">
      <c r="A327" s="0" t="n">
        <v>21</v>
      </c>
      <c r="AA327" s="0" t="n">
        <v>21</v>
      </c>
      <c r="AB327" s="0" t="s">
        <v>474</v>
      </c>
      <c r="AD327" s="0" t="n">
        <v>12</v>
      </c>
      <c r="AE327" s="0" t="s">
        <v>96</v>
      </c>
      <c r="AH327" s="0" t="n">
        <v>20</v>
      </c>
      <c r="AJ327" s="0" t="n">
        <v>10</v>
      </c>
      <c r="AP327" s="0" t="n">
        <v>1090000</v>
      </c>
      <c r="DB327" s="0" t="str">
        <f aca="false">IF($A327="","",IF($AE327&amp;""&lt;&gt;設定!$C$4,"対象外",IF($AH327=20,IF(OR($AJ327=10,$AJ327=11,$AJ327=18),"①病院一般",IF($AJ327=41,"②病院短期","対象外")),IF($AH327=5,IF($AJ327=30,"③特定消防","対象外"),IF(OR($AJ327=10,$AJ327=11,$AJ327=74),"④一般",IF(OR($AJ327=41,$AJ327=47),"⑤短期","対象外"))))))</f>
        <v>①病院一般</v>
      </c>
    </row>
    <row r="328" customFormat="false" ht="15" hidden="false" customHeight="false" outlineLevel="0" collapsed="false">
      <c r="A328" s="0" t="n">
        <v>21</v>
      </c>
      <c r="AA328" s="0" t="n">
        <v>21</v>
      </c>
      <c r="AB328" s="0" t="s">
        <v>474</v>
      </c>
      <c r="AD328" s="0" t="n">
        <v>12</v>
      </c>
      <c r="AE328" s="0" t="s">
        <v>301</v>
      </c>
      <c r="AH328" s="0" t="n">
        <v>20</v>
      </c>
      <c r="AJ328" s="0" t="n">
        <v>10</v>
      </c>
      <c r="AP328" s="0" t="n">
        <v>280000</v>
      </c>
      <c r="DB328" s="0" t="str">
        <f aca="false">IF($A328="","",IF($AE328&amp;""&lt;&gt;設定!$C$4,"対象外",IF($AH328=20,IF(OR($AJ328=10,$AJ328=11,$AJ328=18),"①病院一般",IF($AJ328=41,"②病院短期","対象外")),IF($AH328=5,IF($AJ328=30,"③特定消防","対象外"),IF(OR($AJ328=10,$AJ328=11,$AJ328=74),"④一般",IF(OR($AJ328=41,$AJ328=47),"⑤短期","対象外"))))))</f>
        <v>対象外</v>
      </c>
    </row>
    <row r="329" customFormat="false" ht="15" hidden="false" customHeight="false" outlineLevel="0" collapsed="false">
      <c r="A329" s="0" t="n">
        <v>21</v>
      </c>
      <c r="AA329" s="0" t="n">
        <v>21</v>
      </c>
      <c r="AB329" s="0" t="s">
        <v>458</v>
      </c>
      <c r="AD329" s="0" t="n">
        <v>12</v>
      </c>
      <c r="AE329" s="0" t="s">
        <v>96</v>
      </c>
      <c r="AH329" s="0" t="n">
        <v>11</v>
      </c>
      <c r="AJ329" s="0" t="n">
        <v>10</v>
      </c>
      <c r="AP329" s="0" t="n">
        <v>300000</v>
      </c>
      <c r="DB329" s="0" t="str">
        <f aca="false">IF($A329="","",IF($AE329&amp;""&lt;&gt;設定!$C$4,"対象外",IF($AH329=20,IF(OR($AJ329=10,$AJ329=11,$AJ329=18),"①病院一般",IF($AJ329=41,"②病院短期","対象外")),IF($AH329=5,IF($AJ329=30,"③特定消防","対象外"),IF(OR($AJ329=10,$AJ329=11,$AJ329=74),"④一般",IF(OR($AJ329=41,$AJ329=47),"⑤短期","対象外"))))))</f>
        <v>④一般</v>
      </c>
    </row>
    <row r="330" customFormat="false" ht="15" hidden="false" customHeight="false" outlineLevel="0" collapsed="false">
      <c r="A330" s="0" t="n">
        <v>21</v>
      </c>
      <c r="AA330" s="0" t="n">
        <v>21</v>
      </c>
      <c r="AB330" s="0" t="s">
        <v>439</v>
      </c>
      <c r="AD330" s="0" t="n">
        <v>12</v>
      </c>
      <c r="AE330" s="0" t="s">
        <v>96</v>
      </c>
      <c r="AH330" s="0" t="n">
        <v>1</v>
      </c>
      <c r="AJ330" s="0" t="n">
        <v>10</v>
      </c>
      <c r="AP330" s="0" t="n">
        <v>380000</v>
      </c>
      <c r="DB330" s="0" t="str">
        <f aca="false">IF($A330="","",IF($AE330&amp;""&lt;&gt;設定!$C$4,"対象外",IF($AH330=20,IF(OR($AJ330=10,$AJ330=11,$AJ330=18),"①病院一般",IF($AJ330=41,"②病院短期","対象外")),IF($AH330=5,IF($AJ330=30,"③特定消防","対象外"),IF(OR($AJ330=10,$AJ330=11,$AJ330=74),"④一般",IF(OR($AJ330=41,$AJ330=47),"⑤短期","対象外"))))))</f>
        <v>④一般</v>
      </c>
    </row>
    <row r="331" customFormat="false" ht="15" hidden="false" customHeight="false" outlineLevel="0" collapsed="false">
      <c r="A331" s="0" t="n">
        <v>21</v>
      </c>
      <c r="AA331" s="0" t="n">
        <v>21</v>
      </c>
      <c r="AB331" s="0" t="s">
        <v>439</v>
      </c>
      <c r="AD331" s="0" t="n">
        <v>12</v>
      </c>
      <c r="AE331" s="0" t="s">
        <v>96</v>
      </c>
      <c r="AH331" s="0" t="n">
        <v>1</v>
      </c>
      <c r="AJ331" s="0" t="n">
        <v>10</v>
      </c>
      <c r="AP331" s="0" t="n">
        <v>440000</v>
      </c>
      <c r="DB331" s="0" t="str">
        <f aca="false">IF($A331="","",IF($AE331&amp;""&lt;&gt;設定!$C$4,"対象外",IF($AH331=20,IF(OR($AJ331=10,$AJ331=11,$AJ331=18),"①病院一般",IF($AJ331=41,"②病院短期","対象外")),IF($AH331=5,IF($AJ331=30,"③特定消防","対象外"),IF(OR($AJ331=10,$AJ331=11,$AJ331=74),"④一般",IF(OR($AJ331=41,$AJ331=47),"⑤短期","対象外"))))))</f>
        <v>④一般</v>
      </c>
    </row>
    <row r="332" customFormat="false" ht="15" hidden="false" customHeight="false" outlineLevel="0" collapsed="false">
      <c r="A332" s="0" t="n">
        <v>21</v>
      </c>
      <c r="AA332" s="0" t="n">
        <v>21</v>
      </c>
      <c r="AB332" s="0" t="s">
        <v>439</v>
      </c>
      <c r="AD332" s="0" t="n">
        <v>12</v>
      </c>
      <c r="AE332" s="0" t="s">
        <v>96</v>
      </c>
      <c r="AH332" s="0" t="n">
        <v>3</v>
      </c>
      <c r="AJ332" s="0" t="n">
        <v>10</v>
      </c>
      <c r="AP332" s="0" t="n">
        <v>500000</v>
      </c>
      <c r="DB332" s="0" t="str">
        <f aca="false">IF($A332="","",IF($AE332&amp;""&lt;&gt;設定!$C$4,"対象外",IF($AH332=20,IF(OR($AJ332=10,$AJ332=11,$AJ332=18),"①病院一般",IF($AJ332=41,"②病院短期","対象外")),IF($AH332=5,IF($AJ332=30,"③特定消防","対象外"),IF(OR($AJ332=10,$AJ332=11,$AJ332=74),"④一般",IF(OR($AJ332=41,$AJ332=47),"⑤短期","対象外"))))))</f>
        <v>④一般</v>
      </c>
    </row>
    <row r="333" customFormat="false" ht="15" hidden="false" customHeight="false" outlineLevel="0" collapsed="false">
      <c r="A333" s="0" t="n">
        <v>21</v>
      </c>
      <c r="AA333" s="0" t="n">
        <v>21</v>
      </c>
      <c r="AB333" s="0" t="s">
        <v>439</v>
      </c>
      <c r="AD333" s="0" t="n">
        <v>12</v>
      </c>
      <c r="AE333" s="0" t="s">
        <v>96</v>
      </c>
      <c r="AH333" s="0" t="n">
        <v>1</v>
      </c>
      <c r="AJ333" s="0" t="n">
        <v>10</v>
      </c>
      <c r="AP333" s="0" t="n">
        <v>360000</v>
      </c>
      <c r="DB333" s="0" t="str">
        <f aca="false">IF($A333="","",IF($AE333&amp;""&lt;&gt;設定!$C$4,"対象外",IF($AH333=20,IF(OR($AJ333=10,$AJ333=11,$AJ333=18),"①病院一般",IF($AJ333=41,"②病院短期","対象外")),IF($AH333=5,IF($AJ333=30,"③特定消防","対象外"),IF(OR($AJ333=10,$AJ333=11,$AJ333=74),"④一般",IF(OR($AJ333=41,$AJ333=47),"⑤短期","対象外"))))))</f>
        <v>④一般</v>
      </c>
    </row>
    <row r="334" customFormat="false" ht="15" hidden="false" customHeight="false" outlineLevel="0" collapsed="false">
      <c r="A334" s="0" t="n">
        <v>21</v>
      </c>
      <c r="AA334" s="0" t="n">
        <v>21</v>
      </c>
      <c r="AB334" s="0" t="s">
        <v>439</v>
      </c>
      <c r="AD334" s="0" t="n">
        <v>12</v>
      </c>
      <c r="AE334" s="0" t="s">
        <v>96</v>
      </c>
      <c r="AH334" s="0" t="n">
        <v>1</v>
      </c>
      <c r="AJ334" s="0" t="n">
        <v>10</v>
      </c>
      <c r="AP334" s="0" t="n">
        <v>320000</v>
      </c>
      <c r="DB334" s="0" t="str">
        <f aca="false">IF($A334="","",IF($AE334&amp;""&lt;&gt;設定!$C$4,"対象外",IF($AH334=20,IF(OR($AJ334=10,$AJ334=11,$AJ334=18),"①病院一般",IF($AJ334=41,"②病院短期","対象外")),IF($AH334=5,IF($AJ334=30,"③特定消防","対象外"),IF(OR($AJ334=10,$AJ334=11,$AJ334=74),"④一般",IF(OR($AJ334=41,$AJ334=47),"⑤短期","対象外"))))))</f>
        <v>④一般</v>
      </c>
    </row>
    <row r="335" customFormat="false" ht="15" hidden="false" customHeight="false" outlineLevel="0" collapsed="false">
      <c r="A335" s="0" t="n">
        <v>21</v>
      </c>
      <c r="AA335" s="0" t="n">
        <v>21</v>
      </c>
      <c r="AB335" s="0" t="s">
        <v>439</v>
      </c>
      <c r="AD335" s="0" t="n">
        <v>12</v>
      </c>
      <c r="AE335" s="0" t="s">
        <v>296</v>
      </c>
      <c r="AH335" s="0" t="n">
        <v>20</v>
      </c>
      <c r="AJ335" s="0" t="n">
        <v>10</v>
      </c>
      <c r="AP335" s="0" t="n">
        <v>440000</v>
      </c>
      <c r="DB335" s="0" t="str">
        <f aca="false">IF($A335="","",IF($AE335&amp;""&lt;&gt;設定!$C$4,"対象外",IF($AH335=20,IF(OR($AJ335=10,$AJ335=11,$AJ335=18),"①病院一般",IF($AJ335=41,"②病院短期","対象外")),IF($AH335=5,IF($AJ335=30,"③特定消防","対象外"),IF(OR($AJ335=10,$AJ335=11,$AJ335=74),"④一般",IF(OR($AJ335=41,$AJ335=47),"⑤短期","対象外"))))))</f>
        <v>対象外</v>
      </c>
    </row>
    <row r="336" customFormat="false" ht="15" hidden="false" customHeight="false" outlineLevel="0" collapsed="false">
      <c r="A336" s="0" t="n">
        <v>21</v>
      </c>
      <c r="AA336" s="0" t="n">
        <v>21</v>
      </c>
      <c r="AB336" s="0" t="s">
        <v>439</v>
      </c>
      <c r="AD336" s="0" t="n">
        <v>12</v>
      </c>
      <c r="AE336" s="0" t="s">
        <v>294</v>
      </c>
      <c r="AH336" s="0" t="n">
        <v>20</v>
      </c>
      <c r="AJ336" s="0" t="n">
        <v>10</v>
      </c>
      <c r="AP336" s="0" t="n">
        <v>280000</v>
      </c>
      <c r="DB336" s="0" t="str">
        <f aca="false">IF($A336="","",IF($AE336&amp;""&lt;&gt;設定!$C$4,"対象外",IF($AH336=20,IF(OR($AJ336=10,$AJ336=11,$AJ336=18),"①病院一般",IF($AJ336=41,"②病院短期","対象外")),IF($AH336=5,IF($AJ336=30,"③特定消防","対象外"),IF(OR($AJ336=10,$AJ336=11,$AJ336=74),"④一般",IF(OR($AJ336=41,$AJ336=47),"⑤短期","対象外"))))))</f>
        <v>対象外</v>
      </c>
    </row>
    <row r="337" customFormat="false" ht="15" hidden="false" customHeight="false" outlineLevel="0" collapsed="false">
      <c r="A337" s="0" t="n">
        <v>21</v>
      </c>
      <c r="AA337" s="0" t="n">
        <v>21</v>
      </c>
      <c r="AB337" s="0" t="s">
        <v>439</v>
      </c>
      <c r="AD337" s="0" t="n">
        <v>12</v>
      </c>
      <c r="AE337" s="0" t="s">
        <v>96</v>
      </c>
      <c r="AH337" s="0" t="n">
        <v>20</v>
      </c>
      <c r="AJ337" s="0" t="n">
        <v>10</v>
      </c>
      <c r="AP337" s="0" t="n">
        <v>1150000</v>
      </c>
      <c r="DB337" s="0" t="str">
        <f aca="false">IF($A337="","",IF($AE337&amp;""&lt;&gt;設定!$C$4,"対象外",IF($AH337=20,IF(OR($AJ337=10,$AJ337=11,$AJ337=18),"①病院一般",IF($AJ337=41,"②病院短期","対象外")),IF($AH337=5,IF($AJ337=30,"③特定消防","対象外"),IF(OR($AJ337=10,$AJ337=11,$AJ337=74),"④一般",IF(OR($AJ337=41,$AJ337=47),"⑤短期","対象外"))))))</f>
        <v>①病院一般</v>
      </c>
    </row>
    <row r="338" customFormat="false" ht="15" hidden="false" customHeight="false" outlineLevel="0" collapsed="false">
      <c r="A338" s="0" t="n">
        <v>21</v>
      </c>
      <c r="AA338" s="0" t="n">
        <v>21</v>
      </c>
      <c r="AB338" s="0" t="s">
        <v>439</v>
      </c>
      <c r="AD338" s="0" t="n">
        <v>11</v>
      </c>
      <c r="AE338" s="0" t="s">
        <v>96</v>
      </c>
      <c r="AH338" s="0" t="n">
        <v>20</v>
      </c>
      <c r="AJ338" s="0" t="n">
        <v>10</v>
      </c>
      <c r="AP338" s="0" t="n">
        <v>440000</v>
      </c>
      <c r="DB338" s="0" t="str">
        <f aca="false">IF($A338="","",IF($AE338&amp;""&lt;&gt;設定!$C$4,"対象外",IF($AH338=20,IF(OR($AJ338=10,$AJ338=11,$AJ338=18),"①病院一般",IF($AJ338=41,"②病院短期","対象外")),IF($AH338=5,IF($AJ338=30,"③特定消防","対象外"),IF(OR($AJ338=10,$AJ338=11,$AJ338=74),"④一般",IF(OR($AJ338=41,$AJ338=47),"⑤短期","対象外"))))))</f>
        <v>①病院一般</v>
      </c>
    </row>
    <row r="339" customFormat="false" ht="15" hidden="false" customHeight="false" outlineLevel="0" collapsed="false">
      <c r="A339" s="0" t="n">
        <v>21</v>
      </c>
      <c r="AA339" s="0" t="n">
        <v>21</v>
      </c>
      <c r="AB339" s="0" t="s">
        <v>439</v>
      </c>
      <c r="AD339" s="0" t="n">
        <v>12</v>
      </c>
      <c r="AE339" s="0" t="s">
        <v>96</v>
      </c>
      <c r="AH339" s="0" t="n">
        <v>20</v>
      </c>
      <c r="AJ339" s="0" t="n">
        <v>10</v>
      </c>
      <c r="AP339" s="0" t="n">
        <v>470000</v>
      </c>
      <c r="DB339" s="0" t="str">
        <f aca="false">IF($A339="","",IF($AE339&amp;""&lt;&gt;設定!$C$4,"対象外",IF($AH339=20,IF(OR($AJ339=10,$AJ339=11,$AJ339=18),"①病院一般",IF($AJ339=41,"②病院短期","対象外")),IF($AH339=5,IF($AJ339=30,"③特定消防","対象外"),IF(OR($AJ339=10,$AJ339=11,$AJ339=74),"④一般",IF(OR($AJ339=41,$AJ339=47),"⑤短期","対象外"))))))</f>
        <v>①病院一般</v>
      </c>
    </row>
    <row r="340" customFormat="false" ht="15" hidden="false" customHeight="false" outlineLevel="0" collapsed="false">
      <c r="A340" s="0" t="n">
        <v>21</v>
      </c>
      <c r="AA340" s="0" t="n">
        <v>21</v>
      </c>
      <c r="AB340" s="0" t="s">
        <v>475</v>
      </c>
      <c r="AD340" s="0" t="n">
        <v>12</v>
      </c>
      <c r="AE340" s="0" t="s">
        <v>96</v>
      </c>
      <c r="AH340" s="0" t="n">
        <v>20</v>
      </c>
      <c r="AJ340" s="0" t="n">
        <v>10</v>
      </c>
      <c r="AP340" s="0" t="n">
        <v>470000</v>
      </c>
      <c r="DB340" s="0" t="str">
        <f aca="false">IF($A340="","",IF($AE340&amp;""&lt;&gt;設定!$C$4,"対象外",IF($AH340=20,IF(OR($AJ340=10,$AJ340=11,$AJ340=18),"①病院一般",IF($AJ340=41,"②病院短期","対象外")),IF($AH340=5,IF($AJ340=30,"③特定消防","対象外"),IF(OR($AJ340=10,$AJ340=11,$AJ340=74),"④一般",IF(OR($AJ340=41,$AJ340=47),"⑤短期","対象外"))))))</f>
        <v>①病院一般</v>
      </c>
    </row>
    <row r="341" customFormat="false" ht="15" hidden="false" customHeight="false" outlineLevel="0" collapsed="false">
      <c r="A341" s="0" t="n">
        <v>21</v>
      </c>
      <c r="AA341" s="0" t="n">
        <v>21</v>
      </c>
      <c r="AB341" s="0" t="s">
        <v>476</v>
      </c>
      <c r="AD341" s="0" t="n">
        <v>12</v>
      </c>
      <c r="AE341" s="0" t="s">
        <v>96</v>
      </c>
      <c r="AH341" s="0" t="n">
        <v>11</v>
      </c>
      <c r="AJ341" s="0" t="n">
        <v>10</v>
      </c>
      <c r="AP341" s="0" t="n">
        <v>300000</v>
      </c>
      <c r="DB341" s="0" t="str">
        <f aca="false">IF($A341="","",IF($AE341&amp;""&lt;&gt;設定!$C$4,"対象外",IF($AH341=20,IF(OR($AJ341=10,$AJ341=11,$AJ341=18),"①病院一般",IF($AJ341=41,"②病院短期","対象外")),IF($AH341=5,IF($AJ341=30,"③特定消防","対象外"),IF(OR($AJ341=10,$AJ341=11,$AJ341=74),"④一般",IF(OR($AJ341=41,$AJ341=47),"⑤短期","対象外"))))))</f>
        <v>④一般</v>
      </c>
    </row>
    <row r="342" customFormat="false" ht="15" hidden="false" customHeight="false" outlineLevel="0" collapsed="false">
      <c r="A342" s="0" t="n">
        <v>21</v>
      </c>
      <c r="AA342" s="0" t="n">
        <v>21</v>
      </c>
      <c r="AB342" s="0" t="s">
        <v>476</v>
      </c>
      <c r="AD342" s="0" t="n">
        <v>12</v>
      </c>
      <c r="AE342" s="0" t="s">
        <v>96</v>
      </c>
      <c r="AH342" s="0" t="n">
        <v>11</v>
      </c>
      <c r="AJ342" s="0" t="n">
        <v>10</v>
      </c>
      <c r="AP342" s="0" t="n">
        <v>240000</v>
      </c>
      <c r="DB342" s="0" t="str">
        <f aca="false">IF($A342="","",IF($AE342&amp;""&lt;&gt;設定!$C$4,"対象外",IF($AH342=20,IF(OR($AJ342=10,$AJ342=11,$AJ342=18),"①病院一般",IF($AJ342=41,"②病院短期","対象外")),IF($AH342=5,IF($AJ342=30,"③特定消防","対象外"),IF(OR($AJ342=10,$AJ342=11,$AJ342=74),"④一般",IF(OR($AJ342=41,$AJ342=47),"⑤短期","対象外"))))))</f>
        <v>④一般</v>
      </c>
    </row>
    <row r="343" customFormat="false" ht="15" hidden="false" customHeight="false" outlineLevel="0" collapsed="false">
      <c r="A343" s="0" t="n">
        <v>21</v>
      </c>
      <c r="AA343" s="0" t="n">
        <v>21</v>
      </c>
      <c r="AB343" s="0" t="s">
        <v>476</v>
      </c>
      <c r="AD343" s="0" t="n">
        <v>12</v>
      </c>
      <c r="AE343" s="0" t="s">
        <v>96</v>
      </c>
      <c r="AH343" s="0" t="n">
        <v>11</v>
      </c>
      <c r="AJ343" s="0" t="n">
        <v>10</v>
      </c>
      <c r="AP343" s="0" t="n">
        <v>260000</v>
      </c>
      <c r="DB343" s="0" t="str">
        <f aca="false">IF($A343="","",IF($AE343&amp;""&lt;&gt;設定!$C$4,"対象外",IF($AH343=20,IF(OR($AJ343=10,$AJ343=11,$AJ343=18),"①病院一般",IF($AJ343=41,"②病院短期","対象外")),IF($AH343=5,IF($AJ343=30,"③特定消防","対象外"),IF(OR($AJ343=10,$AJ343=11,$AJ343=74),"④一般",IF(OR($AJ343=41,$AJ343=47),"⑤短期","対象外"))))))</f>
        <v>④一般</v>
      </c>
    </row>
    <row r="344" customFormat="false" ht="15" hidden="false" customHeight="false" outlineLevel="0" collapsed="false">
      <c r="A344" s="0" t="n">
        <v>21</v>
      </c>
      <c r="AA344" s="0" t="n">
        <v>21</v>
      </c>
      <c r="AB344" s="0" t="s">
        <v>477</v>
      </c>
      <c r="AD344" s="0" t="n">
        <v>12</v>
      </c>
      <c r="AE344" s="0" t="s">
        <v>96</v>
      </c>
      <c r="AH344" s="0" t="n">
        <v>1</v>
      </c>
      <c r="AJ344" s="0" t="n">
        <v>10</v>
      </c>
      <c r="AP344" s="0" t="n">
        <v>410000</v>
      </c>
      <c r="DB344" s="0" t="str">
        <f aca="false">IF($A344="","",IF($AE344&amp;""&lt;&gt;設定!$C$4,"対象外",IF($AH344=20,IF(OR($AJ344=10,$AJ344=11,$AJ344=18),"①病院一般",IF($AJ344=41,"②病院短期","対象外")),IF($AH344=5,IF($AJ344=30,"③特定消防","対象外"),IF(OR($AJ344=10,$AJ344=11,$AJ344=74),"④一般",IF(OR($AJ344=41,$AJ344=47),"⑤短期","対象外"))))))</f>
        <v>④一般</v>
      </c>
    </row>
    <row r="345" customFormat="false" ht="15" hidden="false" customHeight="false" outlineLevel="0" collapsed="false">
      <c r="A345" s="0" t="n">
        <v>21</v>
      </c>
      <c r="AA345" s="0" t="n">
        <v>21</v>
      </c>
      <c r="AB345" s="0" t="s">
        <v>423</v>
      </c>
      <c r="AD345" s="0" t="n">
        <v>12</v>
      </c>
      <c r="AE345" s="0" t="s">
        <v>294</v>
      </c>
      <c r="AH345" s="0" t="n">
        <v>1</v>
      </c>
      <c r="AJ345" s="0" t="n">
        <v>10</v>
      </c>
      <c r="AP345" s="0" t="n">
        <v>500000</v>
      </c>
      <c r="DB345" s="0" t="str">
        <f aca="false">IF($A345="","",IF($AE345&amp;""&lt;&gt;設定!$C$4,"対象外",IF($AH345=20,IF(OR($AJ345=10,$AJ345=11,$AJ345=18),"①病院一般",IF($AJ345=41,"②病院短期","対象外")),IF($AH345=5,IF($AJ345=30,"③特定消防","対象外"),IF(OR($AJ345=10,$AJ345=11,$AJ345=74),"④一般",IF(OR($AJ345=41,$AJ345=47),"⑤短期","対象外"))))))</f>
        <v>対象外</v>
      </c>
    </row>
    <row r="346" customFormat="false" ht="15" hidden="false" customHeight="false" outlineLevel="0" collapsed="false">
      <c r="A346" s="0" t="n">
        <v>21</v>
      </c>
      <c r="AA346" s="0" t="n">
        <v>21</v>
      </c>
      <c r="AB346" s="0" t="s">
        <v>423</v>
      </c>
      <c r="AD346" s="0" t="n">
        <v>12</v>
      </c>
      <c r="AE346" s="0" t="s">
        <v>335</v>
      </c>
      <c r="AH346" s="0" t="n">
        <v>1</v>
      </c>
      <c r="AJ346" s="0" t="n">
        <v>10</v>
      </c>
      <c r="AP346" s="0" t="n">
        <v>380000</v>
      </c>
      <c r="DB346" s="0" t="str">
        <f aca="false">IF($A346="","",IF($AE346&amp;""&lt;&gt;設定!$C$4,"対象外",IF($AH346=20,IF(OR($AJ346=10,$AJ346=11,$AJ346=18),"①病院一般",IF($AJ346=41,"②病院短期","対象外")),IF($AH346=5,IF($AJ346=30,"③特定消防","対象外"),IF(OR($AJ346=10,$AJ346=11,$AJ346=74),"④一般",IF(OR($AJ346=41,$AJ346=47),"⑤短期","対象外"))))))</f>
        <v>対象外</v>
      </c>
    </row>
    <row r="347" customFormat="false" ht="15" hidden="false" customHeight="false" outlineLevel="0" collapsed="false">
      <c r="A347" s="0" t="n">
        <v>21</v>
      </c>
      <c r="AA347" s="0" t="n">
        <v>21</v>
      </c>
      <c r="AB347" s="0" t="s">
        <v>423</v>
      </c>
      <c r="AD347" s="0" t="n">
        <v>12</v>
      </c>
      <c r="AE347" s="0" t="s">
        <v>301</v>
      </c>
      <c r="AH347" s="0" t="n">
        <v>1</v>
      </c>
      <c r="AJ347" s="0" t="n">
        <v>10</v>
      </c>
      <c r="AP347" s="0" t="n">
        <v>470000</v>
      </c>
      <c r="DB347" s="0" t="str">
        <f aca="false">IF($A347="","",IF($AE347&amp;""&lt;&gt;設定!$C$4,"対象外",IF($AH347=20,IF(OR($AJ347=10,$AJ347=11,$AJ347=18),"①病院一般",IF($AJ347=41,"②病院短期","対象外")),IF($AH347=5,IF($AJ347=30,"③特定消防","対象外"),IF(OR($AJ347=10,$AJ347=11,$AJ347=74),"④一般",IF(OR($AJ347=41,$AJ347=47),"⑤短期","対象外"))))))</f>
        <v>対象外</v>
      </c>
    </row>
    <row r="348" customFormat="false" ht="15" hidden="false" customHeight="false" outlineLevel="0" collapsed="false">
      <c r="A348" s="0" t="n">
        <v>21</v>
      </c>
      <c r="AA348" s="0" t="n">
        <v>21</v>
      </c>
      <c r="AB348" s="0" t="s">
        <v>423</v>
      </c>
      <c r="AD348" s="0" t="n">
        <v>12</v>
      </c>
      <c r="AE348" s="0" t="s">
        <v>96</v>
      </c>
      <c r="AH348" s="0" t="n">
        <v>20</v>
      </c>
      <c r="AJ348" s="0" t="n">
        <v>10</v>
      </c>
      <c r="AP348" s="0" t="n">
        <v>300000</v>
      </c>
      <c r="DB348" s="0" t="str">
        <f aca="false">IF($A348="","",IF($AE348&amp;""&lt;&gt;設定!$C$4,"対象外",IF($AH348=20,IF(OR($AJ348=10,$AJ348=11,$AJ348=18),"①病院一般",IF($AJ348=41,"②病院短期","対象外")),IF($AH348=5,IF($AJ348=30,"③特定消防","対象外"),IF(OR($AJ348=10,$AJ348=11,$AJ348=74),"④一般",IF(OR($AJ348=41,$AJ348=47),"⑤短期","対象外"))))))</f>
        <v>①病院一般</v>
      </c>
    </row>
    <row r="349" customFormat="false" ht="15" hidden="false" customHeight="false" outlineLevel="0" collapsed="false">
      <c r="A349" s="0" t="n">
        <v>21</v>
      </c>
      <c r="AA349" s="0" t="n">
        <v>21</v>
      </c>
      <c r="AB349" s="0" t="s">
        <v>423</v>
      </c>
      <c r="AD349" s="0" t="n">
        <v>12</v>
      </c>
      <c r="AE349" s="0" t="s">
        <v>96</v>
      </c>
      <c r="AH349" s="0" t="n">
        <v>20</v>
      </c>
      <c r="AJ349" s="0" t="n">
        <v>10</v>
      </c>
      <c r="AP349" s="0" t="n">
        <v>440000</v>
      </c>
      <c r="DB349" s="0" t="str">
        <f aca="false">IF($A349="","",IF($AE349&amp;""&lt;&gt;設定!$C$4,"対象外",IF($AH349=20,IF(OR($AJ349=10,$AJ349=11,$AJ349=18),"①病院一般",IF($AJ349=41,"②病院短期","対象外")),IF($AH349=5,IF($AJ349=30,"③特定消防","対象外"),IF(OR($AJ349=10,$AJ349=11,$AJ349=74),"④一般",IF(OR($AJ349=41,$AJ349=47),"⑤短期","対象外"))))))</f>
        <v>①病院一般</v>
      </c>
    </row>
    <row r="350" customFormat="false" ht="15" hidden="false" customHeight="false" outlineLevel="0" collapsed="false">
      <c r="A350" s="0" t="n">
        <v>21</v>
      </c>
      <c r="AA350" s="0" t="n">
        <v>21</v>
      </c>
      <c r="AB350" s="0" t="s">
        <v>423</v>
      </c>
      <c r="AD350" s="0" t="n">
        <v>12</v>
      </c>
      <c r="AE350" s="0" t="s">
        <v>96</v>
      </c>
      <c r="AH350" s="0" t="n">
        <v>20</v>
      </c>
      <c r="AJ350" s="0" t="n">
        <v>10</v>
      </c>
      <c r="AP350" s="0" t="n">
        <v>260000</v>
      </c>
      <c r="DB350" s="0" t="str">
        <f aca="false">IF($A350="","",IF($AE350&amp;""&lt;&gt;設定!$C$4,"対象外",IF($AH350=20,IF(OR($AJ350=10,$AJ350=11,$AJ350=18),"①病院一般",IF($AJ350=41,"②病院短期","対象外")),IF($AH350=5,IF($AJ350=30,"③特定消防","対象外"),IF(OR($AJ350=10,$AJ350=11,$AJ350=74),"④一般",IF(OR($AJ350=41,$AJ350=47),"⑤短期","対象外"))))))</f>
        <v>①病院一般</v>
      </c>
    </row>
    <row r="351" customFormat="false" ht="15" hidden="false" customHeight="false" outlineLevel="0" collapsed="false">
      <c r="A351" s="0" t="n">
        <v>21</v>
      </c>
      <c r="AA351" s="0" t="n">
        <v>21</v>
      </c>
      <c r="AB351" s="0" t="s">
        <v>423</v>
      </c>
      <c r="AD351" s="0" t="n">
        <v>12</v>
      </c>
      <c r="AE351" s="0" t="s">
        <v>303</v>
      </c>
      <c r="AH351" s="0" t="n">
        <v>20</v>
      </c>
      <c r="AJ351" s="0" t="n">
        <v>10</v>
      </c>
      <c r="AP351" s="0" t="n">
        <v>500000</v>
      </c>
      <c r="DB351" s="0" t="str">
        <f aca="false">IF($A351="","",IF($AE351&amp;""&lt;&gt;設定!$C$4,"対象外",IF($AH351=20,IF(OR($AJ351=10,$AJ351=11,$AJ351=18),"①病院一般",IF($AJ351=41,"②病院短期","対象外")),IF($AH351=5,IF($AJ351=30,"③特定消防","対象外"),IF(OR($AJ351=10,$AJ351=11,$AJ351=74),"④一般",IF(OR($AJ351=41,$AJ351=47),"⑤短期","対象外"))))))</f>
        <v>対象外</v>
      </c>
    </row>
    <row r="352" customFormat="false" ht="15" hidden="false" customHeight="false" outlineLevel="0" collapsed="false">
      <c r="A352" s="0" t="n">
        <v>21</v>
      </c>
      <c r="AA352" s="0" t="n">
        <v>21</v>
      </c>
      <c r="AB352" s="0" t="s">
        <v>423</v>
      </c>
      <c r="AD352" s="0" t="n">
        <v>12</v>
      </c>
      <c r="AE352" s="0" t="s">
        <v>96</v>
      </c>
      <c r="AH352" s="0" t="n">
        <v>20</v>
      </c>
      <c r="AJ352" s="0" t="n">
        <v>10</v>
      </c>
      <c r="AP352" s="0" t="n">
        <v>360000</v>
      </c>
      <c r="DB352" s="0" t="str">
        <f aca="false">IF($A352="","",IF($AE352&amp;""&lt;&gt;設定!$C$4,"対象外",IF($AH352=20,IF(OR($AJ352=10,$AJ352=11,$AJ352=18),"①病院一般",IF($AJ352=41,"②病院短期","対象外")),IF($AH352=5,IF($AJ352=30,"③特定消防","対象外"),IF(OR($AJ352=10,$AJ352=11,$AJ352=74),"④一般",IF(OR($AJ352=41,$AJ352=47),"⑤短期","対象外"))))))</f>
        <v>①病院一般</v>
      </c>
    </row>
    <row r="353" customFormat="false" ht="15" hidden="false" customHeight="false" outlineLevel="0" collapsed="false">
      <c r="A353" s="0" t="n">
        <v>21</v>
      </c>
      <c r="AA353" s="0" t="n">
        <v>21</v>
      </c>
      <c r="AB353" s="0" t="s">
        <v>423</v>
      </c>
      <c r="AD353" s="0" t="n">
        <v>12</v>
      </c>
      <c r="AE353" s="0" t="s">
        <v>382</v>
      </c>
      <c r="AH353" s="0" t="n">
        <v>20</v>
      </c>
      <c r="AJ353" s="0" t="n">
        <v>10</v>
      </c>
      <c r="AP353" s="0" t="n">
        <v>1210000</v>
      </c>
      <c r="DB353" s="0" t="str">
        <f aca="false">IF($A353="","",IF($AE353&amp;""&lt;&gt;設定!$C$4,"対象外",IF($AH353=20,IF(OR($AJ353=10,$AJ353=11,$AJ353=18),"①病院一般",IF($AJ353=41,"②病院短期","対象外")),IF($AH353=5,IF($AJ353=30,"③特定消防","対象外"),IF(OR($AJ353=10,$AJ353=11,$AJ353=74),"④一般",IF(OR($AJ353=41,$AJ353=47),"⑤短期","対象外"))))))</f>
        <v>対象外</v>
      </c>
    </row>
    <row r="354" customFormat="false" ht="15" hidden="false" customHeight="false" outlineLevel="0" collapsed="false">
      <c r="A354" s="0" t="n">
        <v>21</v>
      </c>
      <c r="AA354" s="0" t="n">
        <v>21</v>
      </c>
      <c r="AB354" s="0" t="s">
        <v>478</v>
      </c>
      <c r="AD354" s="0" t="n">
        <v>12</v>
      </c>
      <c r="AE354" s="0" t="s">
        <v>96</v>
      </c>
      <c r="AH354" s="0" t="n">
        <v>1</v>
      </c>
      <c r="AJ354" s="0" t="n">
        <v>10</v>
      </c>
      <c r="AP354" s="0" t="n">
        <v>340000</v>
      </c>
      <c r="DB354" s="0" t="str">
        <f aca="false">IF($A354="","",IF($AE354&amp;""&lt;&gt;設定!$C$4,"対象外",IF($AH354=20,IF(OR($AJ354=10,$AJ354=11,$AJ354=18),"①病院一般",IF($AJ354=41,"②病院短期","対象外")),IF($AH354=5,IF($AJ354=30,"③特定消防","対象外"),IF(OR($AJ354=10,$AJ354=11,$AJ354=74),"④一般",IF(OR($AJ354=41,$AJ354=47),"⑤短期","対象外"))))))</f>
        <v>④一般</v>
      </c>
    </row>
    <row r="355" customFormat="false" ht="15" hidden="false" customHeight="false" outlineLevel="0" collapsed="false">
      <c r="A355" s="0" t="n">
        <v>21</v>
      </c>
      <c r="AA355" s="0" t="n">
        <v>21</v>
      </c>
      <c r="AB355" s="0" t="s">
        <v>478</v>
      </c>
      <c r="AD355" s="0" t="n">
        <v>12</v>
      </c>
      <c r="AE355" s="0" t="s">
        <v>96</v>
      </c>
      <c r="AH355" s="0" t="n">
        <v>1</v>
      </c>
      <c r="AJ355" s="0" t="n">
        <v>10</v>
      </c>
      <c r="AP355" s="0" t="n">
        <v>410000</v>
      </c>
      <c r="DB355" s="0" t="str">
        <f aca="false">IF($A355="","",IF($AE355&amp;""&lt;&gt;設定!$C$4,"対象外",IF($AH355=20,IF(OR($AJ355=10,$AJ355=11,$AJ355=18),"①病院一般",IF($AJ355=41,"②病院短期","対象外")),IF($AH355=5,IF($AJ355=30,"③特定消防","対象外"),IF(OR($AJ355=10,$AJ355=11,$AJ355=74),"④一般",IF(OR($AJ355=41,$AJ355=47),"⑤短期","対象外"))))))</f>
        <v>④一般</v>
      </c>
    </row>
    <row r="356" customFormat="false" ht="15" hidden="false" customHeight="false" outlineLevel="0" collapsed="false">
      <c r="A356" s="0" t="n">
        <v>21</v>
      </c>
      <c r="AA356" s="0" t="n">
        <v>21</v>
      </c>
      <c r="AB356" s="0" t="s">
        <v>478</v>
      </c>
      <c r="AD356" s="0" t="n">
        <v>12</v>
      </c>
      <c r="AE356" s="0" t="s">
        <v>96</v>
      </c>
      <c r="AH356" s="0" t="n">
        <v>3</v>
      </c>
      <c r="AJ356" s="0" t="n">
        <v>10</v>
      </c>
      <c r="AP356" s="0" t="n">
        <v>530000</v>
      </c>
      <c r="DB356" s="0" t="str">
        <f aca="false">IF($A356="","",IF($AE356&amp;""&lt;&gt;設定!$C$4,"対象外",IF($AH356=20,IF(OR($AJ356=10,$AJ356=11,$AJ356=18),"①病院一般",IF($AJ356=41,"②病院短期","対象外")),IF($AH356=5,IF($AJ356=30,"③特定消防","対象外"),IF(OR($AJ356=10,$AJ356=11,$AJ356=74),"④一般",IF(OR($AJ356=41,$AJ356=47),"⑤短期","対象外"))))))</f>
        <v>④一般</v>
      </c>
    </row>
    <row r="357" customFormat="false" ht="15" hidden="false" customHeight="false" outlineLevel="0" collapsed="false">
      <c r="A357" s="0" t="n">
        <v>21</v>
      </c>
      <c r="AA357" s="0" t="n">
        <v>21</v>
      </c>
      <c r="AB357" s="0" t="s">
        <v>478</v>
      </c>
      <c r="AD357" s="0" t="n">
        <v>12</v>
      </c>
      <c r="AE357" s="0" t="s">
        <v>296</v>
      </c>
      <c r="AH357" s="0" t="n">
        <v>4</v>
      </c>
      <c r="AJ357" s="0" t="n">
        <v>10</v>
      </c>
      <c r="AP357" s="0" t="n">
        <v>340000</v>
      </c>
      <c r="DB357" s="0" t="str">
        <f aca="false">IF($A357="","",IF($AE357&amp;""&lt;&gt;設定!$C$4,"対象外",IF($AH357=20,IF(OR($AJ357=10,$AJ357=11,$AJ357=18),"①病院一般",IF($AJ357=41,"②病院短期","対象外")),IF($AH357=5,IF($AJ357=30,"③特定消防","対象外"),IF(OR($AJ357=10,$AJ357=11,$AJ357=74),"④一般",IF(OR($AJ357=41,$AJ357=47),"⑤短期","対象外"))))))</f>
        <v>対象外</v>
      </c>
    </row>
    <row r="358" customFormat="false" ht="15" hidden="false" customHeight="false" outlineLevel="0" collapsed="false">
      <c r="A358" s="0" t="n">
        <v>21</v>
      </c>
      <c r="AA358" s="0" t="n">
        <v>21</v>
      </c>
      <c r="AB358" s="0" t="s">
        <v>478</v>
      </c>
      <c r="AD358" s="0" t="n">
        <v>12</v>
      </c>
      <c r="AE358" s="0" t="s">
        <v>96</v>
      </c>
      <c r="AH358" s="0" t="n">
        <v>1</v>
      </c>
      <c r="AJ358" s="0" t="n">
        <v>10</v>
      </c>
      <c r="AP358" s="0" t="n">
        <v>340000</v>
      </c>
      <c r="DB358" s="0" t="str">
        <f aca="false">IF($A358="","",IF($AE358&amp;""&lt;&gt;設定!$C$4,"対象外",IF($AH358=20,IF(OR($AJ358=10,$AJ358=11,$AJ358=18),"①病院一般",IF($AJ358=41,"②病院短期","対象外")),IF($AH358=5,IF($AJ358=30,"③特定消防","対象外"),IF(OR($AJ358=10,$AJ358=11,$AJ358=74),"④一般",IF(OR($AJ358=41,$AJ358=47),"⑤短期","対象外"))))))</f>
        <v>④一般</v>
      </c>
    </row>
    <row r="359" customFormat="false" ht="15" hidden="false" customHeight="false" outlineLevel="0" collapsed="false">
      <c r="A359" s="0" t="n">
        <v>21</v>
      </c>
      <c r="AA359" s="0" t="n">
        <v>21</v>
      </c>
      <c r="AB359" s="0" t="s">
        <v>478</v>
      </c>
      <c r="AD359" s="0" t="n">
        <v>12</v>
      </c>
      <c r="AE359" s="0" t="s">
        <v>96</v>
      </c>
      <c r="AH359" s="0" t="n">
        <v>1</v>
      </c>
      <c r="AJ359" s="0" t="n">
        <v>10</v>
      </c>
      <c r="AP359" s="0" t="n">
        <v>300000</v>
      </c>
      <c r="DB359" s="0" t="str">
        <f aca="false">IF($A359="","",IF($AE359&amp;""&lt;&gt;設定!$C$4,"対象外",IF($AH359=20,IF(OR($AJ359=10,$AJ359=11,$AJ359=18),"①病院一般",IF($AJ359=41,"②病院短期","対象外")),IF($AH359=5,IF($AJ359=30,"③特定消防","対象外"),IF(OR($AJ359=10,$AJ359=11,$AJ359=74),"④一般",IF(OR($AJ359=41,$AJ359=47),"⑤短期","対象外"))))))</f>
        <v>④一般</v>
      </c>
    </row>
    <row r="360" customFormat="false" ht="15" hidden="false" customHeight="false" outlineLevel="0" collapsed="false">
      <c r="A360" s="0" t="n">
        <v>21</v>
      </c>
      <c r="AA360" s="0" t="n">
        <v>21</v>
      </c>
      <c r="AB360" s="0" t="s">
        <v>478</v>
      </c>
      <c r="AD360" s="0" t="n">
        <v>12</v>
      </c>
      <c r="AE360" s="0" t="s">
        <v>375</v>
      </c>
      <c r="AH360" s="0" t="n">
        <v>1</v>
      </c>
      <c r="AJ360" s="0" t="n">
        <v>10</v>
      </c>
      <c r="AP360" s="0" t="n">
        <v>380000</v>
      </c>
      <c r="DB360" s="0" t="str">
        <f aca="false">IF($A360="","",IF($AE360&amp;""&lt;&gt;設定!$C$4,"対象外",IF($AH360=20,IF(OR($AJ360=10,$AJ360=11,$AJ360=18),"①病院一般",IF($AJ360=41,"②病院短期","対象外")),IF($AH360=5,IF($AJ360=30,"③特定消防","対象外"),IF(OR($AJ360=10,$AJ360=11,$AJ360=74),"④一般",IF(OR($AJ360=41,$AJ360=47),"⑤短期","対象外"))))))</f>
        <v>対象外</v>
      </c>
    </row>
    <row r="361" customFormat="false" ht="15" hidden="false" customHeight="false" outlineLevel="0" collapsed="false">
      <c r="A361" s="0" t="n">
        <v>21</v>
      </c>
      <c r="AA361" s="0" t="n">
        <v>21</v>
      </c>
      <c r="AB361" s="0" t="s">
        <v>478</v>
      </c>
      <c r="AD361" s="0" t="n">
        <v>12</v>
      </c>
      <c r="AE361" s="0" t="s">
        <v>96</v>
      </c>
      <c r="AH361" s="0" t="n">
        <v>5</v>
      </c>
      <c r="AJ361" s="0" t="n">
        <v>30</v>
      </c>
      <c r="AP361" s="0" t="n">
        <v>280000</v>
      </c>
      <c r="DB361" s="0" t="str">
        <f aca="false">IF($A361="","",IF($AE361&amp;""&lt;&gt;設定!$C$4,"対象外",IF($AH361=20,IF(OR($AJ361=10,$AJ361=11,$AJ361=18),"①病院一般",IF($AJ361=41,"②病院短期","対象外")),IF($AH361=5,IF($AJ361=30,"③特定消防","対象外"),IF(OR($AJ361=10,$AJ361=11,$AJ361=74),"④一般",IF(OR($AJ361=41,$AJ361=47),"⑤短期","対象外"))))))</f>
        <v>③特定消防</v>
      </c>
    </row>
    <row r="362" customFormat="false" ht="15" hidden="false" customHeight="false" outlineLevel="0" collapsed="false">
      <c r="A362" s="0" t="n">
        <v>21</v>
      </c>
      <c r="AA362" s="0" t="n">
        <v>21</v>
      </c>
      <c r="AB362" s="0" t="s">
        <v>478</v>
      </c>
      <c r="AD362" s="0" t="n">
        <v>12</v>
      </c>
      <c r="AE362" s="0" t="s">
        <v>96</v>
      </c>
      <c r="AH362" s="0" t="n">
        <v>5</v>
      </c>
      <c r="AJ362" s="0" t="n">
        <v>30</v>
      </c>
      <c r="AP362" s="0" t="n">
        <v>190000</v>
      </c>
      <c r="DB362" s="0" t="str">
        <f aca="false">IF($A362="","",IF($AE362&amp;""&lt;&gt;設定!$C$4,"対象外",IF($AH362=20,IF(OR($AJ362=10,$AJ362=11,$AJ362=18),"①病院一般",IF($AJ362=41,"②病院短期","対象外")),IF($AH362=5,IF($AJ362=30,"③特定消防","対象外"),IF(OR($AJ362=10,$AJ362=11,$AJ362=74),"④一般",IF(OR($AJ362=41,$AJ362=47),"⑤短期","対象外"))))))</f>
        <v>③特定消防</v>
      </c>
    </row>
    <row r="363" customFormat="false" ht="15" hidden="false" customHeight="false" outlineLevel="0" collapsed="false">
      <c r="A363" s="0" t="n">
        <v>21</v>
      </c>
      <c r="AA363" s="0" t="n">
        <v>21</v>
      </c>
      <c r="AB363" s="0" t="s">
        <v>479</v>
      </c>
      <c r="AD363" s="0" t="n">
        <v>12</v>
      </c>
      <c r="AE363" s="0" t="s">
        <v>96</v>
      </c>
      <c r="AH363" s="0" t="n">
        <v>1</v>
      </c>
      <c r="AJ363" s="0" t="n">
        <v>10</v>
      </c>
      <c r="AP363" s="0" t="n">
        <v>1030000</v>
      </c>
      <c r="DB363" s="0" t="str">
        <f aca="false">IF($A363="","",IF($AE363&amp;""&lt;&gt;設定!$C$4,"対象外",IF($AH363=20,IF(OR($AJ363=10,$AJ363=11,$AJ363=18),"①病院一般",IF($AJ363=41,"②病院短期","対象外")),IF($AH363=5,IF($AJ363=30,"③特定消防","対象外"),IF(OR($AJ363=10,$AJ363=11,$AJ363=74),"④一般",IF(OR($AJ363=41,$AJ363=47),"⑤短期","対象外"))))))</f>
        <v>④一般</v>
      </c>
    </row>
    <row r="364" customFormat="false" ht="15" hidden="false" customHeight="false" outlineLevel="0" collapsed="false">
      <c r="A364" s="0" t="n">
        <v>21</v>
      </c>
      <c r="AA364" s="0" t="n">
        <v>21</v>
      </c>
      <c r="AB364" s="0" t="s">
        <v>478</v>
      </c>
      <c r="AD364" s="0" t="n">
        <v>12</v>
      </c>
      <c r="AE364" s="0" t="s">
        <v>96</v>
      </c>
      <c r="AH364" s="0" t="n">
        <v>20</v>
      </c>
      <c r="AJ364" s="0" t="n">
        <v>10</v>
      </c>
      <c r="AP364" s="0" t="n">
        <v>440000</v>
      </c>
      <c r="DB364" s="0" t="str">
        <f aca="false">IF($A364="","",IF($AE364&amp;""&lt;&gt;設定!$C$4,"対象外",IF($AH364=20,IF(OR($AJ364=10,$AJ364=11,$AJ364=18),"①病院一般",IF($AJ364=41,"②病院短期","対象外")),IF($AH364=5,IF($AJ364=30,"③特定消防","対象外"),IF(OR($AJ364=10,$AJ364=11,$AJ364=74),"④一般",IF(OR($AJ364=41,$AJ364=47),"⑤短期","対象外"))))))</f>
        <v>①病院一般</v>
      </c>
    </row>
    <row r="365" customFormat="false" ht="15" hidden="false" customHeight="false" outlineLevel="0" collapsed="false">
      <c r="A365" s="0" t="n">
        <v>21</v>
      </c>
      <c r="AA365" s="0" t="n">
        <v>21</v>
      </c>
      <c r="AB365" s="0" t="s">
        <v>478</v>
      </c>
      <c r="AD365" s="0" t="n">
        <v>12</v>
      </c>
      <c r="AE365" s="0" t="s">
        <v>96</v>
      </c>
      <c r="AH365" s="0" t="n">
        <v>20</v>
      </c>
      <c r="AJ365" s="0" t="n">
        <v>10</v>
      </c>
      <c r="AP365" s="0" t="n">
        <v>440000</v>
      </c>
      <c r="DB365" s="0" t="str">
        <f aca="false">IF($A365="","",IF($AE365&amp;""&lt;&gt;設定!$C$4,"対象外",IF($AH365=20,IF(OR($AJ365=10,$AJ365=11,$AJ365=18),"①病院一般",IF($AJ365=41,"②病院短期","対象外")),IF($AH365=5,IF($AJ365=30,"③特定消防","対象外"),IF(OR($AJ365=10,$AJ365=11,$AJ365=74),"④一般",IF(OR($AJ365=41,$AJ365=47),"⑤短期","対象外"))))))</f>
        <v>①病院一般</v>
      </c>
    </row>
    <row r="366" customFormat="false" ht="15" hidden="false" customHeight="false" outlineLevel="0" collapsed="false">
      <c r="A366" s="0" t="n">
        <v>21</v>
      </c>
      <c r="AA366" s="0" t="n">
        <v>21</v>
      </c>
      <c r="AB366" s="0" t="s">
        <v>478</v>
      </c>
      <c r="AD366" s="0" t="n">
        <v>12</v>
      </c>
      <c r="AE366" s="0" t="s">
        <v>96</v>
      </c>
      <c r="AH366" s="0" t="n">
        <v>20</v>
      </c>
      <c r="AJ366" s="0" t="n">
        <v>10</v>
      </c>
      <c r="AP366" s="0" t="n">
        <v>380000</v>
      </c>
      <c r="DB366" s="0" t="str">
        <f aca="false">IF($A366="","",IF($AE366&amp;""&lt;&gt;設定!$C$4,"対象外",IF($AH366=20,IF(OR($AJ366=10,$AJ366=11,$AJ366=18),"①病院一般",IF($AJ366=41,"②病院短期","対象外")),IF($AH366=5,IF($AJ366=30,"③特定消防","対象外"),IF(OR($AJ366=10,$AJ366=11,$AJ366=74),"④一般",IF(OR($AJ366=41,$AJ366=47),"⑤短期","対象外"))))))</f>
        <v>①病院一般</v>
      </c>
    </row>
    <row r="367" customFormat="false" ht="15" hidden="false" customHeight="false" outlineLevel="0" collapsed="false">
      <c r="A367" s="0" t="n">
        <v>21</v>
      </c>
      <c r="AA367" s="0" t="n">
        <v>21</v>
      </c>
      <c r="AB367" s="0" t="s">
        <v>478</v>
      </c>
      <c r="AD367" s="0" t="n">
        <v>12</v>
      </c>
      <c r="AE367" s="0" t="s">
        <v>303</v>
      </c>
      <c r="AH367" s="0" t="n">
        <v>20</v>
      </c>
      <c r="AJ367" s="0" t="n">
        <v>10</v>
      </c>
      <c r="AP367" s="0" t="n">
        <v>930000</v>
      </c>
      <c r="DB367" s="0" t="str">
        <f aca="false">IF($A367="","",IF($AE367&amp;""&lt;&gt;設定!$C$4,"対象外",IF($AH367=20,IF(OR($AJ367=10,$AJ367=11,$AJ367=18),"①病院一般",IF($AJ367=41,"②病院短期","対象外")),IF($AH367=5,IF($AJ367=30,"③特定消防","対象外"),IF(OR($AJ367=10,$AJ367=11,$AJ367=74),"④一般",IF(OR($AJ367=41,$AJ367=47),"⑤短期","対象外"))))))</f>
        <v>対象外</v>
      </c>
    </row>
    <row r="368" customFormat="false" ht="15" hidden="false" customHeight="false" outlineLevel="0" collapsed="false">
      <c r="A368" s="0" t="n">
        <v>21</v>
      </c>
      <c r="AA368" s="0" t="n">
        <v>21</v>
      </c>
      <c r="AB368" s="0" t="s">
        <v>426</v>
      </c>
      <c r="AD368" s="0" t="n">
        <v>12</v>
      </c>
      <c r="AE368" s="0" t="s">
        <v>96</v>
      </c>
      <c r="AH368" s="0" t="n">
        <v>20</v>
      </c>
      <c r="AJ368" s="0" t="n">
        <v>10</v>
      </c>
      <c r="AP368" s="0" t="n">
        <v>240000</v>
      </c>
      <c r="DB368" s="0" t="str">
        <f aca="false">IF($A368="","",IF($AE368&amp;""&lt;&gt;設定!$C$4,"対象外",IF($AH368=20,IF(OR($AJ368=10,$AJ368=11,$AJ368=18),"①病院一般",IF($AJ368=41,"②病院短期","対象外")),IF($AH368=5,IF($AJ368=30,"③特定消防","対象外"),IF(OR($AJ368=10,$AJ368=11,$AJ368=74),"④一般",IF(OR($AJ368=41,$AJ368=47),"⑤短期","対象外"))))))</f>
        <v>①病院一般</v>
      </c>
    </row>
    <row r="369" customFormat="false" ht="15" hidden="false" customHeight="false" outlineLevel="0" collapsed="false">
      <c r="A369" s="0" t="n">
        <v>21</v>
      </c>
      <c r="AA369" s="0" t="n">
        <v>21</v>
      </c>
      <c r="AB369" s="0" t="s">
        <v>452</v>
      </c>
      <c r="AD369" s="0" t="n">
        <v>12</v>
      </c>
      <c r="AE369" s="0" t="s">
        <v>96</v>
      </c>
      <c r="AH369" s="0" t="n">
        <v>3</v>
      </c>
      <c r="AJ369" s="0" t="n">
        <v>10</v>
      </c>
      <c r="AP369" s="0" t="n">
        <v>410000</v>
      </c>
      <c r="DB369" s="0" t="str">
        <f aca="false">IF($A369="","",IF($AE369&amp;""&lt;&gt;設定!$C$4,"対象外",IF($AH369=20,IF(OR($AJ369=10,$AJ369=11,$AJ369=18),"①病院一般",IF($AJ369=41,"②病院短期","対象外")),IF($AH369=5,IF($AJ369=30,"③特定消防","対象外"),IF(OR($AJ369=10,$AJ369=11,$AJ369=74),"④一般",IF(OR($AJ369=41,$AJ369=47),"⑤短期","対象外"))))))</f>
        <v>④一般</v>
      </c>
    </row>
    <row r="370" customFormat="false" ht="15" hidden="false" customHeight="false" outlineLevel="0" collapsed="false">
      <c r="A370" s="0" t="n">
        <v>21</v>
      </c>
      <c r="AA370" s="0" t="n">
        <v>21</v>
      </c>
      <c r="AB370" s="0" t="s">
        <v>452</v>
      </c>
      <c r="AD370" s="0" t="n">
        <v>12</v>
      </c>
      <c r="AE370" s="0" t="s">
        <v>96</v>
      </c>
      <c r="AH370" s="0" t="n">
        <v>1</v>
      </c>
      <c r="AJ370" s="0" t="n">
        <v>10</v>
      </c>
      <c r="AP370" s="0" t="n">
        <v>340000</v>
      </c>
      <c r="DB370" s="0" t="str">
        <f aca="false">IF($A370="","",IF($AE370&amp;""&lt;&gt;設定!$C$4,"対象外",IF($AH370=20,IF(OR($AJ370=10,$AJ370=11,$AJ370=18),"①病院一般",IF($AJ370=41,"②病院短期","対象外")),IF($AH370=5,IF($AJ370=30,"③特定消防","対象外"),IF(OR($AJ370=10,$AJ370=11,$AJ370=74),"④一般",IF(OR($AJ370=41,$AJ370=47),"⑤短期","対象外"))))))</f>
        <v>④一般</v>
      </c>
    </row>
    <row r="371" customFormat="false" ht="15" hidden="false" customHeight="false" outlineLevel="0" collapsed="false">
      <c r="A371" s="0" t="n">
        <v>21</v>
      </c>
      <c r="AA371" s="0" t="n">
        <v>21</v>
      </c>
      <c r="AB371" s="0" t="s">
        <v>452</v>
      </c>
      <c r="AD371" s="0" t="n">
        <v>12</v>
      </c>
      <c r="AE371" s="0" t="s">
        <v>381</v>
      </c>
      <c r="AH371" s="0" t="n">
        <v>4</v>
      </c>
      <c r="AJ371" s="0" t="n">
        <v>10</v>
      </c>
      <c r="AP371" s="0" t="n">
        <v>280000</v>
      </c>
      <c r="DB371" s="0" t="str">
        <f aca="false">IF($A371="","",IF($AE371&amp;""&lt;&gt;設定!$C$4,"対象外",IF($AH371=20,IF(OR($AJ371=10,$AJ371=11,$AJ371=18),"①病院一般",IF($AJ371=41,"②病院短期","対象外")),IF($AH371=5,IF($AJ371=30,"③特定消防","対象外"),IF(OR($AJ371=10,$AJ371=11,$AJ371=74),"④一般",IF(OR($AJ371=41,$AJ371=47),"⑤短期","対象外"))))))</f>
        <v>対象外</v>
      </c>
    </row>
    <row r="372" customFormat="false" ht="15" hidden="false" customHeight="false" outlineLevel="0" collapsed="false">
      <c r="A372" s="0" t="n">
        <v>21</v>
      </c>
      <c r="AA372" s="0" t="n">
        <v>21</v>
      </c>
      <c r="AB372" s="0" t="s">
        <v>452</v>
      </c>
      <c r="AD372" s="0" t="n">
        <v>12</v>
      </c>
      <c r="AE372" s="0" t="s">
        <v>96</v>
      </c>
      <c r="AH372" s="0" t="n">
        <v>1</v>
      </c>
      <c r="AJ372" s="0" t="n">
        <v>10</v>
      </c>
      <c r="AP372" s="0" t="n">
        <v>280000</v>
      </c>
      <c r="DB372" s="0" t="str">
        <f aca="false">IF($A372="","",IF($AE372&amp;""&lt;&gt;設定!$C$4,"対象外",IF($AH372=20,IF(OR($AJ372=10,$AJ372=11,$AJ372=18),"①病院一般",IF($AJ372=41,"②病院短期","対象外")),IF($AH372=5,IF($AJ372=30,"③特定消防","対象外"),IF(OR($AJ372=10,$AJ372=11,$AJ372=74),"④一般",IF(OR($AJ372=41,$AJ372=47),"⑤短期","対象外"))))))</f>
        <v>④一般</v>
      </c>
    </row>
    <row r="373" customFormat="false" ht="15" hidden="false" customHeight="false" outlineLevel="0" collapsed="false">
      <c r="A373" s="0" t="n">
        <v>21</v>
      </c>
      <c r="AA373" s="0" t="n">
        <v>21</v>
      </c>
      <c r="AB373" s="0" t="s">
        <v>452</v>
      </c>
      <c r="AD373" s="0" t="n">
        <v>12</v>
      </c>
      <c r="AE373" s="0" t="s">
        <v>96</v>
      </c>
      <c r="AH373" s="0" t="n">
        <v>1</v>
      </c>
      <c r="AJ373" s="0" t="n">
        <v>10</v>
      </c>
      <c r="AP373" s="0" t="n">
        <v>220000</v>
      </c>
      <c r="DB373" s="0" t="str">
        <f aca="false">IF($A373="","",IF($AE373&amp;""&lt;&gt;設定!$C$4,"対象外",IF($AH373=20,IF(OR($AJ373=10,$AJ373=11,$AJ373=18),"①病院一般",IF($AJ373=41,"②病院短期","対象外")),IF($AH373=5,IF($AJ373=30,"③特定消防","対象外"),IF(OR($AJ373=10,$AJ373=11,$AJ373=74),"④一般",IF(OR($AJ373=41,$AJ373=47),"⑤短期","対象外"))))))</f>
        <v>④一般</v>
      </c>
    </row>
    <row r="374" customFormat="false" ht="15" hidden="false" customHeight="false" outlineLevel="0" collapsed="false">
      <c r="A374" s="0" t="n">
        <v>21</v>
      </c>
      <c r="AA374" s="0" t="n">
        <v>21</v>
      </c>
      <c r="AB374" s="0" t="s">
        <v>452</v>
      </c>
      <c r="AD374" s="0" t="n">
        <v>12</v>
      </c>
      <c r="AE374" s="0" t="s">
        <v>480</v>
      </c>
      <c r="AH374" s="0" t="n">
        <v>1</v>
      </c>
      <c r="AJ374" s="0" t="n">
        <v>10</v>
      </c>
      <c r="AP374" s="0" t="n">
        <v>260000</v>
      </c>
      <c r="DB374" s="0" t="str">
        <f aca="false">IF($A374="","",IF($AE374&amp;""&lt;&gt;設定!$C$4,"対象外",IF($AH374=20,IF(OR($AJ374=10,$AJ374=11,$AJ374=18),"①病院一般",IF($AJ374=41,"②病院短期","対象外")),IF($AH374=5,IF($AJ374=30,"③特定消防","対象外"),IF(OR($AJ374=10,$AJ374=11,$AJ374=74),"④一般",IF(OR($AJ374=41,$AJ374=47),"⑤短期","対象外"))))))</f>
        <v>対象外</v>
      </c>
    </row>
    <row r="375" customFormat="false" ht="15" hidden="false" customHeight="false" outlineLevel="0" collapsed="false">
      <c r="A375" s="0" t="n">
        <v>21</v>
      </c>
      <c r="AA375" s="0" t="n">
        <v>21</v>
      </c>
      <c r="AB375" s="0" t="s">
        <v>452</v>
      </c>
      <c r="AD375" s="0" t="n">
        <v>12</v>
      </c>
      <c r="AE375" s="0" t="s">
        <v>96</v>
      </c>
      <c r="AH375" s="0" t="n">
        <v>1</v>
      </c>
      <c r="AJ375" s="0" t="n">
        <v>10</v>
      </c>
      <c r="AP375" s="0" t="n">
        <v>320000</v>
      </c>
      <c r="DB375" s="0" t="str">
        <f aca="false">IF($A375="","",IF($AE375&amp;""&lt;&gt;設定!$C$4,"対象外",IF($AH375=20,IF(OR($AJ375=10,$AJ375=11,$AJ375=18),"①病院一般",IF($AJ375=41,"②病院短期","対象外")),IF($AH375=5,IF($AJ375=30,"③特定消防","対象外"),IF(OR($AJ375=10,$AJ375=11,$AJ375=74),"④一般",IF(OR($AJ375=41,$AJ375=47),"⑤短期","対象外"))))))</f>
        <v>④一般</v>
      </c>
    </row>
    <row r="376" customFormat="false" ht="15" hidden="false" customHeight="false" outlineLevel="0" collapsed="false">
      <c r="A376" s="0" t="n">
        <v>21</v>
      </c>
      <c r="AA376" s="0" t="n">
        <v>21</v>
      </c>
      <c r="AB376" s="0" t="s">
        <v>452</v>
      </c>
      <c r="AD376" s="0" t="n">
        <v>12</v>
      </c>
      <c r="AE376" s="0" t="s">
        <v>299</v>
      </c>
      <c r="AH376" s="0" t="n">
        <v>20</v>
      </c>
      <c r="AJ376" s="0" t="n">
        <v>10</v>
      </c>
      <c r="AP376" s="0" t="n">
        <v>260000</v>
      </c>
      <c r="DB376" s="0" t="str">
        <f aca="false">IF($A376="","",IF($AE376&amp;""&lt;&gt;設定!$C$4,"対象外",IF($AH376=20,IF(OR($AJ376=10,$AJ376=11,$AJ376=18),"①病院一般",IF($AJ376=41,"②病院短期","対象外")),IF($AH376=5,IF($AJ376=30,"③特定消防","対象外"),IF(OR($AJ376=10,$AJ376=11,$AJ376=74),"④一般",IF(OR($AJ376=41,$AJ376=47),"⑤短期","対象外"))))))</f>
        <v>対象外</v>
      </c>
    </row>
    <row r="377" customFormat="false" ht="15" hidden="false" customHeight="false" outlineLevel="0" collapsed="false">
      <c r="A377" s="0" t="n">
        <v>21</v>
      </c>
      <c r="AA377" s="0" t="n">
        <v>21</v>
      </c>
      <c r="AB377" s="0" t="s">
        <v>452</v>
      </c>
      <c r="AD377" s="0" t="n">
        <v>12</v>
      </c>
      <c r="AE377" s="0" t="s">
        <v>96</v>
      </c>
      <c r="AH377" s="0" t="n">
        <v>20</v>
      </c>
      <c r="AJ377" s="0" t="n">
        <v>10</v>
      </c>
      <c r="AP377" s="0" t="n">
        <v>360000</v>
      </c>
      <c r="DB377" s="0" t="str">
        <f aca="false">IF($A377="","",IF($AE377&amp;""&lt;&gt;設定!$C$4,"対象外",IF($AH377=20,IF(OR($AJ377=10,$AJ377=11,$AJ377=18),"①病院一般",IF($AJ377=41,"②病院短期","対象外")),IF($AH377=5,IF($AJ377=30,"③特定消防","対象外"),IF(OR($AJ377=10,$AJ377=11,$AJ377=74),"④一般",IF(OR($AJ377=41,$AJ377=47),"⑤短期","対象外"))))))</f>
        <v>①病院一般</v>
      </c>
    </row>
    <row r="378" customFormat="false" ht="15" hidden="false" customHeight="false" outlineLevel="0" collapsed="false">
      <c r="A378" s="0" t="n">
        <v>21</v>
      </c>
      <c r="AA378" s="0" t="n">
        <v>21</v>
      </c>
      <c r="AB378" s="0" t="s">
        <v>452</v>
      </c>
      <c r="AD378" s="0" t="n">
        <v>12</v>
      </c>
      <c r="AE378" s="0" t="s">
        <v>96</v>
      </c>
      <c r="AH378" s="0" t="n">
        <v>20</v>
      </c>
      <c r="AJ378" s="0" t="n">
        <v>10</v>
      </c>
      <c r="AP378" s="0" t="n">
        <v>320000</v>
      </c>
      <c r="DB378" s="0" t="str">
        <f aca="false">IF($A378="","",IF($AE378&amp;""&lt;&gt;設定!$C$4,"対象外",IF($AH378=20,IF(OR($AJ378=10,$AJ378=11,$AJ378=18),"①病院一般",IF($AJ378=41,"②病院短期","対象外")),IF($AH378=5,IF($AJ378=30,"③特定消防","対象外"),IF(OR($AJ378=10,$AJ378=11,$AJ378=74),"④一般",IF(OR($AJ378=41,$AJ378=47),"⑤短期","対象外"))))))</f>
        <v>①病院一般</v>
      </c>
    </row>
    <row r="379" customFormat="false" ht="15" hidden="false" customHeight="false" outlineLevel="0" collapsed="false">
      <c r="A379" s="0" t="n">
        <v>21</v>
      </c>
      <c r="AA379" s="0" t="n">
        <v>21</v>
      </c>
      <c r="AB379" s="0" t="s">
        <v>452</v>
      </c>
      <c r="AD379" s="0" t="n">
        <v>12</v>
      </c>
      <c r="AE379" s="0" t="s">
        <v>96</v>
      </c>
      <c r="AH379" s="0" t="n">
        <v>20</v>
      </c>
      <c r="AJ379" s="0" t="n">
        <v>10</v>
      </c>
      <c r="AP379" s="0" t="n">
        <v>1210000</v>
      </c>
      <c r="DB379" s="0" t="str">
        <f aca="false">IF($A379="","",IF($AE379&amp;""&lt;&gt;設定!$C$4,"対象外",IF($AH379=20,IF(OR($AJ379=10,$AJ379=11,$AJ379=18),"①病院一般",IF($AJ379=41,"②病院短期","対象外")),IF($AH379=5,IF($AJ379=30,"③特定消防","対象外"),IF(OR($AJ379=10,$AJ379=11,$AJ379=74),"④一般",IF(OR($AJ379=41,$AJ379=47),"⑤短期","対象外"))))))</f>
        <v>①病院一般</v>
      </c>
    </row>
    <row r="380" customFormat="false" ht="15" hidden="false" customHeight="false" outlineLevel="0" collapsed="false">
      <c r="A380" s="0" t="n">
        <v>21</v>
      </c>
      <c r="AA380" s="0" t="n">
        <v>21</v>
      </c>
      <c r="AB380" s="0" t="s">
        <v>452</v>
      </c>
      <c r="AD380" s="0" t="n">
        <v>12</v>
      </c>
      <c r="AE380" s="0" t="s">
        <v>294</v>
      </c>
      <c r="AH380" s="0" t="n">
        <v>20</v>
      </c>
      <c r="AJ380" s="0" t="n">
        <v>10</v>
      </c>
      <c r="AP380" s="0" t="n">
        <v>260000</v>
      </c>
      <c r="DB380" s="0" t="str">
        <f aca="false">IF($A380="","",IF($AE380&amp;""&lt;&gt;設定!$C$4,"対象外",IF($AH380=20,IF(OR($AJ380=10,$AJ380=11,$AJ380=18),"①病院一般",IF($AJ380=41,"②病院短期","対象外")),IF($AH380=5,IF($AJ380=30,"③特定消防","対象外"),IF(OR($AJ380=10,$AJ380=11,$AJ380=74),"④一般",IF(OR($AJ380=41,$AJ380=47),"⑤短期","対象外"))))))</f>
        <v>対象外</v>
      </c>
    </row>
    <row r="381" customFormat="false" ht="15" hidden="false" customHeight="false" outlineLevel="0" collapsed="false">
      <c r="A381" s="0" t="n">
        <v>21</v>
      </c>
      <c r="AA381" s="0" t="n">
        <v>21</v>
      </c>
      <c r="AB381" s="0" t="s">
        <v>442</v>
      </c>
      <c r="AD381" s="0" t="n">
        <v>12</v>
      </c>
      <c r="AE381" s="0" t="s">
        <v>298</v>
      </c>
      <c r="AH381" s="0" t="n">
        <v>1</v>
      </c>
      <c r="AJ381" s="0" t="n">
        <v>10</v>
      </c>
      <c r="AP381" s="0" t="n">
        <v>320000</v>
      </c>
      <c r="DB381" s="0" t="str">
        <f aca="false">IF($A381="","",IF($AE381&amp;""&lt;&gt;設定!$C$4,"対象外",IF($AH381=20,IF(OR($AJ381=10,$AJ381=11,$AJ381=18),"①病院一般",IF($AJ381=41,"②病院短期","対象外")),IF($AH381=5,IF($AJ381=30,"③特定消防","対象外"),IF(OR($AJ381=10,$AJ381=11,$AJ381=74),"④一般",IF(OR($AJ381=41,$AJ381=47),"⑤短期","対象外"))))))</f>
        <v>対象外</v>
      </c>
    </row>
    <row r="382" customFormat="false" ht="15" hidden="false" customHeight="false" outlineLevel="0" collapsed="false">
      <c r="A382" s="0" t="n">
        <v>21</v>
      </c>
      <c r="AA382" s="0" t="n">
        <v>21</v>
      </c>
      <c r="AB382" s="0" t="s">
        <v>442</v>
      </c>
      <c r="AD382" s="0" t="n">
        <v>12</v>
      </c>
      <c r="AE382" s="0" t="s">
        <v>294</v>
      </c>
      <c r="AH382" s="0" t="n">
        <v>1</v>
      </c>
      <c r="AJ382" s="0" t="n">
        <v>10</v>
      </c>
      <c r="AP382" s="0" t="n">
        <v>340000</v>
      </c>
      <c r="DB382" s="0" t="str">
        <f aca="false">IF($A382="","",IF($AE382&amp;""&lt;&gt;設定!$C$4,"対象外",IF($AH382=20,IF(OR($AJ382=10,$AJ382=11,$AJ382=18),"①病院一般",IF($AJ382=41,"②病院短期","対象外")),IF($AH382=5,IF($AJ382=30,"③特定消防","対象外"),IF(OR($AJ382=10,$AJ382=11,$AJ382=74),"④一般",IF(OR($AJ382=41,$AJ382=47),"⑤短期","対象外"))))))</f>
        <v>対象外</v>
      </c>
    </row>
    <row r="383" customFormat="false" ht="15" hidden="false" customHeight="false" outlineLevel="0" collapsed="false">
      <c r="A383" s="0" t="n">
        <v>21</v>
      </c>
      <c r="AA383" s="0" t="n">
        <v>21</v>
      </c>
      <c r="AB383" s="0" t="s">
        <v>442</v>
      </c>
      <c r="AD383" s="0" t="n">
        <v>12</v>
      </c>
      <c r="AE383" s="0" t="s">
        <v>96</v>
      </c>
      <c r="AH383" s="0" t="n">
        <v>1</v>
      </c>
      <c r="AJ383" s="0" t="n">
        <v>10</v>
      </c>
      <c r="AP383" s="0" t="n">
        <v>470000</v>
      </c>
      <c r="DB383" s="0" t="str">
        <f aca="false">IF($A383="","",IF($AE383&amp;""&lt;&gt;設定!$C$4,"対象外",IF($AH383=20,IF(OR($AJ383=10,$AJ383=11,$AJ383=18),"①病院一般",IF($AJ383=41,"②病院短期","対象外")),IF($AH383=5,IF($AJ383=30,"③特定消防","対象外"),IF(OR($AJ383=10,$AJ383=11,$AJ383=74),"④一般",IF(OR($AJ383=41,$AJ383=47),"⑤短期","対象外"))))))</f>
        <v>④一般</v>
      </c>
    </row>
    <row r="384" customFormat="false" ht="15" hidden="false" customHeight="false" outlineLevel="0" collapsed="false">
      <c r="A384" s="0" t="n">
        <v>21</v>
      </c>
      <c r="AA384" s="0" t="n">
        <v>21</v>
      </c>
      <c r="AB384" s="0" t="s">
        <v>442</v>
      </c>
      <c r="AD384" s="0" t="n">
        <v>12</v>
      </c>
      <c r="AE384" s="0" t="s">
        <v>96</v>
      </c>
      <c r="AH384" s="0" t="n">
        <v>3</v>
      </c>
      <c r="AJ384" s="0" t="n">
        <v>10</v>
      </c>
      <c r="AP384" s="0" t="n">
        <v>340000</v>
      </c>
      <c r="DB384" s="0" t="str">
        <f aca="false">IF($A384="","",IF($AE384&amp;""&lt;&gt;設定!$C$4,"対象外",IF($AH384=20,IF(OR($AJ384=10,$AJ384=11,$AJ384=18),"①病院一般",IF($AJ384=41,"②病院短期","対象外")),IF($AH384=5,IF($AJ384=30,"③特定消防","対象外"),IF(OR($AJ384=10,$AJ384=11,$AJ384=74),"④一般",IF(OR($AJ384=41,$AJ384=47),"⑤短期","対象外"))))))</f>
        <v>④一般</v>
      </c>
    </row>
    <row r="385" customFormat="false" ht="15" hidden="false" customHeight="false" outlineLevel="0" collapsed="false">
      <c r="A385" s="0" t="n">
        <v>21</v>
      </c>
      <c r="AA385" s="0" t="n">
        <v>21</v>
      </c>
      <c r="AB385" s="0" t="s">
        <v>442</v>
      </c>
      <c r="AD385" s="0" t="n">
        <v>12</v>
      </c>
      <c r="AE385" s="0" t="s">
        <v>96</v>
      </c>
      <c r="AH385" s="0" t="n">
        <v>1</v>
      </c>
      <c r="AJ385" s="0" t="n">
        <v>10</v>
      </c>
      <c r="AP385" s="0" t="n">
        <v>260000</v>
      </c>
      <c r="DB385" s="0" t="str">
        <f aca="false">IF($A385="","",IF($AE385&amp;""&lt;&gt;設定!$C$4,"対象外",IF($AH385=20,IF(OR($AJ385=10,$AJ385=11,$AJ385=18),"①病院一般",IF($AJ385=41,"②病院短期","対象外")),IF($AH385=5,IF($AJ385=30,"③特定消防","対象外"),IF(OR($AJ385=10,$AJ385=11,$AJ385=74),"④一般",IF(OR($AJ385=41,$AJ385=47),"⑤短期","対象外"))))))</f>
        <v>④一般</v>
      </c>
    </row>
    <row r="386" customFormat="false" ht="15" hidden="false" customHeight="false" outlineLevel="0" collapsed="false">
      <c r="A386" s="0" t="n">
        <v>21</v>
      </c>
      <c r="AA386" s="0" t="n">
        <v>21</v>
      </c>
      <c r="AB386" s="0" t="s">
        <v>442</v>
      </c>
      <c r="AD386" s="0" t="n">
        <v>12</v>
      </c>
      <c r="AE386" s="0" t="s">
        <v>324</v>
      </c>
      <c r="AH386" s="0" t="n">
        <v>1</v>
      </c>
      <c r="AJ386" s="0" t="n">
        <v>10</v>
      </c>
      <c r="AP386" s="0" t="n">
        <v>220000</v>
      </c>
      <c r="DB386" s="0" t="str">
        <f aca="false">IF($A386="","",IF($AE386&amp;""&lt;&gt;設定!$C$4,"対象外",IF($AH386=20,IF(OR($AJ386=10,$AJ386=11,$AJ386=18),"①病院一般",IF($AJ386=41,"②病院短期","対象外")),IF($AH386=5,IF($AJ386=30,"③特定消防","対象外"),IF(OR($AJ386=10,$AJ386=11,$AJ386=74),"④一般",IF(OR($AJ386=41,$AJ386=47),"⑤短期","対象外"))))))</f>
        <v>対象外</v>
      </c>
    </row>
    <row r="387" customFormat="false" ht="15" hidden="false" customHeight="false" outlineLevel="0" collapsed="false">
      <c r="A387" s="0" t="n">
        <v>21</v>
      </c>
      <c r="AA387" s="0" t="n">
        <v>21</v>
      </c>
      <c r="AB387" s="0" t="s">
        <v>442</v>
      </c>
      <c r="AD387" s="0" t="n">
        <v>12</v>
      </c>
      <c r="AE387" s="0" t="s">
        <v>96</v>
      </c>
      <c r="AH387" s="0" t="n">
        <v>5</v>
      </c>
      <c r="AJ387" s="0" t="n">
        <v>30</v>
      </c>
      <c r="AP387" s="0" t="n">
        <v>300000</v>
      </c>
      <c r="DB387" s="0" t="str">
        <f aca="false">IF($A387="","",IF($AE387&amp;""&lt;&gt;設定!$C$4,"対象外",IF($AH387=20,IF(OR($AJ387=10,$AJ387=11,$AJ387=18),"①病院一般",IF($AJ387=41,"②病院短期","対象外")),IF($AH387=5,IF($AJ387=30,"③特定消防","対象外"),IF(OR($AJ387=10,$AJ387=11,$AJ387=74),"④一般",IF(OR($AJ387=41,$AJ387=47),"⑤短期","対象外"))))))</f>
        <v>③特定消防</v>
      </c>
    </row>
    <row r="388" customFormat="false" ht="15" hidden="false" customHeight="false" outlineLevel="0" collapsed="false">
      <c r="A388" s="0" t="n">
        <v>21</v>
      </c>
      <c r="AA388" s="0" t="n">
        <v>21</v>
      </c>
      <c r="AB388" s="0" t="s">
        <v>442</v>
      </c>
      <c r="AD388" s="0" t="n">
        <v>12</v>
      </c>
      <c r="AE388" s="0" t="s">
        <v>96</v>
      </c>
      <c r="AH388" s="0" t="n">
        <v>32</v>
      </c>
      <c r="AJ388" s="0" t="n">
        <v>74</v>
      </c>
      <c r="AP388" s="0" t="n">
        <v>1030000</v>
      </c>
      <c r="DB388" s="0" t="str">
        <f aca="false">IF($A388="","",IF($AE388&amp;""&lt;&gt;設定!$C$4,"対象外",IF($AH388=20,IF(OR($AJ388=10,$AJ388=11,$AJ388=18),"①病院一般",IF($AJ388=41,"②病院短期","対象外")),IF($AH388=5,IF($AJ388=30,"③特定消防","対象外"),IF(OR($AJ388=10,$AJ388=11,$AJ388=74),"④一般",IF(OR($AJ388=41,$AJ388=47),"⑤短期","対象外"))))))</f>
        <v>④一般</v>
      </c>
    </row>
    <row r="389" customFormat="false" ht="15" hidden="false" customHeight="false" outlineLevel="0" collapsed="false">
      <c r="A389" s="0" t="n">
        <v>21</v>
      </c>
      <c r="AA389" s="0" t="n">
        <v>21</v>
      </c>
      <c r="AB389" s="0" t="s">
        <v>442</v>
      </c>
      <c r="AD389" s="0" t="n">
        <v>12</v>
      </c>
      <c r="AE389" s="0" t="s">
        <v>299</v>
      </c>
      <c r="AH389" s="0" t="n">
        <v>20</v>
      </c>
      <c r="AJ389" s="0" t="n">
        <v>10</v>
      </c>
      <c r="AP389" s="0" t="n">
        <v>410000</v>
      </c>
      <c r="DB389" s="0" t="str">
        <f aca="false">IF($A389="","",IF($AE389&amp;""&lt;&gt;設定!$C$4,"対象外",IF($AH389=20,IF(OR($AJ389=10,$AJ389=11,$AJ389=18),"①病院一般",IF($AJ389=41,"②病院短期","対象外")),IF($AH389=5,IF($AJ389=30,"③特定消防","対象外"),IF(OR($AJ389=10,$AJ389=11,$AJ389=74),"④一般",IF(OR($AJ389=41,$AJ389=47),"⑤短期","対象外"))))))</f>
        <v>対象外</v>
      </c>
    </row>
    <row r="390" customFormat="false" ht="15" hidden="false" customHeight="false" outlineLevel="0" collapsed="false">
      <c r="A390" s="0" t="n">
        <v>21</v>
      </c>
      <c r="AA390" s="0" t="n">
        <v>21</v>
      </c>
      <c r="AB390" s="0" t="s">
        <v>442</v>
      </c>
      <c r="AD390" s="0" t="n">
        <v>12</v>
      </c>
      <c r="AE390" s="0" t="s">
        <v>96</v>
      </c>
      <c r="AH390" s="0" t="n">
        <v>20</v>
      </c>
      <c r="AJ390" s="0" t="n">
        <v>10</v>
      </c>
      <c r="AP390" s="0" t="n">
        <v>440000</v>
      </c>
      <c r="DB390" s="0" t="str">
        <f aca="false">IF($A390="","",IF($AE390&amp;""&lt;&gt;設定!$C$4,"対象外",IF($AH390=20,IF(OR($AJ390=10,$AJ390=11,$AJ390=18),"①病院一般",IF($AJ390=41,"②病院短期","対象外")),IF($AH390=5,IF($AJ390=30,"③特定消防","対象外"),IF(OR($AJ390=10,$AJ390=11,$AJ390=74),"④一般",IF(OR($AJ390=41,$AJ390=47),"⑤短期","対象外"))))))</f>
        <v>①病院一般</v>
      </c>
    </row>
    <row r="391" customFormat="false" ht="15" hidden="false" customHeight="false" outlineLevel="0" collapsed="false">
      <c r="A391" s="0" t="n">
        <v>21</v>
      </c>
      <c r="AA391" s="0" t="n">
        <v>21</v>
      </c>
      <c r="AB391" s="0" t="s">
        <v>442</v>
      </c>
      <c r="AD391" s="0" t="n">
        <v>12</v>
      </c>
      <c r="AE391" s="0" t="s">
        <v>96</v>
      </c>
      <c r="AH391" s="0" t="n">
        <v>20</v>
      </c>
      <c r="AJ391" s="0" t="n">
        <v>10</v>
      </c>
      <c r="AP391" s="0" t="n">
        <v>380000</v>
      </c>
      <c r="DB391" s="0" t="str">
        <f aca="false">IF($A391="","",IF($AE391&amp;""&lt;&gt;設定!$C$4,"対象外",IF($AH391=20,IF(OR($AJ391=10,$AJ391=11,$AJ391=18),"①病院一般",IF($AJ391=41,"②病院短期","対象外")),IF($AH391=5,IF($AJ391=30,"③特定消防","対象外"),IF(OR($AJ391=10,$AJ391=11,$AJ391=74),"④一般",IF(OR($AJ391=41,$AJ391=47),"⑤短期","対象外"))))))</f>
        <v>①病院一般</v>
      </c>
    </row>
    <row r="392" customFormat="false" ht="15" hidden="false" customHeight="false" outlineLevel="0" collapsed="false">
      <c r="A392" s="0" t="n">
        <v>21</v>
      </c>
      <c r="AA392" s="0" t="n">
        <v>21</v>
      </c>
      <c r="AB392" s="0" t="s">
        <v>442</v>
      </c>
      <c r="AD392" s="0" t="n">
        <v>12</v>
      </c>
      <c r="AE392" s="0" t="s">
        <v>96</v>
      </c>
      <c r="AH392" s="0" t="n">
        <v>20</v>
      </c>
      <c r="AJ392" s="0" t="n">
        <v>10</v>
      </c>
      <c r="AP392" s="0" t="n">
        <v>1390000</v>
      </c>
      <c r="DB392" s="0" t="str">
        <f aca="false">IF($A392="","",IF($AE392&amp;""&lt;&gt;設定!$C$4,"対象外",IF($AH392=20,IF(OR($AJ392=10,$AJ392=11,$AJ392=18),"①病院一般",IF($AJ392=41,"②病院短期","対象外")),IF($AH392=5,IF($AJ392=30,"③特定消防","対象外"),IF(OR($AJ392=10,$AJ392=11,$AJ392=74),"④一般",IF(OR($AJ392=41,$AJ392=47),"⑤短期","対象外"))))))</f>
        <v>①病院一般</v>
      </c>
    </row>
    <row r="393" customFormat="false" ht="15" hidden="false" customHeight="false" outlineLevel="0" collapsed="false">
      <c r="A393" s="0" t="n">
        <v>21</v>
      </c>
      <c r="AA393" s="0" t="n">
        <v>21</v>
      </c>
      <c r="AB393" s="0" t="s">
        <v>481</v>
      </c>
      <c r="AD393" s="0" t="n">
        <v>12</v>
      </c>
      <c r="AE393" s="0" t="s">
        <v>301</v>
      </c>
      <c r="AH393" s="0" t="n">
        <v>20</v>
      </c>
      <c r="AJ393" s="0" t="n">
        <v>10</v>
      </c>
      <c r="AP393" s="0" t="n">
        <v>930000</v>
      </c>
      <c r="DB393" s="0" t="str">
        <f aca="false">IF($A393="","",IF($AE393&amp;""&lt;&gt;設定!$C$4,"対象外",IF($AH393=20,IF(OR($AJ393=10,$AJ393=11,$AJ393=18),"①病院一般",IF($AJ393=41,"②病院短期","対象外")),IF($AH393=5,IF($AJ393=30,"③特定消防","対象外"),IF(OR($AJ393=10,$AJ393=11,$AJ393=74),"④一般",IF(OR($AJ393=41,$AJ393=47),"⑤短期","対象外"))))))</f>
        <v>対象外</v>
      </c>
    </row>
    <row r="394" customFormat="false" ht="15" hidden="false" customHeight="false" outlineLevel="0" collapsed="false">
      <c r="A394" s="0" t="n">
        <v>21</v>
      </c>
      <c r="AA394" s="0" t="n">
        <v>21</v>
      </c>
      <c r="AB394" s="0" t="s">
        <v>410</v>
      </c>
      <c r="AD394" s="0" t="n">
        <v>12</v>
      </c>
      <c r="AE394" s="0" t="s">
        <v>96</v>
      </c>
      <c r="AH394" s="0" t="n">
        <v>1</v>
      </c>
      <c r="AJ394" s="0" t="n">
        <v>10</v>
      </c>
      <c r="AP394" s="0" t="n">
        <v>300000</v>
      </c>
      <c r="DB394" s="0" t="str">
        <f aca="false">IF($A394="","",IF($AE394&amp;""&lt;&gt;設定!$C$4,"対象外",IF($AH394=20,IF(OR($AJ394=10,$AJ394=11,$AJ394=18),"①病院一般",IF($AJ394=41,"②病院短期","対象外")),IF($AH394=5,IF($AJ394=30,"③特定消防","対象外"),IF(OR($AJ394=10,$AJ394=11,$AJ394=74),"④一般",IF(OR($AJ394=41,$AJ394=47),"⑤短期","対象外"))))))</f>
        <v>④一般</v>
      </c>
    </row>
    <row r="395" customFormat="false" ht="15" hidden="false" customHeight="false" outlineLevel="0" collapsed="false">
      <c r="A395" s="0" t="n">
        <v>21</v>
      </c>
      <c r="AA395" s="0" t="n">
        <v>21</v>
      </c>
      <c r="AB395" s="0" t="s">
        <v>410</v>
      </c>
      <c r="AD395" s="0" t="n">
        <v>12</v>
      </c>
      <c r="AE395" s="0" t="s">
        <v>96</v>
      </c>
      <c r="AH395" s="0" t="n">
        <v>1</v>
      </c>
      <c r="AJ395" s="0" t="n">
        <v>10</v>
      </c>
      <c r="AP395" s="0" t="n">
        <v>300000</v>
      </c>
      <c r="DB395" s="0" t="str">
        <f aca="false">IF($A395="","",IF($AE395&amp;""&lt;&gt;設定!$C$4,"対象外",IF($AH395=20,IF(OR($AJ395=10,$AJ395=11,$AJ395=18),"①病院一般",IF($AJ395=41,"②病院短期","対象外")),IF($AH395=5,IF($AJ395=30,"③特定消防","対象外"),IF(OR($AJ395=10,$AJ395=11,$AJ395=74),"④一般",IF(OR($AJ395=41,$AJ395=47),"⑤短期","対象外"))))))</f>
        <v>④一般</v>
      </c>
    </row>
    <row r="396" customFormat="false" ht="15" hidden="false" customHeight="false" outlineLevel="0" collapsed="false">
      <c r="A396" s="0" t="n">
        <v>21</v>
      </c>
      <c r="AA396" s="0" t="n">
        <v>21</v>
      </c>
      <c r="AB396" s="0" t="s">
        <v>410</v>
      </c>
      <c r="AD396" s="0" t="n">
        <v>12</v>
      </c>
      <c r="AE396" s="0" t="s">
        <v>298</v>
      </c>
      <c r="AH396" s="0" t="n">
        <v>1</v>
      </c>
      <c r="AJ396" s="0" t="n">
        <v>10</v>
      </c>
      <c r="AP396" s="0" t="n">
        <v>300000</v>
      </c>
      <c r="DB396" s="0" t="str">
        <f aca="false">IF($A396="","",IF($AE396&amp;""&lt;&gt;設定!$C$4,"対象外",IF($AH396=20,IF(OR($AJ396=10,$AJ396=11,$AJ396=18),"①病院一般",IF($AJ396=41,"②病院短期","対象外")),IF($AH396=5,IF($AJ396=30,"③特定消防","対象外"),IF(OR($AJ396=10,$AJ396=11,$AJ396=74),"④一般",IF(OR($AJ396=41,$AJ396=47),"⑤短期","対象外"))))))</f>
        <v>対象外</v>
      </c>
    </row>
    <row r="397" customFormat="false" ht="15" hidden="false" customHeight="false" outlineLevel="0" collapsed="false">
      <c r="A397" s="0" t="n">
        <v>21</v>
      </c>
      <c r="AA397" s="0" t="n">
        <v>21</v>
      </c>
      <c r="AB397" s="0" t="s">
        <v>410</v>
      </c>
      <c r="AD397" s="0" t="n">
        <v>12</v>
      </c>
      <c r="AE397" s="0" t="s">
        <v>96</v>
      </c>
      <c r="AH397" s="0" t="n">
        <v>1</v>
      </c>
      <c r="AJ397" s="0" t="n">
        <v>10</v>
      </c>
      <c r="AP397" s="0" t="n">
        <v>410000</v>
      </c>
      <c r="DB397" s="0" t="str">
        <f aca="false">IF($A397="","",IF($AE397&amp;""&lt;&gt;設定!$C$4,"対象外",IF($AH397=20,IF(OR($AJ397=10,$AJ397=11,$AJ397=18),"①病院一般",IF($AJ397=41,"②病院短期","対象外")),IF($AH397=5,IF($AJ397=30,"③特定消防","対象外"),IF(OR($AJ397=10,$AJ397=11,$AJ397=74),"④一般",IF(OR($AJ397=41,$AJ397=47),"⑤短期","対象外"))))))</f>
        <v>④一般</v>
      </c>
    </row>
    <row r="398" customFormat="false" ht="15" hidden="false" customHeight="false" outlineLevel="0" collapsed="false">
      <c r="A398" s="0" t="n">
        <v>21</v>
      </c>
      <c r="AA398" s="0" t="n">
        <v>21</v>
      </c>
      <c r="AB398" s="0" t="s">
        <v>410</v>
      </c>
      <c r="AD398" s="0" t="n">
        <v>12</v>
      </c>
      <c r="AE398" s="0" t="s">
        <v>96</v>
      </c>
      <c r="AH398" s="0" t="n">
        <v>5</v>
      </c>
      <c r="AJ398" s="0" t="n">
        <v>30</v>
      </c>
      <c r="AP398" s="0" t="n">
        <v>360000</v>
      </c>
      <c r="DB398" s="0" t="str">
        <f aca="false">IF($A398="","",IF($AE398&amp;""&lt;&gt;設定!$C$4,"対象外",IF($AH398=20,IF(OR($AJ398=10,$AJ398=11,$AJ398=18),"①病院一般",IF($AJ398=41,"②病院短期","対象外")),IF($AH398=5,IF($AJ398=30,"③特定消防","対象外"),IF(OR($AJ398=10,$AJ398=11,$AJ398=74),"④一般",IF(OR($AJ398=41,$AJ398=47),"⑤短期","対象外"))))))</f>
        <v>③特定消防</v>
      </c>
    </row>
    <row r="399" customFormat="false" ht="15" hidden="false" customHeight="false" outlineLevel="0" collapsed="false">
      <c r="A399" s="0" t="n">
        <v>21</v>
      </c>
      <c r="AA399" s="0" t="n">
        <v>21</v>
      </c>
      <c r="AB399" s="0" t="s">
        <v>481</v>
      </c>
      <c r="AD399" s="0" t="n">
        <v>12</v>
      </c>
      <c r="AE399" s="0" t="s">
        <v>96</v>
      </c>
      <c r="AH399" s="0" t="n">
        <v>1</v>
      </c>
      <c r="AJ399" s="0" t="n">
        <v>10</v>
      </c>
      <c r="AP399" s="0" t="n">
        <v>1090000</v>
      </c>
      <c r="DB399" s="0" t="str">
        <f aca="false">IF($A399="","",IF($AE399&amp;""&lt;&gt;設定!$C$4,"対象外",IF($AH399=20,IF(OR($AJ399=10,$AJ399=11,$AJ399=18),"①病院一般",IF($AJ399=41,"②病院短期","対象外")),IF($AH399=5,IF($AJ399=30,"③特定消防","対象外"),IF(OR($AJ399=10,$AJ399=11,$AJ399=74),"④一般",IF(OR($AJ399=41,$AJ399=47),"⑤短期","対象外"))))))</f>
        <v>④一般</v>
      </c>
    </row>
    <row r="400" customFormat="false" ht="15" hidden="false" customHeight="false" outlineLevel="0" collapsed="false">
      <c r="A400" s="0" t="n">
        <v>21</v>
      </c>
      <c r="AA400" s="0" t="n">
        <v>21</v>
      </c>
      <c r="AB400" s="0" t="s">
        <v>410</v>
      </c>
      <c r="AD400" s="0" t="n">
        <v>12</v>
      </c>
      <c r="AE400" s="0" t="s">
        <v>294</v>
      </c>
      <c r="AH400" s="0" t="n">
        <v>20</v>
      </c>
      <c r="AJ400" s="0" t="n">
        <v>10</v>
      </c>
      <c r="AP400" s="0" t="n">
        <v>410000</v>
      </c>
      <c r="DB400" s="0" t="str">
        <f aca="false">IF($A400="","",IF($AE400&amp;""&lt;&gt;設定!$C$4,"対象外",IF($AH400=20,IF(OR($AJ400=10,$AJ400=11,$AJ400=18),"①病院一般",IF($AJ400=41,"②病院短期","対象外")),IF($AH400=5,IF($AJ400=30,"③特定消防","対象外"),IF(OR($AJ400=10,$AJ400=11,$AJ400=74),"④一般",IF(OR($AJ400=41,$AJ400=47),"⑤短期","対象外"))))))</f>
        <v>対象外</v>
      </c>
    </row>
    <row r="401" customFormat="false" ht="15" hidden="false" customHeight="false" outlineLevel="0" collapsed="false">
      <c r="A401" s="0" t="n">
        <v>21</v>
      </c>
      <c r="AA401" s="0" t="n">
        <v>21</v>
      </c>
      <c r="AB401" s="0" t="s">
        <v>410</v>
      </c>
      <c r="AD401" s="0" t="n">
        <v>12</v>
      </c>
      <c r="AE401" s="0" t="s">
        <v>294</v>
      </c>
      <c r="AH401" s="0" t="n">
        <v>20</v>
      </c>
      <c r="AJ401" s="0" t="n">
        <v>10</v>
      </c>
      <c r="AP401" s="0" t="n">
        <v>380000</v>
      </c>
      <c r="DB401" s="0" t="str">
        <f aca="false">IF($A401="","",IF($AE401&amp;""&lt;&gt;設定!$C$4,"対象外",IF($AH401=20,IF(OR($AJ401=10,$AJ401=11,$AJ401=18),"①病院一般",IF($AJ401=41,"②病院短期","対象外")),IF($AH401=5,IF($AJ401=30,"③特定消防","対象外"),IF(OR($AJ401=10,$AJ401=11,$AJ401=74),"④一般",IF(OR($AJ401=41,$AJ401=47),"⑤短期","対象外"))))))</f>
        <v>対象外</v>
      </c>
    </row>
    <row r="402" customFormat="false" ht="15" hidden="false" customHeight="false" outlineLevel="0" collapsed="false">
      <c r="A402" s="0" t="n">
        <v>21</v>
      </c>
      <c r="AA402" s="0" t="n">
        <v>21</v>
      </c>
      <c r="AB402" s="0" t="s">
        <v>410</v>
      </c>
      <c r="AD402" s="0" t="n">
        <v>12</v>
      </c>
      <c r="AE402" s="0" t="s">
        <v>482</v>
      </c>
      <c r="AH402" s="0" t="n">
        <v>20</v>
      </c>
      <c r="AJ402" s="0" t="n">
        <v>10</v>
      </c>
      <c r="AP402" s="0" t="n">
        <v>380000</v>
      </c>
      <c r="DB402" s="0" t="str">
        <f aca="false">IF($A402="","",IF($AE402&amp;""&lt;&gt;設定!$C$4,"対象外",IF($AH402=20,IF(OR($AJ402=10,$AJ402=11,$AJ402=18),"①病院一般",IF($AJ402=41,"②病院短期","対象外")),IF($AH402=5,IF($AJ402=30,"③特定消防","対象外"),IF(OR($AJ402=10,$AJ402=11,$AJ402=74),"④一般",IF(OR($AJ402=41,$AJ402=47),"⑤短期","対象外"))))))</f>
        <v>対象外</v>
      </c>
    </row>
    <row r="403" customFormat="false" ht="15" hidden="false" customHeight="false" outlineLevel="0" collapsed="false">
      <c r="A403" s="0" t="n">
        <v>21</v>
      </c>
      <c r="AA403" s="0" t="n">
        <v>21</v>
      </c>
      <c r="AB403" s="0" t="s">
        <v>410</v>
      </c>
      <c r="AD403" s="0" t="n">
        <v>12</v>
      </c>
      <c r="AE403" s="0" t="s">
        <v>96</v>
      </c>
      <c r="AH403" s="0" t="n">
        <v>20</v>
      </c>
      <c r="AJ403" s="0" t="n">
        <v>10</v>
      </c>
      <c r="AP403" s="0" t="n">
        <v>440000</v>
      </c>
      <c r="DB403" s="0" t="str">
        <f aca="false">IF($A403="","",IF($AE403&amp;""&lt;&gt;設定!$C$4,"対象外",IF($AH403=20,IF(OR($AJ403=10,$AJ403=11,$AJ403=18),"①病院一般",IF($AJ403=41,"②病院短期","対象外")),IF($AH403=5,IF($AJ403=30,"③特定消防","対象外"),IF(OR($AJ403=10,$AJ403=11,$AJ403=74),"④一般",IF(OR($AJ403=41,$AJ403=47),"⑤短期","対象外"))))))</f>
        <v>①病院一般</v>
      </c>
    </row>
    <row r="404" customFormat="false" ht="15" hidden="false" customHeight="false" outlineLevel="0" collapsed="false">
      <c r="A404" s="0" t="n">
        <v>21</v>
      </c>
      <c r="AA404" s="0" t="n">
        <v>21</v>
      </c>
      <c r="AB404" s="0" t="s">
        <v>410</v>
      </c>
      <c r="AD404" s="0" t="n">
        <v>12</v>
      </c>
      <c r="AE404" s="0" t="s">
        <v>296</v>
      </c>
      <c r="AH404" s="0" t="n">
        <v>20</v>
      </c>
      <c r="AJ404" s="0" t="n">
        <v>10</v>
      </c>
      <c r="AP404" s="0" t="n">
        <v>380000</v>
      </c>
      <c r="DB404" s="0" t="str">
        <f aca="false">IF($A404="","",IF($AE404&amp;""&lt;&gt;設定!$C$4,"対象外",IF($AH404=20,IF(OR($AJ404=10,$AJ404=11,$AJ404=18),"①病院一般",IF($AJ404=41,"②病院短期","対象外")),IF($AH404=5,IF($AJ404=30,"③特定消防","対象外"),IF(OR($AJ404=10,$AJ404=11,$AJ404=74),"④一般",IF(OR($AJ404=41,$AJ404=47),"⑤短期","対象外"))))))</f>
        <v>対象外</v>
      </c>
    </row>
    <row r="405" customFormat="false" ht="15" hidden="false" customHeight="false" outlineLevel="0" collapsed="false">
      <c r="A405" s="0" t="n">
        <v>21</v>
      </c>
      <c r="AA405" s="0" t="n">
        <v>21</v>
      </c>
      <c r="AB405" s="0" t="s">
        <v>410</v>
      </c>
      <c r="AD405" s="0" t="n">
        <v>12</v>
      </c>
      <c r="AE405" s="0" t="s">
        <v>294</v>
      </c>
      <c r="AH405" s="0" t="n">
        <v>20</v>
      </c>
      <c r="AJ405" s="0" t="n">
        <v>10</v>
      </c>
      <c r="AP405" s="0" t="n">
        <v>380000</v>
      </c>
      <c r="DB405" s="0" t="str">
        <f aca="false">IF($A405="","",IF($AE405&amp;""&lt;&gt;設定!$C$4,"対象外",IF($AH405=20,IF(OR($AJ405=10,$AJ405=11,$AJ405=18),"①病院一般",IF($AJ405=41,"②病院短期","対象外")),IF($AH405=5,IF($AJ405=30,"③特定消防","対象外"),IF(OR($AJ405=10,$AJ405=11,$AJ405=74),"④一般",IF(OR($AJ405=41,$AJ405=47),"⑤短期","対象外"))))))</f>
        <v>対象外</v>
      </c>
    </row>
    <row r="406" customFormat="false" ht="15" hidden="false" customHeight="false" outlineLevel="0" collapsed="false">
      <c r="A406" s="0" t="n">
        <v>21</v>
      </c>
      <c r="AA406" s="0" t="n">
        <v>21</v>
      </c>
      <c r="AB406" s="0" t="s">
        <v>410</v>
      </c>
      <c r="AD406" s="0" t="n">
        <v>12</v>
      </c>
      <c r="AE406" s="0" t="s">
        <v>294</v>
      </c>
      <c r="AH406" s="0" t="n">
        <v>20</v>
      </c>
      <c r="AJ406" s="0" t="n">
        <v>10</v>
      </c>
      <c r="AP406" s="0" t="n">
        <v>380000</v>
      </c>
      <c r="DB406" s="0" t="str">
        <f aca="false">IF($A406="","",IF($AE406&amp;""&lt;&gt;設定!$C$4,"対象外",IF($AH406=20,IF(OR($AJ406=10,$AJ406=11,$AJ406=18),"①病院一般",IF($AJ406=41,"②病院短期","対象外")),IF($AH406=5,IF($AJ406=30,"③特定消防","対象外"),IF(OR($AJ406=10,$AJ406=11,$AJ406=74),"④一般",IF(OR($AJ406=41,$AJ406=47),"⑤短期","対象外"))))))</f>
        <v>対象外</v>
      </c>
    </row>
    <row r="407" customFormat="false" ht="15" hidden="false" customHeight="false" outlineLevel="0" collapsed="false">
      <c r="A407" s="0" t="n">
        <v>21</v>
      </c>
      <c r="AA407" s="0" t="n">
        <v>21</v>
      </c>
      <c r="AB407" s="0" t="s">
        <v>410</v>
      </c>
      <c r="AD407" s="0" t="n">
        <v>12</v>
      </c>
      <c r="AE407" s="0" t="s">
        <v>96</v>
      </c>
      <c r="AH407" s="0" t="n">
        <v>20</v>
      </c>
      <c r="AJ407" s="0" t="n">
        <v>10</v>
      </c>
      <c r="AP407" s="0" t="n">
        <v>340000</v>
      </c>
      <c r="DB407" s="0" t="str">
        <f aca="false">IF($A407="","",IF($AE407&amp;""&lt;&gt;設定!$C$4,"対象外",IF($AH407=20,IF(OR($AJ407=10,$AJ407=11,$AJ407=18),"①病院一般",IF($AJ407=41,"②病院短期","対象外")),IF($AH407=5,IF($AJ407=30,"③特定消防","対象外"),IF(OR($AJ407=10,$AJ407=11,$AJ407=74),"④一般",IF(OR($AJ407=41,$AJ407=47),"⑤短期","対象外"))))))</f>
        <v>①病院一般</v>
      </c>
    </row>
    <row r="408" customFormat="false" ht="15" hidden="false" customHeight="false" outlineLevel="0" collapsed="false">
      <c r="A408" s="0" t="n">
        <v>21</v>
      </c>
      <c r="AA408" s="0" t="n">
        <v>21</v>
      </c>
      <c r="AB408" s="0" t="s">
        <v>410</v>
      </c>
      <c r="AD408" s="0" t="n">
        <v>12</v>
      </c>
      <c r="AE408" s="0" t="s">
        <v>294</v>
      </c>
      <c r="AH408" s="0" t="n">
        <v>20</v>
      </c>
      <c r="AJ408" s="0" t="n">
        <v>10</v>
      </c>
      <c r="AP408" s="0" t="n">
        <v>340000</v>
      </c>
      <c r="DB408" s="0" t="str">
        <f aca="false">IF($A408="","",IF($AE408&amp;""&lt;&gt;設定!$C$4,"対象外",IF($AH408=20,IF(OR($AJ408=10,$AJ408=11,$AJ408=18),"①病院一般",IF($AJ408=41,"②病院短期","対象外")),IF($AH408=5,IF($AJ408=30,"③特定消防","対象外"),IF(OR($AJ408=10,$AJ408=11,$AJ408=74),"④一般",IF(OR($AJ408=41,$AJ408=47),"⑤短期","対象外"))))))</f>
        <v>対象外</v>
      </c>
    </row>
    <row r="409" customFormat="false" ht="15" hidden="false" customHeight="false" outlineLevel="0" collapsed="false">
      <c r="A409" s="0" t="n">
        <v>21</v>
      </c>
      <c r="AA409" s="0" t="n">
        <v>21</v>
      </c>
      <c r="AB409" s="0" t="s">
        <v>410</v>
      </c>
      <c r="AD409" s="0" t="n">
        <v>11</v>
      </c>
      <c r="AE409" s="0" t="s">
        <v>96</v>
      </c>
      <c r="AH409" s="0" t="n">
        <v>20</v>
      </c>
      <c r="AJ409" s="0" t="n">
        <v>10</v>
      </c>
      <c r="AP409" s="0" t="n">
        <v>340000</v>
      </c>
      <c r="DB409" s="0" t="str">
        <f aca="false">IF($A409="","",IF($AE409&amp;""&lt;&gt;設定!$C$4,"対象外",IF($AH409=20,IF(OR($AJ409=10,$AJ409=11,$AJ409=18),"①病院一般",IF($AJ409=41,"②病院短期","対象外")),IF($AH409=5,IF($AJ409=30,"③特定消防","対象外"),IF(OR($AJ409=10,$AJ409=11,$AJ409=74),"④一般",IF(OR($AJ409=41,$AJ409=47),"⑤短期","対象外"))))))</f>
        <v>①病院一般</v>
      </c>
    </row>
    <row r="410" customFormat="false" ht="15" hidden="false" customHeight="false" outlineLevel="0" collapsed="false">
      <c r="A410" s="0" t="n">
        <v>21</v>
      </c>
      <c r="AA410" s="0" t="n">
        <v>21</v>
      </c>
      <c r="AB410" s="0" t="s">
        <v>483</v>
      </c>
      <c r="AD410" s="0" t="n">
        <v>12</v>
      </c>
      <c r="AE410" s="0" t="s">
        <v>96</v>
      </c>
      <c r="AH410" s="0" t="n">
        <v>20</v>
      </c>
      <c r="AJ410" s="0" t="n">
        <v>10</v>
      </c>
      <c r="AP410" s="0" t="n">
        <v>1390000</v>
      </c>
      <c r="DB410" s="0" t="str">
        <f aca="false">IF($A410="","",IF($AE410&amp;""&lt;&gt;設定!$C$4,"対象外",IF($AH410=20,IF(OR($AJ410=10,$AJ410=11,$AJ410=18),"①病院一般",IF($AJ410=41,"②病院短期","対象外")),IF($AH410=5,IF($AJ410=30,"③特定消防","対象外"),IF(OR($AJ410=10,$AJ410=11,$AJ410=74),"④一般",IF(OR($AJ410=41,$AJ410=47),"⑤短期","対象外"))))))</f>
        <v>①病院一般</v>
      </c>
    </row>
    <row r="411" customFormat="false" ht="15" hidden="false" customHeight="false" outlineLevel="0" collapsed="false">
      <c r="A411" s="0" t="n">
        <v>21</v>
      </c>
      <c r="AA411" s="0" t="n">
        <v>21</v>
      </c>
      <c r="AB411" s="0" t="s">
        <v>484</v>
      </c>
      <c r="AD411" s="0" t="n">
        <v>12</v>
      </c>
      <c r="AE411" s="0" t="s">
        <v>96</v>
      </c>
      <c r="AH411" s="0" t="n">
        <v>1</v>
      </c>
      <c r="AJ411" s="0" t="n">
        <v>10</v>
      </c>
      <c r="AP411" s="0" t="n">
        <v>340000</v>
      </c>
      <c r="DB411" s="0" t="str">
        <f aca="false">IF($A411="","",IF($AE411&amp;""&lt;&gt;設定!$C$4,"対象外",IF($AH411=20,IF(OR($AJ411=10,$AJ411=11,$AJ411=18),"①病院一般",IF($AJ411=41,"②病院短期","対象外")),IF($AH411=5,IF($AJ411=30,"③特定消防","対象外"),IF(OR($AJ411=10,$AJ411=11,$AJ411=74),"④一般",IF(OR($AJ411=41,$AJ411=47),"⑤短期","対象外"))))))</f>
        <v>④一般</v>
      </c>
    </row>
    <row r="412" customFormat="false" ht="15" hidden="false" customHeight="false" outlineLevel="0" collapsed="false">
      <c r="A412" s="0" t="n">
        <v>21</v>
      </c>
      <c r="AA412" s="0" t="n">
        <v>21</v>
      </c>
      <c r="AB412" s="0" t="s">
        <v>484</v>
      </c>
      <c r="AD412" s="0" t="n">
        <v>12</v>
      </c>
      <c r="AE412" s="0" t="s">
        <v>96</v>
      </c>
      <c r="AH412" s="0" t="n">
        <v>1</v>
      </c>
      <c r="AJ412" s="0" t="n">
        <v>10</v>
      </c>
      <c r="AP412" s="0" t="n">
        <v>300000</v>
      </c>
      <c r="DB412" s="0" t="str">
        <f aca="false">IF($A412="","",IF($AE412&amp;""&lt;&gt;設定!$C$4,"対象外",IF($AH412=20,IF(OR($AJ412=10,$AJ412=11,$AJ412=18),"①病院一般",IF($AJ412=41,"②病院短期","対象外")),IF($AH412=5,IF($AJ412=30,"③特定消防","対象外"),IF(OR($AJ412=10,$AJ412=11,$AJ412=74),"④一般",IF(OR($AJ412=41,$AJ412=47),"⑤短期","対象外"))))))</f>
        <v>④一般</v>
      </c>
    </row>
    <row r="413" customFormat="false" ht="15" hidden="false" customHeight="false" outlineLevel="0" collapsed="false">
      <c r="A413" s="0" t="n">
        <v>21</v>
      </c>
      <c r="AA413" s="0" t="n">
        <v>21</v>
      </c>
      <c r="AB413" s="0" t="s">
        <v>484</v>
      </c>
      <c r="AD413" s="0" t="n">
        <v>12</v>
      </c>
      <c r="AE413" s="0" t="s">
        <v>96</v>
      </c>
      <c r="AH413" s="0" t="n">
        <v>1</v>
      </c>
      <c r="AJ413" s="0" t="n">
        <v>10</v>
      </c>
      <c r="AP413" s="0" t="n">
        <v>360000</v>
      </c>
      <c r="DB413" s="0" t="str">
        <f aca="false">IF($A413="","",IF($AE413&amp;""&lt;&gt;設定!$C$4,"対象外",IF($AH413=20,IF(OR($AJ413=10,$AJ413=11,$AJ413=18),"①病院一般",IF($AJ413=41,"②病院短期","対象外")),IF($AH413=5,IF($AJ413=30,"③特定消防","対象外"),IF(OR($AJ413=10,$AJ413=11,$AJ413=74),"④一般",IF(OR($AJ413=41,$AJ413=47),"⑤短期","対象外"))))))</f>
        <v>④一般</v>
      </c>
    </row>
    <row r="414" customFormat="false" ht="15" hidden="false" customHeight="false" outlineLevel="0" collapsed="false">
      <c r="A414" s="0" t="n">
        <v>21</v>
      </c>
      <c r="AA414" s="0" t="n">
        <v>21</v>
      </c>
      <c r="AB414" s="0" t="s">
        <v>484</v>
      </c>
      <c r="AD414" s="0" t="n">
        <v>12</v>
      </c>
      <c r="AE414" s="0" t="s">
        <v>96</v>
      </c>
      <c r="AH414" s="0" t="n">
        <v>1</v>
      </c>
      <c r="AJ414" s="0" t="n">
        <v>10</v>
      </c>
      <c r="AP414" s="0" t="n">
        <v>280000</v>
      </c>
      <c r="DB414" s="0" t="str">
        <f aca="false">IF($A414="","",IF($AE414&amp;""&lt;&gt;設定!$C$4,"対象外",IF($AH414=20,IF(OR($AJ414=10,$AJ414=11,$AJ414=18),"①病院一般",IF($AJ414=41,"②病院短期","対象外")),IF($AH414=5,IF($AJ414=30,"③特定消防","対象外"),IF(OR($AJ414=10,$AJ414=11,$AJ414=74),"④一般",IF(OR($AJ414=41,$AJ414=47),"⑤短期","対象外"))))))</f>
        <v>④一般</v>
      </c>
    </row>
    <row r="415" customFormat="false" ht="15" hidden="false" customHeight="false" outlineLevel="0" collapsed="false">
      <c r="A415" s="0" t="n">
        <v>21</v>
      </c>
      <c r="AA415" s="0" t="n">
        <v>21</v>
      </c>
      <c r="AB415" s="0" t="s">
        <v>484</v>
      </c>
      <c r="AD415" s="0" t="n">
        <v>12</v>
      </c>
      <c r="AE415" s="0" t="s">
        <v>96</v>
      </c>
      <c r="AH415" s="0" t="n">
        <v>1</v>
      </c>
      <c r="AJ415" s="0" t="n">
        <v>10</v>
      </c>
      <c r="AP415" s="0" t="n">
        <v>260000</v>
      </c>
      <c r="DB415" s="0" t="str">
        <f aca="false">IF($A415="","",IF($AE415&amp;""&lt;&gt;設定!$C$4,"対象外",IF($AH415=20,IF(OR($AJ415=10,$AJ415=11,$AJ415=18),"①病院一般",IF($AJ415=41,"②病院短期","対象外")),IF($AH415=5,IF($AJ415=30,"③特定消防","対象外"),IF(OR($AJ415=10,$AJ415=11,$AJ415=74),"④一般",IF(OR($AJ415=41,$AJ415=47),"⑤短期","対象外"))))))</f>
        <v>④一般</v>
      </c>
    </row>
    <row r="416" customFormat="false" ht="15" hidden="false" customHeight="false" outlineLevel="0" collapsed="false">
      <c r="A416" s="0" t="n">
        <v>21</v>
      </c>
      <c r="AA416" s="0" t="n">
        <v>21</v>
      </c>
      <c r="AB416" s="0" t="s">
        <v>484</v>
      </c>
      <c r="AD416" s="0" t="n">
        <v>12</v>
      </c>
      <c r="AE416" s="0" t="s">
        <v>96</v>
      </c>
      <c r="AH416" s="0" t="n">
        <v>1</v>
      </c>
      <c r="AJ416" s="0" t="n">
        <v>10</v>
      </c>
      <c r="AP416" s="0" t="n">
        <v>260000</v>
      </c>
      <c r="DB416" s="0" t="str">
        <f aca="false">IF($A416="","",IF($AE416&amp;""&lt;&gt;設定!$C$4,"対象外",IF($AH416=20,IF(OR($AJ416=10,$AJ416=11,$AJ416=18),"①病院一般",IF($AJ416=41,"②病院短期","対象外")),IF($AH416=5,IF($AJ416=30,"③特定消防","対象外"),IF(OR($AJ416=10,$AJ416=11,$AJ416=74),"④一般",IF(OR($AJ416=41,$AJ416=47),"⑤短期","対象外"))))))</f>
        <v>④一般</v>
      </c>
    </row>
    <row r="417" customFormat="false" ht="15" hidden="false" customHeight="false" outlineLevel="0" collapsed="false">
      <c r="A417" s="0" t="n">
        <v>21</v>
      </c>
      <c r="AA417" s="0" t="n">
        <v>21</v>
      </c>
      <c r="AB417" s="0" t="s">
        <v>484</v>
      </c>
      <c r="AD417" s="0" t="n">
        <v>12</v>
      </c>
      <c r="AE417" s="0" t="s">
        <v>296</v>
      </c>
      <c r="AH417" s="0" t="n">
        <v>11</v>
      </c>
      <c r="AJ417" s="0" t="n">
        <v>10</v>
      </c>
      <c r="AP417" s="0" t="n">
        <v>320000</v>
      </c>
      <c r="DB417" s="0" t="str">
        <f aca="false">IF($A417="","",IF($AE417&amp;""&lt;&gt;設定!$C$4,"対象外",IF($AH417=20,IF(OR($AJ417=10,$AJ417=11,$AJ417=18),"①病院一般",IF($AJ417=41,"②病院短期","対象外")),IF($AH417=5,IF($AJ417=30,"③特定消防","対象外"),IF(OR($AJ417=10,$AJ417=11,$AJ417=74),"④一般",IF(OR($AJ417=41,$AJ417=47),"⑤短期","対象外"))))))</f>
        <v>対象外</v>
      </c>
    </row>
    <row r="418" customFormat="false" ht="15" hidden="false" customHeight="false" outlineLevel="0" collapsed="false">
      <c r="A418" s="0" t="n">
        <v>21</v>
      </c>
      <c r="AA418" s="0" t="n">
        <v>21</v>
      </c>
      <c r="AB418" s="0" t="s">
        <v>484</v>
      </c>
      <c r="AD418" s="0" t="n">
        <v>12</v>
      </c>
      <c r="AE418" s="0" t="s">
        <v>96</v>
      </c>
      <c r="AH418" s="0" t="n">
        <v>1</v>
      </c>
      <c r="AJ418" s="0" t="n">
        <v>10</v>
      </c>
      <c r="AP418" s="0" t="n">
        <v>470000</v>
      </c>
      <c r="DB418" s="0" t="str">
        <f aca="false">IF($A418="","",IF($AE418&amp;""&lt;&gt;設定!$C$4,"対象外",IF($AH418=20,IF(OR($AJ418=10,$AJ418=11,$AJ418=18),"①病院一般",IF($AJ418=41,"②病院短期","対象外")),IF($AH418=5,IF($AJ418=30,"③特定消防","対象外"),IF(OR($AJ418=10,$AJ418=11,$AJ418=74),"④一般",IF(OR($AJ418=41,$AJ418=47),"⑤短期","対象外"))))))</f>
        <v>④一般</v>
      </c>
    </row>
    <row r="419" customFormat="false" ht="15" hidden="false" customHeight="false" outlineLevel="0" collapsed="false">
      <c r="A419" s="0" t="n">
        <v>21</v>
      </c>
      <c r="AA419" s="0" t="n">
        <v>21</v>
      </c>
      <c r="AB419" s="0" t="s">
        <v>484</v>
      </c>
      <c r="AD419" s="0" t="n">
        <v>12</v>
      </c>
      <c r="AE419" s="0" t="s">
        <v>303</v>
      </c>
      <c r="AH419" s="0" t="n">
        <v>5</v>
      </c>
      <c r="AJ419" s="0" t="n">
        <v>30</v>
      </c>
      <c r="AP419" s="0" t="n">
        <v>320000</v>
      </c>
      <c r="DB419" s="0" t="str">
        <f aca="false">IF($A419="","",IF($AE419&amp;""&lt;&gt;設定!$C$4,"対象外",IF($AH419=20,IF(OR($AJ419=10,$AJ419=11,$AJ419=18),"①病院一般",IF($AJ419=41,"②病院短期","対象外")),IF($AH419=5,IF($AJ419=30,"③特定消防","対象外"),IF(OR($AJ419=10,$AJ419=11,$AJ419=74),"④一般",IF(OR($AJ419=41,$AJ419=47),"⑤短期","対象外"))))))</f>
        <v>対象外</v>
      </c>
    </row>
    <row r="420" customFormat="false" ht="15" hidden="false" customHeight="false" outlineLevel="0" collapsed="false">
      <c r="A420" s="0" t="n">
        <v>21</v>
      </c>
      <c r="AA420" s="0" t="n">
        <v>21</v>
      </c>
      <c r="AB420" s="0" t="s">
        <v>484</v>
      </c>
      <c r="AD420" s="0" t="n">
        <v>12</v>
      </c>
      <c r="AE420" s="0" t="s">
        <v>96</v>
      </c>
      <c r="AH420" s="0" t="n">
        <v>5</v>
      </c>
      <c r="AJ420" s="0" t="n">
        <v>30</v>
      </c>
      <c r="AP420" s="0" t="n">
        <v>380000</v>
      </c>
      <c r="DB420" s="0" t="str">
        <f aca="false">IF($A420="","",IF($AE420&amp;""&lt;&gt;設定!$C$4,"対象外",IF($AH420=20,IF(OR($AJ420=10,$AJ420=11,$AJ420=18),"①病院一般",IF($AJ420=41,"②病院短期","対象外")),IF($AH420=5,IF($AJ420=30,"③特定消防","対象外"),IF(OR($AJ420=10,$AJ420=11,$AJ420=74),"④一般",IF(OR($AJ420=41,$AJ420=47),"⑤短期","対象外"))))))</f>
        <v>③特定消防</v>
      </c>
    </row>
    <row r="421" customFormat="false" ht="15" hidden="false" customHeight="false" outlineLevel="0" collapsed="false">
      <c r="A421" s="0" t="n">
        <v>21</v>
      </c>
      <c r="AA421" s="0" t="n">
        <v>21</v>
      </c>
      <c r="AB421" s="0" t="s">
        <v>484</v>
      </c>
      <c r="AD421" s="0" t="n">
        <v>12</v>
      </c>
      <c r="AE421" s="0" t="s">
        <v>298</v>
      </c>
      <c r="AH421" s="0" t="n">
        <v>20</v>
      </c>
      <c r="AJ421" s="0" t="n">
        <v>10</v>
      </c>
      <c r="AP421" s="0" t="n">
        <v>380000</v>
      </c>
      <c r="DB421" s="0" t="str">
        <f aca="false">IF($A421="","",IF($AE421&amp;""&lt;&gt;設定!$C$4,"対象外",IF($AH421=20,IF(OR($AJ421=10,$AJ421=11,$AJ421=18),"①病院一般",IF($AJ421=41,"②病院短期","対象外")),IF($AH421=5,IF($AJ421=30,"③特定消防","対象外"),IF(OR($AJ421=10,$AJ421=11,$AJ421=74),"④一般",IF(OR($AJ421=41,$AJ421=47),"⑤短期","対象外"))))))</f>
        <v>対象外</v>
      </c>
    </row>
    <row r="422" customFormat="false" ht="15" hidden="false" customHeight="false" outlineLevel="0" collapsed="false">
      <c r="A422" s="0" t="n">
        <v>21</v>
      </c>
      <c r="AA422" s="0" t="n">
        <v>21</v>
      </c>
      <c r="AB422" s="0" t="s">
        <v>484</v>
      </c>
      <c r="AD422" s="0" t="n">
        <v>12</v>
      </c>
      <c r="AE422" s="0" t="s">
        <v>96</v>
      </c>
      <c r="AH422" s="0" t="n">
        <v>20</v>
      </c>
      <c r="AJ422" s="0" t="n">
        <v>10</v>
      </c>
      <c r="AP422" s="0" t="n">
        <v>380000</v>
      </c>
      <c r="DB422" s="0" t="str">
        <f aca="false">IF($A422="","",IF($AE422&amp;""&lt;&gt;設定!$C$4,"対象外",IF($AH422=20,IF(OR($AJ422=10,$AJ422=11,$AJ422=18),"①病院一般",IF($AJ422=41,"②病院短期","対象外")),IF($AH422=5,IF($AJ422=30,"③特定消防","対象外"),IF(OR($AJ422=10,$AJ422=11,$AJ422=74),"④一般",IF(OR($AJ422=41,$AJ422=47),"⑤短期","対象外"))))))</f>
        <v>①病院一般</v>
      </c>
    </row>
    <row r="423" customFormat="false" ht="15" hidden="false" customHeight="false" outlineLevel="0" collapsed="false">
      <c r="A423" s="0" t="n">
        <v>21</v>
      </c>
      <c r="AA423" s="0" t="n">
        <v>21</v>
      </c>
      <c r="AB423" s="0" t="s">
        <v>484</v>
      </c>
      <c r="AD423" s="0" t="n">
        <v>12</v>
      </c>
      <c r="AE423" s="0" t="s">
        <v>294</v>
      </c>
      <c r="AH423" s="0" t="n">
        <v>20</v>
      </c>
      <c r="AJ423" s="0" t="n">
        <v>10</v>
      </c>
      <c r="AP423" s="0" t="n">
        <v>410000</v>
      </c>
      <c r="DB423" s="0" t="str">
        <f aca="false">IF($A423="","",IF($AE423&amp;""&lt;&gt;設定!$C$4,"対象外",IF($AH423=20,IF(OR($AJ423=10,$AJ423=11,$AJ423=18),"①病院一般",IF($AJ423=41,"②病院短期","対象外")),IF($AH423=5,IF($AJ423=30,"③特定消防","対象外"),IF(OR($AJ423=10,$AJ423=11,$AJ423=74),"④一般",IF(OR($AJ423=41,$AJ423=47),"⑤短期","対象外"))))))</f>
        <v>対象外</v>
      </c>
    </row>
    <row r="424" customFormat="false" ht="15" hidden="false" customHeight="false" outlineLevel="0" collapsed="false">
      <c r="A424" s="0" t="n">
        <v>21</v>
      </c>
      <c r="AA424" s="0" t="n">
        <v>21</v>
      </c>
      <c r="AB424" s="0" t="s">
        <v>484</v>
      </c>
      <c r="AD424" s="0" t="n">
        <v>12</v>
      </c>
      <c r="AE424" s="0" t="s">
        <v>301</v>
      </c>
      <c r="AH424" s="0" t="n">
        <v>20</v>
      </c>
      <c r="AJ424" s="0" t="n">
        <v>10</v>
      </c>
      <c r="AP424" s="0" t="n">
        <v>240000</v>
      </c>
      <c r="DB424" s="0" t="str">
        <f aca="false">IF($A424="","",IF($AE424&amp;""&lt;&gt;設定!$C$4,"対象外",IF($AH424=20,IF(OR($AJ424=10,$AJ424=11,$AJ424=18),"①病院一般",IF($AJ424=41,"②病院短期","対象外")),IF($AH424=5,IF($AJ424=30,"③特定消防","対象外"),IF(OR($AJ424=10,$AJ424=11,$AJ424=74),"④一般",IF(OR($AJ424=41,$AJ424=47),"⑤短期","対象外"))))))</f>
        <v>対象外</v>
      </c>
    </row>
    <row r="425" customFormat="false" ht="15" hidden="false" customHeight="false" outlineLevel="0" collapsed="false">
      <c r="A425" s="0" t="n">
        <v>21</v>
      </c>
      <c r="AA425" s="0" t="n">
        <v>21</v>
      </c>
      <c r="AB425" s="0" t="s">
        <v>484</v>
      </c>
      <c r="AD425" s="0" t="n">
        <v>12</v>
      </c>
      <c r="AE425" s="0" t="s">
        <v>298</v>
      </c>
      <c r="AH425" s="0" t="n">
        <v>20</v>
      </c>
      <c r="AJ425" s="0" t="n">
        <v>10</v>
      </c>
      <c r="AP425" s="0" t="n">
        <v>320000</v>
      </c>
      <c r="DB425" s="0" t="str">
        <f aca="false">IF($A425="","",IF($AE425&amp;""&lt;&gt;設定!$C$4,"対象外",IF($AH425=20,IF(OR($AJ425=10,$AJ425=11,$AJ425=18),"①病院一般",IF($AJ425=41,"②病院短期","対象外")),IF($AH425=5,IF($AJ425=30,"③特定消防","対象外"),IF(OR($AJ425=10,$AJ425=11,$AJ425=74),"④一般",IF(OR($AJ425=41,$AJ425=47),"⑤短期","対象外"))))))</f>
        <v>対象外</v>
      </c>
    </row>
    <row r="426" customFormat="false" ht="15" hidden="false" customHeight="false" outlineLevel="0" collapsed="false">
      <c r="A426" s="0" t="n">
        <v>21</v>
      </c>
      <c r="AA426" s="0" t="n">
        <v>21</v>
      </c>
      <c r="AB426" s="0" t="s">
        <v>458</v>
      </c>
      <c r="AD426" s="0" t="n">
        <v>12</v>
      </c>
      <c r="AE426" s="0" t="s">
        <v>301</v>
      </c>
      <c r="AH426" s="0" t="n">
        <v>20</v>
      </c>
      <c r="AJ426" s="0" t="n">
        <v>10</v>
      </c>
      <c r="AP426" s="0" t="n">
        <v>980000</v>
      </c>
      <c r="DB426" s="0" t="str">
        <f aca="false">IF($A426="","",IF($AE426&amp;""&lt;&gt;設定!$C$4,"対象外",IF($AH426=20,IF(OR($AJ426=10,$AJ426=11,$AJ426=18),"①病院一般",IF($AJ426=41,"②病院短期","対象外")),IF($AH426=5,IF($AJ426=30,"③特定消防","対象外"),IF(OR($AJ426=10,$AJ426=11,$AJ426=74),"④一般",IF(OR($AJ426=41,$AJ426=47),"⑤短期","対象外"))))))</f>
        <v>対象外</v>
      </c>
    </row>
    <row r="427" customFormat="false" ht="15" hidden="false" customHeight="false" outlineLevel="0" collapsed="false">
      <c r="A427" s="0" t="n">
        <v>21</v>
      </c>
      <c r="AA427" s="0" t="n">
        <v>21</v>
      </c>
      <c r="AB427" s="0" t="s">
        <v>458</v>
      </c>
      <c r="AD427" s="0" t="n">
        <v>12</v>
      </c>
      <c r="AE427" s="0" t="s">
        <v>96</v>
      </c>
      <c r="AH427" s="0" t="n">
        <v>20</v>
      </c>
      <c r="AJ427" s="0" t="n">
        <v>10</v>
      </c>
      <c r="AP427" s="0" t="n">
        <v>790000</v>
      </c>
      <c r="DB427" s="0" t="str">
        <f aca="false">IF($A427="","",IF($AE427&amp;""&lt;&gt;設定!$C$4,"対象外",IF($AH427=20,IF(OR($AJ427=10,$AJ427=11,$AJ427=18),"①病院一般",IF($AJ427=41,"②病院短期","対象外")),IF($AH427=5,IF($AJ427=30,"③特定消防","対象外"),IF(OR($AJ427=10,$AJ427=11,$AJ427=74),"④一般",IF(OR($AJ427=41,$AJ427=47),"⑤短期","対象外"))))))</f>
        <v>①病院一般</v>
      </c>
    </row>
    <row r="428" customFormat="false" ht="15" hidden="false" customHeight="false" outlineLevel="0" collapsed="false">
      <c r="A428" s="0" t="n">
        <v>21</v>
      </c>
      <c r="AA428" s="0" t="n">
        <v>21</v>
      </c>
      <c r="AB428" s="0" t="s">
        <v>484</v>
      </c>
      <c r="AD428" s="0" t="n">
        <v>12</v>
      </c>
      <c r="AE428" s="0" t="s">
        <v>301</v>
      </c>
      <c r="AH428" s="0" t="n">
        <v>20</v>
      </c>
      <c r="AJ428" s="0" t="n">
        <v>10</v>
      </c>
      <c r="AP428" s="0" t="n">
        <v>1330000</v>
      </c>
      <c r="DB428" s="0" t="str">
        <f aca="false">IF($A428="","",IF($AE428&amp;""&lt;&gt;設定!$C$4,"対象外",IF($AH428=20,IF(OR($AJ428=10,$AJ428=11,$AJ428=18),"①病院一般",IF($AJ428=41,"②病院短期","対象外")),IF($AH428=5,IF($AJ428=30,"③特定消防","対象外"),IF(OR($AJ428=10,$AJ428=11,$AJ428=74),"④一般",IF(OR($AJ428=41,$AJ428=47),"⑤短期","対象外"))))))</f>
        <v>対象外</v>
      </c>
    </row>
    <row r="429" customFormat="false" ht="15" hidden="false" customHeight="false" outlineLevel="0" collapsed="false">
      <c r="A429" s="0" t="n">
        <v>21</v>
      </c>
      <c r="AA429" s="0" t="n">
        <v>21</v>
      </c>
      <c r="AB429" s="0" t="s">
        <v>458</v>
      </c>
      <c r="AD429" s="0" t="n">
        <v>12</v>
      </c>
      <c r="AE429" s="0" t="s">
        <v>485</v>
      </c>
      <c r="AH429" s="0" t="n">
        <v>20</v>
      </c>
      <c r="AJ429" s="0" t="n">
        <v>10</v>
      </c>
      <c r="AP429" s="0" t="n">
        <v>530000</v>
      </c>
      <c r="DB429" s="0" t="str">
        <f aca="false">IF($A429="","",IF($AE429&amp;""&lt;&gt;設定!$C$4,"対象外",IF($AH429=20,IF(OR($AJ429=10,$AJ429=11,$AJ429=18),"①病院一般",IF($AJ429=41,"②病院短期","対象外")),IF($AH429=5,IF($AJ429=30,"③特定消防","対象外"),IF(OR($AJ429=10,$AJ429=11,$AJ429=74),"④一般",IF(OR($AJ429=41,$AJ429=47),"⑤短期","対象外"))))))</f>
        <v>対象外</v>
      </c>
    </row>
    <row r="430" customFormat="false" ht="15" hidden="false" customHeight="false" outlineLevel="0" collapsed="false">
      <c r="A430" s="0" t="n">
        <v>21</v>
      </c>
      <c r="AA430" s="0" t="n">
        <v>21</v>
      </c>
      <c r="AB430" s="0" t="s">
        <v>458</v>
      </c>
      <c r="AD430" s="0" t="n">
        <v>12</v>
      </c>
      <c r="AE430" s="0" t="s">
        <v>96</v>
      </c>
      <c r="AH430" s="0" t="n">
        <v>20</v>
      </c>
      <c r="AJ430" s="0" t="n">
        <v>10</v>
      </c>
      <c r="AP430" s="0" t="n">
        <v>830000</v>
      </c>
      <c r="DB430" s="0" t="str">
        <f aca="false">IF($A430="","",IF($AE430&amp;""&lt;&gt;設定!$C$4,"対象外",IF($AH430=20,IF(OR($AJ430=10,$AJ430=11,$AJ430=18),"①病院一般",IF($AJ430=41,"②病院短期","対象外")),IF($AH430=5,IF($AJ430=30,"③特定消防","対象外"),IF(OR($AJ430=10,$AJ430=11,$AJ430=74),"④一般",IF(OR($AJ430=41,$AJ430=47),"⑤短期","対象外"))))))</f>
        <v>①病院一般</v>
      </c>
    </row>
    <row r="431" customFormat="false" ht="15" hidden="false" customHeight="false" outlineLevel="0" collapsed="false">
      <c r="A431" s="0" t="n">
        <v>21</v>
      </c>
      <c r="AA431" s="0" t="n">
        <v>21</v>
      </c>
      <c r="AB431" s="0" t="s">
        <v>484</v>
      </c>
      <c r="AD431" s="0" t="n">
        <v>12</v>
      </c>
      <c r="AE431" s="0" t="s">
        <v>301</v>
      </c>
      <c r="AH431" s="0" t="n">
        <v>20</v>
      </c>
      <c r="AJ431" s="0" t="n">
        <v>10</v>
      </c>
      <c r="AP431" s="0" t="n">
        <v>340000</v>
      </c>
      <c r="DB431" s="0" t="str">
        <f aca="false">IF($A431="","",IF($AE431&amp;""&lt;&gt;設定!$C$4,"対象外",IF($AH431=20,IF(OR($AJ431=10,$AJ431=11,$AJ431=18),"①病院一般",IF($AJ431=41,"②病院短期","対象外")),IF($AH431=5,IF($AJ431=30,"③特定消防","対象外"),IF(OR($AJ431=10,$AJ431=11,$AJ431=74),"④一般",IF(OR($AJ431=41,$AJ431=47),"⑤短期","対象外"))))))</f>
        <v>対象外</v>
      </c>
    </row>
    <row r="432" customFormat="false" ht="15" hidden="false" customHeight="false" outlineLevel="0" collapsed="false">
      <c r="A432" s="0" t="n">
        <v>21</v>
      </c>
      <c r="AA432" s="0" t="n">
        <v>21</v>
      </c>
      <c r="AB432" s="0" t="s">
        <v>486</v>
      </c>
      <c r="AD432" s="0" t="n">
        <v>12</v>
      </c>
      <c r="AE432" s="0" t="s">
        <v>294</v>
      </c>
      <c r="AH432" s="0" t="n">
        <v>20</v>
      </c>
      <c r="AJ432" s="0" t="n">
        <v>10</v>
      </c>
      <c r="AP432" s="0" t="n">
        <v>360000</v>
      </c>
      <c r="DB432" s="0" t="str">
        <f aca="false">IF($A432="","",IF($AE432&amp;""&lt;&gt;設定!$C$4,"対象外",IF($AH432=20,IF(OR($AJ432=10,$AJ432=11,$AJ432=18),"①病院一般",IF($AJ432=41,"②病院短期","対象外")),IF($AH432=5,IF($AJ432=30,"③特定消防","対象外"),IF(OR($AJ432=10,$AJ432=11,$AJ432=74),"④一般",IF(OR($AJ432=41,$AJ432=47),"⑤短期","対象外"))))))</f>
        <v>対象外</v>
      </c>
    </row>
    <row r="433" customFormat="false" ht="15" hidden="false" customHeight="false" outlineLevel="0" collapsed="false">
      <c r="A433" s="0" t="n">
        <v>21</v>
      </c>
      <c r="AA433" s="0" t="n">
        <v>21</v>
      </c>
      <c r="AB433" s="0" t="s">
        <v>458</v>
      </c>
      <c r="AD433" s="0" t="n">
        <v>12</v>
      </c>
      <c r="AE433" s="0" t="s">
        <v>96</v>
      </c>
      <c r="AH433" s="0" t="n">
        <v>11</v>
      </c>
      <c r="AJ433" s="0" t="n">
        <v>10</v>
      </c>
      <c r="AP433" s="0" t="n">
        <v>190000</v>
      </c>
      <c r="DB433" s="0" t="str">
        <f aca="false">IF($A433="","",IF($AE433&amp;""&lt;&gt;設定!$C$4,"対象外",IF($AH433=20,IF(OR($AJ433=10,$AJ433=11,$AJ433=18),"①病院一般",IF($AJ433=41,"②病院短期","対象外")),IF($AH433=5,IF($AJ433=30,"③特定消防","対象外"),IF(OR($AJ433=10,$AJ433=11,$AJ433=74),"④一般",IF(OR($AJ433=41,$AJ433=47),"⑤短期","対象外"))))))</f>
        <v>④一般</v>
      </c>
    </row>
    <row r="434" customFormat="false" ht="15" hidden="false" customHeight="false" outlineLevel="0" collapsed="false">
      <c r="A434" s="0" t="n">
        <v>21</v>
      </c>
      <c r="AA434" s="0" t="n">
        <v>21</v>
      </c>
      <c r="AB434" s="0" t="s">
        <v>458</v>
      </c>
      <c r="AD434" s="0" t="n">
        <v>12</v>
      </c>
      <c r="AE434" s="0" t="s">
        <v>311</v>
      </c>
      <c r="AH434" s="0" t="n">
        <v>1</v>
      </c>
      <c r="AJ434" s="0" t="n">
        <v>10</v>
      </c>
      <c r="AP434" s="0" t="n">
        <v>380000</v>
      </c>
      <c r="DB434" s="0" t="str">
        <f aca="false">IF($A434="","",IF($AE434&amp;""&lt;&gt;設定!$C$4,"対象外",IF($AH434=20,IF(OR($AJ434=10,$AJ434=11,$AJ434=18),"①病院一般",IF($AJ434=41,"②病院短期","対象外")),IF($AH434=5,IF($AJ434=30,"③特定消防","対象外"),IF(OR($AJ434=10,$AJ434=11,$AJ434=74),"④一般",IF(OR($AJ434=41,$AJ434=47),"⑤短期","対象外"))))))</f>
        <v>対象外</v>
      </c>
    </row>
    <row r="435" customFormat="false" ht="15" hidden="false" customHeight="false" outlineLevel="0" collapsed="false">
      <c r="A435" s="0" t="n">
        <v>21</v>
      </c>
      <c r="AA435" s="0" t="n">
        <v>21</v>
      </c>
      <c r="AB435" s="0" t="s">
        <v>458</v>
      </c>
      <c r="AD435" s="0" t="n">
        <v>12</v>
      </c>
      <c r="AE435" s="0" t="s">
        <v>299</v>
      </c>
      <c r="AH435" s="0" t="n">
        <v>1</v>
      </c>
      <c r="AJ435" s="0" t="n">
        <v>10</v>
      </c>
      <c r="AP435" s="0" t="n">
        <v>260000</v>
      </c>
      <c r="DB435" s="0" t="str">
        <f aca="false">IF($A435="","",IF($AE435&amp;""&lt;&gt;設定!$C$4,"対象外",IF($AH435=20,IF(OR($AJ435=10,$AJ435=11,$AJ435=18),"①病院一般",IF($AJ435=41,"②病院短期","対象外")),IF($AH435=5,IF($AJ435=30,"③特定消防","対象外"),IF(OR($AJ435=10,$AJ435=11,$AJ435=74),"④一般",IF(OR($AJ435=41,$AJ435=47),"⑤短期","対象外"))))))</f>
        <v>対象外</v>
      </c>
    </row>
    <row r="436" customFormat="false" ht="15" hidden="false" customHeight="false" outlineLevel="0" collapsed="false">
      <c r="A436" s="0" t="n">
        <v>21</v>
      </c>
      <c r="AA436" s="0" t="n">
        <v>21</v>
      </c>
      <c r="AB436" s="0" t="s">
        <v>458</v>
      </c>
      <c r="AD436" s="0" t="n">
        <v>12</v>
      </c>
      <c r="AE436" s="0" t="s">
        <v>96</v>
      </c>
      <c r="AH436" s="0" t="n">
        <v>1</v>
      </c>
      <c r="AJ436" s="0" t="n">
        <v>10</v>
      </c>
      <c r="AP436" s="0" t="n">
        <v>320000</v>
      </c>
      <c r="DB436" s="0" t="str">
        <f aca="false">IF($A436="","",IF($AE436&amp;""&lt;&gt;設定!$C$4,"対象外",IF($AH436=20,IF(OR($AJ436=10,$AJ436=11,$AJ436=18),"①病院一般",IF($AJ436=41,"②病院短期","対象外")),IF($AH436=5,IF($AJ436=30,"③特定消防","対象外"),IF(OR($AJ436=10,$AJ436=11,$AJ436=74),"④一般",IF(OR($AJ436=41,$AJ436=47),"⑤短期","対象外"))))))</f>
        <v>④一般</v>
      </c>
    </row>
    <row r="437" customFormat="false" ht="15" hidden="false" customHeight="false" outlineLevel="0" collapsed="false">
      <c r="A437" s="0" t="n">
        <v>21</v>
      </c>
      <c r="AA437" s="0" t="n">
        <v>21</v>
      </c>
      <c r="AB437" s="0" t="s">
        <v>458</v>
      </c>
      <c r="AD437" s="0" t="n">
        <v>12</v>
      </c>
      <c r="AE437" s="0" t="s">
        <v>96</v>
      </c>
      <c r="AH437" s="0" t="n">
        <v>1</v>
      </c>
      <c r="AJ437" s="0" t="n">
        <v>10</v>
      </c>
      <c r="AP437" s="0" t="n">
        <v>320000</v>
      </c>
      <c r="DB437" s="0" t="str">
        <f aca="false">IF($A437="","",IF($AE437&amp;""&lt;&gt;設定!$C$4,"対象外",IF($AH437=20,IF(OR($AJ437=10,$AJ437=11,$AJ437=18),"①病院一般",IF($AJ437=41,"②病院短期","対象外")),IF($AH437=5,IF($AJ437=30,"③特定消防","対象外"),IF(OR($AJ437=10,$AJ437=11,$AJ437=74),"④一般",IF(OR($AJ437=41,$AJ437=47),"⑤短期","対象外"))))))</f>
        <v>④一般</v>
      </c>
    </row>
    <row r="438" customFormat="false" ht="15" hidden="false" customHeight="false" outlineLevel="0" collapsed="false">
      <c r="A438" s="0" t="n">
        <v>21</v>
      </c>
      <c r="AA438" s="0" t="n">
        <v>21</v>
      </c>
      <c r="AB438" s="0" t="s">
        <v>458</v>
      </c>
      <c r="AD438" s="0" t="n">
        <v>12</v>
      </c>
      <c r="AE438" s="0" t="s">
        <v>96</v>
      </c>
      <c r="AH438" s="0" t="n">
        <v>1</v>
      </c>
      <c r="AJ438" s="0" t="n">
        <v>10</v>
      </c>
      <c r="AP438" s="0" t="n">
        <v>220000</v>
      </c>
      <c r="DB438" s="0" t="str">
        <f aca="false">IF($A438="","",IF($AE438&amp;""&lt;&gt;設定!$C$4,"対象外",IF($AH438=20,IF(OR($AJ438=10,$AJ438=11,$AJ438=18),"①病院一般",IF($AJ438=41,"②病院短期","対象外")),IF($AH438=5,IF($AJ438=30,"③特定消防","対象外"),IF(OR($AJ438=10,$AJ438=11,$AJ438=74),"④一般",IF(OR($AJ438=41,$AJ438=47),"⑤短期","対象外"))))))</f>
        <v>④一般</v>
      </c>
    </row>
    <row r="439" customFormat="false" ht="15" hidden="false" customHeight="false" outlineLevel="0" collapsed="false">
      <c r="A439" s="0" t="n">
        <v>21</v>
      </c>
      <c r="AA439" s="0" t="n">
        <v>21</v>
      </c>
      <c r="AB439" s="0" t="s">
        <v>458</v>
      </c>
      <c r="AD439" s="0" t="n">
        <v>12</v>
      </c>
      <c r="AE439" s="0" t="s">
        <v>96</v>
      </c>
      <c r="AH439" s="0" t="n">
        <v>3</v>
      </c>
      <c r="AJ439" s="0" t="n">
        <v>10</v>
      </c>
      <c r="AP439" s="0" t="n">
        <v>280000</v>
      </c>
      <c r="DB439" s="0" t="str">
        <f aca="false">IF($A439="","",IF($AE439&amp;""&lt;&gt;設定!$C$4,"対象外",IF($AH439=20,IF(OR($AJ439=10,$AJ439=11,$AJ439=18),"①病院一般",IF($AJ439=41,"②病院短期","対象外")),IF($AH439=5,IF($AJ439=30,"③特定消防","対象外"),IF(OR($AJ439=10,$AJ439=11,$AJ439=74),"④一般",IF(OR($AJ439=41,$AJ439=47),"⑤短期","対象外"))))))</f>
        <v>④一般</v>
      </c>
    </row>
    <row r="440" customFormat="false" ht="15" hidden="false" customHeight="false" outlineLevel="0" collapsed="false">
      <c r="A440" s="0" t="n">
        <v>21</v>
      </c>
      <c r="AA440" s="0" t="n">
        <v>21</v>
      </c>
      <c r="AB440" s="0" t="s">
        <v>458</v>
      </c>
      <c r="AD440" s="0" t="n">
        <v>12</v>
      </c>
      <c r="AE440" s="0" t="s">
        <v>96</v>
      </c>
      <c r="AH440" s="0" t="n">
        <v>1</v>
      </c>
      <c r="AJ440" s="0" t="n">
        <v>10</v>
      </c>
      <c r="AP440" s="0" t="n">
        <v>280000</v>
      </c>
      <c r="DB440" s="0" t="str">
        <f aca="false">IF($A440="","",IF($AE440&amp;""&lt;&gt;設定!$C$4,"対象外",IF($AH440=20,IF(OR($AJ440=10,$AJ440=11,$AJ440=18),"①病院一般",IF($AJ440=41,"②病院短期","対象外")),IF($AH440=5,IF($AJ440=30,"③特定消防","対象外"),IF(OR($AJ440=10,$AJ440=11,$AJ440=74),"④一般",IF(OR($AJ440=41,$AJ440=47),"⑤短期","対象外"))))))</f>
        <v>④一般</v>
      </c>
    </row>
    <row r="441" customFormat="false" ht="15" hidden="false" customHeight="false" outlineLevel="0" collapsed="false">
      <c r="A441" s="0" t="n">
        <v>21</v>
      </c>
      <c r="AA441" s="0" t="n">
        <v>21</v>
      </c>
      <c r="AB441" s="0" t="s">
        <v>458</v>
      </c>
      <c r="AD441" s="0" t="n">
        <v>12</v>
      </c>
      <c r="AE441" s="0" t="s">
        <v>96</v>
      </c>
      <c r="AH441" s="0" t="n">
        <v>20</v>
      </c>
      <c r="AJ441" s="0" t="n">
        <v>10</v>
      </c>
      <c r="AP441" s="0" t="n">
        <v>380000</v>
      </c>
      <c r="DB441" s="0" t="str">
        <f aca="false">IF($A441="","",IF($AE441&amp;""&lt;&gt;設定!$C$4,"対象外",IF($AH441=20,IF(OR($AJ441=10,$AJ441=11,$AJ441=18),"①病院一般",IF($AJ441=41,"②病院短期","対象外")),IF($AH441=5,IF($AJ441=30,"③特定消防","対象外"),IF(OR($AJ441=10,$AJ441=11,$AJ441=74),"④一般",IF(OR($AJ441=41,$AJ441=47),"⑤短期","対象外"))))))</f>
        <v>①病院一般</v>
      </c>
    </row>
    <row r="442" customFormat="false" ht="15" hidden="false" customHeight="false" outlineLevel="0" collapsed="false">
      <c r="A442" s="0" t="n">
        <v>21</v>
      </c>
      <c r="AA442" s="0" t="n">
        <v>21</v>
      </c>
      <c r="AB442" s="0" t="s">
        <v>458</v>
      </c>
      <c r="AD442" s="0" t="n">
        <v>12</v>
      </c>
      <c r="AE442" s="0" t="s">
        <v>294</v>
      </c>
      <c r="AH442" s="0" t="n">
        <v>20</v>
      </c>
      <c r="AJ442" s="0" t="n">
        <v>10</v>
      </c>
      <c r="AP442" s="0" t="n">
        <v>380000</v>
      </c>
      <c r="DB442" s="0" t="str">
        <f aca="false">IF($A442="","",IF($AE442&amp;""&lt;&gt;設定!$C$4,"対象外",IF($AH442=20,IF(OR($AJ442=10,$AJ442=11,$AJ442=18),"①病院一般",IF($AJ442=41,"②病院短期","対象外")),IF($AH442=5,IF($AJ442=30,"③特定消防","対象外"),IF(OR($AJ442=10,$AJ442=11,$AJ442=74),"④一般",IF(OR($AJ442=41,$AJ442=47),"⑤短期","対象外"))))))</f>
        <v>対象外</v>
      </c>
    </row>
    <row r="443" customFormat="false" ht="15" hidden="false" customHeight="false" outlineLevel="0" collapsed="false">
      <c r="A443" s="0" t="n">
        <v>21</v>
      </c>
      <c r="AA443" s="0" t="n">
        <v>21</v>
      </c>
      <c r="AB443" s="0" t="s">
        <v>458</v>
      </c>
      <c r="AD443" s="0" t="n">
        <v>12</v>
      </c>
      <c r="AE443" s="0" t="s">
        <v>96</v>
      </c>
      <c r="AH443" s="0" t="n">
        <v>20</v>
      </c>
      <c r="AJ443" s="0" t="n">
        <v>10</v>
      </c>
      <c r="AP443" s="0" t="n">
        <v>410000</v>
      </c>
      <c r="DB443" s="0" t="str">
        <f aca="false">IF($A443="","",IF($AE443&amp;""&lt;&gt;設定!$C$4,"対象外",IF($AH443=20,IF(OR($AJ443=10,$AJ443=11,$AJ443=18),"①病院一般",IF($AJ443=41,"②病院短期","対象外")),IF($AH443=5,IF($AJ443=30,"③特定消防","対象外"),IF(OR($AJ443=10,$AJ443=11,$AJ443=74),"④一般",IF(OR($AJ443=41,$AJ443=47),"⑤短期","対象外"))))))</f>
        <v>①病院一般</v>
      </c>
    </row>
    <row r="444" customFormat="false" ht="15" hidden="false" customHeight="false" outlineLevel="0" collapsed="false">
      <c r="A444" s="0" t="n">
        <v>21</v>
      </c>
      <c r="AA444" s="0" t="n">
        <v>21</v>
      </c>
      <c r="AB444" s="0" t="s">
        <v>458</v>
      </c>
      <c r="AD444" s="0" t="n">
        <v>12</v>
      </c>
      <c r="AE444" s="0" t="s">
        <v>96</v>
      </c>
      <c r="AH444" s="0" t="n">
        <v>20</v>
      </c>
      <c r="AJ444" s="0" t="n">
        <v>10</v>
      </c>
      <c r="AP444" s="0" t="n">
        <v>360000</v>
      </c>
      <c r="DB444" s="0" t="str">
        <f aca="false">IF($A444="","",IF($AE444&amp;""&lt;&gt;設定!$C$4,"対象外",IF($AH444=20,IF(OR($AJ444=10,$AJ444=11,$AJ444=18),"①病院一般",IF($AJ444=41,"②病院短期","対象外")),IF($AH444=5,IF($AJ444=30,"③特定消防","対象外"),IF(OR($AJ444=10,$AJ444=11,$AJ444=74),"④一般",IF(OR($AJ444=41,$AJ444=47),"⑤短期","対象外"))))))</f>
        <v>①病院一般</v>
      </c>
    </row>
    <row r="445" customFormat="false" ht="15" hidden="false" customHeight="false" outlineLevel="0" collapsed="false">
      <c r="A445" s="0" t="n">
        <v>21</v>
      </c>
      <c r="AA445" s="0" t="n">
        <v>21</v>
      </c>
      <c r="AB445" s="0" t="s">
        <v>458</v>
      </c>
      <c r="AD445" s="0" t="n">
        <v>12</v>
      </c>
      <c r="AE445" s="0" t="s">
        <v>96</v>
      </c>
      <c r="AH445" s="0" t="n">
        <v>20</v>
      </c>
      <c r="AJ445" s="0" t="n">
        <v>10</v>
      </c>
      <c r="AP445" s="0" t="n">
        <v>410000</v>
      </c>
      <c r="DB445" s="0" t="str">
        <f aca="false">IF($A445="","",IF($AE445&amp;""&lt;&gt;設定!$C$4,"対象外",IF($AH445=20,IF(OR($AJ445=10,$AJ445=11,$AJ445=18),"①病院一般",IF($AJ445=41,"②病院短期","対象外")),IF($AH445=5,IF($AJ445=30,"③特定消防","対象外"),IF(OR($AJ445=10,$AJ445=11,$AJ445=74),"④一般",IF(OR($AJ445=41,$AJ445=47),"⑤短期","対象外"))))))</f>
        <v>①病院一般</v>
      </c>
    </row>
    <row r="446" customFormat="false" ht="15" hidden="false" customHeight="false" outlineLevel="0" collapsed="false">
      <c r="A446" s="0" t="n">
        <v>21</v>
      </c>
      <c r="AA446" s="0" t="n">
        <v>21</v>
      </c>
      <c r="AB446" s="0" t="s">
        <v>458</v>
      </c>
      <c r="AD446" s="0" t="n">
        <v>12</v>
      </c>
      <c r="AE446" s="0" t="s">
        <v>96</v>
      </c>
      <c r="AH446" s="0" t="n">
        <v>20</v>
      </c>
      <c r="AJ446" s="0" t="n">
        <v>10</v>
      </c>
      <c r="AP446" s="0" t="n">
        <v>340000</v>
      </c>
      <c r="DB446" s="0" t="str">
        <f aca="false">IF($A446="","",IF($AE446&amp;""&lt;&gt;設定!$C$4,"対象外",IF($AH446=20,IF(OR($AJ446=10,$AJ446=11,$AJ446=18),"①病院一般",IF($AJ446=41,"②病院短期","対象外")),IF($AH446=5,IF($AJ446=30,"③特定消防","対象外"),IF(OR($AJ446=10,$AJ446=11,$AJ446=74),"④一般",IF(OR($AJ446=41,$AJ446=47),"⑤短期","対象外"))))))</f>
        <v>①病院一般</v>
      </c>
    </row>
    <row r="447" customFormat="false" ht="15" hidden="false" customHeight="false" outlineLevel="0" collapsed="false">
      <c r="A447" s="0" t="n">
        <v>21</v>
      </c>
      <c r="AA447" s="0" t="n">
        <v>21</v>
      </c>
      <c r="AB447" s="0" t="s">
        <v>458</v>
      </c>
      <c r="AD447" s="0" t="n">
        <v>12</v>
      </c>
      <c r="AE447" s="0" t="s">
        <v>96</v>
      </c>
      <c r="AH447" s="0" t="n">
        <v>20</v>
      </c>
      <c r="AJ447" s="0" t="n">
        <v>10</v>
      </c>
      <c r="AP447" s="0" t="n">
        <v>360000</v>
      </c>
      <c r="DB447" s="0" t="str">
        <f aca="false">IF($A447="","",IF($AE447&amp;""&lt;&gt;設定!$C$4,"対象外",IF($AH447=20,IF(OR($AJ447=10,$AJ447=11,$AJ447=18),"①病院一般",IF($AJ447=41,"②病院短期","対象外")),IF($AH447=5,IF($AJ447=30,"③特定消防","対象外"),IF(OR($AJ447=10,$AJ447=11,$AJ447=74),"④一般",IF(OR($AJ447=41,$AJ447=47),"⑤短期","対象外"))))))</f>
        <v>①病院一般</v>
      </c>
    </row>
    <row r="448" customFormat="false" ht="15" hidden="false" customHeight="false" outlineLevel="0" collapsed="false">
      <c r="A448" s="0" t="n">
        <v>21</v>
      </c>
      <c r="AA448" s="0" t="n">
        <v>21</v>
      </c>
      <c r="AB448" s="0" t="s">
        <v>458</v>
      </c>
      <c r="AD448" s="0" t="n">
        <v>12</v>
      </c>
      <c r="AE448" s="0" t="s">
        <v>294</v>
      </c>
      <c r="AH448" s="0" t="n">
        <v>20</v>
      </c>
      <c r="AJ448" s="0" t="n">
        <v>10</v>
      </c>
      <c r="AP448" s="0" t="n">
        <v>360000</v>
      </c>
      <c r="DB448" s="0" t="str">
        <f aca="false">IF($A448="","",IF($AE448&amp;""&lt;&gt;設定!$C$4,"対象外",IF($AH448=20,IF(OR($AJ448=10,$AJ448=11,$AJ448=18),"①病院一般",IF($AJ448=41,"②病院短期","対象外")),IF($AH448=5,IF($AJ448=30,"③特定消防","対象外"),IF(OR($AJ448=10,$AJ448=11,$AJ448=74),"④一般",IF(OR($AJ448=41,$AJ448=47),"⑤短期","対象外"))))))</f>
        <v>対象外</v>
      </c>
    </row>
    <row r="449" customFormat="false" ht="15" hidden="false" customHeight="false" outlineLevel="0" collapsed="false">
      <c r="A449" s="0" t="n">
        <v>21</v>
      </c>
      <c r="AA449" s="0" t="n">
        <v>21</v>
      </c>
      <c r="AB449" s="0" t="s">
        <v>458</v>
      </c>
      <c r="AD449" s="0" t="n">
        <v>12</v>
      </c>
      <c r="AE449" s="0" t="s">
        <v>299</v>
      </c>
      <c r="AH449" s="0" t="n">
        <v>20</v>
      </c>
      <c r="AJ449" s="0" t="n">
        <v>10</v>
      </c>
      <c r="AP449" s="0" t="n">
        <v>300000</v>
      </c>
      <c r="DB449" s="0" t="str">
        <f aca="false">IF($A449="","",IF($AE449&amp;""&lt;&gt;設定!$C$4,"対象外",IF($AH449=20,IF(OR($AJ449=10,$AJ449=11,$AJ449=18),"①病院一般",IF($AJ449=41,"②病院短期","対象外")),IF($AH449=5,IF($AJ449=30,"③特定消防","対象外"),IF(OR($AJ449=10,$AJ449=11,$AJ449=74),"④一般",IF(OR($AJ449=41,$AJ449=47),"⑤短期","対象外"))))))</f>
        <v>対象外</v>
      </c>
    </row>
    <row r="450" customFormat="false" ht="15" hidden="false" customHeight="false" outlineLevel="0" collapsed="false">
      <c r="A450" s="0" t="n">
        <v>21</v>
      </c>
      <c r="AA450" s="0" t="n">
        <v>21</v>
      </c>
      <c r="AB450" s="0" t="s">
        <v>458</v>
      </c>
      <c r="AD450" s="0" t="n">
        <v>12</v>
      </c>
      <c r="AE450" s="0" t="s">
        <v>96</v>
      </c>
      <c r="AH450" s="0" t="n">
        <v>20</v>
      </c>
      <c r="AJ450" s="0" t="n">
        <v>10</v>
      </c>
      <c r="AP450" s="0" t="n">
        <v>360000</v>
      </c>
      <c r="DB450" s="0" t="str">
        <f aca="false">IF($A450="","",IF($AE450&amp;""&lt;&gt;設定!$C$4,"対象外",IF($AH450=20,IF(OR($AJ450=10,$AJ450=11,$AJ450=18),"①病院一般",IF($AJ450=41,"②病院短期","対象外")),IF($AH450=5,IF($AJ450=30,"③特定消防","対象外"),IF(OR($AJ450=10,$AJ450=11,$AJ450=74),"④一般",IF(OR($AJ450=41,$AJ450=47),"⑤短期","対象外"))))))</f>
        <v>①病院一般</v>
      </c>
    </row>
    <row r="451" customFormat="false" ht="15" hidden="false" customHeight="false" outlineLevel="0" collapsed="false">
      <c r="A451" s="0" t="n">
        <v>21</v>
      </c>
      <c r="AA451" s="0" t="n">
        <v>21</v>
      </c>
      <c r="AB451" s="0" t="s">
        <v>458</v>
      </c>
      <c r="AD451" s="0" t="n">
        <v>12</v>
      </c>
      <c r="AE451" s="0" t="s">
        <v>96</v>
      </c>
      <c r="AH451" s="0" t="n">
        <v>20</v>
      </c>
      <c r="AJ451" s="0" t="n">
        <v>10</v>
      </c>
      <c r="AP451" s="0" t="n">
        <v>980000</v>
      </c>
      <c r="DB451" s="0" t="str">
        <f aca="false">IF($A451="","",IF($AE451&amp;""&lt;&gt;設定!$C$4,"対象外",IF($AH451=20,IF(OR($AJ451=10,$AJ451=11,$AJ451=18),"①病院一般",IF($AJ451=41,"②病院短期","対象外")),IF($AH451=5,IF($AJ451=30,"③特定消防","対象外"),IF(OR($AJ451=10,$AJ451=11,$AJ451=74),"④一般",IF(OR($AJ451=41,$AJ451=47),"⑤短期","対象外"))))))</f>
        <v>①病院一般</v>
      </c>
    </row>
    <row r="452" customFormat="false" ht="15" hidden="false" customHeight="false" outlineLevel="0" collapsed="false">
      <c r="A452" s="0" t="n">
        <v>21</v>
      </c>
      <c r="AA452" s="0" t="n">
        <v>21</v>
      </c>
      <c r="AB452" s="0" t="s">
        <v>458</v>
      </c>
      <c r="AD452" s="0" t="n">
        <v>12</v>
      </c>
      <c r="AE452" s="0" t="s">
        <v>301</v>
      </c>
      <c r="AH452" s="0" t="n">
        <v>20</v>
      </c>
      <c r="AJ452" s="0" t="n">
        <v>10</v>
      </c>
      <c r="AP452" s="0" t="n">
        <v>1390000</v>
      </c>
      <c r="DB452" s="0" t="str">
        <f aca="false">IF($A452="","",IF($AE452&amp;""&lt;&gt;設定!$C$4,"対象外",IF($AH452=20,IF(OR($AJ452=10,$AJ452=11,$AJ452=18),"①病院一般",IF($AJ452=41,"②病院短期","対象外")),IF($AH452=5,IF($AJ452=30,"③特定消防","対象外"),IF(OR($AJ452=10,$AJ452=11,$AJ452=74),"④一般",IF(OR($AJ452=41,$AJ452=47),"⑤短期","対象外"))))))</f>
        <v>対象外</v>
      </c>
    </row>
    <row r="453" customFormat="false" ht="15" hidden="false" customHeight="false" outlineLevel="0" collapsed="false">
      <c r="A453" s="0" t="n">
        <v>21</v>
      </c>
      <c r="AA453" s="0" t="n">
        <v>21</v>
      </c>
      <c r="AB453" s="0" t="s">
        <v>476</v>
      </c>
      <c r="AD453" s="0" t="n">
        <v>12</v>
      </c>
      <c r="AE453" s="0" t="s">
        <v>96</v>
      </c>
      <c r="AH453" s="0" t="n">
        <v>20</v>
      </c>
      <c r="AJ453" s="0" t="n">
        <v>10</v>
      </c>
      <c r="AP453" s="0" t="n">
        <v>1090000</v>
      </c>
      <c r="DB453" s="0" t="str">
        <f aca="false">IF($A453="","",IF($AE453&amp;""&lt;&gt;設定!$C$4,"対象外",IF($AH453=20,IF(OR($AJ453=10,$AJ453=11,$AJ453=18),"①病院一般",IF($AJ453=41,"②病院短期","対象外")),IF($AH453=5,IF($AJ453=30,"③特定消防","対象外"),IF(OR($AJ453=10,$AJ453=11,$AJ453=74),"④一般",IF(OR($AJ453=41,$AJ453=47),"⑤短期","対象外"))))))</f>
        <v>①病院一般</v>
      </c>
    </row>
    <row r="454" customFormat="false" ht="15" hidden="false" customHeight="false" outlineLevel="0" collapsed="false">
      <c r="A454" s="0" t="n">
        <v>21</v>
      </c>
      <c r="AA454" s="0" t="n">
        <v>21</v>
      </c>
      <c r="AB454" s="0" t="s">
        <v>476</v>
      </c>
      <c r="AD454" s="0" t="n">
        <v>12</v>
      </c>
      <c r="AE454" s="0" t="s">
        <v>96</v>
      </c>
      <c r="AH454" s="0" t="n">
        <v>20</v>
      </c>
      <c r="AJ454" s="0" t="n">
        <v>10</v>
      </c>
      <c r="AP454" s="0" t="n">
        <v>1270000</v>
      </c>
      <c r="DB454" s="0" t="str">
        <f aca="false">IF($A454="","",IF($AE454&amp;""&lt;&gt;設定!$C$4,"対象外",IF($AH454=20,IF(OR($AJ454=10,$AJ454=11,$AJ454=18),"①病院一般",IF($AJ454=41,"②病院短期","対象外")),IF($AH454=5,IF($AJ454=30,"③特定消防","対象外"),IF(OR($AJ454=10,$AJ454=11,$AJ454=74),"④一般",IF(OR($AJ454=41,$AJ454=47),"⑤短期","対象外"))))))</f>
        <v>①病院一般</v>
      </c>
    </row>
    <row r="455" customFormat="false" ht="15" hidden="false" customHeight="false" outlineLevel="0" collapsed="false">
      <c r="A455" s="0" t="n">
        <v>21</v>
      </c>
      <c r="AA455" s="0" t="n">
        <v>21</v>
      </c>
      <c r="AB455" s="0" t="s">
        <v>476</v>
      </c>
      <c r="AD455" s="0" t="n">
        <v>12</v>
      </c>
      <c r="AE455" s="0" t="s">
        <v>301</v>
      </c>
      <c r="AH455" s="0" t="n">
        <v>20</v>
      </c>
      <c r="AJ455" s="0" t="n">
        <v>10</v>
      </c>
      <c r="AP455" s="0" t="n">
        <v>930000</v>
      </c>
      <c r="DB455" s="0" t="str">
        <f aca="false">IF($A455="","",IF($AE455&amp;""&lt;&gt;設定!$C$4,"対象外",IF($AH455=20,IF(OR($AJ455=10,$AJ455=11,$AJ455=18),"①病院一般",IF($AJ455=41,"②病院短期","対象外")),IF($AH455=5,IF($AJ455=30,"③特定消防","対象外"),IF(OR($AJ455=10,$AJ455=11,$AJ455=74),"④一般",IF(OR($AJ455=41,$AJ455=47),"⑤短期","対象外"))))))</f>
        <v>対象外</v>
      </c>
    </row>
    <row r="456" customFormat="false" ht="15" hidden="false" customHeight="false" outlineLevel="0" collapsed="false">
      <c r="A456" s="0" t="n">
        <v>21</v>
      </c>
      <c r="AA456" s="0" t="n">
        <v>21</v>
      </c>
      <c r="AB456" s="0" t="s">
        <v>476</v>
      </c>
      <c r="AD456" s="0" t="n">
        <v>12</v>
      </c>
      <c r="AE456" s="0" t="s">
        <v>96</v>
      </c>
      <c r="AH456" s="0" t="n">
        <v>20</v>
      </c>
      <c r="AJ456" s="0" t="n">
        <v>10</v>
      </c>
      <c r="AP456" s="0" t="n">
        <v>680000</v>
      </c>
      <c r="DB456" s="0" t="str">
        <f aca="false">IF($A456="","",IF($AE456&amp;""&lt;&gt;設定!$C$4,"対象外",IF($AH456=20,IF(OR($AJ456=10,$AJ456=11,$AJ456=18),"①病院一般",IF($AJ456=41,"②病院短期","対象外")),IF($AH456=5,IF($AJ456=30,"③特定消防","対象外"),IF(OR($AJ456=10,$AJ456=11,$AJ456=74),"④一般",IF(OR($AJ456=41,$AJ456=47),"⑤短期","対象外"))))))</f>
        <v>①病院一般</v>
      </c>
    </row>
    <row r="457" customFormat="false" ht="15" hidden="false" customHeight="false" outlineLevel="0" collapsed="false">
      <c r="A457" s="0" t="n">
        <v>21</v>
      </c>
      <c r="AA457" s="0" t="n">
        <v>21</v>
      </c>
      <c r="AB457" s="0" t="s">
        <v>476</v>
      </c>
      <c r="AD457" s="0" t="n">
        <v>12</v>
      </c>
      <c r="AE457" s="0" t="s">
        <v>96</v>
      </c>
      <c r="AH457" s="0" t="n">
        <v>20</v>
      </c>
      <c r="AJ457" s="0" t="n">
        <v>10</v>
      </c>
      <c r="AP457" s="0" t="n">
        <v>1090000</v>
      </c>
      <c r="DB457" s="0" t="str">
        <f aca="false">IF($A457="","",IF($AE457&amp;""&lt;&gt;設定!$C$4,"対象外",IF($AH457=20,IF(OR($AJ457=10,$AJ457=11,$AJ457=18),"①病院一般",IF($AJ457=41,"②病院短期","対象外")),IF($AH457=5,IF($AJ457=30,"③特定消防","対象外"),IF(OR($AJ457=10,$AJ457=11,$AJ457=74),"④一般",IF(OR($AJ457=41,$AJ457=47),"⑤短期","対象外"))))))</f>
        <v>①病院一般</v>
      </c>
    </row>
    <row r="458" customFormat="false" ht="15" hidden="false" customHeight="false" outlineLevel="0" collapsed="false">
      <c r="A458" s="0" t="n">
        <v>21</v>
      </c>
      <c r="AA458" s="0" t="n">
        <v>21</v>
      </c>
      <c r="AB458" s="0" t="s">
        <v>458</v>
      </c>
      <c r="AD458" s="0" t="n">
        <v>12</v>
      </c>
      <c r="AE458" s="0" t="s">
        <v>96</v>
      </c>
      <c r="AH458" s="0" t="n">
        <v>20</v>
      </c>
      <c r="AJ458" s="0" t="n">
        <v>10</v>
      </c>
      <c r="AP458" s="0" t="n">
        <v>1390000</v>
      </c>
      <c r="DB458" s="0" t="str">
        <f aca="false">IF($A458="","",IF($AE458&amp;""&lt;&gt;設定!$C$4,"対象外",IF($AH458=20,IF(OR($AJ458=10,$AJ458=11,$AJ458=18),"①病院一般",IF($AJ458=41,"②病院短期","対象外")),IF($AH458=5,IF($AJ458=30,"③特定消防","対象外"),IF(OR($AJ458=10,$AJ458=11,$AJ458=74),"④一般",IF(OR($AJ458=41,$AJ458=47),"⑤短期","対象外"))))))</f>
        <v>①病院一般</v>
      </c>
    </row>
    <row r="459" customFormat="false" ht="15" hidden="false" customHeight="false" outlineLevel="0" collapsed="false">
      <c r="A459" s="0" t="n">
        <v>21</v>
      </c>
      <c r="AA459" s="0" t="n">
        <v>21</v>
      </c>
      <c r="AB459" s="0" t="s">
        <v>458</v>
      </c>
      <c r="AD459" s="0" t="n">
        <v>12</v>
      </c>
      <c r="AE459" s="0" t="s">
        <v>299</v>
      </c>
      <c r="AH459" s="0" t="n">
        <v>20</v>
      </c>
      <c r="AJ459" s="0" t="n">
        <v>10</v>
      </c>
      <c r="AP459" s="0" t="n">
        <v>1390000</v>
      </c>
      <c r="DB459" s="0" t="str">
        <f aca="false">IF($A459="","",IF($AE459&amp;""&lt;&gt;設定!$C$4,"対象外",IF($AH459=20,IF(OR($AJ459=10,$AJ459=11,$AJ459=18),"①病院一般",IF($AJ459=41,"②病院短期","対象外")),IF($AH459=5,IF($AJ459=30,"③特定消防","対象外"),IF(OR($AJ459=10,$AJ459=11,$AJ459=74),"④一般",IF(OR($AJ459=41,$AJ459=47),"⑤短期","対象外"))))))</f>
        <v>対象外</v>
      </c>
    </row>
    <row r="460" customFormat="false" ht="15" hidden="false" customHeight="false" outlineLevel="0" collapsed="false">
      <c r="A460" s="0" t="n">
        <v>21</v>
      </c>
      <c r="AA460" s="0" t="n">
        <v>21</v>
      </c>
      <c r="AB460" s="0" t="s">
        <v>476</v>
      </c>
      <c r="AD460" s="0" t="n">
        <v>12</v>
      </c>
      <c r="AE460" s="0" t="s">
        <v>96</v>
      </c>
      <c r="AH460" s="0" t="n">
        <v>20</v>
      </c>
      <c r="AJ460" s="0" t="n">
        <v>10</v>
      </c>
      <c r="AP460" s="0" t="n">
        <v>710000</v>
      </c>
      <c r="DB460" s="0" t="str">
        <f aca="false">IF($A460="","",IF($AE460&amp;""&lt;&gt;設定!$C$4,"対象外",IF($AH460=20,IF(OR($AJ460=10,$AJ460=11,$AJ460=18),"①病院一般",IF($AJ460=41,"②病院短期","対象外")),IF($AH460=5,IF($AJ460=30,"③特定消防","対象外"),IF(OR($AJ460=10,$AJ460=11,$AJ460=74),"④一般",IF(OR($AJ460=41,$AJ460=47),"⑤短期","対象外"))))))</f>
        <v>①病院一般</v>
      </c>
    </row>
    <row r="461" customFormat="false" ht="15" hidden="false" customHeight="false" outlineLevel="0" collapsed="false">
      <c r="A461" s="0" t="n">
        <v>21</v>
      </c>
      <c r="AA461" s="0" t="n">
        <v>21</v>
      </c>
      <c r="AB461" s="0" t="s">
        <v>476</v>
      </c>
      <c r="AD461" s="0" t="n">
        <v>12</v>
      </c>
      <c r="AE461" s="0" t="s">
        <v>96</v>
      </c>
      <c r="AH461" s="0" t="n">
        <v>20</v>
      </c>
      <c r="AJ461" s="0" t="n">
        <v>10</v>
      </c>
      <c r="AP461" s="0" t="n">
        <v>880000</v>
      </c>
      <c r="DB461" s="0" t="str">
        <f aca="false">IF($A461="","",IF($AE461&amp;""&lt;&gt;設定!$C$4,"対象外",IF($AH461=20,IF(OR($AJ461=10,$AJ461=11,$AJ461=18),"①病院一般",IF($AJ461=41,"②病院短期","対象外")),IF($AH461=5,IF($AJ461=30,"③特定消防","対象外"),IF(OR($AJ461=10,$AJ461=11,$AJ461=74),"④一般",IF(OR($AJ461=41,$AJ461=47),"⑤短期","対象外"))))))</f>
        <v>①病院一般</v>
      </c>
    </row>
    <row r="462" customFormat="false" ht="15" hidden="false" customHeight="false" outlineLevel="0" collapsed="false">
      <c r="A462" s="0" t="n">
        <v>21</v>
      </c>
      <c r="AA462" s="0" t="n">
        <v>21</v>
      </c>
      <c r="AB462" s="0" t="s">
        <v>487</v>
      </c>
      <c r="AD462" s="0" t="n">
        <v>12</v>
      </c>
      <c r="AE462" s="0" t="s">
        <v>96</v>
      </c>
      <c r="AH462" s="0" t="n">
        <v>20</v>
      </c>
      <c r="AJ462" s="0" t="n">
        <v>11</v>
      </c>
      <c r="AP462" s="0" t="n">
        <v>750000</v>
      </c>
      <c r="DB462" s="0" t="str">
        <f aca="false">IF($A462="","",IF($AE462&amp;""&lt;&gt;設定!$C$4,"対象外",IF($AH462=20,IF(OR($AJ462=10,$AJ462=11,$AJ462=18),"①病院一般",IF($AJ462=41,"②病院短期","対象外")),IF($AH462=5,IF($AJ462=30,"③特定消防","対象外"),IF(OR($AJ462=10,$AJ462=11,$AJ462=74),"④一般",IF(OR($AJ462=41,$AJ462=47),"⑤短期","対象外"))))))</f>
        <v>①病院一般</v>
      </c>
    </row>
    <row r="463" customFormat="false" ht="15" hidden="false" customHeight="false" outlineLevel="0" collapsed="false">
      <c r="A463" s="0" t="n">
        <v>21</v>
      </c>
      <c r="AA463" s="0" t="n">
        <v>21</v>
      </c>
      <c r="AB463" s="0" t="s">
        <v>488</v>
      </c>
      <c r="AD463" s="0" t="n">
        <v>12</v>
      </c>
      <c r="AE463" s="0" t="s">
        <v>294</v>
      </c>
      <c r="AH463" s="0" t="n">
        <v>20</v>
      </c>
      <c r="AJ463" s="0" t="n">
        <v>10</v>
      </c>
      <c r="AP463" s="0" t="n">
        <v>1270000</v>
      </c>
      <c r="DB463" s="0" t="str">
        <f aca="false">IF($A463="","",IF($AE463&amp;""&lt;&gt;設定!$C$4,"対象外",IF($AH463=20,IF(OR($AJ463=10,$AJ463=11,$AJ463=18),"①病院一般",IF($AJ463=41,"②病院短期","対象外")),IF($AH463=5,IF($AJ463=30,"③特定消防","対象外"),IF(OR($AJ463=10,$AJ463=11,$AJ463=74),"④一般",IF(OR($AJ463=41,$AJ463=47),"⑤短期","対象外"))))))</f>
        <v>対象外</v>
      </c>
    </row>
    <row r="464" customFormat="false" ht="15" hidden="false" customHeight="false" outlineLevel="0" collapsed="false">
      <c r="A464" s="0" t="n">
        <v>21</v>
      </c>
      <c r="AA464" s="0" t="n">
        <v>21</v>
      </c>
      <c r="AB464" s="0" t="s">
        <v>476</v>
      </c>
      <c r="AD464" s="0" t="n">
        <v>12</v>
      </c>
      <c r="AE464" s="0" t="s">
        <v>96</v>
      </c>
      <c r="AH464" s="0" t="n">
        <v>1</v>
      </c>
      <c r="AJ464" s="0" t="n">
        <v>10</v>
      </c>
      <c r="AP464" s="0" t="n">
        <v>360000</v>
      </c>
      <c r="DB464" s="0" t="str">
        <f aca="false">IF($A464="","",IF($AE464&amp;""&lt;&gt;設定!$C$4,"対象外",IF($AH464=20,IF(OR($AJ464=10,$AJ464=11,$AJ464=18),"①病院一般",IF($AJ464=41,"②病院短期","対象外")),IF($AH464=5,IF($AJ464=30,"③特定消防","対象外"),IF(OR($AJ464=10,$AJ464=11,$AJ464=74),"④一般",IF(OR($AJ464=41,$AJ464=47),"⑤短期","対象外"))))))</f>
        <v>④一般</v>
      </c>
    </row>
    <row r="465" customFormat="false" ht="15" hidden="false" customHeight="false" outlineLevel="0" collapsed="false">
      <c r="A465" s="0" t="n">
        <v>21</v>
      </c>
      <c r="AA465" s="0" t="n">
        <v>21</v>
      </c>
      <c r="AB465" s="0" t="s">
        <v>476</v>
      </c>
      <c r="AD465" s="0" t="n">
        <v>12</v>
      </c>
      <c r="AE465" s="0" t="s">
        <v>96</v>
      </c>
      <c r="AH465" s="0" t="n">
        <v>1</v>
      </c>
      <c r="AJ465" s="0" t="n">
        <v>10</v>
      </c>
      <c r="AP465" s="0" t="n">
        <v>340000</v>
      </c>
      <c r="DB465" s="0" t="str">
        <f aca="false">IF($A465="","",IF($AE465&amp;""&lt;&gt;設定!$C$4,"対象外",IF($AH465=20,IF(OR($AJ465=10,$AJ465=11,$AJ465=18),"①病院一般",IF($AJ465=41,"②病院短期","対象外")),IF($AH465=5,IF($AJ465=30,"③特定消防","対象外"),IF(OR($AJ465=10,$AJ465=11,$AJ465=74),"④一般",IF(OR($AJ465=41,$AJ465=47),"⑤短期","対象外"))))))</f>
        <v>④一般</v>
      </c>
    </row>
    <row r="466" customFormat="false" ht="15" hidden="false" customHeight="false" outlineLevel="0" collapsed="false">
      <c r="A466" s="0" t="n">
        <v>21</v>
      </c>
      <c r="AA466" s="0" t="n">
        <v>21</v>
      </c>
      <c r="AB466" s="0" t="s">
        <v>476</v>
      </c>
      <c r="AD466" s="0" t="n">
        <v>12</v>
      </c>
      <c r="AE466" s="0" t="s">
        <v>301</v>
      </c>
      <c r="AH466" s="0" t="n">
        <v>1</v>
      </c>
      <c r="AJ466" s="0" t="n">
        <v>10</v>
      </c>
      <c r="AP466" s="0" t="n">
        <v>320000</v>
      </c>
      <c r="DB466" s="0" t="str">
        <f aca="false">IF($A466="","",IF($AE466&amp;""&lt;&gt;設定!$C$4,"対象外",IF($AH466=20,IF(OR($AJ466=10,$AJ466=11,$AJ466=18),"①病院一般",IF($AJ466=41,"②病院短期","対象外")),IF($AH466=5,IF($AJ466=30,"③特定消防","対象外"),IF(OR($AJ466=10,$AJ466=11,$AJ466=74),"④一般",IF(OR($AJ466=41,$AJ466=47),"⑤短期","対象外"))))))</f>
        <v>対象外</v>
      </c>
    </row>
    <row r="467" customFormat="false" ht="15" hidden="false" customHeight="false" outlineLevel="0" collapsed="false">
      <c r="A467" s="0" t="n">
        <v>21</v>
      </c>
      <c r="AA467" s="0" t="n">
        <v>21</v>
      </c>
      <c r="AB467" s="0" t="s">
        <v>476</v>
      </c>
      <c r="AD467" s="0" t="n">
        <v>12</v>
      </c>
      <c r="AE467" s="0" t="s">
        <v>301</v>
      </c>
      <c r="AH467" s="0" t="n">
        <v>1</v>
      </c>
      <c r="AJ467" s="0" t="n">
        <v>10</v>
      </c>
      <c r="AP467" s="0" t="n">
        <v>340000</v>
      </c>
      <c r="DB467" s="0" t="str">
        <f aca="false">IF($A467="","",IF($AE467&amp;""&lt;&gt;設定!$C$4,"対象外",IF($AH467=20,IF(OR($AJ467=10,$AJ467=11,$AJ467=18),"①病院一般",IF($AJ467=41,"②病院短期","対象外")),IF($AH467=5,IF($AJ467=30,"③特定消防","対象外"),IF(OR($AJ467=10,$AJ467=11,$AJ467=74),"④一般",IF(OR($AJ467=41,$AJ467=47),"⑤短期","対象外"))))))</f>
        <v>対象外</v>
      </c>
    </row>
    <row r="468" customFormat="false" ht="15" hidden="false" customHeight="false" outlineLevel="0" collapsed="false">
      <c r="A468" s="0" t="n">
        <v>21</v>
      </c>
      <c r="AA468" s="0" t="n">
        <v>21</v>
      </c>
      <c r="AB468" s="0" t="s">
        <v>476</v>
      </c>
      <c r="AD468" s="0" t="n">
        <v>12</v>
      </c>
      <c r="AE468" s="0" t="s">
        <v>96</v>
      </c>
      <c r="AH468" s="0" t="n">
        <v>1</v>
      </c>
      <c r="AJ468" s="0" t="n">
        <v>10</v>
      </c>
      <c r="AP468" s="0" t="n">
        <v>320000</v>
      </c>
      <c r="DB468" s="0" t="str">
        <f aca="false">IF($A468="","",IF($AE468&amp;""&lt;&gt;設定!$C$4,"対象外",IF($AH468=20,IF(OR($AJ468=10,$AJ468=11,$AJ468=18),"①病院一般",IF($AJ468=41,"②病院短期","対象外")),IF($AH468=5,IF($AJ468=30,"③特定消防","対象外"),IF(OR($AJ468=10,$AJ468=11,$AJ468=74),"④一般",IF(OR($AJ468=41,$AJ468=47),"⑤短期","対象外"))))))</f>
        <v>④一般</v>
      </c>
    </row>
    <row r="469" customFormat="false" ht="15" hidden="false" customHeight="false" outlineLevel="0" collapsed="false">
      <c r="A469" s="0" t="n">
        <v>21</v>
      </c>
      <c r="AA469" s="0" t="n">
        <v>21</v>
      </c>
      <c r="AB469" s="0" t="s">
        <v>476</v>
      </c>
      <c r="AD469" s="0" t="n">
        <v>12</v>
      </c>
      <c r="AE469" s="0" t="s">
        <v>96</v>
      </c>
      <c r="AH469" s="0" t="n">
        <v>1</v>
      </c>
      <c r="AJ469" s="0" t="n">
        <v>10</v>
      </c>
      <c r="AP469" s="0" t="n">
        <v>380000</v>
      </c>
      <c r="DB469" s="0" t="str">
        <f aca="false">IF($A469="","",IF($AE469&amp;""&lt;&gt;設定!$C$4,"対象外",IF($AH469=20,IF(OR($AJ469=10,$AJ469=11,$AJ469=18),"①病院一般",IF($AJ469=41,"②病院短期","対象外")),IF($AH469=5,IF($AJ469=30,"③特定消防","対象外"),IF(OR($AJ469=10,$AJ469=11,$AJ469=74),"④一般",IF(OR($AJ469=41,$AJ469=47),"⑤短期","対象外"))))))</f>
        <v>④一般</v>
      </c>
    </row>
    <row r="470" customFormat="false" ht="15" hidden="false" customHeight="false" outlineLevel="0" collapsed="false">
      <c r="A470" s="0" t="n">
        <v>21</v>
      </c>
      <c r="AA470" s="0" t="n">
        <v>21</v>
      </c>
      <c r="AB470" s="0" t="s">
        <v>476</v>
      </c>
      <c r="AD470" s="0" t="n">
        <v>12</v>
      </c>
      <c r="AE470" s="0" t="s">
        <v>301</v>
      </c>
      <c r="AH470" s="0" t="n">
        <v>1</v>
      </c>
      <c r="AJ470" s="0" t="n">
        <v>10</v>
      </c>
      <c r="AP470" s="0" t="n">
        <v>190000</v>
      </c>
      <c r="DB470" s="0" t="str">
        <f aca="false">IF($A470="","",IF($AE470&amp;""&lt;&gt;設定!$C$4,"対象外",IF($AH470=20,IF(OR($AJ470=10,$AJ470=11,$AJ470=18),"①病院一般",IF($AJ470=41,"②病院短期","対象外")),IF($AH470=5,IF($AJ470=30,"③特定消防","対象外"),IF(OR($AJ470=10,$AJ470=11,$AJ470=74),"④一般",IF(OR($AJ470=41,$AJ470=47),"⑤短期","対象外"))))))</f>
        <v>対象外</v>
      </c>
    </row>
    <row r="471" customFormat="false" ht="15" hidden="false" customHeight="false" outlineLevel="0" collapsed="false">
      <c r="A471" s="0" t="n">
        <v>21</v>
      </c>
      <c r="AA471" s="0" t="n">
        <v>21</v>
      </c>
      <c r="AB471" s="0" t="s">
        <v>476</v>
      </c>
      <c r="AD471" s="0" t="n">
        <v>15</v>
      </c>
      <c r="AE471" s="0" t="s">
        <v>489</v>
      </c>
      <c r="AH471" s="0" t="n">
        <v>1</v>
      </c>
      <c r="AJ471" s="0" t="n">
        <v>10</v>
      </c>
      <c r="AP471" s="0" t="n">
        <v>300000</v>
      </c>
      <c r="DB471" s="0" t="str">
        <f aca="false">IF($A471="","",IF($AE471&amp;""&lt;&gt;設定!$C$4,"対象外",IF($AH471=20,IF(OR($AJ471=10,$AJ471=11,$AJ471=18),"①病院一般",IF($AJ471=41,"②病院短期","対象外")),IF($AH471=5,IF($AJ471=30,"③特定消防","対象外"),IF(OR($AJ471=10,$AJ471=11,$AJ471=74),"④一般",IF(OR($AJ471=41,$AJ471=47),"⑤短期","対象外"))))))</f>
        <v>対象外</v>
      </c>
    </row>
    <row r="472" customFormat="false" ht="15" hidden="false" customHeight="false" outlineLevel="0" collapsed="false">
      <c r="A472" s="0" t="n">
        <v>21</v>
      </c>
      <c r="AA472" s="0" t="n">
        <v>21</v>
      </c>
      <c r="AB472" s="0" t="s">
        <v>476</v>
      </c>
      <c r="AD472" s="0" t="n">
        <v>12</v>
      </c>
      <c r="AE472" s="0" t="s">
        <v>96</v>
      </c>
      <c r="AH472" s="0" t="n">
        <v>1</v>
      </c>
      <c r="AJ472" s="0" t="n">
        <v>10</v>
      </c>
      <c r="AP472" s="0" t="n">
        <v>260000</v>
      </c>
      <c r="DB472" s="0" t="str">
        <f aca="false">IF($A472="","",IF($AE472&amp;""&lt;&gt;設定!$C$4,"対象外",IF($AH472=20,IF(OR($AJ472=10,$AJ472=11,$AJ472=18),"①病院一般",IF($AJ472=41,"②病院短期","対象外")),IF($AH472=5,IF($AJ472=30,"③特定消防","対象外"),IF(OR($AJ472=10,$AJ472=11,$AJ472=74),"④一般",IF(OR($AJ472=41,$AJ472=47),"⑤短期","対象外"))))))</f>
        <v>④一般</v>
      </c>
    </row>
    <row r="473" customFormat="false" ht="15" hidden="false" customHeight="false" outlineLevel="0" collapsed="false">
      <c r="A473" s="0" t="n">
        <v>21</v>
      </c>
      <c r="AA473" s="0" t="n">
        <v>21</v>
      </c>
      <c r="AB473" s="0" t="s">
        <v>476</v>
      </c>
      <c r="AD473" s="0" t="n">
        <v>12</v>
      </c>
      <c r="AE473" s="0" t="s">
        <v>96</v>
      </c>
      <c r="AH473" s="0" t="n">
        <v>1</v>
      </c>
      <c r="AJ473" s="0" t="n">
        <v>10</v>
      </c>
      <c r="AP473" s="0" t="n">
        <v>240000</v>
      </c>
      <c r="DB473" s="0" t="str">
        <f aca="false">IF($A473="","",IF($AE473&amp;""&lt;&gt;設定!$C$4,"対象外",IF($AH473=20,IF(OR($AJ473=10,$AJ473=11,$AJ473=18),"①病院一般",IF($AJ473=41,"②病院短期","対象外")),IF($AH473=5,IF($AJ473=30,"③特定消防","対象外"),IF(OR($AJ473=10,$AJ473=11,$AJ473=74),"④一般",IF(OR($AJ473=41,$AJ473=47),"⑤短期","対象外"))))))</f>
        <v>④一般</v>
      </c>
    </row>
    <row r="474" customFormat="false" ht="15" hidden="false" customHeight="false" outlineLevel="0" collapsed="false">
      <c r="A474" s="0" t="n">
        <v>21</v>
      </c>
      <c r="AA474" s="0" t="n">
        <v>21</v>
      </c>
      <c r="AB474" s="0" t="s">
        <v>476</v>
      </c>
      <c r="AD474" s="0" t="n">
        <v>12</v>
      </c>
      <c r="AE474" s="0" t="s">
        <v>96</v>
      </c>
      <c r="AH474" s="0" t="n">
        <v>1</v>
      </c>
      <c r="AJ474" s="0" t="n">
        <v>10</v>
      </c>
      <c r="AP474" s="0" t="n">
        <v>340000</v>
      </c>
      <c r="DB474" s="0" t="str">
        <f aca="false">IF($A474="","",IF($AE474&amp;""&lt;&gt;設定!$C$4,"対象外",IF($AH474=20,IF(OR($AJ474=10,$AJ474=11,$AJ474=18),"①病院一般",IF($AJ474=41,"②病院短期","対象外")),IF($AH474=5,IF($AJ474=30,"③特定消防","対象外"),IF(OR($AJ474=10,$AJ474=11,$AJ474=74),"④一般",IF(OR($AJ474=41,$AJ474=47),"⑤短期","対象外"))))))</f>
        <v>④一般</v>
      </c>
    </row>
    <row r="475" customFormat="false" ht="15" hidden="false" customHeight="false" outlineLevel="0" collapsed="false">
      <c r="A475" s="0" t="n">
        <v>21</v>
      </c>
      <c r="AA475" s="0" t="n">
        <v>21</v>
      </c>
      <c r="AB475" s="0" t="s">
        <v>476</v>
      </c>
      <c r="AD475" s="0" t="n">
        <v>12</v>
      </c>
      <c r="AE475" s="0" t="s">
        <v>303</v>
      </c>
      <c r="AH475" s="0" t="n">
        <v>1</v>
      </c>
      <c r="AJ475" s="0" t="n">
        <v>10</v>
      </c>
      <c r="AP475" s="0" t="n">
        <v>280000</v>
      </c>
      <c r="DB475" s="0" t="str">
        <f aca="false">IF($A475="","",IF($AE475&amp;""&lt;&gt;設定!$C$4,"対象外",IF($AH475=20,IF(OR($AJ475=10,$AJ475=11,$AJ475=18),"①病院一般",IF($AJ475=41,"②病院短期","対象外")),IF($AH475=5,IF($AJ475=30,"③特定消防","対象外"),IF(OR($AJ475=10,$AJ475=11,$AJ475=74),"④一般",IF(OR($AJ475=41,$AJ475=47),"⑤短期","対象外"))))))</f>
        <v>対象外</v>
      </c>
    </row>
    <row r="476" customFormat="false" ht="15" hidden="false" customHeight="false" outlineLevel="0" collapsed="false">
      <c r="A476" s="0" t="n">
        <v>21</v>
      </c>
      <c r="AA476" s="0" t="n">
        <v>21</v>
      </c>
      <c r="AB476" s="0" t="s">
        <v>476</v>
      </c>
      <c r="AD476" s="0" t="n">
        <v>12</v>
      </c>
      <c r="AE476" s="0" t="s">
        <v>96</v>
      </c>
      <c r="AH476" s="0" t="n">
        <v>1</v>
      </c>
      <c r="AJ476" s="0" t="n">
        <v>10</v>
      </c>
      <c r="AP476" s="0" t="n">
        <v>260000</v>
      </c>
      <c r="DB476" s="0" t="str">
        <f aca="false">IF($A476="","",IF($AE476&amp;""&lt;&gt;設定!$C$4,"対象外",IF($AH476=20,IF(OR($AJ476=10,$AJ476=11,$AJ476=18),"①病院一般",IF($AJ476=41,"②病院短期","対象外")),IF($AH476=5,IF($AJ476=30,"③特定消防","対象外"),IF(OR($AJ476=10,$AJ476=11,$AJ476=74),"④一般",IF(OR($AJ476=41,$AJ476=47),"⑤短期","対象外"))))))</f>
        <v>④一般</v>
      </c>
    </row>
    <row r="477" customFormat="false" ht="15" hidden="false" customHeight="false" outlineLevel="0" collapsed="false">
      <c r="A477" s="0" t="n">
        <v>21</v>
      </c>
      <c r="AA477" s="0" t="n">
        <v>21</v>
      </c>
      <c r="AB477" s="0" t="s">
        <v>476</v>
      </c>
      <c r="AD477" s="0" t="n">
        <v>12</v>
      </c>
      <c r="AE477" s="0" t="s">
        <v>96</v>
      </c>
      <c r="AH477" s="0" t="n">
        <v>1</v>
      </c>
      <c r="AJ477" s="0" t="n">
        <v>10</v>
      </c>
      <c r="AP477" s="0" t="n">
        <v>530000</v>
      </c>
      <c r="DB477" s="0" t="str">
        <f aca="false">IF($A477="","",IF($AE477&amp;""&lt;&gt;設定!$C$4,"対象外",IF($AH477=20,IF(OR($AJ477=10,$AJ477=11,$AJ477=18),"①病院一般",IF($AJ477=41,"②病院短期","対象外")),IF($AH477=5,IF($AJ477=30,"③特定消防","対象外"),IF(OR($AJ477=10,$AJ477=11,$AJ477=74),"④一般",IF(OR($AJ477=41,$AJ477=47),"⑤短期","対象外"))))))</f>
        <v>④一般</v>
      </c>
    </row>
    <row r="478" customFormat="false" ht="15" hidden="false" customHeight="false" outlineLevel="0" collapsed="false">
      <c r="A478" s="0" t="n">
        <v>21</v>
      </c>
      <c r="AA478" s="0" t="n">
        <v>21</v>
      </c>
      <c r="AB478" s="0" t="s">
        <v>476</v>
      </c>
      <c r="AD478" s="0" t="n">
        <v>12</v>
      </c>
      <c r="AE478" s="0" t="s">
        <v>96</v>
      </c>
      <c r="AH478" s="0" t="n">
        <v>20</v>
      </c>
      <c r="AJ478" s="0" t="n">
        <v>10</v>
      </c>
      <c r="AP478" s="0" t="n">
        <v>440000</v>
      </c>
      <c r="DB478" s="0" t="str">
        <f aca="false">IF($A478="","",IF($AE478&amp;""&lt;&gt;設定!$C$4,"対象外",IF($AH478=20,IF(OR($AJ478=10,$AJ478=11,$AJ478=18),"①病院一般",IF($AJ478=41,"②病院短期","対象外")),IF($AH478=5,IF($AJ478=30,"③特定消防","対象外"),IF(OR($AJ478=10,$AJ478=11,$AJ478=74),"④一般",IF(OR($AJ478=41,$AJ478=47),"⑤短期","対象外"))))))</f>
        <v>①病院一般</v>
      </c>
    </row>
    <row r="479" customFormat="false" ht="15" hidden="false" customHeight="false" outlineLevel="0" collapsed="false">
      <c r="A479" s="0" t="n">
        <v>21</v>
      </c>
      <c r="AA479" s="0" t="n">
        <v>21</v>
      </c>
      <c r="AB479" s="0" t="s">
        <v>476</v>
      </c>
      <c r="AD479" s="0" t="n">
        <v>12</v>
      </c>
      <c r="AE479" s="0" t="s">
        <v>294</v>
      </c>
      <c r="AH479" s="0" t="n">
        <v>20</v>
      </c>
      <c r="AJ479" s="0" t="n">
        <v>10</v>
      </c>
      <c r="AP479" s="0" t="n">
        <v>380000</v>
      </c>
      <c r="DB479" s="0" t="str">
        <f aca="false">IF($A479="","",IF($AE479&amp;""&lt;&gt;設定!$C$4,"対象外",IF($AH479=20,IF(OR($AJ479=10,$AJ479=11,$AJ479=18),"①病院一般",IF($AJ479=41,"②病院短期","対象外")),IF($AH479=5,IF($AJ479=30,"③特定消防","対象外"),IF(OR($AJ479=10,$AJ479=11,$AJ479=74),"④一般",IF(OR($AJ479=41,$AJ479=47),"⑤短期","対象外"))))))</f>
        <v>対象外</v>
      </c>
    </row>
    <row r="480" customFormat="false" ht="15" hidden="false" customHeight="false" outlineLevel="0" collapsed="false">
      <c r="A480" s="0" t="n">
        <v>21</v>
      </c>
      <c r="AA480" s="0" t="n">
        <v>21</v>
      </c>
      <c r="AB480" s="0" t="s">
        <v>476</v>
      </c>
      <c r="AD480" s="0" t="n">
        <v>12</v>
      </c>
      <c r="AE480" s="0" t="s">
        <v>96</v>
      </c>
      <c r="AH480" s="0" t="n">
        <v>20</v>
      </c>
      <c r="AJ480" s="0" t="n">
        <v>10</v>
      </c>
      <c r="AP480" s="0" t="n">
        <v>380000</v>
      </c>
      <c r="DB480" s="0" t="str">
        <f aca="false">IF($A480="","",IF($AE480&amp;""&lt;&gt;設定!$C$4,"対象外",IF($AH480=20,IF(OR($AJ480=10,$AJ480=11,$AJ480=18),"①病院一般",IF($AJ480=41,"②病院短期","対象外")),IF($AH480=5,IF($AJ480=30,"③特定消防","対象外"),IF(OR($AJ480=10,$AJ480=11,$AJ480=74),"④一般",IF(OR($AJ480=41,$AJ480=47),"⑤短期","対象外"))))))</f>
        <v>①病院一般</v>
      </c>
    </row>
    <row r="481" customFormat="false" ht="15" hidden="false" customHeight="false" outlineLevel="0" collapsed="false">
      <c r="A481" s="0" t="n">
        <v>21</v>
      </c>
      <c r="AA481" s="0" t="n">
        <v>21</v>
      </c>
      <c r="AB481" s="0" t="s">
        <v>476</v>
      </c>
      <c r="AD481" s="0" t="n">
        <v>12</v>
      </c>
      <c r="AE481" s="0" t="s">
        <v>96</v>
      </c>
      <c r="AH481" s="0" t="n">
        <v>20</v>
      </c>
      <c r="AJ481" s="0" t="n">
        <v>10</v>
      </c>
      <c r="AP481" s="0" t="n">
        <v>320000</v>
      </c>
      <c r="DB481" s="0" t="str">
        <f aca="false">IF($A481="","",IF($AE481&amp;""&lt;&gt;設定!$C$4,"対象外",IF($AH481=20,IF(OR($AJ481=10,$AJ481=11,$AJ481=18),"①病院一般",IF($AJ481=41,"②病院短期","対象外")),IF($AH481=5,IF($AJ481=30,"③特定消防","対象外"),IF(OR($AJ481=10,$AJ481=11,$AJ481=74),"④一般",IF(OR($AJ481=41,$AJ481=47),"⑤短期","対象外"))))))</f>
        <v>①病院一般</v>
      </c>
    </row>
    <row r="482" customFormat="false" ht="15" hidden="false" customHeight="false" outlineLevel="0" collapsed="false">
      <c r="A482" s="0" t="n">
        <v>21</v>
      </c>
      <c r="AA482" s="0" t="n">
        <v>21</v>
      </c>
      <c r="AB482" s="0" t="s">
        <v>476</v>
      </c>
      <c r="AD482" s="0" t="n">
        <v>12</v>
      </c>
      <c r="AE482" s="0" t="s">
        <v>96</v>
      </c>
      <c r="AH482" s="0" t="n">
        <v>20</v>
      </c>
      <c r="AJ482" s="0" t="n">
        <v>10</v>
      </c>
      <c r="AP482" s="0" t="n">
        <v>380000</v>
      </c>
      <c r="DB482" s="0" t="str">
        <f aca="false">IF($A482="","",IF($AE482&amp;""&lt;&gt;設定!$C$4,"対象外",IF($AH482=20,IF(OR($AJ482=10,$AJ482=11,$AJ482=18),"①病院一般",IF($AJ482=41,"②病院短期","対象外")),IF($AH482=5,IF($AJ482=30,"③特定消防","対象外"),IF(OR($AJ482=10,$AJ482=11,$AJ482=74),"④一般",IF(OR($AJ482=41,$AJ482=47),"⑤短期","対象外"))))))</f>
        <v>①病院一般</v>
      </c>
    </row>
    <row r="483" customFormat="false" ht="15" hidden="false" customHeight="false" outlineLevel="0" collapsed="false">
      <c r="A483" s="0" t="n">
        <v>21</v>
      </c>
      <c r="AA483" s="0" t="n">
        <v>21</v>
      </c>
      <c r="AB483" s="0" t="s">
        <v>476</v>
      </c>
      <c r="AD483" s="0" t="n">
        <v>12</v>
      </c>
      <c r="AE483" s="0" t="s">
        <v>490</v>
      </c>
      <c r="AH483" s="0" t="n">
        <v>20</v>
      </c>
      <c r="AJ483" s="0" t="n">
        <v>10</v>
      </c>
      <c r="AP483" s="0" t="n">
        <v>380000</v>
      </c>
      <c r="DB483" s="0" t="str">
        <f aca="false">IF($A483="","",IF($AE483&amp;""&lt;&gt;設定!$C$4,"対象外",IF($AH483=20,IF(OR($AJ483=10,$AJ483=11,$AJ483=18),"①病院一般",IF($AJ483=41,"②病院短期","対象外")),IF($AH483=5,IF($AJ483=30,"③特定消防","対象外"),IF(OR($AJ483=10,$AJ483=11,$AJ483=74),"④一般",IF(OR($AJ483=41,$AJ483=47),"⑤短期","対象外"))))))</f>
        <v>対象外</v>
      </c>
    </row>
    <row r="484" customFormat="false" ht="15" hidden="false" customHeight="false" outlineLevel="0" collapsed="false">
      <c r="A484" s="0" t="n">
        <v>21</v>
      </c>
      <c r="AA484" s="0" t="n">
        <v>21</v>
      </c>
      <c r="AB484" s="0" t="s">
        <v>476</v>
      </c>
      <c r="AD484" s="0" t="n">
        <v>12</v>
      </c>
      <c r="AE484" s="0" t="s">
        <v>303</v>
      </c>
      <c r="AH484" s="0" t="n">
        <v>20</v>
      </c>
      <c r="AJ484" s="0" t="n">
        <v>10</v>
      </c>
      <c r="AP484" s="0" t="n">
        <v>380000</v>
      </c>
      <c r="DB484" s="0" t="str">
        <f aca="false">IF($A484="","",IF($AE484&amp;""&lt;&gt;設定!$C$4,"対象外",IF($AH484=20,IF(OR($AJ484=10,$AJ484=11,$AJ484=18),"①病院一般",IF($AJ484=41,"②病院短期","対象外")),IF($AH484=5,IF($AJ484=30,"③特定消防","対象外"),IF(OR($AJ484=10,$AJ484=11,$AJ484=74),"④一般",IF(OR($AJ484=41,$AJ484=47),"⑤短期","対象外"))))))</f>
        <v>対象外</v>
      </c>
    </row>
    <row r="485" customFormat="false" ht="15" hidden="false" customHeight="false" outlineLevel="0" collapsed="false">
      <c r="A485" s="0" t="n">
        <v>21</v>
      </c>
      <c r="AA485" s="0" t="n">
        <v>21</v>
      </c>
      <c r="AB485" s="0" t="s">
        <v>476</v>
      </c>
      <c r="AD485" s="0" t="n">
        <v>12</v>
      </c>
      <c r="AE485" s="0" t="s">
        <v>303</v>
      </c>
      <c r="AH485" s="0" t="n">
        <v>20</v>
      </c>
      <c r="AJ485" s="0" t="n">
        <v>10</v>
      </c>
      <c r="AP485" s="0" t="n">
        <v>380000</v>
      </c>
      <c r="DB485" s="0" t="str">
        <f aca="false">IF($A485="","",IF($AE485&amp;""&lt;&gt;設定!$C$4,"対象外",IF($AH485=20,IF(OR($AJ485=10,$AJ485=11,$AJ485=18),"①病院一般",IF($AJ485=41,"②病院短期","対象外")),IF($AH485=5,IF($AJ485=30,"③特定消防","対象外"),IF(OR($AJ485=10,$AJ485=11,$AJ485=74),"④一般",IF(OR($AJ485=41,$AJ485=47),"⑤短期","対象外"))))))</f>
        <v>対象外</v>
      </c>
    </row>
    <row r="486" customFormat="false" ht="15" hidden="false" customHeight="false" outlineLevel="0" collapsed="false">
      <c r="A486" s="0" t="n">
        <v>21</v>
      </c>
      <c r="AA486" s="0" t="n">
        <v>21</v>
      </c>
      <c r="AB486" s="0" t="s">
        <v>476</v>
      </c>
      <c r="AD486" s="0" t="n">
        <v>12</v>
      </c>
      <c r="AE486" s="0" t="s">
        <v>96</v>
      </c>
      <c r="AH486" s="0" t="n">
        <v>20</v>
      </c>
      <c r="AJ486" s="0" t="n">
        <v>10</v>
      </c>
      <c r="AP486" s="0" t="n">
        <v>320000</v>
      </c>
      <c r="DB486" s="0" t="str">
        <f aca="false">IF($A486="","",IF($AE486&amp;""&lt;&gt;設定!$C$4,"対象外",IF($AH486=20,IF(OR($AJ486=10,$AJ486=11,$AJ486=18),"①病院一般",IF($AJ486=41,"②病院短期","対象外")),IF($AH486=5,IF($AJ486=30,"③特定消防","対象外"),IF(OR($AJ486=10,$AJ486=11,$AJ486=74),"④一般",IF(OR($AJ486=41,$AJ486=47),"⑤短期","対象外"))))))</f>
        <v>①病院一般</v>
      </c>
    </row>
    <row r="487" customFormat="false" ht="15" hidden="false" customHeight="false" outlineLevel="0" collapsed="false">
      <c r="A487" s="0" t="n">
        <v>21</v>
      </c>
      <c r="AA487" s="0" t="n">
        <v>21</v>
      </c>
      <c r="AB487" s="0" t="s">
        <v>476</v>
      </c>
      <c r="AD487" s="0" t="n">
        <v>12</v>
      </c>
      <c r="AE487" s="0" t="s">
        <v>96</v>
      </c>
      <c r="AH487" s="0" t="n">
        <v>20</v>
      </c>
      <c r="AJ487" s="0" t="n">
        <v>10</v>
      </c>
      <c r="AP487" s="0" t="n">
        <v>360000</v>
      </c>
      <c r="DB487" s="0" t="str">
        <f aca="false">IF($A487="","",IF($AE487&amp;""&lt;&gt;設定!$C$4,"対象外",IF($AH487=20,IF(OR($AJ487=10,$AJ487=11,$AJ487=18),"①病院一般",IF($AJ487=41,"②病院短期","対象外")),IF($AH487=5,IF($AJ487=30,"③特定消防","対象外"),IF(OR($AJ487=10,$AJ487=11,$AJ487=74),"④一般",IF(OR($AJ487=41,$AJ487=47),"⑤短期","対象外"))))))</f>
        <v>①病院一般</v>
      </c>
    </row>
    <row r="488" customFormat="false" ht="15" hidden="false" customHeight="false" outlineLevel="0" collapsed="false">
      <c r="A488" s="0" t="n">
        <v>21</v>
      </c>
      <c r="AA488" s="0" t="n">
        <v>21</v>
      </c>
      <c r="AB488" s="0" t="s">
        <v>476</v>
      </c>
      <c r="AD488" s="0" t="n">
        <v>12</v>
      </c>
      <c r="AE488" s="0" t="s">
        <v>96</v>
      </c>
      <c r="AH488" s="0" t="n">
        <v>20</v>
      </c>
      <c r="AJ488" s="0" t="n">
        <v>10</v>
      </c>
      <c r="AP488" s="0" t="n">
        <v>300000</v>
      </c>
      <c r="DB488" s="0" t="str">
        <f aca="false">IF($A488="","",IF($AE488&amp;""&lt;&gt;設定!$C$4,"対象外",IF($AH488=20,IF(OR($AJ488=10,$AJ488=11,$AJ488=18),"①病院一般",IF($AJ488=41,"②病院短期","対象外")),IF($AH488=5,IF($AJ488=30,"③特定消防","対象外"),IF(OR($AJ488=10,$AJ488=11,$AJ488=74),"④一般",IF(OR($AJ488=41,$AJ488=47),"⑤短期","対象外"))))))</f>
        <v>①病院一般</v>
      </c>
    </row>
    <row r="489" customFormat="false" ht="15" hidden="false" customHeight="false" outlineLevel="0" collapsed="false">
      <c r="A489" s="0" t="n">
        <v>21</v>
      </c>
      <c r="AA489" s="0" t="n">
        <v>21</v>
      </c>
      <c r="AB489" s="0" t="s">
        <v>476</v>
      </c>
      <c r="AD489" s="0" t="n">
        <v>12</v>
      </c>
      <c r="AE489" s="0" t="s">
        <v>96</v>
      </c>
      <c r="AH489" s="0" t="n">
        <v>20</v>
      </c>
      <c r="AJ489" s="0" t="n">
        <v>10</v>
      </c>
      <c r="AP489" s="0" t="n">
        <v>1390000</v>
      </c>
      <c r="DB489" s="0" t="str">
        <f aca="false">IF($A489="","",IF($AE489&amp;""&lt;&gt;設定!$C$4,"対象外",IF($AH489=20,IF(OR($AJ489=10,$AJ489=11,$AJ489=18),"①病院一般",IF($AJ489=41,"②病院短期","対象外")),IF($AH489=5,IF($AJ489=30,"③特定消防","対象外"),IF(OR($AJ489=10,$AJ489=11,$AJ489=74),"④一般",IF(OR($AJ489=41,$AJ489=47),"⑤短期","対象外"))))))</f>
        <v>①病院一般</v>
      </c>
    </row>
    <row r="490" customFormat="false" ht="15" hidden="false" customHeight="false" outlineLevel="0" collapsed="false">
      <c r="A490" s="0" t="n">
        <v>21</v>
      </c>
      <c r="AA490" s="0" t="n">
        <v>21</v>
      </c>
      <c r="AB490" s="0" t="s">
        <v>476</v>
      </c>
      <c r="AD490" s="0" t="n">
        <v>12</v>
      </c>
      <c r="AE490" s="0" t="s">
        <v>343</v>
      </c>
      <c r="AH490" s="0" t="n">
        <v>20</v>
      </c>
      <c r="AJ490" s="0" t="n">
        <v>10</v>
      </c>
      <c r="AP490" s="0" t="n">
        <v>830000</v>
      </c>
      <c r="DB490" s="0" t="str">
        <f aca="false">IF($A490="","",IF($AE490&amp;""&lt;&gt;設定!$C$4,"対象外",IF($AH490=20,IF(OR($AJ490=10,$AJ490=11,$AJ490=18),"①病院一般",IF($AJ490=41,"②病院短期","対象外")),IF($AH490=5,IF($AJ490=30,"③特定消防","対象外"),IF(OR($AJ490=10,$AJ490=11,$AJ490=74),"④一般",IF(OR($AJ490=41,$AJ490=47),"⑤短期","対象外"))))))</f>
        <v>対象外</v>
      </c>
    </row>
    <row r="491" customFormat="false" ht="15" hidden="false" customHeight="false" outlineLevel="0" collapsed="false">
      <c r="A491" s="0" t="n">
        <v>21</v>
      </c>
      <c r="AA491" s="0" t="n">
        <v>21</v>
      </c>
      <c r="AB491" s="0" t="s">
        <v>476</v>
      </c>
      <c r="AD491" s="0" t="n">
        <v>12</v>
      </c>
      <c r="AE491" s="0" t="s">
        <v>96</v>
      </c>
      <c r="AH491" s="0" t="n">
        <v>20</v>
      </c>
      <c r="AJ491" s="0" t="n">
        <v>10</v>
      </c>
      <c r="AP491" s="0" t="n">
        <v>1330000</v>
      </c>
      <c r="DB491" s="0" t="str">
        <f aca="false">IF($A491="","",IF($AE491&amp;""&lt;&gt;設定!$C$4,"対象外",IF($AH491=20,IF(OR($AJ491=10,$AJ491=11,$AJ491=18),"①病院一般",IF($AJ491=41,"②病院短期","対象外")),IF($AH491=5,IF($AJ491=30,"③特定消防","対象外"),IF(OR($AJ491=10,$AJ491=11,$AJ491=74),"④一般",IF(OR($AJ491=41,$AJ491=47),"⑤短期","対象外"))))))</f>
        <v>①病院一般</v>
      </c>
    </row>
    <row r="492" customFormat="false" ht="15" hidden="false" customHeight="false" outlineLevel="0" collapsed="false">
      <c r="A492" s="0" t="n">
        <v>21</v>
      </c>
      <c r="AA492" s="0" t="n">
        <v>21</v>
      </c>
      <c r="AB492" s="0" t="s">
        <v>476</v>
      </c>
      <c r="AD492" s="0" t="n">
        <v>12</v>
      </c>
      <c r="AE492" s="0" t="s">
        <v>294</v>
      </c>
      <c r="AH492" s="0" t="n">
        <v>20</v>
      </c>
      <c r="AJ492" s="0" t="n">
        <v>10</v>
      </c>
      <c r="AP492" s="0" t="n">
        <v>1330000</v>
      </c>
      <c r="DB492" s="0" t="str">
        <f aca="false">IF($A492="","",IF($AE492&amp;""&lt;&gt;設定!$C$4,"対象外",IF($AH492=20,IF(OR($AJ492=10,$AJ492=11,$AJ492=18),"①病院一般",IF($AJ492=41,"②病院短期","対象外")),IF($AH492=5,IF($AJ492=30,"③特定消防","対象外"),IF(OR($AJ492=10,$AJ492=11,$AJ492=74),"④一般",IF(OR($AJ492=41,$AJ492=47),"⑤短期","対象外"))))))</f>
        <v>対象外</v>
      </c>
    </row>
    <row r="493" customFormat="false" ht="15" hidden="false" customHeight="false" outlineLevel="0" collapsed="false">
      <c r="A493" s="0" t="n">
        <v>21</v>
      </c>
      <c r="AA493" s="0" t="n">
        <v>21</v>
      </c>
      <c r="AB493" s="0" t="s">
        <v>476</v>
      </c>
      <c r="AD493" s="0" t="n">
        <v>12</v>
      </c>
      <c r="AE493" s="0" t="s">
        <v>96</v>
      </c>
      <c r="AH493" s="0" t="n">
        <v>20</v>
      </c>
      <c r="AJ493" s="0" t="n">
        <v>10</v>
      </c>
      <c r="AP493" s="0" t="n">
        <v>1150000</v>
      </c>
      <c r="DB493" s="0" t="str">
        <f aca="false">IF($A493="","",IF($AE493&amp;""&lt;&gt;設定!$C$4,"対象外",IF($AH493=20,IF(OR($AJ493=10,$AJ493=11,$AJ493=18),"①病院一般",IF($AJ493=41,"②病院短期","対象外")),IF($AH493=5,IF($AJ493=30,"③特定消防","対象外"),IF(OR($AJ493=10,$AJ493=11,$AJ493=74),"④一般",IF(OR($AJ493=41,$AJ493=47),"⑤短期","対象外"))))))</f>
        <v>①病院一般</v>
      </c>
    </row>
    <row r="494" customFormat="false" ht="15" hidden="false" customHeight="false" outlineLevel="0" collapsed="false">
      <c r="A494" s="0" t="n">
        <v>21</v>
      </c>
      <c r="AA494" s="0" t="n">
        <v>21</v>
      </c>
      <c r="AB494" s="0" t="s">
        <v>476</v>
      </c>
      <c r="AD494" s="0" t="n">
        <v>12</v>
      </c>
      <c r="AE494" s="0" t="s">
        <v>96</v>
      </c>
      <c r="AH494" s="0" t="n">
        <v>20</v>
      </c>
      <c r="AJ494" s="0" t="n">
        <v>10</v>
      </c>
      <c r="AP494" s="0" t="n">
        <v>1270000</v>
      </c>
      <c r="DB494" s="0" t="str">
        <f aca="false">IF($A494="","",IF($AE494&amp;""&lt;&gt;設定!$C$4,"対象外",IF($AH494=20,IF(OR($AJ494=10,$AJ494=11,$AJ494=18),"①病院一般",IF($AJ494=41,"②病院短期","対象外")),IF($AH494=5,IF($AJ494=30,"③特定消防","対象外"),IF(OR($AJ494=10,$AJ494=11,$AJ494=74),"④一般",IF(OR($AJ494=41,$AJ494=47),"⑤短期","対象外"))))))</f>
        <v>①病院一般</v>
      </c>
    </row>
    <row r="495" customFormat="false" ht="15" hidden="false" customHeight="false" outlineLevel="0" collapsed="false">
      <c r="A495" s="0" t="n">
        <v>21</v>
      </c>
      <c r="AA495" s="0" t="n">
        <v>21</v>
      </c>
      <c r="AB495" s="0" t="s">
        <v>491</v>
      </c>
      <c r="AD495" s="0" t="n">
        <v>12</v>
      </c>
      <c r="AE495" s="0" t="s">
        <v>492</v>
      </c>
      <c r="AH495" s="0" t="n">
        <v>20</v>
      </c>
      <c r="AJ495" s="0" t="n">
        <v>10</v>
      </c>
      <c r="AP495" s="0" t="n">
        <v>280000</v>
      </c>
      <c r="DB495" s="0" t="str">
        <f aca="false">IF($A495="","",IF($AE495&amp;""&lt;&gt;設定!$C$4,"対象外",IF($AH495=20,IF(OR($AJ495=10,$AJ495=11,$AJ495=18),"①病院一般",IF($AJ495=41,"②病院短期","対象外")),IF($AH495=5,IF($AJ495=30,"③特定消防","対象外"),IF(OR($AJ495=10,$AJ495=11,$AJ495=74),"④一般",IF(OR($AJ495=41,$AJ495=47),"⑤短期","対象外"))))))</f>
        <v>対象外</v>
      </c>
    </row>
    <row r="496" customFormat="false" ht="15" hidden="false" customHeight="false" outlineLevel="0" collapsed="false">
      <c r="A496" s="0" t="n">
        <v>21</v>
      </c>
      <c r="AA496" s="0" t="n">
        <v>21</v>
      </c>
      <c r="AB496" s="0" t="s">
        <v>493</v>
      </c>
      <c r="AD496" s="0" t="n">
        <v>12</v>
      </c>
      <c r="AE496" s="0" t="s">
        <v>96</v>
      </c>
      <c r="AH496" s="0" t="n">
        <v>20</v>
      </c>
      <c r="AJ496" s="0" t="n">
        <v>10</v>
      </c>
      <c r="AP496" s="0" t="n">
        <v>220000</v>
      </c>
      <c r="DB496" s="0" t="str">
        <f aca="false">IF($A496="","",IF($AE496&amp;""&lt;&gt;設定!$C$4,"対象外",IF($AH496=20,IF(OR($AJ496=10,$AJ496=11,$AJ496=18),"①病院一般",IF($AJ496=41,"②病院短期","対象外")),IF($AH496=5,IF($AJ496=30,"③特定消防","対象外"),IF(OR($AJ496=10,$AJ496=11,$AJ496=74),"④一般",IF(OR($AJ496=41,$AJ496=47),"⑤短期","対象外"))))))</f>
        <v>①病院一般</v>
      </c>
    </row>
    <row r="497" customFormat="false" ht="15" hidden="false" customHeight="false" outlineLevel="0" collapsed="false">
      <c r="A497" s="0" t="n">
        <v>21</v>
      </c>
      <c r="AA497" s="0" t="n">
        <v>21</v>
      </c>
      <c r="AB497" s="0" t="s">
        <v>494</v>
      </c>
      <c r="AD497" s="0" t="n">
        <v>12</v>
      </c>
      <c r="AE497" s="0" t="s">
        <v>96</v>
      </c>
      <c r="AH497" s="0" t="n">
        <v>20</v>
      </c>
      <c r="AJ497" s="0" t="n">
        <v>10</v>
      </c>
      <c r="AP497" s="0" t="n">
        <v>1390000</v>
      </c>
      <c r="DB497" s="0" t="str">
        <f aca="false">IF($A497="","",IF($AE497&amp;""&lt;&gt;設定!$C$4,"対象外",IF($AH497=20,IF(OR($AJ497=10,$AJ497=11,$AJ497=18),"①病院一般",IF($AJ497=41,"②病院短期","対象外")),IF($AH497=5,IF($AJ497=30,"③特定消防","対象外"),IF(OR($AJ497=10,$AJ497=11,$AJ497=74),"④一般",IF(OR($AJ497=41,$AJ497=47),"⑤短期","対象外"))))))</f>
        <v>①病院一般</v>
      </c>
    </row>
    <row r="498" customFormat="false" ht="15" hidden="false" customHeight="false" outlineLevel="0" collapsed="false">
      <c r="A498" s="0" t="n">
        <v>21</v>
      </c>
      <c r="AA498" s="0" t="n">
        <v>21</v>
      </c>
      <c r="AB498" s="0" t="s">
        <v>495</v>
      </c>
      <c r="AD498" s="0" t="n">
        <v>12</v>
      </c>
      <c r="AE498" s="0" t="s">
        <v>96</v>
      </c>
      <c r="AH498" s="0" t="n">
        <v>20</v>
      </c>
      <c r="AJ498" s="0" t="n">
        <v>10</v>
      </c>
      <c r="AP498" s="0" t="n">
        <v>240000</v>
      </c>
      <c r="DB498" s="0" t="str">
        <f aca="false">IF($A498="","",IF($AE498&amp;""&lt;&gt;設定!$C$4,"対象外",IF($AH498=20,IF(OR($AJ498=10,$AJ498=11,$AJ498=18),"①病院一般",IF($AJ498=41,"②病院短期","対象外")),IF($AH498=5,IF($AJ498=30,"③特定消防","対象外"),IF(OR($AJ498=10,$AJ498=11,$AJ498=74),"④一般",IF(OR($AJ498=41,$AJ498=47),"⑤短期","対象外"))))))</f>
        <v>①病院一般</v>
      </c>
    </row>
    <row r="499" customFormat="false" ht="15" hidden="false" customHeight="false" outlineLevel="0" collapsed="false">
      <c r="A499" s="0" t="n">
        <v>21</v>
      </c>
      <c r="AA499" s="0" t="n">
        <v>21</v>
      </c>
      <c r="AB499" s="0" t="s">
        <v>496</v>
      </c>
      <c r="AD499" s="0" t="n">
        <v>12</v>
      </c>
      <c r="AE499" s="0" t="s">
        <v>96</v>
      </c>
      <c r="AH499" s="0" t="n">
        <v>20</v>
      </c>
      <c r="AJ499" s="0" t="n">
        <v>10</v>
      </c>
      <c r="AP499" s="0" t="n">
        <v>1090000</v>
      </c>
      <c r="DB499" s="0" t="str">
        <f aca="false">IF($A499="","",IF($AE499&amp;""&lt;&gt;設定!$C$4,"対象外",IF($AH499=20,IF(OR($AJ499=10,$AJ499=11,$AJ499=18),"①病院一般",IF($AJ499=41,"②病院短期","対象外")),IF($AH499=5,IF($AJ499=30,"③特定消防","対象外"),IF(OR($AJ499=10,$AJ499=11,$AJ499=74),"④一般",IF(OR($AJ499=41,$AJ499=47),"⑤短期","対象外"))))))</f>
        <v>①病院一般</v>
      </c>
    </row>
    <row r="500" customFormat="false" ht="15" hidden="false" customHeight="false" outlineLevel="0" collapsed="false">
      <c r="A500" s="0" t="n">
        <v>21</v>
      </c>
      <c r="AA500" s="0" t="n">
        <v>21</v>
      </c>
      <c r="AB500" s="0" t="s">
        <v>496</v>
      </c>
      <c r="AD500" s="0" t="n">
        <v>12</v>
      </c>
      <c r="AE500" s="0" t="s">
        <v>301</v>
      </c>
      <c r="AH500" s="0" t="n">
        <v>20</v>
      </c>
      <c r="AJ500" s="0" t="n">
        <v>10</v>
      </c>
      <c r="AP500" s="0" t="n">
        <v>1390000</v>
      </c>
      <c r="DB500" s="0" t="str">
        <f aca="false">IF($A500="","",IF($AE500&amp;""&lt;&gt;設定!$C$4,"対象外",IF($AH500=20,IF(OR($AJ500=10,$AJ500=11,$AJ500=18),"①病院一般",IF($AJ500=41,"②病院短期","対象外")),IF($AH500=5,IF($AJ500=30,"③特定消防","対象外"),IF(OR($AJ500=10,$AJ500=11,$AJ500=74),"④一般",IF(OR($AJ500=41,$AJ500=47),"⑤短期","対象外"))))))</f>
        <v>対象外</v>
      </c>
    </row>
    <row r="501" customFormat="false" ht="15" hidden="false" customHeight="false" outlineLevel="0" collapsed="false">
      <c r="A501" s="0" t="n">
        <v>21</v>
      </c>
      <c r="AA501" s="0" t="n">
        <v>21</v>
      </c>
      <c r="AB501" s="0" t="s">
        <v>477</v>
      </c>
      <c r="AD501" s="0" t="n">
        <v>12</v>
      </c>
      <c r="AE501" s="0" t="s">
        <v>96</v>
      </c>
      <c r="AH501" s="0" t="n">
        <v>20</v>
      </c>
      <c r="AJ501" s="0" t="n">
        <v>10</v>
      </c>
      <c r="AP501" s="0" t="n">
        <v>1330000</v>
      </c>
      <c r="DB501" s="0" t="str">
        <f aca="false">IF($A501="","",IF($AE501&amp;""&lt;&gt;設定!$C$4,"対象外",IF($AH501=20,IF(OR($AJ501=10,$AJ501=11,$AJ501=18),"①病院一般",IF($AJ501=41,"②病院短期","対象外")),IF($AH501=5,IF($AJ501=30,"③特定消防","対象外"),IF(OR($AJ501=10,$AJ501=11,$AJ501=74),"④一般",IF(OR($AJ501=41,$AJ501=47),"⑤短期","対象外"))))))</f>
        <v>①病院一般</v>
      </c>
    </row>
    <row r="502" customFormat="false" ht="15" hidden="false" customHeight="false" outlineLevel="0" collapsed="false">
      <c r="A502" s="0" t="n">
        <v>21</v>
      </c>
      <c r="AA502" s="0" t="n">
        <v>21</v>
      </c>
      <c r="AB502" s="0" t="s">
        <v>494</v>
      </c>
      <c r="AD502" s="0" t="n">
        <v>12</v>
      </c>
      <c r="AE502" s="0" t="s">
        <v>96</v>
      </c>
      <c r="AH502" s="0" t="n">
        <v>11</v>
      </c>
      <c r="AJ502" s="0" t="n">
        <v>10</v>
      </c>
      <c r="AP502" s="0" t="n">
        <v>200000</v>
      </c>
      <c r="DB502" s="0" t="str">
        <f aca="false">IF($A502="","",IF($AE502&amp;""&lt;&gt;設定!$C$4,"対象外",IF($AH502=20,IF(OR($AJ502=10,$AJ502=11,$AJ502=18),"①病院一般",IF($AJ502=41,"②病院短期","対象外")),IF($AH502=5,IF($AJ502=30,"③特定消防","対象外"),IF(OR($AJ502=10,$AJ502=11,$AJ502=74),"④一般",IF(OR($AJ502=41,$AJ502=47),"⑤短期","対象外"))))))</f>
        <v>④一般</v>
      </c>
    </row>
    <row r="503" customFormat="false" ht="15" hidden="false" customHeight="false" outlineLevel="0" collapsed="false">
      <c r="A503" s="0" t="n">
        <v>21</v>
      </c>
      <c r="AA503" s="0" t="n">
        <v>21</v>
      </c>
      <c r="AB503" s="0" t="s">
        <v>477</v>
      </c>
      <c r="AD503" s="0" t="n">
        <v>12</v>
      </c>
      <c r="AE503" s="0" t="s">
        <v>299</v>
      </c>
      <c r="AH503" s="0" t="n">
        <v>1</v>
      </c>
      <c r="AJ503" s="0" t="n">
        <v>10</v>
      </c>
      <c r="AP503" s="0" t="n">
        <v>260000</v>
      </c>
      <c r="DB503" s="0" t="str">
        <f aca="false">IF($A503="","",IF($AE503&amp;""&lt;&gt;設定!$C$4,"対象外",IF($AH503=20,IF(OR($AJ503=10,$AJ503=11,$AJ503=18),"①病院一般",IF($AJ503=41,"②病院短期","対象外")),IF($AH503=5,IF($AJ503=30,"③特定消防","対象外"),IF(OR($AJ503=10,$AJ503=11,$AJ503=74),"④一般",IF(OR($AJ503=41,$AJ503=47),"⑤短期","対象外"))))))</f>
        <v>対象外</v>
      </c>
    </row>
    <row r="504" customFormat="false" ht="15" hidden="false" customHeight="false" outlineLevel="0" collapsed="false">
      <c r="A504" s="0" t="n">
        <v>21</v>
      </c>
      <c r="AA504" s="0" t="n">
        <v>21</v>
      </c>
      <c r="AB504" s="0" t="s">
        <v>477</v>
      </c>
      <c r="AD504" s="0" t="n">
        <v>12</v>
      </c>
      <c r="AE504" s="0" t="s">
        <v>96</v>
      </c>
      <c r="AH504" s="0" t="n">
        <v>1</v>
      </c>
      <c r="AJ504" s="0" t="n">
        <v>10</v>
      </c>
      <c r="AP504" s="0" t="n">
        <v>260000</v>
      </c>
      <c r="DB504" s="0" t="str">
        <f aca="false">IF($A504="","",IF($AE504&amp;""&lt;&gt;設定!$C$4,"対象外",IF($AH504=20,IF(OR($AJ504=10,$AJ504=11,$AJ504=18),"①病院一般",IF($AJ504=41,"②病院短期","対象外")),IF($AH504=5,IF($AJ504=30,"③特定消防","対象外"),IF(OR($AJ504=10,$AJ504=11,$AJ504=74),"④一般",IF(OR($AJ504=41,$AJ504=47),"⑤短期","対象外"))))))</f>
        <v>④一般</v>
      </c>
    </row>
    <row r="505" customFormat="false" ht="15" hidden="false" customHeight="false" outlineLevel="0" collapsed="false">
      <c r="A505" s="0" t="n">
        <v>21</v>
      </c>
      <c r="AA505" s="0" t="n">
        <v>21</v>
      </c>
      <c r="AB505" s="0" t="s">
        <v>477</v>
      </c>
      <c r="AD505" s="0" t="n">
        <v>12</v>
      </c>
      <c r="AE505" s="0" t="s">
        <v>96</v>
      </c>
      <c r="AH505" s="0" t="n">
        <v>1</v>
      </c>
      <c r="AJ505" s="0" t="n">
        <v>10</v>
      </c>
      <c r="AP505" s="0" t="n">
        <v>380000</v>
      </c>
      <c r="DB505" s="0" t="str">
        <f aca="false">IF($A505="","",IF($AE505&amp;""&lt;&gt;設定!$C$4,"対象外",IF($AH505=20,IF(OR($AJ505=10,$AJ505=11,$AJ505=18),"①病院一般",IF($AJ505=41,"②病院短期","対象外")),IF($AH505=5,IF($AJ505=30,"③特定消防","対象外"),IF(OR($AJ505=10,$AJ505=11,$AJ505=74),"④一般",IF(OR($AJ505=41,$AJ505=47),"⑤短期","対象外"))))))</f>
        <v>④一般</v>
      </c>
    </row>
    <row r="506" customFormat="false" ht="15" hidden="false" customHeight="false" outlineLevel="0" collapsed="false">
      <c r="A506" s="0" t="n">
        <v>21</v>
      </c>
      <c r="AA506" s="0" t="n">
        <v>21</v>
      </c>
      <c r="AB506" s="0" t="s">
        <v>477</v>
      </c>
      <c r="AD506" s="0" t="n">
        <v>12</v>
      </c>
      <c r="AE506" s="0" t="s">
        <v>96</v>
      </c>
      <c r="AH506" s="0" t="n">
        <v>1</v>
      </c>
      <c r="AJ506" s="0" t="n">
        <v>10</v>
      </c>
      <c r="AP506" s="0" t="n">
        <v>320000</v>
      </c>
      <c r="DB506" s="0" t="str">
        <f aca="false">IF($A506="","",IF($AE506&amp;""&lt;&gt;設定!$C$4,"対象外",IF($AH506=20,IF(OR($AJ506=10,$AJ506=11,$AJ506=18),"①病院一般",IF($AJ506=41,"②病院短期","対象外")),IF($AH506=5,IF($AJ506=30,"③特定消防","対象外"),IF(OR($AJ506=10,$AJ506=11,$AJ506=74),"④一般",IF(OR($AJ506=41,$AJ506=47),"⑤短期","対象外"))))))</f>
        <v>④一般</v>
      </c>
    </row>
    <row r="507" customFormat="false" ht="15" hidden="false" customHeight="false" outlineLevel="0" collapsed="false">
      <c r="A507" s="0" t="n">
        <v>21</v>
      </c>
      <c r="AA507" s="0" t="n">
        <v>21</v>
      </c>
      <c r="AB507" s="0" t="s">
        <v>477</v>
      </c>
      <c r="AD507" s="0" t="n">
        <v>12</v>
      </c>
      <c r="AE507" s="0" t="s">
        <v>301</v>
      </c>
      <c r="AH507" s="0" t="n">
        <v>1</v>
      </c>
      <c r="AJ507" s="0" t="n">
        <v>10</v>
      </c>
      <c r="AP507" s="0" t="n">
        <v>320000</v>
      </c>
      <c r="DB507" s="0" t="str">
        <f aca="false">IF($A507="","",IF($AE507&amp;""&lt;&gt;設定!$C$4,"対象外",IF($AH507=20,IF(OR($AJ507=10,$AJ507=11,$AJ507=18),"①病院一般",IF($AJ507=41,"②病院短期","対象外")),IF($AH507=5,IF($AJ507=30,"③特定消防","対象外"),IF(OR($AJ507=10,$AJ507=11,$AJ507=74),"④一般",IF(OR($AJ507=41,$AJ507=47),"⑤短期","対象外"))))))</f>
        <v>対象外</v>
      </c>
    </row>
    <row r="508" customFormat="false" ht="15" hidden="false" customHeight="false" outlineLevel="0" collapsed="false">
      <c r="A508" s="0" t="n">
        <v>21</v>
      </c>
      <c r="AA508" s="0" t="n">
        <v>21</v>
      </c>
      <c r="AB508" s="0" t="s">
        <v>477</v>
      </c>
      <c r="AD508" s="0" t="n">
        <v>12</v>
      </c>
      <c r="AE508" s="0" t="s">
        <v>96</v>
      </c>
      <c r="AH508" s="0" t="n">
        <v>1</v>
      </c>
      <c r="AJ508" s="0" t="n">
        <v>10</v>
      </c>
      <c r="AP508" s="0" t="n">
        <v>260000</v>
      </c>
      <c r="DB508" s="0" t="str">
        <f aca="false">IF($A508="","",IF($AE508&amp;""&lt;&gt;設定!$C$4,"対象外",IF($AH508=20,IF(OR($AJ508=10,$AJ508=11,$AJ508=18),"①病院一般",IF($AJ508=41,"②病院短期","対象外")),IF($AH508=5,IF($AJ508=30,"③特定消防","対象外"),IF(OR($AJ508=10,$AJ508=11,$AJ508=74),"④一般",IF(OR($AJ508=41,$AJ508=47),"⑤短期","対象外"))))))</f>
        <v>④一般</v>
      </c>
    </row>
    <row r="509" customFormat="false" ht="15" hidden="false" customHeight="false" outlineLevel="0" collapsed="false">
      <c r="A509" s="0" t="n">
        <v>21</v>
      </c>
      <c r="AA509" s="0" t="n">
        <v>21</v>
      </c>
      <c r="AB509" s="0" t="s">
        <v>477</v>
      </c>
      <c r="AD509" s="0" t="n">
        <v>12</v>
      </c>
      <c r="AE509" s="0" t="s">
        <v>303</v>
      </c>
      <c r="AH509" s="0" t="n">
        <v>1</v>
      </c>
      <c r="AJ509" s="0" t="n">
        <v>10</v>
      </c>
      <c r="AP509" s="0" t="n">
        <v>280000</v>
      </c>
      <c r="DB509" s="0" t="str">
        <f aca="false">IF($A509="","",IF($AE509&amp;""&lt;&gt;設定!$C$4,"対象外",IF($AH509=20,IF(OR($AJ509=10,$AJ509=11,$AJ509=18),"①病院一般",IF($AJ509=41,"②病院短期","対象外")),IF($AH509=5,IF($AJ509=30,"③特定消防","対象外"),IF(OR($AJ509=10,$AJ509=11,$AJ509=74),"④一般",IF(OR($AJ509=41,$AJ509=47),"⑤短期","対象外"))))))</f>
        <v>対象外</v>
      </c>
    </row>
    <row r="510" customFormat="false" ht="15" hidden="false" customHeight="false" outlineLevel="0" collapsed="false">
      <c r="A510" s="0" t="n">
        <v>21</v>
      </c>
      <c r="AA510" s="0" t="n">
        <v>21</v>
      </c>
      <c r="AB510" s="0" t="s">
        <v>477</v>
      </c>
      <c r="AD510" s="0" t="n">
        <v>12</v>
      </c>
      <c r="AE510" s="0" t="s">
        <v>96</v>
      </c>
      <c r="AH510" s="0" t="n">
        <v>1</v>
      </c>
      <c r="AJ510" s="0" t="n">
        <v>10</v>
      </c>
      <c r="AP510" s="0" t="n">
        <v>240000</v>
      </c>
      <c r="DB510" s="0" t="str">
        <f aca="false">IF($A510="","",IF($AE510&amp;""&lt;&gt;設定!$C$4,"対象外",IF($AH510=20,IF(OR($AJ510=10,$AJ510=11,$AJ510=18),"①病院一般",IF($AJ510=41,"②病院短期","対象外")),IF($AH510=5,IF($AJ510=30,"③特定消防","対象外"),IF(OR($AJ510=10,$AJ510=11,$AJ510=74),"④一般",IF(OR($AJ510=41,$AJ510=47),"⑤短期","対象外"))))))</f>
        <v>④一般</v>
      </c>
    </row>
    <row r="511" customFormat="false" ht="15" hidden="false" customHeight="false" outlineLevel="0" collapsed="false">
      <c r="A511" s="0" t="n">
        <v>21</v>
      </c>
      <c r="AA511" s="0" t="n">
        <v>21</v>
      </c>
      <c r="AB511" s="0" t="s">
        <v>477</v>
      </c>
      <c r="AD511" s="0" t="n">
        <v>12</v>
      </c>
      <c r="AE511" s="0" t="s">
        <v>96</v>
      </c>
      <c r="AH511" s="0" t="n">
        <v>1</v>
      </c>
      <c r="AJ511" s="0" t="n">
        <v>10</v>
      </c>
      <c r="AP511" s="0" t="n">
        <v>260000</v>
      </c>
      <c r="DB511" s="0" t="str">
        <f aca="false">IF($A511="","",IF($AE511&amp;""&lt;&gt;設定!$C$4,"対象外",IF($AH511=20,IF(OR($AJ511=10,$AJ511=11,$AJ511=18),"①病院一般",IF($AJ511=41,"②病院短期","対象外")),IF($AH511=5,IF($AJ511=30,"③特定消防","対象外"),IF(OR($AJ511=10,$AJ511=11,$AJ511=74),"④一般",IF(OR($AJ511=41,$AJ511=47),"⑤短期","対象外"))))))</f>
        <v>④一般</v>
      </c>
    </row>
    <row r="512" customFormat="false" ht="15" hidden="false" customHeight="false" outlineLevel="0" collapsed="false">
      <c r="A512" s="0" t="n">
        <v>21</v>
      </c>
      <c r="AA512" s="0" t="n">
        <v>21</v>
      </c>
      <c r="AB512" s="0" t="s">
        <v>477</v>
      </c>
      <c r="AD512" s="0" t="n">
        <v>12</v>
      </c>
      <c r="AE512" s="0" t="s">
        <v>96</v>
      </c>
      <c r="AH512" s="0" t="n">
        <v>1</v>
      </c>
      <c r="AJ512" s="0" t="n">
        <v>10</v>
      </c>
      <c r="AP512" s="0" t="n">
        <v>280000</v>
      </c>
      <c r="DB512" s="0" t="str">
        <f aca="false">IF($A512="","",IF($AE512&amp;""&lt;&gt;設定!$C$4,"対象外",IF($AH512=20,IF(OR($AJ512=10,$AJ512=11,$AJ512=18),"①病院一般",IF($AJ512=41,"②病院短期","対象外")),IF($AH512=5,IF($AJ512=30,"③特定消防","対象外"),IF(OR($AJ512=10,$AJ512=11,$AJ512=74),"④一般",IF(OR($AJ512=41,$AJ512=47),"⑤短期","対象外"))))))</f>
        <v>④一般</v>
      </c>
    </row>
    <row r="513" customFormat="false" ht="15" hidden="false" customHeight="false" outlineLevel="0" collapsed="false">
      <c r="A513" s="0" t="n">
        <v>21</v>
      </c>
      <c r="AA513" s="0" t="n">
        <v>21</v>
      </c>
      <c r="AB513" s="0" t="s">
        <v>477</v>
      </c>
      <c r="AD513" s="0" t="n">
        <v>12</v>
      </c>
      <c r="AE513" s="0" t="s">
        <v>296</v>
      </c>
      <c r="AH513" s="0" t="n">
        <v>1</v>
      </c>
      <c r="AJ513" s="0" t="n">
        <v>10</v>
      </c>
      <c r="AP513" s="0" t="n">
        <v>300000</v>
      </c>
      <c r="DB513" s="0" t="str">
        <f aca="false">IF($A513="","",IF($AE513&amp;""&lt;&gt;設定!$C$4,"対象外",IF($AH513=20,IF(OR($AJ513=10,$AJ513=11,$AJ513=18),"①病院一般",IF($AJ513=41,"②病院短期","対象外")),IF($AH513=5,IF($AJ513=30,"③特定消防","対象外"),IF(OR($AJ513=10,$AJ513=11,$AJ513=74),"④一般",IF(OR($AJ513=41,$AJ513=47),"⑤短期","対象外"))))))</f>
        <v>対象外</v>
      </c>
    </row>
    <row r="514" customFormat="false" ht="15" hidden="false" customHeight="false" outlineLevel="0" collapsed="false">
      <c r="A514" s="0" t="n">
        <v>21</v>
      </c>
      <c r="AA514" s="0" t="n">
        <v>21</v>
      </c>
      <c r="AB514" s="0" t="s">
        <v>477</v>
      </c>
      <c r="AD514" s="0" t="n">
        <v>12</v>
      </c>
      <c r="AE514" s="0" t="s">
        <v>96</v>
      </c>
      <c r="AH514" s="0" t="n">
        <v>5</v>
      </c>
      <c r="AJ514" s="0" t="n">
        <v>30</v>
      </c>
      <c r="AP514" s="0" t="n">
        <v>320000</v>
      </c>
      <c r="DB514" s="0" t="str">
        <f aca="false">IF($A514="","",IF($AE514&amp;""&lt;&gt;設定!$C$4,"対象外",IF($AH514=20,IF(OR($AJ514=10,$AJ514=11,$AJ514=18),"①病院一般",IF($AJ514=41,"②病院短期","対象外")),IF($AH514=5,IF($AJ514=30,"③特定消防","対象外"),IF(OR($AJ514=10,$AJ514=11,$AJ514=74),"④一般",IF(OR($AJ514=41,$AJ514=47),"⑤短期","対象外"))))))</f>
        <v>③特定消防</v>
      </c>
    </row>
    <row r="515" customFormat="false" ht="15" hidden="false" customHeight="false" outlineLevel="0" collapsed="false">
      <c r="A515" s="0" t="n">
        <v>21</v>
      </c>
      <c r="AA515" s="0" t="n">
        <v>21</v>
      </c>
      <c r="AB515" s="0" t="s">
        <v>477</v>
      </c>
      <c r="AD515" s="0" t="n">
        <v>12</v>
      </c>
      <c r="AE515" s="0" t="s">
        <v>96</v>
      </c>
      <c r="AH515" s="0" t="n">
        <v>1</v>
      </c>
      <c r="AJ515" s="0" t="n">
        <v>10</v>
      </c>
      <c r="AP515" s="0" t="n">
        <v>500000</v>
      </c>
      <c r="DB515" s="0" t="str">
        <f aca="false">IF($A515="","",IF($AE515&amp;""&lt;&gt;設定!$C$4,"対象外",IF($AH515=20,IF(OR($AJ515=10,$AJ515=11,$AJ515=18),"①病院一般",IF($AJ515=41,"②病院短期","対象外")),IF($AH515=5,IF($AJ515=30,"③特定消防","対象外"),IF(OR($AJ515=10,$AJ515=11,$AJ515=74),"④一般",IF(OR($AJ515=41,$AJ515=47),"⑤短期","対象外"))))))</f>
        <v>④一般</v>
      </c>
    </row>
    <row r="516" customFormat="false" ht="15" hidden="false" customHeight="false" outlineLevel="0" collapsed="false">
      <c r="A516" s="0" t="n">
        <v>21</v>
      </c>
      <c r="AA516" s="0" t="n">
        <v>21</v>
      </c>
      <c r="AB516" s="0" t="s">
        <v>477</v>
      </c>
      <c r="AD516" s="0" t="n">
        <v>12</v>
      </c>
      <c r="AE516" s="0" t="s">
        <v>96</v>
      </c>
      <c r="AH516" s="0" t="n">
        <v>1</v>
      </c>
      <c r="AJ516" s="0" t="n">
        <v>10</v>
      </c>
      <c r="AP516" s="0" t="n">
        <v>440000</v>
      </c>
      <c r="DB516" s="0" t="str">
        <f aca="false">IF($A516="","",IF($AE516&amp;""&lt;&gt;設定!$C$4,"対象外",IF($AH516=20,IF(OR($AJ516=10,$AJ516=11,$AJ516=18),"①病院一般",IF($AJ516=41,"②病院短期","対象外")),IF($AH516=5,IF($AJ516=30,"③特定消防","対象外"),IF(OR($AJ516=10,$AJ516=11,$AJ516=74),"④一般",IF(OR($AJ516=41,$AJ516=47),"⑤短期","対象外"))))))</f>
        <v>④一般</v>
      </c>
    </row>
    <row r="517" customFormat="false" ht="15" hidden="false" customHeight="false" outlineLevel="0" collapsed="false">
      <c r="A517" s="0" t="n">
        <v>21</v>
      </c>
      <c r="AA517" s="0" t="n">
        <v>21</v>
      </c>
      <c r="AB517" s="0" t="s">
        <v>497</v>
      </c>
      <c r="AD517" s="0" t="n">
        <v>12</v>
      </c>
      <c r="AE517" s="0" t="s">
        <v>498</v>
      </c>
      <c r="AH517" s="0" t="n">
        <v>1</v>
      </c>
      <c r="AJ517" s="0" t="n">
        <v>10</v>
      </c>
      <c r="AP517" s="0" t="n">
        <v>880000</v>
      </c>
      <c r="DB517" s="0" t="str">
        <f aca="false">IF($A517="","",IF($AE517&amp;""&lt;&gt;設定!$C$4,"対象外",IF($AH517=20,IF(OR($AJ517=10,$AJ517=11,$AJ517=18),"①病院一般",IF($AJ517=41,"②病院短期","対象外")),IF($AH517=5,IF($AJ517=30,"③特定消防","対象外"),IF(OR($AJ517=10,$AJ517=11,$AJ517=74),"④一般",IF(OR($AJ517=41,$AJ517=47),"⑤短期","対象外"))))))</f>
        <v>対象外</v>
      </c>
    </row>
    <row r="518" customFormat="false" ht="15" hidden="false" customHeight="false" outlineLevel="0" collapsed="false">
      <c r="A518" s="0" t="n">
        <v>21</v>
      </c>
      <c r="AA518" s="0" t="n">
        <v>21</v>
      </c>
      <c r="AB518" s="0" t="s">
        <v>499</v>
      </c>
      <c r="AD518" s="0" t="n">
        <v>12</v>
      </c>
      <c r="AE518" s="0" t="s">
        <v>96</v>
      </c>
      <c r="AH518" s="0" t="n">
        <v>1</v>
      </c>
      <c r="AJ518" s="0" t="n">
        <v>10</v>
      </c>
      <c r="AP518" s="0" t="n">
        <v>220000</v>
      </c>
      <c r="DB518" s="0" t="str">
        <f aca="false">IF($A518="","",IF($AE518&amp;""&lt;&gt;設定!$C$4,"対象外",IF($AH518=20,IF(OR($AJ518=10,$AJ518=11,$AJ518=18),"①病院一般",IF($AJ518=41,"②病院短期","対象外")),IF($AH518=5,IF($AJ518=30,"③特定消防","対象外"),IF(OR($AJ518=10,$AJ518=11,$AJ518=74),"④一般",IF(OR($AJ518=41,$AJ518=47),"⑤短期","対象外"))))))</f>
        <v>④一般</v>
      </c>
    </row>
    <row r="519" customFormat="false" ht="15" hidden="false" customHeight="false" outlineLevel="0" collapsed="false">
      <c r="A519" s="0" t="n">
        <v>21</v>
      </c>
      <c r="AA519" s="0" t="n">
        <v>21</v>
      </c>
      <c r="AB519" s="0" t="s">
        <v>477</v>
      </c>
      <c r="AD519" s="0" t="n">
        <v>12</v>
      </c>
      <c r="AE519" s="0" t="s">
        <v>96</v>
      </c>
      <c r="AH519" s="0" t="n">
        <v>20</v>
      </c>
      <c r="AJ519" s="0" t="n">
        <v>10</v>
      </c>
      <c r="AP519" s="0" t="n">
        <v>360000</v>
      </c>
      <c r="DB519" s="0" t="str">
        <f aca="false">IF($A519="","",IF($AE519&amp;""&lt;&gt;設定!$C$4,"対象外",IF($AH519=20,IF(OR($AJ519=10,$AJ519=11,$AJ519=18),"①病院一般",IF($AJ519=41,"②病院短期","対象外")),IF($AH519=5,IF($AJ519=30,"③特定消防","対象外"),IF(OR($AJ519=10,$AJ519=11,$AJ519=74),"④一般",IF(OR($AJ519=41,$AJ519=47),"⑤短期","対象外"))))))</f>
        <v>①病院一般</v>
      </c>
    </row>
    <row r="520" customFormat="false" ht="15" hidden="false" customHeight="false" outlineLevel="0" collapsed="false">
      <c r="A520" s="0" t="n">
        <v>21</v>
      </c>
      <c r="AA520" s="0" t="n">
        <v>21</v>
      </c>
      <c r="AB520" s="0" t="s">
        <v>477</v>
      </c>
      <c r="AD520" s="0" t="n">
        <v>12</v>
      </c>
      <c r="AE520" s="0" t="s">
        <v>296</v>
      </c>
      <c r="AH520" s="0" t="n">
        <v>20</v>
      </c>
      <c r="AJ520" s="0" t="n">
        <v>10</v>
      </c>
      <c r="AP520" s="0" t="n">
        <v>320000</v>
      </c>
      <c r="DB520" s="0" t="str">
        <f aca="false">IF($A520="","",IF($AE520&amp;""&lt;&gt;設定!$C$4,"対象外",IF($AH520=20,IF(OR($AJ520=10,$AJ520=11,$AJ520=18),"①病院一般",IF($AJ520=41,"②病院短期","対象外")),IF($AH520=5,IF($AJ520=30,"③特定消防","対象外"),IF(OR($AJ520=10,$AJ520=11,$AJ520=74),"④一般",IF(OR($AJ520=41,$AJ520=47),"⑤短期","対象外"))))))</f>
        <v>対象外</v>
      </c>
    </row>
    <row r="521" customFormat="false" ht="15" hidden="false" customHeight="false" outlineLevel="0" collapsed="false">
      <c r="A521" s="0" t="n">
        <v>21</v>
      </c>
      <c r="AA521" s="0" t="n">
        <v>21</v>
      </c>
      <c r="AB521" s="0" t="s">
        <v>477</v>
      </c>
      <c r="AD521" s="0" t="n">
        <v>12</v>
      </c>
      <c r="AE521" s="0" t="s">
        <v>96</v>
      </c>
      <c r="AH521" s="0" t="n">
        <v>20</v>
      </c>
      <c r="AJ521" s="0" t="n">
        <v>10</v>
      </c>
      <c r="AP521" s="0" t="n">
        <v>340000</v>
      </c>
      <c r="DB521" s="0" t="str">
        <f aca="false">IF($A521="","",IF($AE521&amp;""&lt;&gt;設定!$C$4,"対象外",IF($AH521=20,IF(OR($AJ521=10,$AJ521=11,$AJ521=18),"①病院一般",IF($AJ521=41,"②病院短期","対象外")),IF($AH521=5,IF($AJ521=30,"③特定消防","対象外"),IF(OR($AJ521=10,$AJ521=11,$AJ521=74),"④一般",IF(OR($AJ521=41,$AJ521=47),"⑤短期","対象外"))))))</f>
        <v>①病院一般</v>
      </c>
    </row>
    <row r="522" customFormat="false" ht="15" hidden="false" customHeight="false" outlineLevel="0" collapsed="false">
      <c r="A522" s="0" t="n">
        <v>21</v>
      </c>
      <c r="AA522" s="0" t="n">
        <v>21</v>
      </c>
      <c r="AB522" s="0" t="s">
        <v>477</v>
      </c>
      <c r="AD522" s="0" t="n">
        <v>12</v>
      </c>
      <c r="AE522" s="0" t="s">
        <v>96</v>
      </c>
      <c r="AH522" s="0" t="n">
        <v>20</v>
      </c>
      <c r="AJ522" s="0" t="n">
        <v>10</v>
      </c>
      <c r="AP522" s="0" t="n">
        <v>1270000</v>
      </c>
      <c r="DB522" s="0" t="str">
        <f aca="false">IF($A522="","",IF($AE522&amp;""&lt;&gt;設定!$C$4,"対象外",IF($AH522=20,IF(OR($AJ522=10,$AJ522=11,$AJ522=18),"①病院一般",IF($AJ522=41,"②病院短期","対象外")),IF($AH522=5,IF($AJ522=30,"③特定消防","対象外"),IF(OR($AJ522=10,$AJ522=11,$AJ522=74),"④一般",IF(OR($AJ522=41,$AJ522=47),"⑤短期","対象外"))))))</f>
        <v>①病院一般</v>
      </c>
    </row>
    <row r="523" customFormat="false" ht="15" hidden="false" customHeight="false" outlineLevel="0" collapsed="false">
      <c r="A523" s="0" t="n">
        <v>21</v>
      </c>
      <c r="AA523" s="0" t="n">
        <v>21</v>
      </c>
      <c r="AB523" s="0" t="s">
        <v>477</v>
      </c>
      <c r="AD523" s="0" t="n">
        <v>12</v>
      </c>
      <c r="AE523" s="0" t="s">
        <v>299</v>
      </c>
      <c r="AH523" s="0" t="n">
        <v>20</v>
      </c>
      <c r="AJ523" s="0" t="n">
        <v>10</v>
      </c>
      <c r="AP523" s="0" t="n">
        <v>1390000</v>
      </c>
      <c r="DB523" s="0" t="str">
        <f aca="false">IF($A523="","",IF($AE523&amp;""&lt;&gt;設定!$C$4,"対象外",IF($AH523=20,IF(OR($AJ523=10,$AJ523=11,$AJ523=18),"①病院一般",IF($AJ523=41,"②病院短期","対象外")),IF($AH523=5,IF($AJ523=30,"③特定消防","対象外"),IF(OR($AJ523=10,$AJ523=11,$AJ523=74),"④一般",IF(OR($AJ523=41,$AJ523=47),"⑤短期","対象外"))))))</f>
        <v>対象外</v>
      </c>
    </row>
    <row r="524" customFormat="false" ht="15" hidden="false" customHeight="false" outlineLevel="0" collapsed="false">
      <c r="A524" s="0" t="n">
        <v>21</v>
      </c>
      <c r="AA524" s="0" t="n">
        <v>21</v>
      </c>
      <c r="AB524" s="0" t="s">
        <v>477</v>
      </c>
      <c r="AD524" s="0" t="n">
        <v>12</v>
      </c>
      <c r="AE524" s="0" t="s">
        <v>96</v>
      </c>
      <c r="AH524" s="0" t="n">
        <v>20</v>
      </c>
      <c r="AJ524" s="0" t="n">
        <v>10</v>
      </c>
      <c r="AP524" s="0" t="n">
        <v>1390000</v>
      </c>
      <c r="DB524" s="0" t="str">
        <f aca="false">IF($A524="","",IF($AE524&amp;""&lt;&gt;設定!$C$4,"対象外",IF($AH524=20,IF(OR($AJ524=10,$AJ524=11,$AJ524=18),"①病院一般",IF($AJ524=41,"②病院短期","対象外")),IF($AH524=5,IF($AJ524=30,"③特定消防","対象外"),IF(OR($AJ524=10,$AJ524=11,$AJ524=74),"④一般",IF(OR($AJ524=41,$AJ524=47),"⑤短期","対象外"))))))</f>
        <v>①病院一般</v>
      </c>
    </row>
    <row r="525" customFormat="false" ht="15" hidden="false" customHeight="false" outlineLevel="0" collapsed="false">
      <c r="A525" s="0" t="n">
        <v>21</v>
      </c>
      <c r="AA525" s="0" t="n">
        <v>21</v>
      </c>
      <c r="AB525" s="0" t="s">
        <v>477</v>
      </c>
      <c r="AD525" s="0" t="n">
        <v>12</v>
      </c>
      <c r="AE525" s="0" t="s">
        <v>96</v>
      </c>
      <c r="AH525" s="0" t="n">
        <v>20</v>
      </c>
      <c r="AJ525" s="0" t="n">
        <v>10</v>
      </c>
      <c r="AP525" s="0" t="n">
        <v>1210000</v>
      </c>
      <c r="DB525" s="0" t="str">
        <f aca="false">IF($A525="","",IF($AE525&amp;""&lt;&gt;設定!$C$4,"対象外",IF($AH525=20,IF(OR($AJ525=10,$AJ525=11,$AJ525=18),"①病院一般",IF($AJ525=41,"②病院短期","対象外")),IF($AH525=5,IF($AJ525=30,"③特定消防","対象外"),IF(OR($AJ525=10,$AJ525=11,$AJ525=74),"④一般",IF(OR($AJ525=41,$AJ525=47),"⑤短期","対象外"))))))</f>
        <v>①病院一般</v>
      </c>
    </row>
    <row r="526" customFormat="false" ht="15" hidden="false" customHeight="false" outlineLevel="0" collapsed="false">
      <c r="A526" s="0" t="n">
        <v>21</v>
      </c>
      <c r="AA526" s="0" t="n">
        <v>21</v>
      </c>
      <c r="AB526" s="0" t="s">
        <v>477</v>
      </c>
      <c r="AD526" s="0" t="n">
        <v>12</v>
      </c>
      <c r="AE526" s="0" t="s">
        <v>296</v>
      </c>
      <c r="AH526" s="0" t="n">
        <v>20</v>
      </c>
      <c r="AJ526" s="0" t="n">
        <v>10</v>
      </c>
      <c r="AP526" s="0" t="n">
        <v>1390000</v>
      </c>
      <c r="DB526" s="0" t="str">
        <f aca="false">IF($A526="","",IF($AE526&amp;""&lt;&gt;設定!$C$4,"対象外",IF($AH526=20,IF(OR($AJ526=10,$AJ526=11,$AJ526=18),"①病院一般",IF($AJ526=41,"②病院短期","対象外")),IF($AH526=5,IF($AJ526=30,"③特定消防","対象外"),IF(OR($AJ526=10,$AJ526=11,$AJ526=74),"④一般",IF(OR($AJ526=41,$AJ526=47),"⑤短期","対象外"))))))</f>
        <v>対象外</v>
      </c>
    </row>
    <row r="527" customFormat="false" ht="15" hidden="false" customHeight="false" outlineLevel="0" collapsed="false">
      <c r="A527" s="0" t="n">
        <v>21</v>
      </c>
      <c r="AA527" s="0" t="n">
        <v>21</v>
      </c>
      <c r="AB527" s="0" t="s">
        <v>477</v>
      </c>
      <c r="AD527" s="0" t="n">
        <v>12</v>
      </c>
      <c r="AE527" s="0" t="s">
        <v>96</v>
      </c>
      <c r="AH527" s="0" t="n">
        <v>20</v>
      </c>
      <c r="AJ527" s="0" t="n">
        <v>10</v>
      </c>
      <c r="AP527" s="0" t="n">
        <v>1330000</v>
      </c>
      <c r="DB527" s="0" t="str">
        <f aca="false">IF($A527="","",IF($AE527&amp;""&lt;&gt;設定!$C$4,"対象外",IF($AH527=20,IF(OR($AJ527=10,$AJ527=11,$AJ527=18),"①病院一般",IF($AJ527=41,"②病院短期","対象外")),IF($AH527=5,IF($AJ527=30,"③特定消防","対象外"),IF(OR($AJ527=10,$AJ527=11,$AJ527=74),"④一般",IF(OR($AJ527=41,$AJ527=47),"⑤短期","対象外"))))))</f>
        <v>①病院一般</v>
      </c>
    </row>
    <row r="528" customFormat="false" ht="15" hidden="false" customHeight="false" outlineLevel="0" collapsed="false">
      <c r="A528" s="0" t="n">
        <v>21</v>
      </c>
      <c r="AA528" s="0" t="n">
        <v>21</v>
      </c>
      <c r="AB528" s="0" t="s">
        <v>477</v>
      </c>
      <c r="AD528" s="0" t="n">
        <v>12</v>
      </c>
      <c r="AE528" s="0" t="s">
        <v>96</v>
      </c>
      <c r="AH528" s="0" t="n">
        <v>20</v>
      </c>
      <c r="AJ528" s="0" t="n">
        <v>10</v>
      </c>
      <c r="AP528" s="0" t="n">
        <v>1270000</v>
      </c>
      <c r="DB528" s="0" t="str">
        <f aca="false">IF($A528="","",IF($AE528&amp;""&lt;&gt;設定!$C$4,"対象外",IF($AH528=20,IF(OR($AJ528=10,$AJ528=11,$AJ528=18),"①病院一般",IF($AJ528=41,"②病院短期","対象外")),IF($AH528=5,IF($AJ528=30,"③特定消防","対象外"),IF(OR($AJ528=10,$AJ528=11,$AJ528=74),"④一般",IF(OR($AJ528=41,$AJ528=47),"⑤短期","対象外"))))))</f>
        <v>①病院一般</v>
      </c>
    </row>
    <row r="529" customFormat="false" ht="15" hidden="false" customHeight="false" outlineLevel="0" collapsed="false">
      <c r="A529" s="0" t="n">
        <v>21</v>
      </c>
      <c r="AA529" s="0" t="n">
        <v>21</v>
      </c>
      <c r="AB529" s="0" t="s">
        <v>477</v>
      </c>
      <c r="AD529" s="0" t="n">
        <v>12</v>
      </c>
      <c r="AE529" s="0" t="s">
        <v>96</v>
      </c>
      <c r="AH529" s="0" t="n">
        <v>20</v>
      </c>
      <c r="AJ529" s="0" t="n">
        <v>10</v>
      </c>
      <c r="AP529" s="0" t="n">
        <v>1090000</v>
      </c>
      <c r="DB529" s="0" t="str">
        <f aca="false">IF($A529="","",IF($AE529&amp;""&lt;&gt;設定!$C$4,"対象外",IF($AH529=20,IF(OR($AJ529=10,$AJ529=11,$AJ529=18),"①病院一般",IF($AJ529=41,"②病院短期","対象外")),IF($AH529=5,IF($AJ529=30,"③特定消防","対象外"),IF(OR($AJ529=10,$AJ529=11,$AJ529=74),"④一般",IF(OR($AJ529=41,$AJ529=47),"⑤短期","対象外"))))))</f>
        <v>①病院一般</v>
      </c>
    </row>
    <row r="530" customFormat="false" ht="15" hidden="false" customHeight="false" outlineLevel="0" collapsed="false">
      <c r="A530" s="0" t="n">
        <v>21</v>
      </c>
      <c r="AA530" s="0" t="n">
        <v>21</v>
      </c>
      <c r="AB530" s="0" t="s">
        <v>477</v>
      </c>
      <c r="AD530" s="0" t="n">
        <v>12</v>
      </c>
      <c r="AE530" s="0" t="s">
        <v>96</v>
      </c>
      <c r="AH530" s="0" t="n">
        <v>20</v>
      </c>
      <c r="AJ530" s="0" t="n">
        <v>10</v>
      </c>
      <c r="AP530" s="0" t="n">
        <v>1390000</v>
      </c>
      <c r="DB530" s="0" t="str">
        <f aca="false">IF($A530="","",IF($AE530&amp;""&lt;&gt;設定!$C$4,"対象外",IF($AH530=20,IF(OR($AJ530=10,$AJ530=11,$AJ530=18),"①病院一般",IF($AJ530=41,"②病院短期","対象外")),IF($AH530=5,IF($AJ530=30,"③特定消防","対象外"),IF(OR($AJ530=10,$AJ530=11,$AJ530=74),"④一般",IF(OR($AJ530=41,$AJ530=47),"⑤短期","対象外"))))))</f>
        <v>①病院一般</v>
      </c>
    </row>
    <row r="531" customFormat="false" ht="15" hidden="false" customHeight="false" outlineLevel="0" collapsed="false">
      <c r="A531" s="0" t="n">
        <v>21</v>
      </c>
      <c r="AA531" s="0" t="n">
        <v>21</v>
      </c>
      <c r="AB531" s="0" t="s">
        <v>494</v>
      </c>
      <c r="AD531" s="0" t="n">
        <v>12</v>
      </c>
      <c r="AE531" s="0" t="s">
        <v>96</v>
      </c>
      <c r="AH531" s="0" t="n">
        <v>20</v>
      </c>
      <c r="AJ531" s="0" t="n">
        <v>10</v>
      </c>
      <c r="AP531" s="0" t="n">
        <v>1330000</v>
      </c>
      <c r="DB531" s="0" t="str">
        <f aca="false">IF($A531="","",IF($AE531&amp;""&lt;&gt;設定!$C$4,"対象外",IF($AH531=20,IF(OR($AJ531=10,$AJ531=11,$AJ531=18),"①病院一般",IF($AJ531=41,"②病院短期","対象外")),IF($AH531=5,IF($AJ531=30,"③特定消防","対象外"),IF(OR($AJ531=10,$AJ531=11,$AJ531=74),"④一般",IF(OR($AJ531=41,$AJ531=47),"⑤短期","対象外"))))))</f>
        <v>①病院一般</v>
      </c>
    </row>
    <row r="532" customFormat="false" ht="15" hidden="false" customHeight="false" outlineLevel="0" collapsed="false">
      <c r="A532" s="0" t="n">
        <v>21</v>
      </c>
      <c r="AA532" s="0" t="n">
        <v>21</v>
      </c>
      <c r="AB532" s="0" t="s">
        <v>494</v>
      </c>
      <c r="AD532" s="0" t="n">
        <v>12</v>
      </c>
      <c r="AE532" s="0" t="s">
        <v>96</v>
      </c>
      <c r="AH532" s="0" t="n">
        <v>20</v>
      </c>
      <c r="AJ532" s="0" t="n">
        <v>10</v>
      </c>
      <c r="AP532" s="0" t="n">
        <v>1270000</v>
      </c>
      <c r="DB532" s="0" t="str">
        <f aca="false">IF($A532="","",IF($AE532&amp;""&lt;&gt;設定!$C$4,"対象外",IF($AH532=20,IF(OR($AJ532=10,$AJ532=11,$AJ532=18),"①病院一般",IF($AJ532=41,"②病院短期","対象外")),IF($AH532=5,IF($AJ532=30,"③特定消防","対象外"),IF(OR($AJ532=10,$AJ532=11,$AJ532=74),"④一般",IF(OR($AJ532=41,$AJ532=47),"⑤短期","対象外"))))))</f>
        <v>①病院一般</v>
      </c>
    </row>
    <row r="533" customFormat="false" ht="15" hidden="false" customHeight="false" outlineLevel="0" collapsed="false">
      <c r="A533" s="0" t="n">
        <v>21</v>
      </c>
      <c r="AA533" s="0" t="n">
        <v>21</v>
      </c>
      <c r="AB533" s="0" t="s">
        <v>494</v>
      </c>
      <c r="AD533" s="0" t="n">
        <v>12</v>
      </c>
      <c r="AE533" s="0" t="s">
        <v>96</v>
      </c>
      <c r="AH533" s="0" t="n">
        <v>20</v>
      </c>
      <c r="AJ533" s="0" t="n">
        <v>10</v>
      </c>
      <c r="AP533" s="0" t="n">
        <v>980000</v>
      </c>
      <c r="DB533" s="0" t="str">
        <f aca="false">IF($A533="","",IF($AE533&amp;""&lt;&gt;設定!$C$4,"対象外",IF($AH533=20,IF(OR($AJ533=10,$AJ533=11,$AJ533=18),"①病院一般",IF($AJ533=41,"②病院短期","対象外")),IF($AH533=5,IF($AJ533=30,"③特定消防","対象外"),IF(OR($AJ533=10,$AJ533=11,$AJ533=74),"④一般",IF(OR($AJ533=41,$AJ533=47),"⑤短期","対象外"))))))</f>
        <v>①病院一般</v>
      </c>
    </row>
    <row r="534" customFormat="false" ht="15" hidden="false" customHeight="false" outlineLevel="0" collapsed="false">
      <c r="A534" s="0" t="n">
        <v>21</v>
      </c>
      <c r="AA534" s="0" t="n">
        <v>21</v>
      </c>
      <c r="AB534" s="0" t="s">
        <v>477</v>
      </c>
      <c r="AD534" s="0" t="n">
        <v>12</v>
      </c>
      <c r="AE534" s="0" t="s">
        <v>96</v>
      </c>
      <c r="AH534" s="0" t="n">
        <v>20</v>
      </c>
      <c r="AJ534" s="0" t="n">
        <v>10</v>
      </c>
      <c r="AP534" s="0" t="n">
        <v>750000</v>
      </c>
      <c r="DB534" s="0" t="str">
        <f aca="false">IF($A534="","",IF($AE534&amp;""&lt;&gt;設定!$C$4,"対象外",IF($AH534=20,IF(OR($AJ534=10,$AJ534=11,$AJ534=18),"①病院一般",IF($AJ534=41,"②病院短期","対象外")),IF($AH534=5,IF($AJ534=30,"③特定消防","対象外"),IF(OR($AJ534=10,$AJ534=11,$AJ534=74),"④一般",IF(OR($AJ534=41,$AJ534=47),"⑤短期","対象外"))))))</f>
        <v>①病院一般</v>
      </c>
    </row>
    <row r="535" customFormat="false" ht="15" hidden="false" customHeight="false" outlineLevel="0" collapsed="false">
      <c r="A535" s="0" t="n">
        <v>21</v>
      </c>
      <c r="AA535" s="0" t="n">
        <v>21</v>
      </c>
      <c r="AB535" s="0" t="s">
        <v>477</v>
      </c>
      <c r="AD535" s="0" t="n">
        <v>12</v>
      </c>
      <c r="AE535" s="0" t="s">
        <v>96</v>
      </c>
      <c r="AH535" s="0" t="n">
        <v>20</v>
      </c>
      <c r="AJ535" s="0" t="n">
        <v>10</v>
      </c>
      <c r="AP535" s="0" t="n">
        <v>830000</v>
      </c>
      <c r="DB535" s="0" t="str">
        <f aca="false">IF($A535="","",IF($AE535&amp;""&lt;&gt;設定!$C$4,"対象外",IF($AH535=20,IF(OR($AJ535=10,$AJ535=11,$AJ535=18),"①病院一般",IF($AJ535=41,"②病院短期","対象外")),IF($AH535=5,IF($AJ535=30,"③特定消防","対象外"),IF(OR($AJ535=10,$AJ535=11,$AJ535=74),"④一般",IF(OR($AJ535=41,$AJ535=47),"⑤短期","対象外"))))))</f>
        <v>①病院一般</v>
      </c>
    </row>
    <row r="536" customFormat="false" ht="15" hidden="false" customHeight="false" outlineLevel="0" collapsed="false">
      <c r="A536" s="0" t="n">
        <v>21</v>
      </c>
      <c r="AA536" s="0" t="n">
        <v>21</v>
      </c>
      <c r="AB536" s="0" t="s">
        <v>500</v>
      </c>
      <c r="AD536" s="0" t="n">
        <v>11</v>
      </c>
      <c r="AE536" s="0" t="s">
        <v>96</v>
      </c>
      <c r="AH536" s="0" t="n">
        <v>20</v>
      </c>
      <c r="AJ536" s="0" t="n">
        <v>10</v>
      </c>
      <c r="AP536" s="0" t="n">
        <v>240000</v>
      </c>
      <c r="DB536" s="0" t="str">
        <f aca="false">IF($A536="","",IF($AE536&amp;""&lt;&gt;設定!$C$4,"対象外",IF($AH536=20,IF(OR($AJ536=10,$AJ536=11,$AJ536=18),"①病院一般",IF($AJ536=41,"②病院短期","対象外")),IF($AH536=5,IF($AJ536=30,"③特定消防","対象外"),IF(OR($AJ536=10,$AJ536=11,$AJ536=74),"④一般",IF(OR($AJ536=41,$AJ536=47),"⑤短期","対象外"))))))</f>
        <v>①病院一般</v>
      </c>
    </row>
    <row r="537" customFormat="false" ht="15" hidden="false" customHeight="false" outlineLevel="0" collapsed="false">
      <c r="A537" s="0" t="n">
        <v>21</v>
      </c>
      <c r="AA537" s="0" t="n">
        <v>21</v>
      </c>
      <c r="AB537" s="0" t="s">
        <v>501</v>
      </c>
      <c r="AD537" s="0" t="n">
        <v>12</v>
      </c>
      <c r="AE537" s="0" t="s">
        <v>96</v>
      </c>
      <c r="AH537" s="0" t="n">
        <v>20</v>
      </c>
      <c r="AJ537" s="0" t="n">
        <v>10</v>
      </c>
      <c r="AP537" s="0" t="n">
        <v>1210000</v>
      </c>
      <c r="DB537" s="0" t="str">
        <f aca="false">IF($A537="","",IF($AE537&amp;""&lt;&gt;設定!$C$4,"対象外",IF($AH537=20,IF(OR($AJ537=10,$AJ537=11,$AJ537=18),"①病院一般",IF($AJ537=41,"②病院短期","対象外")),IF($AH537=5,IF($AJ537=30,"③特定消防","対象外"),IF(OR($AJ537=10,$AJ537=11,$AJ537=74),"④一般",IF(OR($AJ537=41,$AJ537=47),"⑤短期","対象外"))))))</f>
        <v>①病院一般</v>
      </c>
    </row>
    <row r="538" customFormat="false" ht="15" hidden="false" customHeight="false" outlineLevel="0" collapsed="false">
      <c r="A538" s="0" t="n">
        <v>21</v>
      </c>
      <c r="AA538" s="0" t="n">
        <v>21</v>
      </c>
      <c r="AB538" s="0" t="s">
        <v>502</v>
      </c>
      <c r="AD538" s="0" t="n">
        <v>12</v>
      </c>
      <c r="AE538" s="0" t="s">
        <v>96</v>
      </c>
      <c r="AH538" s="0" t="n">
        <v>20</v>
      </c>
      <c r="AJ538" s="0" t="n">
        <v>10</v>
      </c>
      <c r="AP538" s="0" t="n">
        <v>530000</v>
      </c>
      <c r="DB538" s="0" t="str">
        <f aca="false">IF($A538="","",IF($AE538&amp;""&lt;&gt;設定!$C$4,"対象外",IF($AH538=20,IF(OR($AJ538=10,$AJ538=11,$AJ538=18),"①病院一般",IF($AJ538=41,"②病院短期","対象外")),IF($AH538=5,IF($AJ538=30,"③特定消防","対象外"),IF(OR($AJ538=10,$AJ538=11,$AJ538=74),"④一般",IF(OR($AJ538=41,$AJ538=47),"⑤短期","対象外"))))))</f>
        <v>①病院一般</v>
      </c>
    </row>
    <row r="539" customFormat="false" ht="15" hidden="false" customHeight="false" outlineLevel="0" collapsed="false">
      <c r="A539" s="0" t="n">
        <v>21</v>
      </c>
      <c r="AA539" s="0" t="n">
        <v>21</v>
      </c>
      <c r="AB539" s="0" t="s">
        <v>502</v>
      </c>
      <c r="AD539" s="0" t="n">
        <v>12</v>
      </c>
      <c r="AE539" s="0" t="s">
        <v>96</v>
      </c>
      <c r="AH539" s="0" t="n">
        <v>20</v>
      </c>
      <c r="AJ539" s="0" t="n">
        <v>10</v>
      </c>
      <c r="AP539" s="0" t="n">
        <v>1390000</v>
      </c>
      <c r="DB539" s="0" t="str">
        <f aca="false">IF($A539="","",IF($AE539&amp;""&lt;&gt;設定!$C$4,"対象外",IF($AH539=20,IF(OR($AJ539=10,$AJ539=11,$AJ539=18),"①病院一般",IF($AJ539=41,"②病院短期","対象外")),IF($AH539=5,IF($AJ539=30,"③特定消防","対象外"),IF(OR($AJ539=10,$AJ539=11,$AJ539=74),"④一般",IF(OR($AJ539=41,$AJ539=47),"⑤短期","対象外"))))))</f>
        <v>①病院一般</v>
      </c>
    </row>
    <row r="540" customFormat="false" ht="15" hidden="false" customHeight="false" outlineLevel="0" collapsed="false">
      <c r="A540" s="0" t="n">
        <v>21</v>
      </c>
      <c r="AA540" s="0" t="n">
        <v>21</v>
      </c>
      <c r="AB540" s="0" t="s">
        <v>494</v>
      </c>
      <c r="AD540" s="0" t="n">
        <v>12</v>
      </c>
      <c r="AE540" s="0" t="s">
        <v>96</v>
      </c>
      <c r="AH540" s="0" t="n">
        <v>20</v>
      </c>
      <c r="AJ540" s="0" t="n">
        <v>10</v>
      </c>
      <c r="AP540" s="0" t="n">
        <v>1090000</v>
      </c>
      <c r="DB540" s="0" t="str">
        <f aca="false">IF($A540="","",IF($AE540&amp;""&lt;&gt;設定!$C$4,"対象外",IF($AH540=20,IF(OR($AJ540=10,$AJ540=11,$AJ540=18),"①病院一般",IF($AJ540=41,"②病院短期","対象外")),IF($AH540=5,IF($AJ540=30,"③特定消防","対象外"),IF(OR($AJ540=10,$AJ540=11,$AJ540=74),"④一般",IF(OR($AJ540=41,$AJ540=47),"⑤短期","対象外"))))))</f>
        <v>①病院一般</v>
      </c>
    </row>
    <row r="541" customFormat="false" ht="15" hidden="false" customHeight="false" outlineLevel="0" collapsed="false">
      <c r="A541" s="0" t="n">
        <v>21</v>
      </c>
      <c r="AA541" s="0" t="n">
        <v>21</v>
      </c>
      <c r="AB541" s="0" t="s">
        <v>477</v>
      </c>
      <c r="AD541" s="0" t="n">
        <v>12</v>
      </c>
      <c r="AE541" s="0" t="s">
        <v>96</v>
      </c>
      <c r="AH541" s="0" t="n">
        <v>11</v>
      </c>
      <c r="AJ541" s="0" t="n">
        <v>10</v>
      </c>
      <c r="AP541" s="0" t="n">
        <v>260000</v>
      </c>
      <c r="DB541" s="0" t="str">
        <f aca="false">IF($A541="","",IF($AE541&amp;""&lt;&gt;設定!$C$4,"対象外",IF($AH541=20,IF(OR($AJ541=10,$AJ541=11,$AJ541=18),"①病院一般",IF($AJ541=41,"②病院短期","対象外")),IF($AH541=5,IF($AJ541=30,"③特定消防","対象外"),IF(OR($AJ541=10,$AJ541=11,$AJ541=74),"④一般",IF(OR($AJ541=41,$AJ541=47),"⑤短期","対象外"))))))</f>
        <v>④一般</v>
      </c>
    </row>
    <row r="542" customFormat="false" ht="15" hidden="false" customHeight="false" outlineLevel="0" collapsed="false">
      <c r="A542" s="0" t="n">
        <v>21</v>
      </c>
      <c r="AA542" s="0" t="n">
        <v>21</v>
      </c>
      <c r="AB542" s="0" t="s">
        <v>494</v>
      </c>
      <c r="AD542" s="0" t="n">
        <v>12</v>
      </c>
      <c r="AE542" s="0" t="s">
        <v>96</v>
      </c>
      <c r="AH542" s="0" t="n">
        <v>1</v>
      </c>
      <c r="AJ542" s="0" t="n">
        <v>10</v>
      </c>
      <c r="AP542" s="0" t="n">
        <v>380000</v>
      </c>
      <c r="DB542" s="0" t="str">
        <f aca="false">IF($A542="","",IF($AE542&amp;""&lt;&gt;設定!$C$4,"対象外",IF($AH542=20,IF(OR($AJ542=10,$AJ542=11,$AJ542=18),"①病院一般",IF($AJ542=41,"②病院短期","対象外")),IF($AH542=5,IF($AJ542=30,"③特定消防","対象外"),IF(OR($AJ542=10,$AJ542=11,$AJ542=74),"④一般",IF(OR($AJ542=41,$AJ542=47),"⑤短期","対象外"))))))</f>
        <v>④一般</v>
      </c>
    </row>
    <row r="543" customFormat="false" ht="15" hidden="false" customHeight="false" outlineLevel="0" collapsed="false">
      <c r="A543" s="0" t="n">
        <v>21</v>
      </c>
      <c r="AA543" s="0" t="n">
        <v>21</v>
      </c>
      <c r="AB543" s="0" t="s">
        <v>494</v>
      </c>
      <c r="AD543" s="0" t="n">
        <v>12</v>
      </c>
      <c r="AE543" s="0" t="s">
        <v>96</v>
      </c>
      <c r="AH543" s="0" t="n">
        <v>1</v>
      </c>
      <c r="AJ543" s="0" t="n">
        <v>10</v>
      </c>
      <c r="AP543" s="0" t="n">
        <v>280000</v>
      </c>
      <c r="DB543" s="0" t="str">
        <f aca="false">IF($A543="","",IF($AE543&amp;""&lt;&gt;設定!$C$4,"対象外",IF($AH543=20,IF(OR($AJ543=10,$AJ543=11,$AJ543=18),"①病院一般",IF($AJ543=41,"②病院短期","対象外")),IF($AH543=5,IF($AJ543=30,"③特定消防","対象外"),IF(OR($AJ543=10,$AJ543=11,$AJ543=74),"④一般",IF(OR($AJ543=41,$AJ543=47),"⑤短期","対象外"))))))</f>
        <v>④一般</v>
      </c>
    </row>
    <row r="544" customFormat="false" ht="15" hidden="false" customHeight="false" outlineLevel="0" collapsed="false">
      <c r="A544" s="0" t="n">
        <v>21</v>
      </c>
      <c r="AA544" s="0" t="n">
        <v>21</v>
      </c>
      <c r="AB544" s="0" t="s">
        <v>494</v>
      </c>
      <c r="AD544" s="0" t="n">
        <v>12</v>
      </c>
      <c r="AE544" s="0" t="s">
        <v>96</v>
      </c>
      <c r="AH544" s="0" t="n">
        <v>1</v>
      </c>
      <c r="AJ544" s="0" t="n">
        <v>10</v>
      </c>
      <c r="AP544" s="0" t="n">
        <v>280000</v>
      </c>
      <c r="DB544" s="0" t="str">
        <f aca="false">IF($A544="","",IF($AE544&amp;""&lt;&gt;設定!$C$4,"対象外",IF($AH544=20,IF(OR($AJ544=10,$AJ544=11,$AJ544=18),"①病院一般",IF($AJ544=41,"②病院短期","対象外")),IF($AH544=5,IF($AJ544=30,"③特定消防","対象外"),IF(OR($AJ544=10,$AJ544=11,$AJ544=74),"④一般",IF(OR($AJ544=41,$AJ544=47),"⑤短期","対象外"))))))</f>
        <v>④一般</v>
      </c>
    </row>
    <row r="545" customFormat="false" ht="15" hidden="false" customHeight="false" outlineLevel="0" collapsed="false">
      <c r="A545" s="0" t="n">
        <v>21</v>
      </c>
      <c r="AA545" s="0" t="n">
        <v>21</v>
      </c>
      <c r="AB545" s="0" t="s">
        <v>494</v>
      </c>
      <c r="AD545" s="0" t="n">
        <v>12</v>
      </c>
      <c r="AE545" s="0" t="s">
        <v>96</v>
      </c>
      <c r="AH545" s="0" t="n">
        <v>1</v>
      </c>
      <c r="AJ545" s="0" t="n">
        <v>10</v>
      </c>
      <c r="AP545" s="0" t="n">
        <v>240000</v>
      </c>
      <c r="DB545" s="0" t="str">
        <f aca="false">IF($A545="","",IF($AE545&amp;""&lt;&gt;設定!$C$4,"対象外",IF($AH545=20,IF(OR($AJ545=10,$AJ545=11,$AJ545=18),"①病院一般",IF($AJ545=41,"②病院短期","対象外")),IF($AH545=5,IF($AJ545=30,"③特定消防","対象外"),IF(OR($AJ545=10,$AJ545=11,$AJ545=74),"④一般",IF(OR($AJ545=41,$AJ545=47),"⑤短期","対象外"))))))</f>
        <v>④一般</v>
      </c>
    </row>
    <row r="546" customFormat="false" ht="15" hidden="false" customHeight="false" outlineLevel="0" collapsed="false">
      <c r="A546" s="0" t="n">
        <v>21</v>
      </c>
      <c r="AA546" s="0" t="n">
        <v>21</v>
      </c>
      <c r="AB546" s="0" t="s">
        <v>494</v>
      </c>
      <c r="AD546" s="0" t="n">
        <v>12</v>
      </c>
      <c r="AE546" s="0" t="s">
        <v>96</v>
      </c>
      <c r="AH546" s="0" t="n">
        <v>1</v>
      </c>
      <c r="AJ546" s="0" t="n">
        <v>10</v>
      </c>
      <c r="AP546" s="0" t="n">
        <v>260000</v>
      </c>
      <c r="DB546" s="0" t="str">
        <f aca="false">IF($A546="","",IF($AE546&amp;""&lt;&gt;設定!$C$4,"対象外",IF($AH546=20,IF(OR($AJ546=10,$AJ546=11,$AJ546=18),"①病院一般",IF($AJ546=41,"②病院短期","対象外")),IF($AH546=5,IF($AJ546=30,"③特定消防","対象外"),IF(OR($AJ546=10,$AJ546=11,$AJ546=74),"④一般",IF(OR($AJ546=41,$AJ546=47),"⑤短期","対象外"))))))</f>
        <v>④一般</v>
      </c>
    </row>
    <row r="547" customFormat="false" ht="15" hidden="false" customHeight="false" outlineLevel="0" collapsed="false">
      <c r="A547" s="0" t="n">
        <v>21</v>
      </c>
      <c r="AA547" s="0" t="n">
        <v>21</v>
      </c>
      <c r="AB547" s="0" t="s">
        <v>494</v>
      </c>
      <c r="AD547" s="0" t="n">
        <v>12</v>
      </c>
      <c r="AE547" s="0" t="s">
        <v>96</v>
      </c>
      <c r="AH547" s="0" t="n">
        <v>1</v>
      </c>
      <c r="AJ547" s="0" t="n">
        <v>10</v>
      </c>
      <c r="AP547" s="0" t="n">
        <v>220000</v>
      </c>
      <c r="DB547" s="0" t="str">
        <f aca="false">IF($A547="","",IF($AE547&amp;""&lt;&gt;設定!$C$4,"対象外",IF($AH547=20,IF(OR($AJ547=10,$AJ547=11,$AJ547=18),"①病院一般",IF($AJ547=41,"②病院短期","対象外")),IF($AH547=5,IF($AJ547=30,"③特定消防","対象外"),IF(OR($AJ547=10,$AJ547=11,$AJ547=74),"④一般",IF(OR($AJ547=41,$AJ547=47),"⑤短期","対象外"))))))</f>
        <v>④一般</v>
      </c>
    </row>
    <row r="548" customFormat="false" ht="15" hidden="false" customHeight="false" outlineLevel="0" collapsed="false">
      <c r="A548" s="0" t="n">
        <v>21</v>
      </c>
      <c r="AA548" s="0" t="n">
        <v>21</v>
      </c>
      <c r="AB548" s="0" t="s">
        <v>494</v>
      </c>
      <c r="AD548" s="0" t="n">
        <v>12</v>
      </c>
      <c r="AE548" s="0" t="s">
        <v>303</v>
      </c>
      <c r="AH548" s="0" t="n">
        <v>20</v>
      </c>
      <c r="AJ548" s="0" t="n">
        <v>10</v>
      </c>
      <c r="AP548" s="0" t="n">
        <v>410000</v>
      </c>
      <c r="DB548" s="0" t="str">
        <f aca="false">IF($A548="","",IF($AE548&amp;""&lt;&gt;設定!$C$4,"対象外",IF($AH548=20,IF(OR($AJ548=10,$AJ548=11,$AJ548=18),"①病院一般",IF($AJ548=41,"②病院短期","対象外")),IF($AH548=5,IF($AJ548=30,"③特定消防","対象外"),IF(OR($AJ548=10,$AJ548=11,$AJ548=74),"④一般",IF(OR($AJ548=41,$AJ548=47),"⑤短期","対象外"))))))</f>
        <v>対象外</v>
      </c>
    </row>
    <row r="549" customFormat="false" ht="15" hidden="false" customHeight="false" outlineLevel="0" collapsed="false">
      <c r="A549" s="0" t="n">
        <v>21</v>
      </c>
      <c r="AA549" s="0" t="n">
        <v>21</v>
      </c>
      <c r="AB549" s="0" t="s">
        <v>494</v>
      </c>
      <c r="AD549" s="0" t="n">
        <v>12</v>
      </c>
      <c r="AE549" s="0" t="s">
        <v>96</v>
      </c>
      <c r="AH549" s="0" t="n">
        <v>20</v>
      </c>
      <c r="AJ549" s="0" t="n">
        <v>10</v>
      </c>
      <c r="AP549" s="0" t="n">
        <v>360000</v>
      </c>
      <c r="DB549" s="0" t="str">
        <f aca="false">IF($A549="","",IF($AE549&amp;""&lt;&gt;設定!$C$4,"対象外",IF($AH549=20,IF(OR($AJ549=10,$AJ549=11,$AJ549=18),"①病院一般",IF($AJ549=41,"②病院短期","対象外")),IF($AH549=5,IF($AJ549=30,"③特定消防","対象外"),IF(OR($AJ549=10,$AJ549=11,$AJ549=74),"④一般",IF(OR($AJ549=41,$AJ549=47),"⑤短期","対象外"))))))</f>
        <v>①病院一般</v>
      </c>
    </row>
    <row r="550" customFormat="false" ht="15" hidden="false" customHeight="false" outlineLevel="0" collapsed="false">
      <c r="A550" s="0" t="n">
        <v>21</v>
      </c>
      <c r="AA550" s="0" t="n">
        <v>21</v>
      </c>
      <c r="AB550" s="0" t="s">
        <v>494</v>
      </c>
      <c r="AD550" s="0" t="n">
        <v>12</v>
      </c>
      <c r="AE550" s="0" t="s">
        <v>96</v>
      </c>
      <c r="AH550" s="0" t="n">
        <v>20</v>
      </c>
      <c r="AJ550" s="0" t="n">
        <v>10</v>
      </c>
      <c r="AP550" s="0" t="n">
        <v>280000</v>
      </c>
      <c r="DB550" s="0" t="str">
        <f aca="false">IF($A550="","",IF($AE550&amp;""&lt;&gt;設定!$C$4,"対象外",IF($AH550=20,IF(OR($AJ550=10,$AJ550=11,$AJ550=18),"①病院一般",IF($AJ550=41,"②病院短期","対象外")),IF($AH550=5,IF($AJ550=30,"③特定消防","対象外"),IF(OR($AJ550=10,$AJ550=11,$AJ550=74),"④一般",IF(OR($AJ550=41,$AJ550=47),"⑤短期","対象外"))))))</f>
        <v>①病院一般</v>
      </c>
    </row>
    <row r="551" customFormat="false" ht="15" hidden="false" customHeight="false" outlineLevel="0" collapsed="false">
      <c r="A551" s="0" t="n">
        <v>21</v>
      </c>
      <c r="AA551" s="0" t="n">
        <v>21</v>
      </c>
      <c r="AB551" s="0" t="s">
        <v>494</v>
      </c>
      <c r="AD551" s="0" t="n">
        <v>12</v>
      </c>
      <c r="AE551" s="0" t="s">
        <v>96</v>
      </c>
      <c r="AH551" s="0" t="n">
        <v>20</v>
      </c>
      <c r="AJ551" s="0" t="n">
        <v>10</v>
      </c>
      <c r="AP551" s="0" t="n">
        <v>300000</v>
      </c>
      <c r="DB551" s="0" t="str">
        <f aca="false">IF($A551="","",IF($AE551&amp;""&lt;&gt;設定!$C$4,"対象外",IF($AH551=20,IF(OR($AJ551=10,$AJ551=11,$AJ551=18),"①病院一般",IF($AJ551=41,"②病院短期","対象外")),IF($AH551=5,IF($AJ551=30,"③特定消防","対象外"),IF(OR($AJ551=10,$AJ551=11,$AJ551=74),"④一般",IF(OR($AJ551=41,$AJ551=47),"⑤短期","対象外"))))))</f>
        <v>①病院一般</v>
      </c>
    </row>
    <row r="552" customFormat="false" ht="15" hidden="false" customHeight="false" outlineLevel="0" collapsed="false">
      <c r="A552" s="0" t="n">
        <v>21</v>
      </c>
      <c r="AA552" s="0" t="n">
        <v>21</v>
      </c>
      <c r="AB552" s="0" t="s">
        <v>494</v>
      </c>
      <c r="AD552" s="0" t="n">
        <v>12</v>
      </c>
      <c r="AE552" s="0" t="s">
        <v>96</v>
      </c>
      <c r="AH552" s="0" t="n">
        <v>20</v>
      </c>
      <c r="AJ552" s="0" t="n">
        <v>10</v>
      </c>
      <c r="AP552" s="0" t="n">
        <v>380000</v>
      </c>
      <c r="DB552" s="0" t="str">
        <f aca="false">IF($A552="","",IF($AE552&amp;""&lt;&gt;設定!$C$4,"対象外",IF($AH552=20,IF(OR($AJ552=10,$AJ552=11,$AJ552=18),"①病院一般",IF($AJ552=41,"②病院短期","対象外")),IF($AH552=5,IF($AJ552=30,"③特定消防","対象外"),IF(OR($AJ552=10,$AJ552=11,$AJ552=74),"④一般",IF(OR($AJ552=41,$AJ552=47),"⑤短期","対象外"))))))</f>
        <v>①病院一般</v>
      </c>
    </row>
    <row r="553" customFormat="false" ht="15" hidden="false" customHeight="false" outlineLevel="0" collapsed="false">
      <c r="A553" s="0" t="n">
        <v>21</v>
      </c>
      <c r="AA553" s="0" t="n">
        <v>21</v>
      </c>
      <c r="AB553" s="0" t="s">
        <v>494</v>
      </c>
      <c r="AD553" s="0" t="n">
        <v>12</v>
      </c>
      <c r="AE553" s="0" t="s">
        <v>298</v>
      </c>
      <c r="AH553" s="0" t="n">
        <v>20</v>
      </c>
      <c r="AJ553" s="0" t="n">
        <v>10</v>
      </c>
      <c r="AP553" s="0" t="n">
        <v>360000</v>
      </c>
      <c r="DB553" s="0" t="str">
        <f aca="false">IF($A553="","",IF($AE553&amp;""&lt;&gt;設定!$C$4,"対象外",IF($AH553=20,IF(OR($AJ553=10,$AJ553=11,$AJ553=18),"①病院一般",IF($AJ553=41,"②病院短期","対象外")),IF($AH553=5,IF($AJ553=30,"③特定消防","対象外"),IF(OR($AJ553=10,$AJ553=11,$AJ553=74),"④一般",IF(OR($AJ553=41,$AJ553=47),"⑤短期","対象外"))))))</f>
        <v>対象外</v>
      </c>
    </row>
    <row r="554" customFormat="false" ht="15" hidden="false" customHeight="false" outlineLevel="0" collapsed="false">
      <c r="A554" s="0" t="n">
        <v>21</v>
      </c>
      <c r="AA554" s="0" t="n">
        <v>21</v>
      </c>
      <c r="AB554" s="0" t="s">
        <v>494</v>
      </c>
      <c r="AD554" s="0" t="n">
        <v>12</v>
      </c>
      <c r="AE554" s="0" t="s">
        <v>96</v>
      </c>
      <c r="AH554" s="0" t="n">
        <v>20</v>
      </c>
      <c r="AJ554" s="0" t="n">
        <v>10</v>
      </c>
      <c r="AP554" s="0" t="n">
        <v>300000</v>
      </c>
      <c r="DB554" s="0" t="str">
        <f aca="false">IF($A554="","",IF($AE554&amp;""&lt;&gt;設定!$C$4,"対象外",IF($AH554=20,IF(OR($AJ554=10,$AJ554=11,$AJ554=18),"①病院一般",IF($AJ554=41,"②病院短期","対象外")),IF($AH554=5,IF($AJ554=30,"③特定消防","対象外"),IF(OR($AJ554=10,$AJ554=11,$AJ554=74),"④一般",IF(OR($AJ554=41,$AJ554=47),"⑤短期","対象外"))))))</f>
        <v>①病院一般</v>
      </c>
    </row>
    <row r="555" customFormat="false" ht="15" hidden="false" customHeight="false" outlineLevel="0" collapsed="false">
      <c r="A555" s="0" t="n">
        <v>21</v>
      </c>
      <c r="AA555" s="0" t="n">
        <v>21</v>
      </c>
      <c r="AB555" s="0" t="s">
        <v>494</v>
      </c>
      <c r="AD555" s="0" t="n">
        <v>12</v>
      </c>
      <c r="AE555" s="0" t="s">
        <v>296</v>
      </c>
      <c r="AH555" s="0" t="n">
        <v>20</v>
      </c>
      <c r="AJ555" s="0" t="n">
        <v>10</v>
      </c>
      <c r="AP555" s="0" t="n">
        <v>360000</v>
      </c>
      <c r="DB555" s="0" t="str">
        <f aca="false">IF($A555="","",IF($AE555&amp;""&lt;&gt;設定!$C$4,"対象外",IF($AH555=20,IF(OR($AJ555=10,$AJ555=11,$AJ555=18),"①病院一般",IF($AJ555=41,"②病院短期","対象外")),IF($AH555=5,IF($AJ555=30,"③特定消防","対象外"),IF(OR($AJ555=10,$AJ555=11,$AJ555=74),"④一般",IF(OR($AJ555=41,$AJ555=47),"⑤短期","対象外"))))))</f>
        <v>対象外</v>
      </c>
    </row>
    <row r="556" customFormat="false" ht="15" hidden="false" customHeight="false" outlineLevel="0" collapsed="false">
      <c r="A556" s="0" t="n">
        <v>21</v>
      </c>
      <c r="AA556" s="0" t="n">
        <v>21</v>
      </c>
      <c r="AB556" s="0" t="s">
        <v>494</v>
      </c>
      <c r="AD556" s="0" t="n">
        <v>12</v>
      </c>
      <c r="AE556" s="0" t="s">
        <v>96</v>
      </c>
      <c r="AH556" s="0" t="n">
        <v>20</v>
      </c>
      <c r="AJ556" s="0" t="n">
        <v>10</v>
      </c>
      <c r="AP556" s="0" t="n">
        <v>300000</v>
      </c>
      <c r="DB556" s="0" t="str">
        <f aca="false">IF($A556="","",IF($AE556&amp;""&lt;&gt;設定!$C$4,"対象外",IF($AH556=20,IF(OR($AJ556=10,$AJ556=11,$AJ556=18),"①病院一般",IF($AJ556=41,"②病院短期","対象外")),IF($AH556=5,IF($AJ556=30,"③特定消防","対象外"),IF(OR($AJ556=10,$AJ556=11,$AJ556=74),"④一般",IF(OR($AJ556=41,$AJ556=47),"⑤短期","対象外"))))))</f>
        <v>①病院一般</v>
      </c>
    </row>
    <row r="557" customFormat="false" ht="15" hidden="false" customHeight="false" outlineLevel="0" collapsed="false">
      <c r="A557" s="0" t="n">
        <v>21</v>
      </c>
      <c r="AA557" s="0" t="n">
        <v>21</v>
      </c>
      <c r="AB557" s="0" t="s">
        <v>494</v>
      </c>
      <c r="AD557" s="0" t="n">
        <v>12</v>
      </c>
      <c r="AE557" s="0" t="s">
        <v>96</v>
      </c>
      <c r="AH557" s="0" t="n">
        <v>20</v>
      </c>
      <c r="AJ557" s="0" t="n">
        <v>10</v>
      </c>
      <c r="AP557" s="0" t="n">
        <v>830000</v>
      </c>
      <c r="DB557" s="0" t="str">
        <f aca="false">IF($A557="","",IF($AE557&amp;""&lt;&gt;設定!$C$4,"対象外",IF($AH557=20,IF(OR($AJ557=10,$AJ557=11,$AJ557=18),"①病院一般",IF($AJ557=41,"②病院短期","対象外")),IF($AH557=5,IF($AJ557=30,"③特定消防","対象外"),IF(OR($AJ557=10,$AJ557=11,$AJ557=74),"④一般",IF(OR($AJ557=41,$AJ557=47),"⑤短期","対象外"))))))</f>
        <v>①病院一般</v>
      </c>
    </row>
    <row r="558" customFormat="false" ht="15" hidden="false" customHeight="false" outlineLevel="0" collapsed="false">
      <c r="A558" s="0" t="n">
        <v>21</v>
      </c>
      <c r="AA558" s="0" t="n">
        <v>21</v>
      </c>
      <c r="AB558" s="0" t="s">
        <v>494</v>
      </c>
      <c r="AD558" s="0" t="n">
        <v>12</v>
      </c>
      <c r="AE558" s="0" t="s">
        <v>96</v>
      </c>
      <c r="AH558" s="0" t="n">
        <v>20</v>
      </c>
      <c r="AJ558" s="0" t="n">
        <v>10</v>
      </c>
      <c r="AP558" s="0" t="n">
        <v>830000</v>
      </c>
      <c r="DB558" s="0" t="str">
        <f aca="false">IF($A558="","",IF($AE558&amp;""&lt;&gt;設定!$C$4,"対象外",IF($AH558=20,IF(OR($AJ558=10,$AJ558=11,$AJ558=18),"①病院一般",IF($AJ558=41,"②病院短期","対象外")),IF($AH558=5,IF($AJ558=30,"③特定消防","対象外"),IF(OR($AJ558=10,$AJ558=11,$AJ558=74),"④一般",IF(OR($AJ558=41,$AJ558=47),"⑤短期","対象外"))))))</f>
        <v>①病院一般</v>
      </c>
    </row>
    <row r="559" customFormat="false" ht="15" hidden="false" customHeight="false" outlineLevel="0" collapsed="false">
      <c r="A559" s="0" t="n">
        <v>21</v>
      </c>
      <c r="AA559" s="0" t="n">
        <v>21</v>
      </c>
      <c r="AB559" s="0" t="s">
        <v>494</v>
      </c>
      <c r="AD559" s="0" t="n">
        <v>12</v>
      </c>
      <c r="AE559" s="0" t="s">
        <v>96</v>
      </c>
      <c r="AH559" s="0" t="n">
        <v>20</v>
      </c>
      <c r="AJ559" s="0" t="n">
        <v>10</v>
      </c>
      <c r="AP559" s="0" t="n">
        <v>1330000</v>
      </c>
      <c r="DB559" s="0" t="str">
        <f aca="false">IF($A559="","",IF($AE559&amp;""&lt;&gt;設定!$C$4,"対象外",IF($AH559=20,IF(OR($AJ559=10,$AJ559=11,$AJ559=18),"①病院一般",IF($AJ559=41,"②病院短期","対象外")),IF($AH559=5,IF($AJ559=30,"③特定消防","対象外"),IF(OR($AJ559=10,$AJ559=11,$AJ559=74),"④一般",IF(OR($AJ559=41,$AJ559=47),"⑤短期","対象外"))))))</f>
        <v>①病院一般</v>
      </c>
    </row>
    <row r="560" customFormat="false" ht="15" hidden="false" customHeight="false" outlineLevel="0" collapsed="false">
      <c r="A560" s="0" t="n">
        <v>21</v>
      </c>
      <c r="AA560" s="0" t="n">
        <v>21</v>
      </c>
      <c r="AB560" s="0" t="s">
        <v>494</v>
      </c>
      <c r="AD560" s="0" t="n">
        <v>12</v>
      </c>
      <c r="AE560" s="0" t="s">
        <v>96</v>
      </c>
      <c r="AH560" s="0" t="n">
        <v>20</v>
      </c>
      <c r="AJ560" s="0" t="n">
        <v>10</v>
      </c>
      <c r="AP560" s="0" t="n">
        <v>1330000</v>
      </c>
      <c r="DB560" s="0" t="str">
        <f aca="false">IF($A560="","",IF($AE560&amp;""&lt;&gt;設定!$C$4,"対象外",IF($AH560=20,IF(OR($AJ560=10,$AJ560=11,$AJ560=18),"①病院一般",IF($AJ560=41,"②病院短期","対象外")),IF($AH560=5,IF($AJ560=30,"③特定消防","対象外"),IF(OR($AJ560=10,$AJ560=11,$AJ560=74),"④一般",IF(OR($AJ560=41,$AJ560=47),"⑤短期","対象外"))))))</f>
        <v>①病院一般</v>
      </c>
    </row>
    <row r="561" customFormat="false" ht="15" hidden="false" customHeight="false" outlineLevel="0" collapsed="false">
      <c r="A561" s="0" t="n">
        <v>21</v>
      </c>
      <c r="AA561" s="0" t="n">
        <v>21</v>
      </c>
      <c r="AB561" s="0" t="s">
        <v>96</v>
      </c>
      <c r="AD561" s="0" t="n">
        <v>12</v>
      </c>
      <c r="AE561" s="0" t="s">
        <v>297</v>
      </c>
      <c r="AH561" s="0" t="n">
        <v>20</v>
      </c>
      <c r="AJ561" s="0" t="n">
        <v>10</v>
      </c>
      <c r="AP561" s="0" t="n">
        <v>1090000</v>
      </c>
      <c r="DB561" s="0" t="str">
        <f aca="false">IF($A561="","",IF($AE561&amp;""&lt;&gt;設定!$C$4,"対象外",IF($AH561=20,IF(OR($AJ561=10,$AJ561=11,$AJ561=18),"①病院一般",IF($AJ561=41,"②病院短期","対象外")),IF($AH561=5,IF($AJ561=30,"③特定消防","対象外"),IF(OR($AJ561=10,$AJ561=11,$AJ561=74),"④一般",IF(OR($AJ561=41,$AJ561=47),"⑤短期","対象外"))))))</f>
        <v>対象外</v>
      </c>
    </row>
    <row r="562" customFormat="false" ht="15" hidden="false" customHeight="false" outlineLevel="0" collapsed="false">
      <c r="A562" s="0" t="n">
        <v>21</v>
      </c>
      <c r="AA562" s="0" t="n">
        <v>21</v>
      </c>
      <c r="AB562" s="0" t="s">
        <v>494</v>
      </c>
      <c r="AD562" s="0" t="n">
        <v>12</v>
      </c>
      <c r="AE562" s="0" t="s">
        <v>96</v>
      </c>
      <c r="AH562" s="0" t="n">
        <v>20</v>
      </c>
      <c r="AJ562" s="0" t="n">
        <v>10</v>
      </c>
      <c r="AP562" s="0" t="n">
        <v>1030000</v>
      </c>
      <c r="DB562" s="0" t="str">
        <f aca="false">IF($A562="","",IF($AE562&amp;""&lt;&gt;設定!$C$4,"対象外",IF($AH562=20,IF(OR($AJ562=10,$AJ562=11,$AJ562=18),"①病院一般",IF($AJ562=41,"②病院短期","対象外")),IF($AH562=5,IF($AJ562=30,"③特定消防","対象外"),IF(OR($AJ562=10,$AJ562=11,$AJ562=74),"④一般",IF(OR($AJ562=41,$AJ562=47),"⑤短期","対象外"))))))</f>
        <v>①病院一般</v>
      </c>
    </row>
    <row r="563" customFormat="false" ht="15" hidden="false" customHeight="false" outlineLevel="0" collapsed="false">
      <c r="A563" s="0" t="n">
        <v>21</v>
      </c>
      <c r="AA563" s="0" t="n">
        <v>21</v>
      </c>
      <c r="AB563" s="0" t="s">
        <v>494</v>
      </c>
      <c r="AD563" s="0" t="n">
        <v>12</v>
      </c>
      <c r="AE563" s="0" t="s">
        <v>96</v>
      </c>
      <c r="AH563" s="0" t="n">
        <v>20</v>
      </c>
      <c r="AJ563" s="0" t="n">
        <v>10</v>
      </c>
      <c r="AP563" s="0" t="n">
        <v>1390000</v>
      </c>
      <c r="DB563" s="0" t="str">
        <f aca="false">IF($A563="","",IF($AE563&amp;""&lt;&gt;設定!$C$4,"対象外",IF($AH563=20,IF(OR($AJ563=10,$AJ563=11,$AJ563=18),"①病院一般",IF($AJ563=41,"②病院短期","対象外")),IF($AH563=5,IF($AJ563=30,"③特定消防","対象外"),IF(OR($AJ563=10,$AJ563=11,$AJ563=74),"④一般",IF(OR($AJ563=41,$AJ563=47),"⑤短期","対象外"))))))</f>
        <v>①病院一般</v>
      </c>
    </row>
    <row r="564" customFormat="false" ht="15" hidden="false" customHeight="false" outlineLevel="0" collapsed="false">
      <c r="A564" s="0" t="n">
        <v>21</v>
      </c>
      <c r="AA564" s="0" t="n">
        <v>21</v>
      </c>
      <c r="AB564" s="0" t="s">
        <v>494</v>
      </c>
      <c r="AD564" s="0" t="n">
        <v>12</v>
      </c>
      <c r="AE564" s="0" t="s">
        <v>96</v>
      </c>
      <c r="AH564" s="0" t="n">
        <v>20</v>
      </c>
      <c r="AJ564" s="0" t="n">
        <v>10</v>
      </c>
      <c r="AP564" s="0" t="n">
        <v>1330000</v>
      </c>
      <c r="DB564" s="0" t="str">
        <f aca="false">IF($A564="","",IF($AE564&amp;""&lt;&gt;設定!$C$4,"対象外",IF($AH564=20,IF(OR($AJ564=10,$AJ564=11,$AJ564=18),"①病院一般",IF($AJ564=41,"②病院短期","対象外")),IF($AH564=5,IF($AJ564=30,"③特定消防","対象外"),IF(OR($AJ564=10,$AJ564=11,$AJ564=74),"④一般",IF(OR($AJ564=41,$AJ564=47),"⑤短期","対象外"))))))</f>
        <v>①病院一般</v>
      </c>
    </row>
    <row r="565" customFormat="false" ht="15" hidden="false" customHeight="false" outlineLevel="0" collapsed="false">
      <c r="A565" s="0" t="n">
        <v>21</v>
      </c>
      <c r="AA565" s="0" t="n">
        <v>21</v>
      </c>
      <c r="AB565" s="0" t="s">
        <v>494</v>
      </c>
      <c r="AD565" s="0" t="n">
        <v>12</v>
      </c>
      <c r="AE565" s="0" t="s">
        <v>96</v>
      </c>
      <c r="AH565" s="0" t="n">
        <v>20</v>
      </c>
      <c r="AJ565" s="0" t="n">
        <v>10</v>
      </c>
      <c r="AP565" s="0" t="n">
        <v>1330000</v>
      </c>
      <c r="DB565" s="0" t="str">
        <f aca="false">IF($A565="","",IF($AE565&amp;""&lt;&gt;設定!$C$4,"対象外",IF($AH565=20,IF(OR($AJ565=10,$AJ565=11,$AJ565=18),"①病院一般",IF($AJ565=41,"②病院短期","対象外")),IF($AH565=5,IF($AJ565=30,"③特定消防","対象外"),IF(OR($AJ565=10,$AJ565=11,$AJ565=74),"④一般",IF(OR($AJ565=41,$AJ565=47),"⑤短期","対象外"))))))</f>
        <v>①病院一般</v>
      </c>
    </row>
    <row r="566" customFormat="false" ht="15" hidden="false" customHeight="false" outlineLevel="0" collapsed="false">
      <c r="A566" s="0" t="n">
        <v>21</v>
      </c>
      <c r="AA566" s="0" t="n">
        <v>21</v>
      </c>
      <c r="AB566" s="0" t="s">
        <v>494</v>
      </c>
      <c r="AD566" s="0" t="n">
        <v>12</v>
      </c>
      <c r="AE566" s="0" t="s">
        <v>96</v>
      </c>
      <c r="AH566" s="0" t="n">
        <v>20</v>
      </c>
      <c r="AJ566" s="0" t="n">
        <v>10</v>
      </c>
      <c r="AP566" s="0" t="n">
        <v>1090000</v>
      </c>
      <c r="DB566" s="0" t="str">
        <f aca="false">IF($A566="","",IF($AE566&amp;""&lt;&gt;設定!$C$4,"対象外",IF($AH566=20,IF(OR($AJ566=10,$AJ566=11,$AJ566=18),"①病院一般",IF($AJ566=41,"②病院短期","対象外")),IF($AH566=5,IF($AJ566=30,"③特定消防","対象外"),IF(OR($AJ566=10,$AJ566=11,$AJ566=74),"④一般",IF(OR($AJ566=41,$AJ566=47),"⑤短期","対象外"))))))</f>
        <v>①病院一般</v>
      </c>
    </row>
    <row r="567" customFormat="false" ht="15" hidden="false" customHeight="false" outlineLevel="0" collapsed="false">
      <c r="A567" s="0" t="n">
        <v>21</v>
      </c>
      <c r="AA567" s="0" t="n">
        <v>21</v>
      </c>
      <c r="AB567" s="0" t="s">
        <v>503</v>
      </c>
      <c r="AD567" s="0" t="n">
        <v>12</v>
      </c>
      <c r="AE567" s="0" t="s">
        <v>96</v>
      </c>
      <c r="AH567" s="0" t="n">
        <v>20</v>
      </c>
      <c r="AJ567" s="0" t="n">
        <v>10</v>
      </c>
      <c r="AP567" s="0" t="n">
        <v>1210000</v>
      </c>
      <c r="DB567" s="0" t="str">
        <f aca="false">IF($A567="","",IF($AE567&amp;""&lt;&gt;設定!$C$4,"対象外",IF($AH567=20,IF(OR($AJ567=10,$AJ567=11,$AJ567=18),"①病院一般",IF($AJ567=41,"②病院短期","対象外")),IF($AH567=5,IF($AJ567=30,"③特定消防","対象外"),IF(OR($AJ567=10,$AJ567=11,$AJ567=74),"④一般",IF(OR($AJ567=41,$AJ567=47),"⑤短期","対象外"))))))</f>
        <v>①病院一般</v>
      </c>
    </row>
    <row r="568" customFormat="false" ht="15" hidden="false" customHeight="false" outlineLevel="0" collapsed="false">
      <c r="A568" s="0" t="n">
        <v>21</v>
      </c>
      <c r="AA568" s="0" t="n">
        <v>21</v>
      </c>
      <c r="AB568" s="0" t="s">
        <v>494</v>
      </c>
      <c r="AD568" s="0" t="n">
        <v>12</v>
      </c>
      <c r="AE568" s="0" t="s">
        <v>96</v>
      </c>
      <c r="AH568" s="0" t="n">
        <v>20</v>
      </c>
      <c r="AJ568" s="0" t="n">
        <v>10</v>
      </c>
      <c r="AP568" s="0" t="n">
        <v>220000</v>
      </c>
      <c r="DB568" s="0" t="str">
        <f aca="false">IF($A568="","",IF($AE568&amp;""&lt;&gt;設定!$C$4,"対象外",IF($AH568=20,IF(OR($AJ568=10,$AJ568=11,$AJ568=18),"①病院一般",IF($AJ568=41,"②病院短期","対象外")),IF($AH568=5,IF($AJ568=30,"③特定消防","対象外"),IF(OR($AJ568=10,$AJ568=11,$AJ568=74),"④一般",IF(OR($AJ568=41,$AJ568=47),"⑤短期","対象外"))))))</f>
        <v>①病院一般</v>
      </c>
    </row>
    <row r="569" customFormat="false" ht="15" hidden="false" customHeight="false" outlineLevel="0" collapsed="false">
      <c r="A569" s="0" t="n">
        <v>21</v>
      </c>
      <c r="AA569" s="0" t="n">
        <v>21</v>
      </c>
      <c r="AB569" s="0" t="s">
        <v>504</v>
      </c>
      <c r="AD569" s="0" t="n">
        <v>12</v>
      </c>
      <c r="AE569" s="0" t="s">
        <v>301</v>
      </c>
      <c r="AH569" s="0" t="n">
        <v>20</v>
      </c>
      <c r="AJ569" s="0" t="n">
        <v>10</v>
      </c>
      <c r="AP569" s="0" t="n">
        <v>1390000</v>
      </c>
      <c r="DB569" s="0" t="str">
        <f aca="false">IF($A569="","",IF($AE569&amp;""&lt;&gt;設定!$C$4,"対象外",IF($AH569=20,IF(OR($AJ569=10,$AJ569=11,$AJ569=18),"①病院一般",IF($AJ569=41,"②病院短期","対象外")),IF($AH569=5,IF($AJ569=30,"③特定消防","対象外"),IF(OR($AJ569=10,$AJ569=11,$AJ569=74),"④一般",IF(OR($AJ569=41,$AJ569=47),"⑤短期","対象外"))))))</f>
        <v>対象外</v>
      </c>
    </row>
    <row r="570" customFormat="false" ht="15" hidden="false" customHeight="false" outlineLevel="0" collapsed="false">
      <c r="A570" s="0" t="n">
        <v>21</v>
      </c>
      <c r="AA570" s="0" t="n">
        <v>21</v>
      </c>
      <c r="AB570" s="0" t="s">
        <v>504</v>
      </c>
      <c r="AD570" s="0" t="n">
        <v>12</v>
      </c>
      <c r="AE570" s="0" t="s">
        <v>96</v>
      </c>
      <c r="AH570" s="0" t="n">
        <v>20</v>
      </c>
      <c r="AJ570" s="0" t="n">
        <v>10</v>
      </c>
      <c r="AP570" s="0" t="n">
        <v>880000</v>
      </c>
      <c r="DB570" s="0" t="str">
        <f aca="false">IF($A570="","",IF($AE570&amp;""&lt;&gt;設定!$C$4,"対象外",IF($AH570=20,IF(OR($AJ570=10,$AJ570=11,$AJ570=18),"①病院一般",IF($AJ570=41,"②病院短期","対象外")),IF($AH570=5,IF($AJ570=30,"③特定消防","対象外"),IF(OR($AJ570=10,$AJ570=11,$AJ570=74),"④一般",IF(OR($AJ570=41,$AJ570=47),"⑤短期","対象外"))))))</f>
        <v>①病院一般</v>
      </c>
    </row>
    <row r="571" customFormat="false" ht="15" hidden="false" customHeight="false" outlineLevel="0" collapsed="false">
      <c r="A571" s="0" t="n">
        <v>21</v>
      </c>
      <c r="AA571" s="0" t="n">
        <v>21</v>
      </c>
      <c r="AB571" s="0" t="s">
        <v>504</v>
      </c>
      <c r="AD571" s="0" t="n">
        <v>12</v>
      </c>
      <c r="AE571" s="0" t="s">
        <v>294</v>
      </c>
      <c r="AH571" s="0" t="n">
        <v>20</v>
      </c>
      <c r="AJ571" s="0" t="n">
        <v>10</v>
      </c>
      <c r="AP571" s="0" t="n">
        <v>320000</v>
      </c>
      <c r="DB571" s="0" t="str">
        <f aca="false">IF($A571="","",IF($AE571&amp;""&lt;&gt;設定!$C$4,"対象外",IF($AH571=20,IF(OR($AJ571=10,$AJ571=11,$AJ571=18),"①病院一般",IF($AJ571=41,"②病院短期","対象外")),IF($AH571=5,IF($AJ571=30,"③特定消防","対象外"),IF(OR($AJ571=10,$AJ571=11,$AJ571=74),"④一般",IF(OR($AJ571=41,$AJ571=47),"⑤短期","対象外"))))))</f>
        <v>対象外</v>
      </c>
    </row>
    <row r="572" customFormat="false" ht="15" hidden="false" customHeight="false" outlineLevel="0" collapsed="false">
      <c r="A572" s="0" t="n">
        <v>21</v>
      </c>
      <c r="AA572" s="0" t="n">
        <v>21</v>
      </c>
      <c r="AB572" s="0" t="s">
        <v>96</v>
      </c>
      <c r="AD572" s="0" t="n">
        <v>12</v>
      </c>
      <c r="AE572" s="0" t="s">
        <v>298</v>
      </c>
      <c r="AH572" s="0" t="n">
        <v>1</v>
      </c>
      <c r="AJ572" s="0" t="n">
        <v>10</v>
      </c>
      <c r="AP572" s="0" t="n">
        <v>340000</v>
      </c>
      <c r="DB572" s="0" t="str">
        <f aca="false">IF($A572="","",IF($AE572&amp;""&lt;&gt;設定!$C$4,"対象外",IF($AH572=20,IF(OR($AJ572=10,$AJ572=11,$AJ572=18),"①病院一般",IF($AJ572=41,"②病院短期","対象外")),IF($AH572=5,IF($AJ572=30,"③特定消防","対象外"),IF(OR($AJ572=10,$AJ572=11,$AJ572=74),"④一般",IF(OR($AJ572=41,$AJ572=47),"⑤短期","対象外"))))))</f>
        <v>対象外</v>
      </c>
    </row>
    <row r="573" customFormat="false" ht="15" hidden="false" customHeight="false" outlineLevel="0" collapsed="false">
      <c r="A573" s="0" t="n">
        <v>31</v>
      </c>
      <c r="AA573" s="0" t="n">
        <v>24</v>
      </c>
      <c r="AB573" s="0" t="s">
        <v>505</v>
      </c>
      <c r="AD573" s="0" t="n">
        <v>12</v>
      </c>
      <c r="AE573" s="0" t="s">
        <v>96</v>
      </c>
      <c r="AH573" s="0" t="n">
        <v>1</v>
      </c>
      <c r="AJ573" s="0" t="n">
        <v>47</v>
      </c>
      <c r="AP573" s="0" t="n">
        <v>190000</v>
      </c>
      <c r="DB573" s="0" t="str">
        <f aca="false">IF($A573="","",IF($AE573&amp;""&lt;&gt;設定!$C$4,"対象外",IF($AH573=20,IF(OR($AJ573=10,$AJ573=11,$AJ573=18),"①病院一般",IF($AJ573=41,"②病院短期","対象外")),IF($AH573=5,IF($AJ573=30,"③特定消防","対象外"),IF(OR($AJ573=10,$AJ573=11,$AJ573=74),"④一般",IF(OR($AJ573=41,$AJ573=47),"⑤短期","対象外"))))))</f>
        <v>⑤短期</v>
      </c>
    </row>
    <row r="574" customFormat="false" ht="15" hidden="false" customHeight="false" outlineLevel="0" collapsed="false">
      <c r="A574" s="0" t="n">
        <v>31</v>
      </c>
      <c r="AA574" s="0" t="n">
        <v>21</v>
      </c>
      <c r="AB574" s="0" t="s">
        <v>496</v>
      </c>
      <c r="AD574" s="0" t="n">
        <v>12</v>
      </c>
      <c r="AE574" s="0" t="s">
        <v>96</v>
      </c>
      <c r="AH574" s="0" t="n">
        <v>1</v>
      </c>
      <c r="AJ574" s="0" t="n">
        <v>47</v>
      </c>
      <c r="AP574" s="0" t="n">
        <v>180000</v>
      </c>
      <c r="DB574" s="0" t="str">
        <f aca="false">IF($A574="","",IF($AE574&amp;""&lt;&gt;設定!$C$4,"対象外",IF($AH574=20,IF(OR($AJ574=10,$AJ574=11,$AJ574=18),"①病院一般",IF($AJ574=41,"②病院短期","対象外")),IF($AH574=5,IF($AJ574=30,"③特定消防","対象外"),IF(OR($AJ574=10,$AJ574=11,$AJ574=74),"④一般",IF(OR($AJ574=41,$AJ574=47),"⑤短期","対象外"))))))</f>
        <v>⑤短期</v>
      </c>
    </row>
    <row r="575" customFormat="false" ht="15" hidden="false" customHeight="false" outlineLevel="0" collapsed="false">
      <c r="A575" s="0" t="n">
        <v>31</v>
      </c>
      <c r="AA575" s="0" t="n">
        <v>21</v>
      </c>
      <c r="AB575" s="0" t="s">
        <v>496</v>
      </c>
      <c r="AD575" s="0" t="n">
        <v>12</v>
      </c>
      <c r="AE575" s="0" t="s">
        <v>96</v>
      </c>
      <c r="AH575" s="0" t="n">
        <v>20</v>
      </c>
      <c r="AJ575" s="0" t="n">
        <v>41</v>
      </c>
      <c r="AP575" s="0" t="n">
        <v>240000</v>
      </c>
      <c r="DB575" s="0" t="str">
        <f aca="false">IF($A575="","",IF($AE575&amp;""&lt;&gt;設定!$C$4,"対象外",IF($AH575=20,IF(OR($AJ575=10,$AJ575=11,$AJ575=18),"①病院一般",IF($AJ575=41,"②病院短期","対象外")),IF($AH575=5,IF($AJ575=30,"③特定消防","対象外"),IF(OR($AJ575=10,$AJ575=11,$AJ575=74),"④一般",IF(OR($AJ575=41,$AJ575=47),"⑤短期","対象外"))))))</f>
        <v>②病院短期</v>
      </c>
    </row>
    <row r="576" customFormat="false" ht="15" hidden="false" customHeight="false" outlineLevel="0" collapsed="false">
      <c r="A576" s="0" t="n">
        <v>31</v>
      </c>
      <c r="AA576" s="0" t="n">
        <v>21</v>
      </c>
      <c r="AB576" s="0" t="s">
        <v>496</v>
      </c>
      <c r="AD576" s="0" t="n">
        <v>12</v>
      </c>
      <c r="AE576" s="0" t="s">
        <v>96</v>
      </c>
      <c r="AH576" s="0" t="n">
        <v>11</v>
      </c>
      <c r="AJ576" s="0" t="n">
        <v>41</v>
      </c>
      <c r="AP576" s="0" t="n">
        <v>170000</v>
      </c>
      <c r="DB576" s="0" t="str">
        <f aca="false">IF($A576="","",IF($AE576&amp;""&lt;&gt;設定!$C$4,"対象外",IF($AH576=20,IF(OR($AJ576=10,$AJ576=11,$AJ576=18),"①病院一般",IF($AJ576=41,"②病院短期","対象外")),IF($AH576=5,IF($AJ576=30,"③特定消防","対象外"),IF(OR($AJ576=10,$AJ576=11,$AJ576=74),"④一般",IF(OR($AJ576=41,$AJ576=47),"⑤短期","対象外"))))))</f>
        <v>⑤短期</v>
      </c>
    </row>
    <row r="577" customFormat="false" ht="15" hidden="false" customHeight="false" outlineLevel="0" collapsed="false">
      <c r="A577" s="0" t="n">
        <v>31</v>
      </c>
      <c r="AA577" s="0" t="n">
        <v>21</v>
      </c>
      <c r="AB577" s="0" t="s">
        <v>496</v>
      </c>
      <c r="AD577" s="0" t="n">
        <v>12</v>
      </c>
      <c r="AE577" s="0" t="s">
        <v>96</v>
      </c>
      <c r="AH577" s="0" t="n">
        <v>1</v>
      </c>
      <c r="AJ577" s="0" t="n">
        <v>47</v>
      </c>
      <c r="AP577" s="0" t="n">
        <v>200000</v>
      </c>
      <c r="DB577" s="0" t="str">
        <f aca="false">IF($A577="","",IF($AE577&amp;""&lt;&gt;設定!$C$4,"対象外",IF($AH577=20,IF(OR($AJ577=10,$AJ577=11,$AJ577=18),"①病院一般",IF($AJ577=41,"②病院短期","対象外")),IF($AH577=5,IF($AJ577=30,"③特定消防","対象外"),IF(OR($AJ577=10,$AJ577=11,$AJ577=74),"④一般",IF(OR($AJ577=41,$AJ577=47),"⑤短期","対象外"))))))</f>
        <v>⑤短期</v>
      </c>
    </row>
    <row r="578" customFormat="false" ht="15" hidden="false" customHeight="false" outlineLevel="0" collapsed="false">
      <c r="A578" s="0" t="n">
        <v>31</v>
      </c>
      <c r="AA578" s="0" t="n">
        <v>21</v>
      </c>
      <c r="AB578" s="0" t="s">
        <v>496</v>
      </c>
      <c r="AD578" s="0" t="n">
        <v>12</v>
      </c>
      <c r="AE578" s="0" t="s">
        <v>96</v>
      </c>
      <c r="AH578" s="0" t="n">
        <v>1</v>
      </c>
      <c r="AJ578" s="0" t="n">
        <v>41</v>
      </c>
      <c r="AP578" s="0" t="n">
        <v>200000</v>
      </c>
      <c r="DB578" s="0" t="str">
        <f aca="false">IF($A578="","",IF($AE578&amp;""&lt;&gt;設定!$C$4,"対象外",IF($AH578=20,IF(OR($AJ578=10,$AJ578=11,$AJ578=18),"①病院一般",IF($AJ578=41,"②病院短期","対象外")),IF($AH578=5,IF($AJ578=30,"③特定消防","対象外"),IF(OR($AJ578=10,$AJ578=11,$AJ578=74),"④一般",IF(OR($AJ578=41,$AJ578=47),"⑤短期","対象外"))))))</f>
        <v>⑤短期</v>
      </c>
    </row>
    <row r="579" customFormat="false" ht="15" hidden="false" customHeight="false" outlineLevel="0" collapsed="false">
      <c r="A579" s="0" t="n">
        <v>31</v>
      </c>
      <c r="AA579" s="0" t="n">
        <v>21</v>
      </c>
      <c r="AB579" s="0" t="s">
        <v>496</v>
      </c>
      <c r="AD579" s="0" t="n">
        <v>12</v>
      </c>
      <c r="AE579" s="0" t="s">
        <v>96</v>
      </c>
      <c r="AH579" s="0" t="n">
        <v>1</v>
      </c>
      <c r="AJ579" s="0" t="n">
        <v>41</v>
      </c>
      <c r="AP579" s="0" t="n">
        <v>190000</v>
      </c>
      <c r="DB579" s="0" t="str">
        <f aca="false">IF($A579="","",IF($AE579&amp;""&lt;&gt;設定!$C$4,"対象外",IF($AH579=20,IF(OR($AJ579=10,$AJ579=11,$AJ579=18),"①病院一般",IF($AJ579=41,"②病院短期","対象外")),IF($AH579=5,IF($AJ579=30,"③特定消防","対象外"),IF(OR($AJ579=10,$AJ579=11,$AJ579=74),"④一般",IF(OR($AJ579=41,$AJ579=47),"⑤短期","対象外"))))))</f>
        <v>⑤短期</v>
      </c>
    </row>
    <row r="580" customFormat="false" ht="15" hidden="false" customHeight="false" outlineLevel="0" collapsed="false">
      <c r="A580" s="0" t="n">
        <v>31</v>
      </c>
      <c r="AA580" s="0" t="n">
        <v>24</v>
      </c>
      <c r="AB580" s="0" t="s">
        <v>491</v>
      </c>
      <c r="AD580" s="0" t="n">
        <v>12</v>
      </c>
      <c r="AE580" s="0" t="s">
        <v>96</v>
      </c>
      <c r="AH580" s="0" t="n">
        <v>1</v>
      </c>
      <c r="AJ580" s="0" t="n">
        <v>47</v>
      </c>
      <c r="AP580" s="0" t="n">
        <v>190000</v>
      </c>
      <c r="DB580" s="0" t="str">
        <f aca="false">IF($A580="","",IF($AE580&amp;""&lt;&gt;設定!$C$4,"対象外",IF($AH580=20,IF(OR($AJ580=10,$AJ580=11,$AJ580=18),"①病院一般",IF($AJ580=41,"②病院短期","対象外")),IF($AH580=5,IF($AJ580=30,"③特定消防","対象外"),IF(OR($AJ580=10,$AJ580=11,$AJ580=74),"④一般",IF(OR($AJ580=41,$AJ580=47),"⑤短期","対象外"))))))</f>
        <v>⑤短期</v>
      </c>
    </row>
    <row r="581" customFormat="false" ht="15" hidden="false" customHeight="false" outlineLevel="0" collapsed="false">
      <c r="A581" s="0" t="n">
        <v>31</v>
      </c>
      <c r="AA581" s="0" t="n">
        <v>21</v>
      </c>
      <c r="AB581" s="0" t="s">
        <v>496</v>
      </c>
      <c r="AD581" s="0" t="n">
        <v>12</v>
      </c>
      <c r="AE581" s="0" t="s">
        <v>96</v>
      </c>
      <c r="AH581" s="0" t="n">
        <v>1</v>
      </c>
      <c r="AJ581" s="0" t="n">
        <v>41</v>
      </c>
      <c r="AP581" s="0" t="n">
        <v>200000</v>
      </c>
      <c r="DB581" s="0" t="str">
        <f aca="false">IF($A581="","",IF($AE581&amp;""&lt;&gt;設定!$C$4,"対象外",IF($AH581=20,IF(OR($AJ581=10,$AJ581=11,$AJ581=18),"①病院一般",IF($AJ581=41,"②病院短期","対象外")),IF($AH581=5,IF($AJ581=30,"③特定消防","対象外"),IF(OR($AJ581=10,$AJ581=11,$AJ581=74),"④一般",IF(OR($AJ581=41,$AJ581=47),"⑤短期","対象外"))))))</f>
        <v>⑤短期</v>
      </c>
    </row>
    <row r="582" customFormat="false" ht="15" hidden="false" customHeight="false" outlineLevel="0" collapsed="false">
      <c r="A582" s="0" t="n">
        <v>31</v>
      </c>
      <c r="AA582" s="0" t="n">
        <v>21</v>
      </c>
      <c r="AB582" s="0" t="s">
        <v>506</v>
      </c>
      <c r="AD582" s="0" t="n">
        <v>12</v>
      </c>
      <c r="AE582" s="0" t="s">
        <v>96</v>
      </c>
      <c r="AH582" s="0" t="n">
        <v>11</v>
      </c>
      <c r="AJ582" s="0" t="n">
        <v>41</v>
      </c>
      <c r="AP582" s="0" t="n">
        <v>160000</v>
      </c>
      <c r="DB582" s="0" t="str">
        <f aca="false">IF($A582="","",IF($AE582&amp;""&lt;&gt;設定!$C$4,"対象外",IF($AH582=20,IF(OR($AJ582=10,$AJ582=11,$AJ582=18),"①病院一般",IF($AJ582=41,"②病院短期","対象外")),IF($AH582=5,IF($AJ582=30,"③特定消防","対象外"),IF(OR($AJ582=10,$AJ582=11,$AJ582=74),"④一般",IF(OR($AJ582=41,$AJ582=47),"⑤短期","対象外"))))))</f>
        <v>⑤短期</v>
      </c>
    </row>
    <row r="583" customFormat="false" ht="15" hidden="false" customHeight="false" outlineLevel="0" collapsed="false">
      <c r="A583" s="0" t="n">
        <v>31</v>
      </c>
      <c r="AA583" s="0" t="n">
        <v>21</v>
      </c>
      <c r="AB583" s="0" t="s">
        <v>477</v>
      </c>
      <c r="AD583" s="0" t="n">
        <v>12</v>
      </c>
      <c r="AE583" s="0" t="s">
        <v>96</v>
      </c>
      <c r="AH583" s="0" t="n">
        <v>1</v>
      </c>
      <c r="AJ583" s="0" t="n">
        <v>41</v>
      </c>
      <c r="AP583" s="0" t="n">
        <v>190000</v>
      </c>
      <c r="DB583" s="0" t="str">
        <f aca="false">IF($A583="","",IF($AE583&amp;""&lt;&gt;設定!$C$4,"対象外",IF($AH583=20,IF(OR($AJ583=10,$AJ583=11,$AJ583=18),"①病院一般",IF($AJ583=41,"②病院短期","対象外")),IF($AH583=5,IF($AJ583=30,"③特定消防","対象外"),IF(OR($AJ583=10,$AJ583=11,$AJ583=74),"④一般",IF(OR($AJ583=41,$AJ583=47),"⑤短期","対象外"))))))</f>
        <v>⑤短期</v>
      </c>
    </row>
    <row r="584" customFormat="false" ht="15" hidden="false" customHeight="false" outlineLevel="0" collapsed="false">
      <c r="A584" s="0" t="n">
        <v>31</v>
      </c>
      <c r="AA584" s="0" t="n">
        <v>21</v>
      </c>
      <c r="AB584" s="0" t="s">
        <v>496</v>
      </c>
      <c r="AD584" s="0" t="n">
        <v>12</v>
      </c>
      <c r="AE584" s="0" t="s">
        <v>96</v>
      </c>
      <c r="AH584" s="0" t="n">
        <v>1</v>
      </c>
      <c r="AJ584" s="0" t="n">
        <v>41</v>
      </c>
      <c r="AP584" s="0" t="n">
        <v>110000</v>
      </c>
      <c r="DB584" s="0" t="str">
        <f aca="false">IF($A584="","",IF($AE584&amp;""&lt;&gt;設定!$C$4,"対象外",IF($AH584=20,IF(OR($AJ584=10,$AJ584=11,$AJ584=18),"①病院一般",IF($AJ584=41,"②病院短期","対象外")),IF($AH584=5,IF($AJ584=30,"③特定消防","対象外"),IF(OR($AJ584=10,$AJ584=11,$AJ584=74),"④一般",IF(OR($AJ584=41,$AJ584=47),"⑤短期","対象外"))))))</f>
        <v>⑤短期</v>
      </c>
    </row>
    <row r="585" customFormat="false" ht="15" hidden="false" customHeight="false" outlineLevel="0" collapsed="false">
      <c r="A585" s="0" t="n">
        <v>31</v>
      </c>
      <c r="AA585" s="0" t="n">
        <v>24</v>
      </c>
      <c r="AB585" s="0" t="s">
        <v>507</v>
      </c>
      <c r="AD585" s="0" t="n">
        <v>12</v>
      </c>
      <c r="AE585" s="0" t="s">
        <v>298</v>
      </c>
      <c r="AH585" s="0" t="n">
        <v>1</v>
      </c>
      <c r="AJ585" s="0" t="n">
        <v>41</v>
      </c>
      <c r="AP585" s="0" t="n">
        <v>200000</v>
      </c>
      <c r="DB585" s="0" t="str">
        <f aca="false">IF($A585="","",IF($AE585&amp;""&lt;&gt;設定!$C$4,"対象外",IF($AH585=20,IF(OR($AJ585=10,$AJ585=11,$AJ585=18),"①病院一般",IF($AJ585=41,"②病院短期","対象外")),IF($AH585=5,IF($AJ585=30,"③特定消防","対象外"),IF(OR($AJ585=10,$AJ585=11,$AJ585=74),"④一般",IF(OR($AJ585=41,$AJ585=47),"⑤短期","対象外"))))))</f>
        <v>対象外</v>
      </c>
    </row>
    <row r="586" customFormat="false" ht="15" hidden="false" customHeight="false" outlineLevel="0" collapsed="false">
      <c r="A586" s="0" t="n">
        <v>31</v>
      </c>
      <c r="AA586" s="0" t="n">
        <v>24</v>
      </c>
      <c r="AB586" s="0" t="s">
        <v>508</v>
      </c>
      <c r="AD586" s="0" t="n">
        <v>12</v>
      </c>
      <c r="AE586" s="0" t="s">
        <v>96</v>
      </c>
      <c r="AH586" s="0" t="n">
        <v>4</v>
      </c>
      <c r="AJ586" s="0" t="n">
        <v>41</v>
      </c>
      <c r="AP586" s="0" t="n">
        <v>200000</v>
      </c>
      <c r="DB586" s="0" t="str">
        <f aca="false">IF($A586="","",IF($AE586&amp;""&lt;&gt;設定!$C$4,"対象外",IF($AH586=20,IF(OR($AJ586=10,$AJ586=11,$AJ586=18),"①病院一般",IF($AJ586=41,"②病院短期","対象外")),IF($AH586=5,IF($AJ586=30,"③特定消防","対象外"),IF(OR($AJ586=10,$AJ586=11,$AJ586=74),"④一般",IF(OR($AJ586=41,$AJ586=47),"⑤短期","対象外"))))))</f>
        <v>⑤短期</v>
      </c>
    </row>
    <row r="587" customFormat="false" ht="15" hidden="false" customHeight="false" outlineLevel="0" collapsed="false">
      <c r="A587" s="0" t="n">
        <v>31</v>
      </c>
      <c r="AA587" s="0" t="n">
        <v>21</v>
      </c>
      <c r="AB587" s="0" t="s">
        <v>496</v>
      </c>
      <c r="AD587" s="0" t="n">
        <v>12</v>
      </c>
      <c r="AE587" s="0" t="s">
        <v>96</v>
      </c>
      <c r="AH587" s="0" t="n">
        <v>4</v>
      </c>
      <c r="AJ587" s="0" t="n">
        <v>41</v>
      </c>
      <c r="AP587" s="0" t="n">
        <v>200000</v>
      </c>
      <c r="DB587" s="0" t="str">
        <f aca="false">IF($A587="","",IF($AE587&amp;""&lt;&gt;設定!$C$4,"対象外",IF($AH587=20,IF(OR($AJ587=10,$AJ587=11,$AJ587=18),"①病院一般",IF($AJ587=41,"②病院短期","対象外")),IF($AH587=5,IF($AJ587=30,"③特定消防","対象外"),IF(OR($AJ587=10,$AJ587=11,$AJ587=74),"④一般",IF(OR($AJ587=41,$AJ587=47),"⑤短期","対象外"))))))</f>
        <v>⑤短期</v>
      </c>
    </row>
    <row r="588" customFormat="false" ht="15" hidden="false" customHeight="false" outlineLevel="0" collapsed="false">
      <c r="A588" s="0" t="n">
        <v>31</v>
      </c>
      <c r="AA588" s="0" t="n">
        <v>21</v>
      </c>
      <c r="AB588" s="0" t="s">
        <v>496</v>
      </c>
      <c r="AD588" s="0" t="n">
        <v>12</v>
      </c>
      <c r="AE588" s="0" t="s">
        <v>96</v>
      </c>
      <c r="AH588" s="0" t="n">
        <v>4</v>
      </c>
      <c r="AJ588" s="0" t="n">
        <v>41</v>
      </c>
      <c r="AP588" s="0" t="n">
        <v>200000</v>
      </c>
      <c r="DB588" s="0" t="str">
        <f aca="false">IF($A588="","",IF($AE588&amp;""&lt;&gt;設定!$C$4,"対象外",IF($AH588=20,IF(OR($AJ588=10,$AJ588=11,$AJ588=18),"①病院一般",IF($AJ588=41,"②病院短期","対象外")),IF($AH588=5,IF($AJ588=30,"③特定消防","対象外"),IF(OR($AJ588=10,$AJ588=11,$AJ588=74),"④一般",IF(OR($AJ588=41,$AJ588=47),"⑤短期","対象外"))))))</f>
        <v>⑤短期</v>
      </c>
    </row>
    <row r="589" customFormat="false" ht="15" hidden="false" customHeight="false" outlineLevel="0" collapsed="false">
      <c r="A589" s="0" t="n">
        <v>31</v>
      </c>
      <c r="AA589" s="0" t="n">
        <v>21</v>
      </c>
      <c r="AB589" s="0" t="s">
        <v>496</v>
      </c>
      <c r="AD589" s="0" t="n">
        <v>12</v>
      </c>
      <c r="AE589" s="0" t="s">
        <v>96</v>
      </c>
      <c r="AH589" s="0" t="n">
        <v>4</v>
      </c>
      <c r="AJ589" s="0" t="n">
        <v>41</v>
      </c>
      <c r="AP589" s="0" t="n">
        <v>200000</v>
      </c>
      <c r="DB589" s="0" t="str">
        <f aca="false">IF($A589="","",IF($AE589&amp;""&lt;&gt;設定!$C$4,"対象外",IF($AH589=20,IF(OR($AJ589=10,$AJ589=11,$AJ589=18),"①病院一般",IF($AJ589=41,"②病院短期","対象外")),IF($AH589=5,IF($AJ589=30,"③特定消防","対象外"),IF(OR($AJ589=10,$AJ589=11,$AJ589=74),"④一般",IF(OR($AJ589=41,$AJ589=47),"⑤短期","対象外"))))))</f>
        <v>⑤短期</v>
      </c>
    </row>
    <row r="590" customFormat="false" ht="15" hidden="false" customHeight="false" outlineLevel="0" collapsed="false">
      <c r="A590" s="0" t="n">
        <v>31</v>
      </c>
      <c r="AA590" s="0" t="n">
        <v>21</v>
      </c>
      <c r="AB590" s="0" t="s">
        <v>496</v>
      </c>
      <c r="AD590" s="0" t="n">
        <v>12</v>
      </c>
      <c r="AE590" s="0" t="s">
        <v>96</v>
      </c>
      <c r="AH590" s="0" t="n">
        <v>4</v>
      </c>
      <c r="AJ590" s="0" t="n">
        <v>41</v>
      </c>
      <c r="AP590" s="0" t="n">
        <v>200000</v>
      </c>
      <c r="DB590" s="0" t="str">
        <f aca="false">IF($A590="","",IF($AE590&amp;""&lt;&gt;設定!$C$4,"対象外",IF($AH590=20,IF(OR($AJ590=10,$AJ590=11,$AJ590=18),"①病院一般",IF($AJ590=41,"②病院短期","対象外")),IF($AH590=5,IF($AJ590=30,"③特定消防","対象外"),IF(OR($AJ590=10,$AJ590=11,$AJ590=74),"④一般",IF(OR($AJ590=41,$AJ590=47),"⑤短期","対象外"))))))</f>
        <v>⑤短期</v>
      </c>
    </row>
    <row r="591" customFormat="false" ht="15" hidden="false" customHeight="false" outlineLevel="0" collapsed="false">
      <c r="A591" s="0" t="n">
        <v>31</v>
      </c>
      <c r="AA591" s="0" t="n">
        <v>21</v>
      </c>
      <c r="AB591" s="0" t="s">
        <v>496</v>
      </c>
      <c r="AD591" s="0" t="n">
        <v>12</v>
      </c>
      <c r="AE591" s="0" t="s">
        <v>347</v>
      </c>
      <c r="AH591" s="0" t="n">
        <v>1</v>
      </c>
      <c r="AJ591" s="0" t="n">
        <v>41</v>
      </c>
      <c r="AP591" s="0" t="n">
        <v>200000</v>
      </c>
      <c r="DB591" s="0" t="str">
        <f aca="false">IF($A591="","",IF($AE591&amp;""&lt;&gt;設定!$C$4,"対象外",IF($AH591=20,IF(OR($AJ591=10,$AJ591=11,$AJ591=18),"①病院一般",IF($AJ591=41,"②病院短期","対象外")),IF($AH591=5,IF($AJ591=30,"③特定消防","対象外"),IF(OR($AJ591=10,$AJ591=11,$AJ591=74),"④一般",IF(OR($AJ591=41,$AJ591=47),"⑤短期","対象外"))))))</f>
        <v>対象外</v>
      </c>
    </row>
    <row r="592" customFormat="false" ht="15" hidden="false" customHeight="false" outlineLevel="0" collapsed="false">
      <c r="A592" s="0" t="n">
        <v>31</v>
      </c>
      <c r="AA592" s="0" t="n">
        <v>21</v>
      </c>
      <c r="AB592" s="0" t="s">
        <v>496</v>
      </c>
      <c r="AD592" s="0" t="n">
        <v>12</v>
      </c>
      <c r="AE592" s="0" t="s">
        <v>96</v>
      </c>
      <c r="AH592" s="0" t="n">
        <v>11</v>
      </c>
      <c r="AJ592" s="0" t="n">
        <v>41</v>
      </c>
      <c r="AP592" s="0" t="n">
        <v>180000</v>
      </c>
      <c r="DB592" s="0" t="str">
        <f aca="false">IF($A592="","",IF($AE592&amp;""&lt;&gt;設定!$C$4,"対象外",IF($AH592=20,IF(OR($AJ592=10,$AJ592=11,$AJ592=18),"①病院一般",IF($AJ592=41,"②病院短期","対象外")),IF($AH592=5,IF($AJ592=30,"③特定消防","対象外"),IF(OR($AJ592=10,$AJ592=11,$AJ592=74),"④一般",IF(OR($AJ592=41,$AJ592=47),"⑤短期","対象外"))))))</f>
        <v>⑤短期</v>
      </c>
    </row>
    <row r="593" customFormat="false" ht="15" hidden="false" customHeight="false" outlineLevel="0" collapsed="false">
      <c r="A593" s="0" t="n">
        <v>31</v>
      </c>
      <c r="AA593" s="0" t="n">
        <v>21</v>
      </c>
      <c r="AB593" s="0" t="s">
        <v>496</v>
      </c>
      <c r="AD593" s="0" t="n">
        <v>12</v>
      </c>
      <c r="AE593" s="0" t="s">
        <v>96</v>
      </c>
      <c r="AH593" s="0" t="n">
        <v>1</v>
      </c>
      <c r="AJ593" s="0" t="n">
        <v>41</v>
      </c>
      <c r="AP593" s="0" t="n">
        <v>190000</v>
      </c>
      <c r="DB593" s="0" t="str">
        <f aca="false">IF($A593="","",IF($AE593&amp;""&lt;&gt;設定!$C$4,"対象外",IF($AH593=20,IF(OR($AJ593=10,$AJ593=11,$AJ593=18),"①病院一般",IF($AJ593=41,"②病院短期","対象外")),IF($AH593=5,IF($AJ593=30,"③特定消防","対象外"),IF(OR($AJ593=10,$AJ593=11,$AJ593=74),"④一般",IF(OR($AJ593=41,$AJ593=47),"⑤短期","対象外"))))))</f>
        <v>⑤短期</v>
      </c>
    </row>
    <row r="594" customFormat="false" ht="15" hidden="false" customHeight="false" outlineLevel="0" collapsed="false">
      <c r="A594" s="0" t="n">
        <v>31</v>
      </c>
      <c r="AA594" s="0" t="n">
        <v>21</v>
      </c>
      <c r="AB594" s="0" t="s">
        <v>496</v>
      </c>
      <c r="AD594" s="0" t="n">
        <v>12</v>
      </c>
      <c r="AE594" s="0" t="s">
        <v>96</v>
      </c>
      <c r="AH594" s="0" t="n">
        <v>1</v>
      </c>
      <c r="AJ594" s="0" t="n">
        <v>41</v>
      </c>
      <c r="AP594" s="0" t="n">
        <v>180000</v>
      </c>
      <c r="DB594" s="0" t="str">
        <f aca="false">IF($A594="","",IF($AE594&amp;""&lt;&gt;設定!$C$4,"対象外",IF($AH594=20,IF(OR($AJ594=10,$AJ594=11,$AJ594=18),"①病院一般",IF($AJ594=41,"②病院短期","対象外")),IF($AH594=5,IF($AJ594=30,"③特定消防","対象外"),IF(OR($AJ594=10,$AJ594=11,$AJ594=74),"④一般",IF(OR($AJ594=41,$AJ594=47),"⑤短期","対象外"))))))</f>
        <v>⑤短期</v>
      </c>
    </row>
    <row r="595" customFormat="false" ht="15" hidden="false" customHeight="false" outlineLevel="0" collapsed="false">
      <c r="A595" s="0" t="n">
        <v>31</v>
      </c>
      <c r="AA595" s="0" t="n">
        <v>21</v>
      </c>
      <c r="AB595" s="0" t="s">
        <v>496</v>
      </c>
      <c r="AD595" s="0" t="n">
        <v>12</v>
      </c>
      <c r="AE595" s="0" t="s">
        <v>96</v>
      </c>
      <c r="AH595" s="0" t="n">
        <v>1</v>
      </c>
      <c r="AJ595" s="0" t="n">
        <v>41</v>
      </c>
      <c r="AP595" s="0" t="n">
        <v>220000</v>
      </c>
      <c r="DB595" s="0" t="str">
        <f aca="false">IF($A595="","",IF($AE595&amp;""&lt;&gt;設定!$C$4,"対象外",IF($AH595=20,IF(OR($AJ595=10,$AJ595=11,$AJ595=18),"①病院一般",IF($AJ595=41,"②病院短期","対象外")),IF($AH595=5,IF($AJ595=30,"③特定消防","対象外"),IF(OR($AJ595=10,$AJ595=11,$AJ595=74),"④一般",IF(OR($AJ595=41,$AJ595=47),"⑤短期","対象外"))))))</f>
        <v>⑤短期</v>
      </c>
    </row>
    <row r="596" customFormat="false" ht="15" hidden="false" customHeight="false" outlineLevel="0" collapsed="false">
      <c r="A596" s="0" t="n">
        <v>31</v>
      </c>
      <c r="AA596" s="0" t="n">
        <v>21</v>
      </c>
      <c r="AB596" s="0" t="s">
        <v>496</v>
      </c>
      <c r="AD596" s="0" t="n">
        <v>12</v>
      </c>
      <c r="AE596" s="0" t="s">
        <v>96</v>
      </c>
      <c r="AH596" s="0" t="n">
        <v>1</v>
      </c>
      <c r="AJ596" s="0" t="n">
        <v>41</v>
      </c>
      <c r="AP596" s="0" t="n">
        <v>190000</v>
      </c>
      <c r="DB596" s="0" t="str">
        <f aca="false">IF($A596="","",IF($AE596&amp;""&lt;&gt;設定!$C$4,"対象外",IF($AH596=20,IF(OR($AJ596=10,$AJ596=11,$AJ596=18),"①病院一般",IF($AJ596=41,"②病院短期","対象外")),IF($AH596=5,IF($AJ596=30,"③特定消防","対象外"),IF(OR($AJ596=10,$AJ596=11,$AJ596=74),"④一般",IF(OR($AJ596=41,$AJ596=47),"⑤短期","対象外"))))))</f>
        <v>⑤短期</v>
      </c>
    </row>
    <row r="597" customFormat="false" ht="15" hidden="false" customHeight="false" outlineLevel="0" collapsed="false">
      <c r="A597" s="0" t="n">
        <v>31</v>
      </c>
      <c r="AA597" s="0" t="n">
        <v>21</v>
      </c>
      <c r="AB597" s="0" t="s">
        <v>496</v>
      </c>
      <c r="AD597" s="0" t="n">
        <v>12</v>
      </c>
      <c r="AE597" s="0" t="s">
        <v>96</v>
      </c>
      <c r="AH597" s="0" t="n">
        <v>1</v>
      </c>
      <c r="AJ597" s="0" t="n">
        <v>41</v>
      </c>
      <c r="AP597" s="0" t="n">
        <v>190000</v>
      </c>
      <c r="DB597" s="0" t="str">
        <f aca="false">IF($A597="","",IF($AE597&amp;""&lt;&gt;設定!$C$4,"対象外",IF($AH597=20,IF(OR($AJ597=10,$AJ597=11,$AJ597=18),"①病院一般",IF($AJ597=41,"②病院短期","対象外")),IF($AH597=5,IF($AJ597=30,"③特定消防","対象外"),IF(OR($AJ597=10,$AJ597=11,$AJ597=74),"④一般",IF(OR($AJ597=41,$AJ597=47),"⑤短期","対象外"))))))</f>
        <v>⑤短期</v>
      </c>
    </row>
    <row r="598" customFormat="false" ht="15" hidden="false" customHeight="false" outlineLevel="0" collapsed="false">
      <c r="A598" s="0" t="n">
        <v>31</v>
      </c>
      <c r="AA598" s="0" t="n">
        <v>21</v>
      </c>
      <c r="AB598" s="0" t="s">
        <v>494</v>
      </c>
      <c r="AD598" s="0" t="n">
        <v>12</v>
      </c>
      <c r="AE598" s="0" t="s">
        <v>318</v>
      </c>
      <c r="AH598" s="0" t="n">
        <v>1</v>
      </c>
      <c r="AJ598" s="0" t="n">
        <v>41</v>
      </c>
      <c r="AP598" s="0" t="n">
        <v>180000</v>
      </c>
      <c r="DB598" s="0" t="str">
        <f aca="false">IF($A598="","",IF($AE598&amp;""&lt;&gt;設定!$C$4,"対象外",IF($AH598=20,IF(OR($AJ598=10,$AJ598=11,$AJ598=18),"①病院一般",IF($AJ598=41,"②病院短期","対象外")),IF($AH598=5,IF($AJ598=30,"③特定消防","対象外"),IF(OR($AJ598=10,$AJ598=11,$AJ598=74),"④一般",IF(OR($AJ598=41,$AJ598=47),"⑤短期","対象外"))))))</f>
        <v>対象外</v>
      </c>
    </row>
    <row r="599" customFormat="false" ht="15" hidden="false" customHeight="false" outlineLevel="0" collapsed="false">
      <c r="A599" s="0" t="n">
        <v>31</v>
      </c>
      <c r="AA599" s="0" t="n">
        <v>21</v>
      </c>
      <c r="AB599" s="0" t="s">
        <v>496</v>
      </c>
      <c r="AD599" s="0" t="n">
        <v>12</v>
      </c>
      <c r="AE599" s="0" t="s">
        <v>96</v>
      </c>
      <c r="AH599" s="0" t="n">
        <v>11</v>
      </c>
      <c r="AJ599" s="0" t="n">
        <v>41</v>
      </c>
      <c r="AP599" s="0" t="n">
        <v>180000</v>
      </c>
      <c r="DB599" s="0" t="str">
        <f aca="false">IF($A599="","",IF($AE599&amp;""&lt;&gt;設定!$C$4,"対象外",IF($AH599=20,IF(OR($AJ599=10,$AJ599=11,$AJ599=18),"①病院一般",IF($AJ599=41,"②病院短期","対象外")),IF($AH599=5,IF($AJ599=30,"③特定消防","対象外"),IF(OR($AJ599=10,$AJ599=11,$AJ599=74),"④一般",IF(OR($AJ599=41,$AJ599=47),"⑤短期","対象外"))))))</f>
        <v>⑤短期</v>
      </c>
    </row>
    <row r="600" customFormat="false" ht="15" hidden="false" customHeight="false" outlineLevel="0" collapsed="false">
      <c r="A600" s="0" t="n">
        <v>31</v>
      </c>
      <c r="AA600" s="0" t="n">
        <v>21</v>
      </c>
      <c r="AB600" s="0" t="s">
        <v>477</v>
      </c>
      <c r="AD600" s="0" t="n">
        <v>12</v>
      </c>
      <c r="AE600" s="0" t="s">
        <v>96</v>
      </c>
      <c r="AH600" s="0" t="n">
        <v>4</v>
      </c>
      <c r="AJ600" s="0" t="n">
        <v>41</v>
      </c>
      <c r="AP600" s="0" t="n">
        <v>190000</v>
      </c>
      <c r="DB600" s="0" t="str">
        <f aca="false">IF($A600="","",IF($AE600&amp;""&lt;&gt;設定!$C$4,"対象外",IF($AH600=20,IF(OR($AJ600=10,$AJ600=11,$AJ600=18),"①病院一般",IF($AJ600=41,"②病院短期","対象外")),IF($AH600=5,IF($AJ600=30,"③特定消防","対象外"),IF(OR($AJ600=10,$AJ600=11,$AJ600=74),"④一般",IF(OR($AJ600=41,$AJ600=47),"⑤短期","対象外"))))))</f>
        <v>⑤短期</v>
      </c>
    </row>
    <row r="601" customFormat="false" ht="15" hidden="false" customHeight="false" outlineLevel="0" collapsed="false">
      <c r="A601" s="0" t="n">
        <v>31</v>
      </c>
      <c r="AA601" s="0" t="n">
        <v>21</v>
      </c>
      <c r="AB601" s="0" t="s">
        <v>496</v>
      </c>
      <c r="AD601" s="0" t="n">
        <v>12</v>
      </c>
      <c r="AE601" s="0" t="s">
        <v>96</v>
      </c>
      <c r="AH601" s="0" t="n">
        <v>4</v>
      </c>
      <c r="AJ601" s="0" t="n">
        <v>41</v>
      </c>
      <c r="AP601" s="0" t="n">
        <v>190000</v>
      </c>
      <c r="DB601" s="0" t="str">
        <f aca="false">IF($A601="","",IF($AE601&amp;""&lt;&gt;設定!$C$4,"対象外",IF($AH601=20,IF(OR($AJ601=10,$AJ601=11,$AJ601=18),"①病院一般",IF($AJ601=41,"②病院短期","対象外")),IF($AH601=5,IF($AJ601=30,"③特定消防","対象外"),IF(OR($AJ601=10,$AJ601=11,$AJ601=74),"④一般",IF(OR($AJ601=41,$AJ601=47),"⑤短期","対象外"))))))</f>
        <v>⑤短期</v>
      </c>
    </row>
    <row r="602" customFormat="false" ht="15" hidden="false" customHeight="false" outlineLevel="0" collapsed="false">
      <c r="A602" s="0" t="n">
        <v>31</v>
      </c>
      <c r="AA602" s="0" t="n">
        <v>21</v>
      </c>
      <c r="AB602" s="0" t="s">
        <v>496</v>
      </c>
      <c r="AD602" s="0" t="n">
        <v>12</v>
      </c>
      <c r="AE602" s="0" t="s">
        <v>96</v>
      </c>
      <c r="AH602" s="0" t="n">
        <v>1</v>
      </c>
      <c r="AJ602" s="0" t="n">
        <v>41</v>
      </c>
      <c r="AP602" s="0" t="n">
        <v>190000</v>
      </c>
      <c r="DB602" s="0" t="str">
        <f aca="false">IF($A602="","",IF($AE602&amp;""&lt;&gt;設定!$C$4,"対象外",IF($AH602=20,IF(OR($AJ602=10,$AJ602=11,$AJ602=18),"①病院一般",IF($AJ602=41,"②病院短期","対象外")),IF($AH602=5,IF($AJ602=30,"③特定消防","対象外"),IF(OR($AJ602=10,$AJ602=11,$AJ602=74),"④一般",IF(OR($AJ602=41,$AJ602=47),"⑤短期","対象外"))))))</f>
        <v>⑤短期</v>
      </c>
    </row>
    <row r="603" customFormat="false" ht="15" hidden="false" customHeight="false" outlineLevel="0" collapsed="false">
      <c r="A603" s="0" t="n">
        <v>31</v>
      </c>
      <c r="AA603" s="0" t="n">
        <v>21</v>
      </c>
      <c r="AB603" s="0" t="s">
        <v>496</v>
      </c>
      <c r="AD603" s="0" t="n">
        <v>12</v>
      </c>
      <c r="AE603" s="0" t="s">
        <v>96</v>
      </c>
      <c r="AH603" s="0" t="n">
        <v>1</v>
      </c>
      <c r="AJ603" s="0" t="n">
        <v>41</v>
      </c>
      <c r="AP603" s="0" t="n">
        <v>190000</v>
      </c>
      <c r="DB603" s="0" t="str">
        <f aca="false">IF($A603="","",IF($AE603&amp;""&lt;&gt;設定!$C$4,"対象外",IF($AH603=20,IF(OR($AJ603=10,$AJ603=11,$AJ603=18),"①病院一般",IF($AJ603=41,"②病院短期","対象外")),IF($AH603=5,IF($AJ603=30,"③特定消防","対象外"),IF(OR($AJ603=10,$AJ603=11,$AJ603=74),"④一般",IF(OR($AJ603=41,$AJ603=47),"⑤短期","対象外"))))))</f>
        <v>⑤短期</v>
      </c>
    </row>
    <row r="604" customFormat="false" ht="15" hidden="false" customHeight="false" outlineLevel="0" collapsed="false">
      <c r="A604" s="0" t="n">
        <v>31</v>
      </c>
      <c r="AA604" s="0" t="n">
        <v>21</v>
      </c>
      <c r="AB604" s="0" t="s">
        <v>477</v>
      </c>
      <c r="AD604" s="0" t="n">
        <v>12</v>
      </c>
      <c r="AE604" s="0" t="s">
        <v>296</v>
      </c>
      <c r="AH604" s="0" t="n">
        <v>1</v>
      </c>
      <c r="AJ604" s="0" t="n">
        <v>41</v>
      </c>
      <c r="AP604" s="0" t="n">
        <v>200000</v>
      </c>
      <c r="DB604" s="0" t="str">
        <f aca="false">IF($A604="","",IF($AE604&amp;""&lt;&gt;設定!$C$4,"対象外",IF($AH604=20,IF(OR($AJ604=10,$AJ604=11,$AJ604=18),"①病院一般",IF($AJ604=41,"②病院短期","対象外")),IF($AH604=5,IF($AJ604=30,"③特定消防","対象外"),IF(OR($AJ604=10,$AJ604=11,$AJ604=74),"④一般",IF(OR($AJ604=41,$AJ604=47),"⑤短期","対象外"))))))</f>
        <v>対象外</v>
      </c>
    </row>
    <row r="605" customFormat="false" ht="15" hidden="false" customHeight="false" outlineLevel="0" collapsed="false">
      <c r="A605" s="0" t="n">
        <v>31</v>
      </c>
      <c r="AA605" s="0" t="n">
        <v>21</v>
      </c>
      <c r="AB605" s="0" t="s">
        <v>494</v>
      </c>
      <c r="AD605" s="0" t="n">
        <v>12</v>
      </c>
      <c r="AE605" s="0" t="s">
        <v>96</v>
      </c>
      <c r="AH605" s="0" t="n">
        <v>1</v>
      </c>
      <c r="AJ605" s="0" t="n">
        <v>41</v>
      </c>
      <c r="AP605" s="0" t="n">
        <v>200000</v>
      </c>
      <c r="DB605" s="0" t="str">
        <f aca="false">IF($A605="","",IF($AE605&amp;""&lt;&gt;設定!$C$4,"対象外",IF($AH605=20,IF(OR($AJ605=10,$AJ605=11,$AJ605=18),"①病院一般",IF($AJ605=41,"②病院短期","対象外")),IF($AH605=5,IF($AJ605=30,"③特定消防","対象外"),IF(OR($AJ605=10,$AJ605=11,$AJ605=74),"④一般",IF(OR($AJ605=41,$AJ605=47),"⑤短期","対象外"))))))</f>
        <v>⑤短期</v>
      </c>
    </row>
    <row r="606" customFormat="false" ht="15" hidden="false" customHeight="false" outlineLevel="0" collapsed="false">
      <c r="A606" s="0" t="n">
        <v>31</v>
      </c>
      <c r="AA606" s="0" t="n">
        <v>21</v>
      </c>
      <c r="AB606" s="0" t="s">
        <v>496</v>
      </c>
      <c r="AD606" s="0" t="n">
        <v>12</v>
      </c>
      <c r="AE606" s="0" t="s">
        <v>96</v>
      </c>
      <c r="AH606" s="0" t="n">
        <v>1</v>
      </c>
      <c r="AJ606" s="0" t="n">
        <v>41</v>
      </c>
      <c r="AP606" s="0" t="n">
        <v>190000</v>
      </c>
      <c r="DB606" s="0" t="str">
        <f aca="false">IF($A606="","",IF($AE606&amp;""&lt;&gt;設定!$C$4,"対象外",IF($AH606=20,IF(OR($AJ606=10,$AJ606=11,$AJ606=18),"①病院一般",IF($AJ606=41,"②病院短期","対象外")),IF($AH606=5,IF($AJ606=30,"③特定消防","対象外"),IF(OR($AJ606=10,$AJ606=11,$AJ606=74),"④一般",IF(OR($AJ606=41,$AJ606=47),"⑤短期","対象外"))))))</f>
        <v>⑤短期</v>
      </c>
    </row>
    <row r="607" customFormat="false" ht="15" hidden="false" customHeight="false" outlineLevel="0" collapsed="false">
      <c r="A607" s="0" t="n">
        <v>31</v>
      </c>
      <c r="AA607" s="0" t="n">
        <v>21</v>
      </c>
      <c r="AB607" s="0" t="s">
        <v>496</v>
      </c>
      <c r="AD607" s="0" t="n">
        <v>12</v>
      </c>
      <c r="AE607" s="0" t="s">
        <v>96</v>
      </c>
      <c r="AH607" s="0" t="n">
        <v>1</v>
      </c>
      <c r="AJ607" s="0" t="n">
        <v>41</v>
      </c>
      <c r="AP607" s="0" t="n">
        <v>220000</v>
      </c>
      <c r="DB607" s="0" t="str">
        <f aca="false">IF($A607="","",IF($AE607&amp;""&lt;&gt;設定!$C$4,"対象外",IF($AH607=20,IF(OR($AJ607=10,$AJ607=11,$AJ607=18),"①病院一般",IF($AJ607=41,"②病院短期","対象外")),IF($AH607=5,IF($AJ607=30,"③特定消防","対象外"),IF(OR($AJ607=10,$AJ607=11,$AJ607=74),"④一般",IF(OR($AJ607=41,$AJ607=47),"⑤短期","対象外"))))))</f>
        <v>⑤短期</v>
      </c>
    </row>
    <row r="608" customFormat="false" ht="15" hidden="false" customHeight="false" outlineLevel="0" collapsed="false">
      <c r="A608" s="0" t="n">
        <v>31</v>
      </c>
      <c r="AA608" s="0" t="n">
        <v>21</v>
      </c>
      <c r="AB608" s="0" t="s">
        <v>496</v>
      </c>
      <c r="AD608" s="0" t="n">
        <v>12</v>
      </c>
      <c r="AE608" s="0" t="s">
        <v>96</v>
      </c>
      <c r="AH608" s="0" t="n">
        <v>1</v>
      </c>
      <c r="AJ608" s="0" t="n">
        <v>41</v>
      </c>
      <c r="AP608" s="0" t="n">
        <v>200000</v>
      </c>
      <c r="DB608" s="0" t="str">
        <f aca="false">IF($A608="","",IF($AE608&amp;""&lt;&gt;設定!$C$4,"対象外",IF($AH608=20,IF(OR($AJ608=10,$AJ608=11,$AJ608=18),"①病院一般",IF($AJ608=41,"②病院短期","対象外")),IF($AH608=5,IF($AJ608=30,"③特定消防","対象外"),IF(OR($AJ608=10,$AJ608=11,$AJ608=74),"④一般",IF(OR($AJ608=41,$AJ608=47),"⑤短期","対象外"))))))</f>
        <v>⑤短期</v>
      </c>
    </row>
    <row r="609" customFormat="false" ht="15" hidden="false" customHeight="false" outlineLevel="0" collapsed="false">
      <c r="A609" s="0" t="n">
        <v>31</v>
      </c>
      <c r="AA609" s="0" t="n">
        <v>21</v>
      </c>
      <c r="AB609" s="0" t="s">
        <v>496</v>
      </c>
      <c r="AD609" s="0" t="n">
        <v>12</v>
      </c>
      <c r="AE609" s="0" t="s">
        <v>96</v>
      </c>
      <c r="AH609" s="0" t="n">
        <v>1</v>
      </c>
      <c r="AJ609" s="0" t="n">
        <v>41</v>
      </c>
      <c r="AP609" s="0" t="n">
        <v>180000</v>
      </c>
      <c r="DB609" s="0" t="str">
        <f aca="false">IF($A609="","",IF($AE609&amp;""&lt;&gt;設定!$C$4,"対象外",IF($AH609=20,IF(OR($AJ609=10,$AJ609=11,$AJ609=18),"①病院一般",IF($AJ609=41,"②病院短期","対象外")),IF($AH609=5,IF($AJ609=30,"③特定消防","対象外"),IF(OR($AJ609=10,$AJ609=11,$AJ609=74),"④一般",IF(OR($AJ609=41,$AJ609=47),"⑤短期","対象外"))))))</f>
        <v>⑤短期</v>
      </c>
    </row>
    <row r="610" customFormat="false" ht="15" hidden="false" customHeight="false" outlineLevel="0" collapsed="false">
      <c r="A610" s="0" t="n">
        <v>31</v>
      </c>
      <c r="AA610" s="0" t="n">
        <v>21</v>
      </c>
      <c r="AB610" s="0" t="s">
        <v>496</v>
      </c>
      <c r="AD610" s="0" t="n">
        <v>12</v>
      </c>
      <c r="AE610" s="0" t="s">
        <v>96</v>
      </c>
      <c r="AH610" s="0" t="n">
        <v>4</v>
      </c>
      <c r="AJ610" s="0" t="n">
        <v>41</v>
      </c>
      <c r="AP610" s="0" t="n">
        <v>260000</v>
      </c>
      <c r="DB610" s="0" t="str">
        <f aca="false">IF($A610="","",IF($AE610&amp;""&lt;&gt;設定!$C$4,"対象外",IF($AH610=20,IF(OR($AJ610=10,$AJ610=11,$AJ610=18),"①病院一般",IF($AJ610=41,"②病院短期","対象外")),IF($AH610=5,IF($AJ610=30,"③特定消防","対象外"),IF(OR($AJ610=10,$AJ610=11,$AJ610=74),"④一般",IF(OR($AJ610=41,$AJ610=47),"⑤短期","対象外"))))))</f>
        <v>⑤短期</v>
      </c>
    </row>
    <row r="611" customFormat="false" ht="15" hidden="false" customHeight="false" outlineLevel="0" collapsed="false">
      <c r="A611" s="0" t="n">
        <v>31</v>
      </c>
      <c r="AA611" s="0" t="n">
        <v>21</v>
      </c>
      <c r="AB611" s="0" t="s">
        <v>496</v>
      </c>
      <c r="AD611" s="0" t="n">
        <v>12</v>
      </c>
      <c r="AE611" s="0" t="s">
        <v>96</v>
      </c>
      <c r="AH611" s="0" t="n">
        <v>4</v>
      </c>
      <c r="AJ611" s="0" t="n">
        <v>41</v>
      </c>
      <c r="AP611" s="0" t="n">
        <v>240000</v>
      </c>
      <c r="DB611" s="0" t="str">
        <f aca="false">IF($A611="","",IF($AE611&amp;""&lt;&gt;設定!$C$4,"対象外",IF($AH611=20,IF(OR($AJ611=10,$AJ611=11,$AJ611=18),"①病院一般",IF($AJ611=41,"②病院短期","対象外")),IF($AH611=5,IF($AJ611=30,"③特定消防","対象外"),IF(OR($AJ611=10,$AJ611=11,$AJ611=74),"④一般",IF(OR($AJ611=41,$AJ611=47),"⑤短期","対象外"))))))</f>
        <v>⑤短期</v>
      </c>
    </row>
    <row r="612" customFormat="false" ht="15" hidden="false" customHeight="false" outlineLevel="0" collapsed="false">
      <c r="A612" s="0" t="n">
        <v>31</v>
      </c>
      <c r="AA612" s="0" t="n">
        <v>21</v>
      </c>
      <c r="AB612" s="0" t="s">
        <v>496</v>
      </c>
      <c r="AD612" s="0" t="n">
        <v>12</v>
      </c>
      <c r="AE612" s="0" t="s">
        <v>96</v>
      </c>
      <c r="AH612" s="0" t="n">
        <v>1</v>
      </c>
      <c r="AJ612" s="0" t="n">
        <v>41</v>
      </c>
      <c r="AP612" s="0" t="n">
        <v>190000</v>
      </c>
      <c r="DB612" s="0" t="str">
        <f aca="false">IF($A612="","",IF($AE612&amp;""&lt;&gt;設定!$C$4,"対象外",IF($AH612=20,IF(OR($AJ612=10,$AJ612=11,$AJ612=18),"①病院一般",IF($AJ612=41,"②病院短期","対象外")),IF($AH612=5,IF($AJ612=30,"③特定消防","対象外"),IF(OR($AJ612=10,$AJ612=11,$AJ612=74),"④一般",IF(OR($AJ612=41,$AJ612=47),"⑤短期","対象外"))))))</f>
        <v>⑤短期</v>
      </c>
    </row>
    <row r="613" customFormat="false" ht="15" hidden="false" customHeight="false" outlineLevel="0" collapsed="false">
      <c r="A613" s="0" t="n">
        <v>31</v>
      </c>
      <c r="AA613" s="0" t="n">
        <v>21</v>
      </c>
      <c r="AB613" s="0" t="s">
        <v>496</v>
      </c>
      <c r="AD613" s="0" t="n">
        <v>12</v>
      </c>
      <c r="AE613" s="0" t="s">
        <v>301</v>
      </c>
      <c r="AH613" s="0" t="n">
        <v>3</v>
      </c>
      <c r="AJ613" s="0" t="n">
        <v>41</v>
      </c>
      <c r="AP613" s="0" t="n">
        <v>200000</v>
      </c>
      <c r="DB613" s="0" t="str">
        <f aca="false">IF($A613="","",IF($AE613&amp;""&lt;&gt;設定!$C$4,"対象外",IF($AH613=20,IF(OR($AJ613=10,$AJ613=11,$AJ613=18),"①病院一般",IF($AJ613=41,"②病院短期","対象外")),IF($AH613=5,IF($AJ613=30,"③特定消防","対象外"),IF(OR($AJ613=10,$AJ613=11,$AJ613=74),"④一般",IF(OR($AJ613=41,$AJ613=47),"⑤短期","対象外"))))))</f>
        <v>対象外</v>
      </c>
    </row>
    <row r="614" customFormat="false" ht="15" hidden="false" customHeight="false" outlineLevel="0" collapsed="false">
      <c r="A614" s="0" t="n">
        <v>31</v>
      </c>
      <c r="AA614" s="0" t="n">
        <v>21</v>
      </c>
      <c r="AB614" s="0" t="s">
        <v>496</v>
      </c>
      <c r="AD614" s="0" t="n">
        <v>12</v>
      </c>
      <c r="AE614" s="0" t="s">
        <v>96</v>
      </c>
      <c r="AH614" s="0" t="n">
        <v>1</v>
      </c>
      <c r="AJ614" s="0" t="n">
        <v>41</v>
      </c>
      <c r="AP614" s="0" t="n">
        <v>190000</v>
      </c>
      <c r="DB614" s="0" t="str">
        <f aca="false">IF($A614="","",IF($AE614&amp;""&lt;&gt;設定!$C$4,"対象外",IF($AH614=20,IF(OR($AJ614=10,$AJ614=11,$AJ614=18),"①病院一般",IF($AJ614=41,"②病院短期","対象外")),IF($AH614=5,IF($AJ614=30,"③特定消防","対象外"),IF(OR($AJ614=10,$AJ614=11,$AJ614=74),"④一般",IF(OR($AJ614=41,$AJ614=47),"⑤短期","対象外"))))))</f>
        <v>⑤短期</v>
      </c>
    </row>
    <row r="615" customFormat="false" ht="15" hidden="false" customHeight="false" outlineLevel="0" collapsed="false">
      <c r="A615" s="0" t="n">
        <v>31</v>
      </c>
      <c r="AA615" s="0" t="n">
        <v>21</v>
      </c>
      <c r="AB615" s="0" t="s">
        <v>496</v>
      </c>
      <c r="AD615" s="0" t="n">
        <v>12</v>
      </c>
      <c r="AE615" s="0" t="s">
        <v>96</v>
      </c>
      <c r="AH615" s="0" t="n">
        <v>1</v>
      </c>
      <c r="AJ615" s="0" t="n">
        <v>41</v>
      </c>
      <c r="AP615" s="0" t="n">
        <v>200000</v>
      </c>
      <c r="DB615" s="0" t="str">
        <f aca="false">IF($A615="","",IF($AE615&amp;""&lt;&gt;設定!$C$4,"対象外",IF($AH615=20,IF(OR($AJ615=10,$AJ615=11,$AJ615=18),"①病院一般",IF($AJ615=41,"②病院短期","対象外")),IF($AH615=5,IF($AJ615=30,"③特定消防","対象外"),IF(OR($AJ615=10,$AJ615=11,$AJ615=74),"④一般",IF(OR($AJ615=41,$AJ615=47),"⑤短期","対象外"))))))</f>
        <v>⑤短期</v>
      </c>
    </row>
    <row r="616" customFormat="false" ht="15" hidden="false" customHeight="false" outlineLevel="0" collapsed="false">
      <c r="A616" s="0" t="n">
        <v>31</v>
      </c>
      <c r="AA616" s="0" t="n">
        <v>21</v>
      </c>
      <c r="AB616" s="0" t="s">
        <v>496</v>
      </c>
      <c r="AD616" s="0" t="n">
        <v>12</v>
      </c>
      <c r="AE616" s="0" t="s">
        <v>96</v>
      </c>
      <c r="AH616" s="0" t="n">
        <v>1</v>
      </c>
      <c r="AJ616" s="0" t="n">
        <v>41</v>
      </c>
      <c r="AP616" s="0" t="n">
        <v>190000</v>
      </c>
      <c r="DB616" s="0" t="str">
        <f aca="false">IF($A616="","",IF($AE616&amp;""&lt;&gt;設定!$C$4,"対象外",IF($AH616=20,IF(OR($AJ616=10,$AJ616=11,$AJ616=18),"①病院一般",IF($AJ616=41,"②病院短期","対象外")),IF($AH616=5,IF($AJ616=30,"③特定消防","対象外"),IF(OR($AJ616=10,$AJ616=11,$AJ616=74),"④一般",IF(OR($AJ616=41,$AJ616=47),"⑤短期","対象外"))))))</f>
        <v>⑤短期</v>
      </c>
    </row>
    <row r="617" customFormat="false" ht="15" hidden="false" customHeight="false" outlineLevel="0" collapsed="false">
      <c r="A617" s="0" t="n">
        <v>31</v>
      </c>
      <c r="AA617" s="0" t="n">
        <v>21</v>
      </c>
      <c r="AB617" s="0" t="s">
        <v>496</v>
      </c>
      <c r="AD617" s="0" t="n">
        <v>12</v>
      </c>
      <c r="AE617" s="0" t="s">
        <v>96</v>
      </c>
      <c r="AH617" s="0" t="n">
        <v>3</v>
      </c>
      <c r="AJ617" s="0" t="n">
        <v>41</v>
      </c>
      <c r="AP617" s="0" t="n">
        <v>190000</v>
      </c>
      <c r="DB617" s="0" t="str">
        <f aca="false">IF($A617="","",IF($AE617&amp;""&lt;&gt;設定!$C$4,"対象外",IF($AH617=20,IF(OR($AJ617=10,$AJ617=11,$AJ617=18),"①病院一般",IF($AJ617=41,"②病院短期","対象外")),IF($AH617=5,IF($AJ617=30,"③特定消防","対象外"),IF(OR($AJ617=10,$AJ617=11,$AJ617=74),"④一般",IF(OR($AJ617=41,$AJ617=47),"⑤短期","対象外"))))))</f>
        <v>⑤短期</v>
      </c>
    </row>
    <row r="618" customFormat="false" ht="15" hidden="false" customHeight="false" outlineLevel="0" collapsed="false">
      <c r="A618" s="0" t="n">
        <v>31</v>
      </c>
      <c r="AA618" s="0" t="n">
        <v>21</v>
      </c>
      <c r="AB618" s="0" t="s">
        <v>496</v>
      </c>
      <c r="AD618" s="0" t="n">
        <v>12</v>
      </c>
      <c r="AE618" s="0" t="s">
        <v>96</v>
      </c>
      <c r="AH618" s="0" t="n">
        <v>1</v>
      </c>
      <c r="AJ618" s="0" t="n">
        <v>41</v>
      </c>
      <c r="AP618" s="0" t="n">
        <v>180000</v>
      </c>
      <c r="DB618" s="0" t="str">
        <f aca="false">IF($A618="","",IF($AE618&amp;""&lt;&gt;設定!$C$4,"対象外",IF($AH618=20,IF(OR($AJ618=10,$AJ618=11,$AJ618=18),"①病院一般",IF($AJ618=41,"②病院短期","対象外")),IF($AH618=5,IF($AJ618=30,"③特定消防","対象外"),IF(OR($AJ618=10,$AJ618=11,$AJ618=74),"④一般",IF(OR($AJ618=41,$AJ618=47),"⑤短期","対象外"))))))</f>
        <v>⑤短期</v>
      </c>
    </row>
    <row r="619" customFormat="false" ht="15" hidden="false" customHeight="false" outlineLevel="0" collapsed="false">
      <c r="A619" s="0" t="n">
        <v>31</v>
      </c>
      <c r="AA619" s="0" t="n">
        <v>21</v>
      </c>
      <c r="AB619" s="0" t="s">
        <v>496</v>
      </c>
      <c r="AD619" s="0" t="n">
        <v>12</v>
      </c>
      <c r="AE619" s="0" t="s">
        <v>321</v>
      </c>
      <c r="AH619" s="0" t="n">
        <v>1</v>
      </c>
      <c r="AJ619" s="0" t="n">
        <v>41</v>
      </c>
      <c r="AP619" s="0" t="n">
        <v>200000</v>
      </c>
      <c r="DB619" s="0" t="str">
        <f aca="false">IF($A619="","",IF($AE619&amp;""&lt;&gt;設定!$C$4,"対象外",IF($AH619=20,IF(OR($AJ619=10,$AJ619=11,$AJ619=18),"①病院一般",IF($AJ619=41,"②病院短期","対象外")),IF($AH619=5,IF($AJ619=30,"③特定消防","対象外"),IF(OR($AJ619=10,$AJ619=11,$AJ619=74),"④一般",IF(OR($AJ619=41,$AJ619=47),"⑤短期","対象外"))))))</f>
        <v>対象外</v>
      </c>
    </row>
    <row r="620" customFormat="false" ht="15" hidden="false" customHeight="false" outlineLevel="0" collapsed="false">
      <c r="A620" s="0" t="n">
        <v>31</v>
      </c>
      <c r="AA620" s="0" t="n">
        <v>24</v>
      </c>
      <c r="AB620" s="0" t="s">
        <v>308</v>
      </c>
      <c r="AD620" s="0" t="n">
        <v>12</v>
      </c>
      <c r="AE620" s="0" t="s">
        <v>303</v>
      </c>
      <c r="AH620" s="0" t="n">
        <v>1</v>
      </c>
      <c r="AJ620" s="0" t="n">
        <v>41</v>
      </c>
      <c r="AP620" s="0" t="n">
        <v>150000</v>
      </c>
      <c r="DB620" s="0" t="str">
        <f aca="false">IF($A620="","",IF($AE620&amp;""&lt;&gt;設定!$C$4,"対象外",IF($AH620=20,IF(OR($AJ620=10,$AJ620=11,$AJ620=18),"①病院一般",IF($AJ620=41,"②病院短期","対象外")),IF($AH620=5,IF($AJ620=30,"③特定消防","対象外"),IF(OR($AJ620=10,$AJ620=11,$AJ620=74),"④一般",IF(OR($AJ620=41,$AJ620=47),"⑤短期","対象外"))))))</f>
        <v>対象外</v>
      </c>
    </row>
    <row r="621" customFormat="false" ht="15" hidden="false" customHeight="false" outlineLevel="0" collapsed="false">
      <c r="A621" s="0" t="n">
        <v>31</v>
      </c>
      <c r="AA621" s="0" t="n">
        <v>21</v>
      </c>
      <c r="AB621" s="0" t="s">
        <v>496</v>
      </c>
      <c r="AD621" s="0" t="n">
        <v>12</v>
      </c>
      <c r="AE621" s="0" t="s">
        <v>96</v>
      </c>
      <c r="AH621" s="0" t="n">
        <v>1</v>
      </c>
      <c r="AJ621" s="0" t="n">
        <v>41</v>
      </c>
      <c r="AP621" s="0" t="n">
        <v>180000</v>
      </c>
      <c r="DB621" s="0" t="str">
        <f aca="false">IF($A621="","",IF($AE621&amp;""&lt;&gt;設定!$C$4,"対象外",IF($AH621=20,IF(OR($AJ621=10,$AJ621=11,$AJ621=18),"①病院一般",IF($AJ621=41,"②病院短期","対象外")),IF($AH621=5,IF($AJ621=30,"③特定消防","対象外"),IF(OR($AJ621=10,$AJ621=11,$AJ621=74),"④一般",IF(OR($AJ621=41,$AJ621=47),"⑤短期","対象外"))))))</f>
        <v>⑤短期</v>
      </c>
    </row>
    <row r="622" customFormat="false" ht="15" hidden="false" customHeight="false" outlineLevel="0" collapsed="false">
      <c r="A622" s="0" t="n">
        <v>31</v>
      </c>
      <c r="AA622" s="0" t="n">
        <v>21</v>
      </c>
      <c r="AB622" s="0" t="s">
        <v>496</v>
      </c>
      <c r="AD622" s="0" t="n">
        <v>12</v>
      </c>
      <c r="AE622" s="0" t="s">
        <v>96</v>
      </c>
      <c r="AH622" s="0" t="n">
        <v>11</v>
      </c>
      <c r="AJ622" s="0" t="n">
        <v>41</v>
      </c>
      <c r="AP622" s="0" t="n">
        <v>180000</v>
      </c>
      <c r="DB622" s="0" t="str">
        <f aca="false">IF($A622="","",IF($AE622&amp;""&lt;&gt;設定!$C$4,"対象外",IF($AH622=20,IF(OR($AJ622=10,$AJ622=11,$AJ622=18),"①病院一般",IF($AJ622=41,"②病院短期","対象外")),IF($AH622=5,IF($AJ622=30,"③特定消防","対象外"),IF(OR($AJ622=10,$AJ622=11,$AJ622=74),"④一般",IF(OR($AJ622=41,$AJ622=47),"⑤短期","対象外"))))))</f>
        <v>⑤短期</v>
      </c>
    </row>
    <row r="623" customFormat="false" ht="15" hidden="false" customHeight="false" outlineLevel="0" collapsed="false">
      <c r="A623" s="0" t="n">
        <v>31</v>
      </c>
      <c r="AA623" s="0" t="n">
        <v>21</v>
      </c>
      <c r="AB623" s="0" t="s">
        <v>496</v>
      </c>
      <c r="AD623" s="0" t="n">
        <v>12</v>
      </c>
      <c r="AE623" s="0" t="s">
        <v>96</v>
      </c>
      <c r="AH623" s="0" t="n">
        <v>4</v>
      </c>
      <c r="AJ623" s="0" t="n">
        <v>41</v>
      </c>
      <c r="AP623" s="0" t="n">
        <v>200000</v>
      </c>
      <c r="DB623" s="0" t="str">
        <f aca="false">IF($A623="","",IF($AE623&amp;""&lt;&gt;設定!$C$4,"対象外",IF($AH623=20,IF(OR($AJ623=10,$AJ623=11,$AJ623=18),"①病院一般",IF($AJ623=41,"②病院短期","対象外")),IF($AH623=5,IF($AJ623=30,"③特定消防","対象外"),IF(OR($AJ623=10,$AJ623=11,$AJ623=74),"④一般",IF(OR($AJ623=41,$AJ623=47),"⑤短期","対象外"))))))</f>
        <v>⑤短期</v>
      </c>
    </row>
    <row r="624" customFormat="false" ht="15" hidden="false" customHeight="false" outlineLevel="0" collapsed="false">
      <c r="A624" s="0" t="n">
        <v>31</v>
      </c>
      <c r="AA624" s="0" t="n">
        <v>21</v>
      </c>
      <c r="AB624" s="0" t="s">
        <v>496</v>
      </c>
      <c r="AD624" s="0" t="n">
        <v>12</v>
      </c>
      <c r="AE624" s="0" t="s">
        <v>96</v>
      </c>
      <c r="AH624" s="0" t="n">
        <v>1</v>
      </c>
      <c r="AJ624" s="0" t="n">
        <v>41</v>
      </c>
      <c r="AP624" s="0" t="n">
        <v>180000</v>
      </c>
      <c r="DB624" s="0" t="str">
        <f aca="false">IF($A624="","",IF($AE624&amp;""&lt;&gt;設定!$C$4,"対象外",IF($AH624=20,IF(OR($AJ624=10,$AJ624=11,$AJ624=18),"①病院一般",IF($AJ624=41,"②病院短期","対象外")),IF($AH624=5,IF($AJ624=30,"③特定消防","対象外"),IF(OR($AJ624=10,$AJ624=11,$AJ624=74),"④一般",IF(OR($AJ624=41,$AJ624=47),"⑤短期","対象外"))))))</f>
        <v>⑤短期</v>
      </c>
    </row>
    <row r="625" customFormat="false" ht="15" hidden="false" customHeight="false" outlineLevel="0" collapsed="false">
      <c r="A625" s="0" t="n">
        <v>31</v>
      </c>
      <c r="AA625" s="0" t="n">
        <v>21</v>
      </c>
      <c r="AB625" s="0" t="s">
        <v>494</v>
      </c>
      <c r="AD625" s="0" t="n">
        <v>12</v>
      </c>
      <c r="AE625" s="0" t="s">
        <v>96</v>
      </c>
      <c r="AH625" s="0" t="n">
        <v>20</v>
      </c>
      <c r="AJ625" s="0" t="n">
        <v>41</v>
      </c>
      <c r="AP625" s="0" t="n">
        <v>240000</v>
      </c>
      <c r="DB625" s="0" t="str">
        <f aca="false">IF($A625="","",IF($AE625&amp;""&lt;&gt;設定!$C$4,"対象外",IF($AH625=20,IF(OR($AJ625=10,$AJ625=11,$AJ625=18),"①病院一般",IF($AJ625=41,"②病院短期","対象外")),IF($AH625=5,IF($AJ625=30,"③特定消防","対象外"),IF(OR($AJ625=10,$AJ625=11,$AJ625=74),"④一般",IF(OR($AJ625=41,$AJ625=47),"⑤短期","対象外"))))))</f>
        <v>②病院短期</v>
      </c>
    </row>
    <row r="626" customFormat="false" ht="15" hidden="false" customHeight="false" outlineLevel="0" collapsed="false">
      <c r="A626" s="0" t="n">
        <v>31</v>
      </c>
      <c r="AA626" s="0" t="n">
        <v>21</v>
      </c>
      <c r="AB626" s="0" t="s">
        <v>496</v>
      </c>
      <c r="AD626" s="0" t="n">
        <v>12</v>
      </c>
      <c r="AE626" s="0" t="s">
        <v>96</v>
      </c>
      <c r="AH626" s="0" t="n">
        <v>20</v>
      </c>
      <c r="AJ626" s="0" t="n">
        <v>41</v>
      </c>
      <c r="AP626" s="0" t="n">
        <v>260000</v>
      </c>
      <c r="DB626" s="0" t="str">
        <f aca="false">IF($A626="","",IF($AE626&amp;""&lt;&gt;設定!$C$4,"対象外",IF($AH626=20,IF(OR($AJ626=10,$AJ626=11,$AJ626=18),"①病院一般",IF($AJ626=41,"②病院短期","対象外")),IF($AH626=5,IF($AJ626=30,"③特定消防","対象外"),IF(OR($AJ626=10,$AJ626=11,$AJ626=74),"④一般",IF(OR($AJ626=41,$AJ626=47),"⑤短期","対象外"))))))</f>
        <v>②病院短期</v>
      </c>
    </row>
    <row r="627" customFormat="false" ht="15" hidden="false" customHeight="false" outlineLevel="0" collapsed="false">
      <c r="A627" s="0" t="n">
        <v>31</v>
      </c>
      <c r="AA627" s="0" t="n">
        <v>21</v>
      </c>
      <c r="AB627" s="0" t="s">
        <v>496</v>
      </c>
      <c r="AD627" s="0" t="n">
        <v>12</v>
      </c>
      <c r="AE627" s="0" t="s">
        <v>96</v>
      </c>
      <c r="AH627" s="0" t="n">
        <v>20</v>
      </c>
      <c r="AJ627" s="0" t="n">
        <v>41</v>
      </c>
      <c r="AP627" s="0" t="n">
        <v>260000</v>
      </c>
      <c r="DB627" s="0" t="str">
        <f aca="false">IF($A627="","",IF($AE627&amp;""&lt;&gt;設定!$C$4,"対象外",IF($AH627=20,IF(OR($AJ627=10,$AJ627=11,$AJ627=18),"①病院一般",IF($AJ627=41,"②病院短期","対象外")),IF($AH627=5,IF($AJ627=30,"③特定消防","対象外"),IF(OR($AJ627=10,$AJ627=11,$AJ627=74),"④一般",IF(OR($AJ627=41,$AJ627=47),"⑤短期","対象外"))))))</f>
        <v>②病院短期</v>
      </c>
    </row>
    <row r="628" customFormat="false" ht="15" hidden="false" customHeight="false" outlineLevel="0" collapsed="false">
      <c r="A628" s="0" t="n">
        <v>31</v>
      </c>
      <c r="AA628" s="0" t="n">
        <v>21</v>
      </c>
      <c r="AB628" s="0" t="s">
        <v>496</v>
      </c>
      <c r="AD628" s="0" t="n">
        <v>12</v>
      </c>
      <c r="AE628" s="0" t="s">
        <v>96</v>
      </c>
      <c r="AH628" s="0" t="n">
        <v>1</v>
      </c>
      <c r="AJ628" s="0" t="n">
        <v>41</v>
      </c>
      <c r="AP628" s="0" t="n">
        <v>190000</v>
      </c>
      <c r="DB628" s="0" t="str">
        <f aca="false">IF($A628="","",IF($AE628&amp;""&lt;&gt;設定!$C$4,"対象外",IF($AH628=20,IF(OR($AJ628=10,$AJ628=11,$AJ628=18),"①病院一般",IF($AJ628=41,"②病院短期","対象外")),IF($AH628=5,IF($AJ628=30,"③特定消防","対象外"),IF(OR($AJ628=10,$AJ628=11,$AJ628=74),"④一般",IF(OR($AJ628=41,$AJ628=47),"⑤短期","対象外"))))))</f>
        <v>⑤短期</v>
      </c>
    </row>
    <row r="629" customFormat="false" ht="15" hidden="false" customHeight="false" outlineLevel="0" collapsed="false">
      <c r="A629" s="0" t="n">
        <v>31</v>
      </c>
      <c r="AA629" s="0" t="n">
        <v>21</v>
      </c>
      <c r="AB629" s="0" t="s">
        <v>496</v>
      </c>
      <c r="AD629" s="0" t="n">
        <v>12</v>
      </c>
      <c r="AE629" s="0" t="s">
        <v>96</v>
      </c>
      <c r="AH629" s="0" t="n">
        <v>1</v>
      </c>
      <c r="AJ629" s="0" t="n">
        <v>41</v>
      </c>
      <c r="AP629" s="0" t="n">
        <v>190000</v>
      </c>
      <c r="DB629" s="0" t="str">
        <f aca="false">IF($A629="","",IF($AE629&amp;""&lt;&gt;設定!$C$4,"対象外",IF($AH629=20,IF(OR($AJ629=10,$AJ629=11,$AJ629=18),"①病院一般",IF($AJ629=41,"②病院短期","対象外")),IF($AH629=5,IF($AJ629=30,"③特定消防","対象外"),IF(OR($AJ629=10,$AJ629=11,$AJ629=74),"④一般",IF(OR($AJ629=41,$AJ629=47),"⑤短期","対象外"))))))</f>
        <v>⑤短期</v>
      </c>
    </row>
    <row r="630" customFormat="false" ht="15" hidden="false" customHeight="false" outlineLevel="0" collapsed="false">
      <c r="A630" s="0" t="n">
        <v>31</v>
      </c>
      <c r="AA630" s="0" t="n">
        <v>21</v>
      </c>
      <c r="AB630" s="0" t="s">
        <v>496</v>
      </c>
      <c r="AD630" s="0" t="n">
        <v>12</v>
      </c>
      <c r="AE630" s="0" t="s">
        <v>96</v>
      </c>
      <c r="AH630" s="0" t="n">
        <v>1</v>
      </c>
      <c r="AJ630" s="0" t="n">
        <v>41</v>
      </c>
      <c r="AP630" s="0" t="n">
        <v>200000</v>
      </c>
      <c r="DB630" s="0" t="str">
        <f aca="false">IF($A630="","",IF($AE630&amp;""&lt;&gt;設定!$C$4,"対象外",IF($AH630=20,IF(OR($AJ630=10,$AJ630=11,$AJ630=18),"①病院一般",IF($AJ630=41,"②病院短期","対象外")),IF($AH630=5,IF($AJ630=30,"③特定消防","対象外"),IF(OR($AJ630=10,$AJ630=11,$AJ630=74),"④一般",IF(OR($AJ630=41,$AJ630=47),"⑤短期","対象外"))))))</f>
        <v>⑤短期</v>
      </c>
    </row>
    <row r="631" customFormat="false" ht="15" hidden="false" customHeight="false" outlineLevel="0" collapsed="false">
      <c r="A631" s="0" t="n">
        <v>31</v>
      </c>
      <c r="AA631" s="0" t="n">
        <v>21</v>
      </c>
      <c r="AB631" s="0" t="s">
        <v>477</v>
      </c>
      <c r="AD631" s="0" t="n">
        <v>12</v>
      </c>
      <c r="AE631" s="0" t="s">
        <v>96</v>
      </c>
      <c r="AH631" s="0" t="n">
        <v>1</v>
      </c>
      <c r="AJ631" s="0" t="n">
        <v>41</v>
      </c>
      <c r="AP631" s="0" t="n">
        <v>180000</v>
      </c>
      <c r="DB631" s="0" t="str">
        <f aca="false">IF($A631="","",IF($AE631&amp;""&lt;&gt;設定!$C$4,"対象外",IF($AH631=20,IF(OR($AJ631=10,$AJ631=11,$AJ631=18),"①病院一般",IF($AJ631=41,"②病院短期","対象外")),IF($AH631=5,IF($AJ631=30,"③特定消防","対象外"),IF(OR($AJ631=10,$AJ631=11,$AJ631=74),"④一般",IF(OR($AJ631=41,$AJ631=47),"⑤短期","対象外"))))))</f>
        <v>⑤短期</v>
      </c>
    </row>
    <row r="632" customFormat="false" ht="15" hidden="false" customHeight="false" outlineLevel="0" collapsed="false">
      <c r="A632" s="0" t="n">
        <v>31</v>
      </c>
      <c r="AA632" s="0" t="n">
        <v>21</v>
      </c>
      <c r="AB632" s="0" t="s">
        <v>496</v>
      </c>
      <c r="AD632" s="0" t="n">
        <v>12</v>
      </c>
      <c r="AE632" s="0" t="s">
        <v>96</v>
      </c>
      <c r="AH632" s="0" t="n">
        <v>1</v>
      </c>
      <c r="AJ632" s="0" t="n">
        <v>41</v>
      </c>
      <c r="AP632" s="0" t="n">
        <v>180000</v>
      </c>
      <c r="DB632" s="0" t="str">
        <f aca="false">IF($A632="","",IF($AE632&amp;""&lt;&gt;設定!$C$4,"対象外",IF($AH632=20,IF(OR($AJ632=10,$AJ632=11,$AJ632=18),"①病院一般",IF($AJ632=41,"②病院短期","対象外")),IF($AH632=5,IF($AJ632=30,"③特定消防","対象外"),IF(OR($AJ632=10,$AJ632=11,$AJ632=74),"④一般",IF(OR($AJ632=41,$AJ632=47),"⑤短期","対象外"))))))</f>
        <v>⑤短期</v>
      </c>
    </row>
    <row r="633" customFormat="false" ht="15" hidden="false" customHeight="false" outlineLevel="0" collapsed="false">
      <c r="A633" s="0" t="n">
        <v>31</v>
      </c>
      <c r="AA633" s="0" t="n">
        <v>21</v>
      </c>
      <c r="AB633" s="0" t="s">
        <v>496</v>
      </c>
      <c r="AD633" s="0" t="n">
        <v>12</v>
      </c>
      <c r="AE633" s="0" t="s">
        <v>96</v>
      </c>
      <c r="AH633" s="0" t="n">
        <v>1</v>
      </c>
      <c r="AJ633" s="0" t="n">
        <v>41</v>
      </c>
      <c r="AP633" s="0" t="n">
        <v>180000</v>
      </c>
      <c r="DB633" s="0" t="str">
        <f aca="false">IF($A633="","",IF($AE633&amp;""&lt;&gt;設定!$C$4,"対象外",IF($AH633=20,IF(OR($AJ633=10,$AJ633=11,$AJ633=18),"①病院一般",IF($AJ633=41,"②病院短期","対象外")),IF($AH633=5,IF($AJ633=30,"③特定消防","対象外"),IF(OR($AJ633=10,$AJ633=11,$AJ633=74),"④一般",IF(OR($AJ633=41,$AJ633=47),"⑤短期","対象外"))))))</f>
        <v>⑤短期</v>
      </c>
    </row>
    <row r="634" customFormat="false" ht="15" hidden="false" customHeight="false" outlineLevel="0" collapsed="false">
      <c r="A634" s="0" t="n">
        <v>31</v>
      </c>
      <c r="AA634" s="0" t="n">
        <v>21</v>
      </c>
      <c r="AB634" s="0" t="s">
        <v>496</v>
      </c>
      <c r="AD634" s="0" t="n">
        <v>12</v>
      </c>
      <c r="AE634" s="0" t="s">
        <v>96</v>
      </c>
      <c r="AH634" s="0" t="n">
        <v>1</v>
      </c>
      <c r="AJ634" s="0" t="n">
        <v>41</v>
      </c>
      <c r="AP634" s="0" t="n">
        <v>180000</v>
      </c>
      <c r="DB634" s="0" t="str">
        <f aca="false">IF($A634="","",IF($AE634&amp;""&lt;&gt;設定!$C$4,"対象外",IF($AH634=20,IF(OR($AJ634=10,$AJ634=11,$AJ634=18),"①病院一般",IF($AJ634=41,"②病院短期","対象外")),IF($AH634=5,IF($AJ634=30,"③特定消防","対象外"),IF(OR($AJ634=10,$AJ634=11,$AJ634=74),"④一般",IF(OR($AJ634=41,$AJ634=47),"⑤短期","対象外"))))))</f>
        <v>⑤短期</v>
      </c>
    </row>
    <row r="635" customFormat="false" ht="15" hidden="false" customHeight="false" outlineLevel="0" collapsed="false">
      <c r="A635" s="0" t="n">
        <v>31</v>
      </c>
      <c r="AA635" s="0" t="n">
        <v>21</v>
      </c>
      <c r="AB635" s="0" t="s">
        <v>496</v>
      </c>
      <c r="AD635" s="0" t="n">
        <v>12</v>
      </c>
      <c r="AE635" s="0" t="s">
        <v>96</v>
      </c>
      <c r="AH635" s="0" t="n">
        <v>1</v>
      </c>
      <c r="AJ635" s="0" t="n">
        <v>41</v>
      </c>
      <c r="AP635" s="0" t="n">
        <v>190000</v>
      </c>
      <c r="DB635" s="0" t="str">
        <f aca="false">IF($A635="","",IF($AE635&amp;""&lt;&gt;設定!$C$4,"対象外",IF($AH635=20,IF(OR($AJ635=10,$AJ635=11,$AJ635=18),"①病院一般",IF($AJ635=41,"②病院短期","対象外")),IF($AH635=5,IF($AJ635=30,"③特定消防","対象外"),IF(OR($AJ635=10,$AJ635=11,$AJ635=74),"④一般",IF(OR($AJ635=41,$AJ635=47),"⑤短期","対象外"))))))</f>
        <v>⑤短期</v>
      </c>
    </row>
    <row r="636" customFormat="false" ht="15" hidden="false" customHeight="false" outlineLevel="0" collapsed="false">
      <c r="A636" s="0" t="n">
        <v>31</v>
      </c>
      <c r="AA636" s="0" t="n">
        <v>21</v>
      </c>
      <c r="AB636" s="0" t="s">
        <v>496</v>
      </c>
      <c r="AD636" s="0" t="n">
        <v>12</v>
      </c>
      <c r="AE636" s="0" t="s">
        <v>96</v>
      </c>
      <c r="AH636" s="0" t="n">
        <v>1</v>
      </c>
      <c r="AJ636" s="0" t="n">
        <v>41</v>
      </c>
      <c r="AP636" s="0" t="n">
        <v>220000</v>
      </c>
      <c r="DB636" s="0" t="str">
        <f aca="false">IF($A636="","",IF($AE636&amp;""&lt;&gt;設定!$C$4,"対象外",IF($AH636=20,IF(OR($AJ636=10,$AJ636=11,$AJ636=18),"①病院一般",IF($AJ636=41,"②病院短期","対象外")),IF($AH636=5,IF($AJ636=30,"③特定消防","対象外"),IF(OR($AJ636=10,$AJ636=11,$AJ636=74),"④一般",IF(OR($AJ636=41,$AJ636=47),"⑤短期","対象外"))))))</f>
        <v>⑤短期</v>
      </c>
    </row>
    <row r="637" customFormat="false" ht="15" hidden="false" customHeight="false" outlineLevel="0" collapsed="false">
      <c r="A637" s="0" t="n">
        <v>31</v>
      </c>
      <c r="AA637" s="0" t="n">
        <v>21</v>
      </c>
      <c r="AB637" s="0" t="s">
        <v>496</v>
      </c>
      <c r="AD637" s="0" t="n">
        <v>12</v>
      </c>
      <c r="AE637" s="0" t="s">
        <v>96</v>
      </c>
      <c r="AH637" s="0" t="n">
        <v>1</v>
      </c>
      <c r="AJ637" s="0" t="n">
        <v>41</v>
      </c>
      <c r="AP637" s="0" t="n">
        <v>220000</v>
      </c>
      <c r="DB637" s="0" t="str">
        <f aca="false">IF($A637="","",IF($AE637&amp;""&lt;&gt;設定!$C$4,"対象外",IF($AH637=20,IF(OR($AJ637=10,$AJ637=11,$AJ637=18),"①病院一般",IF($AJ637=41,"②病院短期","対象外")),IF($AH637=5,IF($AJ637=30,"③特定消防","対象外"),IF(OR($AJ637=10,$AJ637=11,$AJ637=74),"④一般",IF(OR($AJ637=41,$AJ637=47),"⑤短期","対象外"))))))</f>
        <v>⑤短期</v>
      </c>
    </row>
    <row r="638" customFormat="false" ht="15" hidden="false" customHeight="false" outlineLevel="0" collapsed="false">
      <c r="A638" s="0" t="n">
        <v>31</v>
      </c>
      <c r="AA638" s="0" t="n">
        <v>21</v>
      </c>
      <c r="AB638" s="0" t="s">
        <v>496</v>
      </c>
      <c r="AD638" s="0" t="n">
        <v>12</v>
      </c>
      <c r="AE638" s="0" t="s">
        <v>96</v>
      </c>
      <c r="AH638" s="0" t="n">
        <v>1</v>
      </c>
      <c r="AJ638" s="0" t="n">
        <v>41</v>
      </c>
      <c r="AP638" s="0" t="n">
        <v>190000</v>
      </c>
      <c r="DB638" s="0" t="str">
        <f aca="false">IF($A638="","",IF($AE638&amp;""&lt;&gt;設定!$C$4,"対象外",IF($AH638=20,IF(OR($AJ638=10,$AJ638=11,$AJ638=18),"①病院一般",IF($AJ638=41,"②病院短期","対象外")),IF($AH638=5,IF($AJ638=30,"③特定消防","対象外"),IF(OR($AJ638=10,$AJ638=11,$AJ638=74),"④一般",IF(OR($AJ638=41,$AJ638=47),"⑤短期","対象外"))))))</f>
        <v>⑤短期</v>
      </c>
    </row>
    <row r="639" customFormat="false" ht="15" hidden="false" customHeight="false" outlineLevel="0" collapsed="false">
      <c r="A639" s="0" t="n">
        <v>31</v>
      </c>
      <c r="AA639" s="0" t="n">
        <v>21</v>
      </c>
      <c r="AB639" s="0" t="s">
        <v>477</v>
      </c>
      <c r="AD639" s="0" t="n">
        <v>12</v>
      </c>
      <c r="AE639" s="0" t="s">
        <v>96</v>
      </c>
      <c r="AH639" s="0" t="n">
        <v>5</v>
      </c>
      <c r="AJ639" s="0" t="n">
        <v>41</v>
      </c>
      <c r="AP639" s="0" t="n">
        <v>180000</v>
      </c>
      <c r="DB639" s="0" t="str">
        <f aca="false">IF($A639="","",IF($AE639&amp;""&lt;&gt;設定!$C$4,"対象外",IF($AH639=20,IF(OR($AJ639=10,$AJ639=11,$AJ639=18),"①病院一般",IF($AJ639=41,"②病院短期","対象外")),IF($AH639=5,IF($AJ639=30,"③特定消防","対象外"),IF(OR($AJ639=10,$AJ639=11,$AJ639=74),"④一般",IF(OR($AJ639=41,$AJ639=47),"⑤短期","対象外"))))))</f>
        <v>対象外</v>
      </c>
    </row>
    <row r="640" customFormat="false" ht="15" hidden="false" customHeight="false" outlineLevel="0" collapsed="false">
      <c r="A640" s="0" t="n">
        <v>31</v>
      </c>
      <c r="AA640" s="0" t="n">
        <v>24</v>
      </c>
      <c r="AB640" s="0" t="s">
        <v>509</v>
      </c>
      <c r="AD640" s="0" t="n">
        <v>12</v>
      </c>
      <c r="AE640" s="0" t="s">
        <v>96</v>
      </c>
      <c r="AH640" s="0" t="n">
        <v>4</v>
      </c>
      <c r="AJ640" s="0" t="n">
        <v>41</v>
      </c>
      <c r="AP640" s="0" t="n">
        <v>142000</v>
      </c>
      <c r="DB640" s="0" t="str">
        <f aca="false">IF($A640="","",IF($AE640&amp;""&lt;&gt;設定!$C$4,"対象外",IF($AH640=20,IF(OR($AJ640=10,$AJ640=11,$AJ640=18),"①病院一般",IF($AJ640=41,"②病院短期","対象外")),IF($AH640=5,IF($AJ640=30,"③特定消防","対象外"),IF(OR($AJ640=10,$AJ640=11,$AJ640=74),"④一般",IF(OR($AJ640=41,$AJ640=47),"⑤短期","対象外"))))))</f>
        <v>⑤短期</v>
      </c>
    </row>
    <row r="641" customFormat="false" ht="15" hidden="false" customHeight="false" outlineLevel="0" collapsed="false">
      <c r="A641" s="0" t="n">
        <v>31</v>
      </c>
      <c r="AA641" s="0" t="n">
        <v>21</v>
      </c>
      <c r="AB641" s="0" t="s">
        <v>496</v>
      </c>
      <c r="AD641" s="0" t="n">
        <v>11</v>
      </c>
      <c r="AE641" s="0" t="s">
        <v>96</v>
      </c>
      <c r="AH641" s="0" t="n">
        <v>1</v>
      </c>
      <c r="AJ641" s="0" t="n">
        <v>41</v>
      </c>
      <c r="AP641" s="0" t="n">
        <v>220000</v>
      </c>
      <c r="DB641" s="0" t="str">
        <f aca="false">IF($A641="","",IF($AE641&amp;""&lt;&gt;設定!$C$4,"対象外",IF($AH641=20,IF(OR($AJ641=10,$AJ641=11,$AJ641=18),"①病院一般",IF($AJ641=41,"②病院短期","対象外")),IF($AH641=5,IF($AJ641=30,"③特定消防","対象外"),IF(OR($AJ641=10,$AJ641=11,$AJ641=74),"④一般",IF(OR($AJ641=41,$AJ641=47),"⑤短期","対象外"))))))</f>
        <v>⑤短期</v>
      </c>
    </row>
    <row r="642" customFormat="false" ht="15" hidden="false" customHeight="false" outlineLevel="0" collapsed="false">
      <c r="A642" s="0" t="n">
        <v>31</v>
      </c>
      <c r="AA642" s="0" t="n">
        <v>21</v>
      </c>
      <c r="AB642" s="0" t="s">
        <v>496</v>
      </c>
      <c r="AD642" s="0" t="n">
        <v>12</v>
      </c>
      <c r="AE642" s="0" t="s">
        <v>96</v>
      </c>
      <c r="AH642" s="0" t="n">
        <v>20</v>
      </c>
      <c r="AJ642" s="0" t="n">
        <v>41</v>
      </c>
      <c r="AP642" s="0" t="n">
        <v>260000</v>
      </c>
      <c r="DB642" s="0" t="str">
        <f aca="false">IF($A642="","",IF($AE642&amp;""&lt;&gt;設定!$C$4,"対象外",IF($AH642=20,IF(OR($AJ642=10,$AJ642=11,$AJ642=18),"①病院一般",IF($AJ642=41,"②病院短期","対象外")),IF($AH642=5,IF($AJ642=30,"③特定消防","対象外"),IF(OR($AJ642=10,$AJ642=11,$AJ642=74),"④一般",IF(OR($AJ642=41,$AJ642=47),"⑤短期","対象外"))))))</f>
        <v>②病院短期</v>
      </c>
    </row>
    <row r="643" customFormat="false" ht="15" hidden="false" customHeight="false" outlineLevel="0" collapsed="false">
      <c r="A643" s="0" t="n">
        <v>31</v>
      </c>
      <c r="AA643" s="0" t="n">
        <v>21</v>
      </c>
      <c r="AB643" s="0" t="s">
        <v>496</v>
      </c>
      <c r="AD643" s="0" t="n">
        <v>12</v>
      </c>
      <c r="AE643" s="0" t="s">
        <v>96</v>
      </c>
      <c r="AH643" s="0" t="n">
        <v>1</v>
      </c>
      <c r="AJ643" s="0" t="n">
        <v>41</v>
      </c>
      <c r="AP643" s="0" t="n">
        <v>180000</v>
      </c>
      <c r="DB643" s="0" t="str">
        <f aca="false">IF($A643="","",IF($AE643&amp;""&lt;&gt;設定!$C$4,"対象外",IF($AH643=20,IF(OR($AJ643=10,$AJ643=11,$AJ643=18),"①病院一般",IF($AJ643=41,"②病院短期","対象外")),IF($AH643=5,IF($AJ643=30,"③特定消防","対象外"),IF(OR($AJ643=10,$AJ643=11,$AJ643=74),"④一般",IF(OR($AJ643=41,$AJ643=47),"⑤短期","対象外"))))))</f>
        <v>⑤短期</v>
      </c>
    </row>
    <row r="644" customFormat="false" ht="15" hidden="false" customHeight="false" outlineLevel="0" collapsed="false">
      <c r="A644" s="0" t="n">
        <v>31</v>
      </c>
      <c r="AA644" s="0" t="n">
        <v>21</v>
      </c>
      <c r="AB644" s="0" t="s">
        <v>496</v>
      </c>
      <c r="AD644" s="0" t="n">
        <v>12</v>
      </c>
      <c r="AE644" s="0" t="s">
        <v>96</v>
      </c>
      <c r="AH644" s="0" t="n">
        <v>5</v>
      </c>
      <c r="AJ644" s="0" t="n">
        <v>41</v>
      </c>
      <c r="AP644" s="0" t="n">
        <v>220000</v>
      </c>
      <c r="DB644" s="0" t="str">
        <f aca="false">IF($A644="","",IF($AE644&amp;""&lt;&gt;設定!$C$4,"対象外",IF($AH644=20,IF(OR($AJ644=10,$AJ644=11,$AJ644=18),"①病院一般",IF($AJ644=41,"②病院短期","対象外")),IF($AH644=5,IF($AJ644=30,"③特定消防","対象外"),IF(OR($AJ644=10,$AJ644=11,$AJ644=74),"④一般",IF(OR($AJ644=41,$AJ644=47),"⑤短期","対象外"))))))</f>
        <v>対象外</v>
      </c>
    </row>
    <row r="645" customFormat="false" ht="15" hidden="false" customHeight="false" outlineLevel="0" collapsed="false">
      <c r="A645" s="0" t="n">
        <v>31</v>
      </c>
      <c r="AA645" s="0" t="n">
        <v>21</v>
      </c>
      <c r="AB645" s="0" t="s">
        <v>496</v>
      </c>
      <c r="AD645" s="0" t="n">
        <v>12</v>
      </c>
      <c r="AE645" s="0" t="s">
        <v>96</v>
      </c>
      <c r="AH645" s="0" t="n">
        <v>20</v>
      </c>
      <c r="AJ645" s="0" t="n">
        <v>41</v>
      </c>
      <c r="AP645" s="0" t="n">
        <v>240000</v>
      </c>
      <c r="DB645" s="0" t="str">
        <f aca="false">IF($A645="","",IF($AE645&amp;""&lt;&gt;設定!$C$4,"対象外",IF($AH645=20,IF(OR($AJ645=10,$AJ645=11,$AJ645=18),"①病院一般",IF($AJ645=41,"②病院短期","対象外")),IF($AH645=5,IF($AJ645=30,"③特定消防","対象外"),IF(OR($AJ645=10,$AJ645=11,$AJ645=74),"④一般",IF(OR($AJ645=41,$AJ645=47),"⑤短期","対象外"))))))</f>
        <v>②病院短期</v>
      </c>
    </row>
    <row r="646" customFormat="false" ht="15" hidden="false" customHeight="false" outlineLevel="0" collapsed="false">
      <c r="A646" s="0" t="n">
        <v>31</v>
      </c>
      <c r="AA646" s="0" t="n">
        <v>21</v>
      </c>
      <c r="AB646" s="0" t="s">
        <v>496</v>
      </c>
      <c r="AD646" s="0" t="n">
        <v>12</v>
      </c>
      <c r="AE646" s="0" t="s">
        <v>96</v>
      </c>
      <c r="AH646" s="0" t="n">
        <v>20</v>
      </c>
      <c r="AJ646" s="0" t="n">
        <v>41</v>
      </c>
      <c r="AP646" s="0" t="n">
        <v>220000</v>
      </c>
      <c r="DB646" s="0" t="str">
        <f aca="false">IF($A646="","",IF($AE646&amp;""&lt;&gt;設定!$C$4,"対象外",IF($AH646=20,IF(OR($AJ646=10,$AJ646=11,$AJ646=18),"①病院一般",IF($AJ646=41,"②病院短期","対象外")),IF($AH646=5,IF($AJ646=30,"③特定消防","対象外"),IF(OR($AJ646=10,$AJ646=11,$AJ646=74),"④一般",IF(OR($AJ646=41,$AJ646=47),"⑤短期","対象外"))))))</f>
        <v>②病院短期</v>
      </c>
    </row>
    <row r="647" customFormat="false" ht="15" hidden="false" customHeight="false" outlineLevel="0" collapsed="false">
      <c r="A647" s="0" t="n">
        <v>31</v>
      </c>
      <c r="AA647" s="0" t="n">
        <v>21</v>
      </c>
      <c r="AB647" s="0" t="s">
        <v>496</v>
      </c>
      <c r="AD647" s="0" t="n">
        <v>12</v>
      </c>
      <c r="AE647" s="0" t="s">
        <v>96</v>
      </c>
      <c r="AH647" s="0" t="n">
        <v>1</v>
      </c>
      <c r="AJ647" s="0" t="n">
        <v>41</v>
      </c>
      <c r="AP647" s="0" t="n">
        <v>220000</v>
      </c>
      <c r="DB647" s="0" t="str">
        <f aca="false">IF($A647="","",IF($AE647&amp;""&lt;&gt;設定!$C$4,"対象外",IF($AH647=20,IF(OR($AJ647=10,$AJ647=11,$AJ647=18),"①病院一般",IF($AJ647=41,"②病院短期","対象外")),IF($AH647=5,IF($AJ647=30,"③特定消防","対象外"),IF(OR($AJ647=10,$AJ647=11,$AJ647=74),"④一般",IF(OR($AJ647=41,$AJ647=47),"⑤短期","対象外"))))))</f>
        <v>⑤短期</v>
      </c>
    </row>
    <row r="648" customFormat="false" ht="15" hidden="false" customHeight="false" outlineLevel="0" collapsed="false">
      <c r="A648" s="0" t="n">
        <v>31</v>
      </c>
      <c r="AA648" s="0" t="n">
        <v>21</v>
      </c>
      <c r="AB648" s="0" t="s">
        <v>496</v>
      </c>
      <c r="AD648" s="0" t="n">
        <v>12</v>
      </c>
      <c r="AE648" s="0" t="s">
        <v>96</v>
      </c>
      <c r="AH648" s="0" t="n">
        <v>1</v>
      </c>
      <c r="AJ648" s="0" t="n">
        <v>41</v>
      </c>
      <c r="AP648" s="0" t="n">
        <v>240000</v>
      </c>
      <c r="DB648" s="0" t="str">
        <f aca="false">IF($A648="","",IF($AE648&amp;""&lt;&gt;設定!$C$4,"対象外",IF($AH648=20,IF(OR($AJ648=10,$AJ648=11,$AJ648=18),"①病院一般",IF($AJ648=41,"②病院短期","対象外")),IF($AH648=5,IF($AJ648=30,"③特定消防","対象外"),IF(OR($AJ648=10,$AJ648=11,$AJ648=74),"④一般",IF(OR($AJ648=41,$AJ648=47),"⑤短期","対象外"))))))</f>
        <v>⑤短期</v>
      </c>
    </row>
    <row r="649" customFormat="false" ht="15" hidden="false" customHeight="false" outlineLevel="0" collapsed="false">
      <c r="A649" s="0" t="n">
        <v>31</v>
      </c>
      <c r="AA649" s="0" t="n">
        <v>21</v>
      </c>
      <c r="AB649" s="0" t="s">
        <v>496</v>
      </c>
      <c r="AD649" s="0" t="n">
        <v>12</v>
      </c>
      <c r="AE649" s="0" t="s">
        <v>96</v>
      </c>
      <c r="AH649" s="0" t="n">
        <v>1</v>
      </c>
      <c r="AJ649" s="0" t="n">
        <v>41</v>
      </c>
      <c r="AP649" s="0" t="n">
        <v>118000</v>
      </c>
      <c r="DB649" s="0" t="str">
        <f aca="false">IF($A649="","",IF($AE649&amp;""&lt;&gt;設定!$C$4,"対象外",IF($AH649=20,IF(OR($AJ649=10,$AJ649=11,$AJ649=18),"①病院一般",IF($AJ649=41,"②病院短期","対象外")),IF($AH649=5,IF($AJ649=30,"③特定消防","対象外"),IF(OR($AJ649=10,$AJ649=11,$AJ649=74),"④一般",IF(OR($AJ649=41,$AJ649=47),"⑤短期","対象外"))))))</f>
        <v>⑤短期</v>
      </c>
    </row>
    <row r="650" customFormat="false" ht="15" hidden="false" customHeight="false" outlineLevel="0" collapsed="false">
      <c r="A650" s="0" t="n">
        <v>31</v>
      </c>
      <c r="AA650" s="0" t="n">
        <v>21</v>
      </c>
      <c r="AB650" s="0" t="s">
        <v>496</v>
      </c>
      <c r="AD650" s="0" t="n">
        <v>12</v>
      </c>
      <c r="AE650" s="0" t="s">
        <v>96</v>
      </c>
      <c r="AH650" s="0" t="n">
        <v>5</v>
      </c>
      <c r="AJ650" s="0" t="n">
        <v>41</v>
      </c>
      <c r="AP650" s="0" t="n">
        <v>200000</v>
      </c>
      <c r="DB650" s="0" t="str">
        <f aca="false">IF($A650="","",IF($AE650&amp;""&lt;&gt;設定!$C$4,"対象外",IF($AH650=20,IF(OR($AJ650=10,$AJ650=11,$AJ650=18),"①病院一般",IF($AJ650=41,"②病院短期","対象外")),IF($AH650=5,IF($AJ650=30,"③特定消防","対象外"),IF(OR($AJ650=10,$AJ650=11,$AJ650=74),"④一般",IF(OR($AJ650=41,$AJ650=47),"⑤短期","対象外"))))))</f>
        <v>対象外</v>
      </c>
    </row>
    <row r="651" customFormat="false" ht="15" hidden="false" customHeight="false" outlineLevel="0" collapsed="false">
      <c r="A651" s="0" t="n">
        <v>31</v>
      </c>
      <c r="AA651" s="0" t="n">
        <v>21</v>
      </c>
      <c r="AB651" s="0" t="s">
        <v>496</v>
      </c>
      <c r="AD651" s="0" t="n">
        <v>12</v>
      </c>
      <c r="AE651" s="0" t="s">
        <v>96</v>
      </c>
      <c r="AH651" s="0" t="n">
        <v>1</v>
      </c>
      <c r="AJ651" s="0" t="n">
        <v>41</v>
      </c>
      <c r="AP651" s="0" t="n">
        <v>180000</v>
      </c>
      <c r="DB651" s="0" t="str">
        <f aca="false">IF($A651="","",IF($AE651&amp;""&lt;&gt;設定!$C$4,"対象外",IF($AH651=20,IF(OR($AJ651=10,$AJ651=11,$AJ651=18),"①病院一般",IF($AJ651=41,"②病院短期","対象外")),IF($AH651=5,IF($AJ651=30,"③特定消防","対象外"),IF(OR($AJ651=10,$AJ651=11,$AJ651=74),"④一般",IF(OR($AJ651=41,$AJ651=47),"⑤短期","対象外"))))))</f>
        <v>⑤短期</v>
      </c>
    </row>
    <row r="652" customFormat="false" ht="15" hidden="false" customHeight="false" outlineLevel="0" collapsed="false">
      <c r="A652" s="0" t="n">
        <v>31</v>
      </c>
      <c r="AA652" s="0" t="n">
        <v>21</v>
      </c>
      <c r="AB652" s="0" t="s">
        <v>496</v>
      </c>
      <c r="AD652" s="0" t="n">
        <v>12</v>
      </c>
      <c r="AE652" s="0" t="s">
        <v>96</v>
      </c>
      <c r="AH652" s="0" t="n">
        <v>11</v>
      </c>
      <c r="AJ652" s="0" t="n">
        <v>41</v>
      </c>
      <c r="AP652" s="0" t="n">
        <v>220000</v>
      </c>
      <c r="DB652" s="0" t="str">
        <f aca="false">IF($A652="","",IF($AE652&amp;""&lt;&gt;設定!$C$4,"対象外",IF($AH652=20,IF(OR($AJ652=10,$AJ652=11,$AJ652=18),"①病院一般",IF($AJ652=41,"②病院短期","対象外")),IF($AH652=5,IF($AJ652=30,"③特定消防","対象外"),IF(OR($AJ652=10,$AJ652=11,$AJ652=74),"④一般",IF(OR($AJ652=41,$AJ652=47),"⑤短期","対象外"))))))</f>
        <v>⑤短期</v>
      </c>
    </row>
    <row r="653" customFormat="false" ht="15" hidden="false" customHeight="false" outlineLevel="0" collapsed="false">
      <c r="A653" s="0" t="n">
        <v>31</v>
      </c>
      <c r="AA653" s="0" t="n">
        <v>21</v>
      </c>
      <c r="AB653" s="0" t="s">
        <v>496</v>
      </c>
      <c r="AD653" s="0" t="n">
        <v>12</v>
      </c>
      <c r="AE653" s="0" t="s">
        <v>96</v>
      </c>
      <c r="AH653" s="0" t="n">
        <v>11</v>
      </c>
      <c r="AJ653" s="0" t="n">
        <v>47</v>
      </c>
      <c r="AP653" s="0" t="n">
        <v>104000</v>
      </c>
      <c r="DB653" s="0" t="str">
        <f aca="false">IF($A653="","",IF($AE653&amp;""&lt;&gt;設定!$C$4,"対象外",IF($AH653=20,IF(OR($AJ653=10,$AJ653=11,$AJ653=18),"①病院一般",IF($AJ653=41,"②病院短期","対象外")),IF($AH653=5,IF($AJ653=30,"③特定消防","対象外"),IF(OR($AJ653=10,$AJ653=11,$AJ653=74),"④一般",IF(OR($AJ653=41,$AJ653=47),"⑤短期","対象外"))))))</f>
        <v>⑤短期</v>
      </c>
    </row>
    <row r="654" customFormat="false" ht="15" hidden="false" customHeight="false" outlineLevel="0" collapsed="false">
      <c r="A654" s="0" t="n">
        <v>31</v>
      </c>
      <c r="AA654" s="0" t="n">
        <v>21</v>
      </c>
      <c r="AB654" s="0" t="s">
        <v>477</v>
      </c>
      <c r="AD654" s="0" t="n">
        <v>12</v>
      </c>
      <c r="AE654" s="0" t="s">
        <v>96</v>
      </c>
      <c r="AH654" s="0" t="n">
        <v>20</v>
      </c>
      <c r="AJ654" s="0" t="n">
        <v>41</v>
      </c>
      <c r="AP654" s="0" t="n">
        <v>260000</v>
      </c>
      <c r="DB654" s="0" t="str">
        <f aca="false">IF($A654="","",IF($AE654&amp;""&lt;&gt;設定!$C$4,"対象外",IF($AH654=20,IF(OR($AJ654=10,$AJ654=11,$AJ654=18),"①病院一般",IF($AJ654=41,"②病院短期","対象外")),IF($AH654=5,IF($AJ654=30,"③特定消防","対象外"),IF(OR($AJ654=10,$AJ654=11,$AJ654=74),"④一般",IF(OR($AJ654=41,$AJ654=47),"⑤短期","対象外"))))))</f>
        <v>②病院短期</v>
      </c>
    </row>
    <row r="655" customFormat="false" ht="15" hidden="false" customHeight="false" outlineLevel="0" collapsed="false">
      <c r="A655" s="0" t="n">
        <v>31</v>
      </c>
      <c r="AA655" s="0" t="n">
        <v>21</v>
      </c>
      <c r="AB655" s="0" t="s">
        <v>496</v>
      </c>
      <c r="AD655" s="0" t="n">
        <v>12</v>
      </c>
      <c r="AE655" s="0" t="s">
        <v>96</v>
      </c>
      <c r="AH655" s="0" t="n">
        <v>20</v>
      </c>
      <c r="AJ655" s="0" t="n">
        <v>41</v>
      </c>
      <c r="AP655" s="0" t="n">
        <v>260000</v>
      </c>
      <c r="DB655" s="0" t="str">
        <f aca="false">IF($A655="","",IF($AE655&amp;""&lt;&gt;設定!$C$4,"対象外",IF($AH655=20,IF(OR($AJ655=10,$AJ655=11,$AJ655=18),"①病院一般",IF($AJ655=41,"②病院短期","対象外")),IF($AH655=5,IF($AJ655=30,"③特定消防","対象外"),IF(OR($AJ655=10,$AJ655=11,$AJ655=74),"④一般",IF(OR($AJ655=41,$AJ655=47),"⑤短期","対象外"))))))</f>
        <v>②病院短期</v>
      </c>
    </row>
    <row r="656" customFormat="false" ht="15" hidden="false" customHeight="false" outlineLevel="0" collapsed="false">
      <c r="A656" s="0" t="n">
        <v>31</v>
      </c>
      <c r="AA656" s="0" t="n">
        <v>21</v>
      </c>
      <c r="AB656" s="0" t="s">
        <v>496</v>
      </c>
      <c r="AD656" s="0" t="n">
        <v>12</v>
      </c>
      <c r="AE656" s="0" t="s">
        <v>96</v>
      </c>
      <c r="AH656" s="0" t="n">
        <v>1</v>
      </c>
      <c r="AJ656" s="0" t="n">
        <v>41</v>
      </c>
      <c r="AP656" s="0" t="n">
        <v>220000</v>
      </c>
      <c r="DB656" s="0" t="str">
        <f aca="false">IF($A656="","",IF($AE656&amp;""&lt;&gt;設定!$C$4,"対象外",IF($AH656=20,IF(OR($AJ656=10,$AJ656=11,$AJ656=18),"①病院一般",IF($AJ656=41,"②病院短期","対象外")),IF($AH656=5,IF($AJ656=30,"③特定消防","対象外"),IF(OR($AJ656=10,$AJ656=11,$AJ656=74),"④一般",IF(OR($AJ656=41,$AJ656=47),"⑤短期","対象外"))))))</f>
        <v>⑤短期</v>
      </c>
    </row>
    <row r="657" customFormat="false" ht="15" hidden="false" customHeight="false" outlineLevel="0" collapsed="false">
      <c r="A657" s="0" t="n">
        <v>31</v>
      </c>
      <c r="AA657" s="0" t="n">
        <v>21</v>
      </c>
      <c r="AB657" s="0" t="s">
        <v>510</v>
      </c>
      <c r="AD657" s="0" t="n">
        <v>12</v>
      </c>
      <c r="AE657" s="0" t="s">
        <v>96</v>
      </c>
      <c r="AH657" s="0" t="n">
        <v>1</v>
      </c>
      <c r="AJ657" s="0" t="n">
        <v>41</v>
      </c>
      <c r="AP657" s="0" t="n">
        <v>126000</v>
      </c>
      <c r="DB657" s="0" t="str">
        <f aca="false">IF($A657="","",IF($AE657&amp;""&lt;&gt;設定!$C$4,"対象外",IF($AH657=20,IF(OR($AJ657=10,$AJ657=11,$AJ657=18),"①病院一般",IF($AJ657=41,"②病院短期","対象外")),IF($AH657=5,IF($AJ657=30,"③特定消防","対象外"),IF(OR($AJ657=10,$AJ657=11,$AJ657=74),"④一般",IF(OR($AJ657=41,$AJ657=47),"⑤短期","対象外"))))))</f>
        <v>⑤短期</v>
      </c>
    </row>
    <row r="658" customFormat="false" ht="15" hidden="false" customHeight="false" outlineLevel="0" collapsed="false">
      <c r="A658" s="0" t="n">
        <v>31</v>
      </c>
      <c r="AA658" s="0" t="n">
        <v>21</v>
      </c>
      <c r="AB658" s="0" t="s">
        <v>496</v>
      </c>
      <c r="AD658" s="0" t="n">
        <v>12</v>
      </c>
      <c r="AE658" s="0" t="s">
        <v>96</v>
      </c>
      <c r="AH658" s="0" t="n">
        <v>1</v>
      </c>
      <c r="AJ658" s="0" t="n">
        <v>41</v>
      </c>
      <c r="AP658" s="0" t="n">
        <v>180000</v>
      </c>
      <c r="DB658" s="0" t="str">
        <f aca="false">IF($A658="","",IF($AE658&amp;""&lt;&gt;設定!$C$4,"対象外",IF($AH658=20,IF(OR($AJ658=10,$AJ658=11,$AJ658=18),"①病院一般",IF($AJ658=41,"②病院短期","対象外")),IF($AH658=5,IF($AJ658=30,"③特定消防","対象外"),IF(OR($AJ658=10,$AJ658=11,$AJ658=74),"④一般",IF(OR($AJ658=41,$AJ658=47),"⑤短期","対象外"))))))</f>
        <v>⑤短期</v>
      </c>
    </row>
    <row r="659" customFormat="false" ht="15" hidden="false" customHeight="false" outlineLevel="0" collapsed="false">
      <c r="A659" s="0" t="n">
        <v>31</v>
      </c>
      <c r="AA659" s="0" t="n">
        <v>21</v>
      </c>
      <c r="AB659" s="0" t="s">
        <v>496</v>
      </c>
      <c r="AD659" s="0" t="n">
        <v>12</v>
      </c>
      <c r="AE659" s="0" t="s">
        <v>96</v>
      </c>
      <c r="AH659" s="0" t="n">
        <v>1</v>
      </c>
      <c r="AJ659" s="0" t="n">
        <v>41</v>
      </c>
      <c r="AP659" s="0" t="n">
        <v>240000</v>
      </c>
      <c r="DB659" s="0" t="str">
        <f aca="false">IF($A659="","",IF($AE659&amp;""&lt;&gt;設定!$C$4,"対象外",IF($AH659=20,IF(OR($AJ659=10,$AJ659=11,$AJ659=18),"①病院一般",IF($AJ659=41,"②病院短期","対象外")),IF($AH659=5,IF($AJ659=30,"③特定消防","対象外"),IF(OR($AJ659=10,$AJ659=11,$AJ659=74),"④一般",IF(OR($AJ659=41,$AJ659=47),"⑤短期","対象外"))))))</f>
        <v>⑤短期</v>
      </c>
    </row>
    <row r="660" customFormat="false" ht="15" hidden="false" customHeight="false" outlineLevel="0" collapsed="false">
      <c r="A660" s="0" t="n">
        <v>31</v>
      </c>
      <c r="AA660" s="0" t="n">
        <v>21</v>
      </c>
      <c r="AB660" s="0" t="s">
        <v>496</v>
      </c>
      <c r="AD660" s="0" t="n">
        <v>12</v>
      </c>
      <c r="AE660" s="0" t="s">
        <v>96</v>
      </c>
      <c r="AH660" s="0" t="n">
        <v>1</v>
      </c>
      <c r="AJ660" s="0" t="n">
        <v>41</v>
      </c>
      <c r="AP660" s="0" t="n">
        <v>220000</v>
      </c>
      <c r="DB660" s="0" t="str">
        <f aca="false">IF($A660="","",IF($AE660&amp;""&lt;&gt;設定!$C$4,"対象外",IF($AH660=20,IF(OR($AJ660=10,$AJ660=11,$AJ660=18),"①病院一般",IF($AJ660=41,"②病院短期","対象外")),IF($AH660=5,IF($AJ660=30,"③特定消防","対象外"),IF(OR($AJ660=10,$AJ660=11,$AJ660=74),"④一般",IF(OR($AJ660=41,$AJ660=47),"⑤短期","対象外"))))))</f>
        <v>⑤短期</v>
      </c>
    </row>
    <row r="661" customFormat="false" ht="15" hidden="false" customHeight="false" outlineLevel="0" collapsed="false">
      <c r="A661" s="0" t="n">
        <v>31</v>
      </c>
      <c r="AA661" s="0" t="n">
        <v>21</v>
      </c>
      <c r="AB661" s="0" t="s">
        <v>494</v>
      </c>
      <c r="AD661" s="0" t="n">
        <v>11</v>
      </c>
      <c r="AE661" s="0" t="s">
        <v>96</v>
      </c>
      <c r="AH661" s="0" t="n">
        <v>11</v>
      </c>
      <c r="AJ661" s="0" t="n">
        <v>41</v>
      </c>
      <c r="AP661" s="0" t="n">
        <v>260000</v>
      </c>
      <c r="DB661" s="0" t="str">
        <f aca="false">IF($A661="","",IF($AE661&amp;""&lt;&gt;設定!$C$4,"対象外",IF($AH661=20,IF(OR($AJ661=10,$AJ661=11,$AJ661=18),"①病院一般",IF($AJ661=41,"②病院短期","対象外")),IF($AH661=5,IF($AJ661=30,"③特定消防","対象外"),IF(OR($AJ661=10,$AJ661=11,$AJ661=74),"④一般",IF(OR($AJ661=41,$AJ661=47),"⑤短期","対象外"))))))</f>
        <v>⑤短期</v>
      </c>
    </row>
    <row r="662" customFormat="false" ht="15" hidden="false" customHeight="false" outlineLevel="0" collapsed="false">
      <c r="A662" s="0" t="n">
        <v>31</v>
      </c>
      <c r="AA662" s="0" t="n">
        <v>21</v>
      </c>
      <c r="AB662" s="0" t="s">
        <v>96</v>
      </c>
      <c r="AD662" s="0" t="n">
        <v>12</v>
      </c>
      <c r="AE662" s="0" t="s">
        <v>294</v>
      </c>
      <c r="AH662" s="0" t="n">
        <v>1</v>
      </c>
      <c r="AJ662" s="0" t="n">
        <v>41</v>
      </c>
      <c r="AP662" s="0" t="n">
        <v>260000</v>
      </c>
      <c r="DB662" s="0" t="str">
        <f aca="false">IF($A662="","",IF($AE662&amp;""&lt;&gt;設定!$C$4,"対象外",IF($AH662=20,IF(OR($AJ662=10,$AJ662=11,$AJ662=18),"①病院一般",IF($AJ662=41,"②病院短期","対象外")),IF($AH662=5,IF($AJ662=30,"③特定消防","対象外"),IF(OR($AJ662=10,$AJ662=11,$AJ662=74),"④一般",IF(OR($AJ662=41,$AJ662=47),"⑤短期","対象外"))))))</f>
        <v>対象外</v>
      </c>
    </row>
    <row r="663" customFormat="false" ht="15" hidden="false" customHeight="false" outlineLevel="0" collapsed="false">
      <c r="A663" s="0" t="n">
        <v>31</v>
      </c>
      <c r="AA663" s="0" t="n">
        <v>21</v>
      </c>
      <c r="AB663" s="0" t="s">
        <v>477</v>
      </c>
      <c r="AD663" s="0" t="n">
        <v>12</v>
      </c>
      <c r="AE663" s="0" t="s">
        <v>96</v>
      </c>
      <c r="AH663" s="0" t="n">
        <v>1</v>
      </c>
      <c r="AJ663" s="0" t="n">
        <v>41</v>
      </c>
      <c r="AP663" s="0" t="n">
        <v>220000</v>
      </c>
      <c r="DB663" s="0" t="str">
        <f aca="false">IF($A663="","",IF($AE663&amp;""&lt;&gt;設定!$C$4,"対象外",IF($AH663=20,IF(OR($AJ663=10,$AJ663=11,$AJ663=18),"①病院一般",IF($AJ663=41,"②病院短期","対象外")),IF($AH663=5,IF($AJ663=30,"③特定消防","対象外"),IF(OR($AJ663=10,$AJ663=11,$AJ663=74),"④一般",IF(OR($AJ663=41,$AJ663=47),"⑤短期","対象外"))))))</f>
        <v>⑤短期</v>
      </c>
    </row>
    <row r="664" customFormat="false" ht="15" hidden="false" customHeight="false" outlineLevel="0" collapsed="false">
      <c r="A664" s="0" t="n">
        <v>31</v>
      </c>
      <c r="AA664" s="0" t="n">
        <v>21</v>
      </c>
      <c r="AB664" s="0" t="s">
        <v>496</v>
      </c>
      <c r="AD664" s="0" t="n">
        <v>12</v>
      </c>
      <c r="AE664" s="0" t="s">
        <v>96</v>
      </c>
      <c r="AH664" s="0" t="n">
        <v>20</v>
      </c>
      <c r="AJ664" s="0" t="n">
        <v>41</v>
      </c>
      <c r="AP664" s="0" t="n">
        <v>240000</v>
      </c>
      <c r="DB664" s="0" t="str">
        <f aca="false">IF($A664="","",IF($AE664&amp;""&lt;&gt;設定!$C$4,"対象外",IF($AH664=20,IF(OR($AJ664=10,$AJ664=11,$AJ664=18),"①病院一般",IF($AJ664=41,"②病院短期","対象外")),IF($AH664=5,IF($AJ664=30,"③特定消防","対象外"),IF(OR($AJ664=10,$AJ664=11,$AJ664=74),"④一般",IF(OR($AJ664=41,$AJ664=47),"⑤短期","対象外"))))))</f>
        <v>②病院短期</v>
      </c>
    </row>
    <row r="665" customFormat="false" ht="15" hidden="false" customHeight="false" outlineLevel="0" collapsed="false">
      <c r="A665" s="0" t="n">
        <v>31</v>
      </c>
      <c r="AA665" s="0" t="n">
        <v>21</v>
      </c>
      <c r="AB665" s="0" t="s">
        <v>496</v>
      </c>
      <c r="AD665" s="0" t="n">
        <v>12</v>
      </c>
      <c r="AE665" s="0" t="s">
        <v>96</v>
      </c>
      <c r="AH665" s="0" t="n">
        <v>20</v>
      </c>
      <c r="AJ665" s="0" t="n">
        <v>41</v>
      </c>
      <c r="AP665" s="0" t="n">
        <v>240000</v>
      </c>
      <c r="DB665" s="0" t="str">
        <f aca="false">IF($A665="","",IF($AE665&amp;""&lt;&gt;設定!$C$4,"対象外",IF($AH665=20,IF(OR($AJ665=10,$AJ665=11,$AJ665=18),"①病院一般",IF($AJ665=41,"②病院短期","対象外")),IF($AH665=5,IF($AJ665=30,"③特定消防","対象外"),IF(OR($AJ665=10,$AJ665=11,$AJ665=74),"④一般",IF(OR($AJ665=41,$AJ665=47),"⑤短期","対象外"))))))</f>
        <v>②病院短期</v>
      </c>
    </row>
    <row r="666" customFormat="false" ht="15" hidden="false" customHeight="false" outlineLevel="0" collapsed="false">
      <c r="A666" s="0" t="n">
        <v>31</v>
      </c>
      <c r="AA666" s="0" t="n">
        <v>24</v>
      </c>
      <c r="AB666" s="0" t="s">
        <v>299</v>
      </c>
      <c r="AD666" s="0" t="n">
        <v>12</v>
      </c>
      <c r="AE666" s="0" t="s">
        <v>301</v>
      </c>
      <c r="AH666" s="0" t="n">
        <v>1</v>
      </c>
      <c r="AJ666" s="0" t="n">
        <v>41</v>
      </c>
      <c r="AP666" s="0" t="n">
        <v>240000</v>
      </c>
      <c r="DB666" s="0" t="str">
        <f aca="false">IF($A666="","",IF($AE666&amp;""&lt;&gt;設定!$C$4,"対象外",IF($AH666=20,IF(OR($AJ666=10,$AJ666=11,$AJ666=18),"①病院一般",IF($AJ666=41,"②病院短期","対象外")),IF($AH666=5,IF($AJ666=30,"③特定消防","対象外"),IF(OR($AJ666=10,$AJ666=11,$AJ666=74),"④一般",IF(OR($AJ666=41,$AJ666=47),"⑤短期","対象外"))))))</f>
        <v>対象外</v>
      </c>
    </row>
    <row r="667" customFormat="false" ht="15" hidden="false" customHeight="false" outlineLevel="0" collapsed="false">
      <c r="A667" s="0" t="n">
        <v>31</v>
      </c>
      <c r="AA667" s="0" t="n">
        <v>21</v>
      </c>
      <c r="AB667" s="0" t="s">
        <v>496</v>
      </c>
      <c r="AD667" s="0" t="n">
        <v>12</v>
      </c>
      <c r="AE667" s="0" t="s">
        <v>96</v>
      </c>
      <c r="AH667" s="0" t="n">
        <v>1</v>
      </c>
      <c r="AJ667" s="0" t="n">
        <v>47</v>
      </c>
      <c r="AP667" s="0" t="n">
        <v>180000</v>
      </c>
      <c r="DB667" s="0" t="str">
        <f aca="false">IF($A667="","",IF($AE667&amp;""&lt;&gt;設定!$C$4,"対象外",IF($AH667=20,IF(OR($AJ667=10,$AJ667=11,$AJ667=18),"①病院一般",IF($AJ667=41,"②病院短期","対象外")),IF($AH667=5,IF($AJ667=30,"③特定消防","対象外"),IF(OR($AJ667=10,$AJ667=11,$AJ667=74),"④一般",IF(OR($AJ667=41,$AJ667=47),"⑤短期","対象外"))))))</f>
        <v>⑤短期</v>
      </c>
    </row>
    <row r="668" customFormat="false" ht="15" hidden="false" customHeight="false" outlineLevel="0" collapsed="false">
      <c r="A668" s="0" t="n">
        <v>31</v>
      </c>
      <c r="AA668" s="0" t="n">
        <v>21</v>
      </c>
      <c r="AB668" s="0" t="s">
        <v>494</v>
      </c>
      <c r="AD668" s="0" t="n">
        <v>12</v>
      </c>
      <c r="AE668" s="0" t="s">
        <v>96</v>
      </c>
      <c r="AH668" s="0" t="n">
        <v>20</v>
      </c>
      <c r="AJ668" s="0" t="n">
        <v>41</v>
      </c>
      <c r="AP668" s="0" t="n">
        <v>240000</v>
      </c>
      <c r="DB668" s="0" t="str">
        <f aca="false">IF($A668="","",IF($AE668&amp;""&lt;&gt;設定!$C$4,"対象外",IF($AH668=20,IF(OR($AJ668=10,$AJ668=11,$AJ668=18),"①病院一般",IF($AJ668=41,"②病院短期","対象外")),IF($AH668=5,IF($AJ668=30,"③特定消防","対象外"),IF(OR($AJ668=10,$AJ668=11,$AJ668=74),"④一般",IF(OR($AJ668=41,$AJ668=47),"⑤短期","対象外"))))))</f>
        <v>②病院短期</v>
      </c>
    </row>
    <row r="669" customFormat="false" ht="15" hidden="false" customHeight="false" outlineLevel="0" collapsed="false">
      <c r="A669" s="0" t="n">
        <v>31</v>
      </c>
      <c r="AA669" s="0" t="n">
        <v>21</v>
      </c>
      <c r="AB669" s="0" t="s">
        <v>477</v>
      </c>
      <c r="AD669" s="0" t="n">
        <v>12</v>
      </c>
      <c r="AE669" s="0" t="s">
        <v>96</v>
      </c>
      <c r="AH669" s="0" t="n">
        <v>11</v>
      </c>
      <c r="AJ669" s="0" t="n">
        <v>41</v>
      </c>
      <c r="AP669" s="0" t="n">
        <v>200000</v>
      </c>
      <c r="DB669" s="0" t="str">
        <f aca="false">IF($A669="","",IF($AE669&amp;""&lt;&gt;設定!$C$4,"対象外",IF($AH669=20,IF(OR($AJ669=10,$AJ669=11,$AJ669=18),"①病院一般",IF($AJ669=41,"②病院短期","対象外")),IF($AH669=5,IF($AJ669=30,"③特定消防","対象外"),IF(OR($AJ669=10,$AJ669=11,$AJ669=74),"④一般",IF(OR($AJ669=41,$AJ669=47),"⑤短期","対象外"))))))</f>
        <v>⑤短期</v>
      </c>
    </row>
    <row r="670" customFormat="false" ht="15" hidden="false" customHeight="false" outlineLevel="0" collapsed="false">
      <c r="A670" s="0" t="n">
        <v>31</v>
      </c>
      <c r="AA670" s="0" t="n">
        <v>21</v>
      </c>
      <c r="AB670" s="0" t="s">
        <v>496</v>
      </c>
      <c r="AD670" s="0" t="n">
        <v>12</v>
      </c>
      <c r="AE670" s="0" t="s">
        <v>96</v>
      </c>
      <c r="AH670" s="0" t="n">
        <v>11</v>
      </c>
      <c r="AJ670" s="0" t="n">
        <v>41</v>
      </c>
      <c r="AP670" s="0" t="n">
        <v>180000</v>
      </c>
      <c r="DB670" s="0" t="str">
        <f aca="false">IF($A670="","",IF($AE670&amp;""&lt;&gt;設定!$C$4,"対象外",IF($AH670=20,IF(OR($AJ670=10,$AJ670=11,$AJ670=18),"①病院一般",IF($AJ670=41,"②病院短期","対象外")),IF($AH670=5,IF($AJ670=30,"③特定消防","対象外"),IF(OR($AJ670=10,$AJ670=11,$AJ670=74),"④一般",IF(OR($AJ670=41,$AJ670=47),"⑤短期","対象外"))))))</f>
        <v>⑤短期</v>
      </c>
    </row>
    <row r="671" customFormat="false" ht="15" hidden="false" customHeight="false" outlineLevel="0" collapsed="false">
      <c r="A671" s="0" t="n">
        <v>31</v>
      </c>
      <c r="AA671" s="0" t="n">
        <v>21</v>
      </c>
      <c r="AB671" s="0" t="s">
        <v>494</v>
      </c>
      <c r="AD671" s="0" t="n">
        <v>12</v>
      </c>
      <c r="AE671" s="0" t="s">
        <v>96</v>
      </c>
      <c r="AH671" s="0" t="n">
        <v>1</v>
      </c>
      <c r="AJ671" s="0" t="n">
        <v>41</v>
      </c>
      <c r="AP671" s="0" t="n">
        <v>220000</v>
      </c>
      <c r="DB671" s="0" t="str">
        <f aca="false">IF($A671="","",IF($AE671&amp;""&lt;&gt;設定!$C$4,"対象外",IF($AH671=20,IF(OR($AJ671=10,$AJ671=11,$AJ671=18),"①病院一般",IF($AJ671=41,"②病院短期","対象外")),IF($AH671=5,IF($AJ671=30,"③特定消防","対象外"),IF(OR($AJ671=10,$AJ671=11,$AJ671=74),"④一般",IF(OR($AJ671=41,$AJ671=47),"⑤短期","対象外"))))))</f>
        <v>⑤短期</v>
      </c>
    </row>
    <row r="672" customFormat="false" ht="15" hidden="false" customHeight="false" outlineLevel="0" collapsed="false">
      <c r="A672" s="0" t="n">
        <v>31</v>
      </c>
      <c r="AA672" s="0" t="n">
        <v>21</v>
      </c>
      <c r="AB672" s="0" t="s">
        <v>494</v>
      </c>
      <c r="AD672" s="0" t="n">
        <v>12</v>
      </c>
      <c r="AE672" s="0" t="s">
        <v>96</v>
      </c>
      <c r="AH672" s="0" t="n">
        <v>1</v>
      </c>
      <c r="AJ672" s="0" t="n">
        <v>41</v>
      </c>
      <c r="AP672" s="0" t="n">
        <v>240000</v>
      </c>
      <c r="DB672" s="0" t="str">
        <f aca="false">IF($A672="","",IF($AE672&amp;""&lt;&gt;設定!$C$4,"対象外",IF($AH672=20,IF(OR($AJ672=10,$AJ672=11,$AJ672=18),"①病院一般",IF($AJ672=41,"②病院短期","対象外")),IF($AH672=5,IF($AJ672=30,"③特定消防","対象外"),IF(OR($AJ672=10,$AJ672=11,$AJ672=74),"④一般",IF(OR($AJ672=41,$AJ672=47),"⑤短期","対象外"))))))</f>
        <v>⑤短期</v>
      </c>
    </row>
    <row r="673" customFormat="false" ht="15" hidden="false" customHeight="false" outlineLevel="0" collapsed="false">
      <c r="A673" s="0" t="n">
        <v>31</v>
      </c>
      <c r="AA673" s="0" t="n">
        <v>21</v>
      </c>
      <c r="AB673" s="0" t="s">
        <v>496</v>
      </c>
      <c r="AD673" s="0" t="n">
        <v>12</v>
      </c>
      <c r="AE673" s="0" t="s">
        <v>96</v>
      </c>
      <c r="AH673" s="0" t="n">
        <v>1</v>
      </c>
      <c r="AJ673" s="0" t="n">
        <v>41</v>
      </c>
      <c r="AP673" s="0" t="n">
        <v>240000</v>
      </c>
      <c r="DB673" s="0" t="str">
        <f aca="false">IF($A673="","",IF($AE673&amp;""&lt;&gt;設定!$C$4,"対象外",IF($AH673=20,IF(OR($AJ673=10,$AJ673=11,$AJ673=18),"①病院一般",IF($AJ673=41,"②病院短期","対象外")),IF($AH673=5,IF($AJ673=30,"③特定消防","対象外"),IF(OR($AJ673=10,$AJ673=11,$AJ673=74),"④一般",IF(OR($AJ673=41,$AJ673=47),"⑤短期","対象外"))))))</f>
        <v>⑤短期</v>
      </c>
    </row>
    <row r="674" customFormat="false" ht="15" hidden="false" customHeight="false" outlineLevel="0" collapsed="false">
      <c r="A674" s="0" t="n">
        <v>31</v>
      </c>
      <c r="AA674" s="0" t="n">
        <v>21</v>
      </c>
      <c r="AB674" s="0" t="s">
        <v>496</v>
      </c>
      <c r="AD674" s="0" t="n">
        <v>12</v>
      </c>
      <c r="AE674" s="0" t="s">
        <v>96</v>
      </c>
      <c r="AH674" s="0" t="n">
        <v>1</v>
      </c>
      <c r="AJ674" s="0" t="n">
        <v>41</v>
      </c>
      <c r="AP674" s="0" t="n">
        <v>190000</v>
      </c>
      <c r="DB674" s="0" t="str">
        <f aca="false">IF($A674="","",IF($AE674&amp;""&lt;&gt;設定!$C$4,"対象外",IF($AH674=20,IF(OR($AJ674=10,$AJ674=11,$AJ674=18),"①病院一般",IF($AJ674=41,"②病院短期","対象外")),IF($AH674=5,IF($AJ674=30,"③特定消防","対象外"),IF(OR($AJ674=10,$AJ674=11,$AJ674=74),"④一般",IF(OR($AJ674=41,$AJ674=47),"⑤短期","対象外"))))))</f>
        <v>⑤短期</v>
      </c>
    </row>
    <row r="675" customFormat="false" ht="15" hidden="false" customHeight="false" outlineLevel="0" collapsed="false">
      <c r="A675" s="0" t="n">
        <v>31</v>
      </c>
      <c r="AA675" s="0" t="n">
        <v>21</v>
      </c>
      <c r="AB675" s="0" t="s">
        <v>496</v>
      </c>
      <c r="AD675" s="0" t="n">
        <v>12</v>
      </c>
      <c r="AE675" s="0" t="s">
        <v>96</v>
      </c>
      <c r="AH675" s="0" t="n">
        <v>1</v>
      </c>
      <c r="AJ675" s="0" t="n">
        <v>41</v>
      </c>
      <c r="AP675" s="0" t="n">
        <v>190000</v>
      </c>
      <c r="DB675" s="0" t="str">
        <f aca="false">IF($A675="","",IF($AE675&amp;""&lt;&gt;設定!$C$4,"対象外",IF($AH675=20,IF(OR($AJ675=10,$AJ675=11,$AJ675=18),"①病院一般",IF($AJ675=41,"②病院短期","対象外")),IF($AH675=5,IF($AJ675=30,"③特定消防","対象外"),IF(OR($AJ675=10,$AJ675=11,$AJ675=74),"④一般",IF(OR($AJ675=41,$AJ675=47),"⑤短期","対象外"))))))</f>
        <v>⑤短期</v>
      </c>
    </row>
    <row r="676" customFormat="false" ht="15" hidden="false" customHeight="false" outlineLevel="0" collapsed="false">
      <c r="A676" s="0" t="n">
        <v>31</v>
      </c>
      <c r="AA676" s="0" t="n">
        <v>21</v>
      </c>
      <c r="AB676" s="0" t="s">
        <v>496</v>
      </c>
      <c r="AD676" s="0" t="n">
        <v>12</v>
      </c>
      <c r="AE676" s="0" t="s">
        <v>96</v>
      </c>
      <c r="AH676" s="0" t="n">
        <v>1</v>
      </c>
      <c r="AJ676" s="0" t="n">
        <v>41</v>
      </c>
      <c r="AP676" s="0" t="n">
        <v>180000</v>
      </c>
      <c r="DB676" s="0" t="str">
        <f aca="false">IF($A676="","",IF($AE676&amp;""&lt;&gt;設定!$C$4,"対象外",IF($AH676=20,IF(OR($AJ676=10,$AJ676=11,$AJ676=18),"①病院一般",IF($AJ676=41,"②病院短期","対象外")),IF($AH676=5,IF($AJ676=30,"③特定消防","対象外"),IF(OR($AJ676=10,$AJ676=11,$AJ676=74),"④一般",IF(OR($AJ676=41,$AJ676=47),"⑤短期","対象外"))))))</f>
        <v>⑤短期</v>
      </c>
    </row>
    <row r="677" customFormat="false" ht="15" hidden="false" customHeight="false" outlineLevel="0" collapsed="false">
      <c r="A677" s="0" t="n">
        <v>31</v>
      </c>
      <c r="AA677" s="0" t="n">
        <v>21</v>
      </c>
      <c r="AB677" s="0" t="s">
        <v>496</v>
      </c>
      <c r="AD677" s="0" t="n">
        <v>12</v>
      </c>
      <c r="AE677" s="0" t="s">
        <v>96</v>
      </c>
      <c r="AH677" s="0" t="n">
        <v>1</v>
      </c>
      <c r="AJ677" s="0" t="n">
        <v>41</v>
      </c>
      <c r="AP677" s="0" t="n">
        <v>180000</v>
      </c>
      <c r="DB677" s="0" t="str">
        <f aca="false">IF($A677="","",IF($AE677&amp;""&lt;&gt;設定!$C$4,"対象外",IF($AH677=20,IF(OR($AJ677=10,$AJ677=11,$AJ677=18),"①病院一般",IF($AJ677=41,"②病院短期","対象外")),IF($AH677=5,IF($AJ677=30,"③特定消防","対象外"),IF(OR($AJ677=10,$AJ677=11,$AJ677=74),"④一般",IF(OR($AJ677=41,$AJ677=47),"⑤短期","対象外"))))))</f>
        <v>⑤短期</v>
      </c>
    </row>
    <row r="678" customFormat="false" ht="15" hidden="false" customHeight="false" outlineLevel="0" collapsed="false">
      <c r="A678" s="0" t="n">
        <v>31</v>
      </c>
      <c r="AA678" s="0" t="n">
        <v>21</v>
      </c>
      <c r="AB678" s="0" t="s">
        <v>496</v>
      </c>
      <c r="AD678" s="0" t="n">
        <v>12</v>
      </c>
      <c r="AE678" s="0" t="s">
        <v>96</v>
      </c>
      <c r="AH678" s="0" t="n">
        <v>1</v>
      </c>
      <c r="AJ678" s="0" t="n">
        <v>41</v>
      </c>
      <c r="AP678" s="0" t="n">
        <v>240000</v>
      </c>
      <c r="DB678" s="0" t="str">
        <f aca="false">IF($A678="","",IF($AE678&amp;""&lt;&gt;設定!$C$4,"対象外",IF($AH678=20,IF(OR($AJ678=10,$AJ678=11,$AJ678=18),"①病院一般",IF($AJ678=41,"②病院短期","対象外")),IF($AH678=5,IF($AJ678=30,"③特定消防","対象外"),IF(OR($AJ678=10,$AJ678=11,$AJ678=74),"④一般",IF(OR($AJ678=41,$AJ678=47),"⑤短期","対象外"))))))</f>
        <v>⑤短期</v>
      </c>
    </row>
    <row r="679" customFormat="false" ht="15" hidden="false" customHeight="false" outlineLevel="0" collapsed="false">
      <c r="A679" s="0" t="n">
        <v>31</v>
      </c>
      <c r="AA679" s="0" t="n">
        <v>21</v>
      </c>
      <c r="AB679" s="0" t="s">
        <v>496</v>
      </c>
      <c r="AD679" s="0" t="n">
        <v>12</v>
      </c>
      <c r="AE679" s="0" t="s">
        <v>96</v>
      </c>
      <c r="AH679" s="0" t="n">
        <v>1</v>
      </c>
      <c r="AJ679" s="0" t="n">
        <v>41</v>
      </c>
      <c r="AP679" s="0" t="n">
        <v>220000</v>
      </c>
      <c r="DB679" s="0" t="str">
        <f aca="false">IF($A679="","",IF($AE679&amp;""&lt;&gt;設定!$C$4,"対象外",IF($AH679=20,IF(OR($AJ679=10,$AJ679=11,$AJ679=18),"①病院一般",IF($AJ679=41,"②病院短期","対象外")),IF($AH679=5,IF($AJ679=30,"③特定消防","対象外"),IF(OR($AJ679=10,$AJ679=11,$AJ679=74),"④一般",IF(OR($AJ679=41,$AJ679=47),"⑤短期","対象外"))))))</f>
        <v>⑤短期</v>
      </c>
    </row>
    <row r="680" customFormat="false" ht="15" hidden="false" customHeight="false" outlineLevel="0" collapsed="false">
      <c r="A680" s="0" t="n">
        <v>31</v>
      </c>
      <c r="AA680" s="0" t="n">
        <v>21</v>
      </c>
      <c r="AB680" s="0" t="s">
        <v>496</v>
      </c>
      <c r="AD680" s="0" t="n">
        <v>12</v>
      </c>
      <c r="AE680" s="0" t="s">
        <v>96</v>
      </c>
      <c r="AH680" s="0" t="n">
        <v>1</v>
      </c>
      <c r="AJ680" s="0" t="n">
        <v>41</v>
      </c>
      <c r="AP680" s="0" t="n">
        <v>220000</v>
      </c>
      <c r="DB680" s="0" t="str">
        <f aca="false">IF($A680="","",IF($AE680&amp;""&lt;&gt;設定!$C$4,"対象外",IF($AH680=20,IF(OR($AJ680=10,$AJ680=11,$AJ680=18),"①病院一般",IF($AJ680=41,"②病院短期","対象外")),IF($AH680=5,IF($AJ680=30,"③特定消防","対象外"),IF(OR($AJ680=10,$AJ680=11,$AJ680=74),"④一般",IF(OR($AJ680=41,$AJ680=47),"⑤短期","対象外"))))))</f>
        <v>⑤短期</v>
      </c>
    </row>
    <row r="681" customFormat="false" ht="15" hidden="false" customHeight="false" outlineLevel="0" collapsed="false">
      <c r="A681" s="0" t="n">
        <v>31</v>
      </c>
      <c r="AA681" s="0" t="n">
        <v>21</v>
      </c>
      <c r="AB681" s="0" t="s">
        <v>496</v>
      </c>
      <c r="AD681" s="0" t="n">
        <v>12</v>
      </c>
      <c r="AE681" s="0" t="s">
        <v>96</v>
      </c>
      <c r="AH681" s="0" t="n">
        <v>1</v>
      </c>
      <c r="AJ681" s="0" t="n">
        <v>41</v>
      </c>
      <c r="AP681" s="0" t="n">
        <v>134000</v>
      </c>
      <c r="DB681" s="0" t="str">
        <f aca="false">IF($A681="","",IF($AE681&amp;""&lt;&gt;設定!$C$4,"対象外",IF($AH681=20,IF(OR($AJ681=10,$AJ681=11,$AJ681=18),"①病院一般",IF($AJ681=41,"②病院短期","対象外")),IF($AH681=5,IF($AJ681=30,"③特定消防","対象外"),IF(OR($AJ681=10,$AJ681=11,$AJ681=74),"④一般",IF(OR($AJ681=41,$AJ681=47),"⑤短期","対象外"))))))</f>
        <v>⑤短期</v>
      </c>
    </row>
    <row r="682" customFormat="false" ht="15" hidden="false" customHeight="false" outlineLevel="0" collapsed="false">
      <c r="A682" s="0" t="n">
        <v>31</v>
      </c>
      <c r="AA682" s="0" t="n">
        <v>21</v>
      </c>
      <c r="AB682" s="0" t="s">
        <v>504</v>
      </c>
      <c r="AD682" s="0" t="n">
        <v>12</v>
      </c>
      <c r="AE682" s="0" t="s">
        <v>96</v>
      </c>
      <c r="AH682" s="0" t="n">
        <v>1</v>
      </c>
      <c r="AJ682" s="0" t="n">
        <v>41</v>
      </c>
      <c r="AP682" s="0" t="n">
        <v>190000</v>
      </c>
      <c r="DB682" s="0" t="str">
        <f aca="false">IF($A682="","",IF($AE682&amp;""&lt;&gt;設定!$C$4,"対象外",IF($AH682=20,IF(OR($AJ682=10,$AJ682=11,$AJ682=18),"①病院一般",IF($AJ682=41,"②病院短期","対象外")),IF($AH682=5,IF($AJ682=30,"③特定消防","対象外"),IF(OR($AJ682=10,$AJ682=11,$AJ682=74),"④一般",IF(OR($AJ682=41,$AJ682=47),"⑤短期","対象外"))))))</f>
        <v>⑤短期</v>
      </c>
    </row>
    <row r="683" customFormat="false" ht="15" hidden="false" customHeight="false" outlineLevel="0" collapsed="false">
      <c r="A683" s="0" t="n">
        <v>31</v>
      </c>
      <c r="AA683" s="0" t="n">
        <v>21</v>
      </c>
      <c r="AB683" s="0" t="s">
        <v>496</v>
      </c>
      <c r="AD683" s="0" t="n">
        <v>12</v>
      </c>
      <c r="AE683" s="0" t="s">
        <v>96</v>
      </c>
      <c r="AH683" s="0" t="n">
        <v>4</v>
      </c>
      <c r="AJ683" s="0" t="n">
        <v>41</v>
      </c>
      <c r="AP683" s="0" t="n">
        <v>200000</v>
      </c>
      <c r="DB683" s="0" t="str">
        <f aca="false">IF($A683="","",IF($AE683&amp;""&lt;&gt;設定!$C$4,"対象外",IF($AH683=20,IF(OR($AJ683=10,$AJ683=11,$AJ683=18),"①病院一般",IF($AJ683=41,"②病院短期","対象外")),IF($AH683=5,IF($AJ683=30,"③特定消防","対象外"),IF(OR($AJ683=10,$AJ683=11,$AJ683=74),"④一般",IF(OR($AJ683=41,$AJ683=47),"⑤短期","対象外"))))))</f>
        <v>⑤短期</v>
      </c>
    </row>
    <row r="684" customFormat="false" ht="15" hidden="false" customHeight="false" outlineLevel="0" collapsed="false">
      <c r="A684" s="0" t="n">
        <v>31</v>
      </c>
      <c r="AA684" s="0" t="n">
        <v>21</v>
      </c>
      <c r="AB684" s="0" t="s">
        <v>496</v>
      </c>
      <c r="AD684" s="0" t="n">
        <v>12</v>
      </c>
      <c r="AE684" s="0" t="s">
        <v>96</v>
      </c>
      <c r="AH684" s="0" t="n">
        <v>20</v>
      </c>
      <c r="AJ684" s="0" t="n">
        <v>41</v>
      </c>
      <c r="AP684" s="0" t="n">
        <v>380000</v>
      </c>
      <c r="DB684" s="0" t="str">
        <f aca="false">IF($A684="","",IF($AE684&amp;""&lt;&gt;設定!$C$4,"対象外",IF($AH684=20,IF(OR($AJ684=10,$AJ684=11,$AJ684=18),"①病院一般",IF($AJ684=41,"②病院短期","対象外")),IF($AH684=5,IF($AJ684=30,"③特定消防","対象外"),IF(OR($AJ684=10,$AJ684=11,$AJ684=74),"④一般",IF(OR($AJ684=41,$AJ684=47),"⑤短期","対象外"))))))</f>
        <v>②病院短期</v>
      </c>
    </row>
    <row r="685" customFormat="false" ht="15" hidden="false" customHeight="false" outlineLevel="0" collapsed="false">
      <c r="A685" s="0" t="n">
        <v>31</v>
      </c>
      <c r="AA685" s="0" t="n">
        <v>21</v>
      </c>
      <c r="AB685" s="0" t="s">
        <v>496</v>
      </c>
      <c r="AD685" s="0" t="n">
        <v>12</v>
      </c>
      <c r="AE685" s="0" t="s">
        <v>96</v>
      </c>
      <c r="AH685" s="0" t="n">
        <v>1</v>
      </c>
      <c r="AJ685" s="0" t="n">
        <v>41</v>
      </c>
      <c r="AP685" s="0" t="n">
        <v>200000</v>
      </c>
      <c r="DB685" s="0" t="str">
        <f aca="false">IF($A685="","",IF($AE685&amp;""&lt;&gt;設定!$C$4,"対象外",IF($AH685=20,IF(OR($AJ685=10,$AJ685=11,$AJ685=18),"①病院一般",IF($AJ685=41,"②病院短期","対象外")),IF($AH685=5,IF($AJ685=30,"③特定消防","対象外"),IF(OR($AJ685=10,$AJ685=11,$AJ685=74),"④一般",IF(OR($AJ685=41,$AJ685=47),"⑤短期","対象外"))))))</f>
        <v>⑤短期</v>
      </c>
    </row>
    <row r="686" customFormat="false" ht="15" hidden="false" customHeight="false" outlineLevel="0" collapsed="false">
      <c r="A686" s="0" t="n">
        <v>31</v>
      </c>
      <c r="AA686" s="0" t="n">
        <v>21</v>
      </c>
      <c r="AB686" s="0" t="s">
        <v>496</v>
      </c>
      <c r="AD686" s="0" t="n">
        <v>12</v>
      </c>
      <c r="AE686" s="0" t="s">
        <v>96</v>
      </c>
      <c r="AH686" s="0" t="n">
        <v>1</v>
      </c>
      <c r="AJ686" s="0" t="n">
        <v>41</v>
      </c>
      <c r="AP686" s="0" t="n">
        <v>200000</v>
      </c>
      <c r="DB686" s="0" t="str">
        <f aca="false">IF($A686="","",IF($AE686&amp;""&lt;&gt;設定!$C$4,"対象外",IF($AH686=20,IF(OR($AJ686=10,$AJ686=11,$AJ686=18),"①病院一般",IF($AJ686=41,"②病院短期","対象外")),IF($AH686=5,IF($AJ686=30,"③特定消防","対象外"),IF(OR($AJ686=10,$AJ686=11,$AJ686=74),"④一般",IF(OR($AJ686=41,$AJ686=47),"⑤短期","対象外"))))))</f>
        <v>⑤短期</v>
      </c>
    </row>
    <row r="687" customFormat="false" ht="15" hidden="false" customHeight="false" outlineLevel="0" collapsed="false">
      <c r="A687" s="0" t="n">
        <v>31</v>
      </c>
      <c r="AA687" s="0" t="n">
        <v>21</v>
      </c>
      <c r="AB687" s="0" t="s">
        <v>496</v>
      </c>
      <c r="AD687" s="0" t="n">
        <v>12</v>
      </c>
      <c r="AE687" s="0" t="s">
        <v>96</v>
      </c>
      <c r="AH687" s="0" t="n">
        <v>4</v>
      </c>
      <c r="AJ687" s="0" t="n">
        <v>41</v>
      </c>
      <c r="AP687" s="0" t="n">
        <v>220000</v>
      </c>
      <c r="DB687" s="0" t="str">
        <f aca="false">IF($A687="","",IF($AE687&amp;""&lt;&gt;設定!$C$4,"対象外",IF($AH687=20,IF(OR($AJ687=10,$AJ687=11,$AJ687=18),"①病院一般",IF($AJ687=41,"②病院短期","対象外")),IF($AH687=5,IF($AJ687=30,"③特定消防","対象外"),IF(OR($AJ687=10,$AJ687=11,$AJ687=74),"④一般",IF(OR($AJ687=41,$AJ687=47),"⑤短期","対象外"))))))</f>
        <v>⑤短期</v>
      </c>
    </row>
    <row r="688" customFormat="false" ht="15" hidden="false" customHeight="false" outlineLevel="0" collapsed="false">
      <c r="A688" s="0" t="n">
        <v>31</v>
      </c>
      <c r="AA688" s="0" t="n">
        <v>21</v>
      </c>
      <c r="AB688" s="0" t="s">
        <v>494</v>
      </c>
      <c r="AD688" s="0" t="n">
        <v>12</v>
      </c>
      <c r="AE688" s="0" t="s">
        <v>96</v>
      </c>
      <c r="AH688" s="0" t="n">
        <v>20</v>
      </c>
      <c r="AJ688" s="0" t="n">
        <v>41</v>
      </c>
      <c r="AP688" s="0" t="n">
        <v>280000</v>
      </c>
      <c r="DB688" s="0" t="str">
        <f aca="false">IF($A688="","",IF($AE688&amp;""&lt;&gt;設定!$C$4,"対象外",IF($AH688=20,IF(OR($AJ688=10,$AJ688=11,$AJ688=18),"①病院一般",IF($AJ688=41,"②病院短期","対象外")),IF($AH688=5,IF($AJ688=30,"③特定消防","対象外"),IF(OR($AJ688=10,$AJ688=11,$AJ688=74),"④一般",IF(OR($AJ688=41,$AJ688=47),"⑤短期","対象外"))))))</f>
        <v>②病院短期</v>
      </c>
    </row>
    <row r="689" customFormat="false" ht="15" hidden="false" customHeight="false" outlineLevel="0" collapsed="false">
      <c r="A689" s="0" t="n">
        <v>31</v>
      </c>
      <c r="AA689" s="0" t="n">
        <v>21</v>
      </c>
      <c r="AB689" s="0" t="s">
        <v>494</v>
      </c>
      <c r="AD689" s="0" t="n">
        <v>12</v>
      </c>
      <c r="AE689" s="0" t="s">
        <v>96</v>
      </c>
      <c r="AH689" s="0" t="n">
        <v>1</v>
      </c>
      <c r="AJ689" s="0" t="n">
        <v>41</v>
      </c>
      <c r="AP689" s="0" t="n">
        <v>220000</v>
      </c>
      <c r="DB689" s="0" t="str">
        <f aca="false">IF($A689="","",IF($AE689&amp;""&lt;&gt;設定!$C$4,"対象外",IF($AH689=20,IF(OR($AJ689=10,$AJ689=11,$AJ689=18),"①病院一般",IF($AJ689=41,"②病院短期","対象外")),IF($AH689=5,IF($AJ689=30,"③特定消防","対象外"),IF(OR($AJ689=10,$AJ689=11,$AJ689=74),"④一般",IF(OR($AJ689=41,$AJ689=47),"⑤短期","対象外"))))))</f>
        <v>⑤短期</v>
      </c>
    </row>
    <row r="690" customFormat="false" ht="15" hidden="false" customHeight="false" outlineLevel="0" collapsed="false">
      <c r="A690" s="0" t="n">
        <v>31</v>
      </c>
      <c r="AA690" s="0" t="n">
        <v>21</v>
      </c>
      <c r="AB690" s="0" t="s">
        <v>96</v>
      </c>
      <c r="AD690" s="0" t="n">
        <v>12</v>
      </c>
      <c r="AE690" s="0" t="s">
        <v>296</v>
      </c>
      <c r="AH690" s="0" t="n">
        <v>1</v>
      </c>
      <c r="AJ690" s="0" t="n">
        <v>41</v>
      </c>
      <c r="AP690" s="0" t="n">
        <v>220000</v>
      </c>
      <c r="DB690" s="0" t="str">
        <f aca="false">IF($A690="","",IF($AE690&amp;""&lt;&gt;設定!$C$4,"対象外",IF($AH690=20,IF(OR($AJ690=10,$AJ690=11,$AJ690=18),"①病院一般",IF($AJ690=41,"②病院短期","対象外")),IF($AH690=5,IF($AJ690=30,"③特定消防","対象外"),IF(OR($AJ690=10,$AJ690=11,$AJ690=74),"④一般",IF(OR($AJ690=41,$AJ690=47),"⑤短期","対象外"))))))</f>
        <v>対象外</v>
      </c>
    </row>
    <row r="691" customFormat="false" ht="15" hidden="false" customHeight="false" outlineLevel="0" collapsed="false">
      <c r="A691" s="0" t="n">
        <v>31</v>
      </c>
      <c r="AA691" s="0" t="n">
        <v>24</v>
      </c>
      <c r="AB691" s="0" t="s">
        <v>511</v>
      </c>
      <c r="AD691" s="0" t="n">
        <v>12</v>
      </c>
      <c r="AE691" s="0" t="s">
        <v>96</v>
      </c>
      <c r="AH691" s="0" t="n">
        <v>11</v>
      </c>
      <c r="AJ691" s="0" t="n">
        <v>41</v>
      </c>
      <c r="AP691" s="0" t="n">
        <v>150000</v>
      </c>
      <c r="DB691" s="0" t="str">
        <f aca="false">IF($A691="","",IF($AE691&amp;""&lt;&gt;設定!$C$4,"対象外",IF($AH691=20,IF(OR($AJ691=10,$AJ691=11,$AJ691=18),"①病院一般",IF($AJ691=41,"②病院短期","対象外")),IF($AH691=5,IF($AJ691=30,"③特定消防","対象外"),IF(OR($AJ691=10,$AJ691=11,$AJ691=74),"④一般",IF(OR($AJ691=41,$AJ691=47),"⑤短期","対象外"))))))</f>
        <v>⑤短期</v>
      </c>
    </row>
    <row r="692" customFormat="false" ht="15" hidden="false" customHeight="false" outlineLevel="0" collapsed="false">
      <c r="A692" s="0" t="n">
        <v>31</v>
      </c>
      <c r="AA692" s="0" t="n">
        <v>21</v>
      </c>
      <c r="AB692" s="0" t="s">
        <v>496</v>
      </c>
      <c r="AD692" s="0" t="n">
        <v>12</v>
      </c>
      <c r="AE692" s="0" t="s">
        <v>96</v>
      </c>
      <c r="AH692" s="0" t="n">
        <v>11</v>
      </c>
      <c r="AJ692" s="0" t="n">
        <v>41</v>
      </c>
      <c r="AP692" s="0" t="n">
        <v>160000</v>
      </c>
      <c r="DB692" s="0" t="str">
        <f aca="false">IF($A692="","",IF($AE692&amp;""&lt;&gt;設定!$C$4,"対象外",IF($AH692=20,IF(OR($AJ692=10,$AJ692=11,$AJ692=18),"①病院一般",IF($AJ692=41,"②病院短期","対象外")),IF($AH692=5,IF($AJ692=30,"③特定消防","対象外"),IF(OR($AJ692=10,$AJ692=11,$AJ692=74),"④一般",IF(OR($AJ692=41,$AJ692=47),"⑤短期","対象外"))))))</f>
        <v>⑤短期</v>
      </c>
    </row>
    <row r="693" customFormat="false" ht="15" hidden="false" customHeight="false" outlineLevel="0" collapsed="false">
      <c r="A693" s="0" t="n">
        <v>31</v>
      </c>
      <c r="AA693" s="0" t="n">
        <v>21</v>
      </c>
      <c r="AB693" s="0" t="s">
        <v>496</v>
      </c>
      <c r="AD693" s="0" t="n">
        <v>12</v>
      </c>
      <c r="AE693" s="0" t="s">
        <v>96</v>
      </c>
      <c r="AH693" s="0" t="n">
        <v>11</v>
      </c>
      <c r="AJ693" s="0" t="n">
        <v>41</v>
      </c>
      <c r="AP693" s="0" t="n">
        <v>170000</v>
      </c>
      <c r="DB693" s="0" t="str">
        <f aca="false">IF($A693="","",IF($AE693&amp;""&lt;&gt;設定!$C$4,"対象外",IF($AH693=20,IF(OR($AJ693=10,$AJ693=11,$AJ693=18),"①病院一般",IF($AJ693=41,"②病院短期","対象外")),IF($AH693=5,IF($AJ693=30,"③特定消防","対象外"),IF(OR($AJ693=10,$AJ693=11,$AJ693=74),"④一般",IF(OR($AJ693=41,$AJ693=47),"⑤短期","対象外"))))))</f>
        <v>⑤短期</v>
      </c>
    </row>
    <row r="694" customFormat="false" ht="15" hidden="false" customHeight="false" outlineLevel="0" collapsed="false">
      <c r="A694" s="0" t="n">
        <v>31</v>
      </c>
      <c r="AA694" s="0" t="n">
        <v>21</v>
      </c>
      <c r="AB694" s="0" t="s">
        <v>496</v>
      </c>
      <c r="AD694" s="0" t="n">
        <v>12</v>
      </c>
      <c r="AE694" s="0" t="s">
        <v>96</v>
      </c>
      <c r="AH694" s="0" t="n">
        <v>1</v>
      </c>
      <c r="AJ694" s="0" t="n">
        <v>41</v>
      </c>
      <c r="AP694" s="0" t="n">
        <v>200000</v>
      </c>
      <c r="DB694" s="0" t="str">
        <f aca="false">IF($A694="","",IF($AE694&amp;""&lt;&gt;設定!$C$4,"対象外",IF($AH694=20,IF(OR($AJ694=10,$AJ694=11,$AJ694=18),"①病院一般",IF($AJ694=41,"②病院短期","対象外")),IF($AH694=5,IF($AJ694=30,"③特定消防","対象外"),IF(OR($AJ694=10,$AJ694=11,$AJ694=74),"④一般",IF(OR($AJ694=41,$AJ694=47),"⑤短期","対象外"))))))</f>
        <v>⑤短期</v>
      </c>
    </row>
    <row r="695" customFormat="false" ht="15" hidden="false" customHeight="false" outlineLevel="0" collapsed="false">
      <c r="A695" s="0" t="n">
        <v>31</v>
      </c>
      <c r="AA695" s="0" t="n">
        <v>21</v>
      </c>
      <c r="AB695" s="0" t="s">
        <v>496</v>
      </c>
      <c r="AD695" s="0" t="n">
        <v>12</v>
      </c>
      <c r="AE695" s="0" t="s">
        <v>294</v>
      </c>
      <c r="AH695" s="0" t="n">
        <v>11</v>
      </c>
      <c r="AJ695" s="0" t="n">
        <v>41</v>
      </c>
      <c r="AP695" s="0" t="n">
        <v>180000</v>
      </c>
      <c r="DB695" s="0" t="str">
        <f aca="false">IF($A695="","",IF($AE695&amp;""&lt;&gt;設定!$C$4,"対象外",IF($AH695=20,IF(OR($AJ695=10,$AJ695=11,$AJ695=18),"①病院一般",IF($AJ695=41,"②病院短期","対象外")),IF($AH695=5,IF($AJ695=30,"③特定消防","対象外"),IF(OR($AJ695=10,$AJ695=11,$AJ695=74),"④一般",IF(OR($AJ695=41,$AJ695=47),"⑤短期","対象外"))))))</f>
        <v>対象外</v>
      </c>
    </row>
    <row r="696" customFormat="false" ht="15" hidden="false" customHeight="false" outlineLevel="0" collapsed="false">
      <c r="A696" s="0" t="n">
        <v>31</v>
      </c>
      <c r="AA696" s="0" t="n">
        <v>21</v>
      </c>
      <c r="AB696" s="0" t="s">
        <v>494</v>
      </c>
      <c r="AD696" s="0" t="n">
        <v>12</v>
      </c>
      <c r="AE696" s="0" t="s">
        <v>96</v>
      </c>
      <c r="AH696" s="0" t="n">
        <v>3</v>
      </c>
      <c r="AJ696" s="0" t="n">
        <v>41</v>
      </c>
      <c r="AP696" s="0" t="n">
        <v>240000</v>
      </c>
      <c r="DB696" s="0" t="str">
        <f aca="false">IF($A696="","",IF($AE696&amp;""&lt;&gt;設定!$C$4,"対象外",IF($AH696=20,IF(OR($AJ696=10,$AJ696=11,$AJ696=18),"①病院一般",IF($AJ696=41,"②病院短期","対象外")),IF($AH696=5,IF($AJ696=30,"③特定消防","対象外"),IF(OR($AJ696=10,$AJ696=11,$AJ696=74),"④一般",IF(OR($AJ696=41,$AJ696=47),"⑤短期","対象外"))))))</f>
        <v>⑤短期</v>
      </c>
    </row>
    <row r="697" customFormat="false" ht="15" hidden="false" customHeight="false" outlineLevel="0" collapsed="false">
      <c r="A697" s="0" t="n">
        <v>31</v>
      </c>
      <c r="AA697" s="0" t="n">
        <v>21</v>
      </c>
      <c r="AB697" s="0" t="s">
        <v>496</v>
      </c>
      <c r="AD697" s="0" t="n">
        <v>12</v>
      </c>
      <c r="AE697" s="0" t="s">
        <v>96</v>
      </c>
      <c r="AH697" s="0" t="n">
        <v>1</v>
      </c>
      <c r="AJ697" s="0" t="n">
        <v>41</v>
      </c>
      <c r="AP697" s="0" t="n">
        <v>180000</v>
      </c>
      <c r="DB697" s="0" t="str">
        <f aca="false">IF($A697="","",IF($AE697&amp;""&lt;&gt;設定!$C$4,"対象外",IF($AH697=20,IF(OR($AJ697=10,$AJ697=11,$AJ697=18),"①病院一般",IF($AJ697=41,"②病院短期","対象外")),IF($AH697=5,IF($AJ697=30,"③特定消防","対象外"),IF(OR($AJ697=10,$AJ697=11,$AJ697=74),"④一般",IF(OR($AJ697=41,$AJ697=47),"⑤短期","対象外"))))))</f>
        <v>⑤短期</v>
      </c>
    </row>
    <row r="698" customFormat="false" ht="15" hidden="false" customHeight="false" outlineLevel="0" collapsed="false">
      <c r="A698" s="0" t="n">
        <v>31</v>
      </c>
      <c r="AA698" s="0" t="n">
        <v>21</v>
      </c>
      <c r="AB698" s="0" t="s">
        <v>496</v>
      </c>
      <c r="AD698" s="0" t="n">
        <v>12</v>
      </c>
      <c r="AE698" s="0" t="s">
        <v>96</v>
      </c>
      <c r="AH698" s="0" t="n">
        <v>20</v>
      </c>
      <c r="AJ698" s="0" t="n">
        <v>41</v>
      </c>
      <c r="AP698" s="0" t="n">
        <v>240000</v>
      </c>
      <c r="DB698" s="0" t="str">
        <f aca="false">IF($A698="","",IF($AE698&amp;""&lt;&gt;設定!$C$4,"対象外",IF($AH698=20,IF(OR($AJ698=10,$AJ698=11,$AJ698=18),"①病院一般",IF($AJ698=41,"②病院短期","対象外")),IF($AH698=5,IF($AJ698=30,"③特定消防","対象外"),IF(OR($AJ698=10,$AJ698=11,$AJ698=74),"④一般",IF(OR($AJ698=41,$AJ698=47),"⑤短期","対象外"))))))</f>
        <v>②病院短期</v>
      </c>
    </row>
    <row r="699" customFormat="false" ht="15" hidden="false" customHeight="false" outlineLevel="0" collapsed="false">
      <c r="A699" s="0" t="n">
        <v>31</v>
      </c>
      <c r="AA699" s="0" t="n">
        <v>21</v>
      </c>
      <c r="AB699" s="0" t="s">
        <v>312</v>
      </c>
      <c r="AD699" s="0" t="n">
        <v>12</v>
      </c>
      <c r="AE699" s="0" t="s">
        <v>313</v>
      </c>
      <c r="AH699" s="0" t="n">
        <v>11</v>
      </c>
      <c r="AJ699" s="0" t="n">
        <v>41</v>
      </c>
      <c r="AP699" s="0" t="n">
        <v>142000</v>
      </c>
      <c r="DB699" s="0" t="str">
        <f aca="false">IF($A699="","",IF($AE699&amp;""&lt;&gt;設定!$C$4,"対象外",IF($AH699=20,IF(OR($AJ699=10,$AJ699=11,$AJ699=18),"①病院一般",IF($AJ699=41,"②病院短期","対象外")),IF($AH699=5,IF($AJ699=30,"③特定消防","対象外"),IF(OR($AJ699=10,$AJ699=11,$AJ699=74),"④一般",IF(OR($AJ699=41,$AJ699=47),"⑤短期","対象外"))))))</f>
        <v>対象外</v>
      </c>
    </row>
    <row r="700" customFormat="false" ht="15" hidden="false" customHeight="false" outlineLevel="0" collapsed="false">
      <c r="A700" s="0" t="n">
        <v>31</v>
      </c>
      <c r="AA700" s="0" t="n">
        <v>21</v>
      </c>
      <c r="AB700" s="0" t="s">
        <v>477</v>
      </c>
      <c r="AD700" s="0" t="n">
        <v>12</v>
      </c>
      <c r="AE700" s="0" t="s">
        <v>96</v>
      </c>
      <c r="AH700" s="0" t="n">
        <v>1</v>
      </c>
      <c r="AJ700" s="0" t="n">
        <v>41</v>
      </c>
      <c r="AP700" s="0" t="n">
        <v>200000</v>
      </c>
      <c r="DB700" s="0" t="str">
        <f aca="false">IF($A700="","",IF($AE700&amp;""&lt;&gt;設定!$C$4,"対象外",IF($AH700=20,IF(OR($AJ700=10,$AJ700=11,$AJ700=18),"①病院一般",IF($AJ700=41,"②病院短期","対象外")),IF($AH700=5,IF($AJ700=30,"③特定消防","対象外"),IF(OR($AJ700=10,$AJ700=11,$AJ700=74),"④一般",IF(OR($AJ700=41,$AJ700=47),"⑤短期","対象外"))))))</f>
        <v>⑤短期</v>
      </c>
    </row>
    <row r="701" customFormat="false" ht="15" hidden="false" customHeight="false" outlineLevel="0" collapsed="false">
      <c r="A701" s="0" t="n">
        <v>31</v>
      </c>
      <c r="AA701" s="0" t="n">
        <v>21</v>
      </c>
      <c r="AB701" s="0" t="s">
        <v>496</v>
      </c>
      <c r="AD701" s="0" t="n">
        <v>12</v>
      </c>
      <c r="AE701" s="0" t="s">
        <v>296</v>
      </c>
      <c r="AH701" s="0" t="n">
        <v>1</v>
      </c>
      <c r="AJ701" s="0" t="n">
        <v>41</v>
      </c>
      <c r="AP701" s="0" t="n">
        <v>142000</v>
      </c>
      <c r="DB701" s="0" t="str">
        <f aca="false">IF($A701="","",IF($AE701&amp;""&lt;&gt;設定!$C$4,"対象外",IF($AH701=20,IF(OR($AJ701=10,$AJ701=11,$AJ701=18),"①病院一般",IF($AJ701=41,"②病院短期","対象外")),IF($AH701=5,IF($AJ701=30,"③特定消防","対象外"),IF(OR($AJ701=10,$AJ701=11,$AJ701=74),"④一般",IF(OR($AJ701=41,$AJ701=47),"⑤短期","対象外"))))))</f>
        <v>対象外</v>
      </c>
    </row>
    <row r="702" customFormat="false" ht="15" hidden="false" customHeight="false" outlineLevel="0" collapsed="false">
      <c r="A702" s="0" t="n">
        <v>31</v>
      </c>
      <c r="AA702" s="0" t="n">
        <v>21</v>
      </c>
      <c r="AB702" s="0" t="s">
        <v>496</v>
      </c>
      <c r="AD702" s="0" t="n">
        <v>12</v>
      </c>
      <c r="AE702" s="0" t="s">
        <v>96</v>
      </c>
      <c r="AH702" s="0" t="n">
        <v>1</v>
      </c>
      <c r="AJ702" s="0" t="n">
        <v>41</v>
      </c>
      <c r="AP702" s="0" t="n">
        <v>134000</v>
      </c>
      <c r="DB702" s="0" t="str">
        <f aca="false">IF($A702="","",IF($AE702&amp;""&lt;&gt;設定!$C$4,"対象外",IF($AH702=20,IF(OR($AJ702=10,$AJ702=11,$AJ702=18),"①病院一般",IF($AJ702=41,"②病院短期","対象外")),IF($AH702=5,IF($AJ702=30,"③特定消防","対象外"),IF(OR($AJ702=10,$AJ702=11,$AJ702=74),"④一般",IF(OR($AJ702=41,$AJ702=47),"⑤短期","対象外"))))))</f>
        <v>⑤短期</v>
      </c>
    </row>
    <row r="703" customFormat="false" ht="15" hidden="false" customHeight="false" outlineLevel="0" collapsed="false">
      <c r="A703" s="0" t="n">
        <v>31</v>
      </c>
      <c r="AA703" s="0" t="n">
        <v>24</v>
      </c>
      <c r="AB703" s="0" t="s">
        <v>504</v>
      </c>
      <c r="AD703" s="0" t="n">
        <v>12</v>
      </c>
      <c r="AE703" s="0" t="s">
        <v>96</v>
      </c>
      <c r="AH703" s="0" t="n">
        <v>1</v>
      </c>
      <c r="AJ703" s="0" t="n">
        <v>47</v>
      </c>
      <c r="AP703" s="0" t="n">
        <v>160000</v>
      </c>
      <c r="DB703" s="0" t="str">
        <f aca="false">IF($A703="","",IF($AE703&amp;""&lt;&gt;設定!$C$4,"対象外",IF($AH703=20,IF(OR($AJ703=10,$AJ703=11,$AJ703=18),"①病院一般",IF($AJ703=41,"②病院短期","対象外")),IF($AH703=5,IF($AJ703=30,"③特定消防","対象外"),IF(OR($AJ703=10,$AJ703=11,$AJ703=74),"④一般",IF(OR($AJ703=41,$AJ703=47),"⑤短期","対象外"))))))</f>
        <v>⑤短期</v>
      </c>
    </row>
    <row r="704" customFormat="false" ht="15" hidden="false" customHeight="false" outlineLevel="0" collapsed="false">
      <c r="A704" s="0" t="n">
        <v>31</v>
      </c>
      <c r="AA704" s="0" t="n">
        <v>21</v>
      </c>
      <c r="AB704" s="0" t="s">
        <v>496</v>
      </c>
      <c r="AD704" s="0" t="n">
        <v>12</v>
      </c>
      <c r="AE704" s="0" t="s">
        <v>96</v>
      </c>
      <c r="AH704" s="0" t="n">
        <v>1</v>
      </c>
      <c r="AJ704" s="0" t="n">
        <v>41</v>
      </c>
      <c r="AP704" s="0" t="n">
        <v>180000</v>
      </c>
      <c r="DB704" s="0" t="str">
        <f aca="false">IF($A704="","",IF($AE704&amp;""&lt;&gt;設定!$C$4,"対象外",IF($AH704=20,IF(OR($AJ704=10,$AJ704=11,$AJ704=18),"①病院一般",IF($AJ704=41,"②病院短期","対象外")),IF($AH704=5,IF($AJ704=30,"③特定消防","対象外"),IF(OR($AJ704=10,$AJ704=11,$AJ704=74),"④一般",IF(OR($AJ704=41,$AJ704=47),"⑤短期","対象外"))))))</f>
        <v>⑤短期</v>
      </c>
    </row>
    <row r="705" customFormat="false" ht="15" hidden="false" customHeight="false" outlineLevel="0" collapsed="false">
      <c r="A705" s="0" t="n">
        <v>31</v>
      </c>
      <c r="AA705" s="0" t="n">
        <v>21</v>
      </c>
      <c r="AB705" s="0" t="s">
        <v>496</v>
      </c>
      <c r="AD705" s="0" t="n">
        <v>12</v>
      </c>
      <c r="AE705" s="0" t="s">
        <v>298</v>
      </c>
      <c r="AH705" s="0" t="n">
        <v>1</v>
      </c>
      <c r="AJ705" s="0" t="n">
        <v>41</v>
      </c>
      <c r="AP705" s="0" t="n">
        <v>180000</v>
      </c>
      <c r="DB705" s="0" t="str">
        <f aca="false">IF($A705="","",IF($AE705&amp;""&lt;&gt;設定!$C$4,"対象外",IF($AH705=20,IF(OR($AJ705=10,$AJ705=11,$AJ705=18),"①病院一般",IF($AJ705=41,"②病院短期","対象外")),IF($AH705=5,IF($AJ705=30,"③特定消防","対象外"),IF(OR($AJ705=10,$AJ705=11,$AJ705=74),"④一般",IF(OR($AJ705=41,$AJ705=47),"⑤短期","対象外"))))))</f>
        <v>対象外</v>
      </c>
    </row>
    <row r="706" customFormat="false" ht="15" hidden="false" customHeight="false" outlineLevel="0" collapsed="false">
      <c r="A706" s="0" t="n">
        <v>31</v>
      </c>
      <c r="AA706" s="0" t="n">
        <v>21</v>
      </c>
      <c r="AB706" s="0" t="s">
        <v>496</v>
      </c>
      <c r="AD706" s="0" t="n">
        <v>12</v>
      </c>
      <c r="AE706" s="0" t="s">
        <v>296</v>
      </c>
      <c r="AH706" s="0" t="n">
        <v>1</v>
      </c>
      <c r="AJ706" s="0" t="n">
        <v>47</v>
      </c>
      <c r="AP706" s="0" t="n">
        <v>118000</v>
      </c>
      <c r="DB706" s="0" t="str">
        <f aca="false">IF($A706="","",IF($AE706&amp;""&lt;&gt;設定!$C$4,"対象外",IF($AH706=20,IF(OR($AJ706=10,$AJ706=11,$AJ706=18),"①病院一般",IF($AJ706=41,"②病院短期","対象外")),IF($AH706=5,IF($AJ706=30,"③特定消防","対象外"),IF(OR($AJ706=10,$AJ706=11,$AJ706=74),"④一般",IF(OR($AJ706=41,$AJ706=47),"⑤短期","対象外"))))))</f>
        <v>対象外</v>
      </c>
    </row>
    <row r="707" customFormat="false" ht="15" hidden="false" customHeight="false" outlineLevel="0" collapsed="false">
      <c r="A707" s="0" t="n">
        <v>31</v>
      </c>
      <c r="AA707" s="0" t="n">
        <v>21</v>
      </c>
      <c r="AB707" s="0" t="s">
        <v>496</v>
      </c>
      <c r="AD707" s="0" t="n">
        <v>12</v>
      </c>
      <c r="AE707" s="0" t="s">
        <v>96</v>
      </c>
      <c r="AH707" s="0" t="n">
        <v>1</v>
      </c>
      <c r="AJ707" s="0" t="n">
        <v>41</v>
      </c>
      <c r="AP707" s="0" t="n">
        <v>118000</v>
      </c>
      <c r="DB707" s="0" t="str">
        <f aca="false">IF($A707="","",IF($AE707&amp;""&lt;&gt;設定!$C$4,"対象外",IF($AH707=20,IF(OR($AJ707=10,$AJ707=11,$AJ707=18),"①病院一般",IF($AJ707=41,"②病院短期","対象外")),IF($AH707=5,IF($AJ707=30,"③特定消防","対象外"),IF(OR($AJ707=10,$AJ707=11,$AJ707=74),"④一般",IF(OR($AJ707=41,$AJ707=47),"⑤短期","対象外"))))))</f>
        <v>⑤短期</v>
      </c>
    </row>
    <row r="708" customFormat="false" ht="15" hidden="false" customHeight="false" outlineLevel="0" collapsed="false">
      <c r="A708" s="0" t="n">
        <v>31</v>
      </c>
      <c r="AA708" s="0" t="n">
        <v>21</v>
      </c>
      <c r="AB708" s="0" t="s">
        <v>496</v>
      </c>
      <c r="AD708" s="0" t="n">
        <v>12</v>
      </c>
      <c r="AE708" s="0" t="s">
        <v>96</v>
      </c>
      <c r="AH708" s="0" t="n">
        <v>1</v>
      </c>
      <c r="AJ708" s="0" t="n">
        <v>41</v>
      </c>
      <c r="AP708" s="0" t="n">
        <v>200000</v>
      </c>
      <c r="DB708" s="0" t="str">
        <f aca="false">IF($A708="","",IF($AE708&amp;""&lt;&gt;設定!$C$4,"対象外",IF($AH708=20,IF(OR($AJ708=10,$AJ708=11,$AJ708=18),"①病院一般",IF($AJ708=41,"②病院短期","対象外")),IF($AH708=5,IF($AJ708=30,"③特定消防","対象外"),IF(OR($AJ708=10,$AJ708=11,$AJ708=74),"④一般",IF(OR($AJ708=41,$AJ708=47),"⑤短期","対象外"))))))</f>
        <v>⑤短期</v>
      </c>
    </row>
    <row r="709" customFormat="false" ht="15" hidden="false" customHeight="false" outlineLevel="0" collapsed="false">
      <c r="A709" s="0" t="n">
        <v>31</v>
      </c>
      <c r="AA709" s="0" t="n">
        <v>21</v>
      </c>
      <c r="AB709" s="0" t="s">
        <v>494</v>
      </c>
      <c r="AD709" s="0" t="n">
        <v>12</v>
      </c>
      <c r="AE709" s="0" t="s">
        <v>96</v>
      </c>
      <c r="AH709" s="0" t="n">
        <v>1</v>
      </c>
      <c r="AJ709" s="0" t="n">
        <v>41</v>
      </c>
      <c r="AP709" s="0" t="n">
        <v>240000</v>
      </c>
      <c r="DB709" s="0" t="str">
        <f aca="false">IF($A709="","",IF($AE709&amp;""&lt;&gt;設定!$C$4,"対象外",IF($AH709=20,IF(OR($AJ709=10,$AJ709=11,$AJ709=18),"①病院一般",IF($AJ709=41,"②病院短期","対象外")),IF($AH709=5,IF($AJ709=30,"③特定消防","対象外"),IF(OR($AJ709=10,$AJ709=11,$AJ709=74),"④一般",IF(OR($AJ709=41,$AJ709=47),"⑤短期","対象外"))))))</f>
        <v>⑤短期</v>
      </c>
    </row>
    <row r="710" customFormat="false" ht="15" hidden="false" customHeight="false" outlineLevel="0" collapsed="false">
      <c r="A710" s="0" t="n">
        <v>31</v>
      </c>
      <c r="AA710" s="0" t="n">
        <v>21</v>
      </c>
      <c r="AB710" s="0" t="s">
        <v>496</v>
      </c>
      <c r="AD710" s="0" t="n">
        <v>12</v>
      </c>
      <c r="AE710" s="0" t="s">
        <v>96</v>
      </c>
      <c r="AH710" s="0" t="n">
        <v>1</v>
      </c>
      <c r="AJ710" s="0" t="n">
        <v>41</v>
      </c>
      <c r="AP710" s="0" t="n">
        <v>180000</v>
      </c>
      <c r="DB710" s="0" t="str">
        <f aca="false">IF($A710="","",IF($AE710&amp;""&lt;&gt;設定!$C$4,"対象外",IF($AH710=20,IF(OR($AJ710=10,$AJ710=11,$AJ710=18),"①病院一般",IF($AJ710=41,"②病院短期","対象外")),IF($AH710=5,IF($AJ710=30,"③特定消防","対象外"),IF(OR($AJ710=10,$AJ710=11,$AJ710=74),"④一般",IF(OR($AJ710=41,$AJ710=47),"⑤短期","対象外"))))))</f>
        <v>⑤短期</v>
      </c>
    </row>
    <row r="711" customFormat="false" ht="15" hidden="false" customHeight="false" outlineLevel="0" collapsed="false">
      <c r="A711" s="0" t="n">
        <v>31</v>
      </c>
      <c r="AA711" s="0" t="n">
        <v>21</v>
      </c>
      <c r="AB711" s="0" t="s">
        <v>496</v>
      </c>
      <c r="AD711" s="0" t="n">
        <v>12</v>
      </c>
      <c r="AE711" s="0" t="s">
        <v>512</v>
      </c>
      <c r="AH711" s="0" t="n">
        <v>1</v>
      </c>
      <c r="AJ711" s="0" t="n">
        <v>41</v>
      </c>
      <c r="AP711" s="0" t="n">
        <v>190000</v>
      </c>
      <c r="DB711" s="0" t="str">
        <f aca="false">IF($A711="","",IF($AE711&amp;""&lt;&gt;設定!$C$4,"対象外",IF($AH711=20,IF(OR($AJ711=10,$AJ711=11,$AJ711=18),"①病院一般",IF($AJ711=41,"②病院短期","対象外")),IF($AH711=5,IF($AJ711=30,"③特定消防","対象外"),IF(OR($AJ711=10,$AJ711=11,$AJ711=74),"④一般",IF(OR($AJ711=41,$AJ711=47),"⑤短期","対象外"))))))</f>
        <v>対象外</v>
      </c>
    </row>
    <row r="712" customFormat="false" ht="15" hidden="false" customHeight="false" outlineLevel="0" collapsed="false">
      <c r="A712" s="0" t="n">
        <v>31</v>
      </c>
      <c r="AA712" s="0" t="n">
        <v>24</v>
      </c>
      <c r="AB712" s="0" t="s">
        <v>298</v>
      </c>
      <c r="AD712" s="0" t="n">
        <v>12</v>
      </c>
      <c r="AE712" s="0" t="s">
        <v>303</v>
      </c>
      <c r="AH712" s="0" t="n">
        <v>11</v>
      </c>
      <c r="AJ712" s="0" t="n">
        <v>41</v>
      </c>
      <c r="AP712" s="0" t="n">
        <v>126000</v>
      </c>
      <c r="DB712" s="0" t="str">
        <f aca="false">IF($A712="","",IF($AE712&amp;""&lt;&gt;設定!$C$4,"対象外",IF($AH712=20,IF(OR($AJ712=10,$AJ712=11,$AJ712=18),"①病院一般",IF($AJ712=41,"②病院短期","対象外")),IF($AH712=5,IF($AJ712=30,"③特定消防","対象外"),IF(OR($AJ712=10,$AJ712=11,$AJ712=74),"④一般",IF(OR($AJ712=41,$AJ712=47),"⑤短期","対象外"))))))</f>
        <v>対象外</v>
      </c>
    </row>
    <row r="713" customFormat="false" ht="15" hidden="false" customHeight="false" outlineLevel="0" collapsed="false">
      <c r="A713" s="0" t="n">
        <v>31</v>
      </c>
      <c r="AA713" s="0" t="n">
        <v>21</v>
      </c>
      <c r="AB713" s="0" t="s">
        <v>496</v>
      </c>
      <c r="AD713" s="0" t="n">
        <v>12</v>
      </c>
      <c r="AE713" s="0" t="s">
        <v>96</v>
      </c>
      <c r="AH713" s="0" t="n">
        <v>1</v>
      </c>
      <c r="AJ713" s="0" t="n">
        <v>41</v>
      </c>
      <c r="AP713" s="0" t="n">
        <v>118000</v>
      </c>
      <c r="DB713" s="0" t="str">
        <f aca="false">IF($A713="","",IF($AE713&amp;""&lt;&gt;設定!$C$4,"対象外",IF($AH713=20,IF(OR($AJ713=10,$AJ713=11,$AJ713=18),"①病院一般",IF($AJ713=41,"②病院短期","対象外")),IF($AH713=5,IF($AJ713=30,"③特定消防","対象外"),IF(OR($AJ713=10,$AJ713=11,$AJ713=74),"④一般",IF(OR($AJ713=41,$AJ713=47),"⑤短期","対象外"))))))</f>
        <v>⑤短期</v>
      </c>
    </row>
    <row r="714" customFormat="false" ht="15" hidden="false" customHeight="false" outlineLevel="0" collapsed="false">
      <c r="A714" s="0" t="n">
        <v>31</v>
      </c>
      <c r="AA714" s="0" t="n">
        <v>21</v>
      </c>
      <c r="AB714" s="0" t="s">
        <v>299</v>
      </c>
      <c r="AD714" s="0" t="n">
        <v>12</v>
      </c>
      <c r="AE714" s="0" t="s">
        <v>301</v>
      </c>
      <c r="AH714" s="0" t="n">
        <v>1</v>
      </c>
      <c r="AJ714" s="0" t="n">
        <v>41</v>
      </c>
      <c r="AP714" s="0" t="n">
        <v>180000</v>
      </c>
      <c r="DB714" s="0" t="str">
        <f aca="false">IF($A714="","",IF($AE714&amp;""&lt;&gt;設定!$C$4,"対象外",IF($AH714=20,IF(OR($AJ714=10,$AJ714=11,$AJ714=18),"①病院一般",IF($AJ714=41,"②病院短期","対象外")),IF($AH714=5,IF($AJ714=30,"③特定消防","対象外"),IF(OR($AJ714=10,$AJ714=11,$AJ714=74),"④一般",IF(OR($AJ714=41,$AJ714=47),"⑤短期","対象外"))))))</f>
        <v>対象外</v>
      </c>
    </row>
    <row r="715" customFormat="false" ht="15" hidden="false" customHeight="false" outlineLevel="0" collapsed="false">
      <c r="A715" s="0" t="n">
        <v>31</v>
      </c>
      <c r="AA715" s="0" t="n">
        <v>21</v>
      </c>
      <c r="AB715" s="0" t="s">
        <v>496</v>
      </c>
      <c r="AD715" s="0" t="n">
        <v>12</v>
      </c>
      <c r="AE715" s="0" t="s">
        <v>96</v>
      </c>
      <c r="AH715" s="0" t="n">
        <v>1</v>
      </c>
      <c r="AJ715" s="0" t="n">
        <v>41</v>
      </c>
      <c r="AP715" s="0" t="n">
        <v>126000</v>
      </c>
      <c r="DB715" s="0" t="str">
        <f aca="false">IF($A715="","",IF($AE715&amp;""&lt;&gt;設定!$C$4,"対象外",IF($AH715=20,IF(OR($AJ715=10,$AJ715=11,$AJ715=18),"①病院一般",IF($AJ715=41,"②病院短期","対象外")),IF($AH715=5,IF($AJ715=30,"③特定消防","対象外"),IF(OR($AJ715=10,$AJ715=11,$AJ715=74),"④一般",IF(OR($AJ715=41,$AJ715=47),"⑤短期","対象外"))))))</f>
        <v>⑤短期</v>
      </c>
    </row>
    <row r="716" customFormat="false" ht="15" hidden="false" customHeight="false" outlineLevel="0" collapsed="false">
      <c r="A716" s="0" t="n">
        <v>31</v>
      </c>
      <c r="AA716" s="0" t="n">
        <v>21</v>
      </c>
      <c r="AB716" s="0" t="s">
        <v>494</v>
      </c>
      <c r="AD716" s="0" t="n">
        <v>15</v>
      </c>
      <c r="AE716" s="0" t="s">
        <v>512</v>
      </c>
      <c r="AH716" s="0" t="n">
        <v>11</v>
      </c>
      <c r="AJ716" s="0" t="n">
        <v>41</v>
      </c>
      <c r="AP716" s="0" t="n">
        <v>220000</v>
      </c>
      <c r="DB716" s="0" t="str">
        <f aca="false">IF($A716="","",IF($AE716&amp;""&lt;&gt;設定!$C$4,"対象外",IF($AH716=20,IF(OR($AJ716=10,$AJ716=11,$AJ716=18),"①病院一般",IF($AJ716=41,"②病院短期","対象外")),IF($AH716=5,IF($AJ716=30,"③特定消防","対象外"),IF(OR($AJ716=10,$AJ716=11,$AJ716=74),"④一般",IF(OR($AJ716=41,$AJ716=47),"⑤短期","対象外"))))))</f>
        <v>対象外</v>
      </c>
    </row>
    <row r="717" customFormat="false" ht="15" hidden="false" customHeight="false" outlineLevel="0" collapsed="false">
      <c r="A717" s="0" t="n">
        <v>31</v>
      </c>
      <c r="AA717" s="0" t="n">
        <v>21</v>
      </c>
      <c r="AB717" s="0" t="s">
        <v>496</v>
      </c>
      <c r="AD717" s="0" t="n">
        <v>11</v>
      </c>
      <c r="AE717" s="0" t="s">
        <v>96</v>
      </c>
      <c r="AH717" s="0" t="n">
        <v>20</v>
      </c>
      <c r="AJ717" s="0" t="n">
        <v>41</v>
      </c>
      <c r="AP717" s="0" t="n">
        <v>220000</v>
      </c>
      <c r="DB717" s="0" t="str">
        <f aca="false">IF($A717="","",IF($AE717&amp;""&lt;&gt;設定!$C$4,"対象外",IF($AH717=20,IF(OR($AJ717=10,$AJ717=11,$AJ717=18),"①病院一般",IF($AJ717=41,"②病院短期","対象外")),IF($AH717=5,IF($AJ717=30,"③特定消防","対象外"),IF(OR($AJ717=10,$AJ717=11,$AJ717=74),"④一般",IF(OR($AJ717=41,$AJ717=47),"⑤短期","対象外"))))))</f>
        <v>②病院短期</v>
      </c>
    </row>
    <row r="718" customFormat="false" ht="15" hidden="false" customHeight="false" outlineLevel="0" collapsed="false">
      <c r="A718" s="0" t="n">
        <v>31</v>
      </c>
      <c r="AA718" s="0" t="n">
        <v>24</v>
      </c>
      <c r="AB718" s="0" t="s">
        <v>513</v>
      </c>
      <c r="AD718" s="0" t="n">
        <v>12</v>
      </c>
      <c r="AE718" s="0" t="s">
        <v>298</v>
      </c>
      <c r="AH718" s="0" t="n">
        <v>1</v>
      </c>
      <c r="AJ718" s="0" t="n">
        <v>41</v>
      </c>
      <c r="AP718" s="0" t="n">
        <v>126000</v>
      </c>
      <c r="DB718" s="0" t="str">
        <f aca="false">IF($A718="","",IF($AE718&amp;""&lt;&gt;設定!$C$4,"対象外",IF($AH718=20,IF(OR($AJ718=10,$AJ718=11,$AJ718=18),"①病院一般",IF($AJ718=41,"②病院短期","対象外")),IF($AH718=5,IF($AJ718=30,"③特定消防","対象外"),IF(OR($AJ718=10,$AJ718=11,$AJ718=74),"④一般",IF(OR($AJ718=41,$AJ718=47),"⑤短期","対象外"))))))</f>
        <v>対象外</v>
      </c>
    </row>
    <row r="719" customFormat="false" ht="15" hidden="false" customHeight="false" outlineLevel="0" collapsed="false">
      <c r="A719" s="0" t="n">
        <v>31</v>
      </c>
      <c r="AA719" s="0" t="n">
        <v>24</v>
      </c>
      <c r="AB719" s="0" t="s">
        <v>514</v>
      </c>
      <c r="AD719" s="0" t="n">
        <v>12</v>
      </c>
      <c r="AE719" s="0" t="s">
        <v>96</v>
      </c>
      <c r="AH719" s="0" t="n">
        <v>1</v>
      </c>
      <c r="AJ719" s="0" t="n">
        <v>41</v>
      </c>
      <c r="AP719" s="0" t="n">
        <v>126000</v>
      </c>
      <c r="DB719" s="0" t="str">
        <f aca="false">IF($A719="","",IF($AE719&amp;""&lt;&gt;設定!$C$4,"対象外",IF($AH719=20,IF(OR($AJ719=10,$AJ719=11,$AJ719=18),"①病院一般",IF($AJ719=41,"②病院短期","対象外")),IF($AH719=5,IF($AJ719=30,"③特定消防","対象外"),IF(OR($AJ719=10,$AJ719=11,$AJ719=74),"④一般",IF(OR($AJ719=41,$AJ719=47),"⑤短期","対象外"))))))</f>
        <v>⑤短期</v>
      </c>
    </row>
    <row r="720" customFormat="false" ht="15" hidden="false" customHeight="false" outlineLevel="0" collapsed="false">
      <c r="A720" s="0" t="n">
        <v>31</v>
      </c>
      <c r="AA720" s="0" t="n">
        <v>21</v>
      </c>
      <c r="AB720" s="0" t="s">
        <v>496</v>
      </c>
      <c r="AD720" s="0" t="n">
        <v>11</v>
      </c>
      <c r="AE720" s="0" t="s">
        <v>96</v>
      </c>
      <c r="AH720" s="0" t="n">
        <v>1</v>
      </c>
      <c r="AJ720" s="0" t="n">
        <v>41</v>
      </c>
      <c r="AP720" s="0" t="n">
        <v>118000</v>
      </c>
      <c r="DB720" s="0" t="str">
        <f aca="false">IF($A720="","",IF($AE720&amp;""&lt;&gt;設定!$C$4,"対象外",IF($AH720=20,IF(OR($AJ720=10,$AJ720=11,$AJ720=18),"①病院一般",IF($AJ720=41,"②病院短期","対象外")),IF($AH720=5,IF($AJ720=30,"③特定消防","対象外"),IF(OR($AJ720=10,$AJ720=11,$AJ720=74),"④一般",IF(OR($AJ720=41,$AJ720=47),"⑤短期","対象外"))))))</f>
        <v>⑤短期</v>
      </c>
    </row>
    <row r="721" customFormat="false" ht="15" hidden="false" customHeight="false" outlineLevel="0" collapsed="false">
      <c r="A721" s="0" t="n">
        <v>31</v>
      </c>
      <c r="AA721" s="0" t="n">
        <v>21</v>
      </c>
      <c r="AB721" s="0" t="s">
        <v>496</v>
      </c>
      <c r="AD721" s="0" t="n">
        <v>11</v>
      </c>
      <c r="AE721" s="0" t="s">
        <v>96</v>
      </c>
      <c r="AH721" s="0" t="n">
        <v>1</v>
      </c>
      <c r="AJ721" s="0" t="n">
        <v>41</v>
      </c>
      <c r="AP721" s="0" t="n">
        <v>134000</v>
      </c>
      <c r="DB721" s="0" t="str">
        <f aca="false">IF($A721="","",IF($AE721&amp;""&lt;&gt;設定!$C$4,"対象外",IF($AH721=20,IF(OR($AJ721=10,$AJ721=11,$AJ721=18),"①病院一般",IF($AJ721=41,"②病院短期","対象外")),IF($AH721=5,IF($AJ721=30,"③特定消防","対象外"),IF(OR($AJ721=10,$AJ721=11,$AJ721=74),"④一般",IF(OR($AJ721=41,$AJ721=47),"⑤短期","対象外"))))))</f>
        <v>⑤短期</v>
      </c>
    </row>
    <row r="722" customFormat="false" ht="15" hidden="false" customHeight="false" outlineLevel="0" collapsed="false">
      <c r="A722" s="0" t="n">
        <v>31</v>
      </c>
      <c r="AA722" s="0" t="n">
        <v>21</v>
      </c>
      <c r="AB722" s="0" t="s">
        <v>496</v>
      </c>
      <c r="AD722" s="0" t="n">
        <v>11</v>
      </c>
      <c r="AE722" s="0" t="s">
        <v>96</v>
      </c>
      <c r="AH722" s="0" t="n">
        <v>1</v>
      </c>
      <c r="AJ722" s="0" t="n">
        <v>41</v>
      </c>
      <c r="AP722" s="0" t="n">
        <v>200000</v>
      </c>
      <c r="DB722" s="0" t="str">
        <f aca="false">IF($A722="","",IF($AE722&amp;""&lt;&gt;設定!$C$4,"対象外",IF($AH722=20,IF(OR($AJ722=10,$AJ722=11,$AJ722=18),"①病院一般",IF($AJ722=41,"②病院短期","対象外")),IF($AH722=5,IF($AJ722=30,"③特定消防","対象外"),IF(OR($AJ722=10,$AJ722=11,$AJ722=74),"④一般",IF(OR($AJ722=41,$AJ722=47),"⑤短期","対象外"))))))</f>
        <v>⑤短期</v>
      </c>
    </row>
    <row r="723" customFormat="false" ht="15" hidden="false" customHeight="false" outlineLevel="0" collapsed="false">
      <c r="A723" s="0" t="n">
        <v>31</v>
      </c>
      <c r="AA723" s="0" t="n">
        <v>21</v>
      </c>
      <c r="AB723" s="0" t="s">
        <v>496</v>
      </c>
      <c r="AD723" s="0" t="n">
        <v>11</v>
      </c>
      <c r="AE723" s="0" t="s">
        <v>96</v>
      </c>
      <c r="AH723" s="0" t="n">
        <v>1</v>
      </c>
      <c r="AJ723" s="0" t="n">
        <v>41</v>
      </c>
      <c r="AP723" s="0" t="n">
        <v>200000</v>
      </c>
      <c r="DB723" s="0" t="str">
        <f aca="false">IF($A723="","",IF($AE723&amp;""&lt;&gt;設定!$C$4,"対象外",IF($AH723=20,IF(OR($AJ723=10,$AJ723=11,$AJ723=18),"①病院一般",IF($AJ723=41,"②病院短期","対象外")),IF($AH723=5,IF($AJ723=30,"③特定消防","対象外"),IF(OR($AJ723=10,$AJ723=11,$AJ723=74),"④一般",IF(OR($AJ723=41,$AJ723=47),"⑤短期","対象外"))))))</f>
        <v>⑤短期</v>
      </c>
    </row>
    <row r="724" customFormat="false" ht="15" hidden="false" customHeight="false" outlineLevel="0" collapsed="false">
      <c r="A724" s="0" t="n">
        <v>31</v>
      </c>
      <c r="AA724" s="0" t="n">
        <v>21</v>
      </c>
      <c r="AB724" s="0" t="s">
        <v>496</v>
      </c>
      <c r="AD724" s="0" t="n">
        <v>11</v>
      </c>
      <c r="AE724" s="0" t="s">
        <v>96</v>
      </c>
      <c r="AH724" s="0" t="n">
        <v>1</v>
      </c>
      <c r="AJ724" s="0" t="n">
        <v>41</v>
      </c>
      <c r="AP724" s="0" t="n">
        <v>200000</v>
      </c>
      <c r="DB724" s="0" t="str">
        <f aca="false">IF($A724="","",IF($AE724&amp;""&lt;&gt;設定!$C$4,"対象外",IF($AH724=20,IF(OR($AJ724=10,$AJ724=11,$AJ724=18),"①病院一般",IF($AJ724=41,"②病院短期","対象外")),IF($AH724=5,IF($AJ724=30,"③特定消防","対象外"),IF(OR($AJ724=10,$AJ724=11,$AJ724=74),"④一般",IF(OR($AJ724=41,$AJ724=47),"⑤短期","対象外"))))))</f>
        <v>⑤短期</v>
      </c>
    </row>
    <row r="725" customFormat="false" ht="15" hidden="false" customHeight="false" outlineLevel="0" collapsed="false">
      <c r="A725" s="0" t="n">
        <v>31</v>
      </c>
      <c r="AA725" s="0" t="n">
        <v>24</v>
      </c>
      <c r="AB725" s="0" t="s">
        <v>515</v>
      </c>
      <c r="AD725" s="0" t="n">
        <v>12</v>
      </c>
      <c r="AE725" s="0" t="s">
        <v>96</v>
      </c>
      <c r="AH725" s="0" t="n">
        <v>11</v>
      </c>
      <c r="AJ725" s="0" t="n">
        <v>41</v>
      </c>
      <c r="AP725" s="0" t="n">
        <v>200000</v>
      </c>
      <c r="DB725" s="0" t="str">
        <f aca="false">IF($A725="","",IF($AE725&amp;""&lt;&gt;設定!$C$4,"対象外",IF($AH725=20,IF(OR($AJ725=10,$AJ725=11,$AJ725=18),"①病院一般",IF($AJ725=41,"②病院短期","対象外")),IF($AH725=5,IF($AJ725=30,"③特定消防","対象外"),IF(OR($AJ725=10,$AJ725=11,$AJ725=74),"④一般",IF(OR($AJ725=41,$AJ725=47),"⑤短期","対象外"))))))</f>
        <v>⑤短期</v>
      </c>
    </row>
    <row r="726" customFormat="false" ht="15" hidden="false" customHeight="false" outlineLevel="0" collapsed="false">
      <c r="A726" s="0" t="n">
        <v>31</v>
      </c>
      <c r="AA726" s="0" t="n">
        <v>21</v>
      </c>
      <c r="AB726" s="0" t="s">
        <v>496</v>
      </c>
      <c r="AD726" s="0" t="n">
        <v>12</v>
      </c>
      <c r="AE726" s="0" t="s">
        <v>96</v>
      </c>
      <c r="AH726" s="0" t="n">
        <v>1</v>
      </c>
      <c r="AJ726" s="0" t="n">
        <v>41</v>
      </c>
      <c r="AP726" s="0" t="n">
        <v>170000</v>
      </c>
      <c r="DB726" s="0" t="str">
        <f aca="false">IF($A726="","",IF($AE726&amp;""&lt;&gt;設定!$C$4,"対象外",IF($AH726=20,IF(OR($AJ726=10,$AJ726=11,$AJ726=18),"①病院一般",IF($AJ726=41,"②病院短期","対象外")),IF($AH726=5,IF($AJ726=30,"③特定消防","対象外"),IF(OR($AJ726=10,$AJ726=11,$AJ726=74),"④一般",IF(OR($AJ726=41,$AJ726=47),"⑤短期","対象外"))))))</f>
        <v>⑤短期</v>
      </c>
    </row>
    <row r="727" customFormat="false" ht="15" hidden="false" customHeight="false" outlineLevel="0" collapsed="false">
      <c r="A727" s="0" t="n">
        <v>31</v>
      </c>
      <c r="AA727" s="0" t="n">
        <v>21</v>
      </c>
      <c r="AB727" s="0" t="s">
        <v>504</v>
      </c>
      <c r="AD727" s="0" t="n">
        <v>12</v>
      </c>
      <c r="AE727" s="0" t="s">
        <v>96</v>
      </c>
      <c r="AH727" s="0" t="n">
        <v>27</v>
      </c>
      <c r="AJ727" s="0" t="n">
        <v>41</v>
      </c>
      <c r="AP727" s="0" t="n">
        <v>180000</v>
      </c>
      <c r="DB727" s="0" t="str">
        <f aca="false">IF($A727="","",IF($AE727&amp;""&lt;&gt;設定!$C$4,"対象外",IF($AH727=20,IF(OR($AJ727=10,$AJ727=11,$AJ727=18),"①病院一般",IF($AJ727=41,"②病院短期","対象外")),IF($AH727=5,IF($AJ727=30,"③特定消防","対象外"),IF(OR($AJ727=10,$AJ727=11,$AJ727=74),"④一般",IF(OR($AJ727=41,$AJ727=47),"⑤短期","対象外"))))))</f>
        <v>⑤短期</v>
      </c>
    </row>
    <row r="728" customFormat="false" ht="15" hidden="false" customHeight="false" outlineLevel="0" collapsed="false">
      <c r="A728" s="0" t="n">
        <v>31</v>
      </c>
      <c r="AA728" s="0" t="n">
        <v>24</v>
      </c>
      <c r="AB728" s="0" t="s">
        <v>504</v>
      </c>
      <c r="AD728" s="0" t="n">
        <v>12</v>
      </c>
      <c r="AE728" s="0" t="s">
        <v>96</v>
      </c>
      <c r="AH728" s="0" t="n">
        <v>1</v>
      </c>
      <c r="AJ728" s="0" t="n">
        <v>41</v>
      </c>
      <c r="AP728" s="0" t="n">
        <v>142000</v>
      </c>
      <c r="DB728" s="0" t="str">
        <f aca="false">IF($A728="","",IF($AE728&amp;""&lt;&gt;設定!$C$4,"対象外",IF($AH728=20,IF(OR($AJ728=10,$AJ728=11,$AJ728=18),"①病院一般",IF($AJ728=41,"②病院短期","対象外")),IF($AH728=5,IF($AJ728=30,"③特定消防","対象外"),IF(OR($AJ728=10,$AJ728=11,$AJ728=74),"④一般",IF(OR($AJ728=41,$AJ728=47),"⑤短期","対象外"))))))</f>
        <v>⑤短期</v>
      </c>
    </row>
    <row r="729" customFormat="false" ht="15" hidden="false" customHeight="false" outlineLevel="0" collapsed="false">
      <c r="A729" s="0" t="n">
        <v>31</v>
      </c>
      <c r="AA729" s="0" t="n">
        <v>21</v>
      </c>
      <c r="AB729" s="0" t="s">
        <v>496</v>
      </c>
      <c r="AD729" s="0" t="n">
        <v>12</v>
      </c>
      <c r="AE729" s="0" t="s">
        <v>516</v>
      </c>
      <c r="AH729" s="0" t="n">
        <v>1</v>
      </c>
      <c r="AJ729" s="0" t="n">
        <v>41</v>
      </c>
      <c r="AP729" s="0" t="n">
        <v>134000</v>
      </c>
      <c r="DB729" s="0" t="str">
        <f aca="false">IF($A729="","",IF($AE729&amp;""&lt;&gt;設定!$C$4,"対象外",IF($AH729=20,IF(OR($AJ729=10,$AJ729=11,$AJ729=18),"①病院一般",IF($AJ729=41,"②病院短期","対象外")),IF($AH729=5,IF($AJ729=30,"③特定消防","対象外"),IF(OR($AJ729=10,$AJ729=11,$AJ729=74),"④一般",IF(OR($AJ729=41,$AJ729=47),"⑤短期","対象外"))))))</f>
        <v>対象外</v>
      </c>
    </row>
    <row r="730" customFormat="false" ht="15" hidden="false" customHeight="false" outlineLevel="0" collapsed="false">
      <c r="A730" s="0" t="n">
        <v>31</v>
      </c>
      <c r="AA730" s="0" t="n">
        <v>24</v>
      </c>
      <c r="AB730" s="0" t="s">
        <v>294</v>
      </c>
      <c r="AD730" s="0" t="n">
        <v>12</v>
      </c>
      <c r="AE730" s="0" t="s">
        <v>301</v>
      </c>
      <c r="AH730" s="0" t="n">
        <v>1</v>
      </c>
      <c r="AJ730" s="0" t="n">
        <v>41</v>
      </c>
      <c r="AP730" s="0" t="n">
        <v>126000</v>
      </c>
      <c r="DB730" s="0" t="str">
        <f aca="false">IF($A730="","",IF($AE730&amp;""&lt;&gt;設定!$C$4,"対象外",IF($AH730=20,IF(OR($AJ730=10,$AJ730=11,$AJ730=18),"①病院一般",IF($AJ730=41,"②病院短期","対象外")),IF($AH730=5,IF($AJ730=30,"③特定消防","対象外"),IF(OR($AJ730=10,$AJ730=11,$AJ730=74),"④一般",IF(OR($AJ730=41,$AJ730=47),"⑤短期","対象外"))))))</f>
        <v>対象外</v>
      </c>
    </row>
    <row r="731" customFormat="false" ht="15" hidden="false" customHeight="false" outlineLevel="0" collapsed="false">
      <c r="A731" s="0" t="n">
        <v>31</v>
      </c>
      <c r="AA731" s="0" t="n">
        <v>21</v>
      </c>
      <c r="AB731" s="0" t="s">
        <v>458</v>
      </c>
      <c r="AD731" s="0" t="n">
        <v>15</v>
      </c>
      <c r="AE731" s="0" t="s">
        <v>512</v>
      </c>
      <c r="AH731" s="0" t="n">
        <v>1</v>
      </c>
      <c r="AJ731" s="0" t="n">
        <v>10</v>
      </c>
      <c r="AP731" s="0" t="n">
        <v>240000</v>
      </c>
      <c r="DB731" s="0" t="str">
        <f aca="false">IF($A731="","",IF($AE731&amp;""&lt;&gt;設定!$C$4,"対象外",IF($AH731=20,IF(OR($AJ731=10,$AJ731=11,$AJ731=18),"①病院一般",IF($AJ731=41,"②病院短期","対象外")),IF($AH731=5,IF($AJ731=30,"③特定消防","対象外"),IF(OR($AJ731=10,$AJ731=11,$AJ731=74),"④一般",IF(OR($AJ731=41,$AJ731=47),"⑤短期","対象外"))))))</f>
        <v>対象外</v>
      </c>
    </row>
    <row r="732" customFormat="false" ht="15" hidden="false" customHeight="false" outlineLevel="0" collapsed="false">
      <c r="A732" s="0" t="n">
        <v>31</v>
      </c>
      <c r="AA732" s="0" t="n">
        <v>21</v>
      </c>
      <c r="AB732" s="0" t="s">
        <v>496</v>
      </c>
      <c r="AD732" s="0" t="n">
        <v>12</v>
      </c>
      <c r="AE732" s="0" t="s">
        <v>96</v>
      </c>
      <c r="AH732" s="0" t="n">
        <v>11</v>
      </c>
      <c r="AJ732" s="0" t="n">
        <v>41</v>
      </c>
      <c r="AP732" s="0" t="n">
        <v>200000</v>
      </c>
      <c r="DB732" s="0" t="str">
        <f aca="false">IF($A732="","",IF($AE732&amp;""&lt;&gt;設定!$C$4,"対象外",IF($AH732=20,IF(OR($AJ732=10,$AJ732=11,$AJ732=18),"①病院一般",IF($AJ732=41,"②病院短期","対象外")),IF($AH732=5,IF($AJ732=30,"③特定消防","対象外"),IF(OR($AJ732=10,$AJ732=11,$AJ732=74),"④一般",IF(OR($AJ732=41,$AJ732=47),"⑤短期","対象外"))))))</f>
        <v>⑤短期</v>
      </c>
    </row>
    <row r="733" customFormat="false" ht="15" hidden="false" customHeight="false" outlineLevel="0" collapsed="false">
      <c r="A733" s="0" t="n">
        <v>31</v>
      </c>
      <c r="AA733" s="0" t="n">
        <v>21</v>
      </c>
      <c r="AB733" s="0" t="s">
        <v>494</v>
      </c>
      <c r="AD733" s="0" t="n">
        <v>12</v>
      </c>
      <c r="AE733" s="0" t="s">
        <v>96</v>
      </c>
      <c r="AH733" s="0" t="n">
        <v>20</v>
      </c>
      <c r="AJ733" s="0" t="n">
        <v>41</v>
      </c>
      <c r="AP733" s="0" t="n">
        <v>560000</v>
      </c>
      <c r="DB733" s="0" t="str">
        <f aca="false">IF($A733="","",IF($AE733&amp;""&lt;&gt;設定!$C$4,"対象外",IF($AH733=20,IF(OR($AJ733=10,$AJ733=11,$AJ733=18),"①病院一般",IF($AJ733=41,"②病院短期","対象外")),IF($AH733=5,IF($AJ733=30,"③特定消防","対象外"),IF(OR($AJ733=10,$AJ733=11,$AJ733=74),"④一般",IF(OR($AJ733=41,$AJ733=47),"⑤短期","対象外"))))))</f>
        <v>②病院短期</v>
      </c>
    </row>
    <row r="734" customFormat="false" ht="15" hidden="false" customHeight="false" outlineLevel="0" collapsed="false">
      <c r="A734" s="0" t="n">
        <v>31</v>
      </c>
      <c r="AA734" s="0" t="n">
        <v>21</v>
      </c>
      <c r="AB734" s="0" t="s">
        <v>496</v>
      </c>
      <c r="AD734" s="0" t="n">
        <v>12</v>
      </c>
      <c r="AE734" s="0" t="s">
        <v>96</v>
      </c>
      <c r="AH734" s="0" t="n">
        <v>1</v>
      </c>
      <c r="AJ734" s="0" t="n">
        <v>41</v>
      </c>
      <c r="AP734" s="0" t="n">
        <v>200000</v>
      </c>
      <c r="DB734" s="0" t="str">
        <f aca="false">IF($A734="","",IF($AE734&amp;""&lt;&gt;設定!$C$4,"対象外",IF($AH734=20,IF(OR($AJ734=10,$AJ734=11,$AJ734=18),"①病院一般",IF($AJ734=41,"②病院短期","対象外")),IF($AH734=5,IF($AJ734=30,"③特定消防","対象外"),IF(OR($AJ734=10,$AJ734=11,$AJ734=74),"④一般",IF(OR($AJ734=41,$AJ734=47),"⑤短期","対象外"))))))</f>
        <v>⑤短期</v>
      </c>
    </row>
    <row r="735" customFormat="false" ht="15" hidden="false" customHeight="false" outlineLevel="0" collapsed="false">
      <c r="A735" s="0" t="n">
        <v>31</v>
      </c>
      <c r="AA735" s="0" t="n">
        <v>21</v>
      </c>
      <c r="AB735" s="0" t="s">
        <v>96</v>
      </c>
      <c r="AD735" s="0" t="n">
        <v>12</v>
      </c>
      <c r="AE735" s="0" t="s">
        <v>294</v>
      </c>
      <c r="AH735" s="0" t="n">
        <v>1</v>
      </c>
      <c r="AJ735" s="0" t="n">
        <v>41</v>
      </c>
      <c r="AP735" s="0" t="n">
        <v>170000</v>
      </c>
      <c r="DB735" s="0" t="str">
        <f aca="false">IF($A735="","",IF($AE735&amp;""&lt;&gt;設定!$C$4,"対象外",IF($AH735=20,IF(OR($AJ735=10,$AJ735=11,$AJ735=18),"①病院一般",IF($AJ735=41,"②病院短期","対象外")),IF($AH735=5,IF($AJ735=30,"③特定消防","対象外"),IF(OR($AJ735=10,$AJ735=11,$AJ735=74),"④一般",IF(OR($AJ735=41,$AJ735=47),"⑤短期","対象外"))))))</f>
        <v>対象外</v>
      </c>
    </row>
    <row r="736" customFormat="false" ht="15" hidden="false" customHeight="false" outlineLevel="0" collapsed="false">
      <c r="A736" s="0" t="n">
        <v>31</v>
      </c>
      <c r="AA736" s="0" t="n">
        <v>21</v>
      </c>
      <c r="AB736" s="0" t="s">
        <v>496</v>
      </c>
      <c r="AD736" s="0" t="n">
        <v>12</v>
      </c>
      <c r="AE736" s="0" t="s">
        <v>294</v>
      </c>
      <c r="AH736" s="0" t="n">
        <v>1</v>
      </c>
      <c r="AJ736" s="0" t="n">
        <v>41</v>
      </c>
      <c r="AP736" s="0" t="n">
        <v>126000</v>
      </c>
      <c r="DB736" s="0" t="str">
        <f aca="false">IF($A736="","",IF($AE736&amp;""&lt;&gt;設定!$C$4,"対象外",IF($AH736=20,IF(OR($AJ736=10,$AJ736=11,$AJ736=18),"①病院一般",IF($AJ736=41,"②病院短期","対象外")),IF($AH736=5,IF($AJ736=30,"③特定消防","対象外"),IF(OR($AJ736=10,$AJ736=11,$AJ736=74),"④一般",IF(OR($AJ736=41,$AJ736=47),"⑤短期","対象外"))))))</f>
        <v>対象外</v>
      </c>
    </row>
    <row r="737" customFormat="false" ht="15" hidden="false" customHeight="false" outlineLevel="0" collapsed="false">
      <c r="A737" s="0" t="n">
        <v>31</v>
      </c>
      <c r="AA737" s="0" t="n">
        <v>21</v>
      </c>
      <c r="AB737" s="0" t="s">
        <v>496</v>
      </c>
      <c r="AD737" s="0" t="n">
        <v>12</v>
      </c>
      <c r="AE737" s="0" t="s">
        <v>96</v>
      </c>
      <c r="AH737" s="0" t="n">
        <v>1</v>
      </c>
      <c r="AJ737" s="0" t="n">
        <v>41</v>
      </c>
      <c r="AP737" s="0" t="n">
        <v>126000</v>
      </c>
      <c r="DB737" s="0" t="str">
        <f aca="false">IF($A737="","",IF($AE737&amp;""&lt;&gt;設定!$C$4,"対象外",IF($AH737=20,IF(OR($AJ737=10,$AJ737=11,$AJ737=18),"①病院一般",IF($AJ737=41,"②病院短期","対象外")),IF($AH737=5,IF($AJ737=30,"③特定消防","対象外"),IF(OR($AJ737=10,$AJ737=11,$AJ737=74),"④一般",IF(OR($AJ737=41,$AJ737=47),"⑤短期","対象外"))))))</f>
        <v>⑤短期</v>
      </c>
    </row>
    <row r="738" customFormat="false" ht="15" hidden="false" customHeight="false" outlineLevel="0" collapsed="false">
      <c r="A738" s="0" t="n">
        <v>31</v>
      </c>
      <c r="AA738" s="0" t="n">
        <v>21</v>
      </c>
      <c r="AB738" s="0" t="s">
        <v>496</v>
      </c>
      <c r="AD738" s="0" t="n">
        <v>12</v>
      </c>
      <c r="AE738" s="0" t="s">
        <v>96</v>
      </c>
      <c r="AH738" s="0" t="n">
        <v>11</v>
      </c>
      <c r="AJ738" s="0" t="n">
        <v>41</v>
      </c>
      <c r="AP738" s="0" t="n">
        <v>170000</v>
      </c>
      <c r="DB738" s="0" t="str">
        <f aca="false">IF($A738="","",IF($AE738&amp;""&lt;&gt;設定!$C$4,"対象外",IF($AH738=20,IF(OR($AJ738=10,$AJ738=11,$AJ738=18),"①病院一般",IF($AJ738=41,"②病院短期","対象外")),IF($AH738=5,IF($AJ738=30,"③特定消防","対象外"),IF(OR($AJ738=10,$AJ738=11,$AJ738=74),"④一般",IF(OR($AJ738=41,$AJ738=47),"⑤短期","対象外"))))))</f>
        <v>⑤短期</v>
      </c>
    </row>
    <row r="739" customFormat="false" ht="15" hidden="false" customHeight="false" outlineLevel="0" collapsed="false">
      <c r="A739" s="0" t="n">
        <v>31</v>
      </c>
      <c r="AA739" s="0" t="n">
        <v>21</v>
      </c>
      <c r="AB739" s="0" t="s">
        <v>496</v>
      </c>
      <c r="AD739" s="0" t="n">
        <v>12</v>
      </c>
      <c r="AE739" s="0" t="s">
        <v>96</v>
      </c>
      <c r="AH739" s="0" t="n">
        <v>1</v>
      </c>
      <c r="AJ739" s="0" t="n">
        <v>41</v>
      </c>
      <c r="AP739" s="0" t="n">
        <v>190000</v>
      </c>
      <c r="DB739" s="0" t="str">
        <f aca="false">IF($A739="","",IF($AE739&amp;""&lt;&gt;設定!$C$4,"対象外",IF($AH739=20,IF(OR($AJ739=10,$AJ739=11,$AJ739=18),"①病院一般",IF($AJ739=41,"②病院短期","対象外")),IF($AH739=5,IF($AJ739=30,"③特定消防","対象外"),IF(OR($AJ739=10,$AJ739=11,$AJ739=74),"④一般",IF(OR($AJ739=41,$AJ739=47),"⑤短期","対象外"))))))</f>
        <v>⑤短期</v>
      </c>
    </row>
    <row r="740" customFormat="false" ht="15" hidden="false" customHeight="false" outlineLevel="0" collapsed="false">
      <c r="A740" s="0" t="n">
        <v>31</v>
      </c>
      <c r="AA740" s="0" t="n">
        <v>21</v>
      </c>
      <c r="AB740" s="0" t="s">
        <v>496</v>
      </c>
      <c r="AD740" s="0" t="n">
        <v>12</v>
      </c>
      <c r="AE740" s="0" t="s">
        <v>96</v>
      </c>
      <c r="AH740" s="0" t="n">
        <v>1</v>
      </c>
      <c r="AJ740" s="0" t="n">
        <v>41</v>
      </c>
      <c r="AP740" s="0" t="n">
        <v>126000</v>
      </c>
      <c r="DB740" s="0" t="str">
        <f aca="false">IF($A740="","",IF($AE740&amp;""&lt;&gt;設定!$C$4,"対象外",IF($AH740=20,IF(OR($AJ740=10,$AJ740=11,$AJ740=18),"①病院一般",IF($AJ740=41,"②病院短期","対象外")),IF($AH740=5,IF($AJ740=30,"③特定消防","対象外"),IF(OR($AJ740=10,$AJ740=11,$AJ740=74),"④一般",IF(OR($AJ740=41,$AJ740=47),"⑤短期","対象外"))))))</f>
        <v>⑤短期</v>
      </c>
    </row>
    <row r="741" customFormat="false" ht="15" hidden="false" customHeight="false" outlineLevel="0" collapsed="false">
      <c r="A741" s="0" t="n">
        <v>31</v>
      </c>
      <c r="AA741" s="0" t="n">
        <v>21</v>
      </c>
      <c r="AB741" s="0" t="s">
        <v>496</v>
      </c>
      <c r="AD741" s="0" t="n">
        <v>12</v>
      </c>
      <c r="AE741" s="0" t="s">
        <v>96</v>
      </c>
      <c r="AH741" s="0" t="n">
        <v>1</v>
      </c>
      <c r="AJ741" s="0" t="n">
        <v>41</v>
      </c>
      <c r="AP741" s="0" t="n">
        <v>200000</v>
      </c>
      <c r="DB741" s="0" t="str">
        <f aca="false">IF($A741="","",IF($AE741&amp;""&lt;&gt;設定!$C$4,"対象外",IF($AH741=20,IF(OR($AJ741=10,$AJ741=11,$AJ741=18),"①病院一般",IF($AJ741=41,"②病院短期","対象外")),IF($AH741=5,IF($AJ741=30,"③特定消防","対象外"),IF(OR($AJ741=10,$AJ741=11,$AJ741=74),"④一般",IF(OR($AJ741=41,$AJ741=47),"⑤短期","対象外"))))))</f>
        <v>⑤短期</v>
      </c>
    </row>
    <row r="742" customFormat="false" ht="15" hidden="false" customHeight="false" outlineLevel="0" collapsed="false">
      <c r="A742" s="0" t="n">
        <v>31</v>
      </c>
      <c r="AA742" s="0" t="n">
        <v>21</v>
      </c>
      <c r="AB742" s="0" t="s">
        <v>496</v>
      </c>
      <c r="AD742" s="0" t="n">
        <v>11</v>
      </c>
      <c r="AE742" s="0" t="s">
        <v>96</v>
      </c>
      <c r="AH742" s="0" t="n">
        <v>1</v>
      </c>
      <c r="AJ742" s="0" t="n">
        <v>41</v>
      </c>
      <c r="AP742" s="0" t="n">
        <v>126000</v>
      </c>
      <c r="DB742" s="0" t="str">
        <f aca="false">IF($A742="","",IF($AE742&amp;""&lt;&gt;設定!$C$4,"対象外",IF($AH742=20,IF(OR($AJ742=10,$AJ742=11,$AJ742=18),"①病院一般",IF($AJ742=41,"②病院短期","対象外")),IF($AH742=5,IF($AJ742=30,"③特定消防","対象外"),IF(OR($AJ742=10,$AJ742=11,$AJ742=74),"④一般",IF(OR($AJ742=41,$AJ742=47),"⑤短期","対象外"))))))</f>
        <v>⑤短期</v>
      </c>
    </row>
    <row r="743" customFormat="false" ht="15" hidden="false" customHeight="false" outlineLevel="0" collapsed="false">
      <c r="A743" s="0" t="n">
        <v>31</v>
      </c>
      <c r="AA743" s="0" t="n">
        <v>21</v>
      </c>
      <c r="AB743" s="0" t="s">
        <v>496</v>
      </c>
      <c r="AD743" s="0" t="n">
        <v>12</v>
      </c>
      <c r="AE743" s="0" t="s">
        <v>517</v>
      </c>
      <c r="AH743" s="0" t="n">
        <v>1</v>
      </c>
      <c r="AJ743" s="0" t="n">
        <v>41</v>
      </c>
      <c r="AP743" s="0" t="n">
        <v>150000</v>
      </c>
      <c r="DB743" s="0" t="str">
        <f aca="false">IF($A743="","",IF($AE743&amp;""&lt;&gt;設定!$C$4,"対象外",IF($AH743=20,IF(OR($AJ743=10,$AJ743=11,$AJ743=18),"①病院一般",IF($AJ743=41,"②病院短期","対象外")),IF($AH743=5,IF($AJ743=30,"③特定消防","対象外"),IF(OR($AJ743=10,$AJ743=11,$AJ743=74),"④一般",IF(OR($AJ743=41,$AJ743=47),"⑤短期","対象外"))))))</f>
        <v>対象外</v>
      </c>
    </row>
    <row r="744" customFormat="false" ht="15" hidden="false" customHeight="false" outlineLevel="0" collapsed="false">
      <c r="A744" s="0" t="n">
        <v>31</v>
      </c>
      <c r="AA744" s="0" t="n">
        <v>21</v>
      </c>
      <c r="AB744" s="0" t="s">
        <v>496</v>
      </c>
      <c r="AD744" s="0" t="n">
        <v>12</v>
      </c>
      <c r="AE744" s="0" t="s">
        <v>96</v>
      </c>
      <c r="AH744" s="0" t="n">
        <v>1</v>
      </c>
      <c r="AJ744" s="0" t="n">
        <v>41</v>
      </c>
      <c r="AP744" s="0" t="n">
        <v>142000</v>
      </c>
      <c r="DB744" s="0" t="str">
        <f aca="false">IF($A744="","",IF($AE744&amp;""&lt;&gt;設定!$C$4,"対象外",IF($AH744=20,IF(OR($AJ744=10,$AJ744=11,$AJ744=18),"①病院一般",IF($AJ744=41,"②病院短期","対象外")),IF($AH744=5,IF($AJ744=30,"③特定消防","対象外"),IF(OR($AJ744=10,$AJ744=11,$AJ744=74),"④一般",IF(OR($AJ744=41,$AJ744=47),"⑤短期","対象外"))))))</f>
        <v>⑤短期</v>
      </c>
    </row>
    <row r="745" customFormat="false" ht="15" hidden="false" customHeight="false" outlineLevel="0" collapsed="false">
      <c r="A745" s="0" t="n">
        <v>31</v>
      </c>
      <c r="AA745" s="0" t="n">
        <v>21</v>
      </c>
      <c r="AB745" s="0" t="s">
        <v>496</v>
      </c>
      <c r="AD745" s="0" t="n">
        <v>12</v>
      </c>
      <c r="AE745" s="0" t="s">
        <v>294</v>
      </c>
      <c r="AH745" s="0" t="n">
        <v>1</v>
      </c>
      <c r="AJ745" s="0" t="n">
        <v>41</v>
      </c>
      <c r="AP745" s="0" t="n">
        <v>118000</v>
      </c>
      <c r="DB745" s="0" t="str">
        <f aca="false">IF($A745="","",IF($AE745&amp;""&lt;&gt;設定!$C$4,"対象外",IF($AH745=20,IF(OR($AJ745=10,$AJ745=11,$AJ745=18),"①病院一般",IF($AJ745=41,"②病院短期","対象外")),IF($AH745=5,IF($AJ745=30,"③特定消防","対象外"),IF(OR($AJ745=10,$AJ745=11,$AJ745=74),"④一般",IF(OR($AJ745=41,$AJ745=47),"⑤短期","対象外"))))))</f>
        <v>対象外</v>
      </c>
    </row>
    <row r="746" customFormat="false" ht="15" hidden="false" customHeight="false" outlineLevel="0" collapsed="false">
      <c r="A746" s="0" t="n">
        <v>31</v>
      </c>
      <c r="AA746" s="0" t="n">
        <v>21</v>
      </c>
      <c r="AB746" s="0" t="s">
        <v>496</v>
      </c>
      <c r="AD746" s="0" t="n">
        <v>11</v>
      </c>
      <c r="AE746" s="0" t="s">
        <v>96</v>
      </c>
      <c r="AH746" s="0" t="n">
        <v>1</v>
      </c>
      <c r="AJ746" s="0" t="n">
        <v>41</v>
      </c>
      <c r="AP746" s="0" t="n">
        <v>126000</v>
      </c>
      <c r="DB746" s="0" t="str">
        <f aca="false">IF($A746="","",IF($AE746&amp;""&lt;&gt;設定!$C$4,"対象外",IF($AH746=20,IF(OR($AJ746=10,$AJ746=11,$AJ746=18),"①病院一般",IF($AJ746=41,"②病院短期","対象外")),IF($AH746=5,IF($AJ746=30,"③特定消防","対象外"),IF(OR($AJ746=10,$AJ746=11,$AJ746=74),"④一般",IF(OR($AJ746=41,$AJ746=47),"⑤短期","対象外"))))))</f>
        <v>⑤短期</v>
      </c>
    </row>
    <row r="747" customFormat="false" ht="15" hidden="false" customHeight="false" outlineLevel="0" collapsed="false">
      <c r="A747" s="0" t="n">
        <v>31</v>
      </c>
      <c r="AA747" s="0" t="n">
        <v>21</v>
      </c>
      <c r="AB747" s="0" t="s">
        <v>496</v>
      </c>
      <c r="AD747" s="0" t="n">
        <v>12</v>
      </c>
      <c r="AE747" s="0" t="s">
        <v>96</v>
      </c>
      <c r="AH747" s="0" t="n">
        <v>1</v>
      </c>
      <c r="AJ747" s="0" t="n">
        <v>41</v>
      </c>
      <c r="AP747" s="0" t="n">
        <v>126000</v>
      </c>
      <c r="DB747" s="0" t="str">
        <f aca="false">IF($A747="","",IF($AE747&amp;""&lt;&gt;設定!$C$4,"対象外",IF($AH747=20,IF(OR($AJ747=10,$AJ747=11,$AJ747=18),"①病院一般",IF($AJ747=41,"②病院短期","対象外")),IF($AH747=5,IF($AJ747=30,"③特定消防","対象外"),IF(OR($AJ747=10,$AJ747=11,$AJ747=74),"④一般",IF(OR($AJ747=41,$AJ747=47),"⑤短期","対象外"))))))</f>
        <v>⑤短期</v>
      </c>
    </row>
    <row r="748" customFormat="false" ht="15" hidden="false" customHeight="false" outlineLevel="0" collapsed="false">
      <c r="A748" s="0" t="n">
        <v>31</v>
      </c>
      <c r="AA748" s="0" t="n">
        <v>24</v>
      </c>
      <c r="AB748" s="0" t="s">
        <v>496</v>
      </c>
      <c r="AD748" s="0" t="n">
        <v>11</v>
      </c>
      <c r="AE748" s="0" t="s">
        <v>96</v>
      </c>
      <c r="AH748" s="0" t="n">
        <v>1</v>
      </c>
      <c r="AJ748" s="0" t="n">
        <v>41</v>
      </c>
      <c r="AP748" s="0" t="n">
        <v>180000</v>
      </c>
      <c r="DB748" s="0" t="str">
        <f aca="false">IF($A748="","",IF($AE748&amp;""&lt;&gt;設定!$C$4,"対象外",IF($AH748=20,IF(OR($AJ748=10,$AJ748=11,$AJ748=18),"①病院一般",IF($AJ748=41,"②病院短期","対象外")),IF($AH748=5,IF($AJ748=30,"③特定消防","対象外"),IF(OR($AJ748=10,$AJ748=11,$AJ748=74),"④一般",IF(OR($AJ748=41,$AJ748=47),"⑤短期","対象外"))))))</f>
        <v>⑤短期</v>
      </c>
    </row>
    <row r="749" customFormat="false" ht="15" hidden="false" customHeight="false" outlineLevel="0" collapsed="false">
      <c r="A749" s="0" t="n">
        <v>31</v>
      </c>
      <c r="AA749" s="0" t="n">
        <v>21</v>
      </c>
      <c r="AB749" s="0" t="s">
        <v>496</v>
      </c>
      <c r="AD749" s="0" t="n">
        <v>12</v>
      </c>
      <c r="AE749" s="0" t="s">
        <v>96</v>
      </c>
      <c r="AH749" s="0" t="n">
        <v>1</v>
      </c>
      <c r="AJ749" s="0" t="n">
        <v>41</v>
      </c>
      <c r="AP749" s="0" t="n">
        <v>134000</v>
      </c>
      <c r="DB749" s="0" t="str">
        <f aca="false">IF($A749="","",IF($AE749&amp;""&lt;&gt;設定!$C$4,"対象外",IF($AH749=20,IF(OR($AJ749=10,$AJ749=11,$AJ749=18),"①病院一般",IF($AJ749=41,"②病院短期","対象外")),IF($AH749=5,IF($AJ749=30,"③特定消防","対象外"),IF(OR($AJ749=10,$AJ749=11,$AJ749=74),"④一般",IF(OR($AJ749=41,$AJ749=47),"⑤短期","対象外"))))))</f>
        <v>⑤短期</v>
      </c>
    </row>
    <row r="750" customFormat="false" ht="15" hidden="false" customHeight="false" outlineLevel="0" collapsed="false">
      <c r="A750" s="0" t="n">
        <v>31</v>
      </c>
      <c r="AA750" s="0" t="n">
        <v>21</v>
      </c>
      <c r="AB750" s="0" t="s">
        <v>496</v>
      </c>
      <c r="AD750" s="0" t="n">
        <v>12</v>
      </c>
      <c r="AE750" s="0" t="s">
        <v>96</v>
      </c>
      <c r="AH750" s="0" t="n">
        <v>1</v>
      </c>
      <c r="AJ750" s="0" t="n">
        <v>41</v>
      </c>
      <c r="AP750" s="0" t="n">
        <v>126000</v>
      </c>
      <c r="DB750" s="0" t="str">
        <f aca="false">IF($A750="","",IF($AE750&amp;""&lt;&gt;設定!$C$4,"対象外",IF($AH750=20,IF(OR($AJ750=10,$AJ750=11,$AJ750=18),"①病院一般",IF($AJ750=41,"②病院短期","対象外")),IF($AH750=5,IF($AJ750=30,"③特定消防","対象外"),IF(OR($AJ750=10,$AJ750=11,$AJ750=74),"④一般",IF(OR($AJ750=41,$AJ750=47),"⑤短期","対象外"))))))</f>
        <v>⑤短期</v>
      </c>
    </row>
    <row r="751" customFormat="false" ht="15" hidden="false" customHeight="false" outlineLevel="0" collapsed="false">
      <c r="A751" s="0" t="n">
        <v>31</v>
      </c>
      <c r="AA751" s="0" t="n">
        <v>21</v>
      </c>
      <c r="AB751" s="0" t="s">
        <v>496</v>
      </c>
      <c r="AD751" s="0" t="n">
        <v>12</v>
      </c>
      <c r="AE751" s="0" t="s">
        <v>96</v>
      </c>
      <c r="AH751" s="0" t="n">
        <v>1</v>
      </c>
      <c r="AJ751" s="0" t="n">
        <v>41</v>
      </c>
      <c r="AP751" s="0" t="n">
        <v>126000</v>
      </c>
      <c r="DB751" s="0" t="str">
        <f aca="false">IF($A751="","",IF($AE751&amp;""&lt;&gt;設定!$C$4,"対象外",IF($AH751=20,IF(OR($AJ751=10,$AJ751=11,$AJ751=18),"①病院一般",IF($AJ751=41,"②病院短期","対象外")),IF($AH751=5,IF($AJ751=30,"③特定消防","対象外"),IF(OR($AJ751=10,$AJ751=11,$AJ751=74),"④一般",IF(OR($AJ751=41,$AJ751=47),"⑤短期","対象外"))))))</f>
        <v>⑤短期</v>
      </c>
    </row>
    <row r="752" customFormat="false" ht="15" hidden="false" customHeight="false" outlineLevel="0" collapsed="false">
      <c r="A752" s="0" t="n">
        <v>31</v>
      </c>
      <c r="AA752" s="0" t="n">
        <v>21</v>
      </c>
      <c r="AB752" s="0" t="s">
        <v>496</v>
      </c>
      <c r="AD752" s="0" t="n">
        <v>12</v>
      </c>
      <c r="AE752" s="0" t="s">
        <v>96</v>
      </c>
      <c r="AH752" s="0" t="n">
        <v>1</v>
      </c>
      <c r="AJ752" s="0" t="n">
        <v>41</v>
      </c>
      <c r="AP752" s="0" t="n">
        <v>190000</v>
      </c>
      <c r="DB752" s="0" t="str">
        <f aca="false">IF($A752="","",IF($AE752&amp;""&lt;&gt;設定!$C$4,"対象外",IF($AH752=20,IF(OR($AJ752=10,$AJ752=11,$AJ752=18),"①病院一般",IF($AJ752=41,"②病院短期","対象外")),IF($AH752=5,IF($AJ752=30,"③特定消防","対象外"),IF(OR($AJ752=10,$AJ752=11,$AJ752=74),"④一般",IF(OR($AJ752=41,$AJ752=47),"⑤短期","対象外"))))))</f>
        <v>⑤短期</v>
      </c>
    </row>
    <row r="753" customFormat="false" ht="15" hidden="false" customHeight="false" outlineLevel="0" collapsed="false">
      <c r="A753" s="0" t="n">
        <v>31</v>
      </c>
      <c r="AA753" s="0" t="n">
        <v>21</v>
      </c>
      <c r="AB753" s="0" t="s">
        <v>496</v>
      </c>
      <c r="AD753" s="0" t="n">
        <v>11</v>
      </c>
      <c r="AE753" s="0" t="s">
        <v>96</v>
      </c>
      <c r="AH753" s="0" t="n">
        <v>1</v>
      </c>
      <c r="AJ753" s="0" t="n">
        <v>41</v>
      </c>
      <c r="AP753" s="0" t="n">
        <v>126000</v>
      </c>
      <c r="DB753" s="0" t="str">
        <f aca="false">IF($A753="","",IF($AE753&amp;""&lt;&gt;設定!$C$4,"対象外",IF($AH753=20,IF(OR($AJ753=10,$AJ753=11,$AJ753=18),"①病院一般",IF($AJ753=41,"②病院短期","対象外")),IF($AH753=5,IF($AJ753=30,"③特定消防","対象外"),IF(OR($AJ753=10,$AJ753=11,$AJ753=74),"④一般",IF(OR($AJ753=41,$AJ753=47),"⑤短期","対象外"))))))</f>
        <v>⑤短期</v>
      </c>
    </row>
    <row r="754" customFormat="false" ht="15" hidden="false" customHeight="false" outlineLevel="0" collapsed="false">
      <c r="A754" s="0" t="n">
        <v>31</v>
      </c>
      <c r="AA754" s="0" t="n">
        <v>21</v>
      </c>
      <c r="AB754" s="0" t="s">
        <v>496</v>
      </c>
      <c r="AD754" s="0" t="n">
        <v>11</v>
      </c>
      <c r="AE754" s="0" t="s">
        <v>96</v>
      </c>
      <c r="AH754" s="0" t="n">
        <v>1</v>
      </c>
      <c r="AJ754" s="0" t="n">
        <v>41</v>
      </c>
      <c r="AP754" s="0" t="n">
        <v>200000</v>
      </c>
      <c r="DB754" s="0" t="str">
        <f aca="false">IF($A754="","",IF($AE754&amp;""&lt;&gt;設定!$C$4,"対象外",IF($AH754=20,IF(OR($AJ754=10,$AJ754=11,$AJ754=18),"①病院一般",IF($AJ754=41,"②病院短期","対象外")),IF($AH754=5,IF($AJ754=30,"③特定消防","対象外"),IF(OR($AJ754=10,$AJ754=11,$AJ754=74),"④一般",IF(OR($AJ754=41,$AJ754=47),"⑤短期","対象外"))))))</f>
        <v>⑤短期</v>
      </c>
    </row>
    <row r="755" customFormat="false" ht="15" hidden="false" customHeight="false" outlineLevel="0" collapsed="false">
      <c r="A755" s="0" t="n">
        <v>31</v>
      </c>
      <c r="AA755" s="0" t="n">
        <v>21</v>
      </c>
      <c r="AB755" s="0" t="s">
        <v>496</v>
      </c>
      <c r="AD755" s="0" t="n">
        <v>11</v>
      </c>
      <c r="AE755" s="0" t="s">
        <v>96</v>
      </c>
      <c r="AH755" s="0" t="n">
        <v>11</v>
      </c>
      <c r="AJ755" s="0" t="n">
        <v>41</v>
      </c>
      <c r="AP755" s="0" t="n">
        <v>134000</v>
      </c>
      <c r="DB755" s="0" t="str">
        <f aca="false">IF($A755="","",IF($AE755&amp;""&lt;&gt;設定!$C$4,"対象外",IF($AH755=20,IF(OR($AJ755=10,$AJ755=11,$AJ755=18),"①病院一般",IF($AJ755=41,"②病院短期","対象外")),IF($AH755=5,IF($AJ755=30,"③特定消防","対象外"),IF(OR($AJ755=10,$AJ755=11,$AJ755=74),"④一般",IF(OR($AJ755=41,$AJ755=47),"⑤短期","対象外"))))))</f>
        <v>⑤短期</v>
      </c>
    </row>
    <row r="756" customFormat="false" ht="15" hidden="false" customHeight="false" outlineLevel="0" collapsed="false">
      <c r="A756" s="0" t="n">
        <v>31</v>
      </c>
      <c r="AA756" s="0" t="n">
        <v>21</v>
      </c>
      <c r="AB756" s="0" t="s">
        <v>496</v>
      </c>
      <c r="AD756" s="0" t="n">
        <v>12</v>
      </c>
      <c r="AE756" s="0" t="s">
        <v>96</v>
      </c>
      <c r="AH756" s="0" t="n">
        <v>1</v>
      </c>
      <c r="AJ756" s="0" t="n">
        <v>41</v>
      </c>
      <c r="AP756" s="0" t="n">
        <v>200000</v>
      </c>
      <c r="DB756" s="0" t="str">
        <f aca="false">IF($A756="","",IF($AE756&amp;""&lt;&gt;設定!$C$4,"対象外",IF($AH756=20,IF(OR($AJ756=10,$AJ756=11,$AJ756=18),"①病院一般",IF($AJ756=41,"②病院短期","対象外")),IF($AH756=5,IF($AJ756=30,"③特定消防","対象外"),IF(OR($AJ756=10,$AJ756=11,$AJ756=74),"④一般",IF(OR($AJ756=41,$AJ756=47),"⑤短期","対象外"))))))</f>
        <v>⑤短期</v>
      </c>
    </row>
    <row r="757" customFormat="false" ht="15" hidden="false" customHeight="false" outlineLevel="0" collapsed="false">
      <c r="A757" s="0" t="n">
        <v>31</v>
      </c>
      <c r="AA757" s="0" t="n">
        <v>21</v>
      </c>
      <c r="AB757" s="0" t="s">
        <v>515</v>
      </c>
      <c r="AD757" s="0" t="n">
        <v>12</v>
      </c>
      <c r="AE757" s="0" t="s">
        <v>96</v>
      </c>
      <c r="AH757" s="0" t="n">
        <v>11</v>
      </c>
      <c r="AJ757" s="0" t="n">
        <v>41</v>
      </c>
      <c r="AP757" s="0" t="n">
        <v>220000</v>
      </c>
      <c r="DB757" s="0" t="str">
        <f aca="false">IF($A757="","",IF($AE757&amp;""&lt;&gt;設定!$C$4,"対象外",IF($AH757=20,IF(OR($AJ757=10,$AJ757=11,$AJ757=18),"①病院一般",IF($AJ757=41,"②病院短期","対象外")),IF($AH757=5,IF($AJ757=30,"③特定消防","対象外"),IF(OR($AJ757=10,$AJ757=11,$AJ757=74),"④一般",IF(OR($AJ757=41,$AJ757=47),"⑤短期","対象外"))))))</f>
        <v>⑤短期</v>
      </c>
    </row>
    <row r="758" customFormat="false" ht="15" hidden="false" customHeight="false" outlineLevel="0" collapsed="false">
      <c r="A758" s="0" t="n">
        <v>31</v>
      </c>
      <c r="AA758" s="0" t="n">
        <v>21</v>
      </c>
      <c r="AB758" s="0" t="s">
        <v>496</v>
      </c>
      <c r="AD758" s="0" t="n">
        <v>12</v>
      </c>
      <c r="AE758" s="0" t="s">
        <v>96</v>
      </c>
      <c r="AH758" s="0" t="n">
        <v>1</v>
      </c>
      <c r="AJ758" s="0" t="n">
        <v>41</v>
      </c>
      <c r="AP758" s="0" t="n">
        <v>142000</v>
      </c>
      <c r="DB758" s="0" t="str">
        <f aca="false">IF($A758="","",IF($AE758&amp;""&lt;&gt;設定!$C$4,"対象外",IF($AH758=20,IF(OR($AJ758=10,$AJ758=11,$AJ758=18),"①病院一般",IF($AJ758=41,"②病院短期","対象外")),IF($AH758=5,IF($AJ758=30,"③特定消防","対象外"),IF(OR($AJ758=10,$AJ758=11,$AJ758=74),"④一般",IF(OR($AJ758=41,$AJ758=47),"⑤短期","対象外"))))))</f>
        <v>⑤短期</v>
      </c>
    </row>
    <row r="759" customFormat="false" ht="15" hidden="false" customHeight="false" outlineLevel="0" collapsed="false">
      <c r="A759" s="0" t="n">
        <v>31</v>
      </c>
      <c r="AA759" s="0" t="n">
        <v>21</v>
      </c>
      <c r="AB759" s="0" t="s">
        <v>496</v>
      </c>
      <c r="AD759" s="0" t="n">
        <v>12</v>
      </c>
      <c r="AE759" s="0" t="s">
        <v>96</v>
      </c>
      <c r="AH759" s="0" t="n">
        <v>1</v>
      </c>
      <c r="AJ759" s="0" t="n">
        <v>41</v>
      </c>
      <c r="AP759" s="0" t="n">
        <v>200000</v>
      </c>
      <c r="DB759" s="0" t="str">
        <f aca="false">IF($A759="","",IF($AE759&amp;""&lt;&gt;設定!$C$4,"対象外",IF($AH759=20,IF(OR($AJ759=10,$AJ759=11,$AJ759=18),"①病院一般",IF($AJ759=41,"②病院短期","対象外")),IF($AH759=5,IF($AJ759=30,"③特定消防","対象外"),IF(OR($AJ759=10,$AJ759=11,$AJ759=74),"④一般",IF(OR($AJ759=41,$AJ759=47),"⑤短期","対象外"))))))</f>
        <v>⑤短期</v>
      </c>
    </row>
    <row r="760" customFormat="false" ht="15" hidden="false" customHeight="false" outlineLevel="0" collapsed="false">
      <c r="A760" s="0" t="n">
        <v>31</v>
      </c>
      <c r="AA760" s="0" t="n">
        <v>21</v>
      </c>
      <c r="AB760" s="0" t="s">
        <v>496</v>
      </c>
      <c r="AD760" s="0" t="n">
        <v>12</v>
      </c>
      <c r="AE760" s="0" t="s">
        <v>96</v>
      </c>
      <c r="AH760" s="0" t="n">
        <v>1</v>
      </c>
      <c r="AJ760" s="0" t="n">
        <v>41</v>
      </c>
      <c r="AP760" s="0" t="n">
        <v>126000</v>
      </c>
      <c r="DB760" s="0" t="str">
        <f aca="false">IF($A760="","",IF($AE760&amp;""&lt;&gt;設定!$C$4,"対象外",IF($AH760=20,IF(OR($AJ760=10,$AJ760=11,$AJ760=18),"①病院一般",IF($AJ760=41,"②病院短期","対象外")),IF($AH760=5,IF($AJ760=30,"③特定消防","対象外"),IF(OR($AJ760=10,$AJ760=11,$AJ760=74),"④一般",IF(OR($AJ760=41,$AJ760=47),"⑤短期","対象外"))))))</f>
        <v>⑤短期</v>
      </c>
    </row>
    <row r="761" customFormat="false" ht="15" hidden="false" customHeight="false" outlineLevel="0" collapsed="false">
      <c r="A761" s="0" t="n">
        <v>31</v>
      </c>
      <c r="AA761" s="0" t="n">
        <v>24</v>
      </c>
      <c r="AB761" s="0" t="s">
        <v>502</v>
      </c>
      <c r="AD761" s="0" t="n">
        <v>12</v>
      </c>
      <c r="AE761" s="0" t="s">
        <v>96</v>
      </c>
      <c r="AH761" s="0" t="n">
        <v>1</v>
      </c>
      <c r="AJ761" s="0" t="n">
        <v>41</v>
      </c>
      <c r="AP761" s="0" t="n">
        <v>118000</v>
      </c>
      <c r="DB761" s="0" t="str">
        <f aca="false">IF($A761="","",IF($AE761&amp;""&lt;&gt;設定!$C$4,"対象外",IF($AH761=20,IF(OR($AJ761=10,$AJ761=11,$AJ761=18),"①病院一般",IF($AJ761=41,"②病院短期","対象外")),IF($AH761=5,IF($AJ761=30,"③特定消防","対象外"),IF(OR($AJ761=10,$AJ761=11,$AJ761=74),"④一般",IF(OR($AJ761=41,$AJ761=47),"⑤短期","対象外"))))))</f>
        <v>⑤短期</v>
      </c>
    </row>
    <row r="762" customFormat="false" ht="15" hidden="false" customHeight="false" outlineLevel="0" collapsed="false">
      <c r="A762" s="0" t="n">
        <v>31</v>
      </c>
      <c r="AA762" s="0" t="n">
        <v>24</v>
      </c>
      <c r="AB762" s="0" t="s">
        <v>518</v>
      </c>
      <c r="AD762" s="0" t="n">
        <v>12</v>
      </c>
      <c r="AE762" s="0" t="s">
        <v>294</v>
      </c>
      <c r="AH762" s="0" t="n">
        <v>1</v>
      </c>
      <c r="AJ762" s="0" t="n">
        <v>41</v>
      </c>
      <c r="AP762" s="0" t="n">
        <v>126000</v>
      </c>
      <c r="DB762" s="0" t="str">
        <f aca="false">IF($A762="","",IF($AE762&amp;""&lt;&gt;設定!$C$4,"対象外",IF($AH762=20,IF(OR($AJ762=10,$AJ762=11,$AJ762=18),"①病院一般",IF($AJ762=41,"②病院短期","対象外")),IF($AH762=5,IF($AJ762=30,"③特定消防","対象外"),IF(OR($AJ762=10,$AJ762=11,$AJ762=74),"④一般",IF(OR($AJ762=41,$AJ762=47),"⑤短期","対象外"))))))</f>
        <v>対象外</v>
      </c>
    </row>
    <row r="763" customFormat="false" ht="15" hidden="false" customHeight="false" outlineLevel="0" collapsed="false">
      <c r="A763" s="0" t="n">
        <v>31</v>
      </c>
      <c r="AA763" s="0" t="n">
        <v>24</v>
      </c>
      <c r="AB763" s="0" t="s">
        <v>96</v>
      </c>
      <c r="AD763" s="0" t="n">
        <v>12</v>
      </c>
      <c r="AE763" s="0" t="s">
        <v>317</v>
      </c>
      <c r="AH763" s="0" t="n">
        <v>1</v>
      </c>
      <c r="AJ763" s="0" t="n">
        <v>41</v>
      </c>
      <c r="AP763" s="0" t="n">
        <v>142000</v>
      </c>
      <c r="DB763" s="0" t="str">
        <f aca="false">IF($A763="","",IF($AE763&amp;""&lt;&gt;設定!$C$4,"対象外",IF($AH763=20,IF(OR($AJ763=10,$AJ763=11,$AJ763=18),"①病院一般",IF($AJ763=41,"②病院短期","対象外")),IF($AH763=5,IF($AJ763=30,"③特定消防","対象外"),IF(OR($AJ763=10,$AJ763=11,$AJ763=74),"④一般",IF(OR($AJ763=41,$AJ763=47),"⑤短期","対象外"))))))</f>
        <v>対象外</v>
      </c>
    </row>
    <row r="764" customFormat="false" ht="15" hidden="false" customHeight="false" outlineLevel="0" collapsed="false">
      <c r="A764" s="0" t="n">
        <v>31</v>
      </c>
      <c r="AA764" s="0" t="n">
        <v>21</v>
      </c>
      <c r="AB764" s="0" t="s">
        <v>496</v>
      </c>
      <c r="AD764" s="0" t="n">
        <v>12</v>
      </c>
      <c r="AE764" s="0" t="s">
        <v>96</v>
      </c>
      <c r="AH764" s="0" t="n">
        <v>1</v>
      </c>
      <c r="AJ764" s="0" t="n">
        <v>41</v>
      </c>
      <c r="AP764" s="0" t="n">
        <v>190000</v>
      </c>
      <c r="DB764" s="0" t="str">
        <f aca="false">IF($A764="","",IF($AE764&amp;""&lt;&gt;設定!$C$4,"対象外",IF($AH764=20,IF(OR($AJ764=10,$AJ764=11,$AJ764=18),"①病院一般",IF($AJ764=41,"②病院短期","対象外")),IF($AH764=5,IF($AJ764=30,"③特定消防","対象外"),IF(OR($AJ764=10,$AJ764=11,$AJ764=74),"④一般",IF(OR($AJ764=41,$AJ764=47),"⑤短期","対象外"))))))</f>
        <v>⑤短期</v>
      </c>
    </row>
    <row r="765" customFormat="false" ht="15" hidden="false" customHeight="false" outlineLevel="0" collapsed="false">
      <c r="A765" s="0" t="n">
        <v>31</v>
      </c>
      <c r="AA765" s="0" t="n">
        <v>24</v>
      </c>
      <c r="AB765" s="0" t="s">
        <v>519</v>
      </c>
      <c r="AD765" s="0" t="n">
        <v>12</v>
      </c>
      <c r="AE765" s="0" t="s">
        <v>96</v>
      </c>
      <c r="AH765" s="0" t="n">
        <v>1</v>
      </c>
      <c r="AJ765" s="0" t="n">
        <v>41</v>
      </c>
      <c r="AP765" s="0" t="n">
        <v>134000</v>
      </c>
      <c r="DB765" s="0" t="str">
        <f aca="false">IF($A765="","",IF($AE765&amp;""&lt;&gt;設定!$C$4,"対象外",IF($AH765=20,IF(OR($AJ765=10,$AJ765=11,$AJ765=18),"①病院一般",IF($AJ765=41,"②病院短期","対象外")),IF($AH765=5,IF($AJ765=30,"③特定消防","対象外"),IF(OR($AJ765=10,$AJ765=11,$AJ765=74),"④一般",IF(OR($AJ765=41,$AJ765=47),"⑤短期","対象外"))))))</f>
        <v>⑤短期</v>
      </c>
    </row>
    <row r="766" customFormat="false" ht="15" hidden="false" customHeight="false" outlineLevel="0" collapsed="false">
      <c r="A766" s="0" t="n">
        <v>31</v>
      </c>
      <c r="AA766" s="0" t="n">
        <v>21</v>
      </c>
      <c r="AB766" s="0" t="s">
        <v>496</v>
      </c>
      <c r="AD766" s="0" t="n">
        <v>11</v>
      </c>
      <c r="AE766" s="0" t="s">
        <v>96</v>
      </c>
      <c r="AH766" s="0" t="n">
        <v>1</v>
      </c>
      <c r="AJ766" s="0" t="n">
        <v>41</v>
      </c>
      <c r="AP766" s="0" t="n">
        <v>180000</v>
      </c>
      <c r="DB766" s="0" t="str">
        <f aca="false">IF($A766="","",IF($AE766&amp;""&lt;&gt;設定!$C$4,"対象外",IF($AH766=20,IF(OR($AJ766=10,$AJ766=11,$AJ766=18),"①病院一般",IF($AJ766=41,"②病院短期","対象外")),IF($AH766=5,IF($AJ766=30,"③特定消防","対象外"),IF(OR($AJ766=10,$AJ766=11,$AJ766=74),"④一般",IF(OR($AJ766=41,$AJ766=47),"⑤短期","対象外"))))))</f>
        <v>⑤短期</v>
      </c>
    </row>
    <row r="767" customFormat="false" ht="15" hidden="false" customHeight="false" outlineLevel="0" collapsed="false">
      <c r="A767" s="0" t="n">
        <v>31</v>
      </c>
      <c r="AA767" s="0" t="n">
        <v>21</v>
      </c>
      <c r="AB767" s="0" t="s">
        <v>496</v>
      </c>
      <c r="AD767" s="0" t="n">
        <v>12</v>
      </c>
      <c r="AE767" s="0" t="s">
        <v>96</v>
      </c>
      <c r="AH767" s="0" t="n">
        <v>20</v>
      </c>
      <c r="AJ767" s="0" t="n">
        <v>41</v>
      </c>
      <c r="AP767" s="0" t="n">
        <v>260000</v>
      </c>
      <c r="DB767" s="0" t="str">
        <f aca="false">IF($A767="","",IF($AE767&amp;""&lt;&gt;設定!$C$4,"対象外",IF($AH767=20,IF(OR($AJ767=10,$AJ767=11,$AJ767=18),"①病院一般",IF($AJ767=41,"②病院短期","対象外")),IF($AH767=5,IF($AJ767=30,"③特定消防","対象外"),IF(OR($AJ767=10,$AJ767=11,$AJ767=74),"④一般",IF(OR($AJ767=41,$AJ767=47),"⑤短期","対象外"))))))</f>
        <v>②病院短期</v>
      </c>
    </row>
    <row r="768" customFormat="false" ht="15" hidden="false" customHeight="false" outlineLevel="0" collapsed="false">
      <c r="A768" s="0" t="n">
        <v>31</v>
      </c>
      <c r="AA768" s="0" t="n">
        <v>21</v>
      </c>
      <c r="AB768" s="0" t="s">
        <v>496</v>
      </c>
      <c r="AD768" s="0" t="n">
        <v>12</v>
      </c>
      <c r="AE768" s="0" t="s">
        <v>96</v>
      </c>
      <c r="AH768" s="0" t="n">
        <v>20</v>
      </c>
      <c r="AJ768" s="0" t="n">
        <v>41</v>
      </c>
      <c r="AP768" s="0" t="n">
        <v>220000</v>
      </c>
      <c r="DB768" s="0" t="str">
        <f aca="false">IF($A768="","",IF($AE768&amp;""&lt;&gt;設定!$C$4,"対象外",IF($AH768=20,IF(OR($AJ768=10,$AJ768=11,$AJ768=18),"①病院一般",IF($AJ768=41,"②病院短期","対象外")),IF($AH768=5,IF($AJ768=30,"③特定消防","対象外"),IF(OR($AJ768=10,$AJ768=11,$AJ768=74),"④一般",IF(OR($AJ768=41,$AJ768=47),"⑤短期","対象外"))))))</f>
        <v>②病院短期</v>
      </c>
    </row>
    <row r="769" customFormat="false" ht="15" hidden="false" customHeight="false" outlineLevel="0" collapsed="false">
      <c r="A769" s="0" t="n">
        <v>31</v>
      </c>
      <c r="AA769" s="0" t="n">
        <v>21</v>
      </c>
      <c r="AB769" s="0" t="s">
        <v>496</v>
      </c>
      <c r="AD769" s="0" t="n">
        <v>12</v>
      </c>
      <c r="AE769" s="0" t="s">
        <v>96</v>
      </c>
      <c r="AH769" s="0" t="n">
        <v>1</v>
      </c>
      <c r="AJ769" s="0" t="n">
        <v>41</v>
      </c>
      <c r="AP769" s="0" t="n">
        <v>118000</v>
      </c>
      <c r="DB769" s="0" t="str">
        <f aca="false">IF($A769="","",IF($AE769&amp;""&lt;&gt;設定!$C$4,"対象外",IF($AH769=20,IF(OR($AJ769=10,$AJ769=11,$AJ769=18),"①病院一般",IF($AJ769=41,"②病院短期","対象外")),IF($AH769=5,IF($AJ769=30,"③特定消防","対象外"),IF(OR($AJ769=10,$AJ769=11,$AJ769=74),"④一般",IF(OR($AJ769=41,$AJ769=47),"⑤短期","対象外"))))))</f>
        <v>⑤短期</v>
      </c>
    </row>
    <row r="770" customFormat="false" ht="15" hidden="false" customHeight="false" outlineLevel="0" collapsed="false">
      <c r="A770" s="0" t="n">
        <v>31</v>
      </c>
      <c r="AA770" s="0" t="n">
        <v>21</v>
      </c>
      <c r="AB770" s="0" t="s">
        <v>496</v>
      </c>
      <c r="AD770" s="0" t="n">
        <v>12</v>
      </c>
      <c r="AE770" s="0" t="s">
        <v>96</v>
      </c>
      <c r="AH770" s="0" t="n">
        <v>1</v>
      </c>
      <c r="AJ770" s="0" t="n">
        <v>41</v>
      </c>
      <c r="AP770" s="0" t="n">
        <v>180000</v>
      </c>
      <c r="DB770" s="0" t="str">
        <f aca="false">IF($A770="","",IF($AE770&amp;""&lt;&gt;設定!$C$4,"対象外",IF($AH770=20,IF(OR($AJ770=10,$AJ770=11,$AJ770=18),"①病院一般",IF($AJ770=41,"②病院短期","対象外")),IF($AH770=5,IF($AJ770=30,"③特定消防","対象外"),IF(OR($AJ770=10,$AJ770=11,$AJ770=74),"④一般",IF(OR($AJ770=41,$AJ770=47),"⑤短期","対象外"))))))</f>
        <v>⑤短期</v>
      </c>
    </row>
    <row r="771" customFormat="false" ht="15" hidden="false" customHeight="false" outlineLevel="0" collapsed="false">
      <c r="A771" s="0" t="n">
        <v>31</v>
      </c>
      <c r="AA771" s="0" t="n">
        <v>21</v>
      </c>
      <c r="AB771" s="0" t="s">
        <v>496</v>
      </c>
      <c r="AD771" s="0" t="n">
        <v>12</v>
      </c>
      <c r="AE771" s="0" t="s">
        <v>96</v>
      </c>
      <c r="AH771" s="0" t="n">
        <v>1</v>
      </c>
      <c r="AJ771" s="0" t="n">
        <v>41</v>
      </c>
      <c r="AP771" s="0" t="n">
        <v>180000</v>
      </c>
      <c r="DB771" s="0" t="str">
        <f aca="false">IF($A771="","",IF($AE771&amp;""&lt;&gt;設定!$C$4,"対象外",IF($AH771=20,IF(OR($AJ771=10,$AJ771=11,$AJ771=18),"①病院一般",IF($AJ771=41,"②病院短期","対象外")),IF($AH771=5,IF($AJ771=30,"③特定消防","対象外"),IF(OR($AJ771=10,$AJ771=11,$AJ771=74),"④一般",IF(OR($AJ771=41,$AJ771=47),"⑤短期","対象外"))))))</f>
        <v>⑤短期</v>
      </c>
    </row>
    <row r="772" customFormat="false" ht="15" hidden="false" customHeight="false" outlineLevel="0" collapsed="false">
      <c r="A772" s="0" t="n">
        <v>31</v>
      </c>
      <c r="AA772" s="0" t="n">
        <v>21</v>
      </c>
      <c r="AB772" s="0" t="s">
        <v>496</v>
      </c>
      <c r="AD772" s="0" t="n">
        <v>12</v>
      </c>
      <c r="AE772" s="0" t="s">
        <v>96</v>
      </c>
      <c r="AH772" s="0" t="n">
        <v>1</v>
      </c>
      <c r="AJ772" s="0" t="n">
        <v>41</v>
      </c>
      <c r="AP772" s="0" t="n">
        <v>190000</v>
      </c>
      <c r="DB772" s="0" t="str">
        <f aca="false">IF($A772="","",IF($AE772&amp;""&lt;&gt;設定!$C$4,"対象外",IF($AH772=20,IF(OR($AJ772=10,$AJ772=11,$AJ772=18),"①病院一般",IF($AJ772=41,"②病院短期","対象外")),IF($AH772=5,IF($AJ772=30,"③特定消防","対象外"),IF(OR($AJ772=10,$AJ772=11,$AJ772=74),"④一般",IF(OR($AJ772=41,$AJ772=47),"⑤短期","対象外"))))))</f>
        <v>⑤短期</v>
      </c>
    </row>
    <row r="773" customFormat="false" ht="15" hidden="false" customHeight="false" outlineLevel="0" collapsed="false">
      <c r="A773" s="0" t="n">
        <v>31</v>
      </c>
      <c r="AA773" s="0" t="n">
        <v>21</v>
      </c>
      <c r="AB773" s="0" t="s">
        <v>520</v>
      </c>
      <c r="AD773" s="0" t="n">
        <v>12</v>
      </c>
      <c r="AE773" s="0" t="s">
        <v>298</v>
      </c>
      <c r="AH773" s="0" t="n">
        <v>1</v>
      </c>
      <c r="AJ773" s="0" t="n">
        <v>41</v>
      </c>
      <c r="AP773" s="0" t="n">
        <v>118000</v>
      </c>
      <c r="DB773" s="0" t="str">
        <f aca="false">IF($A773="","",IF($AE773&amp;""&lt;&gt;設定!$C$4,"対象外",IF($AH773=20,IF(OR($AJ773=10,$AJ773=11,$AJ773=18),"①病院一般",IF($AJ773=41,"②病院短期","対象外")),IF($AH773=5,IF($AJ773=30,"③特定消防","対象外"),IF(OR($AJ773=10,$AJ773=11,$AJ773=74),"④一般",IF(OR($AJ773=41,$AJ773=47),"⑤短期","対象外"))))))</f>
        <v>対象外</v>
      </c>
    </row>
    <row r="774" customFormat="false" ht="15" hidden="false" customHeight="false" outlineLevel="0" collapsed="false">
      <c r="A774" s="0" t="n">
        <v>31</v>
      </c>
      <c r="AA774" s="0" t="n">
        <v>21</v>
      </c>
      <c r="AB774" s="0" t="s">
        <v>494</v>
      </c>
      <c r="AD774" s="0" t="n">
        <v>12</v>
      </c>
      <c r="AE774" s="0" t="s">
        <v>96</v>
      </c>
      <c r="AH774" s="0" t="n">
        <v>1</v>
      </c>
      <c r="AJ774" s="0" t="n">
        <v>41</v>
      </c>
      <c r="AP774" s="0" t="n">
        <v>180000</v>
      </c>
      <c r="DB774" s="0" t="str">
        <f aca="false">IF($A774="","",IF($AE774&amp;""&lt;&gt;設定!$C$4,"対象外",IF($AH774=20,IF(OR($AJ774=10,$AJ774=11,$AJ774=18),"①病院一般",IF($AJ774=41,"②病院短期","対象外")),IF($AH774=5,IF($AJ774=30,"③特定消防","対象外"),IF(OR($AJ774=10,$AJ774=11,$AJ774=74),"④一般",IF(OR($AJ774=41,$AJ774=47),"⑤短期","対象外"))))))</f>
        <v>⑤短期</v>
      </c>
    </row>
    <row r="775" customFormat="false" ht="15" hidden="false" customHeight="false" outlineLevel="0" collapsed="false">
      <c r="A775" s="0" t="n">
        <v>31</v>
      </c>
      <c r="AA775" s="0" t="n">
        <v>21</v>
      </c>
      <c r="AB775" s="0" t="s">
        <v>496</v>
      </c>
      <c r="AD775" s="0" t="n">
        <v>12</v>
      </c>
      <c r="AE775" s="0" t="s">
        <v>96</v>
      </c>
      <c r="AH775" s="0" t="n">
        <v>11</v>
      </c>
      <c r="AJ775" s="0" t="n">
        <v>41</v>
      </c>
      <c r="AP775" s="0" t="n">
        <v>220000</v>
      </c>
      <c r="DB775" s="0" t="str">
        <f aca="false">IF($A775="","",IF($AE775&amp;""&lt;&gt;設定!$C$4,"対象外",IF($AH775=20,IF(OR($AJ775=10,$AJ775=11,$AJ775=18),"①病院一般",IF($AJ775=41,"②病院短期","対象外")),IF($AH775=5,IF($AJ775=30,"③特定消防","対象外"),IF(OR($AJ775=10,$AJ775=11,$AJ775=74),"④一般",IF(OR($AJ775=41,$AJ775=47),"⑤短期","対象外"))))))</f>
        <v>⑤短期</v>
      </c>
    </row>
    <row r="776" customFormat="false" ht="15" hidden="false" customHeight="false" outlineLevel="0" collapsed="false">
      <c r="A776" s="0" t="n">
        <v>31</v>
      </c>
      <c r="AA776" s="0" t="n">
        <v>21</v>
      </c>
      <c r="AB776" s="0" t="s">
        <v>496</v>
      </c>
      <c r="AD776" s="0" t="n">
        <v>12</v>
      </c>
      <c r="AE776" s="0" t="s">
        <v>96</v>
      </c>
      <c r="AH776" s="0" t="n">
        <v>20</v>
      </c>
      <c r="AJ776" s="0" t="n">
        <v>41</v>
      </c>
      <c r="AP776" s="0" t="n">
        <v>190000</v>
      </c>
      <c r="DB776" s="0" t="str">
        <f aca="false">IF($A776="","",IF($AE776&amp;""&lt;&gt;設定!$C$4,"対象外",IF($AH776=20,IF(OR($AJ776=10,$AJ776=11,$AJ776=18),"①病院一般",IF($AJ776=41,"②病院短期","対象外")),IF($AH776=5,IF($AJ776=30,"③特定消防","対象外"),IF(OR($AJ776=10,$AJ776=11,$AJ776=74),"④一般",IF(OR($AJ776=41,$AJ776=47),"⑤短期","対象外"))))))</f>
        <v>②病院短期</v>
      </c>
    </row>
    <row r="777" customFormat="false" ht="15" hidden="false" customHeight="false" outlineLevel="0" collapsed="false">
      <c r="A777" s="0" t="n">
        <v>31</v>
      </c>
      <c r="AA777" s="0" t="n">
        <v>21</v>
      </c>
      <c r="AB777" s="0" t="s">
        <v>496</v>
      </c>
      <c r="AD777" s="0" t="n">
        <v>12</v>
      </c>
      <c r="AE777" s="0" t="s">
        <v>303</v>
      </c>
      <c r="AH777" s="0" t="n">
        <v>1</v>
      </c>
      <c r="AJ777" s="0" t="n">
        <v>41</v>
      </c>
      <c r="AP777" s="0" t="n">
        <v>200000</v>
      </c>
      <c r="DB777" s="0" t="str">
        <f aca="false">IF($A777="","",IF($AE777&amp;""&lt;&gt;設定!$C$4,"対象外",IF($AH777=20,IF(OR($AJ777=10,$AJ777=11,$AJ777=18),"①病院一般",IF($AJ777=41,"②病院短期","対象外")),IF($AH777=5,IF($AJ777=30,"③特定消防","対象外"),IF(OR($AJ777=10,$AJ777=11,$AJ777=74),"④一般",IF(OR($AJ777=41,$AJ777=47),"⑤短期","対象外"))))))</f>
        <v>対象外</v>
      </c>
    </row>
    <row r="778" customFormat="false" ht="15" hidden="false" customHeight="false" outlineLevel="0" collapsed="false">
      <c r="A778" s="0" t="n">
        <v>31</v>
      </c>
      <c r="AA778" s="0" t="n">
        <v>21</v>
      </c>
      <c r="AB778" s="0" t="s">
        <v>496</v>
      </c>
      <c r="AD778" s="0" t="n">
        <v>12</v>
      </c>
      <c r="AE778" s="0" t="s">
        <v>96</v>
      </c>
      <c r="AH778" s="0" t="n">
        <v>1</v>
      </c>
      <c r="AJ778" s="0" t="n">
        <v>41</v>
      </c>
      <c r="AP778" s="0" t="n">
        <v>126000</v>
      </c>
      <c r="DB778" s="0" t="str">
        <f aca="false">IF($A778="","",IF($AE778&amp;""&lt;&gt;設定!$C$4,"対象外",IF($AH778=20,IF(OR($AJ778=10,$AJ778=11,$AJ778=18),"①病院一般",IF($AJ778=41,"②病院短期","対象外")),IF($AH778=5,IF($AJ778=30,"③特定消防","対象外"),IF(OR($AJ778=10,$AJ778=11,$AJ778=74),"④一般",IF(OR($AJ778=41,$AJ778=47),"⑤短期","対象外"))))))</f>
        <v>⑤短期</v>
      </c>
    </row>
    <row r="779" customFormat="false" ht="15" hidden="false" customHeight="false" outlineLevel="0" collapsed="false">
      <c r="A779" s="0" t="n">
        <v>31</v>
      </c>
      <c r="AA779" s="0" t="n">
        <v>21</v>
      </c>
      <c r="AB779" s="0" t="s">
        <v>519</v>
      </c>
      <c r="AD779" s="0" t="n">
        <v>12</v>
      </c>
      <c r="AE779" s="0" t="s">
        <v>96</v>
      </c>
      <c r="AH779" s="0" t="n">
        <v>1</v>
      </c>
      <c r="AJ779" s="0" t="n">
        <v>41</v>
      </c>
      <c r="AP779" s="0" t="n">
        <v>260000</v>
      </c>
      <c r="DB779" s="0" t="str">
        <f aca="false">IF($A779="","",IF($AE779&amp;""&lt;&gt;設定!$C$4,"対象外",IF($AH779=20,IF(OR($AJ779=10,$AJ779=11,$AJ779=18),"①病院一般",IF($AJ779=41,"②病院短期","対象外")),IF($AH779=5,IF($AJ779=30,"③特定消防","対象外"),IF(OR($AJ779=10,$AJ779=11,$AJ779=74),"④一般",IF(OR($AJ779=41,$AJ779=47),"⑤短期","対象外"))))))</f>
        <v>⑤短期</v>
      </c>
    </row>
    <row r="780" customFormat="false" ht="15" hidden="false" customHeight="false" outlineLevel="0" collapsed="false">
      <c r="A780" s="0" t="n">
        <v>31</v>
      </c>
      <c r="AA780" s="0" t="n">
        <v>21</v>
      </c>
      <c r="AB780" s="0" t="s">
        <v>496</v>
      </c>
      <c r="AD780" s="0" t="n">
        <v>12</v>
      </c>
      <c r="AE780" s="0" t="s">
        <v>96</v>
      </c>
      <c r="AH780" s="0" t="n">
        <v>1</v>
      </c>
      <c r="AJ780" s="0" t="n">
        <v>41</v>
      </c>
      <c r="AP780" s="0" t="n">
        <v>180000</v>
      </c>
      <c r="DB780" s="0" t="str">
        <f aca="false">IF($A780="","",IF($AE780&amp;""&lt;&gt;設定!$C$4,"対象外",IF($AH780=20,IF(OR($AJ780=10,$AJ780=11,$AJ780=18),"①病院一般",IF($AJ780=41,"②病院短期","対象外")),IF($AH780=5,IF($AJ780=30,"③特定消防","対象外"),IF(OR($AJ780=10,$AJ780=11,$AJ780=74),"④一般",IF(OR($AJ780=41,$AJ780=47),"⑤短期","対象外"))))))</f>
        <v>⑤短期</v>
      </c>
    </row>
    <row r="781" customFormat="false" ht="15" hidden="false" customHeight="false" outlineLevel="0" collapsed="false">
      <c r="A781" s="0" t="n">
        <v>31</v>
      </c>
      <c r="AA781" s="0" t="n">
        <v>21</v>
      </c>
      <c r="AB781" s="0" t="s">
        <v>521</v>
      </c>
      <c r="AD781" s="0" t="n">
        <v>12</v>
      </c>
      <c r="AE781" s="0" t="s">
        <v>96</v>
      </c>
      <c r="AH781" s="0" t="n">
        <v>1</v>
      </c>
      <c r="AJ781" s="0" t="n">
        <v>10</v>
      </c>
      <c r="AP781" s="0" t="n">
        <v>240000</v>
      </c>
      <c r="DB781" s="0" t="str">
        <f aca="false">IF($A781="","",IF($AE781&amp;""&lt;&gt;設定!$C$4,"対象外",IF($AH781=20,IF(OR($AJ781=10,$AJ781=11,$AJ781=18),"①病院一般",IF($AJ781=41,"②病院短期","対象外")),IF($AH781=5,IF($AJ781=30,"③特定消防","対象外"),IF(OR($AJ781=10,$AJ781=11,$AJ781=74),"④一般",IF(OR($AJ781=41,$AJ781=47),"⑤短期","対象外"))))))</f>
        <v>④一般</v>
      </c>
    </row>
    <row r="782" customFormat="false" ht="15" hidden="false" customHeight="false" outlineLevel="0" collapsed="false">
      <c r="A782" s="0" t="n">
        <v>31</v>
      </c>
      <c r="AA782" s="0" t="n">
        <v>21</v>
      </c>
      <c r="AB782" s="0" t="s">
        <v>317</v>
      </c>
      <c r="AD782" s="0" t="n">
        <v>12</v>
      </c>
      <c r="AE782" s="0" t="s">
        <v>320</v>
      </c>
      <c r="AH782" s="0" t="n">
        <v>12</v>
      </c>
      <c r="AJ782" s="0" t="n">
        <v>41</v>
      </c>
      <c r="AP782" s="0" t="n">
        <v>134000</v>
      </c>
      <c r="DB782" s="0" t="str">
        <f aca="false">IF($A782="","",IF($AE782&amp;""&lt;&gt;設定!$C$4,"対象外",IF($AH782=20,IF(OR($AJ782=10,$AJ782=11,$AJ782=18),"①病院一般",IF($AJ782=41,"②病院短期","対象外")),IF($AH782=5,IF($AJ782=30,"③特定消防","対象外"),IF(OR($AJ782=10,$AJ782=11,$AJ782=74),"④一般",IF(OR($AJ782=41,$AJ782=47),"⑤短期","対象外"))))))</f>
        <v>対象外</v>
      </c>
    </row>
    <row r="783" customFormat="false" ht="15" hidden="false" customHeight="false" outlineLevel="0" collapsed="false">
      <c r="A783" s="0" t="n">
        <v>31</v>
      </c>
      <c r="AA783" s="0" t="n">
        <v>21</v>
      </c>
      <c r="AB783" s="0" t="s">
        <v>496</v>
      </c>
      <c r="AD783" s="0" t="n">
        <v>12</v>
      </c>
      <c r="AE783" s="0" t="s">
        <v>96</v>
      </c>
      <c r="AH783" s="0" t="n">
        <v>1</v>
      </c>
      <c r="AJ783" s="0" t="n">
        <v>41</v>
      </c>
      <c r="AP783" s="0" t="n">
        <v>134000</v>
      </c>
      <c r="DB783" s="0" t="str">
        <f aca="false">IF($A783="","",IF($AE783&amp;""&lt;&gt;設定!$C$4,"対象外",IF($AH783=20,IF(OR($AJ783=10,$AJ783=11,$AJ783=18),"①病院一般",IF($AJ783=41,"②病院短期","対象外")),IF($AH783=5,IF($AJ783=30,"③特定消防","対象外"),IF(OR($AJ783=10,$AJ783=11,$AJ783=74),"④一般",IF(OR($AJ783=41,$AJ783=47),"⑤短期","対象外"))))))</f>
        <v>⑤短期</v>
      </c>
    </row>
    <row r="784" customFormat="false" ht="15" hidden="false" customHeight="false" outlineLevel="0" collapsed="false">
      <c r="A784" s="0" t="n">
        <v>31</v>
      </c>
      <c r="AA784" s="0" t="n">
        <v>21</v>
      </c>
      <c r="AB784" s="0" t="s">
        <v>496</v>
      </c>
      <c r="AD784" s="0" t="n">
        <v>12</v>
      </c>
      <c r="AE784" s="0" t="s">
        <v>301</v>
      </c>
      <c r="AH784" s="0" t="n">
        <v>11</v>
      </c>
      <c r="AJ784" s="0" t="n">
        <v>41</v>
      </c>
      <c r="AP784" s="0" t="n">
        <v>190000</v>
      </c>
      <c r="DB784" s="0" t="str">
        <f aca="false">IF($A784="","",IF($AE784&amp;""&lt;&gt;設定!$C$4,"対象外",IF($AH784=20,IF(OR($AJ784=10,$AJ784=11,$AJ784=18),"①病院一般",IF($AJ784=41,"②病院短期","対象外")),IF($AH784=5,IF($AJ784=30,"③特定消防","対象外"),IF(OR($AJ784=10,$AJ784=11,$AJ784=74),"④一般",IF(OR($AJ784=41,$AJ784=47),"⑤短期","対象外"))))))</f>
        <v>対象外</v>
      </c>
    </row>
    <row r="785" customFormat="false" ht="15" hidden="false" customHeight="false" outlineLevel="0" collapsed="false">
      <c r="A785" s="0" t="n">
        <v>31</v>
      </c>
      <c r="AA785" s="0" t="n">
        <v>21</v>
      </c>
      <c r="AB785" s="0" t="s">
        <v>496</v>
      </c>
      <c r="AD785" s="0" t="n">
        <v>11</v>
      </c>
      <c r="AE785" s="0" t="s">
        <v>96</v>
      </c>
      <c r="AH785" s="0" t="n">
        <v>1</v>
      </c>
      <c r="AJ785" s="0" t="n">
        <v>41</v>
      </c>
      <c r="AP785" s="0" t="n">
        <v>200000</v>
      </c>
      <c r="DB785" s="0" t="str">
        <f aca="false">IF($A785="","",IF($AE785&amp;""&lt;&gt;設定!$C$4,"対象外",IF($AH785=20,IF(OR($AJ785=10,$AJ785=11,$AJ785=18),"①病院一般",IF($AJ785=41,"②病院短期","対象外")),IF($AH785=5,IF($AJ785=30,"③特定消防","対象外"),IF(OR($AJ785=10,$AJ785=11,$AJ785=74),"④一般",IF(OR($AJ785=41,$AJ785=47),"⑤短期","対象外"))))))</f>
        <v>⑤短期</v>
      </c>
    </row>
    <row r="786" customFormat="false" ht="15" hidden="false" customHeight="false" outlineLevel="0" collapsed="false">
      <c r="A786" s="0" t="n">
        <v>31</v>
      </c>
      <c r="AA786" s="0" t="n">
        <v>21</v>
      </c>
      <c r="AB786" s="0" t="s">
        <v>496</v>
      </c>
      <c r="AD786" s="0" t="n">
        <v>12</v>
      </c>
      <c r="AE786" s="0" t="s">
        <v>96</v>
      </c>
      <c r="AH786" s="0" t="n">
        <v>1</v>
      </c>
      <c r="AJ786" s="0" t="n">
        <v>41</v>
      </c>
      <c r="AP786" s="0" t="n">
        <v>134000</v>
      </c>
      <c r="DB786" s="0" t="str">
        <f aca="false">IF($A786="","",IF($AE786&amp;""&lt;&gt;設定!$C$4,"対象外",IF($AH786=20,IF(OR($AJ786=10,$AJ786=11,$AJ786=18),"①病院一般",IF($AJ786=41,"②病院短期","対象外")),IF($AH786=5,IF($AJ786=30,"③特定消防","対象外"),IF(OR($AJ786=10,$AJ786=11,$AJ786=74),"④一般",IF(OR($AJ786=41,$AJ786=47),"⑤短期","対象外"))))))</f>
        <v>⑤短期</v>
      </c>
    </row>
    <row r="787" customFormat="false" ht="15" hidden="false" customHeight="false" outlineLevel="0" collapsed="false">
      <c r="A787" s="0" t="n">
        <v>31</v>
      </c>
      <c r="AA787" s="0" t="n">
        <v>21</v>
      </c>
      <c r="AB787" s="0" t="s">
        <v>477</v>
      </c>
      <c r="AD787" s="0" t="n">
        <v>12</v>
      </c>
      <c r="AE787" s="0" t="s">
        <v>96</v>
      </c>
      <c r="AH787" s="0" t="n">
        <v>1</v>
      </c>
      <c r="AJ787" s="0" t="n">
        <v>41</v>
      </c>
      <c r="AP787" s="0" t="n">
        <v>180000</v>
      </c>
      <c r="DB787" s="0" t="str">
        <f aca="false">IF($A787="","",IF($AE787&amp;""&lt;&gt;設定!$C$4,"対象外",IF($AH787=20,IF(OR($AJ787=10,$AJ787=11,$AJ787=18),"①病院一般",IF($AJ787=41,"②病院短期","対象外")),IF($AH787=5,IF($AJ787=30,"③特定消防","対象外"),IF(OR($AJ787=10,$AJ787=11,$AJ787=74),"④一般",IF(OR($AJ787=41,$AJ787=47),"⑤短期","対象外"))))))</f>
        <v>⑤短期</v>
      </c>
    </row>
    <row r="788" customFormat="false" ht="15" hidden="false" customHeight="false" outlineLevel="0" collapsed="false">
      <c r="A788" s="0" t="n">
        <v>31</v>
      </c>
      <c r="AA788" s="0" t="n">
        <v>21</v>
      </c>
      <c r="AB788" s="0" t="s">
        <v>518</v>
      </c>
      <c r="AD788" s="0" t="n">
        <v>12</v>
      </c>
      <c r="AE788" s="0" t="s">
        <v>96</v>
      </c>
      <c r="AH788" s="0" t="n">
        <v>1</v>
      </c>
      <c r="AJ788" s="0" t="n">
        <v>41</v>
      </c>
      <c r="AP788" s="0" t="n">
        <v>126000</v>
      </c>
      <c r="DB788" s="0" t="str">
        <f aca="false">IF($A788="","",IF($AE788&amp;""&lt;&gt;設定!$C$4,"対象外",IF($AH788=20,IF(OR($AJ788=10,$AJ788=11,$AJ788=18),"①病院一般",IF($AJ788=41,"②病院短期","対象外")),IF($AH788=5,IF($AJ788=30,"③特定消防","対象外"),IF(OR($AJ788=10,$AJ788=11,$AJ788=74),"④一般",IF(OR($AJ788=41,$AJ788=47),"⑤短期","対象外"))))))</f>
        <v>⑤短期</v>
      </c>
    </row>
    <row r="789" customFormat="false" ht="15" hidden="false" customHeight="false" outlineLevel="0" collapsed="false">
      <c r="A789" s="0" t="n">
        <v>31</v>
      </c>
      <c r="AA789" s="0" t="n">
        <v>21</v>
      </c>
      <c r="AB789" s="0" t="s">
        <v>496</v>
      </c>
      <c r="AD789" s="0" t="n">
        <v>12</v>
      </c>
      <c r="AE789" s="0" t="s">
        <v>96</v>
      </c>
      <c r="AH789" s="0" t="n">
        <v>1</v>
      </c>
      <c r="AJ789" s="0" t="n">
        <v>41</v>
      </c>
      <c r="AP789" s="0" t="n">
        <v>190000</v>
      </c>
      <c r="DB789" s="0" t="str">
        <f aca="false">IF($A789="","",IF($AE789&amp;""&lt;&gt;設定!$C$4,"対象外",IF($AH789=20,IF(OR($AJ789=10,$AJ789=11,$AJ789=18),"①病院一般",IF($AJ789=41,"②病院短期","対象外")),IF($AH789=5,IF($AJ789=30,"③特定消防","対象外"),IF(OR($AJ789=10,$AJ789=11,$AJ789=74),"④一般",IF(OR($AJ789=41,$AJ789=47),"⑤短期","対象外"))))))</f>
        <v>⑤短期</v>
      </c>
    </row>
    <row r="790" customFormat="false" ht="15" hidden="false" customHeight="false" outlineLevel="0" collapsed="false">
      <c r="A790" s="0" t="n">
        <v>31</v>
      </c>
      <c r="AA790" s="0" t="n">
        <v>21</v>
      </c>
      <c r="AB790" s="0" t="s">
        <v>496</v>
      </c>
      <c r="AD790" s="0" t="n">
        <v>12</v>
      </c>
      <c r="AE790" s="0" t="s">
        <v>96</v>
      </c>
      <c r="AH790" s="0" t="n">
        <v>20</v>
      </c>
      <c r="AJ790" s="0" t="n">
        <v>41</v>
      </c>
      <c r="AP790" s="0" t="n">
        <v>180000</v>
      </c>
      <c r="DB790" s="0" t="str">
        <f aca="false">IF($A790="","",IF($AE790&amp;""&lt;&gt;設定!$C$4,"対象外",IF($AH790=20,IF(OR($AJ790=10,$AJ790=11,$AJ790=18),"①病院一般",IF($AJ790=41,"②病院短期","対象外")),IF($AH790=5,IF($AJ790=30,"③特定消防","対象外"),IF(OR($AJ790=10,$AJ790=11,$AJ790=74),"④一般",IF(OR($AJ790=41,$AJ790=47),"⑤短期","対象外"))))))</f>
        <v>②病院短期</v>
      </c>
    </row>
    <row r="791" customFormat="false" ht="15" hidden="false" customHeight="false" outlineLevel="0" collapsed="false">
      <c r="A791" s="0" t="n">
        <v>31</v>
      </c>
      <c r="AA791" s="0" t="n">
        <v>24</v>
      </c>
      <c r="AB791" s="0" t="s">
        <v>504</v>
      </c>
      <c r="AD791" s="0" t="n">
        <v>12</v>
      </c>
      <c r="AE791" s="0" t="s">
        <v>296</v>
      </c>
      <c r="AH791" s="0" t="n">
        <v>1</v>
      </c>
      <c r="AJ791" s="0" t="n">
        <v>41</v>
      </c>
      <c r="AP791" s="0" t="n">
        <v>118000</v>
      </c>
      <c r="DB791" s="0" t="str">
        <f aca="false">IF($A791="","",IF($AE791&amp;""&lt;&gt;設定!$C$4,"対象外",IF($AH791=20,IF(OR($AJ791=10,$AJ791=11,$AJ791=18),"①病院一般",IF($AJ791=41,"②病院短期","対象外")),IF($AH791=5,IF($AJ791=30,"③特定消防","対象外"),IF(OR($AJ791=10,$AJ791=11,$AJ791=74),"④一般",IF(OR($AJ791=41,$AJ791=47),"⑤短期","対象外"))))))</f>
        <v>対象外</v>
      </c>
    </row>
    <row r="792" customFormat="false" ht="15" hidden="false" customHeight="false" outlineLevel="0" collapsed="false">
      <c r="A792" s="0" t="n">
        <v>31</v>
      </c>
      <c r="AA792" s="0" t="n">
        <v>21</v>
      </c>
      <c r="AB792" s="0" t="s">
        <v>518</v>
      </c>
      <c r="AD792" s="0" t="n">
        <v>12</v>
      </c>
      <c r="AE792" s="0" t="s">
        <v>96</v>
      </c>
      <c r="AH792" s="0" t="n">
        <v>1</v>
      </c>
      <c r="AJ792" s="0" t="n">
        <v>41</v>
      </c>
      <c r="AP792" s="0" t="n">
        <v>134000</v>
      </c>
      <c r="DB792" s="0" t="str">
        <f aca="false">IF($A792="","",IF($AE792&amp;""&lt;&gt;設定!$C$4,"対象外",IF($AH792=20,IF(OR($AJ792=10,$AJ792=11,$AJ792=18),"①病院一般",IF($AJ792=41,"②病院短期","対象外")),IF($AH792=5,IF($AJ792=30,"③特定消防","対象外"),IF(OR($AJ792=10,$AJ792=11,$AJ792=74),"④一般",IF(OR($AJ792=41,$AJ792=47),"⑤短期","対象外"))))))</f>
        <v>⑤短期</v>
      </c>
    </row>
    <row r="793" customFormat="false" ht="15" hidden="false" customHeight="false" outlineLevel="0" collapsed="false">
      <c r="A793" s="0" t="n">
        <v>31</v>
      </c>
      <c r="AA793" s="0" t="n">
        <v>21</v>
      </c>
      <c r="AB793" s="0" t="s">
        <v>496</v>
      </c>
      <c r="AD793" s="0" t="n">
        <v>11</v>
      </c>
      <c r="AE793" s="0" t="s">
        <v>96</v>
      </c>
      <c r="AH793" s="0" t="n">
        <v>1</v>
      </c>
      <c r="AJ793" s="0" t="n">
        <v>41</v>
      </c>
      <c r="AP793" s="0" t="n">
        <v>118000</v>
      </c>
      <c r="DB793" s="0" t="str">
        <f aca="false">IF($A793="","",IF($AE793&amp;""&lt;&gt;設定!$C$4,"対象外",IF($AH793=20,IF(OR($AJ793=10,$AJ793=11,$AJ793=18),"①病院一般",IF($AJ793=41,"②病院短期","対象外")),IF($AH793=5,IF($AJ793=30,"③特定消防","対象外"),IF(OR($AJ793=10,$AJ793=11,$AJ793=74),"④一般",IF(OR($AJ793=41,$AJ793=47),"⑤短期","対象外"))))))</f>
        <v>⑤短期</v>
      </c>
    </row>
    <row r="794" customFormat="false" ht="15" hidden="false" customHeight="false" outlineLevel="0" collapsed="false">
      <c r="A794" s="0" t="n">
        <v>31</v>
      </c>
      <c r="AA794" s="0" t="n">
        <v>21</v>
      </c>
      <c r="AB794" s="0" t="s">
        <v>519</v>
      </c>
      <c r="AD794" s="0" t="n">
        <v>12</v>
      </c>
      <c r="AE794" s="0" t="s">
        <v>96</v>
      </c>
      <c r="AH794" s="0" t="n">
        <v>1</v>
      </c>
      <c r="AJ794" s="0" t="n">
        <v>41</v>
      </c>
      <c r="AP794" s="0" t="n">
        <v>118000</v>
      </c>
      <c r="DB794" s="0" t="str">
        <f aca="false">IF($A794="","",IF($AE794&amp;""&lt;&gt;設定!$C$4,"対象外",IF($AH794=20,IF(OR($AJ794=10,$AJ794=11,$AJ794=18),"①病院一般",IF($AJ794=41,"②病院短期","対象外")),IF($AH794=5,IF($AJ794=30,"③特定消防","対象外"),IF(OR($AJ794=10,$AJ794=11,$AJ794=74),"④一般",IF(OR($AJ794=41,$AJ794=47),"⑤短期","対象外"))))))</f>
        <v>⑤短期</v>
      </c>
    </row>
    <row r="795" customFormat="false" ht="15" hidden="false" customHeight="false" outlineLevel="0" collapsed="false">
      <c r="A795" s="0" t="n">
        <v>31</v>
      </c>
      <c r="AA795" s="0" t="n">
        <v>21</v>
      </c>
      <c r="AB795" s="0" t="s">
        <v>494</v>
      </c>
      <c r="AD795" s="0" t="n">
        <v>12</v>
      </c>
      <c r="AE795" s="0" t="s">
        <v>96</v>
      </c>
      <c r="AH795" s="0" t="n">
        <v>1</v>
      </c>
      <c r="AJ795" s="0" t="n">
        <v>41</v>
      </c>
      <c r="AP795" s="0" t="n">
        <v>126000</v>
      </c>
      <c r="DB795" s="0" t="str">
        <f aca="false">IF($A795="","",IF($AE795&amp;""&lt;&gt;設定!$C$4,"対象外",IF($AH795=20,IF(OR($AJ795=10,$AJ795=11,$AJ795=18),"①病院一般",IF($AJ795=41,"②病院短期","対象外")),IF($AH795=5,IF($AJ795=30,"③特定消防","対象外"),IF(OR($AJ795=10,$AJ795=11,$AJ795=74),"④一般",IF(OR($AJ795=41,$AJ795=47),"⑤短期","対象外"))))))</f>
        <v>⑤短期</v>
      </c>
    </row>
    <row r="796" customFormat="false" ht="15" hidden="false" customHeight="false" outlineLevel="0" collapsed="false">
      <c r="A796" s="0" t="n">
        <v>31</v>
      </c>
      <c r="AA796" s="0" t="n">
        <v>21</v>
      </c>
      <c r="AB796" s="0" t="s">
        <v>484</v>
      </c>
      <c r="AD796" s="0" t="n">
        <v>12</v>
      </c>
      <c r="AE796" s="0" t="s">
        <v>96</v>
      </c>
      <c r="AH796" s="0" t="n">
        <v>1</v>
      </c>
      <c r="AJ796" s="0" t="n">
        <v>10</v>
      </c>
      <c r="AP796" s="0" t="n">
        <v>240000</v>
      </c>
      <c r="DB796" s="0" t="str">
        <f aca="false">IF($A796="","",IF($AE796&amp;""&lt;&gt;設定!$C$4,"対象外",IF($AH796=20,IF(OR($AJ796=10,$AJ796=11,$AJ796=18),"①病院一般",IF($AJ796=41,"②病院短期","対象外")),IF($AH796=5,IF($AJ796=30,"③特定消防","対象外"),IF(OR($AJ796=10,$AJ796=11,$AJ796=74),"④一般",IF(OR($AJ796=41,$AJ796=47),"⑤短期","対象外"))))))</f>
        <v>④一般</v>
      </c>
    </row>
    <row r="797" customFormat="false" ht="15" hidden="false" customHeight="false" outlineLevel="0" collapsed="false">
      <c r="A797" s="0" t="n">
        <v>31</v>
      </c>
      <c r="AA797" s="0" t="n">
        <v>21</v>
      </c>
      <c r="AB797" s="0" t="s">
        <v>496</v>
      </c>
      <c r="AD797" s="0" t="n">
        <v>11</v>
      </c>
      <c r="AE797" s="0" t="s">
        <v>96</v>
      </c>
      <c r="AH797" s="0" t="n">
        <v>1</v>
      </c>
      <c r="AJ797" s="0" t="n">
        <v>41</v>
      </c>
      <c r="AP797" s="0" t="n">
        <v>118000</v>
      </c>
      <c r="DB797" s="0" t="str">
        <f aca="false">IF($A797="","",IF($AE797&amp;""&lt;&gt;設定!$C$4,"対象外",IF($AH797=20,IF(OR($AJ797=10,$AJ797=11,$AJ797=18),"①病院一般",IF($AJ797=41,"②病院短期","対象外")),IF($AH797=5,IF($AJ797=30,"③特定消防","対象外"),IF(OR($AJ797=10,$AJ797=11,$AJ797=74),"④一般",IF(OR($AJ797=41,$AJ797=47),"⑤短期","対象外"))))))</f>
        <v>⑤短期</v>
      </c>
    </row>
    <row r="798" customFormat="false" ht="15" hidden="false" customHeight="false" outlineLevel="0" collapsed="false">
      <c r="A798" s="0" t="n">
        <v>31</v>
      </c>
      <c r="AA798" s="0" t="n">
        <v>21</v>
      </c>
      <c r="AB798" s="0" t="s">
        <v>496</v>
      </c>
      <c r="AD798" s="0" t="n">
        <v>12</v>
      </c>
      <c r="AE798" s="0" t="s">
        <v>96</v>
      </c>
      <c r="AH798" s="0" t="n">
        <v>1</v>
      </c>
      <c r="AJ798" s="0" t="n">
        <v>41</v>
      </c>
      <c r="AP798" s="0" t="n">
        <v>134000</v>
      </c>
      <c r="DB798" s="0" t="str">
        <f aca="false">IF($A798="","",IF($AE798&amp;""&lt;&gt;設定!$C$4,"対象外",IF($AH798=20,IF(OR($AJ798=10,$AJ798=11,$AJ798=18),"①病院一般",IF($AJ798=41,"②病院短期","対象外")),IF($AH798=5,IF($AJ798=30,"③特定消防","対象外"),IF(OR($AJ798=10,$AJ798=11,$AJ798=74),"④一般",IF(OR($AJ798=41,$AJ798=47),"⑤短期","対象外"))))))</f>
        <v>⑤短期</v>
      </c>
    </row>
    <row r="799" customFormat="false" ht="15" hidden="false" customHeight="false" outlineLevel="0" collapsed="false">
      <c r="A799" s="0" t="n">
        <v>31</v>
      </c>
      <c r="AA799" s="0" t="n">
        <v>21</v>
      </c>
      <c r="AB799" s="0" t="s">
        <v>496</v>
      </c>
      <c r="AD799" s="0" t="n">
        <v>11</v>
      </c>
      <c r="AE799" s="0" t="s">
        <v>96</v>
      </c>
      <c r="AH799" s="0" t="n">
        <v>1</v>
      </c>
      <c r="AJ799" s="0" t="n">
        <v>41</v>
      </c>
      <c r="AP799" s="0" t="n">
        <v>220000</v>
      </c>
      <c r="DB799" s="0" t="str">
        <f aca="false">IF($A799="","",IF($AE799&amp;""&lt;&gt;設定!$C$4,"対象外",IF($AH799=20,IF(OR($AJ799=10,$AJ799=11,$AJ799=18),"①病院一般",IF($AJ799=41,"②病院短期","対象外")),IF($AH799=5,IF($AJ799=30,"③特定消防","対象外"),IF(OR($AJ799=10,$AJ799=11,$AJ799=74),"④一般",IF(OR($AJ799=41,$AJ799=47),"⑤短期","対象外"))))))</f>
        <v>⑤短期</v>
      </c>
    </row>
    <row r="800" customFormat="false" ht="15" hidden="false" customHeight="false" outlineLevel="0" collapsed="false">
      <c r="A800" s="0" t="n">
        <v>31</v>
      </c>
      <c r="AA800" s="0" t="n">
        <v>21</v>
      </c>
      <c r="AB800" s="0" t="s">
        <v>505</v>
      </c>
      <c r="AD800" s="0" t="n">
        <v>12</v>
      </c>
      <c r="AE800" s="0" t="s">
        <v>96</v>
      </c>
      <c r="AH800" s="0" t="n">
        <v>11</v>
      </c>
      <c r="AJ800" s="0" t="n">
        <v>41</v>
      </c>
      <c r="AP800" s="0" t="n">
        <v>134000</v>
      </c>
      <c r="DB800" s="0" t="str">
        <f aca="false">IF($A800="","",IF($AE800&amp;""&lt;&gt;設定!$C$4,"対象外",IF($AH800=20,IF(OR($AJ800=10,$AJ800=11,$AJ800=18),"①病院一般",IF($AJ800=41,"②病院短期","対象外")),IF($AH800=5,IF($AJ800=30,"③特定消防","対象外"),IF(OR($AJ800=10,$AJ800=11,$AJ800=74),"④一般",IF(OR($AJ800=41,$AJ800=47),"⑤短期","対象外"))))))</f>
        <v>⑤短期</v>
      </c>
    </row>
    <row r="801" customFormat="false" ht="15" hidden="false" customHeight="false" outlineLevel="0" collapsed="false">
      <c r="A801" s="0" t="n">
        <v>31</v>
      </c>
      <c r="AA801" s="0" t="n">
        <v>21</v>
      </c>
      <c r="AB801" s="0" t="s">
        <v>496</v>
      </c>
      <c r="AD801" s="0" t="n">
        <v>12</v>
      </c>
      <c r="AE801" s="0" t="s">
        <v>294</v>
      </c>
      <c r="AH801" s="0" t="n">
        <v>1</v>
      </c>
      <c r="AJ801" s="0" t="n">
        <v>41</v>
      </c>
      <c r="AP801" s="0" t="n">
        <v>180000</v>
      </c>
      <c r="DB801" s="0" t="str">
        <f aca="false">IF($A801="","",IF($AE801&amp;""&lt;&gt;設定!$C$4,"対象外",IF($AH801=20,IF(OR($AJ801=10,$AJ801=11,$AJ801=18),"①病院一般",IF($AJ801=41,"②病院短期","対象外")),IF($AH801=5,IF($AJ801=30,"③特定消防","対象外"),IF(OR($AJ801=10,$AJ801=11,$AJ801=74),"④一般",IF(OR($AJ801=41,$AJ801=47),"⑤短期","対象外"))))))</f>
        <v>対象外</v>
      </c>
    </row>
    <row r="802" customFormat="false" ht="15" hidden="false" customHeight="false" outlineLevel="0" collapsed="false">
      <c r="A802" s="0" t="n">
        <v>31</v>
      </c>
      <c r="AA802" s="0" t="n">
        <v>21</v>
      </c>
      <c r="AB802" s="0" t="s">
        <v>496</v>
      </c>
      <c r="AD802" s="0" t="n">
        <v>12</v>
      </c>
      <c r="AE802" s="0" t="s">
        <v>96</v>
      </c>
      <c r="AH802" s="0" t="n">
        <v>20</v>
      </c>
      <c r="AJ802" s="0" t="n">
        <v>41</v>
      </c>
      <c r="AP802" s="0" t="n">
        <v>190000</v>
      </c>
      <c r="DB802" s="0" t="str">
        <f aca="false">IF($A802="","",IF($AE802&amp;""&lt;&gt;設定!$C$4,"対象外",IF($AH802=20,IF(OR($AJ802=10,$AJ802=11,$AJ802=18),"①病院一般",IF($AJ802=41,"②病院短期","対象外")),IF($AH802=5,IF($AJ802=30,"③特定消防","対象外"),IF(OR($AJ802=10,$AJ802=11,$AJ802=74),"④一般",IF(OR($AJ802=41,$AJ802=47),"⑤短期","対象外"))))))</f>
        <v>②病院短期</v>
      </c>
    </row>
    <row r="803" customFormat="false" ht="15" hidden="false" customHeight="false" outlineLevel="0" collapsed="false">
      <c r="A803" s="0" t="n">
        <v>31</v>
      </c>
      <c r="AA803" s="0" t="n">
        <v>21</v>
      </c>
      <c r="AB803" s="0" t="s">
        <v>496</v>
      </c>
      <c r="AD803" s="0" t="n">
        <v>12</v>
      </c>
      <c r="AE803" s="0" t="s">
        <v>96</v>
      </c>
      <c r="AH803" s="0" t="n">
        <v>1</v>
      </c>
      <c r="AJ803" s="0" t="n">
        <v>41</v>
      </c>
      <c r="AP803" s="0" t="n">
        <v>142000</v>
      </c>
      <c r="DB803" s="0" t="str">
        <f aca="false">IF($A803="","",IF($AE803&amp;""&lt;&gt;設定!$C$4,"対象外",IF($AH803=20,IF(OR($AJ803=10,$AJ803=11,$AJ803=18),"①病院一般",IF($AJ803=41,"②病院短期","対象外")),IF($AH803=5,IF($AJ803=30,"③特定消防","対象外"),IF(OR($AJ803=10,$AJ803=11,$AJ803=74),"④一般",IF(OR($AJ803=41,$AJ803=47),"⑤短期","対象外"))))))</f>
        <v>⑤短期</v>
      </c>
    </row>
    <row r="804" customFormat="false" ht="15" hidden="false" customHeight="false" outlineLevel="0" collapsed="false">
      <c r="A804" s="0" t="n">
        <v>31</v>
      </c>
      <c r="AA804" s="0" t="n">
        <v>21</v>
      </c>
      <c r="AB804" s="0" t="s">
        <v>496</v>
      </c>
      <c r="AD804" s="0" t="n">
        <v>12</v>
      </c>
      <c r="AE804" s="0" t="s">
        <v>96</v>
      </c>
      <c r="AH804" s="0" t="n">
        <v>1</v>
      </c>
      <c r="AJ804" s="0" t="n">
        <v>41</v>
      </c>
      <c r="AP804" s="0" t="n">
        <v>118000</v>
      </c>
      <c r="DB804" s="0" t="str">
        <f aca="false">IF($A804="","",IF($AE804&amp;""&lt;&gt;設定!$C$4,"対象外",IF($AH804=20,IF(OR($AJ804=10,$AJ804=11,$AJ804=18),"①病院一般",IF($AJ804=41,"②病院短期","対象外")),IF($AH804=5,IF($AJ804=30,"③特定消防","対象外"),IF(OR($AJ804=10,$AJ804=11,$AJ804=74),"④一般",IF(OR($AJ804=41,$AJ804=47),"⑤短期","対象外"))))))</f>
        <v>⑤短期</v>
      </c>
    </row>
    <row r="805" customFormat="false" ht="15" hidden="false" customHeight="false" outlineLevel="0" collapsed="false">
      <c r="A805" s="0" t="n">
        <v>31</v>
      </c>
      <c r="AA805" s="0" t="n">
        <v>21</v>
      </c>
      <c r="AB805" s="0" t="s">
        <v>496</v>
      </c>
      <c r="AD805" s="0" t="n">
        <v>12</v>
      </c>
      <c r="AE805" s="0" t="s">
        <v>298</v>
      </c>
      <c r="AH805" s="0" t="n">
        <v>1</v>
      </c>
      <c r="AJ805" s="0" t="n">
        <v>41</v>
      </c>
      <c r="AP805" s="0" t="n">
        <v>118000</v>
      </c>
      <c r="DB805" s="0" t="str">
        <f aca="false">IF($A805="","",IF($AE805&amp;""&lt;&gt;設定!$C$4,"対象外",IF($AH805=20,IF(OR($AJ805=10,$AJ805=11,$AJ805=18),"①病院一般",IF($AJ805=41,"②病院短期","対象外")),IF($AH805=5,IF($AJ805=30,"③特定消防","対象外"),IF(OR($AJ805=10,$AJ805=11,$AJ805=74),"④一般",IF(OR($AJ805=41,$AJ805=47),"⑤短期","対象外"))))))</f>
        <v>対象外</v>
      </c>
    </row>
    <row r="806" customFormat="false" ht="15" hidden="false" customHeight="false" outlineLevel="0" collapsed="false">
      <c r="A806" s="0" t="n">
        <v>31</v>
      </c>
      <c r="AA806" s="0" t="n">
        <v>21</v>
      </c>
      <c r="AB806" s="0" t="s">
        <v>496</v>
      </c>
      <c r="AD806" s="0" t="n">
        <v>12</v>
      </c>
      <c r="AE806" s="0" t="s">
        <v>96</v>
      </c>
      <c r="AH806" s="0" t="n">
        <v>1</v>
      </c>
      <c r="AJ806" s="0" t="n">
        <v>41</v>
      </c>
      <c r="AP806" s="0" t="n">
        <v>126000</v>
      </c>
      <c r="DB806" s="0" t="str">
        <f aca="false">IF($A806="","",IF($AE806&amp;""&lt;&gt;設定!$C$4,"対象外",IF($AH806=20,IF(OR($AJ806=10,$AJ806=11,$AJ806=18),"①病院一般",IF($AJ806=41,"②病院短期","対象外")),IF($AH806=5,IF($AJ806=30,"③特定消防","対象外"),IF(OR($AJ806=10,$AJ806=11,$AJ806=74),"④一般",IF(OR($AJ806=41,$AJ806=47),"⑤短期","対象外"))))))</f>
        <v>⑤短期</v>
      </c>
    </row>
    <row r="807" customFormat="false" ht="15" hidden="false" customHeight="false" outlineLevel="0" collapsed="false">
      <c r="A807" s="0" t="n">
        <v>31</v>
      </c>
      <c r="AA807" s="0" t="n">
        <v>21</v>
      </c>
      <c r="AB807" s="0" t="s">
        <v>477</v>
      </c>
      <c r="AD807" s="0" t="n">
        <v>12</v>
      </c>
      <c r="AE807" s="0" t="s">
        <v>96</v>
      </c>
      <c r="AH807" s="0" t="n">
        <v>1</v>
      </c>
      <c r="AJ807" s="0" t="n">
        <v>41</v>
      </c>
      <c r="AP807" s="0" t="n">
        <v>126000</v>
      </c>
      <c r="DB807" s="0" t="str">
        <f aca="false">IF($A807="","",IF($AE807&amp;""&lt;&gt;設定!$C$4,"対象外",IF($AH807=20,IF(OR($AJ807=10,$AJ807=11,$AJ807=18),"①病院一般",IF($AJ807=41,"②病院短期","対象外")),IF($AH807=5,IF($AJ807=30,"③特定消防","対象外"),IF(OR($AJ807=10,$AJ807=11,$AJ807=74),"④一般",IF(OR($AJ807=41,$AJ807=47),"⑤短期","対象外"))))))</f>
        <v>⑤短期</v>
      </c>
    </row>
    <row r="808" customFormat="false" ht="15" hidden="false" customHeight="false" outlineLevel="0" collapsed="false">
      <c r="A808" s="0" t="n">
        <v>31</v>
      </c>
      <c r="AA808" s="0" t="n">
        <v>21</v>
      </c>
      <c r="AB808" s="0" t="s">
        <v>496</v>
      </c>
      <c r="AD808" s="0" t="n">
        <v>12</v>
      </c>
      <c r="AE808" s="0" t="s">
        <v>96</v>
      </c>
      <c r="AH808" s="0" t="n">
        <v>1</v>
      </c>
      <c r="AJ808" s="0" t="n">
        <v>41</v>
      </c>
      <c r="AP808" s="0" t="n">
        <v>240000</v>
      </c>
      <c r="DB808" s="0" t="str">
        <f aca="false">IF($A808="","",IF($AE808&amp;""&lt;&gt;設定!$C$4,"対象外",IF($AH808=20,IF(OR($AJ808=10,$AJ808=11,$AJ808=18),"①病院一般",IF($AJ808=41,"②病院短期","対象外")),IF($AH808=5,IF($AJ808=30,"③特定消防","対象外"),IF(OR($AJ808=10,$AJ808=11,$AJ808=74),"④一般",IF(OR($AJ808=41,$AJ808=47),"⑤短期","対象外"))))))</f>
        <v>⑤短期</v>
      </c>
    </row>
    <row r="809" customFormat="false" ht="15" hidden="false" customHeight="false" outlineLevel="0" collapsed="false">
      <c r="A809" s="0" t="n">
        <v>31</v>
      </c>
      <c r="AA809" s="0" t="n">
        <v>21</v>
      </c>
      <c r="AB809" s="0" t="s">
        <v>496</v>
      </c>
      <c r="AD809" s="0" t="n">
        <v>12</v>
      </c>
      <c r="AE809" s="0" t="s">
        <v>96</v>
      </c>
      <c r="AH809" s="0" t="n">
        <v>11</v>
      </c>
      <c r="AJ809" s="0" t="n">
        <v>41</v>
      </c>
      <c r="AP809" s="0" t="n">
        <v>220000</v>
      </c>
      <c r="DB809" s="0" t="str">
        <f aca="false">IF($A809="","",IF($AE809&amp;""&lt;&gt;設定!$C$4,"対象外",IF($AH809=20,IF(OR($AJ809=10,$AJ809=11,$AJ809=18),"①病院一般",IF($AJ809=41,"②病院短期","対象外")),IF($AH809=5,IF($AJ809=30,"③特定消防","対象外"),IF(OR($AJ809=10,$AJ809=11,$AJ809=74),"④一般",IF(OR($AJ809=41,$AJ809=47),"⑤短期","対象外"))))))</f>
        <v>⑤短期</v>
      </c>
    </row>
    <row r="810" customFormat="false" ht="15" hidden="false" customHeight="false" outlineLevel="0" collapsed="false">
      <c r="A810" s="0" t="n">
        <v>31</v>
      </c>
      <c r="AA810" s="0" t="n">
        <v>21</v>
      </c>
      <c r="AB810" s="0" t="s">
        <v>496</v>
      </c>
      <c r="AD810" s="0" t="n">
        <v>12</v>
      </c>
      <c r="AE810" s="0" t="s">
        <v>96</v>
      </c>
      <c r="AH810" s="0" t="n">
        <v>1</v>
      </c>
      <c r="AJ810" s="0" t="n">
        <v>41</v>
      </c>
      <c r="AP810" s="0" t="n">
        <v>180000</v>
      </c>
      <c r="DB810" s="0" t="str">
        <f aca="false">IF($A810="","",IF($AE810&amp;""&lt;&gt;設定!$C$4,"対象外",IF($AH810=20,IF(OR($AJ810=10,$AJ810=11,$AJ810=18),"①病院一般",IF($AJ810=41,"②病院短期","対象外")),IF($AH810=5,IF($AJ810=30,"③特定消防","対象外"),IF(OR($AJ810=10,$AJ810=11,$AJ810=74),"④一般",IF(OR($AJ810=41,$AJ810=47),"⑤短期","対象外"))))))</f>
        <v>⑤短期</v>
      </c>
    </row>
    <row r="811" customFormat="false" ht="15" hidden="false" customHeight="false" outlineLevel="0" collapsed="false">
      <c r="A811" s="0" t="n">
        <v>31</v>
      </c>
      <c r="AA811" s="0" t="n">
        <v>21</v>
      </c>
      <c r="AB811" s="0" t="s">
        <v>496</v>
      </c>
      <c r="AD811" s="0" t="n">
        <v>12</v>
      </c>
      <c r="AE811" s="0" t="s">
        <v>96</v>
      </c>
      <c r="AH811" s="0" t="n">
        <v>20</v>
      </c>
      <c r="AJ811" s="0" t="n">
        <v>41</v>
      </c>
      <c r="AP811" s="0" t="n">
        <v>220000</v>
      </c>
      <c r="DB811" s="0" t="str">
        <f aca="false">IF($A811="","",IF($AE811&amp;""&lt;&gt;設定!$C$4,"対象外",IF($AH811=20,IF(OR($AJ811=10,$AJ811=11,$AJ811=18),"①病院一般",IF($AJ811=41,"②病院短期","対象外")),IF($AH811=5,IF($AJ811=30,"③特定消防","対象外"),IF(OR($AJ811=10,$AJ811=11,$AJ811=74),"④一般",IF(OR($AJ811=41,$AJ811=47),"⑤短期","対象外"))))))</f>
        <v>②病院短期</v>
      </c>
    </row>
    <row r="812" customFormat="false" ht="15" hidden="false" customHeight="false" outlineLevel="0" collapsed="false">
      <c r="A812" s="0" t="n">
        <v>31</v>
      </c>
      <c r="AA812" s="0" t="n">
        <v>24</v>
      </c>
      <c r="AB812" s="0" t="s">
        <v>518</v>
      </c>
      <c r="AD812" s="0" t="n">
        <v>12</v>
      </c>
      <c r="AE812" s="0" t="s">
        <v>294</v>
      </c>
      <c r="AH812" s="0" t="n">
        <v>1</v>
      </c>
      <c r="AJ812" s="0" t="n">
        <v>41</v>
      </c>
      <c r="AP812" s="0" t="n">
        <v>126000</v>
      </c>
      <c r="DB812" s="0" t="str">
        <f aca="false">IF($A812="","",IF($AE812&amp;""&lt;&gt;設定!$C$4,"対象外",IF($AH812=20,IF(OR($AJ812=10,$AJ812=11,$AJ812=18),"①病院一般",IF($AJ812=41,"②病院短期","対象外")),IF($AH812=5,IF($AJ812=30,"③特定消防","対象外"),IF(OR($AJ812=10,$AJ812=11,$AJ812=74),"④一般",IF(OR($AJ812=41,$AJ812=47),"⑤短期","対象外"))))))</f>
        <v>対象外</v>
      </c>
    </row>
    <row r="813" customFormat="false" ht="15" hidden="false" customHeight="false" outlineLevel="0" collapsed="false">
      <c r="A813" s="0" t="n">
        <v>31</v>
      </c>
      <c r="AA813" s="0" t="n">
        <v>21</v>
      </c>
      <c r="AB813" s="0" t="s">
        <v>496</v>
      </c>
      <c r="AD813" s="0" t="n">
        <v>12</v>
      </c>
      <c r="AE813" s="0" t="s">
        <v>96</v>
      </c>
      <c r="AH813" s="0" t="n">
        <v>1</v>
      </c>
      <c r="AJ813" s="0" t="n">
        <v>41</v>
      </c>
      <c r="AP813" s="0" t="n">
        <v>118000</v>
      </c>
      <c r="DB813" s="0" t="str">
        <f aca="false">IF($A813="","",IF($AE813&amp;""&lt;&gt;設定!$C$4,"対象外",IF($AH813=20,IF(OR($AJ813=10,$AJ813=11,$AJ813=18),"①病院一般",IF($AJ813=41,"②病院短期","対象外")),IF($AH813=5,IF($AJ813=30,"③特定消防","対象外"),IF(OR($AJ813=10,$AJ813=11,$AJ813=74),"④一般",IF(OR($AJ813=41,$AJ813=47),"⑤短期","対象外"))))))</f>
        <v>⑤短期</v>
      </c>
    </row>
    <row r="814" customFormat="false" ht="15" hidden="false" customHeight="false" outlineLevel="0" collapsed="false">
      <c r="A814" s="0" t="n">
        <v>31</v>
      </c>
      <c r="AA814" s="0" t="n">
        <v>21</v>
      </c>
      <c r="AB814" s="0" t="s">
        <v>496</v>
      </c>
      <c r="AD814" s="0" t="n">
        <v>12</v>
      </c>
      <c r="AE814" s="0" t="s">
        <v>96</v>
      </c>
      <c r="AH814" s="0" t="n">
        <v>20</v>
      </c>
      <c r="AJ814" s="0" t="n">
        <v>41</v>
      </c>
      <c r="AP814" s="0" t="n">
        <v>220000</v>
      </c>
      <c r="DB814" s="0" t="str">
        <f aca="false">IF($A814="","",IF($AE814&amp;""&lt;&gt;設定!$C$4,"対象外",IF($AH814=20,IF(OR($AJ814=10,$AJ814=11,$AJ814=18),"①病院一般",IF($AJ814=41,"②病院短期","対象外")),IF($AH814=5,IF($AJ814=30,"③特定消防","対象外"),IF(OR($AJ814=10,$AJ814=11,$AJ814=74),"④一般",IF(OR($AJ814=41,$AJ814=47),"⑤短期","対象外"))))))</f>
        <v>②病院短期</v>
      </c>
    </row>
    <row r="815" customFormat="false" ht="15" hidden="false" customHeight="false" outlineLevel="0" collapsed="false">
      <c r="A815" s="0" t="n">
        <v>31</v>
      </c>
      <c r="AA815" s="0" t="n">
        <v>21</v>
      </c>
      <c r="AB815" s="0" t="s">
        <v>494</v>
      </c>
      <c r="AD815" s="0" t="n">
        <v>12</v>
      </c>
      <c r="AE815" s="0" t="s">
        <v>96</v>
      </c>
      <c r="AH815" s="0" t="n">
        <v>1</v>
      </c>
      <c r="AJ815" s="0" t="n">
        <v>41</v>
      </c>
      <c r="AP815" s="0" t="n">
        <v>126000</v>
      </c>
      <c r="DB815" s="0" t="str">
        <f aca="false">IF($A815="","",IF($AE815&amp;""&lt;&gt;設定!$C$4,"対象外",IF($AH815=20,IF(OR($AJ815=10,$AJ815=11,$AJ815=18),"①病院一般",IF($AJ815=41,"②病院短期","対象外")),IF($AH815=5,IF($AJ815=30,"③特定消防","対象外"),IF(OR($AJ815=10,$AJ815=11,$AJ815=74),"④一般",IF(OR($AJ815=41,$AJ815=47),"⑤短期","対象外"))))))</f>
        <v>⑤短期</v>
      </c>
    </row>
    <row r="816" customFormat="false" ht="15" hidden="false" customHeight="false" outlineLevel="0" collapsed="false">
      <c r="A816" s="0" t="n">
        <v>31</v>
      </c>
      <c r="AA816" s="0" t="n">
        <v>21</v>
      </c>
      <c r="AB816" s="0" t="s">
        <v>522</v>
      </c>
      <c r="AD816" s="0" t="n">
        <v>12</v>
      </c>
      <c r="AE816" s="0" t="s">
        <v>303</v>
      </c>
      <c r="AH816" s="0" t="n">
        <v>1</v>
      </c>
      <c r="AJ816" s="0" t="n">
        <v>41</v>
      </c>
      <c r="AP816" s="0" t="n">
        <v>134000</v>
      </c>
      <c r="DB816" s="0" t="str">
        <f aca="false">IF($A816="","",IF($AE816&amp;""&lt;&gt;設定!$C$4,"対象外",IF($AH816=20,IF(OR($AJ816=10,$AJ816=11,$AJ816=18),"①病院一般",IF($AJ816=41,"②病院短期","対象外")),IF($AH816=5,IF($AJ816=30,"③特定消防","対象外"),IF(OR($AJ816=10,$AJ816=11,$AJ816=74),"④一般",IF(OR($AJ816=41,$AJ816=47),"⑤短期","対象外"))))))</f>
        <v>対象外</v>
      </c>
    </row>
    <row r="817" customFormat="false" ht="15" hidden="false" customHeight="false" outlineLevel="0" collapsed="false">
      <c r="A817" s="0" t="n">
        <v>31</v>
      </c>
      <c r="AA817" s="0" t="n">
        <v>21</v>
      </c>
      <c r="AB817" s="0" t="s">
        <v>484</v>
      </c>
      <c r="AD817" s="0" t="n">
        <v>12</v>
      </c>
      <c r="AE817" s="0" t="s">
        <v>96</v>
      </c>
      <c r="AH817" s="0" t="n">
        <v>1</v>
      </c>
      <c r="AJ817" s="0" t="n">
        <v>10</v>
      </c>
      <c r="AP817" s="0" t="n">
        <v>240000</v>
      </c>
      <c r="DB817" s="0" t="str">
        <f aca="false">IF($A817="","",IF($AE817&amp;""&lt;&gt;設定!$C$4,"対象外",IF($AH817=20,IF(OR($AJ817=10,$AJ817=11,$AJ817=18),"①病院一般",IF($AJ817=41,"②病院短期","対象外")),IF($AH817=5,IF($AJ817=30,"③特定消防","対象外"),IF(OR($AJ817=10,$AJ817=11,$AJ817=74),"④一般",IF(OR($AJ817=41,$AJ817=47),"⑤短期","対象外"))))))</f>
        <v>④一般</v>
      </c>
    </row>
    <row r="818" customFormat="false" ht="15" hidden="false" customHeight="false" outlineLevel="0" collapsed="false">
      <c r="A818" s="0" t="n">
        <v>31</v>
      </c>
      <c r="AA818" s="0" t="n">
        <v>21</v>
      </c>
      <c r="AB818" s="0" t="s">
        <v>496</v>
      </c>
      <c r="AD818" s="0" t="n">
        <v>12</v>
      </c>
      <c r="AE818" s="0" t="s">
        <v>296</v>
      </c>
      <c r="AH818" s="0" t="n">
        <v>1</v>
      </c>
      <c r="AJ818" s="0" t="n">
        <v>41</v>
      </c>
      <c r="AP818" s="0" t="n">
        <v>118000</v>
      </c>
      <c r="DB818" s="0" t="str">
        <f aca="false">IF($A818="","",IF($AE818&amp;""&lt;&gt;設定!$C$4,"対象外",IF($AH818=20,IF(OR($AJ818=10,$AJ818=11,$AJ818=18),"①病院一般",IF($AJ818=41,"②病院短期","対象外")),IF($AH818=5,IF($AJ818=30,"③特定消防","対象外"),IF(OR($AJ818=10,$AJ818=11,$AJ818=74),"④一般",IF(OR($AJ818=41,$AJ818=47),"⑤短期","対象外"))))))</f>
        <v>対象外</v>
      </c>
    </row>
    <row r="819" customFormat="false" ht="15" hidden="false" customHeight="false" outlineLevel="0" collapsed="false">
      <c r="A819" s="0" t="n">
        <v>31</v>
      </c>
      <c r="AA819" s="0" t="n">
        <v>21</v>
      </c>
      <c r="AB819" s="0" t="s">
        <v>496</v>
      </c>
      <c r="AD819" s="0" t="n">
        <v>12</v>
      </c>
      <c r="AE819" s="0" t="s">
        <v>523</v>
      </c>
      <c r="AH819" s="0" t="n">
        <v>11</v>
      </c>
      <c r="AJ819" s="0" t="n">
        <v>41</v>
      </c>
      <c r="AP819" s="0" t="n">
        <v>126000</v>
      </c>
      <c r="DB819" s="0" t="str">
        <f aca="false">IF($A819="","",IF($AE819&amp;""&lt;&gt;設定!$C$4,"対象外",IF($AH819=20,IF(OR($AJ819=10,$AJ819=11,$AJ819=18),"①病院一般",IF($AJ819=41,"②病院短期","対象外")),IF($AH819=5,IF($AJ819=30,"③特定消防","対象外"),IF(OR($AJ819=10,$AJ819=11,$AJ819=74),"④一般",IF(OR($AJ819=41,$AJ819=47),"⑤短期","対象外"))))))</f>
        <v>対象外</v>
      </c>
    </row>
    <row r="820" customFormat="false" ht="15" hidden="false" customHeight="false" outlineLevel="0" collapsed="false">
      <c r="A820" s="0" t="n">
        <v>31</v>
      </c>
      <c r="AA820" s="0" t="n">
        <v>21</v>
      </c>
      <c r="AB820" s="0" t="s">
        <v>496</v>
      </c>
      <c r="AD820" s="0" t="n">
        <v>12</v>
      </c>
      <c r="AE820" s="0" t="s">
        <v>96</v>
      </c>
      <c r="AH820" s="0" t="n">
        <v>1</v>
      </c>
      <c r="AJ820" s="0" t="n">
        <v>41</v>
      </c>
      <c r="AP820" s="0" t="n">
        <v>200000</v>
      </c>
      <c r="DB820" s="0" t="str">
        <f aca="false">IF($A820="","",IF($AE820&amp;""&lt;&gt;設定!$C$4,"対象外",IF($AH820=20,IF(OR($AJ820=10,$AJ820=11,$AJ820=18),"①病院一般",IF($AJ820=41,"②病院短期","対象外")),IF($AH820=5,IF($AJ820=30,"③特定消防","対象外"),IF(OR($AJ820=10,$AJ820=11,$AJ820=74),"④一般",IF(OR($AJ820=41,$AJ820=47),"⑤短期","対象外"))))))</f>
        <v>⑤短期</v>
      </c>
    </row>
    <row r="821" customFormat="false" ht="15" hidden="false" customHeight="false" outlineLevel="0" collapsed="false">
      <c r="A821" s="0" t="n">
        <v>31</v>
      </c>
      <c r="AA821" s="0" t="n">
        <v>21</v>
      </c>
      <c r="AB821" s="0" t="s">
        <v>496</v>
      </c>
      <c r="AD821" s="0" t="n">
        <v>12</v>
      </c>
      <c r="AE821" s="0" t="s">
        <v>96</v>
      </c>
      <c r="AH821" s="0" t="n">
        <v>1</v>
      </c>
      <c r="AJ821" s="0" t="n">
        <v>41</v>
      </c>
      <c r="AP821" s="0" t="n">
        <v>126000</v>
      </c>
      <c r="DB821" s="0" t="str">
        <f aca="false">IF($A821="","",IF($AE821&amp;""&lt;&gt;設定!$C$4,"対象外",IF($AH821=20,IF(OR($AJ821=10,$AJ821=11,$AJ821=18),"①病院一般",IF($AJ821=41,"②病院短期","対象外")),IF($AH821=5,IF($AJ821=30,"③特定消防","対象外"),IF(OR($AJ821=10,$AJ821=11,$AJ821=74),"④一般",IF(OR($AJ821=41,$AJ821=47),"⑤短期","対象外"))))))</f>
        <v>⑤短期</v>
      </c>
    </row>
    <row r="822" customFormat="false" ht="15" hidden="false" customHeight="false" outlineLevel="0" collapsed="false">
      <c r="A822" s="0" t="n">
        <v>31</v>
      </c>
      <c r="AA822" s="0" t="n">
        <v>21</v>
      </c>
      <c r="AB822" s="0" t="s">
        <v>496</v>
      </c>
      <c r="AD822" s="0" t="n">
        <v>12</v>
      </c>
      <c r="AE822" s="0" t="s">
        <v>298</v>
      </c>
      <c r="AH822" s="0" t="n">
        <v>1</v>
      </c>
      <c r="AJ822" s="0" t="n">
        <v>41</v>
      </c>
      <c r="AP822" s="0" t="n">
        <v>126000</v>
      </c>
      <c r="DB822" s="0" t="str">
        <f aca="false">IF($A822="","",IF($AE822&amp;""&lt;&gt;設定!$C$4,"対象外",IF($AH822=20,IF(OR($AJ822=10,$AJ822=11,$AJ822=18),"①病院一般",IF($AJ822=41,"②病院短期","対象外")),IF($AH822=5,IF($AJ822=30,"③特定消防","対象外"),IF(OR($AJ822=10,$AJ822=11,$AJ822=74),"④一般",IF(OR($AJ822=41,$AJ822=47),"⑤短期","対象外"))))))</f>
        <v>対象外</v>
      </c>
    </row>
    <row r="823" customFormat="false" ht="15" hidden="false" customHeight="false" outlineLevel="0" collapsed="false">
      <c r="A823" s="0" t="n">
        <v>31</v>
      </c>
      <c r="AA823" s="0" t="n">
        <v>21</v>
      </c>
      <c r="AB823" s="0" t="s">
        <v>496</v>
      </c>
      <c r="AD823" s="0" t="n">
        <v>12</v>
      </c>
      <c r="AE823" s="0" t="s">
        <v>96</v>
      </c>
      <c r="AH823" s="0" t="n">
        <v>5</v>
      </c>
      <c r="AJ823" s="0" t="n">
        <v>41</v>
      </c>
      <c r="AP823" s="0" t="n">
        <v>180000</v>
      </c>
      <c r="DB823" s="0" t="str">
        <f aca="false">IF($A823="","",IF($AE823&amp;""&lt;&gt;設定!$C$4,"対象外",IF($AH823=20,IF(OR($AJ823=10,$AJ823=11,$AJ823=18),"①病院一般",IF($AJ823=41,"②病院短期","対象外")),IF($AH823=5,IF($AJ823=30,"③特定消防","対象外"),IF(OR($AJ823=10,$AJ823=11,$AJ823=74),"④一般",IF(OR($AJ823=41,$AJ823=47),"⑤短期","対象外"))))))</f>
        <v>対象外</v>
      </c>
    </row>
    <row r="824" customFormat="false" ht="15" hidden="false" customHeight="false" outlineLevel="0" collapsed="false">
      <c r="A824" s="0" t="n">
        <v>31</v>
      </c>
      <c r="AA824" s="0" t="n">
        <v>21</v>
      </c>
      <c r="AB824" s="0" t="s">
        <v>519</v>
      </c>
      <c r="AD824" s="0" t="n">
        <v>12</v>
      </c>
      <c r="AE824" s="0" t="s">
        <v>96</v>
      </c>
      <c r="AH824" s="0" t="n">
        <v>1</v>
      </c>
      <c r="AJ824" s="0" t="n">
        <v>41</v>
      </c>
      <c r="AP824" s="0" t="n">
        <v>134000</v>
      </c>
      <c r="DB824" s="0" t="str">
        <f aca="false">IF($A824="","",IF($AE824&amp;""&lt;&gt;設定!$C$4,"対象外",IF($AH824=20,IF(OR($AJ824=10,$AJ824=11,$AJ824=18),"①病院一般",IF($AJ824=41,"②病院短期","対象外")),IF($AH824=5,IF($AJ824=30,"③特定消防","対象外"),IF(OR($AJ824=10,$AJ824=11,$AJ824=74),"④一般",IF(OR($AJ824=41,$AJ824=47),"⑤短期","対象外"))))))</f>
        <v>⑤短期</v>
      </c>
    </row>
    <row r="825" customFormat="false" ht="15" hidden="false" customHeight="false" outlineLevel="0" collapsed="false">
      <c r="A825" s="0" t="n">
        <v>31</v>
      </c>
      <c r="AA825" s="0" t="n">
        <v>24</v>
      </c>
      <c r="AB825" s="0" t="s">
        <v>494</v>
      </c>
      <c r="AD825" s="0" t="n">
        <v>12</v>
      </c>
      <c r="AE825" s="0" t="s">
        <v>96</v>
      </c>
      <c r="AH825" s="0" t="n">
        <v>1</v>
      </c>
      <c r="AJ825" s="0" t="n">
        <v>41</v>
      </c>
      <c r="AP825" s="0" t="n">
        <v>150000</v>
      </c>
      <c r="DB825" s="0" t="str">
        <f aca="false">IF($A825="","",IF($AE825&amp;""&lt;&gt;設定!$C$4,"対象外",IF($AH825=20,IF(OR($AJ825=10,$AJ825=11,$AJ825=18),"①病院一般",IF($AJ825=41,"②病院短期","対象外")),IF($AH825=5,IF($AJ825=30,"③特定消防","対象外"),IF(OR($AJ825=10,$AJ825=11,$AJ825=74),"④一般",IF(OR($AJ825=41,$AJ825=47),"⑤短期","対象外"))))))</f>
        <v>⑤短期</v>
      </c>
    </row>
    <row r="826" customFormat="false" ht="15" hidden="false" customHeight="false" outlineLevel="0" collapsed="false">
      <c r="A826" s="0" t="n">
        <v>31</v>
      </c>
      <c r="AA826" s="0" t="n">
        <v>24</v>
      </c>
      <c r="AB826" s="0" t="s">
        <v>324</v>
      </c>
      <c r="AD826" s="0" t="n">
        <v>12</v>
      </c>
      <c r="AE826" s="0" t="s">
        <v>325</v>
      </c>
      <c r="AH826" s="0" t="n">
        <v>1</v>
      </c>
      <c r="AJ826" s="0" t="n">
        <v>41</v>
      </c>
      <c r="AP826" s="0" t="n">
        <v>150000</v>
      </c>
      <c r="DB826" s="0" t="str">
        <f aca="false">IF($A826="","",IF($AE826&amp;""&lt;&gt;設定!$C$4,"対象外",IF($AH826=20,IF(OR($AJ826=10,$AJ826=11,$AJ826=18),"①病院一般",IF($AJ826=41,"②病院短期","対象外")),IF($AH826=5,IF($AJ826=30,"③特定消防","対象外"),IF(OR($AJ826=10,$AJ826=11,$AJ826=74),"④一般",IF(OR($AJ826=41,$AJ826=47),"⑤短期","対象外"))))))</f>
        <v>対象外</v>
      </c>
    </row>
    <row r="827" customFormat="false" ht="15" hidden="false" customHeight="false" outlineLevel="0" collapsed="false">
      <c r="A827" s="0" t="n">
        <v>31</v>
      </c>
      <c r="AA827" s="0" t="n">
        <v>21</v>
      </c>
      <c r="AB827" s="0" t="s">
        <v>458</v>
      </c>
      <c r="AD827" s="0" t="n">
        <v>12</v>
      </c>
      <c r="AE827" s="0" t="s">
        <v>96</v>
      </c>
      <c r="AH827" s="0" t="n">
        <v>1</v>
      </c>
      <c r="AJ827" s="0" t="n">
        <v>10</v>
      </c>
      <c r="AP827" s="0" t="n">
        <v>240000</v>
      </c>
      <c r="DB827" s="0" t="str">
        <f aca="false">IF($A827="","",IF($AE827&amp;""&lt;&gt;設定!$C$4,"対象外",IF($AH827=20,IF(OR($AJ827=10,$AJ827=11,$AJ827=18),"①病院一般",IF($AJ827=41,"②病院短期","対象外")),IF($AH827=5,IF($AJ827=30,"③特定消防","対象外"),IF(OR($AJ827=10,$AJ827=11,$AJ827=74),"④一般",IF(OR($AJ827=41,$AJ827=47),"⑤短期","対象外"))))))</f>
        <v>④一般</v>
      </c>
    </row>
    <row r="828" customFormat="false" ht="15" hidden="false" customHeight="false" outlineLevel="0" collapsed="false">
      <c r="A828" s="0" t="n">
        <v>31</v>
      </c>
      <c r="AA828" s="0" t="n">
        <v>21</v>
      </c>
      <c r="AB828" s="0" t="s">
        <v>496</v>
      </c>
      <c r="AD828" s="0" t="n">
        <v>12</v>
      </c>
      <c r="AE828" s="0" t="s">
        <v>96</v>
      </c>
      <c r="AH828" s="0" t="n">
        <v>1</v>
      </c>
      <c r="AJ828" s="0" t="n">
        <v>41</v>
      </c>
      <c r="AP828" s="0" t="n">
        <v>118000</v>
      </c>
      <c r="DB828" s="0" t="str">
        <f aca="false">IF($A828="","",IF($AE828&amp;""&lt;&gt;設定!$C$4,"対象外",IF($AH828=20,IF(OR($AJ828=10,$AJ828=11,$AJ828=18),"①病院一般",IF($AJ828=41,"②病院短期","対象外")),IF($AH828=5,IF($AJ828=30,"③特定消防","対象外"),IF(OR($AJ828=10,$AJ828=11,$AJ828=74),"④一般",IF(OR($AJ828=41,$AJ828=47),"⑤短期","対象外"))))))</f>
        <v>⑤短期</v>
      </c>
    </row>
    <row r="829" customFormat="false" ht="15" hidden="false" customHeight="false" outlineLevel="0" collapsed="false">
      <c r="A829" s="0" t="n">
        <v>31</v>
      </c>
      <c r="AA829" s="0" t="n">
        <v>21</v>
      </c>
      <c r="AB829" s="0" t="s">
        <v>496</v>
      </c>
      <c r="AD829" s="0" t="n">
        <v>12</v>
      </c>
      <c r="AE829" s="0" t="s">
        <v>96</v>
      </c>
      <c r="AH829" s="0" t="n">
        <v>1</v>
      </c>
      <c r="AJ829" s="0" t="n">
        <v>41</v>
      </c>
      <c r="AP829" s="0" t="n">
        <v>180000</v>
      </c>
      <c r="DB829" s="0" t="str">
        <f aca="false">IF($A829="","",IF($AE829&amp;""&lt;&gt;設定!$C$4,"対象外",IF($AH829=20,IF(OR($AJ829=10,$AJ829=11,$AJ829=18),"①病院一般",IF($AJ829=41,"②病院短期","対象外")),IF($AH829=5,IF($AJ829=30,"③特定消防","対象外"),IF(OR($AJ829=10,$AJ829=11,$AJ829=74),"④一般",IF(OR($AJ829=41,$AJ829=47),"⑤短期","対象外"))))))</f>
        <v>⑤短期</v>
      </c>
    </row>
    <row r="830" customFormat="false" ht="15" hidden="false" customHeight="false" outlineLevel="0" collapsed="false">
      <c r="A830" s="0" t="n">
        <v>31</v>
      </c>
      <c r="AA830" s="0" t="n">
        <v>24</v>
      </c>
      <c r="AB830" s="0" t="s">
        <v>524</v>
      </c>
      <c r="AD830" s="0" t="n">
        <v>12</v>
      </c>
      <c r="AE830" s="0" t="s">
        <v>294</v>
      </c>
      <c r="AH830" s="0" t="n">
        <v>1</v>
      </c>
      <c r="AJ830" s="0" t="n">
        <v>41</v>
      </c>
      <c r="AP830" s="0" t="n">
        <v>126000</v>
      </c>
      <c r="DB830" s="0" t="str">
        <f aca="false">IF($A830="","",IF($AE830&amp;""&lt;&gt;設定!$C$4,"対象外",IF($AH830=20,IF(OR($AJ830=10,$AJ830=11,$AJ830=18),"①病院一般",IF($AJ830=41,"②病院短期","対象外")),IF($AH830=5,IF($AJ830=30,"③特定消防","対象外"),IF(OR($AJ830=10,$AJ830=11,$AJ830=74),"④一般",IF(OR($AJ830=41,$AJ830=47),"⑤短期","対象外"))))))</f>
        <v>対象外</v>
      </c>
    </row>
    <row r="831" customFormat="false" ht="15" hidden="false" customHeight="false" outlineLevel="0" collapsed="false">
      <c r="A831" s="0" t="n">
        <v>31</v>
      </c>
      <c r="AA831" s="0" t="n">
        <v>24</v>
      </c>
      <c r="AB831" s="0" t="s">
        <v>299</v>
      </c>
      <c r="AD831" s="0" t="n">
        <v>12</v>
      </c>
      <c r="AE831" s="0" t="s">
        <v>301</v>
      </c>
      <c r="AH831" s="0" t="n">
        <v>1</v>
      </c>
      <c r="AJ831" s="0" t="n">
        <v>41</v>
      </c>
      <c r="AP831" s="0" t="n">
        <v>142000</v>
      </c>
      <c r="DB831" s="0" t="str">
        <f aca="false">IF($A831="","",IF($AE831&amp;""&lt;&gt;設定!$C$4,"対象外",IF($AH831=20,IF(OR($AJ831=10,$AJ831=11,$AJ831=18),"①病院一般",IF($AJ831=41,"②病院短期","対象外")),IF($AH831=5,IF($AJ831=30,"③特定消防","対象外"),IF(OR($AJ831=10,$AJ831=11,$AJ831=74),"④一般",IF(OR($AJ831=41,$AJ831=47),"⑤短期","対象外"))))))</f>
        <v>対象外</v>
      </c>
    </row>
    <row r="832" customFormat="false" ht="15" hidden="false" customHeight="false" outlineLevel="0" collapsed="false">
      <c r="A832" s="0" t="n">
        <v>31</v>
      </c>
      <c r="AA832" s="0" t="n">
        <v>21</v>
      </c>
      <c r="AB832" s="0" t="s">
        <v>496</v>
      </c>
      <c r="AD832" s="0" t="n">
        <v>12</v>
      </c>
      <c r="AE832" s="0" t="s">
        <v>96</v>
      </c>
      <c r="AH832" s="0" t="n">
        <v>11</v>
      </c>
      <c r="AJ832" s="0" t="n">
        <v>41</v>
      </c>
      <c r="AP832" s="0" t="n">
        <v>160000</v>
      </c>
      <c r="DB832" s="0" t="str">
        <f aca="false">IF($A832="","",IF($AE832&amp;""&lt;&gt;設定!$C$4,"対象外",IF($AH832=20,IF(OR($AJ832=10,$AJ832=11,$AJ832=18),"①病院一般",IF($AJ832=41,"②病院短期","対象外")),IF($AH832=5,IF($AJ832=30,"③特定消防","対象外"),IF(OR($AJ832=10,$AJ832=11,$AJ832=74),"④一般",IF(OR($AJ832=41,$AJ832=47),"⑤短期","対象外"))))))</f>
        <v>⑤短期</v>
      </c>
    </row>
    <row r="833" customFormat="false" ht="15" hidden="false" customHeight="false" outlineLevel="0" collapsed="false">
      <c r="A833" s="0" t="n">
        <v>31</v>
      </c>
      <c r="AA833" s="0" t="n">
        <v>24</v>
      </c>
      <c r="AB833" s="0" t="s">
        <v>525</v>
      </c>
      <c r="AD833" s="0" t="n">
        <v>12</v>
      </c>
      <c r="AE833" s="0" t="s">
        <v>96</v>
      </c>
      <c r="AH833" s="0" t="n">
        <v>1</v>
      </c>
      <c r="AJ833" s="0" t="n">
        <v>41</v>
      </c>
      <c r="AP833" s="0" t="n">
        <v>134000</v>
      </c>
      <c r="DB833" s="0" t="str">
        <f aca="false">IF($A833="","",IF($AE833&amp;""&lt;&gt;設定!$C$4,"対象外",IF($AH833=20,IF(OR($AJ833=10,$AJ833=11,$AJ833=18),"①病院一般",IF($AJ833=41,"②病院短期","対象外")),IF($AH833=5,IF($AJ833=30,"③特定消防","対象外"),IF(OR($AJ833=10,$AJ833=11,$AJ833=74),"④一般",IF(OR($AJ833=41,$AJ833=47),"⑤短期","対象外"))))))</f>
        <v>⑤短期</v>
      </c>
    </row>
    <row r="834" customFormat="false" ht="15" hidden="false" customHeight="false" outlineLevel="0" collapsed="false">
      <c r="A834" s="0" t="n">
        <v>31</v>
      </c>
      <c r="AA834" s="0" t="n">
        <v>21</v>
      </c>
      <c r="AB834" s="0" t="s">
        <v>496</v>
      </c>
      <c r="AD834" s="0" t="n">
        <v>12</v>
      </c>
      <c r="AE834" s="0" t="s">
        <v>96</v>
      </c>
      <c r="AH834" s="0" t="n">
        <v>1</v>
      </c>
      <c r="AJ834" s="0" t="n">
        <v>41</v>
      </c>
      <c r="AP834" s="0" t="n">
        <v>126000</v>
      </c>
      <c r="DB834" s="0" t="str">
        <f aca="false">IF($A834="","",IF($AE834&amp;""&lt;&gt;設定!$C$4,"対象外",IF($AH834=20,IF(OR($AJ834=10,$AJ834=11,$AJ834=18),"①病院一般",IF($AJ834=41,"②病院短期","対象外")),IF($AH834=5,IF($AJ834=30,"③特定消防","対象外"),IF(OR($AJ834=10,$AJ834=11,$AJ834=74),"④一般",IF(OR($AJ834=41,$AJ834=47),"⑤短期","対象外"))))))</f>
        <v>⑤短期</v>
      </c>
    </row>
    <row r="835" customFormat="false" ht="15" hidden="false" customHeight="false" outlineLevel="0" collapsed="false">
      <c r="A835" s="0" t="n">
        <v>31</v>
      </c>
      <c r="AA835" s="0" t="n">
        <v>24</v>
      </c>
      <c r="AB835" s="0" t="s">
        <v>526</v>
      </c>
      <c r="AD835" s="0" t="n">
        <v>12</v>
      </c>
      <c r="AE835" s="0" t="s">
        <v>301</v>
      </c>
      <c r="AH835" s="0" t="n">
        <v>1</v>
      </c>
      <c r="AJ835" s="0" t="n">
        <v>41</v>
      </c>
      <c r="AP835" s="0" t="n">
        <v>134000</v>
      </c>
      <c r="DB835" s="0" t="str">
        <f aca="false">IF($A835="","",IF($AE835&amp;""&lt;&gt;設定!$C$4,"対象外",IF($AH835=20,IF(OR($AJ835=10,$AJ835=11,$AJ835=18),"①病院一般",IF($AJ835=41,"②病院短期","対象外")),IF($AH835=5,IF($AJ835=30,"③特定消防","対象外"),IF(OR($AJ835=10,$AJ835=11,$AJ835=74),"④一般",IF(OR($AJ835=41,$AJ835=47),"⑤短期","対象外"))))))</f>
        <v>対象外</v>
      </c>
    </row>
    <row r="836" customFormat="false" ht="15" hidden="false" customHeight="false" outlineLevel="0" collapsed="false">
      <c r="A836" s="0" t="n">
        <v>31</v>
      </c>
      <c r="AA836" s="0" t="n">
        <v>21</v>
      </c>
      <c r="AB836" s="0" t="s">
        <v>496</v>
      </c>
      <c r="AD836" s="0" t="n">
        <v>12</v>
      </c>
      <c r="AE836" s="0" t="s">
        <v>96</v>
      </c>
      <c r="AH836" s="0" t="n">
        <v>1</v>
      </c>
      <c r="AJ836" s="0" t="n">
        <v>41</v>
      </c>
      <c r="AP836" s="0" t="n">
        <v>200000</v>
      </c>
      <c r="DB836" s="0" t="str">
        <f aca="false">IF($A836="","",IF($AE836&amp;""&lt;&gt;設定!$C$4,"対象外",IF($AH836=20,IF(OR($AJ836=10,$AJ836=11,$AJ836=18),"①病院一般",IF($AJ836=41,"②病院短期","対象外")),IF($AH836=5,IF($AJ836=30,"③特定消防","対象外"),IF(OR($AJ836=10,$AJ836=11,$AJ836=74),"④一般",IF(OR($AJ836=41,$AJ836=47),"⑤短期","対象外"))))))</f>
        <v>⑤短期</v>
      </c>
    </row>
    <row r="837" customFormat="false" ht="15" hidden="false" customHeight="false" outlineLevel="0" collapsed="false">
      <c r="A837" s="0" t="n">
        <v>31</v>
      </c>
      <c r="AA837" s="0" t="n">
        <v>21</v>
      </c>
      <c r="AB837" s="0" t="s">
        <v>496</v>
      </c>
      <c r="AD837" s="0" t="n">
        <v>12</v>
      </c>
      <c r="AE837" s="0" t="s">
        <v>96</v>
      </c>
      <c r="AH837" s="0" t="n">
        <v>11</v>
      </c>
      <c r="AJ837" s="0" t="n">
        <v>41</v>
      </c>
      <c r="AP837" s="0" t="n">
        <v>220000</v>
      </c>
      <c r="DB837" s="0" t="str">
        <f aca="false">IF($A837="","",IF($AE837&amp;""&lt;&gt;設定!$C$4,"対象外",IF($AH837=20,IF(OR($AJ837=10,$AJ837=11,$AJ837=18),"①病院一般",IF($AJ837=41,"②病院短期","対象外")),IF($AH837=5,IF($AJ837=30,"③特定消防","対象外"),IF(OR($AJ837=10,$AJ837=11,$AJ837=74),"④一般",IF(OR($AJ837=41,$AJ837=47),"⑤短期","対象外"))))))</f>
        <v>⑤短期</v>
      </c>
    </row>
    <row r="838" customFormat="false" ht="15" hidden="false" customHeight="false" outlineLevel="0" collapsed="false">
      <c r="A838" s="0" t="n">
        <v>31</v>
      </c>
      <c r="AA838" s="0" t="n">
        <v>21</v>
      </c>
      <c r="AB838" s="0" t="s">
        <v>496</v>
      </c>
      <c r="AD838" s="0" t="n">
        <v>12</v>
      </c>
      <c r="AE838" s="0" t="s">
        <v>96</v>
      </c>
      <c r="AH838" s="0" t="n">
        <v>1</v>
      </c>
      <c r="AJ838" s="0" t="n">
        <v>41</v>
      </c>
      <c r="AP838" s="0" t="n">
        <v>126000</v>
      </c>
      <c r="DB838" s="0" t="str">
        <f aca="false">IF($A838="","",IF($AE838&amp;""&lt;&gt;設定!$C$4,"対象外",IF($AH838=20,IF(OR($AJ838=10,$AJ838=11,$AJ838=18),"①病院一般",IF($AJ838=41,"②病院短期","対象外")),IF($AH838=5,IF($AJ838=30,"③特定消防","対象外"),IF(OR($AJ838=10,$AJ838=11,$AJ838=74),"④一般",IF(OR($AJ838=41,$AJ838=47),"⑤短期","対象外"))))))</f>
        <v>⑤短期</v>
      </c>
    </row>
    <row r="839" customFormat="false" ht="15" hidden="false" customHeight="false" outlineLevel="0" collapsed="false">
      <c r="A839" s="0" t="n">
        <v>31</v>
      </c>
      <c r="AA839" s="0" t="n">
        <v>21</v>
      </c>
      <c r="AB839" s="0" t="s">
        <v>496</v>
      </c>
      <c r="AD839" s="0" t="n">
        <v>12</v>
      </c>
      <c r="AE839" s="0" t="s">
        <v>96</v>
      </c>
      <c r="AH839" s="0" t="n">
        <v>1</v>
      </c>
      <c r="AJ839" s="0" t="n">
        <v>41</v>
      </c>
      <c r="AP839" s="0" t="n">
        <v>220000</v>
      </c>
      <c r="DB839" s="0" t="str">
        <f aca="false">IF($A839="","",IF($AE839&amp;""&lt;&gt;設定!$C$4,"対象外",IF($AH839=20,IF(OR($AJ839=10,$AJ839=11,$AJ839=18),"①病院一般",IF($AJ839=41,"②病院短期","対象外")),IF($AH839=5,IF($AJ839=30,"③特定消防","対象外"),IF(OR($AJ839=10,$AJ839=11,$AJ839=74),"④一般",IF(OR($AJ839=41,$AJ839=47),"⑤短期","対象外"))))))</f>
        <v>⑤短期</v>
      </c>
    </row>
    <row r="840" customFormat="false" ht="15" hidden="false" customHeight="false" outlineLevel="0" collapsed="false">
      <c r="A840" s="0" t="n">
        <v>31</v>
      </c>
      <c r="AA840" s="0" t="n">
        <v>21</v>
      </c>
      <c r="AB840" s="0" t="s">
        <v>499</v>
      </c>
      <c r="AD840" s="0" t="n">
        <v>12</v>
      </c>
      <c r="AE840" s="0" t="s">
        <v>344</v>
      </c>
      <c r="AH840" s="0" t="n">
        <v>1</v>
      </c>
      <c r="AJ840" s="0" t="n">
        <v>41</v>
      </c>
      <c r="AP840" s="0" t="n">
        <v>142000</v>
      </c>
      <c r="DB840" s="0" t="str">
        <f aca="false">IF($A840="","",IF($AE840&amp;""&lt;&gt;設定!$C$4,"対象外",IF($AH840=20,IF(OR($AJ840=10,$AJ840=11,$AJ840=18),"①病院一般",IF($AJ840=41,"②病院短期","対象外")),IF($AH840=5,IF($AJ840=30,"③特定消防","対象外"),IF(OR($AJ840=10,$AJ840=11,$AJ840=74),"④一般",IF(OR($AJ840=41,$AJ840=47),"⑤短期","対象外"))))))</f>
        <v>対象外</v>
      </c>
    </row>
    <row r="841" customFormat="false" ht="15" hidden="false" customHeight="false" outlineLevel="0" collapsed="false">
      <c r="A841" s="0" t="n">
        <v>31</v>
      </c>
      <c r="AA841" s="0" t="n">
        <v>24</v>
      </c>
      <c r="AB841" s="0" t="s">
        <v>527</v>
      </c>
      <c r="AD841" s="0" t="n">
        <v>12</v>
      </c>
      <c r="AE841" s="0" t="s">
        <v>96</v>
      </c>
      <c r="AH841" s="0" t="n">
        <v>1</v>
      </c>
      <c r="AJ841" s="0" t="n">
        <v>41</v>
      </c>
      <c r="AP841" s="0" t="n">
        <v>126000</v>
      </c>
      <c r="DB841" s="0" t="str">
        <f aca="false">IF($A841="","",IF($AE841&amp;""&lt;&gt;設定!$C$4,"対象外",IF($AH841=20,IF(OR($AJ841=10,$AJ841=11,$AJ841=18),"①病院一般",IF($AJ841=41,"②病院短期","対象外")),IF($AH841=5,IF($AJ841=30,"③特定消防","対象外"),IF(OR($AJ841=10,$AJ841=11,$AJ841=74),"④一般",IF(OR($AJ841=41,$AJ841=47),"⑤短期","対象外"))))))</f>
        <v>⑤短期</v>
      </c>
    </row>
    <row r="842" customFormat="false" ht="15" hidden="false" customHeight="false" outlineLevel="0" collapsed="false">
      <c r="A842" s="0" t="n">
        <v>31</v>
      </c>
      <c r="AA842" s="0" t="n">
        <v>21</v>
      </c>
      <c r="AB842" s="0" t="s">
        <v>484</v>
      </c>
      <c r="AD842" s="0" t="n">
        <v>12</v>
      </c>
      <c r="AE842" s="0" t="s">
        <v>96</v>
      </c>
      <c r="AH842" s="0" t="n">
        <v>1</v>
      </c>
      <c r="AJ842" s="0" t="n">
        <v>41</v>
      </c>
      <c r="AP842" s="0" t="n">
        <v>118000</v>
      </c>
      <c r="DB842" s="0" t="str">
        <f aca="false">IF($A842="","",IF($AE842&amp;""&lt;&gt;設定!$C$4,"対象外",IF($AH842=20,IF(OR($AJ842=10,$AJ842=11,$AJ842=18),"①病院一般",IF($AJ842=41,"②病院短期","対象外")),IF($AH842=5,IF($AJ842=30,"③特定消防","対象外"),IF(OR($AJ842=10,$AJ842=11,$AJ842=74),"④一般",IF(OR($AJ842=41,$AJ842=47),"⑤短期","対象外"))))))</f>
        <v>⑤短期</v>
      </c>
    </row>
    <row r="843" customFormat="false" ht="15" hidden="false" customHeight="false" outlineLevel="0" collapsed="false">
      <c r="A843" s="0" t="n">
        <v>31</v>
      </c>
      <c r="AA843" s="0" t="n">
        <v>21</v>
      </c>
      <c r="AB843" s="0" t="s">
        <v>491</v>
      </c>
      <c r="AD843" s="0" t="n">
        <v>12</v>
      </c>
      <c r="AE843" s="0" t="s">
        <v>371</v>
      </c>
      <c r="AH843" s="0" t="n">
        <v>1</v>
      </c>
      <c r="AJ843" s="0" t="n">
        <v>41</v>
      </c>
      <c r="AP843" s="0" t="n">
        <v>150000</v>
      </c>
      <c r="DB843" s="0" t="str">
        <f aca="false">IF($A843="","",IF($AE843&amp;""&lt;&gt;設定!$C$4,"対象外",IF($AH843=20,IF(OR($AJ843=10,$AJ843=11,$AJ843=18),"①病院一般",IF($AJ843=41,"②病院短期","対象外")),IF($AH843=5,IF($AJ843=30,"③特定消防","対象外"),IF(OR($AJ843=10,$AJ843=11,$AJ843=74),"④一般",IF(OR($AJ843=41,$AJ843=47),"⑤短期","対象外"))))))</f>
        <v>対象外</v>
      </c>
    </row>
    <row r="844" customFormat="false" ht="15" hidden="false" customHeight="false" outlineLevel="0" collapsed="false">
      <c r="A844" s="0" t="n">
        <v>31</v>
      </c>
      <c r="AA844" s="0" t="n">
        <v>21</v>
      </c>
      <c r="AB844" s="0" t="s">
        <v>496</v>
      </c>
      <c r="AD844" s="0" t="n">
        <v>11</v>
      </c>
      <c r="AE844" s="0" t="s">
        <v>96</v>
      </c>
      <c r="AH844" s="0" t="n">
        <v>1</v>
      </c>
      <c r="AJ844" s="0" t="n">
        <v>41</v>
      </c>
      <c r="AP844" s="0" t="n">
        <v>134000</v>
      </c>
      <c r="DB844" s="0" t="str">
        <f aca="false">IF($A844="","",IF($AE844&amp;""&lt;&gt;設定!$C$4,"対象外",IF($AH844=20,IF(OR($AJ844=10,$AJ844=11,$AJ844=18),"①病院一般",IF($AJ844=41,"②病院短期","対象外")),IF($AH844=5,IF($AJ844=30,"③特定消防","対象外"),IF(OR($AJ844=10,$AJ844=11,$AJ844=74),"④一般",IF(OR($AJ844=41,$AJ844=47),"⑤短期","対象外"))))))</f>
        <v>⑤短期</v>
      </c>
    </row>
    <row r="845" customFormat="false" ht="15" hidden="false" customHeight="false" outlineLevel="0" collapsed="false">
      <c r="A845" s="0" t="n">
        <v>31</v>
      </c>
      <c r="AA845" s="0" t="n">
        <v>21</v>
      </c>
      <c r="AB845" s="0" t="s">
        <v>496</v>
      </c>
      <c r="AD845" s="0" t="n">
        <v>12</v>
      </c>
      <c r="AE845" s="0" t="s">
        <v>96</v>
      </c>
      <c r="AH845" s="0" t="n">
        <v>1</v>
      </c>
      <c r="AJ845" s="0" t="n">
        <v>41</v>
      </c>
      <c r="AP845" s="0" t="n">
        <v>200000</v>
      </c>
      <c r="DB845" s="0" t="str">
        <f aca="false">IF($A845="","",IF($AE845&amp;""&lt;&gt;設定!$C$4,"対象外",IF($AH845=20,IF(OR($AJ845=10,$AJ845=11,$AJ845=18),"①病院一般",IF($AJ845=41,"②病院短期","対象外")),IF($AH845=5,IF($AJ845=30,"③特定消防","対象外"),IF(OR($AJ845=10,$AJ845=11,$AJ845=74),"④一般",IF(OR($AJ845=41,$AJ845=47),"⑤短期","対象外"))))))</f>
        <v>⑤短期</v>
      </c>
    </row>
    <row r="846" customFormat="false" ht="15" hidden="false" customHeight="false" outlineLevel="0" collapsed="false">
      <c r="A846" s="0" t="n">
        <v>31</v>
      </c>
      <c r="AA846" s="0" t="n">
        <v>21</v>
      </c>
      <c r="AB846" s="0" t="s">
        <v>496</v>
      </c>
      <c r="AD846" s="0" t="n">
        <v>11</v>
      </c>
      <c r="AE846" s="0" t="s">
        <v>96</v>
      </c>
      <c r="AH846" s="0" t="n">
        <v>1</v>
      </c>
      <c r="AJ846" s="0" t="n">
        <v>41</v>
      </c>
      <c r="AP846" s="0" t="n">
        <v>134000</v>
      </c>
      <c r="DB846" s="0" t="str">
        <f aca="false">IF($A846="","",IF($AE846&amp;""&lt;&gt;設定!$C$4,"対象外",IF($AH846=20,IF(OR($AJ846=10,$AJ846=11,$AJ846=18),"①病院一般",IF($AJ846=41,"②病院短期","対象外")),IF($AH846=5,IF($AJ846=30,"③特定消防","対象外"),IF(OR($AJ846=10,$AJ846=11,$AJ846=74),"④一般",IF(OR($AJ846=41,$AJ846=47),"⑤短期","対象外"))))))</f>
        <v>⑤短期</v>
      </c>
    </row>
    <row r="847" customFormat="false" ht="15" hidden="false" customHeight="false" outlineLevel="0" collapsed="false">
      <c r="A847" s="0" t="n">
        <v>31</v>
      </c>
      <c r="AA847" s="0" t="n">
        <v>21</v>
      </c>
      <c r="AB847" s="0" t="s">
        <v>496</v>
      </c>
      <c r="AD847" s="0" t="n">
        <v>12</v>
      </c>
      <c r="AE847" s="0" t="s">
        <v>96</v>
      </c>
      <c r="AH847" s="0" t="n">
        <v>11</v>
      </c>
      <c r="AJ847" s="0" t="n">
        <v>41</v>
      </c>
      <c r="AP847" s="0" t="n">
        <v>110000</v>
      </c>
      <c r="DB847" s="0" t="str">
        <f aca="false">IF($A847="","",IF($AE847&amp;""&lt;&gt;設定!$C$4,"対象外",IF($AH847=20,IF(OR($AJ847=10,$AJ847=11,$AJ847=18),"①病院一般",IF($AJ847=41,"②病院短期","対象外")),IF($AH847=5,IF($AJ847=30,"③特定消防","対象外"),IF(OR($AJ847=10,$AJ847=11,$AJ847=74),"④一般",IF(OR($AJ847=41,$AJ847=47),"⑤短期","対象外"))))))</f>
        <v>⑤短期</v>
      </c>
    </row>
    <row r="848" customFormat="false" ht="15" hidden="false" customHeight="false" outlineLevel="0" collapsed="false">
      <c r="A848" s="0" t="n">
        <v>31</v>
      </c>
      <c r="AA848" s="0" t="n">
        <v>21</v>
      </c>
      <c r="AB848" s="0" t="s">
        <v>496</v>
      </c>
      <c r="AD848" s="0" t="n">
        <v>12</v>
      </c>
      <c r="AE848" s="0" t="s">
        <v>96</v>
      </c>
      <c r="AH848" s="0" t="n">
        <v>11</v>
      </c>
      <c r="AJ848" s="0" t="n">
        <v>41</v>
      </c>
      <c r="AP848" s="0" t="n">
        <v>220000</v>
      </c>
      <c r="DB848" s="0" t="str">
        <f aca="false">IF($A848="","",IF($AE848&amp;""&lt;&gt;設定!$C$4,"対象外",IF($AH848=20,IF(OR($AJ848=10,$AJ848=11,$AJ848=18),"①病院一般",IF($AJ848=41,"②病院短期","対象外")),IF($AH848=5,IF($AJ848=30,"③特定消防","対象外"),IF(OR($AJ848=10,$AJ848=11,$AJ848=74),"④一般",IF(OR($AJ848=41,$AJ848=47),"⑤短期","対象外"))))))</f>
        <v>⑤短期</v>
      </c>
    </row>
    <row r="849" customFormat="false" ht="15" hidden="false" customHeight="false" outlineLevel="0" collapsed="false">
      <c r="A849" s="0" t="n">
        <v>31</v>
      </c>
      <c r="AA849" s="0" t="n">
        <v>21</v>
      </c>
      <c r="AB849" s="0" t="s">
        <v>496</v>
      </c>
      <c r="AD849" s="0" t="n">
        <v>12</v>
      </c>
      <c r="AE849" s="0" t="s">
        <v>96</v>
      </c>
      <c r="AH849" s="0" t="n">
        <v>11</v>
      </c>
      <c r="AJ849" s="0" t="n">
        <v>41</v>
      </c>
      <c r="AP849" s="0" t="n">
        <v>190000</v>
      </c>
      <c r="DB849" s="0" t="str">
        <f aca="false">IF($A849="","",IF($AE849&amp;""&lt;&gt;設定!$C$4,"対象外",IF($AH849=20,IF(OR($AJ849=10,$AJ849=11,$AJ849=18),"①病院一般",IF($AJ849=41,"②病院短期","対象外")),IF($AH849=5,IF($AJ849=30,"③特定消防","対象外"),IF(OR($AJ849=10,$AJ849=11,$AJ849=74),"④一般",IF(OR($AJ849=41,$AJ849=47),"⑤短期","対象外"))))))</f>
        <v>⑤短期</v>
      </c>
    </row>
    <row r="850" customFormat="false" ht="15" hidden="false" customHeight="false" outlineLevel="0" collapsed="false">
      <c r="A850" s="0" t="n">
        <v>31</v>
      </c>
      <c r="AA850" s="0" t="n">
        <v>21</v>
      </c>
      <c r="AB850" s="0" t="s">
        <v>528</v>
      </c>
      <c r="AD850" s="0" t="n">
        <v>12</v>
      </c>
      <c r="AE850" s="0" t="s">
        <v>96</v>
      </c>
      <c r="AH850" s="0" t="n">
        <v>1</v>
      </c>
      <c r="AJ850" s="0" t="n">
        <v>41</v>
      </c>
      <c r="AP850" s="0" t="n">
        <v>104000</v>
      </c>
      <c r="DB850" s="0" t="str">
        <f aca="false">IF($A850="","",IF($AE850&amp;""&lt;&gt;設定!$C$4,"対象外",IF($AH850=20,IF(OR($AJ850=10,$AJ850=11,$AJ850=18),"①病院一般",IF($AJ850=41,"②病院短期","対象外")),IF($AH850=5,IF($AJ850=30,"③特定消防","対象外"),IF(OR($AJ850=10,$AJ850=11,$AJ850=74),"④一般",IF(OR($AJ850=41,$AJ850=47),"⑤短期","対象外"))))))</f>
        <v>⑤短期</v>
      </c>
    </row>
    <row r="851" customFormat="false" ht="15" hidden="false" customHeight="false" outlineLevel="0" collapsed="false">
      <c r="A851" s="0" t="n">
        <v>31</v>
      </c>
      <c r="AA851" s="0" t="n">
        <v>21</v>
      </c>
      <c r="AB851" s="0" t="s">
        <v>496</v>
      </c>
      <c r="AD851" s="0" t="n">
        <v>12</v>
      </c>
      <c r="AE851" s="0" t="s">
        <v>294</v>
      </c>
      <c r="AH851" s="0" t="n">
        <v>1</v>
      </c>
      <c r="AJ851" s="0" t="n">
        <v>41</v>
      </c>
      <c r="AP851" s="0" t="n">
        <v>200000</v>
      </c>
      <c r="DB851" s="0" t="str">
        <f aca="false">IF($A851="","",IF($AE851&amp;""&lt;&gt;設定!$C$4,"対象外",IF($AH851=20,IF(OR($AJ851=10,$AJ851=11,$AJ851=18),"①病院一般",IF($AJ851=41,"②病院短期","対象外")),IF($AH851=5,IF($AJ851=30,"③特定消防","対象外"),IF(OR($AJ851=10,$AJ851=11,$AJ851=74),"④一般",IF(OR($AJ851=41,$AJ851=47),"⑤短期","対象外"))))))</f>
        <v>対象外</v>
      </c>
    </row>
    <row r="852" customFormat="false" ht="15" hidden="false" customHeight="false" outlineLevel="0" collapsed="false">
      <c r="A852" s="0" t="n">
        <v>31</v>
      </c>
      <c r="AA852" s="0" t="n">
        <v>21</v>
      </c>
      <c r="AB852" s="0" t="s">
        <v>496</v>
      </c>
      <c r="AD852" s="0" t="n">
        <v>12</v>
      </c>
      <c r="AE852" s="0" t="s">
        <v>96</v>
      </c>
      <c r="AH852" s="0" t="n">
        <v>20</v>
      </c>
      <c r="AJ852" s="0" t="n">
        <v>41</v>
      </c>
      <c r="AP852" s="0" t="n">
        <v>240000</v>
      </c>
      <c r="DB852" s="0" t="str">
        <f aca="false">IF($A852="","",IF($AE852&amp;""&lt;&gt;設定!$C$4,"対象外",IF($AH852=20,IF(OR($AJ852=10,$AJ852=11,$AJ852=18),"①病院一般",IF($AJ852=41,"②病院短期","対象外")),IF($AH852=5,IF($AJ852=30,"③特定消防","対象外"),IF(OR($AJ852=10,$AJ852=11,$AJ852=74),"④一般",IF(OR($AJ852=41,$AJ852=47),"⑤短期","対象外"))))))</f>
        <v>②病院短期</v>
      </c>
    </row>
    <row r="853" customFormat="false" ht="15" hidden="false" customHeight="false" outlineLevel="0" collapsed="false">
      <c r="A853" s="0" t="n">
        <v>31</v>
      </c>
      <c r="AA853" s="0" t="n">
        <v>21</v>
      </c>
      <c r="AB853" s="0" t="s">
        <v>96</v>
      </c>
      <c r="AD853" s="0" t="n">
        <v>12</v>
      </c>
      <c r="AE853" s="0" t="s">
        <v>296</v>
      </c>
      <c r="AH853" s="0" t="n">
        <v>1</v>
      </c>
      <c r="AJ853" s="0" t="n">
        <v>41</v>
      </c>
      <c r="AP853" s="0" t="n">
        <v>190000</v>
      </c>
      <c r="DB853" s="0" t="str">
        <f aca="false">IF($A853="","",IF($AE853&amp;""&lt;&gt;設定!$C$4,"対象外",IF($AH853=20,IF(OR($AJ853=10,$AJ853=11,$AJ853=18),"①病院一般",IF($AJ853=41,"②病院短期","対象外")),IF($AH853=5,IF($AJ853=30,"③特定消防","対象外"),IF(OR($AJ853=10,$AJ853=11,$AJ853=74),"④一般",IF(OR($AJ853=41,$AJ853=47),"⑤短期","対象外"))))))</f>
        <v>対象外</v>
      </c>
    </row>
    <row r="854" customFormat="false" ht="15" hidden="false" customHeight="false" outlineLevel="0" collapsed="false">
      <c r="A854" s="0" t="n">
        <v>31</v>
      </c>
      <c r="AA854" s="0" t="n">
        <v>21</v>
      </c>
      <c r="AB854" s="0" t="s">
        <v>496</v>
      </c>
      <c r="AD854" s="0" t="n">
        <v>11</v>
      </c>
      <c r="AE854" s="0" t="s">
        <v>96</v>
      </c>
      <c r="AH854" s="0" t="n">
        <v>1</v>
      </c>
      <c r="AJ854" s="0" t="n">
        <v>41</v>
      </c>
      <c r="AP854" s="0" t="n">
        <v>126000</v>
      </c>
      <c r="DB854" s="0" t="str">
        <f aca="false">IF($A854="","",IF($AE854&amp;""&lt;&gt;設定!$C$4,"対象外",IF($AH854=20,IF(OR($AJ854=10,$AJ854=11,$AJ854=18),"①病院一般",IF($AJ854=41,"②病院短期","対象外")),IF($AH854=5,IF($AJ854=30,"③特定消防","対象外"),IF(OR($AJ854=10,$AJ854=11,$AJ854=74),"④一般",IF(OR($AJ854=41,$AJ854=47),"⑤短期","対象外"))))))</f>
        <v>⑤短期</v>
      </c>
    </row>
    <row r="855" customFormat="false" ht="15" hidden="false" customHeight="false" outlineLevel="0" collapsed="false">
      <c r="A855" s="0" t="n">
        <v>31</v>
      </c>
      <c r="AA855" s="0" t="n">
        <v>21</v>
      </c>
      <c r="AB855" s="0" t="s">
        <v>496</v>
      </c>
      <c r="AD855" s="0" t="n">
        <v>12</v>
      </c>
      <c r="AE855" s="0" t="s">
        <v>96</v>
      </c>
      <c r="AH855" s="0" t="n">
        <v>1</v>
      </c>
      <c r="AJ855" s="0" t="n">
        <v>41</v>
      </c>
      <c r="AP855" s="0" t="n">
        <v>134000</v>
      </c>
      <c r="DB855" s="0" t="str">
        <f aca="false">IF($A855="","",IF($AE855&amp;""&lt;&gt;設定!$C$4,"対象外",IF($AH855=20,IF(OR($AJ855=10,$AJ855=11,$AJ855=18),"①病院一般",IF($AJ855=41,"②病院短期","対象外")),IF($AH855=5,IF($AJ855=30,"③特定消防","対象外"),IF(OR($AJ855=10,$AJ855=11,$AJ855=74),"④一般",IF(OR($AJ855=41,$AJ855=47),"⑤短期","対象外"))))))</f>
        <v>⑤短期</v>
      </c>
    </row>
    <row r="856" customFormat="false" ht="15" hidden="false" customHeight="false" outlineLevel="0" collapsed="false">
      <c r="A856" s="0" t="n">
        <v>31</v>
      </c>
      <c r="AA856" s="0" t="n">
        <v>21</v>
      </c>
      <c r="AB856" s="0" t="s">
        <v>496</v>
      </c>
      <c r="AD856" s="0" t="n">
        <v>12</v>
      </c>
      <c r="AE856" s="0" t="s">
        <v>96</v>
      </c>
      <c r="AH856" s="0" t="n">
        <v>1</v>
      </c>
      <c r="AJ856" s="0" t="n">
        <v>41</v>
      </c>
      <c r="AP856" s="0" t="n">
        <v>126000</v>
      </c>
      <c r="DB856" s="0" t="str">
        <f aca="false">IF($A856="","",IF($AE856&amp;""&lt;&gt;設定!$C$4,"対象外",IF($AH856=20,IF(OR($AJ856=10,$AJ856=11,$AJ856=18),"①病院一般",IF($AJ856=41,"②病院短期","対象外")),IF($AH856=5,IF($AJ856=30,"③特定消防","対象外"),IF(OR($AJ856=10,$AJ856=11,$AJ856=74),"④一般",IF(OR($AJ856=41,$AJ856=47),"⑤短期","対象外"))))))</f>
        <v>⑤短期</v>
      </c>
    </row>
    <row r="857" customFormat="false" ht="15" hidden="false" customHeight="false" outlineLevel="0" collapsed="false">
      <c r="A857" s="0" t="n">
        <v>31</v>
      </c>
      <c r="AA857" s="0" t="n">
        <v>21</v>
      </c>
      <c r="AB857" s="0" t="s">
        <v>519</v>
      </c>
      <c r="AD857" s="0" t="n">
        <v>12</v>
      </c>
      <c r="AE857" s="0" t="s">
        <v>298</v>
      </c>
      <c r="AH857" s="0" t="n">
        <v>1</v>
      </c>
      <c r="AJ857" s="0" t="n">
        <v>41</v>
      </c>
      <c r="AP857" s="0" t="n">
        <v>118000</v>
      </c>
      <c r="DB857" s="0" t="str">
        <f aca="false">IF($A857="","",IF($AE857&amp;""&lt;&gt;設定!$C$4,"対象外",IF($AH857=20,IF(OR($AJ857=10,$AJ857=11,$AJ857=18),"①病院一般",IF($AJ857=41,"②病院短期","対象外")),IF($AH857=5,IF($AJ857=30,"③特定消防","対象外"),IF(OR($AJ857=10,$AJ857=11,$AJ857=74),"④一般",IF(OR($AJ857=41,$AJ857=47),"⑤短期","対象外"))))))</f>
        <v>対象外</v>
      </c>
    </row>
    <row r="858" customFormat="false" ht="15" hidden="false" customHeight="false" outlineLevel="0" collapsed="false">
      <c r="A858" s="0" t="n">
        <v>31</v>
      </c>
      <c r="AA858" s="0" t="n">
        <v>21</v>
      </c>
      <c r="AB858" s="0" t="s">
        <v>496</v>
      </c>
      <c r="AD858" s="0" t="n">
        <v>12</v>
      </c>
      <c r="AE858" s="0" t="s">
        <v>96</v>
      </c>
      <c r="AH858" s="0" t="n">
        <v>1</v>
      </c>
      <c r="AJ858" s="0" t="n">
        <v>41</v>
      </c>
      <c r="AP858" s="0" t="n">
        <v>190000</v>
      </c>
      <c r="DB858" s="0" t="str">
        <f aca="false">IF($A858="","",IF($AE858&amp;""&lt;&gt;設定!$C$4,"対象外",IF($AH858=20,IF(OR($AJ858=10,$AJ858=11,$AJ858=18),"①病院一般",IF($AJ858=41,"②病院短期","対象外")),IF($AH858=5,IF($AJ858=30,"③特定消防","対象外"),IF(OR($AJ858=10,$AJ858=11,$AJ858=74),"④一般",IF(OR($AJ858=41,$AJ858=47),"⑤短期","対象外"))))))</f>
        <v>⑤短期</v>
      </c>
    </row>
    <row r="859" customFormat="false" ht="15" hidden="false" customHeight="false" outlineLevel="0" collapsed="false">
      <c r="A859" s="0" t="n">
        <v>31</v>
      </c>
      <c r="AA859" s="0" t="n">
        <v>21</v>
      </c>
      <c r="AB859" s="0" t="s">
        <v>496</v>
      </c>
      <c r="AD859" s="0" t="n">
        <v>12</v>
      </c>
      <c r="AE859" s="0" t="s">
        <v>96</v>
      </c>
      <c r="AH859" s="0" t="n">
        <v>1</v>
      </c>
      <c r="AJ859" s="0" t="n">
        <v>41</v>
      </c>
      <c r="AP859" s="0" t="n">
        <v>200000</v>
      </c>
      <c r="DB859" s="0" t="str">
        <f aca="false">IF($A859="","",IF($AE859&amp;""&lt;&gt;設定!$C$4,"対象外",IF($AH859=20,IF(OR($AJ859=10,$AJ859=11,$AJ859=18),"①病院一般",IF($AJ859=41,"②病院短期","対象外")),IF($AH859=5,IF($AJ859=30,"③特定消防","対象外"),IF(OR($AJ859=10,$AJ859=11,$AJ859=74),"④一般",IF(OR($AJ859=41,$AJ859=47),"⑤短期","対象外"))))))</f>
        <v>⑤短期</v>
      </c>
    </row>
    <row r="860" customFormat="false" ht="15" hidden="false" customHeight="false" outlineLevel="0" collapsed="false">
      <c r="A860" s="0" t="n">
        <v>31</v>
      </c>
      <c r="AA860" s="0" t="n">
        <v>21</v>
      </c>
      <c r="AB860" s="0" t="s">
        <v>496</v>
      </c>
      <c r="AD860" s="0" t="n">
        <v>12</v>
      </c>
      <c r="AE860" s="0" t="s">
        <v>301</v>
      </c>
      <c r="AH860" s="0" t="n">
        <v>1</v>
      </c>
      <c r="AJ860" s="0" t="n">
        <v>41</v>
      </c>
      <c r="AP860" s="0" t="n">
        <v>142000</v>
      </c>
      <c r="DB860" s="0" t="str">
        <f aca="false">IF($A860="","",IF($AE860&amp;""&lt;&gt;設定!$C$4,"対象外",IF($AH860=20,IF(OR($AJ860=10,$AJ860=11,$AJ860=18),"①病院一般",IF($AJ860=41,"②病院短期","対象外")),IF($AH860=5,IF($AJ860=30,"③特定消防","対象外"),IF(OR($AJ860=10,$AJ860=11,$AJ860=74),"④一般",IF(OR($AJ860=41,$AJ860=47),"⑤短期","対象外"))))))</f>
        <v>対象外</v>
      </c>
    </row>
    <row r="861" customFormat="false" ht="15" hidden="false" customHeight="false" outlineLevel="0" collapsed="false">
      <c r="A861" s="0" t="n">
        <v>31</v>
      </c>
      <c r="AA861" s="0" t="n">
        <v>21</v>
      </c>
      <c r="AB861" s="0" t="s">
        <v>529</v>
      </c>
      <c r="AD861" s="0" t="n">
        <v>12</v>
      </c>
      <c r="AE861" s="0" t="s">
        <v>96</v>
      </c>
      <c r="AH861" s="0" t="n">
        <v>1</v>
      </c>
      <c r="AJ861" s="0" t="n">
        <v>41</v>
      </c>
      <c r="AP861" s="0" t="n">
        <v>134000</v>
      </c>
      <c r="DB861" s="0" t="str">
        <f aca="false">IF($A861="","",IF($AE861&amp;""&lt;&gt;設定!$C$4,"対象外",IF($AH861=20,IF(OR($AJ861=10,$AJ861=11,$AJ861=18),"①病院一般",IF($AJ861=41,"②病院短期","対象外")),IF($AH861=5,IF($AJ861=30,"③特定消防","対象外"),IF(OR($AJ861=10,$AJ861=11,$AJ861=74),"④一般",IF(OR($AJ861=41,$AJ861=47),"⑤短期","対象外"))))))</f>
        <v>⑤短期</v>
      </c>
    </row>
    <row r="862" customFormat="false" ht="15" hidden="false" customHeight="false" outlineLevel="0" collapsed="false">
      <c r="A862" s="0" t="n">
        <v>31</v>
      </c>
      <c r="AA862" s="0" t="n">
        <v>24</v>
      </c>
      <c r="AB862" s="0" t="s">
        <v>530</v>
      </c>
      <c r="AD862" s="0" t="n">
        <v>12</v>
      </c>
      <c r="AE862" s="0" t="s">
        <v>303</v>
      </c>
      <c r="AH862" s="0" t="n">
        <v>1</v>
      </c>
      <c r="AJ862" s="0" t="n">
        <v>41</v>
      </c>
      <c r="AP862" s="0" t="n">
        <v>142000</v>
      </c>
      <c r="DB862" s="0" t="str">
        <f aca="false">IF($A862="","",IF($AE862&amp;""&lt;&gt;設定!$C$4,"対象外",IF($AH862=20,IF(OR($AJ862=10,$AJ862=11,$AJ862=18),"①病院一般",IF($AJ862=41,"②病院短期","対象外")),IF($AH862=5,IF($AJ862=30,"③特定消防","対象外"),IF(OR($AJ862=10,$AJ862=11,$AJ862=74),"④一般",IF(OR($AJ862=41,$AJ862=47),"⑤短期","対象外"))))))</f>
        <v>対象外</v>
      </c>
    </row>
    <row r="863" customFormat="false" ht="15" hidden="false" customHeight="false" outlineLevel="0" collapsed="false">
      <c r="A863" s="0" t="n">
        <v>31</v>
      </c>
      <c r="AA863" s="0" t="n">
        <v>21</v>
      </c>
      <c r="AB863" s="0" t="s">
        <v>504</v>
      </c>
      <c r="AD863" s="0" t="n">
        <v>12</v>
      </c>
      <c r="AE863" s="0" t="s">
        <v>96</v>
      </c>
      <c r="AH863" s="0" t="n">
        <v>1</v>
      </c>
      <c r="AJ863" s="0" t="n">
        <v>41</v>
      </c>
      <c r="AP863" s="0" t="n">
        <v>134000</v>
      </c>
      <c r="DB863" s="0" t="str">
        <f aca="false">IF($A863="","",IF($AE863&amp;""&lt;&gt;設定!$C$4,"対象外",IF($AH863=20,IF(OR($AJ863=10,$AJ863=11,$AJ863=18),"①病院一般",IF($AJ863=41,"②病院短期","対象外")),IF($AH863=5,IF($AJ863=30,"③特定消防","対象外"),IF(OR($AJ863=10,$AJ863=11,$AJ863=74),"④一般",IF(OR($AJ863=41,$AJ863=47),"⑤短期","対象外"))))))</f>
        <v>⑤短期</v>
      </c>
    </row>
    <row r="864" customFormat="false" ht="15" hidden="false" customHeight="false" outlineLevel="0" collapsed="false">
      <c r="A864" s="0" t="n">
        <v>31</v>
      </c>
      <c r="AA864" s="0" t="n">
        <v>24</v>
      </c>
      <c r="AB864" s="0" t="s">
        <v>518</v>
      </c>
      <c r="AD864" s="0" t="n">
        <v>12</v>
      </c>
      <c r="AE864" s="0" t="s">
        <v>96</v>
      </c>
      <c r="AH864" s="0" t="n">
        <v>1</v>
      </c>
      <c r="AJ864" s="0" t="n">
        <v>41</v>
      </c>
      <c r="AP864" s="0" t="n">
        <v>110000</v>
      </c>
      <c r="DB864" s="0" t="str">
        <f aca="false">IF($A864="","",IF($AE864&amp;""&lt;&gt;設定!$C$4,"対象外",IF($AH864=20,IF(OR($AJ864=10,$AJ864=11,$AJ864=18),"①病院一般",IF($AJ864=41,"②病院短期","対象外")),IF($AH864=5,IF($AJ864=30,"③特定消防","対象外"),IF(OR($AJ864=10,$AJ864=11,$AJ864=74),"④一般",IF(OR($AJ864=41,$AJ864=47),"⑤短期","対象外"))))))</f>
        <v>⑤短期</v>
      </c>
    </row>
    <row r="865" customFormat="false" ht="15" hidden="false" customHeight="false" outlineLevel="0" collapsed="false">
      <c r="A865" s="0" t="n">
        <v>31</v>
      </c>
      <c r="AA865" s="0" t="n">
        <v>21</v>
      </c>
      <c r="AB865" s="0" t="s">
        <v>500</v>
      </c>
      <c r="AD865" s="0" t="n">
        <v>12</v>
      </c>
      <c r="AE865" s="0" t="s">
        <v>96</v>
      </c>
      <c r="AH865" s="0" t="n">
        <v>20</v>
      </c>
      <c r="AJ865" s="0" t="n">
        <v>41</v>
      </c>
      <c r="AP865" s="0" t="n">
        <v>180000</v>
      </c>
      <c r="DB865" s="0" t="str">
        <f aca="false">IF($A865="","",IF($AE865&amp;""&lt;&gt;設定!$C$4,"対象外",IF($AH865=20,IF(OR($AJ865=10,$AJ865=11,$AJ865=18),"①病院一般",IF($AJ865=41,"②病院短期","対象外")),IF($AH865=5,IF($AJ865=30,"③特定消防","対象外"),IF(OR($AJ865=10,$AJ865=11,$AJ865=74),"④一般",IF(OR($AJ865=41,$AJ865=47),"⑤短期","対象外"))))))</f>
        <v>②病院短期</v>
      </c>
    </row>
    <row r="866" customFormat="false" ht="15" hidden="false" customHeight="false" outlineLevel="0" collapsed="false">
      <c r="A866" s="0" t="n">
        <v>31</v>
      </c>
      <c r="AA866" s="0" t="n">
        <v>21</v>
      </c>
      <c r="AB866" s="0" t="s">
        <v>496</v>
      </c>
      <c r="AD866" s="0" t="n">
        <v>12</v>
      </c>
      <c r="AE866" s="0" t="s">
        <v>96</v>
      </c>
      <c r="AH866" s="0" t="n">
        <v>20</v>
      </c>
      <c r="AJ866" s="0" t="n">
        <v>41</v>
      </c>
      <c r="AP866" s="0" t="n">
        <v>170000</v>
      </c>
      <c r="DB866" s="0" t="str">
        <f aca="false">IF($A866="","",IF($AE866&amp;""&lt;&gt;設定!$C$4,"対象外",IF($AH866=20,IF(OR($AJ866=10,$AJ866=11,$AJ866=18),"①病院一般",IF($AJ866=41,"②病院短期","対象外")),IF($AH866=5,IF($AJ866=30,"③特定消防","対象外"),IF(OR($AJ866=10,$AJ866=11,$AJ866=74),"④一般",IF(OR($AJ866=41,$AJ866=47),"⑤短期","対象外"))))))</f>
        <v>②病院短期</v>
      </c>
    </row>
    <row r="867" customFormat="false" ht="15" hidden="false" customHeight="false" outlineLevel="0" collapsed="false">
      <c r="A867" s="0" t="n">
        <v>31</v>
      </c>
      <c r="AA867" s="0" t="n">
        <v>21</v>
      </c>
      <c r="AB867" s="0" t="s">
        <v>496</v>
      </c>
      <c r="AD867" s="0" t="n">
        <v>12</v>
      </c>
      <c r="AE867" s="0" t="s">
        <v>480</v>
      </c>
      <c r="AH867" s="0" t="n">
        <v>20</v>
      </c>
      <c r="AJ867" s="0" t="n">
        <v>41</v>
      </c>
      <c r="AP867" s="0" t="n">
        <v>190000</v>
      </c>
      <c r="DB867" s="0" t="str">
        <f aca="false">IF($A867="","",IF($AE867&amp;""&lt;&gt;設定!$C$4,"対象外",IF($AH867=20,IF(OR($AJ867=10,$AJ867=11,$AJ867=18),"①病院一般",IF($AJ867=41,"②病院短期","対象外")),IF($AH867=5,IF($AJ867=30,"③特定消防","対象外"),IF(OR($AJ867=10,$AJ867=11,$AJ867=74),"④一般",IF(OR($AJ867=41,$AJ867=47),"⑤短期","対象外"))))))</f>
        <v>対象外</v>
      </c>
    </row>
    <row r="868" customFormat="false" ht="15" hidden="false" customHeight="false" outlineLevel="0" collapsed="false">
      <c r="A868" s="0" t="n">
        <v>31</v>
      </c>
      <c r="AA868" s="0" t="n">
        <v>21</v>
      </c>
      <c r="AB868" s="0" t="s">
        <v>496</v>
      </c>
      <c r="AD868" s="0" t="n">
        <v>12</v>
      </c>
      <c r="AE868" s="0" t="s">
        <v>480</v>
      </c>
      <c r="AH868" s="0" t="n">
        <v>20</v>
      </c>
      <c r="AJ868" s="0" t="n">
        <v>41</v>
      </c>
      <c r="AP868" s="0" t="n">
        <v>190000</v>
      </c>
      <c r="DB868" s="0" t="str">
        <f aca="false">IF($A868="","",IF($AE868&amp;""&lt;&gt;設定!$C$4,"対象外",IF($AH868=20,IF(OR($AJ868=10,$AJ868=11,$AJ868=18),"①病院一般",IF($AJ868=41,"②病院短期","対象外")),IF($AH868=5,IF($AJ868=30,"③特定消防","対象外"),IF(OR($AJ868=10,$AJ868=11,$AJ868=74),"④一般",IF(OR($AJ868=41,$AJ868=47),"⑤短期","対象外"))))))</f>
        <v>対象外</v>
      </c>
    </row>
    <row r="869" customFormat="false" ht="15" hidden="false" customHeight="false" outlineLevel="0" collapsed="false">
      <c r="A869" s="0" t="n">
        <v>31</v>
      </c>
      <c r="AA869" s="0" t="n">
        <v>21</v>
      </c>
      <c r="AB869" s="0" t="s">
        <v>496</v>
      </c>
      <c r="AD869" s="0" t="n">
        <v>12</v>
      </c>
      <c r="AE869" s="0" t="s">
        <v>96</v>
      </c>
      <c r="AH869" s="0" t="n">
        <v>20</v>
      </c>
      <c r="AJ869" s="0" t="n">
        <v>41</v>
      </c>
      <c r="AP869" s="0" t="n">
        <v>170000</v>
      </c>
      <c r="DB869" s="0" t="str">
        <f aca="false">IF($A869="","",IF($AE869&amp;""&lt;&gt;設定!$C$4,"対象外",IF($AH869=20,IF(OR($AJ869=10,$AJ869=11,$AJ869=18),"①病院一般",IF($AJ869=41,"②病院短期","対象外")),IF($AH869=5,IF($AJ869=30,"③特定消防","対象外"),IF(OR($AJ869=10,$AJ869=11,$AJ869=74),"④一般",IF(OR($AJ869=41,$AJ869=47),"⑤短期","対象外"))))))</f>
        <v>②病院短期</v>
      </c>
    </row>
    <row r="870" customFormat="false" ht="15" hidden="false" customHeight="false" outlineLevel="0" collapsed="false">
      <c r="A870" s="0" t="n">
        <v>31</v>
      </c>
      <c r="AA870" s="0" t="n">
        <v>24</v>
      </c>
      <c r="AB870" s="0" t="s">
        <v>518</v>
      </c>
      <c r="AD870" s="0" t="n">
        <v>12</v>
      </c>
      <c r="AE870" s="0" t="s">
        <v>294</v>
      </c>
      <c r="AH870" s="0" t="n">
        <v>1</v>
      </c>
      <c r="AJ870" s="0" t="n">
        <v>41</v>
      </c>
      <c r="AP870" s="0" t="n">
        <v>134000</v>
      </c>
      <c r="DB870" s="0" t="str">
        <f aca="false">IF($A870="","",IF($AE870&amp;""&lt;&gt;設定!$C$4,"対象外",IF($AH870=20,IF(OR($AJ870=10,$AJ870=11,$AJ870=18),"①病院一般",IF($AJ870=41,"②病院短期","対象外")),IF($AH870=5,IF($AJ870=30,"③特定消防","対象外"),IF(OR($AJ870=10,$AJ870=11,$AJ870=74),"④一般",IF(OR($AJ870=41,$AJ870=47),"⑤短期","対象外"))))))</f>
        <v>対象外</v>
      </c>
    </row>
    <row r="871" customFormat="false" ht="15" hidden="false" customHeight="false" outlineLevel="0" collapsed="false">
      <c r="A871" s="0" t="n">
        <v>31</v>
      </c>
      <c r="AA871" s="0" t="n">
        <v>24</v>
      </c>
      <c r="AB871" s="0" t="s">
        <v>506</v>
      </c>
      <c r="AD871" s="0" t="n">
        <v>12</v>
      </c>
      <c r="AE871" s="0" t="s">
        <v>96</v>
      </c>
      <c r="AH871" s="0" t="n">
        <v>1</v>
      </c>
      <c r="AJ871" s="0" t="n">
        <v>41</v>
      </c>
      <c r="AP871" s="0" t="n">
        <v>134000</v>
      </c>
      <c r="DB871" s="0" t="str">
        <f aca="false">IF($A871="","",IF($AE871&amp;""&lt;&gt;設定!$C$4,"対象外",IF($AH871=20,IF(OR($AJ871=10,$AJ871=11,$AJ871=18),"①病院一般",IF($AJ871=41,"②病院短期","対象外")),IF($AH871=5,IF($AJ871=30,"③特定消防","対象外"),IF(OR($AJ871=10,$AJ871=11,$AJ871=74),"④一般",IF(OR($AJ871=41,$AJ871=47),"⑤短期","対象外"))))))</f>
        <v>⑤短期</v>
      </c>
    </row>
    <row r="872" customFormat="false" ht="15" hidden="false" customHeight="false" outlineLevel="0" collapsed="false">
      <c r="A872" s="0" t="n">
        <v>31</v>
      </c>
      <c r="AA872" s="0" t="n">
        <v>24</v>
      </c>
      <c r="AB872" s="0" t="s">
        <v>519</v>
      </c>
      <c r="AD872" s="0" t="n">
        <v>12</v>
      </c>
      <c r="AE872" s="0" t="s">
        <v>96</v>
      </c>
      <c r="AH872" s="0" t="n">
        <v>1</v>
      </c>
      <c r="AJ872" s="0" t="n">
        <v>41</v>
      </c>
      <c r="AP872" s="0" t="n">
        <v>134000</v>
      </c>
      <c r="DB872" s="0" t="str">
        <f aca="false">IF($A872="","",IF($AE872&amp;""&lt;&gt;設定!$C$4,"対象外",IF($AH872=20,IF(OR($AJ872=10,$AJ872=11,$AJ872=18),"①病院一般",IF($AJ872=41,"②病院短期","対象外")),IF($AH872=5,IF($AJ872=30,"③特定消防","対象外"),IF(OR($AJ872=10,$AJ872=11,$AJ872=74),"④一般",IF(OR($AJ872=41,$AJ872=47),"⑤短期","対象外"))))))</f>
        <v>⑤短期</v>
      </c>
    </row>
    <row r="873" customFormat="false" ht="15" hidden="false" customHeight="false" outlineLevel="0" collapsed="false">
      <c r="A873" s="0" t="n">
        <v>31</v>
      </c>
      <c r="AA873" s="0" t="n">
        <v>21</v>
      </c>
      <c r="AB873" s="0" t="s">
        <v>531</v>
      </c>
      <c r="AD873" s="0" t="n">
        <v>12</v>
      </c>
      <c r="AE873" s="0" t="s">
        <v>298</v>
      </c>
      <c r="AH873" s="0" t="n">
        <v>1</v>
      </c>
      <c r="AJ873" s="0" t="n">
        <v>41</v>
      </c>
      <c r="AP873" s="0" t="n">
        <v>134000</v>
      </c>
      <c r="DB873" s="0" t="str">
        <f aca="false">IF($A873="","",IF($AE873&amp;""&lt;&gt;設定!$C$4,"対象外",IF($AH873=20,IF(OR($AJ873=10,$AJ873=11,$AJ873=18),"①病院一般",IF($AJ873=41,"②病院短期","対象外")),IF($AH873=5,IF($AJ873=30,"③特定消防","対象外"),IF(OR($AJ873=10,$AJ873=11,$AJ873=74),"④一般",IF(OR($AJ873=41,$AJ873=47),"⑤短期","対象外"))))))</f>
        <v>対象外</v>
      </c>
    </row>
    <row r="874" customFormat="false" ht="15" hidden="false" customHeight="false" outlineLevel="0" collapsed="false">
      <c r="A874" s="0" t="n">
        <v>31</v>
      </c>
      <c r="AA874" s="0" t="n">
        <v>21</v>
      </c>
      <c r="AB874" s="0" t="s">
        <v>96</v>
      </c>
      <c r="AD874" s="0" t="n">
        <v>12</v>
      </c>
      <c r="AE874" s="0" t="s">
        <v>329</v>
      </c>
      <c r="AH874" s="0" t="n">
        <v>1</v>
      </c>
      <c r="AJ874" s="0" t="n">
        <v>41</v>
      </c>
      <c r="AP874" s="0" t="n">
        <v>200000</v>
      </c>
      <c r="DB874" s="0" t="str">
        <f aca="false">IF($A874="","",IF($AE874&amp;""&lt;&gt;設定!$C$4,"対象外",IF($AH874=20,IF(OR($AJ874=10,$AJ874=11,$AJ874=18),"①病院一般",IF($AJ874=41,"②病院短期","対象外")),IF($AH874=5,IF($AJ874=30,"③特定消防","対象外"),IF(OR($AJ874=10,$AJ874=11,$AJ874=74),"④一般",IF(OR($AJ874=41,$AJ874=47),"⑤短期","対象外"))))))</f>
        <v>対象外</v>
      </c>
    </row>
    <row r="875" customFormat="false" ht="15" hidden="false" customHeight="false" outlineLevel="0" collapsed="false">
      <c r="A875" s="0" t="n">
        <v>31</v>
      </c>
      <c r="AA875" s="0" t="n">
        <v>21</v>
      </c>
      <c r="AB875" s="0" t="s">
        <v>496</v>
      </c>
      <c r="AD875" s="0" t="n">
        <v>12</v>
      </c>
      <c r="AE875" s="0" t="s">
        <v>96</v>
      </c>
      <c r="AH875" s="0" t="n">
        <v>11</v>
      </c>
      <c r="AJ875" s="0" t="n">
        <v>41</v>
      </c>
      <c r="AP875" s="0" t="n">
        <v>220000</v>
      </c>
      <c r="DB875" s="0" t="str">
        <f aca="false">IF($A875="","",IF($AE875&amp;""&lt;&gt;設定!$C$4,"対象外",IF($AH875=20,IF(OR($AJ875=10,$AJ875=11,$AJ875=18),"①病院一般",IF($AJ875=41,"②病院短期","対象外")),IF($AH875=5,IF($AJ875=30,"③特定消防","対象外"),IF(OR($AJ875=10,$AJ875=11,$AJ875=74),"④一般",IF(OR($AJ875=41,$AJ875=47),"⑤短期","対象外"))))))</f>
        <v>⑤短期</v>
      </c>
    </row>
    <row r="876" customFormat="false" ht="15" hidden="false" customHeight="false" outlineLevel="0" collapsed="false">
      <c r="A876" s="0" t="n">
        <v>31</v>
      </c>
      <c r="AA876" s="0" t="n">
        <v>21</v>
      </c>
      <c r="AB876" s="0" t="s">
        <v>458</v>
      </c>
      <c r="AD876" s="0" t="n">
        <v>12</v>
      </c>
      <c r="AE876" s="0" t="s">
        <v>96</v>
      </c>
      <c r="AH876" s="0" t="n">
        <v>1</v>
      </c>
      <c r="AJ876" s="0" t="n">
        <v>10</v>
      </c>
      <c r="AP876" s="0" t="n">
        <v>240000</v>
      </c>
      <c r="DB876" s="0" t="str">
        <f aca="false">IF($A876="","",IF($AE876&amp;""&lt;&gt;設定!$C$4,"対象外",IF($AH876=20,IF(OR($AJ876=10,$AJ876=11,$AJ876=18),"①病院一般",IF($AJ876=41,"②病院短期","対象外")),IF($AH876=5,IF($AJ876=30,"③特定消防","対象外"),IF(OR($AJ876=10,$AJ876=11,$AJ876=74),"④一般",IF(OR($AJ876=41,$AJ876=47),"⑤短期","対象外"))))))</f>
        <v>④一般</v>
      </c>
    </row>
    <row r="877" customFormat="false" ht="15" hidden="false" customHeight="false" outlineLevel="0" collapsed="false">
      <c r="A877" s="0" t="n">
        <v>31</v>
      </c>
      <c r="AA877" s="0" t="n">
        <v>21</v>
      </c>
      <c r="AB877" s="0" t="s">
        <v>496</v>
      </c>
      <c r="AD877" s="0" t="n">
        <v>12</v>
      </c>
      <c r="AE877" s="0" t="s">
        <v>96</v>
      </c>
      <c r="AH877" s="0" t="n">
        <v>1</v>
      </c>
      <c r="AJ877" s="0" t="n">
        <v>41</v>
      </c>
      <c r="AP877" s="0" t="n">
        <v>220000</v>
      </c>
      <c r="DB877" s="0" t="str">
        <f aca="false">IF($A877="","",IF($AE877&amp;""&lt;&gt;設定!$C$4,"対象外",IF($AH877=20,IF(OR($AJ877=10,$AJ877=11,$AJ877=18),"①病院一般",IF($AJ877=41,"②病院短期","対象外")),IF($AH877=5,IF($AJ877=30,"③特定消防","対象外"),IF(OR($AJ877=10,$AJ877=11,$AJ877=74),"④一般",IF(OR($AJ877=41,$AJ877=47),"⑤短期","対象外"))))))</f>
        <v>⑤短期</v>
      </c>
    </row>
    <row r="878" customFormat="false" ht="15" hidden="false" customHeight="false" outlineLevel="0" collapsed="false">
      <c r="A878" s="0" t="n">
        <v>31</v>
      </c>
      <c r="AA878" s="0" t="n">
        <v>21</v>
      </c>
      <c r="AB878" s="0" t="s">
        <v>496</v>
      </c>
      <c r="AD878" s="0" t="n">
        <v>12</v>
      </c>
      <c r="AE878" s="0" t="s">
        <v>96</v>
      </c>
      <c r="AH878" s="0" t="n">
        <v>1</v>
      </c>
      <c r="AJ878" s="0" t="n">
        <v>41</v>
      </c>
      <c r="AP878" s="0" t="n">
        <v>190000</v>
      </c>
      <c r="DB878" s="0" t="str">
        <f aca="false">IF($A878="","",IF($AE878&amp;""&lt;&gt;設定!$C$4,"対象外",IF($AH878=20,IF(OR($AJ878=10,$AJ878=11,$AJ878=18),"①病院一般",IF($AJ878=41,"②病院短期","対象外")),IF($AH878=5,IF($AJ878=30,"③特定消防","対象外"),IF(OR($AJ878=10,$AJ878=11,$AJ878=74),"④一般",IF(OR($AJ878=41,$AJ878=47),"⑤短期","対象外"))))))</f>
        <v>⑤短期</v>
      </c>
    </row>
    <row r="879" customFormat="false" ht="15" hidden="false" customHeight="false" outlineLevel="0" collapsed="false">
      <c r="A879" s="0" t="n">
        <v>31</v>
      </c>
      <c r="AA879" s="0" t="n">
        <v>21</v>
      </c>
      <c r="AB879" s="0" t="s">
        <v>477</v>
      </c>
      <c r="AD879" s="0" t="n">
        <v>12</v>
      </c>
      <c r="AE879" s="0" t="s">
        <v>298</v>
      </c>
      <c r="AH879" s="0" t="n">
        <v>1</v>
      </c>
      <c r="AJ879" s="0" t="n">
        <v>41</v>
      </c>
      <c r="AP879" s="0" t="n">
        <v>126000</v>
      </c>
      <c r="DB879" s="0" t="str">
        <f aca="false">IF($A879="","",IF($AE879&amp;""&lt;&gt;設定!$C$4,"対象外",IF($AH879=20,IF(OR($AJ879=10,$AJ879=11,$AJ879=18),"①病院一般",IF($AJ879=41,"②病院短期","対象外")),IF($AH879=5,IF($AJ879=30,"③特定消防","対象外"),IF(OR($AJ879=10,$AJ879=11,$AJ879=74),"④一般",IF(OR($AJ879=41,$AJ879=47),"⑤短期","対象外"))))))</f>
        <v>対象外</v>
      </c>
    </row>
    <row r="880" customFormat="false" ht="15" hidden="false" customHeight="false" outlineLevel="0" collapsed="false">
      <c r="A880" s="0" t="n">
        <v>31</v>
      </c>
      <c r="AA880" s="0" t="n">
        <v>24</v>
      </c>
      <c r="AB880" s="0" t="s">
        <v>96</v>
      </c>
      <c r="AD880" s="0" t="n">
        <v>12</v>
      </c>
      <c r="AE880" s="0" t="s">
        <v>303</v>
      </c>
      <c r="AH880" s="0" t="n">
        <v>1</v>
      </c>
      <c r="AJ880" s="0" t="n">
        <v>41</v>
      </c>
      <c r="AP880" s="0" t="n">
        <v>260000</v>
      </c>
      <c r="DB880" s="0" t="str">
        <f aca="false">IF($A880="","",IF($AE880&amp;""&lt;&gt;設定!$C$4,"対象外",IF($AH880=20,IF(OR($AJ880=10,$AJ880=11,$AJ880=18),"①病院一般",IF($AJ880=41,"②病院短期","対象外")),IF($AH880=5,IF($AJ880=30,"③特定消防","対象外"),IF(OR($AJ880=10,$AJ880=11,$AJ880=74),"④一般",IF(OR($AJ880=41,$AJ880=47),"⑤短期","対象外"))))))</f>
        <v>対象外</v>
      </c>
    </row>
    <row r="881" customFormat="false" ht="15" hidden="false" customHeight="false" outlineLevel="0" collapsed="false">
      <c r="A881" s="0" t="n">
        <v>31</v>
      </c>
      <c r="AA881" s="0" t="n">
        <v>21</v>
      </c>
      <c r="AB881" s="0" t="s">
        <v>496</v>
      </c>
      <c r="AD881" s="0" t="n">
        <v>12</v>
      </c>
      <c r="AE881" s="0" t="s">
        <v>96</v>
      </c>
      <c r="AH881" s="0" t="n">
        <v>1</v>
      </c>
      <c r="AJ881" s="0" t="n">
        <v>41</v>
      </c>
      <c r="AP881" s="0" t="n">
        <v>190000</v>
      </c>
      <c r="DB881" s="0" t="str">
        <f aca="false">IF($A881="","",IF($AE881&amp;""&lt;&gt;設定!$C$4,"対象外",IF($AH881=20,IF(OR($AJ881=10,$AJ881=11,$AJ881=18),"①病院一般",IF($AJ881=41,"②病院短期","対象外")),IF($AH881=5,IF($AJ881=30,"③特定消防","対象外"),IF(OR($AJ881=10,$AJ881=11,$AJ881=74),"④一般",IF(OR($AJ881=41,$AJ881=47),"⑤短期","対象外"))))))</f>
        <v>⑤短期</v>
      </c>
    </row>
    <row r="882" customFormat="false" ht="15" hidden="false" customHeight="false" outlineLevel="0" collapsed="false">
      <c r="A882" s="0" t="n">
        <v>31</v>
      </c>
      <c r="AA882" s="0" t="n">
        <v>21</v>
      </c>
      <c r="AB882" s="0" t="s">
        <v>496</v>
      </c>
      <c r="AD882" s="0" t="n">
        <v>12</v>
      </c>
      <c r="AE882" s="0" t="s">
        <v>532</v>
      </c>
      <c r="AH882" s="0" t="n">
        <v>1</v>
      </c>
      <c r="AJ882" s="0" t="n">
        <v>41</v>
      </c>
      <c r="AP882" s="0" t="n">
        <v>190000</v>
      </c>
      <c r="DB882" s="0" t="str">
        <f aca="false">IF($A882="","",IF($AE882&amp;""&lt;&gt;設定!$C$4,"対象外",IF($AH882=20,IF(OR($AJ882=10,$AJ882=11,$AJ882=18),"①病院一般",IF($AJ882=41,"②病院短期","対象外")),IF($AH882=5,IF($AJ882=30,"③特定消防","対象外"),IF(OR($AJ882=10,$AJ882=11,$AJ882=74),"④一般",IF(OR($AJ882=41,$AJ882=47),"⑤短期","対象外"))))))</f>
        <v>対象外</v>
      </c>
    </row>
    <row r="883" customFormat="false" ht="15" hidden="false" customHeight="false" outlineLevel="0" collapsed="false">
      <c r="A883" s="0" t="n">
        <v>31</v>
      </c>
      <c r="AA883" s="0" t="n">
        <v>21</v>
      </c>
      <c r="AB883" s="0" t="s">
        <v>496</v>
      </c>
      <c r="AD883" s="0" t="n">
        <v>12</v>
      </c>
      <c r="AE883" s="0" t="s">
        <v>96</v>
      </c>
      <c r="AH883" s="0" t="n">
        <v>11</v>
      </c>
      <c r="AJ883" s="0" t="n">
        <v>41</v>
      </c>
      <c r="AP883" s="0" t="n">
        <v>142000</v>
      </c>
      <c r="DB883" s="0" t="str">
        <f aca="false">IF($A883="","",IF($AE883&amp;""&lt;&gt;設定!$C$4,"対象外",IF($AH883=20,IF(OR($AJ883=10,$AJ883=11,$AJ883=18),"①病院一般",IF($AJ883=41,"②病院短期","対象外")),IF($AH883=5,IF($AJ883=30,"③特定消防","対象外"),IF(OR($AJ883=10,$AJ883=11,$AJ883=74),"④一般",IF(OR($AJ883=41,$AJ883=47),"⑤短期","対象外"))))))</f>
        <v>⑤短期</v>
      </c>
    </row>
    <row r="884" customFormat="false" ht="15" hidden="false" customHeight="false" outlineLevel="0" collapsed="false">
      <c r="A884" s="0" t="n">
        <v>31</v>
      </c>
      <c r="AA884" s="0" t="n">
        <v>21</v>
      </c>
      <c r="AB884" s="0" t="s">
        <v>296</v>
      </c>
      <c r="AD884" s="0" t="n">
        <v>12</v>
      </c>
      <c r="AE884" s="0" t="s">
        <v>303</v>
      </c>
      <c r="AH884" s="0" t="n">
        <v>1</v>
      </c>
      <c r="AJ884" s="0" t="n">
        <v>41</v>
      </c>
      <c r="AP884" s="0" t="n">
        <v>126000</v>
      </c>
      <c r="DB884" s="0" t="str">
        <f aca="false">IF($A884="","",IF($AE884&amp;""&lt;&gt;設定!$C$4,"対象外",IF($AH884=20,IF(OR($AJ884=10,$AJ884=11,$AJ884=18),"①病院一般",IF($AJ884=41,"②病院短期","対象外")),IF($AH884=5,IF($AJ884=30,"③特定消防","対象外"),IF(OR($AJ884=10,$AJ884=11,$AJ884=74),"④一般",IF(OR($AJ884=41,$AJ884=47),"⑤短期","対象外"))))))</f>
        <v>対象外</v>
      </c>
    </row>
    <row r="885" customFormat="false" ht="15" hidden="false" customHeight="false" outlineLevel="0" collapsed="false">
      <c r="A885" s="0" t="n">
        <v>31</v>
      </c>
      <c r="AA885" s="0" t="n">
        <v>21</v>
      </c>
      <c r="AB885" s="0" t="s">
        <v>499</v>
      </c>
      <c r="AD885" s="0" t="n">
        <v>12</v>
      </c>
      <c r="AE885" s="0" t="s">
        <v>533</v>
      </c>
      <c r="AH885" s="0" t="n">
        <v>1</v>
      </c>
      <c r="AJ885" s="0" t="n">
        <v>41</v>
      </c>
      <c r="AP885" s="0" t="n">
        <v>118000</v>
      </c>
      <c r="DB885" s="0" t="str">
        <f aca="false">IF($A885="","",IF($AE885&amp;""&lt;&gt;設定!$C$4,"対象外",IF($AH885=20,IF(OR($AJ885=10,$AJ885=11,$AJ885=18),"①病院一般",IF($AJ885=41,"②病院短期","対象外")),IF($AH885=5,IF($AJ885=30,"③特定消防","対象外"),IF(OR($AJ885=10,$AJ885=11,$AJ885=74),"④一般",IF(OR($AJ885=41,$AJ885=47),"⑤短期","対象外"))))))</f>
        <v>対象外</v>
      </c>
    </row>
    <row r="886" customFormat="false" ht="15" hidden="false" customHeight="false" outlineLevel="0" collapsed="false">
      <c r="A886" s="0" t="n">
        <v>31</v>
      </c>
      <c r="AA886" s="0" t="n">
        <v>21</v>
      </c>
      <c r="AB886" s="0" t="s">
        <v>496</v>
      </c>
      <c r="AD886" s="0" t="n">
        <v>12</v>
      </c>
      <c r="AE886" s="0" t="s">
        <v>294</v>
      </c>
      <c r="AH886" s="0" t="n">
        <v>20</v>
      </c>
      <c r="AJ886" s="0" t="n">
        <v>41</v>
      </c>
      <c r="AP886" s="0" t="n">
        <v>200000</v>
      </c>
      <c r="DB886" s="0" t="str">
        <f aca="false">IF($A886="","",IF($AE886&amp;""&lt;&gt;設定!$C$4,"対象外",IF($AH886=20,IF(OR($AJ886=10,$AJ886=11,$AJ886=18),"①病院一般",IF($AJ886=41,"②病院短期","対象外")),IF($AH886=5,IF($AJ886=30,"③特定消防","対象外"),IF(OR($AJ886=10,$AJ886=11,$AJ886=74),"④一般",IF(OR($AJ886=41,$AJ886=47),"⑤短期","対象外"))))))</f>
        <v>対象外</v>
      </c>
    </row>
    <row r="887" customFormat="false" ht="15" hidden="false" customHeight="false" outlineLevel="0" collapsed="false">
      <c r="A887" s="0" t="n">
        <v>31</v>
      </c>
      <c r="AA887" s="0" t="n">
        <v>21</v>
      </c>
      <c r="AB887" s="0" t="s">
        <v>496</v>
      </c>
      <c r="AD887" s="0" t="n">
        <v>12</v>
      </c>
      <c r="AE887" s="0" t="s">
        <v>96</v>
      </c>
      <c r="AH887" s="0" t="n">
        <v>1</v>
      </c>
      <c r="AJ887" s="0" t="n">
        <v>41</v>
      </c>
      <c r="AP887" s="0" t="n">
        <v>126000</v>
      </c>
      <c r="DB887" s="0" t="str">
        <f aca="false">IF($A887="","",IF($AE887&amp;""&lt;&gt;設定!$C$4,"対象外",IF($AH887=20,IF(OR($AJ887=10,$AJ887=11,$AJ887=18),"①病院一般",IF($AJ887=41,"②病院短期","対象外")),IF($AH887=5,IF($AJ887=30,"③特定消防","対象外"),IF(OR($AJ887=10,$AJ887=11,$AJ887=74),"④一般",IF(OR($AJ887=41,$AJ887=47),"⑤短期","対象外"))))))</f>
        <v>⑤短期</v>
      </c>
    </row>
    <row r="888" customFormat="false" ht="15" hidden="false" customHeight="false" outlineLevel="0" collapsed="false">
      <c r="A888" s="0" t="n">
        <v>31</v>
      </c>
      <c r="AA888" s="0" t="n">
        <v>21</v>
      </c>
      <c r="AB888" s="0" t="s">
        <v>496</v>
      </c>
      <c r="AD888" s="0" t="n">
        <v>12</v>
      </c>
      <c r="AE888" s="0" t="s">
        <v>96</v>
      </c>
      <c r="AH888" s="0" t="n">
        <v>1</v>
      </c>
      <c r="AJ888" s="0" t="n">
        <v>41</v>
      </c>
      <c r="AP888" s="0" t="n">
        <v>118000</v>
      </c>
      <c r="DB888" s="0" t="str">
        <f aca="false">IF($A888="","",IF($AE888&amp;""&lt;&gt;設定!$C$4,"対象外",IF($AH888=20,IF(OR($AJ888=10,$AJ888=11,$AJ888=18),"①病院一般",IF($AJ888=41,"②病院短期","対象外")),IF($AH888=5,IF($AJ888=30,"③特定消防","対象外"),IF(OR($AJ888=10,$AJ888=11,$AJ888=74),"④一般",IF(OR($AJ888=41,$AJ888=47),"⑤短期","対象外"))))))</f>
        <v>⑤短期</v>
      </c>
    </row>
    <row r="889" customFormat="false" ht="15" hidden="false" customHeight="false" outlineLevel="0" collapsed="false">
      <c r="A889" s="0" t="n">
        <v>31</v>
      </c>
      <c r="AA889" s="0" t="n">
        <v>21</v>
      </c>
      <c r="AB889" s="0" t="s">
        <v>496</v>
      </c>
      <c r="AD889" s="0" t="n">
        <v>12</v>
      </c>
      <c r="AE889" s="0" t="s">
        <v>96</v>
      </c>
      <c r="AH889" s="0" t="n">
        <v>1</v>
      </c>
      <c r="AJ889" s="0" t="n">
        <v>41</v>
      </c>
      <c r="AP889" s="0" t="n">
        <v>200000</v>
      </c>
      <c r="DB889" s="0" t="str">
        <f aca="false">IF($A889="","",IF($AE889&amp;""&lt;&gt;設定!$C$4,"対象外",IF($AH889=20,IF(OR($AJ889=10,$AJ889=11,$AJ889=18),"①病院一般",IF($AJ889=41,"②病院短期","対象外")),IF($AH889=5,IF($AJ889=30,"③特定消防","対象外"),IF(OR($AJ889=10,$AJ889=11,$AJ889=74),"④一般",IF(OR($AJ889=41,$AJ889=47),"⑤短期","対象外"))))))</f>
        <v>⑤短期</v>
      </c>
    </row>
    <row r="890" customFormat="false" ht="15" hidden="false" customHeight="false" outlineLevel="0" collapsed="false">
      <c r="A890" s="0" t="n">
        <v>31</v>
      </c>
      <c r="AA890" s="0" t="n">
        <v>21</v>
      </c>
      <c r="AB890" s="0" t="s">
        <v>496</v>
      </c>
      <c r="AD890" s="0" t="n">
        <v>11</v>
      </c>
      <c r="AE890" s="0" t="s">
        <v>96</v>
      </c>
      <c r="AH890" s="0" t="n">
        <v>1</v>
      </c>
      <c r="AJ890" s="0" t="n">
        <v>41</v>
      </c>
      <c r="AP890" s="0" t="n">
        <v>190000</v>
      </c>
      <c r="DB890" s="0" t="str">
        <f aca="false">IF($A890="","",IF($AE890&amp;""&lt;&gt;設定!$C$4,"対象外",IF($AH890=20,IF(OR($AJ890=10,$AJ890=11,$AJ890=18),"①病院一般",IF($AJ890=41,"②病院短期","対象外")),IF($AH890=5,IF($AJ890=30,"③特定消防","対象外"),IF(OR($AJ890=10,$AJ890=11,$AJ890=74),"④一般",IF(OR($AJ890=41,$AJ890=47),"⑤短期","対象外"))))))</f>
        <v>⑤短期</v>
      </c>
    </row>
    <row r="891" customFormat="false" ht="15" hidden="false" customHeight="false" outlineLevel="0" collapsed="false">
      <c r="A891" s="0" t="n">
        <v>31</v>
      </c>
      <c r="AA891" s="0" t="n">
        <v>24</v>
      </c>
      <c r="AB891" s="0" t="s">
        <v>96</v>
      </c>
      <c r="AD891" s="0" t="n">
        <v>12</v>
      </c>
      <c r="AE891" s="0" t="s">
        <v>301</v>
      </c>
      <c r="AH891" s="0" t="n">
        <v>27</v>
      </c>
      <c r="AJ891" s="0" t="n">
        <v>41</v>
      </c>
      <c r="AP891" s="0" t="n">
        <v>200000</v>
      </c>
      <c r="DB891" s="0" t="str">
        <f aca="false">IF($A891="","",IF($AE891&amp;""&lt;&gt;設定!$C$4,"対象外",IF($AH891=20,IF(OR($AJ891=10,$AJ891=11,$AJ891=18),"①病院一般",IF($AJ891=41,"②病院短期","対象外")),IF($AH891=5,IF($AJ891=30,"③特定消防","対象外"),IF(OR($AJ891=10,$AJ891=11,$AJ891=74),"④一般",IF(OR($AJ891=41,$AJ891=47),"⑤短期","対象外"))))))</f>
        <v>対象外</v>
      </c>
    </row>
    <row r="892" customFormat="false" ht="15" hidden="false" customHeight="false" outlineLevel="0" collapsed="false">
      <c r="A892" s="0" t="n">
        <v>31</v>
      </c>
      <c r="AA892" s="0" t="n">
        <v>21</v>
      </c>
      <c r="AB892" s="0" t="s">
        <v>477</v>
      </c>
      <c r="AD892" s="0" t="n">
        <v>12</v>
      </c>
      <c r="AE892" s="0" t="s">
        <v>96</v>
      </c>
      <c r="AH892" s="0" t="n">
        <v>1</v>
      </c>
      <c r="AJ892" s="0" t="n">
        <v>41</v>
      </c>
      <c r="AP892" s="0" t="n">
        <v>118000</v>
      </c>
      <c r="DB892" s="0" t="str">
        <f aca="false">IF($A892="","",IF($AE892&amp;""&lt;&gt;設定!$C$4,"対象外",IF($AH892=20,IF(OR($AJ892=10,$AJ892=11,$AJ892=18),"①病院一般",IF($AJ892=41,"②病院短期","対象外")),IF($AH892=5,IF($AJ892=30,"③特定消防","対象外"),IF(OR($AJ892=10,$AJ892=11,$AJ892=74),"④一般",IF(OR($AJ892=41,$AJ892=47),"⑤短期","対象外"))))))</f>
        <v>⑤短期</v>
      </c>
    </row>
    <row r="893" customFormat="false" ht="15" hidden="false" customHeight="false" outlineLevel="0" collapsed="false">
      <c r="A893" s="0" t="n">
        <v>31</v>
      </c>
      <c r="AA893" s="0" t="n">
        <v>21</v>
      </c>
      <c r="AB893" s="0" t="s">
        <v>496</v>
      </c>
      <c r="AD893" s="0" t="n">
        <v>12</v>
      </c>
      <c r="AE893" s="0" t="s">
        <v>96</v>
      </c>
      <c r="AH893" s="0" t="n">
        <v>1</v>
      </c>
      <c r="AJ893" s="0" t="n">
        <v>41</v>
      </c>
      <c r="AP893" s="0" t="n">
        <v>134000</v>
      </c>
      <c r="DB893" s="0" t="str">
        <f aca="false">IF($A893="","",IF($AE893&amp;""&lt;&gt;設定!$C$4,"対象外",IF($AH893=20,IF(OR($AJ893=10,$AJ893=11,$AJ893=18),"①病院一般",IF($AJ893=41,"②病院短期","対象外")),IF($AH893=5,IF($AJ893=30,"③特定消防","対象外"),IF(OR($AJ893=10,$AJ893=11,$AJ893=74),"④一般",IF(OR($AJ893=41,$AJ893=47),"⑤短期","対象外"))))))</f>
        <v>⑤短期</v>
      </c>
    </row>
    <row r="894" customFormat="false" ht="15" hidden="false" customHeight="false" outlineLevel="0" collapsed="false">
      <c r="A894" s="0" t="n">
        <v>31</v>
      </c>
      <c r="AA894" s="0" t="n">
        <v>21</v>
      </c>
      <c r="AB894" s="0" t="s">
        <v>484</v>
      </c>
      <c r="AD894" s="0" t="n">
        <v>12</v>
      </c>
      <c r="AE894" s="0" t="s">
        <v>296</v>
      </c>
      <c r="AH894" s="0" t="n">
        <v>1</v>
      </c>
      <c r="AJ894" s="0" t="n">
        <v>10</v>
      </c>
      <c r="AP894" s="0" t="n">
        <v>240000</v>
      </c>
      <c r="DB894" s="0" t="str">
        <f aca="false">IF($A894="","",IF($AE894&amp;""&lt;&gt;設定!$C$4,"対象外",IF($AH894=20,IF(OR($AJ894=10,$AJ894=11,$AJ894=18),"①病院一般",IF($AJ894=41,"②病院短期","対象外")),IF($AH894=5,IF($AJ894=30,"③特定消防","対象外"),IF(OR($AJ894=10,$AJ894=11,$AJ894=74),"④一般",IF(OR($AJ894=41,$AJ894=47),"⑤短期","対象外"))))))</f>
        <v>対象外</v>
      </c>
    </row>
    <row r="895" customFormat="false" ht="15" hidden="false" customHeight="false" outlineLevel="0" collapsed="false">
      <c r="A895" s="0" t="n">
        <v>31</v>
      </c>
      <c r="AA895" s="0" t="n">
        <v>21</v>
      </c>
      <c r="AB895" s="0" t="s">
        <v>494</v>
      </c>
      <c r="AD895" s="0" t="n">
        <v>12</v>
      </c>
      <c r="AE895" s="0" t="s">
        <v>96</v>
      </c>
      <c r="AH895" s="0" t="n">
        <v>1</v>
      </c>
      <c r="AJ895" s="0" t="n">
        <v>41</v>
      </c>
      <c r="AP895" s="0" t="n">
        <v>118000</v>
      </c>
      <c r="DB895" s="0" t="str">
        <f aca="false">IF($A895="","",IF($AE895&amp;""&lt;&gt;設定!$C$4,"対象外",IF($AH895=20,IF(OR($AJ895=10,$AJ895=11,$AJ895=18),"①病院一般",IF($AJ895=41,"②病院短期","対象外")),IF($AH895=5,IF($AJ895=30,"③特定消防","対象外"),IF(OR($AJ895=10,$AJ895=11,$AJ895=74),"④一般",IF(OR($AJ895=41,$AJ895=47),"⑤短期","対象外"))))))</f>
        <v>⑤短期</v>
      </c>
    </row>
    <row r="896" customFormat="false" ht="15" hidden="false" customHeight="false" outlineLevel="0" collapsed="false">
      <c r="A896" s="0" t="n">
        <v>31</v>
      </c>
      <c r="AA896" s="0" t="n">
        <v>24</v>
      </c>
      <c r="AB896" s="0" t="s">
        <v>331</v>
      </c>
      <c r="AD896" s="0" t="n">
        <v>12</v>
      </c>
      <c r="AE896" s="0" t="s">
        <v>296</v>
      </c>
      <c r="AH896" s="0" t="n">
        <v>11</v>
      </c>
      <c r="AJ896" s="0" t="n">
        <v>41</v>
      </c>
      <c r="AP896" s="0" t="n">
        <v>170000</v>
      </c>
      <c r="DB896" s="0" t="str">
        <f aca="false">IF($A896="","",IF($AE896&amp;""&lt;&gt;設定!$C$4,"対象外",IF($AH896=20,IF(OR($AJ896=10,$AJ896=11,$AJ896=18),"①病院一般",IF($AJ896=41,"②病院短期","対象外")),IF($AH896=5,IF($AJ896=30,"③特定消防","対象外"),IF(OR($AJ896=10,$AJ896=11,$AJ896=74),"④一般",IF(OR($AJ896=41,$AJ896=47),"⑤短期","対象外"))))))</f>
        <v>対象外</v>
      </c>
    </row>
    <row r="897" customFormat="false" ht="15" hidden="false" customHeight="false" outlineLevel="0" collapsed="false">
      <c r="A897" s="0" t="n">
        <v>31</v>
      </c>
      <c r="AA897" s="0" t="n">
        <v>21</v>
      </c>
      <c r="AB897" s="0" t="s">
        <v>496</v>
      </c>
      <c r="AD897" s="0" t="n">
        <v>12</v>
      </c>
      <c r="AE897" s="0" t="s">
        <v>96</v>
      </c>
      <c r="AH897" s="0" t="n">
        <v>11</v>
      </c>
      <c r="AJ897" s="0" t="n">
        <v>41</v>
      </c>
      <c r="AP897" s="0" t="n">
        <v>180000</v>
      </c>
      <c r="DB897" s="0" t="str">
        <f aca="false">IF($A897="","",IF($AE897&amp;""&lt;&gt;設定!$C$4,"対象外",IF($AH897=20,IF(OR($AJ897=10,$AJ897=11,$AJ897=18),"①病院一般",IF($AJ897=41,"②病院短期","対象外")),IF($AH897=5,IF($AJ897=30,"③特定消防","対象外"),IF(OR($AJ897=10,$AJ897=11,$AJ897=74),"④一般",IF(OR($AJ897=41,$AJ897=47),"⑤短期","対象外"))))))</f>
        <v>⑤短期</v>
      </c>
    </row>
    <row r="898" customFormat="false" ht="15" hidden="false" customHeight="false" outlineLevel="0" collapsed="false">
      <c r="A898" s="0" t="n">
        <v>31</v>
      </c>
      <c r="AA898" s="0" t="n">
        <v>21</v>
      </c>
      <c r="AB898" s="0" t="s">
        <v>496</v>
      </c>
      <c r="AD898" s="0" t="n">
        <v>12</v>
      </c>
      <c r="AE898" s="0" t="s">
        <v>294</v>
      </c>
      <c r="AH898" s="0" t="n">
        <v>20</v>
      </c>
      <c r="AJ898" s="0" t="n">
        <v>41</v>
      </c>
      <c r="AP898" s="0" t="n">
        <v>220000</v>
      </c>
      <c r="DB898" s="0" t="str">
        <f aca="false">IF($A898="","",IF($AE898&amp;""&lt;&gt;設定!$C$4,"対象外",IF($AH898=20,IF(OR($AJ898=10,$AJ898=11,$AJ898=18),"①病院一般",IF($AJ898=41,"②病院短期","対象外")),IF($AH898=5,IF($AJ898=30,"③特定消防","対象外"),IF(OR($AJ898=10,$AJ898=11,$AJ898=74),"④一般",IF(OR($AJ898=41,$AJ898=47),"⑤短期","対象外"))))))</f>
        <v>対象外</v>
      </c>
    </row>
    <row r="899" customFormat="false" ht="15" hidden="false" customHeight="false" outlineLevel="0" collapsed="false">
      <c r="A899" s="0" t="n">
        <v>31</v>
      </c>
      <c r="AA899" s="0" t="n">
        <v>21</v>
      </c>
      <c r="AB899" s="0" t="s">
        <v>496</v>
      </c>
      <c r="AD899" s="0" t="n">
        <v>12</v>
      </c>
      <c r="AE899" s="0" t="s">
        <v>296</v>
      </c>
      <c r="AH899" s="0" t="n">
        <v>20</v>
      </c>
      <c r="AJ899" s="0" t="n">
        <v>41</v>
      </c>
      <c r="AP899" s="0" t="n">
        <v>220000</v>
      </c>
      <c r="DB899" s="0" t="str">
        <f aca="false">IF($A899="","",IF($AE899&amp;""&lt;&gt;設定!$C$4,"対象外",IF($AH899=20,IF(OR($AJ899=10,$AJ899=11,$AJ899=18),"①病院一般",IF($AJ899=41,"②病院短期","対象外")),IF($AH899=5,IF($AJ899=30,"③特定消防","対象外"),IF(OR($AJ899=10,$AJ899=11,$AJ899=74),"④一般",IF(OR($AJ899=41,$AJ899=47),"⑤短期","対象外"))))))</f>
        <v>対象外</v>
      </c>
    </row>
    <row r="900" customFormat="false" ht="15" hidden="false" customHeight="false" outlineLevel="0" collapsed="false">
      <c r="A900" s="0" t="n">
        <v>31</v>
      </c>
      <c r="AA900" s="0" t="n">
        <v>21</v>
      </c>
      <c r="AB900" s="0" t="s">
        <v>496</v>
      </c>
      <c r="AD900" s="0" t="n">
        <v>12</v>
      </c>
      <c r="AE900" s="0" t="s">
        <v>96</v>
      </c>
      <c r="AH900" s="0" t="n">
        <v>20</v>
      </c>
      <c r="AJ900" s="0" t="n">
        <v>41</v>
      </c>
      <c r="AP900" s="0" t="n">
        <v>220000</v>
      </c>
      <c r="DB900" s="0" t="str">
        <f aca="false">IF($A900="","",IF($AE900&amp;""&lt;&gt;設定!$C$4,"対象外",IF($AH900=20,IF(OR($AJ900=10,$AJ900=11,$AJ900=18),"①病院一般",IF($AJ900=41,"②病院短期","対象外")),IF($AH900=5,IF($AJ900=30,"③特定消防","対象外"),IF(OR($AJ900=10,$AJ900=11,$AJ900=74),"④一般",IF(OR($AJ900=41,$AJ900=47),"⑤短期","対象外"))))))</f>
        <v>②病院短期</v>
      </c>
    </row>
    <row r="901" customFormat="false" ht="15" hidden="false" customHeight="false" outlineLevel="0" collapsed="false">
      <c r="A901" s="0" t="n">
        <v>31</v>
      </c>
      <c r="AA901" s="0" t="n">
        <v>21</v>
      </c>
      <c r="AB901" s="0" t="s">
        <v>496</v>
      </c>
      <c r="AD901" s="0" t="n">
        <v>12</v>
      </c>
      <c r="AE901" s="0" t="s">
        <v>298</v>
      </c>
      <c r="AH901" s="0" t="n">
        <v>20</v>
      </c>
      <c r="AJ901" s="0" t="n">
        <v>41</v>
      </c>
      <c r="AP901" s="0" t="n">
        <v>260000</v>
      </c>
      <c r="DB901" s="0" t="str">
        <f aca="false">IF($A901="","",IF($AE901&amp;""&lt;&gt;設定!$C$4,"対象外",IF($AH901=20,IF(OR($AJ901=10,$AJ901=11,$AJ901=18),"①病院一般",IF($AJ901=41,"②病院短期","対象外")),IF($AH901=5,IF($AJ901=30,"③特定消防","対象外"),IF(OR($AJ901=10,$AJ901=11,$AJ901=74),"④一般",IF(OR($AJ901=41,$AJ901=47),"⑤短期","対象外"))))))</f>
        <v>対象外</v>
      </c>
    </row>
    <row r="902" customFormat="false" ht="15" hidden="false" customHeight="false" outlineLevel="0" collapsed="false">
      <c r="A902" s="0" t="n">
        <v>31</v>
      </c>
      <c r="AA902" s="0" t="n">
        <v>21</v>
      </c>
      <c r="AB902" s="0" t="s">
        <v>496</v>
      </c>
      <c r="AD902" s="0" t="n">
        <v>12</v>
      </c>
      <c r="AE902" s="0" t="s">
        <v>534</v>
      </c>
      <c r="AH902" s="0" t="n">
        <v>1</v>
      </c>
      <c r="AJ902" s="0" t="n">
        <v>41</v>
      </c>
      <c r="AP902" s="0" t="n">
        <v>200000</v>
      </c>
      <c r="DB902" s="0" t="str">
        <f aca="false">IF($A902="","",IF($AE902&amp;""&lt;&gt;設定!$C$4,"対象外",IF($AH902=20,IF(OR($AJ902=10,$AJ902=11,$AJ902=18),"①病院一般",IF($AJ902=41,"②病院短期","対象外")),IF($AH902=5,IF($AJ902=30,"③特定消防","対象外"),IF(OR($AJ902=10,$AJ902=11,$AJ902=74),"④一般",IF(OR($AJ902=41,$AJ902=47),"⑤短期","対象外"))))))</f>
        <v>対象外</v>
      </c>
    </row>
    <row r="903" customFormat="false" ht="15" hidden="false" customHeight="false" outlineLevel="0" collapsed="false">
      <c r="A903" s="0" t="n">
        <v>31</v>
      </c>
      <c r="AA903" s="0" t="n">
        <v>21</v>
      </c>
      <c r="AB903" s="0" t="s">
        <v>496</v>
      </c>
      <c r="AD903" s="0" t="n">
        <v>12</v>
      </c>
      <c r="AE903" s="0" t="s">
        <v>96</v>
      </c>
      <c r="AH903" s="0" t="n">
        <v>1</v>
      </c>
      <c r="AJ903" s="0" t="n">
        <v>41</v>
      </c>
      <c r="AP903" s="0" t="n">
        <v>200000</v>
      </c>
      <c r="DB903" s="0" t="str">
        <f aca="false">IF($A903="","",IF($AE903&amp;""&lt;&gt;設定!$C$4,"対象外",IF($AH903=20,IF(OR($AJ903=10,$AJ903=11,$AJ903=18),"①病院一般",IF($AJ903=41,"②病院短期","対象外")),IF($AH903=5,IF($AJ903=30,"③特定消防","対象外"),IF(OR($AJ903=10,$AJ903=11,$AJ903=74),"④一般",IF(OR($AJ903=41,$AJ903=47),"⑤短期","対象外"))))))</f>
        <v>⑤短期</v>
      </c>
    </row>
    <row r="904" customFormat="false" ht="15" hidden="false" customHeight="false" outlineLevel="0" collapsed="false">
      <c r="A904" s="0" t="n">
        <v>31</v>
      </c>
      <c r="AA904" s="0" t="n">
        <v>21</v>
      </c>
      <c r="AB904" s="0" t="s">
        <v>458</v>
      </c>
      <c r="AD904" s="0" t="n">
        <v>12</v>
      </c>
      <c r="AE904" s="0" t="s">
        <v>96</v>
      </c>
      <c r="AH904" s="0" t="n">
        <v>1</v>
      </c>
      <c r="AJ904" s="0" t="n">
        <v>10</v>
      </c>
      <c r="AP904" s="0" t="n">
        <v>240000</v>
      </c>
      <c r="DB904" s="0" t="str">
        <f aca="false">IF($A904="","",IF($AE904&amp;""&lt;&gt;設定!$C$4,"対象外",IF($AH904=20,IF(OR($AJ904=10,$AJ904=11,$AJ904=18),"①病院一般",IF($AJ904=41,"②病院短期","対象外")),IF($AH904=5,IF($AJ904=30,"③特定消防","対象外"),IF(OR($AJ904=10,$AJ904=11,$AJ904=74),"④一般",IF(OR($AJ904=41,$AJ904=47),"⑤短期","対象外"))))))</f>
        <v>④一般</v>
      </c>
    </row>
    <row r="905" customFormat="false" ht="15" hidden="false" customHeight="false" outlineLevel="0" collapsed="false">
      <c r="A905" s="0" t="n">
        <v>31</v>
      </c>
      <c r="AA905" s="0" t="n">
        <v>21</v>
      </c>
      <c r="AB905" s="0" t="s">
        <v>496</v>
      </c>
      <c r="AD905" s="0" t="n">
        <v>11</v>
      </c>
      <c r="AE905" s="0" t="s">
        <v>96</v>
      </c>
      <c r="AH905" s="0" t="n">
        <v>1</v>
      </c>
      <c r="AJ905" s="0" t="n">
        <v>41</v>
      </c>
      <c r="AP905" s="0" t="n">
        <v>180000</v>
      </c>
      <c r="DB905" s="0" t="str">
        <f aca="false">IF($A905="","",IF($AE905&amp;""&lt;&gt;設定!$C$4,"対象外",IF($AH905=20,IF(OR($AJ905=10,$AJ905=11,$AJ905=18),"①病院一般",IF($AJ905=41,"②病院短期","対象外")),IF($AH905=5,IF($AJ905=30,"③特定消防","対象外"),IF(OR($AJ905=10,$AJ905=11,$AJ905=74),"④一般",IF(OR($AJ905=41,$AJ905=47),"⑤短期","対象外"))))))</f>
        <v>⑤短期</v>
      </c>
    </row>
    <row r="906" customFormat="false" ht="15" hidden="false" customHeight="false" outlineLevel="0" collapsed="false">
      <c r="A906" s="0" t="n">
        <v>31</v>
      </c>
      <c r="AA906" s="0" t="n">
        <v>24</v>
      </c>
      <c r="AB906" s="0" t="s">
        <v>299</v>
      </c>
      <c r="AD906" s="0" t="n">
        <v>12</v>
      </c>
      <c r="AE906" s="0" t="s">
        <v>301</v>
      </c>
      <c r="AH906" s="0" t="n">
        <v>1</v>
      </c>
      <c r="AJ906" s="0" t="n">
        <v>41</v>
      </c>
      <c r="AP906" s="0" t="n">
        <v>150000</v>
      </c>
      <c r="DB906" s="0" t="str">
        <f aca="false">IF($A906="","",IF($AE906&amp;""&lt;&gt;設定!$C$4,"対象外",IF($AH906=20,IF(OR($AJ906=10,$AJ906=11,$AJ906=18),"①病院一般",IF($AJ906=41,"②病院短期","対象外")),IF($AH906=5,IF($AJ906=30,"③特定消防","対象外"),IF(OR($AJ906=10,$AJ906=11,$AJ906=74),"④一般",IF(OR($AJ906=41,$AJ906=47),"⑤短期","対象外"))))))</f>
        <v>対象外</v>
      </c>
    </row>
    <row r="907" customFormat="false" ht="15" hidden="false" customHeight="false" outlineLevel="0" collapsed="false">
      <c r="A907" s="0" t="n">
        <v>31</v>
      </c>
      <c r="AA907" s="0" t="n">
        <v>21</v>
      </c>
      <c r="AB907" s="0" t="s">
        <v>535</v>
      </c>
      <c r="AD907" s="0" t="n">
        <v>12</v>
      </c>
      <c r="AE907" s="0" t="s">
        <v>96</v>
      </c>
      <c r="AH907" s="0" t="n">
        <v>1</v>
      </c>
      <c r="AJ907" s="0" t="n">
        <v>41</v>
      </c>
      <c r="AP907" s="0" t="n">
        <v>134000</v>
      </c>
      <c r="DB907" s="0" t="str">
        <f aca="false">IF($A907="","",IF($AE907&amp;""&lt;&gt;設定!$C$4,"対象外",IF($AH907=20,IF(OR($AJ907=10,$AJ907=11,$AJ907=18),"①病院一般",IF($AJ907=41,"②病院短期","対象外")),IF($AH907=5,IF($AJ907=30,"③特定消防","対象外"),IF(OR($AJ907=10,$AJ907=11,$AJ907=74),"④一般",IF(OR($AJ907=41,$AJ907=47),"⑤短期","対象外"))))))</f>
        <v>⑤短期</v>
      </c>
    </row>
    <row r="908" customFormat="false" ht="15" hidden="false" customHeight="false" outlineLevel="0" collapsed="false">
      <c r="A908" s="0" t="n">
        <v>31</v>
      </c>
      <c r="AA908" s="0" t="n">
        <v>24</v>
      </c>
      <c r="AB908" s="0" t="s">
        <v>96</v>
      </c>
      <c r="AD908" s="0" t="n">
        <v>12</v>
      </c>
      <c r="AE908" s="0" t="s">
        <v>301</v>
      </c>
      <c r="AH908" s="0" t="n">
        <v>1</v>
      </c>
      <c r="AJ908" s="0" t="n">
        <v>41</v>
      </c>
      <c r="AP908" s="0" t="n">
        <v>142000</v>
      </c>
      <c r="DB908" s="0" t="str">
        <f aca="false">IF($A908="","",IF($AE908&amp;""&lt;&gt;設定!$C$4,"対象外",IF($AH908=20,IF(OR($AJ908=10,$AJ908=11,$AJ908=18),"①病院一般",IF($AJ908=41,"②病院短期","対象外")),IF($AH908=5,IF($AJ908=30,"③特定消防","対象外"),IF(OR($AJ908=10,$AJ908=11,$AJ908=74),"④一般",IF(OR($AJ908=41,$AJ908=47),"⑤短期","対象外"))))))</f>
        <v>対象外</v>
      </c>
    </row>
    <row r="909" customFormat="false" ht="15" hidden="false" customHeight="false" outlineLevel="0" collapsed="false">
      <c r="A909" s="0" t="n">
        <v>31</v>
      </c>
      <c r="AA909" s="0" t="n">
        <v>21</v>
      </c>
      <c r="AB909" s="0" t="s">
        <v>526</v>
      </c>
      <c r="AD909" s="0" t="n">
        <v>12</v>
      </c>
      <c r="AE909" s="0" t="s">
        <v>96</v>
      </c>
      <c r="AH909" s="0" t="n">
        <v>1</v>
      </c>
      <c r="AJ909" s="0" t="n">
        <v>41</v>
      </c>
      <c r="AP909" s="0" t="n">
        <v>134000</v>
      </c>
      <c r="DB909" s="0" t="str">
        <f aca="false">IF($A909="","",IF($AE909&amp;""&lt;&gt;設定!$C$4,"対象外",IF($AH909=20,IF(OR($AJ909=10,$AJ909=11,$AJ909=18),"①病院一般",IF($AJ909=41,"②病院短期","対象外")),IF($AH909=5,IF($AJ909=30,"③特定消防","対象外"),IF(OR($AJ909=10,$AJ909=11,$AJ909=74),"④一般",IF(OR($AJ909=41,$AJ909=47),"⑤短期","対象外"))))))</f>
        <v>⑤短期</v>
      </c>
    </row>
    <row r="910" customFormat="false" ht="15" hidden="false" customHeight="false" outlineLevel="0" collapsed="false">
      <c r="A910" s="0" t="n">
        <v>31</v>
      </c>
      <c r="AA910" s="0" t="n">
        <v>21</v>
      </c>
      <c r="AB910" s="0" t="s">
        <v>323</v>
      </c>
      <c r="AD910" s="0" t="n">
        <v>12</v>
      </c>
      <c r="AE910" s="0" t="s">
        <v>294</v>
      </c>
      <c r="AH910" s="0" t="n">
        <v>11</v>
      </c>
      <c r="AJ910" s="0" t="n">
        <v>41</v>
      </c>
      <c r="AP910" s="0" t="n">
        <v>126000</v>
      </c>
      <c r="DB910" s="0" t="str">
        <f aca="false">IF($A910="","",IF($AE910&amp;""&lt;&gt;設定!$C$4,"対象外",IF($AH910=20,IF(OR($AJ910=10,$AJ910=11,$AJ910=18),"①病院一般",IF($AJ910=41,"②病院短期","対象外")),IF($AH910=5,IF($AJ910=30,"③特定消防","対象外"),IF(OR($AJ910=10,$AJ910=11,$AJ910=74),"④一般",IF(OR($AJ910=41,$AJ910=47),"⑤短期","対象外"))))))</f>
        <v>対象外</v>
      </c>
    </row>
    <row r="911" customFormat="false" ht="15" hidden="false" customHeight="false" outlineLevel="0" collapsed="false">
      <c r="A911" s="0" t="n">
        <v>31</v>
      </c>
      <c r="AA911" s="0" t="n">
        <v>21</v>
      </c>
      <c r="AB911" s="0" t="s">
        <v>496</v>
      </c>
      <c r="AD911" s="0" t="n">
        <v>12</v>
      </c>
      <c r="AE911" s="0" t="s">
        <v>96</v>
      </c>
      <c r="AH911" s="0" t="n">
        <v>1</v>
      </c>
      <c r="AJ911" s="0" t="n">
        <v>41</v>
      </c>
      <c r="AP911" s="0" t="n">
        <v>260000</v>
      </c>
      <c r="DB911" s="0" t="str">
        <f aca="false">IF($A911="","",IF($AE911&amp;""&lt;&gt;設定!$C$4,"対象外",IF($AH911=20,IF(OR($AJ911=10,$AJ911=11,$AJ911=18),"①病院一般",IF($AJ911=41,"②病院短期","対象外")),IF($AH911=5,IF($AJ911=30,"③特定消防","対象外"),IF(OR($AJ911=10,$AJ911=11,$AJ911=74),"④一般",IF(OR($AJ911=41,$AJ911=47),"⑤短期","対象外"))))))</f>
        <v>⑤短期</v>
      </c>
    </row>
    <row r="912" customFormat="false" ht="15" hidden="false" customHeight="false" outlineLevel="0" collapsed="false">
      <c r="A912" s="0" t="n">
        <v>31</v>
      </c>
      <c r="AA912" s="0" t="n">
        <v>24</v>
      </c>
      <c r="AB912" s="0" t="s">
        <v>536</v>
      </c>
      <c r="AD912" s="0" t="n">
        <v>12</v>
      </c>
      <c r="AE912" s="0" t="s">
        <v>96</v>
      </c>
      <c r="AH912" s="0" t="n">
        <v>1</v>
      </c>
      <c r="AJ912" s="0" t="n">
        <v>41</v>
      </c>
      <c r="AP912" s="0" t="n">
        <v>134000</v>
      </c>
      <c r="DB912" s="0" t="str">
        <f aca="false">IF($A912="","",IF($AE912&amp;""&lt;&gt;設定!$C$4,"対象外",IF($AH912=20,IF(OR($AJ912=10,$AJ912=11,$AJ912=18),"①病院一般",IF($AJ912=41,"②病院短期","対象外")),IF($AH912=5,IF($AJ912=30,"③特定消防","対象外"),IF(OR($AJ912=10,$AJ912=11,$AJ912=74),"④一般",IF(OR($AJ912=41,$AJ912=47),"⑤短期","対象外"))))))</f>
        <v>⑤短期</v>
      </c>
    </row>
    <row r="913" customFormat="false" ht="15" hidden="false" customHeight="false" outlineLevel="0" collapsed="false">
      <c r="A913" s="0" t="n">
        <v>31</v>
      </c>
      <c r="AA913" s="0" t="n">
        <v>24</v>
      </c>
      <c r="AB913" s="0" t="s">
        <v>537</v>
      </c>
      <c r="AD913" s="0" t="n">
        <v>12</v>
      </c>
      <c r="AE913" s="0" t="s">
        <v>303</v>
      </c>
      <c r="AH913" s="0" t="n">
        <v>1</v>
      </c>
      <c r="AJ913" s="0" t="n">
        <v>41</v>
      </c>
      <c r="AP913" s="0" t="n">
        <v>134000</v>
      </c>
      <c r="DB913" s="0" t="str">
        <f aca="false">IF($A913="","",IF($AE913&amp;""&lt;&gt;設定!$C$4,"対象外",IF($AH913=20,IF(OR($AJ913=10,$AJ913=11,$AJ913=18),"①病院一般",IF($AJ913=41,"②病院短期","対象外")),IF($AH913=5,IF($AJ913=30,"③特定消防","対象外"),IF(OR($AJ913=10,$AJ913=11,$AJ913=74),"④一般",IF(OR($AJ913=41,$AJ913=47),"⑤短期","対象外"))))))</f>
        <v>対象外</v>
      </c>
    </row>
    <row r="914" customFormat="false" ht="15" hidden="false" customHeight="false" outlineLevel="0" collapsed="false">
      <c r="A914" s="0" t="n">
        <v>31</v>
      </c>
      <c r="AA914" s="0" t="n">
        <v>21</v>
      </c>
      <c r="AB914" s="0" t="s">
        <v>496</v>
      </c>
      <c r="AD914" s="0" t="n">
        <v>12</v>
      </c>
      <c r="AE914" s="0" t="s">
        <v>296</v>
      </c>
      <c r="AH914" s="0" t="n">
        <v>20</v>
      </c>
      <c r="AJ914" s="0" t="n">
        <v>41</v>
      </c>
      <c r="AP914" s="0" t="n">
        <v>220000</v>
      </c>
      <c r="DB914" s="0" t="str">
        <f aca="false">IF($A914="","",IF($AE914&amp;""&lt;&gt;設定!$C$4,"対象外",IF($AH914=20,IF(OR($AJ914=10,$AJ914=11,$AJ914=18),"①病院一般",IF($AJ914=41,"②病院短期","対象外")),IF($AH914=5,IF($AJ914=30,"③特定消防","対象外"),IF(OR($AJ914=10,$AJ914=11,$AJ914=74),"④一般",IF(OR($AJ914=41,$AJ914=47),"⑤短期","対象外"))))))</f>
        <v>対象外</v>
      </c>
    </row>
    <row r="915" customFormat="false" ht="15" hidden="false" customHeight="false" outlineLevel="0" collapsed="false">
      <c r="A915" s="0" t="n">
        <v>31</v>
      </c>
      <c r="AA915" s="0" t="n">
        <v>21</v>
      </c>
      <c r="AB915" s="0" t="s">
        <v>496</v>
      </c>
      <c r="AD915" s="0" t="n">
        <v>12</v>
      </c>
      <c r="AE915" s="0" t="s">
        <v>96</v>
      </c>
      <c r="AH915" s="0" t="n">
        <v>20</v>
      </c>
      <c r="AJ915" s="0" t="n">
        <v>41</v>
      </c>
      <c r="AP915" s="0" t="n">
        <v>220000</v>
      </c>
      <c r="DB915" s="0" t="str">
        <f aca="false">IF($A915="","",IF($AE915&amp;""&lt;&gt;設定!$C$4,"対象外",IF($AH915=20,IF(OR($AJ915=10,$AJ915=11,$AJ915=18),"①病院一般",IF($AJ915=41,"②病院短期","対象外")),IF($AH915=5,IF($AJ915=30,"③特定消防","対象外"),IF(OR($AJ915=10,$AJ915=11,$AJ915=74),"④一般",IF(OR($AJ915=41,$AJ915=47),"⑤短期","対象外"))))))</f>
        <v>②病院短期</v>
      </c>
    </row>
    <row r="916" customFormat="false" ht="15" hidden="false" customHeight="false" outlineLevel="0" collapsed="false">
      <c r="A916" s="0" t="n">
        <v>31</v>
      </c>
      <c r="AA916" s="0" t="n">
        <v>21</v>
      </c>
      <c r="AB916" s="0" t="s">
        <v>496</v>
      </c>
      <c r="AD916" s="0" t="n">
        <v>12</v>
      </c>
      <c r="AE916" s="0" t="s">
        <v>303</v>
      </c>
      <c r="AH916" s="0" t="n">
        <v>20</v>
      </c>
      <c r="AJ916" s="0" t="n">
        <v>41</v>
      </c>
      <c r="AP916" s="0" t="n">
        <v>220000</v>
      </c>
      <c r="DB916" s="0" t="str">
        <f aca="false">IF($A916="","",IF($AE916&amp;""&lt;&gt;設定!$C$4,"対象外",IF($AH916=20,IF(OR($AJ916=10,$AJ916=11,$AJ916=18),"①病院一般",IF($AJ916=41,"②病院短期","対象外")),IF($AH916=5,IF($AJ916=30,"③特定消防","対象外"),IF(OR($AJ916=10,$AJ916=11,$AJ916=74),"④一般",IF(OR($AJ916=41,$AJ916=47),"⑤短期","対象外"))))))</f>
        <v>対象外</v>
      </c>
    </row>
    <row r="917" customFormat="false" ht="15" hidden="false" customHeight="false" outlineLevel="0" collapsed="false">
      <c r="A917" s="0" t="n">
        <v>31</v>
      </c>
      <c r="AA917" s="0" t="n">
        <v>21</v>
      </c>
      <c r="AB917" s="0" t="s">
        <v>496</v>
      </c>
      <c r="AD917" s="0" t="n">
        <v>12</v>
      </c>
      <c r="AE917" s="0" t="s">
        <v>96</v>
      </c>
      <c r="AH917" s="0" t="n">
        <v>1</v>
      </c>
      <c r="AJ917" s="0" t="n">
        <v>41</v>
      </c>
      <c r="AP917" s="0" t="n">
        <v>170000</v>
      </c>
      <c r="DB917" s="0" t="str">
        <f aca="false">IF($A917="","",IF($AE917&amp;""&lt;&gt;設定!$C$4,"対象外",IF($AH917=20,IF(OR($AJ917=10,$AJ917=11,$AJ917=18),"①病院一般",IF($AJ917=41,"②病院短期","対象外")),IF($AH917=5,IF($AJ917=30,"③特定消防","対象外"),IF(OR($AJ917=10,$AJ917=11,$AJ917=74),"④一般",IF(OR($AJ917=41,$AJ917=47),"⑤短期","対象外"))))))</f>
        <v>⑤短期</v>
      </c>
    </row>
    <row r="918" customFormat="false" ht="15" hidden="false" customHeight="false" outlineLevel="0" collapsed="false">
      <c r="A918" s="0" t="n">
        <v>31</v>
      </c>
      <c r="AA918" s="0" t="n">
        <v>21</v>
      </c>
      <c r="AB918" s="0" t="s">
        <v>496</v>
      </c>
      <c r="AD918" s="0" t="n">
        <v>12</v>
      </c>
      <c r="AE918" s="0" t="s">
        <v>96</v>
      </c>
      <c r="AH918" s="0" t="n">
        <v>1</v>
      </c>
      <c r="AJ918" s="0" t="n">
        <v>41</v>
      </c>
      <c r="AP918" s="0" t="n">
        <v>180000</v>
      </c>
      <c r="DB918" s="0" t="str">
        <f aca="false">IF($A918="","",IF($AE918&amp;""&lt;&gt;設定!$C$4,"対象外",IF($AH918=20,IF(OR($AJ918=10,$AJ918=11,$AJ918=18),"①病院一般",IF($AJ918=41,"②病院短期","対象外")),IF($AH918=5,IF($AJ918=30,"③特定消防","対象外"),IF(OR($AJ918=10,$AJ918=11,$AJ918=74),"④一般",IF(OR($AJ918=41,$AJ918=47),"⑤短期","対象外"))))))</f>
        <v>⑤短期</v>
      </c>
    </row>
    <row r="919" customFormat="false" ht="15" hidden="false" customHeight="false" outlineLevel="0" collapsed="false">
      <c r="A919" s="0" t="n">
        <v>31</v>
      </c>
      <c r="AA919" s="0" t="n">
        <v>21</v>
      </c>
      <c r="AB919" s="0" t="s">
        <v>496</v>
      </c>
      <c r="AD919" s="0" t="n">
        <v>12</v>
      </c>
      <c r="AE919" s="0" t="s">
        <v>96</v>
      </c>
      <c r="AH919" s="0" t="n">
        <v>1</v>
      </c>
      <c r="AJ919" s="0" t="n">
        <v>41</v>
      </c>
      <c r="AP919" s="0" t="n">
        <v>180000</v>
      </c>
      <c r="DB919" s="0" t="str">
        <f aca="false">IF($A919="","",IF($AE919&amp;""&lt;&gt;設定!$C$4,"対象外",IF($AH919=20,IF(OR($AJ919=10,$AJ919=11,$AJ919=18),"①病院一般",IF($AJ919=41,"②病院短期","対象外")),IF($AH919=5,IF($AJ919=30,"③特定消防","対象外"),IF(OR($AJ919=10,$AJ919=11,$AJ919=74),"④一般",IF(OR($AJ919=41,$AJ919=47),"⑤短期","対象外"))))))</f>
        <v>⑤短期</v>
      </c>
    </row>
    <row r="920" customFormat="false" ht="15" hidden="false" customHeight="false" outlineLevel="0" collapsed="false">
      <c r="A920" s="0" t="n">
        <v>31</v>
      </c>
      <c r="AA920" s="0" t="n">
        <v>24</v>
      </c>
      <c r="AB920" s="0" t="s">
        <v>494</v>
      </c>
      <c r="AD920" s="0" t="n">
        <v>12</v>
      </c>
      <c r="AE920" s="0" t="s">
        <v>538</v>
      </c>
      <c r="AH920" s="0" t="n">
        <v>1</v>
      </c>
      <c r="AJ920" s="0" t="n">
        <v>10</v>
      </c>
      <c r="AP920" s="0" t="n">
        <v>260000</v>
      </c>
      <c r="DB920" s="0" t="str">
        <f aca="false">IF($A920="","",IF($AE920&amp;""&lt;&gt;設定!$C$4,"対象外",IF($AH920=20,IF(OR($AJ920=10,$AJ920=11,$AJ920=18),"①病院一般",IF($AJ920=41,"②病院短期","対象外")),IF($AH920=5,IF($AJ920=30,"③特定消防","対象外"),IF(OR($AJ920=10,$AJ920=11,$AJ920=74),"④一般",IF(OR($AJ920=41,$AJ920=47),"⑤短期","対象外"))))))</f>
        <v>対象外</v>
      </c>
    </row>
    <row r="921" customFormat="false" ht="15" hidden="false" customHeight="false" outlineLevel="0" collapsed="false">
      <c r="A921" s="0" t="n">
        <v>31</v>
      </c>
      <c r="AA921" s="0" t="n">
        <v>21</v>
      </c>
      <c r="AB921" s="0" t="s">
        <v>496</v>
      </c>
      <c r="AD921" s="0" t="n">
        <v>12</v>
      </c>
      <c r="AE921" s="0" t="s">
        <v>96</v>
      </c>
      <c r="AH921" s="0" t="n">
        <v>1</v>
      </c>
      <c r="AJ921" s="0" t="n">
        <v>41</v>
      </c>
      <c r="AP921" s="0" t="n">
        <v>170000</v>
      </c>
      <c r="DB921" s="0" t="str">
        <f aca="false">IF($A921="","",IF($AE921&amp;""&lt;&gt;設定!$C$4,"対象外",IF($AH921=20,IF(OR($AJ921=10,$AJ921=11,$AJ921=18),"①病院一般",IF($AJ921=41,"②病院短期","対象外")),IF($AH921=5,IF($AJ921=30,"③特定消防","対象外"),IF(OR($AJ921=10,$AJ921=11,$AJ921=74),"④一般",IF(OR($AJ921=41,$AJ921=47),"⑤短期","対象外"))))))</f>
        <v>⑤短期</v>
      </c>
    </row>
    <row r="922" customFormat="false" ht="15" hidden="false" customHeight="false" outlineLevel="0" collapsed="false">
      <c r="A922" s="0" t="n">
        <v>31</v>
      </c>
      <c r="AA922" s="0" t="n">
        <v>24</v>
      </c>
      <c r="AB922" s="0" t="s">
        <v>294</v>
      </c>
      <c r="AD922" s="0" t="n">
        <v>12</v>
      </c>
      <c r="AE922" s="0" t="s">
        <v>301</v>
      </c>
      <c r="AH922" s="0" t="n">
        <v>1</v>
      </c>
      <c r="AJ922" s="0" t="n">
        <v>41</v>
      </c>
      <c r="AP922" s="0" t="n">
        <v>142000</v>
      </c>
      <c r="DB922" s="0" t="str">
        <f aca="false">IF($A922="","",IF($AE922&amp;""&lt;&gt;設定!$C$4,"対象外",IF($AH922=20,IF(OR($AJ922=10,$AJ922=11,$AJ922=18),"①病院一般",IF($AJ922=41,"②病院短期","対象外")),IF($AH922=5,IF($AJ922=30,"③特定消防","対象外"),IF(OR($AJ922=10,$AJ922=11,$AJ922=74),"④一般",IF(OR($AJ922=41,$AJ922=47),"⑤短期","対象外"))))))</f>
        <v>対象外</v>
      </c>
    </row>
    <row r="923" customFormat="false" ht="15" hidden="false" customHeight="false" outlineLevel="0" collapsed="false">
      <c r="A923" s="0" t="n">
        <v>31</v>
      </c>
      <c r="AA923" s="0" t="n">
        <v>24</v>
      </c>
      <c r="AB923" s="0" t="s">
        <v>519</v>
      </c>
      <c r="AD923" s="0" t="n">
        <v>12</v>
      </c>
      <c r="AE923" s="0" t="s">
        <v>96</v>
      </c>
      <c r="AH923" s="0" t="n">
        <v>1</v>
      </c>
      <c r="AJ923" s="0" t="n">
        <v>41</v>
      </c>
      <c r="AP923" s="0" t="n">
        <v>142000</v>
      </c>
      <c r="DB923" s="0" t="str">
        <f aca="false">IF($A923="","",IF($AE923&amp;""&lt;&gt;設定!$C$4,"対象外",IF($AH923=20,IF(OR($AJ923=10,$AJ923=11,$AJ923=18),"①病院一般",IF($AJ923=41,"②病院短期","対象外")),IF($AH923=5,IF($AJ923=30,"③特定消防","対象外"),IF(OR($AJ923=10,$AJ923=11,$AJ923=74),"④一般",IF(OR($AJ923=41,$AJ923=47),"⑤短期","対象外"))))))</f>
        <v>⑤短期</v>
      </c>
    </row>
    <row r="924" customFormat="false" ht="15" hidden="false" customHeight="false" outlineLevel="0" collapsed="false">
      <c r="A924" s="0" t="n">
        <v>31</v>
      </c>
      <c r="AA924" s="0" t="n">
        <v>21</v>
      </c>
      <c r="AB924" s="0" t="s">
        <v>496</v>
      </c>
      <c r="AD924" s="0" t="n">
        <v>12</v>
      </c>
      <c r="AE924" s="0" t="s">
        <v>96</v>
      </c>
      <c r="AH924" s="0" t="n">
        <v>1</v>
      </c>
      <c r="AJ924" s="0" t="n">
        <v>41</v>
      </c>
      <c r="AP924" s="0" t="n">
        <v>170000</v>
      </c>
      <c r="DB924" s="0" t="str">
        <f aca="false">IF($A924="","",IF($AE924&amp;""&lt;&gt;設定!$C$4,"対象外",IF($AH924=20,IF(OR($AJ924=10,$AJ924=11,$AJ924=18),"①病院一般",IF($AJ924=41,"②病院短期","対象外")),IF($AH924=5,IF($AJ924=30,"③特定消防","対象外"),IF(OR($AJ924=10,$AJ924=11,$AJ924=74),"④一般",IF(OR($AJ924=41,$AJ924=47),"⑤短期","対象外"))))))</f>
        <v>⑤短期</v>
      </c>
    </row>
    <row r="925" customFormat="false" ht="15" hidden="false" customHeight="false" outlineLevel="0" collapsed="false">
      <c r="A925" s="0" t="n">
        <v>31</v>
      </c>
      <c r="AA925" s="0" t="n">
        <v>21</v>
      </c>
      <c r="AB925" s="0" t="s">
        <v>496</v>
      </c>
      <c r="AD925" s="0" t="n">
        <v>12</v>
      </c>
      <c r="AE925" s="0" t="s">
        <v>294</v>
      </c>
      <c r="AH925" s="0" t="n">
        <v>20</v>
      </c>
      <c r="AJ925" s="0" t="n">
        <v>41</v>
      </c>
      <c r="AP925" s="0" t="n">
        <v>180000</v>
      </c>
      <c r="DB925" s="0" t="str">
        <f aca="false">IF($A925="","",IF($AE925&amp;""&lt;&gt;設定!$C$4,"対象外",IF($AH925=20,IF(OR($AJ925=10,$AJ925=11,$AJ925=18),"①病院一般",IF($AJ925=41,"②病院短期","対象外")),IF($AH925=5,IF($AJ925=30,"③特定消防","対象外"),IF(OR($AJ925=10,$AJ925=11,$AJ925=74),"④一般",IF(OR($AJ925=41,$AJ925=47),"⑤短期","対象外"))))))</f>
        <v>対象外</v>
      </c>
    </row>
    <row r="926" customFormat="false" ht="15" hidden="false" customHeight="false" outlineLevel="0" collapsed="false">
      <c r="A926" s="0" t="n">
        <v>31</v>
      </c>
      <c r="AA926" s="0" t="n">
        <v>21</v>
      </c>
      <c r="AB926" s="0" t="s">
        <v>536</v>
      </c>
      <c r="AD926" s="0" t="n">
        <v>12</v>
      </c>
      <c r="AE926" s="0" t="s">
        <v>377</v>
      </c>
      <c r="AH926" s="0" t="n">
        <v>20</v>
      </c>
      <c r="AJ926" s="0" t="n">
        <v>41</v>
      </c>
      <c r="AP926" s="0" t="n">
        <v>180000</v>
      </c>
      <c r="DB926" s="0" t="str">
        <f aca="false">IF($A926="","",IF($AE926&amp;""&lt;&gt;設定!$C$4,"対象外",IF($AH926=20,IF(OR($AJ926=10,$AJ926=11,$AJ926=18),"①病院一般",IF($AJ926=41,"②病院短期","対象外")),IF($AH926=5,IF($AJ926=30,"③特定消防","対象外"),IF(OR($AJ926=10,$AJ926=11,$AJ926=74),"④一般",IF(OR($AJ926=41,$AJ926=47),"⑤短期","対象外"))))))</f>
        <v>対象外</v>
      </c>
    </row>
    <row r="927" customFormat="false" ht="15" hidden="false" customHeight="false" outlineLevel="0" collapsed="false">
      <c r="A927" s="0" t="n">
        <v>31</v>
      </c>
      <c r="AA927" s="0" t="n">
        <v>21</v>
      </c>
      <c r="AB927" s="0" t="s">
        <v>496</v>
      </c>
      <c r="AD927" s="0" t="n">
        <v>12</v>
      </c>
      <c r="AE927" s="0" t="s">
        <v>96</v>
      </c>
      <c r="AH927" s="0" t="n">
        <v>1</v>
      </c>
      <c r="AJ927" s="0" t="n">
        <v>41</v>
      </c>
      <c r="AP927" s="0" t="n">
        <v>170000</v>
      </c>
      <c r="DB927" s="0" t="str">
        <f aca="false">IF($A927="","",IF($AE927&amp;""&lt;&gt;設定!$C$4,"対象外",IF($AH927=20,IF(OR($AJ927=10,$AJ927=11,$AJ927=18),"①病院一般",IF($AJ927=41,"②病院短期","対象外")),IF($AH927=5,IF($AJ927=30,"③特定消防","対象外"),IF(OR($AJ927=10,$AJ927=11,$AJ927=74),"④一般",IF(OR($AJ927=41,$AJ927=47),"⑤短期","対象外"))))))</f>
        <v>⑤短期</v>
      </c>
    </row>
    <row r="928" customFormat="false" ht="15" hidden="false" customHeight="false" outlineLevel="0" collapsed="false">
      <c r="A928" s="0" t="n">
        <v>31</v>
      </c>
      <c r="AA928" s="0" t="n">
        <v>21</v>
      </c>
      <c r="AB928" s="0" t="s">
        <v>496</v>
      </c>
      <c r="AD928" s="0" t="n">
        <v>12</v>
      </c>
      <c r="AE928" s="0" t="s">
        <v>96</v>
      </c>
      <c r="AH928" s="0" t="n">
        <v>1</v>
      </c>
      <c r="AJ928" s="0" t="n">
        <v>41</v>
      </c>
      <c r="AP928" s="0" t="n">
        <v>170000</v>
      </c>
      <c r="DB928" s="0" t="str">
        <f aca="false">IF($A928="","",IF($AE928&amp;""&lt;&gt;設定!$C$4,"対象外",IF($AH928=20,IF(OR($AJ928=10,$AJ928=11,$AJ928=18),"①病院一般",IF($AJ928=41,"②病院短期","対象外")),IF($AH928=5,IF($AJ928=30,"③特定消防","対象外"),IF(OR($AJ928=10,$AJ928=11,$AJ928=74),"④一般",IF(OR($AJ928=41,$AJ928=47),"⑤短期","対象外"))))))</f>
        <v>⑤短期</v>
      </c>
    </row>
    <row r="929" customFormat="false" ht="15" hidden="false" customHeight="false" outlineLevel="0" collapsed="false">
      <c r="A929" s="0" t="n">
        <v>31</v>
      </c>
      <c r="AA929" s="0" t="n">
        <v>21</v>
      </c>
      <c r="AB929" s="0" t="s">
        <v>496</v>
      </c>
      <c r="AD929" s="0" t="n">
        <v>11</v>
      </c>
      <c r="AE929" s="0" t="s">
        <v>96</v>
      </c>
      <c r="AH929" s="0" t="n">
        <v>1</v>
      </c>
      <c r="AJ929" s="0" t="n">
        <v>41</v>
      </c>
      <c r="AP929" s="0" t="n">
        <v>180000</v>
      </c>
      <c r="DB929" s="0" t="str">
        <f aca="false">IF($A929="","",IF($AE929&amp;""&lt;&gt;設定!$C$4,"対象外",IF($AH929=20,IF(OR($AJ929=10,$AJ929=11,$AJ929=18),"①病院一般",IF($AJ929=41,"②病院短期","対象外")),IF($AH929=5,IF($AJ929=30,"③特定消防","対象外"),IF(OR($AJ929=10,$AJ929=11,$AJ929=74),"④一般",IF(OR($AJ929=41,$AJ929=47),"⑤短期","対象外"))))))</f>
        <v>⑤短期</v>
      </c>
    </row>
    <row r="930" customFormat="false" ht="15" hidden="false" customHeight="false" outlineLevel="0" collapsed="false">
      <c r="A930" s="0" t="n">
        <v>31</v>
      </c>
      <c r="AA930" s="0" t="n">
        <v>21</v>
      </c>
      <c r="AB930" s="0" t="s">
        <v>496</v>
      </c>
      <c r="AD930" s="0" t="n">
        <v>12</v>
      </c>
      <c r="AE930" s="0" t="s">
        <v>96</v>
      </c>
      <c r="AH930" s="0" t="n">
        <v>1</v>
      </c>
      <c r="AJ930" s="0" t="n">
        <v>41</v>
      </c>
      <c r="AP930" s="0" t="n">
        <v>180000</v>
      </c>
      <c r="DB930" s="0" t="str">
        <f aca="false">IF($A930="","",IF($AE930&amp;""&lt;&gt;設定!$C$4,"対象外",IF($AH930=20,IF(OR($AJ930=10,$AJ930=11,$AJ930=18),"①病院一般",IF($AJ930=41,"②病院短期","対象外")),IF($AH930=5,IF($AJ930=30,"③特定消防","対象外"),IF(OR($AJ930=10,$AJ930=11,$AJ930=74),"④一般",IF(OR($AJ930=41,$AJ930=47),"⑤短期","対象外"))))))</f>
        <v>⑤短期</v>
      </c>
    </row>
    <row r="931" customFormat="false" ht="15" hidden="false" customHeight="false" outlineLevel="0" collapsed="false">
      <c r="A931" s="0" t="n">
        <v>31</v>
      </c>
      <c r="AA931" s="0" t="n">
        <v>21</v>
      </c>
      <c r="AB931" s="0" t="s">
        <v>496</v>
      </c>
      <c r="AD931" s="0" t="n">
        <v>12</v>
      </c>
      <c r="AE931" s="0" t="s">
        <v>96</v>
      </c>
      <c r="AH931" s="0" t="n">
        <v>1</v>
      </c>
      <c r="AJ931" s="0" t="n">
        <v>41</v>
      </c>
      <c r="AP931" s="0" t="n">
        <v>126000</v>
      </c>
      <c r="DB931" s="0" t="str">
        <f aca="false">IF($A931="","",IF($AE931&amp;""&lt;&gt;設定!$C$4,"対象外",IF($AH931=20,IF(OR($AJ931=10,$AJ931=11,$AJ931=18),"①病院一般",IF($AJ931=41,"②病院短期","対象外")),IF($AH931=5,IF($AJ931=30,"③特定消防","対象外"),IF(OR($AJ931=10,$AJ931=11,$AJ931=74),"④一般",IF(OR($AJ931=41,$AJ931=47),"⑤短期","対象外"))))))</f>
        <v>⑤短期</v>
      </c>
    </row>
    <row r="932" customFormat="false" ht="15" hidden="false" customHeight="false" outlineLevel="0" collapsed="false">
      <c r="A932" s="0" t="n">
        <v>31</v>
      </c>
      <c r="AA932" s="0" t="n">
        <v>21</v>
      </c>
      <c r="AB932" s="0" t="s">
        <v>496</v>
      </c>
      <c r="AD932" s="0" t="n">
        <v>12</v>
      </c>
      <c r="AE932" s="0" t="s">
        <v>96</v>
      </c>
      <c r="AH932" s="0" t="n">
        <v>1</v>
      </c>
      <c r="AJ932" s="0" t="n">
        <v>41</v>
      </c>
      <c r="AP932" s="0" t="n">
        <v>170000</v>
      </c>
      <c r="DB932" s="0" t="str">
        <f aca="false">IF($A932="","",IF($AE932&amp;""&lt;&gt;設定!$C$4,"対象外",IF($AH932=20,IF(OR($AJ932=10,$AJ932=11,$AJ932=18),"①病院一般",IF($AJ932=41,"②病院短期","対象外")),IF($AH932=5,IF($AJ932=30,"③特定消防","対象外"),IF(OR($AJ932=10,$AJ932=11,$AJ932=74),"④一般",IF(OR($AJ932=41,$AJ932=47),"⑤短期","対象外"))))))</f>
        <v>⑤短期</v>
      </c>
    </row>
    <row r="933" customFormat="false" ht="15" hidden="false" customHeight="false" outlineLevel="0" collapsed="false">
      <c r="A933" s="0" t="n">
        <v>31</v>
      </c>
      <c r="AA933" s="0" t="n">
        <v>21</v>
      </c>
      <c r="AB933" s="0" t="s">
        <v>494</v>
      </c>
      <c r="AD933" s="0" t="n">
        <v>12</v>
      </c>
      <c r="AE933" s="0" t="s">
        <v>96</v>
      </c>
      <c r="AH933" s="0" t="n">
        <v>1</v>
      </c>
      <c r="AJ933" s="0" t="n">
        <v>41</v>
      </c>
      <c r="AP933" s="0" t="n">
        <v>190000</v>
      </c>
      <c r="DB933" s="0" t="str">
        <f aca="false">IF($A933="","",IF($AE933&amp;""&lt;&gt;設定!$C$4,"対象外",IF($AH933=20,IF(OR($AJ933=10,$AJ933=11,$AJ933=18),"①病院一般",IF($AJ933=41,"②病院短期","対象外")),IF($AH933=5,IF($AJ933=30,"③特定消防","対象外"),IF(OR($AJ933=10,$AJ933=11,$AJ933=74),"④一般",IF(OR($AJ933=41,$AJ933=47),"⑤短期","対象外"))))))</f>
        <v>⑤短期</v>
      </c>
    </row>
    <row r="934" customFormat="false" ht="15" hidden="false" customHeight="false" outlineLevel="0" collapsed="false">
      <c r="A934" s="0" t="n">
        <v>31</v>
      </c>
      <c r="AA934" s="0" t="n">
        <v>21</v>
      </c>
      <c r="AB934" s="0" t="s">
        <v>96</v>
      </c>
      <c r="AD934" s="0" t="n">
        <v>12</v>
      </c>
      <c r="AE934" s="0" t="s">
        <v>336</v>
      </c>
      <c r="AH934" s="0" t="n">
        <v>1</v>
      </c>
      <c r="AJ934" s="0" t="n">
        <v>41</v>
      </c>
      <c r="AP934" s="0" t="n">
        <v>150000</v>
      </c>
      <c r="DB934" s="0" t="str">
        <f aca="false">IF($A934="","",IF($AE934&amp;""&lt;&gt;設定!$C$4,"対象外",IF($AH934=20,IF(OR($AJ934=10,$AJ934=11,$AJ934=18),"①病院一般",IF($AJ934=41,"②病院短期","対象外")),IF($AH934=5,IF($AJ934=30,"③特定消防","対象外"),IF(OR($AJ934=10,$AJ934=11,$AJ934=74),"④一般",IF(OR($AJ934=41,$AJ934=47),"⑤短期","対象外"))))))</f>
        <v>対象外</v>
      </c>
    </row>
    <row r="935" customFormat="false" ht="15" hidden="false" customHeight="false" outlineLevel="0" collapsed="false">
      <c r="A935" s="0" t="n">
        <v>31</v>
      </c>
      <c r="AA935" s="0" t="n">
        <v>21</v>
      </c>
      <c r="AB935" s="0" t="s">
        <v>494</v>
      </c>
      <c r="AD935" s="0" t="n">
        <v>12</v>
      </c>
      <c r="AE935" s="0" t="s">
        <v>299</v>
      </c>
      <c r="AH935" s="0" t="n">
        <v>1</v>
      </c>
      <c r="AJ935" s="0" t="n">
        <v>41</v>
      </c>
      <c r="AP935" s="0" t="n">
        <v>126000</v>
      </c>
      <c r="DB935" s="0" t="str">
        <f aca="false">IF($A935="","",IF($AE935&amp;""&lt;&gt;設定!$C$4,"対象外",IF($AH935=20,IF(OR($AJ935=10,$AJ935=11,$AJ935=18),"①病院一般",IF($AJ935=41,"②病院短期","対象外")),IF($AH935=5,IF($AJ935=30,"③特定消防","対象外"),IF(OR($AJ935=10,$AJ935=11,$AJ935=74),"④一般",IF(OR($AJ935=41,$AJ935=47),"⑤短期","対象外"))))))</f>
        <v>対象外</v>
      </c>
    </row>
    <row r="936" customFormat="false" ht="15" hidden="false" customHeight="false" outlineLevel="0" collapsed="false">
      <c r="A936" s="0" t="n">
        <v>31</v>
      </c>
      <c r="AA936" s="0" t="n">
        <v>21</v>
      </c>
      <c r="AB936" s="0" t="s">
        <v>324</v>
      </c>
      <c r="AD936" s="0" t="n">
        <v>12</v>
      </c>
      <c r="AE936" s="0" t="s">
        <v>325</v>
      </c>
      <c r="AH936" s="0" t="n">
        <v>1</v>
      </c>
      <c r="AJ936" s="0" t="n">
        <v>41</v>
      </c>
      <c r="AP936" s="0" t="n">
        <v>150000</v>
      </c>
      <c r="DB936" s="0" t="str">
        <f aca="false">IF($A936="","",IF($AE936&amp;""&lt;&gt;設定!$C$4,"対象外",IF($AH936=20,IF(OR($AJ936=10,$AJ936=11,$AJ936=18),"①病院一般",IF($AJ936=41,"②病院短期","対象外")),IF($AH936=5,IF($AJ936=30,"③特定消防","対象外"),IF(OR($AJ936=10,$AJ936=11,$AJ936=74),"④一般",IF(OR($AJ936=41,$AJ936=47),"⑤短期","対象外"))))))</f>
        <v>対象外</v>
      </c>
    </row>
    <row r="937" customFormat="false" ht="15" hidden="false" customHeight="false" outlineLevel="0" collapsed="false">
      <c r="A937" s="0" t="n">
        <v>31</v>
      </c>
      <c r="AA937" s="0" t="n">
        <v>21</v>
      </c>
      <c r="AB937" s="0" t="s">
        <v>496</v>
      </c>
      <c r="AD937" s="0" t="n">
        <v>12</v>
      </c>
      <c r="AE937" s="0" t="s">
        <v>96</v>
      </c>
      <c r="AH937" s="0" t="n">
        <v>11</v>
      </c>
      <c r="AJ937" s="0" t="n">
        <v>41</v>
      </c>
      <c r="AP937" s="0" t="n">
        <v>160000</v>
      </c>
      <c r="DB937" s="0" t="str">
        <f aca="false">IF($A937="","",IF($AE937&amp;""&lt;&gt;設定!$C$4,"対象外",IF($AH937=20,IF(OR($AJ937=10,$AJ937=11,$AJ937=18),"①病院一般",IF($AJ937=41,"②病院短期","対象外")),IF($AH937=5,IF($AJ937=30,"③特定消防","対象外"),IF(OR($AJ937=10,$AJ937=11,$AJ937=74),"④一般",IF(OR($AJ937=41,$AJ937=47),"⑤短期","対象外"))))))</f>
        <v>⑤短期</v>
      </c>
    </row>
    <row r="938" customFormat="false" ht="15" hidden="false" customHeight="false" outlineLevel="0" collapsed="false">
      <c r="A938" s="0" t="n">
        <v>31</v>
      </c>
      <c r="AA938" s="0" t="n">
        <v>24</v>
      </c>
      <c r="AB938" s="0" t="s">
        <v>539</v>
      </c>
      <c r="AD938" s="0" t="n">
        <v>12</v>
      </c>
      <c r="AE938" s="0" t="s">
        <v>96</v>
      </c>
      <c r="AH938" s="0" t="n">
        <v>1</v>
      </c>
      <c r="AJ938" s="0" t="n">
        <v>41</v>
      </c>
      <c r="AP938" s="0" t="n">
        <v>142000</v>
      </c>
      <c r="DB938" s="0" t="str">
        <f aca="false">IF($A938="","",IF($AE938&amp;""&lt;&gt;設定!$C$4,"対象外",IF($AH938=20,IF(OR($AJ938=10,$AJ938=11,$AJ938=18),"①病院一般",IF($AJ938=41,"②病院短期","対象外")),IF($AH938=5,IF($AJ938=30,"③特定消防","対象外"),IF(OR($AJ938=10,$AJ938=11,$AJ938=74),"④一般",IF(OR($AJ938=41,$AJ938=47),"⑤短期","対象外"))))))</f>
        <v>⑤短期</v>
      </c>
    </row>
    <row r="939" customFormat="false" ht="15" hidden="false" customHeight="false" outlineLevel="0" collapsed="false">
      <c r="A939" s="0" t="n">
        <v>31</v>
      </c>
      <c r="AA939" s="0" t="n">
        <v>21</v>
      </c>
      <c r="AB939" s="0" t="s">
        <v>496</v>
      </c>
      <c r="AD939" s="0" t="n">
        <v>12</v>
      </c>
      <c r="AE939" s="0" t="s">
        <v>96</v>
      </c>
      <c r="AH939" s="0" t="n">
        <v>1</v>
      </c>
      <c r="AJ939" s="0" t="n">
        <v>41</v>
      </c>
      <c r="AP939" s="0" t="n">
        <v>170000</v>
      </c>
      <c r="DB939" s="0" t="str">
        <f aca="false">IF($A939="","",IF($AE939&amp;""&lt;&gt;設定!$C$4,"対象外",IF($AH939=20,IF(OR($AJ939=10,$AJ939=11,$AJ939=18),"①病院一般",IF($AJ939=41,"②病院短期","対象外")),IF($AH939=5,IF($AJ939=30,"③特定消防","対象外"),IF(OR($AJ939=10,$AJ939=11,$AJ939=74),"④一般",IF(OR($AJ939=41,$AJ939=47),"⑤短期","対象外"))))))</f>
        <v>⑤短期</v>
      </c>
    </row>
    <row r="940" customFormat="false" ht="15" hidden="false" customHeight="false" outlineLevel="0" collapsed="false">
      <c r="A940" s="0" t="n">
        <v>31</v>
      </c>
      <c r="AA940" s="0" t="n">
        <v>24</v>
      </c>
      <c r="AB940" s="0" t="s">
        <v>496</v>
      </c>
      <c r="AD940" s="0" t="n">
        <v>12</v>
      </c>
      <c r="AE940" s="0" t="s">
        <v>96</v>
      </c>
      <c r="AH940" s="0" t="n">
        <v>1</v>
      </c>
      <c r="AJ940" s="0" t="n">
        <v>41</v>
      </c>
      <c r="AP940" s="0" t="n">
        <v>180000</v>
      </c>
      <c r="DB940" s="0" t="str">
        <f aca="false">IF($A940="","",IF($AE940&amp;""&lt;&gt;設定!$C$4,"対象外",IF($AH940=20,IF(OR($AJ940=10,$AJ940=11,$AJ940=18),"①病院一般",IF($AJ940=41,"②病院短期","対象外")),IF($AH940=5,IF($AJ940=30,"③特定消防","対象外"),IF(OR($AJ940=10,$AJ940=11,$AJ940=74),"④一般",IF(OR($AJ940=41,$AJ940=47),"⑤短期","対象外"))))))</f>
        <v>⑤短期</v>
      </c>
    </row>
    <row r="941" customFormat="false" ht="15" hidden="false" customHeight="false" outlineLevel="0" collapsed="false">
      <c r="A941" s="0" t="n">
        <v>31</v>
      </c>
      <c r="AA941" s="0" t="n">
        <v>21</v>
      </c>
      <c r="AB941" s="0" t="s">
        <v>509</v>
      </c>
      <c r="AD941" s="0" t="n">
        <v>12</v>
      </c>
      <c r="AE941" s="0" t="s">
        <v>96</v>
      </c>
      <c r="AH941" s="0" t="n">
        <v>1</v>
      </c>
      <c r="AJ941" s="0" t="n">
        <v>41</v>
      </c>
      <c r="AP941" s="0" t="n">
        <v>240000</v>
      </c>
      <c r="DB941" s="0" t="str">
        <f aca="false">IF($A941="","",IF($AE941&amp;""&lt;&gt;設定!$C$4,"対象外",IF($AH941=20,IF(OR($AJ941=10,$AJ941=11,$AJ941=18),"①病院一般",IF($AJ941=41,"②病院短期","対象外")),IF($AH941=5,IF($AJ941=30,"③特定消防","対象外"),IF(OR($AJ941=10,$AJ941=11,$AJ941=74),"④一般",IF(OR($AJ941=41,$AJ941=47),"⑤短期","対象外"))))))</f>
        <v>⑤短期</v>
      </c>
    </row>
    <row r="942" customFormat="false" ht="15" hidden="false" customHeight="false" outlineLevel="0" collapsed="false">
      <c r="A942" s="0" t="n">
        <v>31</v>
      </c>
      <c r="AA942" s="0" t="n">
        <v>21</v>
      </c>
      <c r="AB942" s="0" t="s">
        <v>496</v>
      </c>
      <c r="AD942" s="0" t="n">
        <v>12</v>
      </c>
      <c r="AE942" s="0" t="s">
        <v>296</v>
      </c>
      <c r="AH942" s="0" t="n">
        <v>20</v>
      </c>
      <c r="AJ942" s="0" t="n">
        <v>41</v>
      </c>
      <c r="AP942" s="0" t="n">
        <v>180000</v>
      </c>
      <c r="DB942" s="0" t="str">
        <f aca="false">IF($A942="","",IF($AE942&amp;""&lt;&gt;設定!$C$4,"対象外",IF($AH942=20,IF(OR($AJ942=10,$AJ942=11,$AJ942=18),"①病院一般",IF($AJ942=41,"②病院短期","対象外")),IF($AH942=5,IF($AJ942=30,"③特定消防","対象外"),IF(OR($AJ942=10,$AJ942=11,$AJ942=74),"④一般",IF(OR($AJ942=41,$AJ942=47),"⑤短期","対象外"))))))</f>
        <v>対象外</v>
      </c>
    </row>
    <row r="943" customFormat="false" ht="15" hidden="false" customHeight="false" outlineLevel="0" collapsed="false">
      <c r="A943" s="0" t="n">
        <v>31</v>
      </c>
      <c r="AA943" s="0" t="n">
        <v>21</v>
      </c>
      <c r="AB943" s="0" t="s">
        <v>496</v>
      </c>
      <c r="AD943" s="0" t="n">
        <v>12</v>
      </c>
      <c r="AE943" s="0" t="s">
        <v>296</v>
      </c>
      <c r="AH943" s="0" t="n">
        <v>20</v>
      </c>
      <c r="AJ943" s="0" t="n">
        <v>41</v>
      </c>
      <c r="AP943" s="0" t="n">
        <v>240000</v>
      </c>
      <c r="DB943" s="0" t="str">
        <f aca="false">IF($A943="","",IF($AE943&amp;""&lt;&gt;設定!$C$4,"対象外",IF($AH943=20,IF(OR($AJ943=10,$AJ943=11,$AJ943=18),"①病院一般",IF($AJ943=41,"②病院短期","対象外")),IF($AH943=5,IF($AJ943=30,"③特定消防","対象外"),IF(OR($AJ943=10,$AJ943=11,$AJ943=74),"④一般",IF(OR($AJ943=41,$AJ943=47),"⑤短期","対象外"))))))</f>
        <v>対象外</v>
      </c>
    </row>
    <row r="944" customFormat="false" ht="15" hidden="false" customHeight="false" outlineLevel="0" collapsed="false">
      <c r="A944" s="0" t="n">
        <v>31</v>
      </c>
      <c r="AA944" s="0" t="n">
        <v>21</v>
      </c>
      <c r="AB944" s="0" t="s">
        <v>496</v>
      </c>
      <c r="AD944" s="0" t="n">
        <v>12</v>
      </c>
      <c r="AE944" s="0" t="s">
        <v>96</v>
      </c>
      <c r="AH944" s="0" t="n">
        <v>1</v>
      </c>
      <c r="AJ944" s="0" t="n">
        <v>41</v>
      </c>
      <c r="AP944" s="0" t="n">
        <v>126000</v>
      </c>
      <c r="DB944" s="0" t="str">
        <f aca="false">IF($A944="","",IF($AE944&amp;""&lt;&gt;設定!$C$4,"対象外",IF($AH944=20,IF(OR($AJ944=10,$AJ944=11,$AJ944=18),"①病院一般",IF($AJ944=41,"②病院短期","対象外")),IF($AH944=5,IF($AJ944=30,"③特定消防","対象外"),IF(OR($AJ944=10,$AJ944=11,$AJ944=74),"④一般",IF(OR($AJ944=41,$AJ944=47),"⑤短期","対象外"))))))</f>
        <v>⑤短期</v>
      </c>
    </row>
    <row r="945" customFormat="false" ht="15" hidden="false" customHeight="false" outlineLevel="0" collapsed="false">
      <c r="A945" s="0" t="n">
        <v>31</v>
      </c>
      <c r="AA945" s="0" t="n">
        <v>21</v>
      </c>
      <c r="AB945" s="0" t="s">
        <v>496</v>
      </c>
      <c r="AD945" s="0" t="n">
        <v>12</v>
      </c>
      <c r="AE945" s="0" t="s">
        <v>96</v>
      </c>
      <c r="AH945" s="0" t="n">
        <v>1</v>
      </c>
      <c r="AJ945" s="0" t="n">
        <v>41</v>
      </c>
      <c r="AP945" s="0" t="n">
        <v>200000</v>
      </c>
      <c r="DB945" s="0" t="str">
        <f aca="false">IF($A945="","",IF($AE945&amp;""&lt;&gt;設定!$C$4,"対象外",IF($AH945=20,IF(OR($AJ945=10,$AJ945=11,$AJ945=18),"①病院一般",IF($AJ945=41,"②病院短期","対象外")),IF($AH945=5,IF($AJ945=30,"③特定消防","対象外"),IF(OR($AJ945=10,$AJ945=11,$AJ945=74),"④一般",IF(OR($AJ945=41,$AJ945=47),"⑤短期","対象外"))))))</f>
        <v>⑤短期</v>
      </c>
    </row>
    <row r="946" customFormat="false" ht="15" hidden="false" customHeight="false" outlineLevel="0" collapsed="false">
      <c r="A946" s="0" t="n">
        <v>31</v>
      </c>
      <c r="AA946" s="0" t="n">
        <v>21</v>
      </c>
      <c r="AB946" s="0" t="s">
        <v>496</v>
      </c>
      <c r="AD946" s="0" t="n">
        <v>12</v>
      </c>
      <c r="AE946" s="0" t="s">
        <v>96</v>
      </c>
      <c r="AH946" s="0" t="n">
        <v>1</v>
      </c>
      <c r="AJ946" s="0" t="n">
        <v>41</v>
      </c>
      <c r="AP946" s="0" t="n">
        <v>170000</v>
      </c>
      <c r="DB946" s="0" t="str">
        <f aca="false">IF($A946="","",IF($AE946&amp;""&lt;&gt;設定!$C$4,"対象外",IF($AH946=20,IF(OR($AJ946=10,$AJ946=11,$AJ946=18),"①病院一般",IF($AJ946=41,"②病院短期","対象外")),IF($AH946=5,IF($AJ946=30,"③特定消防","対象外"),IF(OR($AJ946=10,$AJ946=11,$AJ946=74),"④一般",IF(OR($AJ946=41,$AJ946=47),"⑤短期","対象外"))))))</f>
        <v>⑤短期</v>
      </c>
    </row>
    <row r="947" customFormat="false" ht="15" hidden="false" customHeight="false" outlineLevel="0" collapsed="false">
      <c r="A947" s="0" t="n">
        <v>31</v>
      </c>
      <c r="AA947" s="0" t="n">
        <v>21</v>
      </c>
      <c r="AB947" s="0" t="s">
        <v>496</v>
      </c>
      <c r="AD947" s="0" t="n">
        <v>12</v>
      </c>
      <c r="AE947" s="0" t="s">
        <v>96</v>
      </c>
      <c r="AH947" s="0" t="n">
        <v>1</v>
      </c>
      <c r="AJ947" s="0" t="n">
        <v>41</v>
      </c>
      <c r="AP947" s="0" t="n">
        <v>200000</v>
      </c>
      <c r="DB947" s="0" t="str">
        <f aca="false">IF($A947="","",IF($AE947&amp;""&lt;&gt;設定!$C$4,"対象外",IF($AH947=20,IF(OR($AJ947=10,$AJ947=11,$AJ947=18),"①病院一般",IF($AJ947=41,"②病院短期","対象外")),IF($AH947=5,IF($AJ947=30,"③特定消防","対象外"),IF(OR($AJ947=10,$AJ947=11,$AJ947=74),"④一般",IF(OR($AJ947=41,$AJ947=47),"⑤短期","対象外"))))))</f>
        <v>⑤短期</v>
      </c>
    </row>
    <row r="948" customFormat="false" ht="15" hidden="false" customHeight="false" outlineLevel="0" collapsed="false">
      <c r="A948" s="0" t="n">
        <v>31</v>
      </c>
      <c r="AA948" s="0" t="n">
        <v>21</v>
      </c>
      <c r="AB948" s="0" t="s">
        <v>496</v>
      </c>
      <c r="AD948" s="0" t="n">
        <v>12</v>
      </c>
      <c r="AE948" s="0" t="s">
        <v>96</v>
      </c>
      <c r="AH948" s="0" t="n">
        <v>1</v>
      </c>
      <c r="AJ948" s="0" t="n">
        <v>41</v>
      </c>
      <c r="AP948" s="0" t="n">
        <v>200000</v>
      </c>
      <c r="DB948" s="0" t="str">
        <f aca="false">IF($A948="","",IF($AE948&amp;""&lt;&gt;設定!$C$4,"対象外",IF($AH948=20,IF(OR($AJ948=10,$AJ948=11,$AJ948=18),"①病院一般",IF($AJ948=41,"②病院短期","対象外")),IF($AH948=5,IF($AJ948=30,"③特定消防","対象外"),IF(OR($AJ948=10,$AJ948=11,$AJ948=74),"④一般",IF(OR($AJ948=41,$AJ948=47),"⑤短期","対象外"))))))</f>
        <v>⑤短期</v>
      </c>
    </row>
    <row r="949" customFormat="false" ht="15" hidden="false" customHeight="false" outlineLevel="0" collapsed="false">
      <c r="A949" s="0" t="n">
        <v>31</v>
      </c>
      <c r="AA949" s="0" t="n">
        <v>21</v>
      </c>
      <c r="AB949" s="0" t="s">
        <v>496</v>
      </c>
      <c r="AD949" s="0" t="n">
        <v>12</v>
      </c>
      <c r="AE949" s="0" t="s">
        <v>96</v>
      </c>
      <c r="AH949" s="0" t="n">
        <v>1</v>
      </c>
      <c r="AJ949" s="0" t="n">
        <v>41</v>
      </c>
      <c r="AP949" s="0" t="n">
        <v>170000</v>
      </c>
      <c r="DB949" s="0" t="str">
        <f aca="false">IF($A949="","",IF($AE949&amp;""&lt;&gt;設定!$C$4,"対象外",IF($AH949=20,IF(OR($AJ949=10,$AJ949=11,$AJ949=18),"①病院一般",IF($AJ949=41,"②病院短期","対象外")),IF($AH949=5,IF($AJ949=30,"③特定消防","対象外"),IF(OR($AJ949=10,$AJ949=11,$AJ949=74),"④一般",IF(OR($AJ949=41,$AJ949=47),"⑤短期","対象外"))))))</f>
        <v>⑤短期</v>
      </c>
    </row>
    <row r="950" customFormat="false" ht="15" hidden="false" customHeight="false" outlineLevel="0" collapsed="false">
      <c r="A950" s="0" t="n">
        <v>31</v>
      </c>
      <c r="AA950" s="0" t="n">
        <v>21</v>
      </c>
      <c r="AB950" s="0" t="s">
        <v>496</v>
      </c>
      <c r="AD950" s="0" t="n">
        <v>12</v>
      </c>
      <c r="AE950" s="0" t="s">
        <v>96</v>
      </c>
      <c r="AH950" s="0" t="n">
        <v>1</v>
      </c>
      <c r="AJ950" s="0" t="n">
        <v>41</v>
      </c>
      <c r="AP950" s="0" t="n">
        <v>190000</v>
      </c>
      <c r="DB950" s="0" t="str">
        <f aca="false">IF($A950="","",IF($AE950&amp;""&lt;&gt;設定!$C$4,"対象外",IF($AH950=20,IF(OR($AJ950=10,$AJ950=11,$AJ950=18),"①病院一般",IF($AJ950=41,"②病院短期","対象外")),IF($AH950=5,IF($AJ950=30,"③特定消防","対象外"),IF(OR($AJ950=10,$AJ950=11,$AJ950=74),"④一般",IF(OR($AJ950=41,$AJ950=47),"⑤短期","対象外"))))))</f>
        <v>⑤短期</v>
      </c>
    </row>
    <row r="951" customFormat="false" ht="15" hidden="false" customHeight="false" outlineLevel="0" collapsed="false">
      <c r="A951" s="0" t="n">
        <v>31</v>
      </c>
      <c r="AA951" s="0" t="n">
        <v>21</v>
      </c>
      <c r="AB951" s="0" t="s">
        <v>496</v>
      </c>
      <c r="AD951" s="0" t="n">
        <v>12</v>
      </c>
      <c r="AE951" s="0" t="s">
        <v>96</v>
      </c>
      <c r="AH951" s="0" t="n">
        <v>1</v>
      </c>
      <c r="AJ951" s="0" t="n">
        <v>41</v>
      </c>
      <c r="AP951" s="0" t="n">
        <v>200000</v>
      </c>
      <c r="DB951" s="0" t="str">
        <f aca="false">IF($A951="","",IF($AE951&amp;""&lt;&gt;設定!$C$4,"対象外",IF($AH951=20,IF(OR($AJ951=10,$AJ951=11,$AJ951=18),"①病院一般",IF($AJ951=41,"②病院短期","対象外")),IF($AH951=5,IF($AJ951=30,"③特定消防","対象外"),IF(OR($AJ951=10,$AJ951=11,$AJ951=74),"④一般",IF(OR($AJ951=41,$AJ951=47),"⑤短期","対象外"))))))</f>
        <v>⑤短期</v>
      </c>
    </row>
    <row r="952" customFormat="false" ht="15" hidden="false" customHeight="false" outlineLevel="0" collapsed="false">
      <c r="A952" s="0" t="n">
        <v>31</v>
      </c>
      <c r="AA952" s="0" t="n">
        <v>21</v>
      </c>
      <c r="AB952" s="0" t="s">
        <v>496</v>
      </c>
      <c r="AD952" s="0" t="n">
        <v>12</v>
      </c>
      <c r="AE952" s="0" t="s">
        <v>96</v>
      </c>
      <c r="AH952" s="0" t="n">
        <v>1</v>
      </c>
      <c r="AJ952" s="0" t="n">
        <v>41</v>
      </c>
      <c r="AP952" s="0" t="n">
        <v>220000</v>
      </c>
      <c r="DB952" s="0" t="str">
        <f aca="false">IF($A952="","",IF($AE952&amp;""&lt;&gt;設定!$C$4,"対象外",IF($AH952=20,IF(OR($AJ952=10,$AJ952=11,$AJ952=18),"①病院一般",IF($AJ952=41,"②病院短期","対象外")),IF($AH952=5,IF($AJ952=30,"③特定消防","対象外"),IF(OR($AJ952=10,$AJ952=11,$AJ952=74),"④一般",IF(OR($AJ952=41,$AJ952=47),"⑤短期","対象外"))))))</f>
        <v>⑤短期</v>
      </c>
    </row>
    <row r="953" customFormat="false" ht="15" hidden="false" customHeight="false" outlineLevel="0" collapsed="false">
      <c r="A953" s="0" t="n">
        <v>31</v>
      </c>
      <c r="AA953" s="0" t="n">
        <v>24</v>
      </c>
      <c r="AB953" s="0" t="s">
        <v>526</v>
      </c>
      <c r="AD953" s="0" t="n">
        <v>12</v>
      </c>
      <c r="AE953" s="0" t="s">
        <v>299</v>
      </c>
      <c r="AH953" s="0" t="n">
        <v>1</v>
      </c>
      <c r="AJ953" s="0" t="n">
        <v>41</v>
      </c>
      <c r="AP953" s="0" t="n">
        <v>126000</v>
      </c>
      <c r="DB953" s="0" t="str">
        <f aca="false">IF($A953="","",IF($AE953&amp;""&lt;&gt;設定!$C$4,"対象外",IF($AH953=20,IF(OR($AJ953=10,$AJ953=11,$AJ953=18),"①病院一般",IF($AJ953=41,"②病院短期","対象外")),IF($AH953=5,IF($AJ953=30,"③特定消防","対象外"),IF(OR($AJ953=10,$AJ953=11,$AJ953=74),"④一般",IF(OR($AJ953=41,$AJ953=47),"⑤短期","対象外"))))))</f>
        <v>対象外</v>
      </c>
    </row>
    <row r="954" customFormat="false" ht="15" hidden="false" customHeight="false" outlineLevel="0" collapsed="false">
      <c r="A954" s="0" t="n">
        <v>31</v>
      </c>
      <c r="AA954" s="0" t="n">
        <v>21</v>
      </c>
      <c r="AB954" s="0" t="s">
        <v>496</v>
      </c>
      <c r="AD954" s="0" t="n">
        <v>12</v>
      </c>
      <c r="AE954" s="0" t="s">
        <v>96</v>
      </c>
      <c r="AH954" s="0" t="n">
        <v>1</v>
      </c>
      <c r="AJ954" s="0" t="n">
        <v>41</v>
      </c>
      <c r="AP954" s="0" t="n">
        <v>134000</v>
      </c>
      <c r="DB954" s="0" t="str">
        <f aca="false">IF($A954="","",IF($AE954&amp;""&lt;&gt;設定!$C$4,"対象外",IF($AH954=20,IF(OR($AJ954=10,$AJ954=11,$AJ954=18),"①病院一般",IF($AJ954=41,"②病院短期","対象外")),IF($AH954=5,IF($AJ954=30,"③特定消防","対象外"),IF(OR($AJ954=10,$AJ954=11,$AJ954=74),"④一般",IF(OR($AJ954=41,$AJ954=47),"⑤短期","対象外"))))))</f>
        <v>⑤短期</v>
      </c>
    </row>
    <row r="955" customFormat="false" ht="15" hidden="false" customHeight="false" outlineLevel="0" collapsed="false">
      <c r="A955" s="0" t="n">
        <v>31</v>
      </c>
      <c r="AA955" s="0" t="n">
        <v>24</v>
      </c>
      <c r="AB955" s="0" t="s">
        <v>540</v>
      </c>
      <c r="AD955" s="0" t="n">
        <v>12</v>
      </c>
      <c r="AE955" s="0" t="s">
        <v>299</v>
      </c>
      <c r="AH955" s="0" t="n">
        <v>1</v>
      </c>
      <c r="AJ955" s="0" t="n">
        <v>41</v>
      </c>
      <c r="AP955" s="0" t="n">
        <v>134000</v>
      </c>
      <c r="DB955" s="0" t="str">
        <f aca="false">IF($A955="","",IF($AE955&amp;""&lt;&gt;設定!$C$4,"対象外",IF($AH955=20,IF(OR($AJ955=10,$AJ955=11,$AJ955=18),"①病院一般",IF($AJ955=41,"②病院短期","対象外")),IF($AH955=5,IF($AJ955=30,"③特定消防","対象外"),IF(OR($AJ955=10,$AJ955=11,$AJ955=74),"④一般",IF(OR($AJ955=41,$AJ955=47),"⑤短期","対象外"))))))</f>
        <v>対象外</v>
      </c>
    </row>
    <row r="956" customFormat="false" ht="15" hidden="false" customHeight="false" outlineLevel="0" collapsed="false">
      <c r="A956" s="0" t="n">
        <v>31</v>
      </c>
      <c r="AA956" s="0" t="n">
        <v>21</v>
      </c>
      <c r="AB956" s="0" t="s">
        <v>458</v>
      </c>
      <c r="AD956" s="0" t="n">
        <v>12</v>
      </c>
      <c r="AE956" s="0" t="s">
        <v>96</v>
      </c>
      <c r="AH956" s="0" t="n">
        <v>1</v>
      </c>
      <c r="AJ956" s="0" t="n">
        <v>10</v>
      </c>
      <c r="AP956" s="0" t="n">
        <v>260000</v>
      </c>
      <c r="DB956" s="0" t="str">
        <f aca="false">IF($A956="","",IF($AE956&amp;""&lt;&gt;設定!$C$4,"対象外",IF($AH956=20,IF(OR($AJ956=10,$AJ956=11,$AJ956=18),"①病院一般",IF($AJ956=41,"②病院短期","対象外")),IF($AH956=5,IF($AJ956=30,"③特定消防","対象外"),IF(OR($AJ956=10,$AJ956=11,$AJ956=74),"④一般",IF(OR($AJ956=41,$AJ956=47),"⑤短期","対象外"))))))</f>
        <v>④一般</v>
      </c>
    </row>
    <row r="957" customFormat="false" ht="15" hidden="false" customHeight="false" outlineLevel="0" collapsed="false">
      <c r="A957" s="0" t="n">
        <v>31</v>
      </c>
      <c r="AA957" s="0" t="n">
        <v>21</v>
      </c>
      <c r="AB957" s="0" t="s">
        <v>496</v>
      </c>
      <c r="AD957" s="0" t="n">
        <v>12</v>
      </c>
      <c r="AE957" s="0" t="s">
        <v>96</v>
      </c>
      <c r="AH957" s="0" t="n">
        <v>1</v>
      </c>
      <c r="AJ957" s="0" t="n">
        <v>41</v>
      </c>
      <c r="AP957" s="0" t="n">
        <v>126000</v>
      </c>
      <c r="DB957" s="0" t="str">
        <f aca="false">IF($A957="","",IF($AE957&amp;""&lt;&gt;設定!$C$4,"対象外",IF($AH957=20,IF(OR($AJ957=10,$AJ957=11,$AJ957=18),"①病院一般",IF($AJ957=41,"②病院短期","対象外")),IF($AH957=5,IF($AJ957=30,"③特定消防","対象外"),IF(OR($AJ957=10,$AJ957=11,$AJ957=74),"④一般",IF(OR($AJ957=41,$AJ957=47),"⑤短期","対象外"))))))</f>
        <v>⑤短期</v>
      </c>
    </row>
    <row r="958" customFormat="false" ht="15" hidden="false" customHeight="false" outlineLevel="0" collapsed="false">
      <c r="A958" s="0" t="n">
        <v>31</v>
      </c>
      <c r="AA958" s="0" t="n">
        <v>21</v>
      </c>
      <c r="AB958" s="0" t="s">
        <v>496</v>
      </c>
      <c r="AD958" s="0" t="n">
        <v>12</v>
      </c>
      <c r="AE958" s="0" t="s">
        <v>96</v>
      </c>
      <c r="AH958" s="0" t="n">
        <v>1</v>
      </c>
      <c r="AJ958" s="0" t="n">
        <v>41</v>
      </c>
      <c r="AP958" s="0" t="n">
        <v>190000</v>
      </c>
      <c r="DB958" s="0" t="str">
        <f aca="false">IF($A958="","",IF($AE958&amp;""&lt;&gt;設定!$C$4,"対象外",IF($AH958=20,IF(OR($AJ958=10,$AJ958=11,$AJ958=18),"①病院一般",IF($AJ958=41,"②病院短期","対象外")),IF($AH958=5,IF($AJ958=30,"③特定消防","対象外"),IF(OR($AJ958=10,$AJ958=11,$AJ958=74),"④一般",IF(OR($AJ958=41,$AJ958=47),"⑤短期","対象外"))))))</f>
        <v>⑤短期</v>
      </c>
    </row>
    <row r="959" customFormat="false" ht="15" hidden="false" customHeight="false" outlineLevel="0" collapsed="false">
      <c r="A959" s="0" t="n">
        <v>31</v>
      </c>
      <c r="AA959" s="0" t="n">
        <v>24</v>
      </c>
      <c r="AB959" s="0" t="s">
        <v>96</v>
      </c>
      <c r="AD959" s="0" t="n">
        <v>12</v>
      </c>
      <c r="AE959" s="0" t="s">
        <v>301</v>
      </c>
      <c r="AH959" s="0" t="n">
        <v>27</v>
      </c>
      <c r="AJ959" s="0" t="n">
        <v>41</v>
      </c>
      <c r="AP959" s="0" t="n">
        <v>190000</v>
      </c>
      <c r="DB959" s="0" t="str">
        <f aca="false">IF($A959="","",IF($AE959&amp;""&lt;&gt;設定!$C$4,"対象外",IF($AH959=20,IF(OR($AJ959=10,$AJ959=11,$AJ959=18),"①病院一般",IF($AJ959=41,"②病院短期","対象外")),IF($AH959=5,IF($AJ959=30,"③特定消防","対象外"),IF(OR($AJ959=10,$AJ959=11,$AJ959=74),"④一般",IF(OR($AJ959=41,$AJ959=47),"⑤短期","対象外"))))))</f>
        <v>対象外</v>
      </c>
    </row>
    <row r="960" customFormat="false" ht="15" hidden="false" customHeight="false" outlineLevel="0" collapsed="false">
      <c r="A960" s="0" t="n">
        <v>31</v>
      </c>
      <c r="AA960" s="0" t="n">
        <v>21</v>
      </c>
      <c r="AB960" s="0" t="s">
        <v>496</v>
      </c>
      <c r="AD960" s="0" t="n">
        <v>12</v>
      </c>
      <c r="AE960" s="0" t="s">
        <v>96</v>
      </c>
      <c r="AH960" s="0" t="n">
        <v>11</v>
      </c>
      <c r="AJ960" s="0" t="n">
        <v>41</v>
      </c>
      <c r="AP960" s="0" t="n">
        <v>170000</v>
      </c>
      <c r="DB960" s="0" t="str">
        <f aca="false">IF($A960="","",IF($AE960&amp;""&lt;&gt;設定!$C$4,"対象外",IF($AH960=20,IF(OR($AJ960=10,$AJ960=11,$AJ960=18),"①病院一般",IF($AJ960=41,"②病院短期","対象外")),IF($AH960=5,IF($AJ960=30,"③特定消防","対象外"),IF(OR($AJ960=10,$AJ960=11,$AJ960=74),"④一般",IF(OR($AJ960=41,$AJ960=47),"⑤短期","対象外"))))))</f>
        <v>⑤短期</v>
      </c>
    </row>
    <row r="961" customFormat="false" ht="15" hidden="false" customHeight="false" outlineLevel="0" collapsed="false">
      <c r="A961" s="0" t="n">
        <v>31</v>
      </c>
      <c r="AA961" s="0" t="n">
        <v>21</v>
      </c>
      <c r="AB961" s="0" t="s">
        <v>496</v>
      </c>
      <c r="AD961" s="0" t="n">
        <v>12</v>
      </c>
      <c r="AE961" s="0" t="s">
        <v>296</v>
      </c>
      <c r="AH961" s="0" t="n">
        <v>1</v>
      </c>
      <c r="AJ961" s="0" t="n">
        <v>41</v>
      </c>
      <c r="AP961" s="0" t="n">
        <v>170000</v>
      </c>
      <c r="DB961" s="0" t="str">
        <f aca="false">IF($A961="","",IF($AE961&amp;""&lt;&gt;設定!$C$4,"対象外",IF($AH961=20,IF(OR($AJ961=10,$AJ961=11,$AJ961=18),"①病院一般",IF($AJ961=41,"②病院短期","対象外")),IF($AH961=5,IF($AJ961=30,"③特定消防","対象外"),IF(OR($AJ961=10,$AJ961=11,$AJ961=74),"④一般",IF(OR($AJ961=41,$AJ961=47),"⑤短期","対象外"))))))</f>
        <v>対象外</v>
      </c>
    </row>
    <row r="962" customFormat="false" ht="15" hidden="false" customHeight="false" outlineLevel="0" collapsed="false">
      <c r="A962" s="0" t="n">
        <v>31</v>
      </c>
      <c r="AA962" s="0" t="n">
        <v>24</v>
      </c>
      <c r="AB962" s="0" t="s">
        <v>298</v>
      </c>
      <c r="AD962" s="0" t="n">
        <v>12</v>
      </c>
      <c r="AE962" s="0" t="s">
        <v>303</v>
      </c>
      <c r="AH962" s="0" t="n">
        <v>1</v>
      </c>
      <c r="AJ962" s="0" t="n">
        <v>41</v>
      </c>
      <c r="AP962" s="0" t="n">
        <v>142000</v>
      </c>
      <c r="DB962" s="0" t="str">
        <f aca="false">IF($A962="","",IF($AE962&amp;""&lt;&gt;設定!$C$4,"対象外",IF($AH962=20,IF(OR($AJ962=10,$AJ962=11,$AJ962=18),"①病院一般",IF($AJ962=41,"②病院短期","対象外")),IF($AH962=5,IF($AJ962=30,"③特定消防","対象外"),IF(OR($AJ962=10,$AJ962=11,$AJ962=74),"④一般",IF(OR($AJ962=41,$AJ962=47),"⑤短期","対象外"))))))</f>
        <v>対象外</v>
      </c>
    </row>
    <row r="963" customFormat="false" ht="15" hidden="false" customHeight="false" outlineLevel="0" collapsed="false">
      <c r="A963" s="0" t="n">
        <v>31</v>
      </c>
      <c r="AA963" s="0" t="n">
        <v>21</v>
      </c>
      <c r="AB963" s="0" t="s">
        <v>496</v>
      </c>
      <c r="AD963" s="0" t="n">
        <v>12</v>
      </c>
      <c r="AE963" s="0" t="s">
        <v>96</v>
      </c>
      <c r="AH963" s="0" t="n">
        <v>1</v>
      </c>
      <c r="AJ963" s="0" t="n">
        <v>41</v>
      </c>
      <c r="AP963" s="0" t="n">
        <v>110000</v>
      </c>
      <c r="DB963" s="0" t="str">
        <f aca="false">IF($A963="","",IF($AE963&amp;""&lt;&gt;設定!$C$4,"対象外",IF($AH963=20,IF(OR($AJ963=10,$AJ963=11,$AJ963=18),"①病院一般",IF($AJ963=41,"②病院短期","対象外")),IF($AH963=5,IF($AJ963=30,"③特定消防","対象外"),IF(OR($AJ963=10,$AJ963=11,$AJ963=74),"④一般",IF(OR($AJ963=41,$AJ963=47),"⑤短期","対象外"))))))</f>
        <v>⑤短期</v>
      </c>
    </row>
    <row r="964" customFormat="false" ht="15" hidden="false" customHeight="false" outlineLevel="0" collapsed="false">
      <c r="A964" s="0" t="n">
        <v>31</v>
      </c>
      <c r="AA964" s="0" t="n">
        <v>21</v>
      </c>
      <c r="AB964" s="0" t="s">
        <v>496</v>
      </c>
      <c r="AD964" s="0" t="n">
        <v>12</v>
      </c>
      <c r="AE964" s="0" t="s">
        <v>96</v>
      </c>
      <c r="AH964" s="0" t="n">
        <v>20</v>
      </c>
      <c r="AJ964" s="0" t="n">
        <v>41</v>
      </c>
      <c r="AP964" s="0" t="n">
        <v>300000</v>
      </c>
      <c r="DB964" s="0" t="str">
        <f aca="false">IF($A964="","",IF($AE964&amp;""&lt;&gt;設定!$C$4,"対象外",IF($AH964=20,IF(OR($AJ964=10,$AJ964=11,$AJ964=18),"①病院一般",IF($AJ964=41,"②病院短期","対象外")),IF($AH964=5,IF($AJ964=30,"③特定消防","対象外"),IF(OR($AJ964=10,$AJ964=11,$AJ964=74),"④一般",IF(OR($AJ964=41,$AJ964=47),"⑤短期","対象外"))))))</f>
        <v>②病院短期</v>
      </c>
    </row>
    <row r="965" customFormat="false" ht="15" hidden="false" customHeight="false" outlineLevel="0" collapsed="false">
      <c r="A965" s="0" t="n">
        <v>31</v>
      </c>
      <c r="AA965" s="0" t="n">
        <v>21</v>
      </c>
      <c r="AB965" s="0" t="s">
        <v>496</v>
      </c>
      <c r="AD965" s="0" t="n">
        <v>12</v>
      </c>
      <c r="AE965" s="0" t="s">
        <v>301</v>
      </c>
      <c r="AH965" s="0" t="n">
        <v>1</v>
      </c>
      <c r="AJ965" s="0" t="n">
        <v>41</v>
      </c>
      <c r="AP965" s="0" t="n">
        <v>220000</v>
      </c>
      <c r="DB965" s="0" t="str">
        <f aca="false">IF($A965="","",IF($AE965&amp;""&lt;&gt;設定!$C$4,"対象外",IF($AH965=20,IF(OR($AJ965=10,$AJ965=11,$AJ965=18),"①病院一般",IF($AJ965=41,"②病院短期","対象外")),IF($AH965=5,IF($AJ965=30,"③特定消防","対象外"),IF(OR($AJ965=10,$AJ965=11,$AJ965=74),"④一般",IF(OR($AJ965=41,$AJ965=47),"⑤短期","対象外"))))))</f>
        <v>対象外</v>
      </c>
    </row>
    <row r="966" customFormat="false" ht="15" hidden="false" customHeight="false" outlineLevel="0" collapsed="false">
      <c r="A966" s="0" t="n">
        <v>31</v>
      </c>
      <c r="AA966" s="0" t="n">
        <v>21</v>
      </c>
      <c r="AB966" s="0" t="s">
        <v>496</v>
      </c>
      <c r="AD966" s="0" t="n">
        <v>12</v>
      </c>
      <c r="AE966" s="0" t="s">
        <v>298</v>
      </c>
      <c r="AH966" s="0" t="n">
        <v>1</v>
      </c>
      <c r="AJ966" s="0" t="n">
        <v>41</v>
      </c>
      <c r="AP966" s="0" t="n">
        <v>126000</v>
      </c>
      <c r="DB966" s="0" t="str">
        <f aca="false">IF($A966="","",IF($AE966&amp;""&lt;&gt;設定!$C$4,"対象外",IF($AH966=20,IF(OR($AJ966=10,$AJ966=11,$AJ966=18),"①病院一般",IF($AJ966=41,"②病院短期","対象外")),IF($AH966=5,IF($AJ966=30,"③特定消防","対象外"),IF(OR($AJ966=10,$AJ966=11,$AJ966=74),"④一般",IF(OR($AJ966=41,$AJ966=47),"⑤短期","対象外"))))))</f>
        <v>対象外</v>
      </c>
    </row>
    <row r="967" customFormat="false" ht="15" hidden="false" customHeight="false" outlineLevel="0" collapsed="false">
      <c r="A967" s="0" t="n">
        <v>31</v>
      </c>
      <c r="AA967" s="0" t="n">
        <v>21</v>
      </c>
      <c r="AB967" s="0" t="s">
        <v>496</v>
      </c>
      <c r="AD967" s="0" t="n">
        <v>12</v>
      </c>
      <c r="AE967" s="0" t="s">
        <v>96</v>
      </c>
      <c r="AH967" s="0" t="n">
        <v>1</v>
      </c>
      <c r="AJ967" s="0" t="n">
        <v>41</v>
      </c>
      <c r="AP967" s="0" t="n">
        <v>200000</v>
      </c>
      <c r="DB967" s="0" t="str">
        <f aca="false">IF($A967="","",IF($AE967&amp;""&lt;&gt;設定!$C$4,"対象外",IF($AH967=20,IF(OR($AJ967=10,$AJ967=11,$AJ967=18),"①病院一般",IF($AJ967=41,"②病院短期","対象外")),IF($AH967=5,IF($AJ967=30,"③特定消防","対象外"),IF(OR($AJ967=10,$AJ967=11,$AJ967=74),"④一般",IF(OR($AJ967=41,$AJ967=47),"⑤短期","対象外"))))))</f>
        <v>⑤短期</v>
      </c>
    </row>
    <row r="968" customFormat="false" ht="15" hidden="false" customHeight="false" outlineLevel="0" collapsed="false">
      <c r="A968" s="0" t="n">
        <v>31</v>
      </c>
      <c r="AA968" s="0" t="n">
        <v>21</v>
      </c>
      <c r="AB968" s="0" t="s">
        <v>496</v>
      </c>
      <c r="AD968" s="0" t="n">
        <v>12</v>
      </c>
      <c r="AE968" s="0" t="s">
        <v>96</v>
      </c>
      <c r="AH968" s="0" t="n">
        <v>1</v>
      </c>
      <c r="AJ968" s="0" t="n">
        <v>41</v>
      </c>
      <c r="AP968" s="0" t="n">
        <v>180000</v>
      </c>
      <c r="DB968" s="0" t="str">
        <f aca="false">IF($A968="","",IF($AE968&amp;""&lt;&gt;設定!$C$4,"対象外",IF($AH968=20,IF(OR($AJ968=10,$AJ968=11,$AJ968=18),"①病院一般",IF($AJ968=41,"②病院短期","対象外")),IF($AH968=5,IF($AJ968=30,"③特定消防","対象外"),IF(OR($AJ968=10,$AJ968=11,$AJ968=74),"④一般",IF(OR($AJ968=41,$AJ968=47),"⑤短期","対象外"))))))</f>
        <v>⑤短期</v>
      </c>
    </row>
    <row r="969" customFormat="false" ht="15" hidden="false" customHeight="false" outlineLevel="0" collapsed="false">
      <c r="A969" s="0" t="n">
        <v>31</v>
      </c>
      <c r="AA969" s="0" t="n">
        <v>21</v>
      </c>
      <c r="AB969" s="0" t="s">
        <v>496</v>
      </c>
      <c r="AD969" s="0" t="n">
        <v>12</v>
      </c>
      <c r="AE969" s="0" t="s">
        <v>96</v>
      </c>
      <c r="AH969" s="0" t="n">
        <v>1</v>
      </c>
      <c r="AJ969" s="0" t="n">
        <v>41</v>
      </c>
      <c r="AP969" s="0" t="n">
        <v>220000</v>
      </c>
      <c r="DB969" s="0" t="str">
        <f aca="false">IF($A969="","",IF($AE969&amp;""&lt;&gt;設定!$C$4,"対象外",IF($AH969=20,IF(OR($AJ969=10,$AJ969=11,$AJ969=18),"①病院一般",IF($AJ969=41,"②病院短期","対象外")),IF($AH969=5,IF($AJ969=30,"③特定消防","対象外"),IF(OR($AJ969=10,$AJ969=11,$AJ969=74),"④一般",IF(OR($AJ969=41,$AJ969=47),"⑤短期","対象外"))))))</f>
        <v>⑤短期</v>
      </c>
    </row>
    <row r="970" customFormat="false" ht="15" hidden="false" customHeight="false" outlineLevel="0" collapsed="false">
      <c r="A970" s="0" t="n">
        <v>31</v>
      </c>
      <c r="AA970" s="0" t="n">
        <v>21</v>
      </c>
      <c r="AB970" s="0" t="s">
        <v>505</v>
      </c>
      <c r="AD970" s="0" t="n">
        <v>12</v>
      </c>
      <c r="AE970" s="0" t="s">
        <v>323</v>
      </c>
      <c r="AH970" s="0" t="n">
        <v>11</v>
      </c>
      <c r="AJ970" s="0" t="n">
        <v>41</v>
      </c>
      <c r="AP970" s="0" t="n">
        <v>190000</v>
      </c>
      <c r="DB970" s="0" t="str">
        <f aca="false">IF($A970="","",IF($AE970&amp;""&lt;&gt;設定!$C$4,"対象外",IF($AH970=20,IF(OR($AJ970=10,$AJ970=11,$AJ970=18),"①病院一般",IF($AJ970=41,"②病院短期","対象外")),IF($AH970=5,IF($AJ970=30,"③特定消防","対象外"),IF(OR($AJ970=10,$AJ970=11,$AJ970=74),"④一般",IF(OR($AJ970=41,$AJ970=47),"⑤短期","対象外"))))))</f>
        <v>対象外</v>
      </c>
    </row>
    <row r="971" customFormat="false" ht="15" hidden="false" customHeight="false" outlineLevel="0" collapsed="false">
      <c r="A971" s="0" t="n">
        <v>31</v>
      </c>
      <c r="AA971" s="0" t="n">
        <v>21</v>
      </c>
      <c r="AB971" s="0" t="s">
        <v>496</v>
      </c>
      <c r="AD971" s="0" t="n">
        <v>12</v>
      </c>
      <c r="AE971" s="0" t="s">
        <v>96</v>
      </c>
      <c r="AH971" s="0" t="n">
        <v>4</v>
      </c>
      <c r="AJ971" s="0" t="n">
        <v>41</v>
      </c>
      <c r="AP971" s="0" t="n">
        <v>200000</v>
      </c>
      <c r="DB971" s="0" t="str">
        <f aca="false">IF($A971="","",IF($AE971&amp;""&lt;&gt;設定!$C$4,"対象外",IF($AH971=20,IF(OR($AJ971=10,$AJ971=11,$AJ971=18),"①病院一般",IF($AJ971=41,"②病院短期","対象外")),IF($AH971=5,IF($AJ971=30,"③特定消防","対象外"),IF(OR($AJ971=10,$AJ971=11,$AJ971=74),"④一般",IF(OR($AJ971=41,$AJ971=47),"⑤短期","対象外"))))))</f>
        <v>⑤短期</v>
      </c>
    </row>
    <row r="972" customFormat="false" ht="15" hidden="false" customHeight="false" outlineLevel="0" collapsed="false">
      <c r="A972" s="0" t="n">
        <v>31</v>
      </c>
      <c r="AA972" s="0" t="n">
        <v>21</v>
      </c>
      <c r="AB972" s="0" t="s">
        <v>458</v>
      </c>
      <c r="AD972" s="0" t="n">
        <v>12</v>
      </c>
      <c r="AE972" s="0" t="s">
        <v>296</v>
      </c>
      <c r="AH972" s="0" t="n">
        <v>1</v>
      </c>
      <c r="AJ972" s="0" t="n">
        <v>41</v>
      </c>
      <c r="AP972" s="0" t="n">
        <v>134000</v>
      </c>
      <c r="DB972" s="0" t="str">
        <f aca="false">IF($A972="","",IF($AE972&amp;""&lt;&gt;設定!$C$4,"対象外",IF($AH972=20,IF(OR($AJ972=10,$AJ972=11,$AJ972=18),"①病院一般",IF($AJ972=41,"②病院短期","対象外")),IF($AH972=5,IF($AJ972=30,"③特定消防","対象外"),IF(OR($AJ972=10,$AJ972=11,$AJ972=74),"④一般",IF(OR($AJ972=41,$AJ972=47),"⑤短期","対象外"))))))</f>
        <v>対象外</v>
      </c>
    </row>
    <row r="973" customFormat="false" ht="15" hidden="false" customHeight="false" outlineLevel="0" collapsed="false">
      <c r="A973" s="0" t="n">
        <v>31</v>
      </c>
      <c r="AA973" s="0" t="n">
        <v>24</v>
      </c>
      <c r="AB973" s="0" t="s">
        <v>314</v>
      </c>
      <c r="AD973" s="0" t="n">
        <v>12</v>
      </c>
      <c r="AE973" s="0" t="s">
        <v>301</v>
      </c>
      <c r="AH973" s="0" t="n">
        <v>1</v>
      </c>
      <c r="AJ973" s="0" t="n">
        <v>41</v>
      </c>
      <c r="AP973" s="0" t="n">
        <v>142000</v>
      </c>
      <c r="DB973" s="0" t="str">
        <f aca="false">IF($A973="","",IF($AE973&amp;""&lt;&gt;設定!$C$4,"対象外",IF($AH973=20,IF(OR($AJ973=10,$AJ973=11,$AJ973=18),"①病院一般",IF($AJ973=41,"②病院短期","対象外")),IF($AH973=5,IF($AJ973=30,"③特定消防","対象外"),IF(OR($AJ973=10,$AJ973=11,$AJ973=74),"④一般",IF(OR($AJ973=41,$AJ973=47),"⑤短期","対象外"))))))</f>
        <v>対象外</v>
      </c>
    </row>
    <row r="974" customFormat="false" ht="15" hidden="false" customHeight="false" outlineLevel="0" collapsed="false">
      <c r="A974" s="0" t="n">
        <v>31</v>
      </c>
      <c r="AA974" s="0" t="n">
        <v>21</v>
      </c>
      <c r="AB974" s="0" t="s">
        <v>541</v>
      </c>
      <c r="AD974" s="0" t="n">
        <v>12</v>
      </c>
      <c r="AE974" s="0" t="s">
        <v>96</v>
      </c>
      <c r="AH974" s="0" t="n">
        <v>1</v>
      </c>
      <c r="AJ974" s="0" t="n">
        <v>10</v>
      </c>
      <c r="AP974" s="0" t="n">
        <v>240000</v>
      </c>
      <c r="DB974" s="0" t="str">
        <f aca="false">IF($A974="","",IF($AE974&amp;""&lt;&gt;設定!$C$4,"対象外",IF($AH974=20,IF(OR($AJ974=10,$AJ974=11,$AJ974=18),"①病院一般",IF($AJ974=41,"②病院短期","対象外")),IF($AH974=5,IF($AJ974=30,"③特定消防","対象外"),IF(OR($AJ974=10,$AJ974=11,$AJ974=74),"④一般",IF(OR($AJ974=41,$AJ974=47),"⑤短期","対象外"))))))</f>
        <v>④一般</v>
      </c>
    </row>
    <row r="975" customFormat="false" ht="15" hidden="false" customHeight="false" outlineLevel="0" collapsed="false">
      <c r="A975" s="0" t="n">
        <v>31</v>
      </c>
      <c r="AA975" s="0" t="n">
        <v>21</v>
      </c>
      <c r="AB975" s="0" t="s">
        <v>496</v>
      </c>
      <c r="AD975" s="0" t="n">
        <v>12</v>
      </c>
      <c r="AE975" s="0" t="s">
        <v>96</v>
      </c>
      <c r="AH975" s="0" t="n">
        <v>1</v>
      </c>
      <c r="AJ975" s="0" t="n">
        <v>41</v>
      </c>
      <c r="AP975" s="0" t="n">
        <v>126000</v>
      </c>
      <c r="DB975" s="0" t="str">
        <f aca="false">IF($A975="","",IF($AE975&amp;""&lt;&gt;設定!$C$4,"対象外",IF($AH975=20,IF(OR($AJ975=10,$AJ975=11,$AJ975=18),"①病院一般",IF($AJ975=41,"②病院短期","対象外")),IF($AH975=5,IF($AJ975=30,"③特定消防","対象外"),IF(OR($AJ975=10,$AJ975=11,$AJ975=74),"④一般",IF(OR($AJ975=41,$AJ975=47),"⑤短期","対象外"))))))</f>
        <v>⑤短期</v>
      </c>
    </row>
    <row r="976" customFormat="false" ht="15" hidden="false" customHeight="false" outlineLevel="0" collapsed="false">
      <c r="A976" s="0" t="n">
        <v>31</v>
      </c>
      <c r="AA976" s="0" t="n">
        <v>21</v>
      </c>
      <c r="AB976" s="0" t="s">
        <v>496</v>
      </c>
      <c r="AD976" s="0" t="n">
        <v>12</v>
      </c>
      <c r="AE976" s="0" t="s">
        <v>96</v>
      </c>
      <c r="AH976" s="0" t="n">
        <v>1</v>
      </c>
      <c r="AJ976" s="0" t="n">
        <v>41</v>
      </c>
      <c r="AP976" s="0" t="n">
        <v>134000</v>
      </c>
      <c r="DB976" s="0" t="str">
        <f aca="false">IF($A976="","",IF($AE976&amp;""&lt;&gt;設定!$C$4,"対象外",IF($AH976=20,IF(OR($AJ976=10,$AJ976=11,$AJ976=18),"①病院一般",IF($AJ976=41,"②病院短期","対象外")),IF($AH976=5,IF($AJ976=30,"③特定消防","対象外"),IF(OR($AJ976=10,$AJ976=11,$AJ976=74),"④一般",IF(OR($AJ976=41,$AJ976=47),"⑤短期","対象外"))))))</f>
        <v>⑤短期</v>
      </c>
    </row>
    <row r="977" customFormat="false" ht="15" hidden="false" customHeight="false" outlineLevel="0" collapsed="false">
      <c r="A977" s="0" t="n">
        <v>31</v>
      </c>
      <c r="AA977" s="0" t="n">
        <v>24</v>
      </c>
      <c r="AB977" s="0" t="s">
        <v>542</v>
      </c>
      <c r="AD977" s="0" t="n">
        <v>12</v>
      </c>
      <c r="AE977" s="0" t="s">
        <v>294</v>
      </c>
      <c r="AH977" s="0" t="n">
        <v>1</v>
      </c>
      <c r="AJ977" s="0" t="n">
        <v>41</v>
      </c>
      <c r="AP977" s="0" t="n">
        <v>142000</v>
      </c>
      <c r="DB977" s="0" t="str">
        <f aca="false">IF($A977="","",IF($AE977&amp;""&lt;&gt;設定!$C$4,"対象外",IF($AH977=20,IF(OR($AJ977=10,$AJ977=11,$AJ977=18),"①病院一般",IF($AJ977=41,"②病院短期","対象外")),IF($AH977=5,IF($AJ977=30,"③特定消防","対象外"),IF(OR($AJ977=10,$AJ977=11,$AJ977=74),"④一般",IF(OR($AJ977=41,$AJ977=47),"⑤短期","対象外"))))))</f>
        <v>対象外</v>
      </c>
    </row>
    <row r="978" customFormat="false" ht="15" hidden="false" customHeight="false" outlineLevel="0" collapsed="false">
      <c r="A978" s="0" t="n">
        <v>31</v>
      </c>
      <c r="AA978" s="0" t="n">
        <v>21</v>
      </c>
      <c r="AB978" s="0" t="s">
        <v>496</v>
      </c>
      <c r="AD978" s="0" t="n">
        <v>12</v>
      </c>
      <c r="AE978" s="0" t="s">
        <v>96</v>
      </c>
      <c r="AH978" s="0" t="n">
        <v>1</v>
      </c>
      <c r="AJ978" s="0" t="n">
        <v>41</v>
      </c>
      <c r="AP978" s="0" t="n">
        <v>240000</v>
      </c>
      <c r="DB978" s="0" t="str">
        <f aca="false">IF($A978="","",IF($AE978&amp;""&lt;&gt;設定!$C$4,"対象外",IF($AH978=20,IF(OR($AJ978=10,$AJ978=11,$AJ978=18),"①病院一般",IF($AJ978=41,"②病院短期","対象外")),IF($AH978=5,IF($AJ978=30,"③特定消防","対象外"),IF(OR($AJ978=10,$AJ978=11,$AJ978=74),"④一般",IF(OR($AJ978=41,$AJ978=47),"⑤短期","対象外"))))))</f>
        <v>⑤短期</v>
      </c>
    </row>
    <row r="979" customFormat="false" ht="15" hidden="false" customHeight="false" outlineLevel="0" collapsed="false">
      <c r="A979" s="0" t="n">
        <v>31</v>
      </c>
      <c r="AA979" s="0" t="n">
        <v>21</v>
      </c>
      <c r="AB979" s="0" t="s">
        <v>496</v>
      </c>
      <c r="AD979" s="0" t="n">
        <v>12</v>
      </c>
      <c r="AE979" s="0" t="s">
        <v>96</v>
      </c>
      <c r="AH979" s="0" t="n">
        <v>1</v>
      </c>
      <c r="AJ979" s="0" t="n">
        <v>41</v>
      </c>
      <c r="AP979" s="0" t="n">
        <v>190000</v>
      </c>
      <c r="DB979" s="0" t="str">
        <f aca="false">IF($A979="","",IF($AE979&amp;""&lt;&gt;設定!$C$4,"対象外",IF($AH979=20,IF(OR($AJ979=10,$AJ979=11,$AJ979=18),"①病院一般",IF($AJ979=41,"②病院短期","対象外")),IF($AH979=5,IF($AJ979=30,"③特定消防","対象外"),IF(OR($AJ979=10,$AJ979=11,$AJ979=74),"④一般",IF(OR($AJ979=41,$AJ979=47),"⑤短期","対象外"))))))</f>
        <v>⑤短期</v>
      </c>
    </row>
    <row r="980" customFormat="false" ht="15" hidden="false" customHeight="false" outlineLevel="0" collapsed="false">
      <c r="A980" s="0" t="n">
        <v>31</v>
      </c>
      <c r="AA980" s="0" t="n">
        <v>24</v>
      </c>
      <c r="AB980" s="0" t="s">
        <v>494</v>
      </c>
      <c r="AD980" s="0" t="n">
        <v>12</v>
      </c>
      <c r="AE980" s="0" t="s">
        <v>96</v>
      </c>
      <c r="AH980" s="0" t="n">
        <v>1</v>
      </c>
      <c r="AJ980" s="0" t="n">
        <v>41</v>
      </c>
      <c r="AP980" s="0" t="n">
        <v>190000</v>
      </c>
      <c r="DB980" s="0" t="str">
        <f aca="false">IF($A980="","",IF($AE980&amp;""&lt;&gt;設定!$C$4,"対象外",IF($AH980=20,IF(OR($AJ980=10,$AJ980=11,$AJ980=18),"①病院一般",IF($AJ980=41,"②病院短期","対象外")),IF($AH980=5,IF($AJ980=30,"③特定消防","対象外"),IF(OR($AJ980=10,$AJ980=11,$AJ980=74),"④一般",IF(OR($AJ980=41,$AJ980=47),"⑤短期","対象外"))))))</f>
        <v>⑤短期</v>
      </c>
    </row>
    <row r="981" customFormat="false" ht="15" hidden="false" customHeight="false" outlineLevel="0" collapsed="false">
      <c r="A981" s="0" t="n">
        <v>31</v>
      </c>
      <c r="AA981" s="0" t="n">
        <v>21</v>
      </c>
      <c r="AB981" s="0" t="s">
        <v>496</v>
      </c>
      <c r="AD981" s="0" t="n">
        <v>12</v>
      </c>
      <c r="AE981" s="0" t="s">
        <v>96</v>
      </c>
      <c r="AH981" s="0" t="n">
        <v>1</v>
      </c>
      <c r="AJ981" s="0" t="n">
        <v>41</v>
      </c>
      <c r="AP981" s="0" t="n">
        <v>160000</v>
      </c>
      <c r="DB981" s="0" t="str">
        <f aca="false">IF($A981="","",IF($AE981&amp;""&lt;&gt;設定!$C$4,"対象外",IF($AH981=20,IF(OR($AJ981=10,$AJ981=11,$AJ981=18),"①病院一般",IF($AJ981=41,"②病院短期","対象外")),IF($AH981=5,IF($AJ981=30,"③特定消防","対象外"),IF(OR($AJ981=10,$AJ981=11,$AJ981=74),"④一般",IF(OR($AJ981=41,$AJ981=47),"⑤短期","対象外"))))))</f>
        <v>⑤短期</v>
      </c>
    </row>
    <row r="982" customFormat="false" ht="15" hidden="false" customHeight="false" outlineLevel="0" collapsed="false">
      <c r="A982" s="0" t="n">
        <v>31</v>
      </c>
      <c r="AA982" s="0" t="n">
        <v>21</v>
      </c>
      <c r="AB982" s="0" t="s">
        <v>540</v>
      </c>
      <c r="AD982" s="0" t="n">
        <v>12</v>
      </c>
      <c r="AE982" s="0" t="s">
        <v>296</v>
      </c>
      <c r="AH982" s="0" t="n">
        <v>1</v>
      </c>
      <c r="AJ982" s="0" t="n">
        <v>41</v>
      </c>
      <c r="AP982" s="0" t="n">
        <v>134000</v>
      </c>
      <c r="DB982" s="0" t="str">
        <f aca="false">IF($A982="","",IF($AE982&amp;""&lt;&gt;設定!$C$4,"対象外",IF($AH982=20,IF(OR($AJ982=10,$AJ982=11,$AJ982=18),"①病院一般",IF($AJ982=41,"②病院短期","対象外")),IF($AH982=5,IF($AJ982=30,"③特定消防","対象外"),IF(OR($AJ982=10,$AJ982=11,$AJ982=74),"④一般",IF(OR($AJ982=41,$AJ982=47),"⑤短期","対象外"))))))</f>
        <v>対象外</v>
      </c>
    </row>
    <row r="983" customFormat="false" ht="15" hidden="false" customHeight="false" outlineLevel="0" collapsed="false">
      <c r="A983" s="0" t="n">
        <v>31</v>
      </c>
      <c r="AA983" s="0" t="n">
        <v>21</v>
      </c>
      <c r="AB983" s="0" t="s">
        <v>505</v>
      </c>
      <c r="AD983" s="0" t="n">
        <v>12</v>
      </c>
      <c r="AE983" s="0" t="s">
        <v>323</v>
      </c>
      <c r="AH983" s="0" t="n">
        <v>11</v>
      </c>
      <c r="AJ983" s="0" t="n">
        <v>41</v>
      </c>
      <c r="AP983" s="0" t="n">
        <v>170000</v>
      </c>
      <c r="DB983" s="0" t="str">
        <f aca="false">IF($A983="","",IF($AE983&amp;""&lt;&gt;設定!$C$4,"対象外",IF($AH983=20,IF(OR($AJ983=10,$AJ983=11,$AJ983=18),"①病院一般",IF($AJ983=41,"②病院短期","対象外")),IF($AH983=5,IF($AJ983=30,"③特定消防","対象外"),IF(OR($AJ983=10,$AJ983=11,$AJ983=74),"④一般",IF(OR($AJ983=41,$AJ983=47),"⑤短期","対象外"))))))</f>
        <v>対象外</v>
      </c>
    </row>
    <row r="984" customFormat="false" ht="15" hidden="false" customHeight="false" outlineLevel="0" collapsed="false">
      <c r="A984" s="0" t="n">
        <v>31</v>
      </c>
      <c r="AA984" s="0" t="n">
        <v>21</v>
      </c>
      <c r="AB984" s="0" t="s">
        <v>496</v>
      </c>
      <c r="AD984" s="0" t="n">
        <v>12</v>
      </c>
      <c r="AE984" s="0" t="s">
        <v>345</v>
      </c>
      <c r="AH984" s="0" t="n">
        <v>1</v>
      </c>
      <c r="AJ984" s="0" t="n">
        <v>41</v>
      </c>
      <c r="AP984" s="0" t="n">
        <v>126000</v>
      </c>
      <c r="DB984" s="0" t="str">
        <f aca="false">IF($A984="","",IF($AE984&amp;""&lt;&gt;設定!$C$4,"対象外",IF($AH984=20,IF(OR($AJ984=10,$AJ984=11,$AJ984=18),"①病院一般",IF($AJ984=41,"②病院短期","対象外")),IF($AH984=5,IF($AJ984=30,"③特定消防","対象外"),IF(OR($AJ984=10,$AJ984=11,$AJ984=74),"④一般",IF(OR($AJ984=41,$AJ984=47),"⑤短期","対象外"))))))</f>
        <v>対象外</v>
      </c>
    </row>
    <row r="985" customFormat="false" ht="15" hidden="false" customHeight="false" outlineLevel="0" collapsed="false">
      <c r="A985" s="0" t="n">
        <v>31</v>
      </c>
      <c r="AA985" s="0" t="n">
        <v>21</v>
      </c>
      <c r="AB985" s="0" t="s">
        <v>496</v>
      </c>
      <c r="AD985" s="0" t="n">
        <v>12</v>
      </c>
      <c r="AE985" s="0" t="s">
        <v>96</v>
      </c>
      <c r="AH985" s="0" t="n">
        <v>1</v>
      </c>
      <c r="AJ985" s="0" t="n">
        <v>41</v>
      </c>
      <c r="AP985" s="0" t="n">
        <v>190000</v>
      </c>
      <c r="DB985" s="0" t="str">
        <f aca="false">IF($A985="","",IF($AE985&amp;""&lt;&gt;設定!$C$4,"対象外",IF($AH985=20,IF(OR($AJ985=10,$AJ985=11,$AJ985=18),"①病院一般",IF($AJ985=41,"②病院短期","対象外")),IF($AH985=5,IF($AJ985=30,"③特定消防","対象外"),IF(OR($AJ985=10,$AJ985=11,$AJ985=74),"④一般",IF(OR($AJ985=41,$AJ985=47),"⑤短期","対象外"))))))</f>
        <v>⑤短期</v>
      </c>
    </row>
    <row r="986" customFormat="false" ht="15" hidden="false" customHeight="false" outlineLevel="0" collapsed="false">
      <c r="A986" s="0" t="n">
        <v>31</v>
      </c>
      <c r="AA986" s="0" t="n">
        <v>21</v>
      </c>
      <c r="AB986" s="0" t="s">
        <v>496</v>
      </c>
      <c r="AD986" s="0" t="n">
        <v>12</v>
      </c>
      <c r="AE986" s="0" t="s">
        <v>96</v>
      </c>
      <c r="AH986" s="0" t="n">
        <v>11</v>
      </c>
      <c r="AJ986" s="0" t="n">
        <v>41</v>
      </c>
      <c r="AP986" s="0" t="n">
        <v>160000</v>
      </c>
      <c r="DB986" s="0" t="str">
        <f aca="false">IF($A986="","",IF($AE986&amp;""&lt;&gt;設定!$C$4,"対象外",IF($AH986=20,IF(OR($AJ986=10,$AJ986=11,$AJ986=18),"①病院一般",IF($AJ986=41,"②病院短期","対象外")),IF($AH986=5,IF($AJ986=30,"③特定消防","対象外"),IF(OR($AJ986=10,$AJ986=11,$AJ986=74),"④一般",IF(OR($AJ986=41,$AJ986=47),"⑤短期","対象外"))))))</f>
        <v>⑤短期</v>
      </c>
    </row>
    <row r="987" customFormat="false" ht="15" hidden="false" customHeight="false" outlineLevel="0" collapsed="false">
      <c r="A987" s="0" t="n">
        <v>31</v>
      </c>
      <c r="AA987" s="0" t="n">
        <v>21</v>
      </c>
      <c r="AB987" s="0" t="s">
        <v>496</v>
      </c>
      <c r="AD987" s="0" t="n">
        <v>12</v>
      </c>
      <c r="AE987" s="0" t="s">
        <v>96</v>
      </c>
      <c r="AH987" s="0" t="n">
        <v>1</v>
      </c>
      <c r="AJ987" s="0" t="n">
        <v>41</v>
      </c>
      <c r="AP987" s="0" t="n">
        <v>190000</v>
      </c>
      <c r="DB987" s="0" t="str">
        <f aca="false">IF($A987="","",IF($AE987&amp;""&lt;&gt;設定!$C$4,"対象外",IF($AH987=20,IF(OR($AJ987=10,$AJ987=11,$AJ987=18),"①病院一般",IF($AJ987=41,"②病院短期","対象外")),IF($AH987=5,IF($AJ987=30,"③特定消防","対象外"),IF(OR($AJ987=10,$AJ987=11,$AJ987=74),"④一般",IF(OR($AJ987=41,$AJ987=47),"⑤短期","対象外"))))))</f>
        <v>⑤短期</v>
      </c>
    </row>
    <row r="988" customFormat="false" ht="15" hidden="false" customHeight="false" outlineLevel="0" collapsed="false">
      <c r="A988" s="0" t="n">
        <v>31</v>
      </c>
      <c r="AA988" s="0" t="n">
        <v>21</v>
      </c>
      <c r="AB988" s="0" t="s">
        <v>493</v>
      </c>
      <c r="AD988" s="0" t="n">
        <v>12</v>
      </c>
      <c r="AE988" s="0" t="s">
        <v>96</v>
      </c>
      <c r="AH988" s="0" t="n">
        <v>1</v>
      </c>
      <c r="AJ988" s="0" t="n">
        <v>10</v>
      </c>
      <c r="AP988" s="0" t="n">
        <v>240000</v>
      </c>
      <c r="DB988" s="0" t="str">
        <f aca="false">IF($A988="","",IF($AE988&amp;""&lt;&gt;設定!$C$4,"対象外",IF($AH988=20,IF(OR($AJ988=10,$AJ988=11,$AJ988=18),"①病院一般",IF($AJ988=41,"②病院短期","対象外")),IF($AH988=5,IF($AJ988=30,"③特定消防","対象外"),IF(OR($AJ988=10,$AJ988=11,$AJ988=74),"④一般",IF(OR($AJ988=41,$AJ988=47),"⑤短期","対象外"))))))</f>
        <v>④一般</v>
      </c>
    </row>
    <row r="989" customFormat="false" ht="15" hidden="false" customHeight="false" outlineLevel="0" collapsed="false">
      <c r="A989" s="0" t="n">
        <v>31</v>
      </c>
      <c r="AA989" s="0" t="n">
        <v>21</v>
      </c>
      <c r="AB989" s="0" t="s">
        <v>496</v>
      </c>
      <c r="AD989" s="0" t="n">
        <v>12</v>
      </c>
      <c r="AE989" s="0" t="s">
        <v>96</v>
      </c>
      <c r="AH989" s="0" t="n">
        <v>1</v>
      </c>
      <c r="AJ989" s="0" t="n">
        <v>41</v>
      </c>
      <c r="AP989" s="0" t="n">
        <v>126000</v>
      </c>
      <c r="DB989" s="0" t="str">
        <f aca="false">IF($A989="","",IF($AE989&amp;""&lt;&gt;設定!$C$4,"対象外",IF($AH989=20,IF(OR($AJ989=10,$AJ989=11,$AJ989=18),"①病院一般",IF($AJ989=41,"②病院短期","対象外")),IF($AH989=5,IF($AJ989=30,"③特定消防","対象外"),IF(OR($AJ989=10,$AJ989=11,$AJ989=74),"④一般",IF(OR($AJ989=41,$AJ989=47),"⑤短期","対象外"))))))</f>
        <v>⑤短期</v>
      </c>
    </row>
    <row r="990" customFormat="false" ht="15" hidden="false" customHeight="false" outlineLevel="0" collapsed="false">
      <c r="A990" s="0" t="n">
        <v>31</v>
      </c>
      <c r="AA990" s="0" t="n">
        <v>21</v>
      </c>
      <c r="AB990" s="0" t="s">
        <v>496</v>
      </c>
      <c r="AD990" s="0" t="n">
        <v>12</v>
      </c>
      <c r="AE990" s="0" t="s">
        <v>96</v>
      </c>
      <c r="AH990" s="0" t="n">
        <v>1</v>
      </c>
      <c r="AJ990" s="0" t="n">
        <v>41</v>
      </c>
      <c r="AP990" s="0" t="n">
        <v>240000</v>
      </c>
      <c r="DB990" s="0" t="str">
        <f aca="false">IF($A990="","",IF($AE990&amp;""&lt;&gt;設定!$C$4,"対象外",IF($AH990=20,IF(OR($AJ990=10,$AJ990=11,$AJ990=18),"①病院一般",IF($AJ990=41,"②病院短期","対象外")),IF($AH990=5,IF($AJ990=30,"③特定消防","対象外"),IF(OR($AJ990=10,$AJ990=11,$AJ990=74),"④一般",IF(OR($AJ990=41,$AJ990=47),"⑤短期","対象外"))))))</f>
        <v>⑤短期</v>
      </c>
    </row>
    <row r="991" customFormat="false" ht="15" hidden="false" customHeight="false" outlineLevel="0" collapsed="false">
      <c r="A991" s="0" t="n">
        <v>31</v>
      </c>
      <c r="AA991" s="0" t="n">
        <v>21</v>
      </c>
      <c r="AB991" s="0" t="s">
        <v>496</v>
      </c>
      <c r="AD991" s="0" t="n">
        <v>12</v>
      </c>
      <c r="AE991" s="0" t="s">
        <v>96</v>
      </c>
      <c r="AH991" s="0" t="n">
        <v>1</v>
      </c>
      <c r="AJ991" s="0" t="n">
        <v>41</v>
      </c>
      <c r="AP991" s="0" t="n">
        <v>118000</v>
      </c>
      <c r="DB991" s="0" t="str">
        <f aca="false">IF($A991="","",IF($AE991&amp;""&lt;&gt;設定!$C$4,"対象外",IF($AH991=20,IF(OR($AJ991=10,$AJ991=11,$AJ991=18),"①病院一般",IF($AJ991=41,"②病院短期","対象外")),IF($AH991=5,IF($AJ991=30,"③特定消防","対象外"),IF(OR($AJ991=10,$AJ991=11,$AJ991=74),"④一般",IF(OR($AJ991=41,$AJ991=47),"⑤短期","対象外"))))))</f>
        <v>⑤短期</v>
      </c>
    </row>
    <row r="992" customFormat="false" ht="15" hidden="false" customHeight="false" outlineLevel="0" collapsed="false">
      <c r="A992" s="0" t="n">
        <v>31</v>
      </c>
      <c r="AA992" s="0" t="n">
        <v>21</v>
      </c>
      <c r="AB992" s="0" t="s">
        <v>502</v>
      </c>
      <c r="AD992" s="0" t="n">
        <v>11</v>
      </c>
      <c r="AE992" s="0" t="s">
        <v>96</v>
      </c>
      <c r="AH992" s="0" t="n">
        <v>1</v>
      </c>
      <c r="AJ992" s="0" t="n">
        <v>41</v>
      </c>
      <c r="AP992" s="0" t="n">
        <v>126000</v>
      </c>
      <c r="DB992" s="0" t="str">
        <f aca="false">IF($A992="","",IF($AE992&amp;""&lt;&gt;設定!$C$4,"対象外",IF($AH992=20,IF(OR($AJ992=10,$AJ992=11,$AJ992=18),"①病院一般",IF($AJ992=41,"②病院短期","対象外")),IF($AH992=5,IF($AJ992=30,"③特定消防","対象外"),IF(OR($AJ992=10,$AJ992=11,$AJ992=74),"④一般",IF(OR($AJ992=41,$AJ992=47),"⑤短期","対象外"))))))</f>
        <v>⑤短期</v>
      </c>
    </row>
    <row r="993" customFormat="false" ht="15" hidden="false" customHeight="false" outlineLevel="0" collapsed="false">
      <c r="A993" s="0" t="n">
        <v>31</v>
      </c>
      <c r="AA993" s="0" t="n">
        <v>21</v>
      </c>
      <c r="AB993" s="0" t="s">
        <v>543</v>
      </c>
      <c r="AD993" s="0" t="n">
        <v>12</v>
      </c>
      <c r="AE993" s="0" t="s">
        <v>96</v>
      </c>
      <c r="AH993" s="0" t="n">
        <v>1</v>
      </c>
      <c r="AJ993" s="0" t="n">
        <v>41</v>
      </c>
      <c r="AP993" s="0" t="n">
        <v>180000</v>
      </c>
      <c r="DB993" s="0" t="str">
        <f aca="false">IF($A993="","",IF($AE993&amp;""&lt;&gt;設定!$C$4,"対象外",IF($AH993=20,IF(OR($AJ993=10,$AJ993=11,$AJ993=18),"①病院一般",IF($AJ993=41,"②病院短期","対象外")),IF($AH993=5,IF($AJ993=30,"③特定消防","対象外"),IF(OR($AJ993=10,$AJ993=11,$AJ993=74),"④一般",IF(OR($AJ993=41,$AJ993=47),"⑤短期","対象外"))))))</f>
        <v>⑤短期</v>
      </c>
    </row>
    <row r="994" customFormat="false" ht="15" hidden="false" customHeight="false" outlineLevel="0" collapsed="false">
      <c r="A994" s="0" t="n">
        <v>31</v>
      </c>
      <c r="AA994" s="0" t="n">
        <v>21</v>
      </c>
      <c r="AB994" s="0" t="s">
        <v>494</v>
      </c>
      <c r="AD994" s="0" t="n">
        <v>12</v>
      </c>
      <c r="AE994" s="0" t="s">
        <v>299</v>
      </c>
      <c r="AH994" s="0" t="n">
        <v>1</v>
      </c>
      <c r="AJ994" s="0" t="n">
        <v>41</v>
      </c>
      <c r="AP994" s="0" t="n">
        <v>134000</v>
      </c>
      <c r="DB994" s="0" t="str">
        <f aca="false">IF($A994="","",IF($AE994&amp;""&lt;&gt;設定!$C$4,"対象外",IF($AH994=20,IF(OR($AJ994=10,$AJ994=11,$AJ994=18),"①病院一般",IF($AJ994=41,"②病院短期","対象外")),IF($AH994=5,IF($AJ994=30,"③特定消防","対象外"),IF(OR($AJ994=10,$AJ994=11,$AJ994=74),"④一般",IF(OR($AJ994=41,$AJ994=47),"⑤短期","対象外"))))))</f>
        <v>対象外</v>
      </c>
    </row>
    <row r="995" customFormat="false" ht="15" hidden="false" customHeight="false" outlineLevel="0" collapsed="false">
      <c r="A995" s="0" t="n">
        <v>31</v>
      </c>
      <c r="AA995" s="0" t="n">
        <v>21</v>
      </c>
      <c r="AB995" s="0" t="s">
        <v>526</v>
      </c>
      <c r="AD995" s="0" t="n">
        <v>12</v>
      </c>
      <c r="AE995" s="0" t="s">
        <v>96</v>
      </c>
      <c r="AH995" s="0" t="n">
        <v>1</v>
      </c>
      <c r="AJ995" s="0" t="n">
        <v>41</v>
      </c>
      <c r="AP995" s="0" t="n">
        <v>142000</v>
      </c>
      <c r="DB995" s="0" t="str">
        <f aca="false">IF($A995="","",IF($AE995&amp;""&lt;&gt;設定!$C$4,"対象外",IF($AH995=20,IF(OR($AJ995=10,$AJ995=11,$AJ995=18),"①病院一般",IF($AJ995=41,"②病院短期","対象外")),IF($AH995=5,IF($AJ995=30,"③特定消防","対象外"),IF(OR($AJ995=10,$AJ995=11,$AJ995=74),"④一般",IF(OR($AJ995=41,$AJ995=47),"⑤短期","対象外"))))))</f>
        <v>⑤短期</v>
      </c>
    </row>
    <row r="996" customFormat="false" ht="15" hidden="false" customHeight="false" outlineLevel="0" collapsed="false">
      <c r="A996" s="0" t="n">
        <v>31</v>
      </c>
      <c r="AA996" s="0" t="n">
        <v>24</v>
      </c>
      <c r="AB996" s="0" t="s">
        <v>96</v>
      </c>
      <c r="AD996" s="0" t="n">
        <v>12</v>
      </c>
      <c r="AE996" s="0" t="s">
        <v>296</v>
      </c>
      <c r="AH996" s="0" t="n">
        <v>1</v>
      </c>
      <c r="AJ996" s="0" t="n">
        <v>41</v>
      </c>
      <c r="AP996" s="0" t="n">
        <v>142000</v>
      </c>
      <c r="DB996" s="0" t="str">
        <f aca="false">IF($A996="","",IF($AE996&amp;""&lt;&gt;設定!$C$4,"対象外",IF($AH996=20,IF(OR($AJ996=10,$AJ996=11,$AJ996=18),"①病院一般",IF($AJ996=41,"②病院短期","対象外")),IF($AH996=5,IF($AJ996=30,"③特定消防","対象外"),IF(OR($AJ996=10,$AJ996=11,$AJ996=74),"④一般",IF(OR($AJ996=41,$AJ996=47),"⑤短期","対象外"))))))</f>
        <v>対象外</v>
      </c>
    </row>
    <row r="997" customFormat="false" ht="15" hidden="false" customHeight="false" outlineLevel="0" collapsed="false">
      <c r="A997" s="0" t="n">
        <v>31</v>
      </c>
      <c r="AA997" s="0" t="n">
        <v>21</v>
      </c>
      <c r="AB997" s="0" t="s">
        <v>496</v>
      </c>
      <c r="AD997" s="0" t="n">
        <v>12</v>
      </c>
      <c r="AE997" s="0" t="s">
        <v>298</v>
      </c>
      <c r="AH997" s="0" t="n">
        <v>1</v>
      </c>
      <c r="AJ997" s="0" t="n">
        <v>41</v>
      </c>
      <c r="AP997" s="0" t="n">
        <v>134000</v>
      </c>
      <c r="DB997" s="0" t="str">
        <f aca="false">IF($A997="","",IF($AE997&amp;""&lt;&gt;設定!$C$4,"対象外",IF($AH997=20,IF(OR($AJ997=10,$AJ997=11,$AJ997=18),"①病院一般",IF($AJ997=41,"②病院短期","対象外")),IF($AH997=5,IF($AJ997=30,"③特定消防","対象外"),IF(OR($AJ997=10,$AJ997=11,$AJ997=74),"④一般",IF(OR($AJ997=41,$AJ997=47),"⑤短期","対象外"))))))</f>
        <v>対象外</v>
      </c>
    </row>
    <row r="998" customFormat="false" ht="15" hidden="false" customHeight="false" outlineLevel="0" collapsed="false">
      <c r="A998" s="0" t="n">
        <v>31</v>
      </c>
      <c r="AA998" s="0" t="n">
        <v>21</v>
      </c>
      <c r="AB998" s="0" t="s">
        <v>496</v>
      </c>
      <c r="AD998" s="0" t="n">
        <v>12</v>
      </c>
      <c r="AE998" s="0" t="s">
        <v>96</v>
      </c>
      <c r="AH998" s="0" t="n">
        <v>1</v>
      </c>
      <c r="AJ998" s="0" t="n">
        <v>41</v>
      </c>
      <c r="AP998" s="0" t="n">
        <v>118000</v>
      </c>
      <c r="DB998" s="0" t="str">
        <f aca="false">IF($A998="","",IF($AE998&amp;""&lt;&gt;設定!$C$4,"対象外",IF($AH998=20,IF(OR($AJ998=10,$AJ998=11,$AJ998=18),"①病院一般",IF($AJ998=41,"②病院短期","対象外")),IF($AH998=5,IF($AJ998=30,"③特定消防","対象外"),IF(OR($AJ998=10,$AJ998=11,$AJ998=74),"④一般",IF(OR($AJ998=41,$AJ998=47),"⑤短期","対象外"))))))</f>
        <v>⑤短期</v>
      </c>
    </row>
    <row r="999" customFormat="false" ht="15" hidden="false" customHeight="false" outlineLevel="0" collapsed="false">
      <c r="A999" s="0" t="n">
        <v>31</v>
      </c>
      <c r="AA999" s="0" t="n">
        <v>24</v>
      </c>
      <c r="AB999" s="0" t="s">
        <v>342</v>
      </c>
      <c r="AD999" s="0" t="n">
        <v>12</v>
      </c>
      <c r="AE999" s="0" t="s">
        <v>343</v>
      </c>
      <c r="AH999" s="0" t="n">
        <v>1</v>
      </c>
      <c r="AJ999" s="0" t="n">
        <v>41</v>
      </c>
      <c r="AP999" s="0" t="n">
        <v>126000</v>
      </c>
      <c r="DB999" s="0" t="str">
        <f aca="false">IF($A999="","",IF($AE999&amp;""&lt;&gt;設定!$C$4,"対象外",IF($AH999=20,IF(OR($AJ999=10,$AJ999=11,$AJ999=18),"①病院一般",IF($AJ999=41,"②病院短期","対象外")),IF($AH999=5,IF($AJ999=30,"③特定消防","対象外"),IF(OR($AJ999=10,$AJ999=11,$AJ999=74),"④一般",IF(OR($AJ999=41,$AJ999=47),"⑤短期","対象外"))))))</f>
        <v>対象外</v>
      </c>
    </row>
    <row r="1000" customFormat="false" ht="15" hidden="false" customHeight="false" outlineLevel="0" collapsed="false">
      <c r="A1000" s="0" t="n">
        <v>31</v>
      </c>
      <c r="AA1000" s="0" t="n">
        <v>21</v>
      </c>
      <c r="AB1000" s="0" t="s">
        <v>496</v>
      </c>
      <c r="AD1000" s="0" t="n">
        <v>12</v>
      </c>
      <c r="AE1000" s="0" t="s">
        <v>96</v>
      </c>
      <c r="AH1000" s="0" t="n">
        <v>20</v>
      </c>
      <c r="AJ1000" s="0" t="n">
        <v>10</v>
      </c>
      <c r="AP1000" s="0" t="n">
        <v>750000</v>
      </c>
      <c r="DB1000" s="0" t="str">
        <f aca="false">IF($A1000="","",IF($AE1000&amp;""&lt;&gt;設定!$C$4,"対象外",IF($AH1000=20,IF(OR($AJ1000=10,$AJ1000=11,$AJ1000=18),"①病院一般",IF($AJ1000=41,"②病院短期","対象外")),IF($AH1000=5,IF($AJ1000=30,"③特定消防","対象外"),IF(OR($AJ1000=10,$AJ1000=11,$AJ1000=74),"④一般",IF(OR($AJ1000=41,$AJ1000=47),"⑤短期","対象外"))))))</f>
        <v>①病院一般</v>
      </c>
    </row>
    <row r="1001" customFormat="false" ht="15" hidden="false" customHeight="false" outlineLevel="0" collapsed="false">
      <c r="A1001" s="0" t="n">
        <v>31</v>
      </c>
      <c r="AA1001" s="0" t="n">
        <v>21</v>
      </c>
      <c r="AB1001" s="0" t="s">
        <v>496</v>
      </c>
      <c r="AD1001" s="0" t="n">
        <v>12</v>
      </c>
      <c r="AE1001" s="0" t="s">
        <v>96</v>
      </c>
      <c r="AH1001" s="0" t="n">
        <v>20</v>
      </c>
      <c r="AJ1001" s="0" t="n">
        <v>10</v>
      </c>
      <c r="AP1001" s="0" t="n">
        <v>620000</v>
      </c>
      <c r="DB1001" s="0" t="str">
        <f aca="false">IF($A1001="","",IF($AE1001&amp;""&lt;&gt;設定!$C$4,"対象外",IF($AH1001=20,IF(OR($AJ1001=10,$AJ1001=11,$AJ1001=18),"①病院一般",IF($AJ1001=41,"②病院短期","対象外")),IF($AH1001=5,IF($AJ1001=30,"③特定消防","対象外"),IF(OR($AJ1001=10,$AJ1001=11,$AJ1001=74),"④一般",IF(OR($AJ1001=41,$AJ1001=47),"⑤短期","対象外"))))))</f>
        <v>①病院一般</v>
      </c>
    </row>
    <row r="1002" customFormat="false" ht="15" hidden="false" customHeight="false" outlineLevel="0" collapsed="false">
      <c r="A1002" s="0" t="n">
        <v>31</v>
      </c>
      <c r="AA1002" s="0" t="n">
        <v>21</v>
      </c>
      <c r="AB1002" s="0" t="s">
        <v>496</v>
      </c>
      <c r="AD1002" s="0" t="n">
        <v>12</v>
      </c>
      <c r="AE1002" s="0" t="s">
        <v>96</v>
      </c>
      <c r="AH1002" s="0" t="n">
        <v>20</v>
      </c>
      <c r="AJ1002" s="0" t="n">
        <v>10</v>
      </c>
      <c r="AP1002" s="0" t="n">
        <v>830000</v>
      </c>
      <c r="DB1002" s="0" t="str">
        <f aca="false">IF($A1002="","",IF($AE1002&amp;""&lt;&gt;設定!$C$4,"対象外",IF($AH1002=20,IF(OR($AJ1002=10,$AJ1002=11,$AJ1002=18),"①病院一般",IF($AJ1002=41,"②病院短期","対象外")),IF($AH1002=5,IF($AJ1002=30,"③特定消防","対象外"),IF(OR($AJ1002=10,$AJ1002=11,$AJ1002=74),"④一般",IF(OR($AJ1002=41,$AJ1002=47),"⑤短期","対象外"))))))</f>
        <v>①病院一般</v>
      </c>
    </row>
    <row r="1003" customFormat="false" ht="15" hidden="false" customHeight="false" outlineLevel="0" collapsed="false">
      <c r="A1003" s="0" t="n">
        <v>31</v>
      </c>
      <c r="AA1003" s="0" t="n">
        <v>21</v>
      </c>
      <c r="AB1003" s="0" t="s">
        <v>496</v>
      </c>
      <c r="AD1003" s="0" t="n">
        <v>12</v>
      </c>
      <c r="AE1003" s="0" t="s">
        <v>96</v>
      </c>
      <c r="AH1003" s="0" t="n">
        <v>20</v>
      </c>
      <c r="AJ1003" s="0" t="n">
        <v>10</v>
      </c>
      <c r="AP1003" s="0" t="n">
        <v>750000</v>
      </c>
      <c r="DB1003" s="0" t="str">
        <f aca="false">IF($A1003="","",IF($AE1003&amp;""&lt;&gt;設定!$C$4,"対象外",IF($AH1003=20,IF(OR($AJ1003=10,$AJ1003=11,$AJ1003=18),"①病院一般",IF($AJ1003=41,"②病院短期","対象外")),IF($AH1003=5,IF($AJ1003=30,"③特定消防","対象外"),IF(OR($AJ1003=10,$AJ1003=11,$AJ1003=74),"④一般",IF(OR($AJ1003=41,$AJ1003=47),"⑤短期","対象外"))))))</f>
        <v>①病院一般</v>
      </c>
    </row>
    <row r="1004" customFormat="false" ht="15" hidden="false" customHeight="false" outlineLevel="0" collapsed="false">
      <c r="A1004" s="0" t="n">
        <v>31</v>
      </c>
      <c r="AA1004" s="0" t="n">
        <v>21</v>
      </c>
      <c r="AB1004" s="0" t="s">
        <v>496</v>
      </c>
      <c r="AD1004" s="0" t="n">
        <v>12</v>
      </c>
      <c r="AE1004" s="0" t="s">
        <v>96</v>
      </c>
      <c r="AH1004" s="0" t="n">
        <v>20</v>
      </c>
      <c r="AJ1004" s="0" t="n">
        <v>10</v>
      </c>
      <c r="AP1004" s="0" t="n">
        <v>750000</v>
      </c>
      <c r="DB1004" s="0" t="str">
        <f aca="false">IF($A1004="","",IF($AE1004&amp;""&lt;&gt;設定!$C$4,"対象外",IF($AH1004=20,IF(OR($AJ1004=10,$AJ1004=11,$AJ1004=18),"①病院一般",IF($AJ1004=41,"②病院短期","対象外")),IF($AH1004=5,IF($AJ1004=30,"③特定消防","対象外"),IF(OR($AJ1004=10,$AJ1004=11,$AJ1004=74),"④一般",IF(OR($AJ1004=41,$AJ1004=47),"⑤短期","対象外"))))))</f>
        <v>①病院一般</v>
      </c>
    </row>
    <row r="1005" customFormat="false" ht="15" hidden="false" customHeight="false" outlineLevel="0" collapsed="false">
      <c r="A1005" s="0" t="n">
        <v>31</v>
      </c>
      <c r="AA1005" s="0" t="n">
        <v>21</v>
      </c>
      <c r="AB1005" s="0" t="s">
        <v>496</v>
      </c>
      <c r="AD1005" s="0" t="n">
        <v>12</v>
      </c>
      <c r="AE1005" s="0" t="s">
        <v>96</v>
      </c>
      <c r="AH1005" s="0" t="n">
        <v>20</v>
      </c>
      <c r="AJ1005" s="0" t="n">
        <v>10</v>
      </c>
      <c r="AP1005" s="0" t="n">
        <v>710000</v>
      </c>
      <c r="DB1005" s="0" t="str">
        <f aca="false">IF($A1005="","",IF($AE1005&amp;""&lt;&gt;設定!$C$4,"対象外",IF($AH1005=20,IF(OR($AJ1005=10,$AJ1005=11,$AJ1005=18),"①病院一般",IF($AJ1005=41,"②病院短期","対象外")),IF($AH1005=5,IF($AJ1005=30,"③特定消防","対象外"),IF(OR($AJ1005=10,$AJ1005=11,$AJ1005=74),"④一般",IF(OR($AJ1005=41,$AJ1005=47),"⑤短期","対象外"))))))</f>
        <v>①病院一般</v>
      </c>
    </row>
    <row r="1006" customFormat="false" ht="15" hidden="false" customHeight="false" outlineLevel="0" collapsed="false">
      <c r="A1006" s="0" t="n">
        <v>31</v>
      </c>
      <c r="AA1006" s="0" t="n">
        <v>21</v>
      </c>
      <c r="AB1006" s="0" t="s">
        <v>496</v>
      </c>
      <c r="AD1006" s="0" t="n">
        <v>12</v>
      </c>
      <c r="AE1006" s="0" t="s">
        <v>96</v>
      </c>
      <c r="AH1006" s="0" t="n">
        <v>20</v>
      </c>
      <c r="AJ1006" s="0" t="n">
        <v>10</v>
      </c>
      <c r="AP1006" s="0" t="n">
        <v>930000</v>
      </c>
      <c r="DB1006" s="0" t="str">
        <f aca="false">IF($A1006="","",IF($AE1006&amp;""&lt;&gt;設定!$C$4,"対象外",IF($AH1006=20,IF(OR($AJ1006=10,$AJ1006=11,$AJ1006=18),"①病院一般",IF($AJ1006=41,"②病院短期","対象外")),IF($AH1006=5,IF($AJ1006=30,"③特定消防","対象外"),IF(OR($AJ1006=10,$AJ1006=11,$AJ1006=74),"④一般",IF(OR($AJ1006=41,$AJ1006=47),"⑤短期","対象外"))))))</f>
        <v>①病院一般</v>
      </c>
    </row>
    <row r="1007" customFormat="false" ht="15" hidden="false" customHeight="false" outlineLevel="0" collapsed="false">
      <c r="A1007" s="0" t="n">
        <v>31</v>
      </c>
      <c r="AA1007" s="0" t="n">
        <v>21</v>
      </c>
      <c r="AB1007" s="0" t="s">
        <v>496</v>
      </c>
      <c r="AD1007" s="0" t="n">
        <v>12</v>
      </c>
      <c r="AE1007" s="0" t="s">
        <v>96</v>
      </c>
      <c r="AH1007" s="0" t="n">
        <v>20</v>
      </c>
      <c r="AJ1007" s="0" t="n">
        <v>10</v>
      </c>
      <c r="AP1007" s="0" t="n">
        <v>680000</v>
      </c>
      <c r="DB1007" s="0" t="str">
        <f aca="false">IF($A1007="","",IF($AE1007&amp;""&lt;&gt;設定!$C$4,"対象外",IF($AH1007=20,IF(OR($AJ1007=10,$AJ1007=11,$AJ1007=18),"①病院一般",IF($AJ1007=41,"②病院短期","対象外")),IF($AH1007=5,IF($AJ1007=30,"③特定消防","対象外"),IF(OR($AJ1007=10,$AJ1007=11,$AJ1007=74),"④一般",IF(OR($AJ1007=41,$AJ1007=47),"⑤短期","対象外"))))))</f>
        <v>①病院一般</v>
      </c>
    </row>
    <row r="1008" customFormat="false" ht="15" hidden="false" customHeight="false" outlineLevel="0" collapsed="false">
      <c r="A1008" s="0" t="n">
        <v>31</v>
      </c>
      <c r="AA1008" s="0" t="n">
        <v>21</v>
      </c>
      <c r="AB1008" s="0" t="s">
        <v>496</v>
      </c>
      <c r="AD1008" s="0" t="n">
        <v>12</v>
      </c>
      <c r="AE1008" s="0" t="s">
        <v>298</v>
      </c>
      <c r="AH1008" s="0" t="n">
        <v>20</v>
      </c>
      <c r="AJ1008" s="0" t="n">
        <v>41</v>
      </c>
      <c r="AP1008" s="0" t="n">
        <v>160000</v>
      </c>
      <c r="DB1008" s="0" t="str">
        <f aca="false">IF($A1008="","",IF($AE1008&amp;""&lt;&gt;設定!$C$4,"対象外",IF($AH1008=20,IF(OR($AJ1008=10,$AJ1008=11,$AJ1008=18),"①病院一般",IF($AJ1008=41,"②病院短期","対象外")),IF($AH1008=5,IF($AJ1008=30,"③特定消防","対象外"),IF(OR($AJ1008=10,$AJ1008=11,$AJ1008=74),"④一般",IF(OR($AJ1008=41,$AJ1008=47),"⑤短期","対象外"))))))</f>
        <v>対象外</v>
      </c>
    </row>
    <row r="1009" customFormat="false" ht="15" hidden="false" customHeight="false" outlineLevel="0" collapsed="false">
      <c r="A1009" s="0" t="n">
        <v>31</v>
      </c>
      <c r="AA1009" s="0" t="n">
        <v>21</v>
      </c>
      <c r="AB1009" s="0" t="s">
        <v>496</v>
      </c>
      <c r="AD1009" s="0" t="n">
        <v>12</v>
      </c>
      <c r="AE1009" s="0" t="s">
        <v>96</v>
      </c>
      <c r="AH1009" s="0" t="n">
        <v>20</v>
      </c>
      <c r="AJ1009" s="0" t="n">
        <v>10</v>
      </c>
      <c r="AP1009" s="0" t="n">
        <v>830000</v>
      </c>
      <c r="DB1009" s="0" t="str">
        <f aca="false">IF($A1009="","",IF($AE1009&amp;""&lt;&gt;設定!$C$4,"対象外",IF($AH1009=20,IF(OR($AJ1009=10,$AJ1009=11,$AJ1009=18),"①病院一般",IF($AJ1009=41,"②病院短期","対象外")),IF($AH1009=5,IF($AJ1009=30,"③特定消防","対象外"),IF(OR($AJ1009=10,$AJ1009=11,$AJ1009=74),"④一般",IF(OR($AJ1009=41,$AJ1009=47),"⑤短期","対象外"))))))</f>
        <v>①病院一般</v>
      </c>
    </row>
    <row r="1010" customFormat="false" ht="15" hidden="false" customHeight="false" outlineLevel="0" collapsed="false">
      <c r="A1010" s="0" t="n">
        <v>31</v>
      </c>
      <c r="AA1010" s="0" t="n">
        <v>21</v>
      </c>
      <c r="AB1010" s="0" t="s">
        <v>496</v>
      </c>
      <c r="AD1010" s="0" t="n">
        <v>12</v>
      </c>
      <c r="AE1010" s="0" t="s">
        <v>96</v>
      </c>
      <c r="AH1010" s="0" t="n">
        <v>20</v>
      </c>
      <c r="AJ1010" s="0" t="n">
        <v>41</v>
      </c>
      <c r="AP1010" s="0" t="n">
        <v>170000</v>
      </c>
      <c r="DB1010" s="0" t="str">
        <f aca="false">IF($A1010="","",IF($AE1010&amp;""&lt;&gt;設定!$C$4,"対象外",IF($AH1010=20,IF(OR($AJ1010=10,$AJ1010=11,$AJ1010=18),"①病院一般",IF($AJ1010=41,"②病院短期","対象外")),IF($AH1010=5,IF($AJ1010=30,"③特定消防","対象外"),IF(OR($AJ1010=10,$AJ1010=11,$AJ1010=74),"④一般",IF(OR($AJ1010=41,$AJ1010=47),"⑤短期","対象外"))))))</f>
        <v>②病院短期</v>
      </c>
    </row>
    <row r="1011" customFormat="false" ht="15" hidden="false" customHeight="false" outlineLevel="0" collapsed="false">
      <c r="A1011" s="0" t="n">
        <v>31</v>
      </c>
      <c r="AA1011" s="0" t="n">
        <v>21</v>
      </c>
      <c r="AB1011" s="0" t="s">
        <v>496</v>
      </c>
      <c r="AD1011" s="0" t="n">
        <v>12</v>
      </c>
      <c r="AE1011" s="0" t="s">
        <v>301</v>
      </c>
      <c r="AH1011" s="0" t="n">
        <v>20</v>
      </c>
      <c r="AJ1011" s="0" t="n">
        <v>41</v>
      </c>
      <c r="AP1011" s="0" t="n">
        <v>160000</v>
      </c>
      <c r="DB1011" s="0" t="str">
        <f aca="false">IF($A1011="","",IF($AE1011&amp;""&lt;&gt;設定!$C$4,"対象外",IF($AH1011=20,IF(OR($AJ1011=10,$AJ1011=11,$AJ1011=18),"①病院一般",IF($AJ1011=41,"②病院短期","対象外")),IF($AH1011=5,IF($AJ1011=30,"③特定消防","対象外"),IF(OR($AJ1011=10,$AJ1011=11,$AJ1011=74),"④一般",IF(OR($AJ1011=41,$AJ1011=47),"⑤短期","対象外"))))))</f>
        <v>対象外</v>
      </c>
    </row>
    <row r="1012" customFormat="false" ht="15" hidden="false" customHeight="false" outlineLevel="0" collapsed="false">
      <c r="A1012" s="0" t="n">
        <v>31</v>
      </c>
      <c r="AA1012" s="0" t="n">
        <v>21</v>
      </c>
      <c r="AB1012" s="0" t="s">
        <v>496</v>
      </c>
      <c r="AD1012" s="0" t="n">
        <v>12</v>
      </c>
      <c r="AE1012" s="0" t="s">
        <v>96</v>
      </c>
      <c r="AH1012" s="0" t="n">
        <v>20</v>
      </c>
      <c r="AJ1012" s="0" t="n">
        <v>41</v>
      </c>
      <c r="AP1012" s="0" t="n">
        <v>160000</v>
      </c>
      <c r="DB1012" s="0" t="str">
        <f aca="false">IF($A1012="","",IF($AE1012&amp;""&lt;&gt;設定!$C$4,"対象外",IF($AH1012=20,IF(OR($AJ1012=10,$AJ1012=11,$AJ1012=18),"①病院一般",IF($AJ1012=41,"②病院短期","対象外")),IF($AH1012=5,IF($AJ1012=30,"③特定消防","対象外"),IF(OR($AJ1012=10,$AJ1012=11,$AJ1012=74),"④一般",IF(OR($AJ1012=41,$AJ1012=47),"⑤短期","対象外"))))))</f>
        <v>②病院短期</v>
      </c>
    </row>
    <row r="1013" customFormat="false" ht="15" hidden="false" customHeight="false" outlineLevel="0" collapsed="false">
      <c r="A1013" s="0" t="n">
        <v>31</v>
      </c>
      <c r="AA1013" s="0" t="n">
        <v>21</v>
      </c>
      <c r="AB1013" s="0" t="s">
        <v>496</v>
      </c>
      <c r="AD1013" s="0" t="n">
        <v>12</v>
      </c>
      <c r="AE1013" s="0" t="s">
        <v>96</v>
      </c>
      <c r="AH1013" s="0" t="n">
        <v>20</v>
      </c>
      <c r="AJ1013" s="0" t="n">
        <v>41</v>
      </c>
      <c r="AP1013" s="0" t="n">
        <v>160000</v>
      </c>
      <c r="DB1013" s="0" t="str">
        <f aca="false">IF($A1013="","",IF($AE1013&amp;""&lt;&gt;設定!$C$4,"対象外",IF($AH1013=20,IF(OR($AJ1013=10,$AJ1013=11,$AJ1013=18),"①病院一般",IF($AJ1013=41,"②病院短期","対象外")),IF($AH1013=5,IF($AJ1013=30,"③特定消防","対象外"),IF(OR($AJ1013=10,$AJ1013=11,$AJ1013=74),"④一般",IF(OR($AJ1013=41,$AJ1013=47),"⑤短期","対象外"))))))</f>
        <v>②病院短期</v>
      </c>
    </row>
    <row r="1014" customFormat="false" ht="15" hidden="false" customHeight="false" outlineLevel="0" collapsed="false">
      <c r="A1014" s="0" t="n">
        <v>31</v>
      </c>
      <c r="AA1014" s="0" t="n">
        <v>21</v>
      </c>
      <c r="AB1014" s="0" t="s">
        <v>496</v>
      </c>
      <c r="AD1014" s="0" t="n">
        <v>12</v>
      </c>
      <c r="AE1014" s="0" t="s">
        <v>96</v>
      </c>
      <c r="AH1014" s="0" t="n">
        <v>20</v>
      </c>
      <c r="AJ1014" s="0" t="n">
        <v>41</v>
      </c>
      <c r="AP1014" s="0" t="n">
        <v>170000</v>
      </c>
      <c r="DB1014" s="0" t="str">
        <f aca="false">IF($A1014="","",IF($AE1014&amp;""&lt;&gt;設定!$C$4,"対象外",IF($AH1014=20,IF(OR($AJ1014=10,$AJ1014=11,$AJ1014=18),"①病院一般",IF($AJ1014=41,"②病院短期","対象外")),IF($AH1014=5,IF($AJ1014=30,"③特定消防","対象外"),IF(OR($AJ1014=10,$AJ1014=11,$AJ1014=74),"④一般",IF(OR($AJ1014=41,$AJ1014=47),"⑤短期","対象外"))))))</f>
        <v>②病院短期</v>
      </c>
    </row>
    <row r="1015" customFormat="false" ht="15" hidden="false" customHeight="false" outlineLevel="0" collapsed="false">
      <c r="A1015" s="0" t="n">
        <v>31</v>
      </c>
      <c r="AA1015" s="0" t="n">
        <v>21</v>
      </c>
      <c r="AB1015" s="0" t="s">
        <v>496</v>
      </c>
      <c r="AD1015" s="0" t="n">
        <v>12</v>
      </c>
      <c r="AE1015" s="0" t="s">
        <v>96</v>
      </c>
      <c r="AH1015" s="0" t="n">
        <v>20</v>
      </c>
      <c r="AJ1015" s="0" t="n">
        <v>41</v>
      </c>
      <c r="AP1015" s="0" t="n">
        <v>170000</v>
      </c>
      <c r="DB1015" s="0" t="str">
        <f aca="false">IF($A1015="","",IF($AE1015&amp;""&lt;&gt;設定!$C$4,"対象外",IF($AH1015=20,IF(OR($AJ1015=10,$AJ1015=11,$AJ1015=18),"①病院一般",IF($AJ1015=41,"②病院短期","対象外")),IF($AH1015=5,IF($AJ1015=30,"③特定消防","対象外"),IF(OR($AJ1015=10,$AJ1015=11,$AJ1015=74),"④一般",IF(OR($AJ1015=41,$AJ1015=47),"⑤短期","対象外"))))))</f>
        <v>②病院短期</v>
      </c>
    </row>
    <row r="1016" customFormat="false" ht="15" hidden="false" customHeight="false" outlineLevel="0" collapsed="false">
      <c r="A1016" s="0" t="n">
        <v>31</v>
      </c>
      <c r="AA1016" s="0" t="n">
        <v>21</v>
      </c>
      <c r="AB1016" s="0" t="s">
        <v>496</v>
      </c>
      <c r="AD1016" s="0" t="n">
        <v>12</v>
      </c>
      <c r="AE1016" s="0" t="s">
        <v>301</v>
      </c>
      <c r="AH1016" s="0" t="n">
        <v>20</v>
      </c>
      <c r="AJ1016" s="0" t="n">
        <v>41</v>
      </c>
      <c r="AP1016" s="0" t="n">
        <v>180000</v>
      </c>
      <c r="DB1016" s="0" t="str">
        <f aca="false">IF($A1016="","",IF($AE1016&amp;""&lt;&gt;設定!$C$4,"対象外",IF($AH1016=20,IF(OR($AJ1016=10,$AJ1016=11,$AJ1016=18),"①病院一般",IF($AJ1016=41,"②病院短期","対象外")),IF($AH1016=5,IF($AJ1016=30,"③特定消防","対象外"),IF(OR($AJ1016=10,$AJ1016=11,$AJ1016=74),"④一般",IF(OR($AJ1016=41,$AJ1016=47),"⑤短期","対象外"))))))</f>
        <v>対象外</v>
      </c>
    </row>
    <row r="1017" customFormat="false" ht="15" hidden="false" customHeight="false" outlineLevel="0" collapsed="false">
      <c r="A1017" s="0" t="n">
        <v>31</v>
      </c>
      <c r="AA1017" s="0" t="n">
        <v>21</v>
      </c>
      <c r="AB1017" s="0" t="s">
        <v>496</v>
      </c>
      <c r="AD1017" s="0" t="n">
        <v>12</v>
      </c>
      <c r="AE1017" s="0" t="s">
        <v>96</v>
      </c>
      <c r="AH1017" s="0" t="n">
        <v>20</v>
      </c>
      <c r="AJ1017" s="0" t="n">
        <v>41</v>
      </c>
      <c r="AP1017" s="0" t="n">
        <v>170000</v>
      </c>
      <c r="DB1017" s="0" t="str">
        <f aca="false">IF($A1017="","",IF($AE1017&amp;""&lt;&gt;設定!$C$4,"対象外",IF($AH1017=20,IF(OR($AJ1017=10,$AJ1017=11,$AJ1017=18),"①病院一般",IF($AJ1017=41,"②病院短期","対象外")),IF($AH1017=5,IF($AJ1017=30,"③特定消防","対象外"),IF(OR($AJ1017=10,$AJ1017=11,$AJ1017=74),"④一般",IF(OR($AJ1017=41,$AJ1017=47),"⑤短期","対象外"))))))</f>
        <v>②病院短期</v>
      </c>
    </row>
    <row r="1018" customFormat="false" ht="15" hidden="false" customHeight="false" outlineLevel="0" collapsed="false">
      <c r="A1018" s="0" t="n">
        <v>31</v>
      </c>
      <c r="AA1018" s="0" t="n">
        <v>21</v>
      </c>
      <c r="AB1018" s="0" t="s">
        <v>496</v>
      </c>
      <c r="AD1018" s="0" t="n">
        <v>12</v>
      </c>
      <c r="AE1018" s="0" t="s">
        <v>96</v>
      </c>
      <c r="AH1018" s="0" t="n">
        <v>20</v>
      </c>
      <c r="AJ1018" s="0" t="n">
        <v>41</v>
      </c>
      <c r="AP1018" s="0" t="n">
        <v>240000</v>
      </c>
      <c r="DB1018" s="0" t="str">
        <f aca="false">IF($A1018="","",IF($AE1018&amp;""&lt;&gt;設定!$C$4,"対象外",IF($AH1018=20,IF(OR($AJ1018=10,$AJ1018=11,$AJ1018=18),"①病院一般",IF($AJ1018=41,"②病院短期","対象外")),IF($AH1018=5,IF($AJ1018=30,"③特定消防","対象外"),IF(OR($AJ1018=10,$AJ1018=11,$AJ1018=74),"④一般",IF(OR($AJ1018=41,$AJ1018=47),"⑤短期","対象外"))))))</f>
        <v>②病院短期</v>
      </c>
    </row>
    <row r="1019" customFormat="false" ht="15" hidden="false" customHeight="false" outlineLevel="0" collapsed="false">
      <c r="A1019" s="0" t="n">
        <v>31</v>
      </c>
      <c r="AA1019" s="0" t="n">
        <v>21</v>
      </c>
      <c r="AB1019" s="0" t="s">
        <v>496</v>
      </c>
      <c r="AD1019" s="0" t="n">
        <v>12</v>
      </c>
      <c r="AE1019" s="0" t="s">
        <v>96</v>
      </c>
      <c r="AH1019" s="0" t="n">
        <v>20</v>
      </c>
      <c r="AJ1019" s="0" t="n">
        <v>41</v>
      </c>
      <c r="AP1019" s="0" t="n">
        <v>220000</v>
      </c>
      <c r="DB1019" s="0" t="str">
        <f aca="false">IF($A1019="","",IF($AE1019&amp;""&lt;&gt;設定!$C$4,"対象外",IF($AH1019=20,IF(OR($AJ1019=10,$AJ1019=11,$AJ1019=18),"①病院一般",IF($AJ1019=41,"②病院短期","対象外")),IF($AH1019=5,IF($AJ1019=30,"③特定消防","対象外"),IF(OR($AJ1019=10,$AJ1019=11,$AJ1019=74),"④一般",IF(OR($AJ1019=41,$AJ1019=47),"⑤短期","対象外"))))))</f>
        <v>②病院短期</v>
      </c>
    </row>
    <row r="1020" customFormat="false" ht="15" hidden="false" customHeight="false" outlineLevel="0" collapsed="false">
      <c r="A1020" s="0" t="n">
        <v>31</v>
      </c>
      <c r="AA1020" s="0" t="n">
        <v>21</v>
      </c>
      <c r="AB1020" s="0" t="s">
        <v>496</v>
      </c>
      <c r="AD1020" s="0" t="n">
        <v>12</v>
      </c>
      <c r="AE1020" s="0" t="s">
        <v>96</v>
      </c>
      <c r="AH1020" s="0" t="n">
        <v>20</v>
      </c>
      <c r="AJ1020" s="0" t="n">
        <v>41</v>
      </c>
      <c r="AP1020" s="0" t="n">
        <v>280000</v>
      </c>
      <c r="DB1020" s="0" t="str">
        <f aca="false">IF($A1020="","",IF($AE1020&amp;""&lt;&gt;設定!$C$4,"対象外",IF($AH1020=20,IF(OR($AJ1020=10,$AJ1020=11,$AJ1020=18),"①病院一般",IF($AJ1020=41,"②病院短期","対象外")),IF($AH1020=5,IF($AJ1020=30,"③特定消防","対象外"),IF(OR($AJ1020=10,$AJ1020=11,$AJ1020=74),"④一般",IF(OR($AJ1020=41,$AJ1020=47),"⑤短期","対象外"))))))</f>
        <v>②病院短期</v>
      </c>
    </row>
    <row r="1021" customFormat="false" ht="15" hidden="false" customHeight="false" outlineLevel="0" collapsed="false">
      <c r="A1021" s="0" t="n">
        <v>31</v>
      </c>
      <c r="AA1021" s="0" t="n">
        <v>21</v>
      </c>
      <c r="AB1021" s="0" t="s">
        <v>496</v>
      </c>
      <c r="AD1021" s="0" t="n">
        <v>12</v>
      </c>
      <c r="AE1021" s="0" t="s">
        <v>96</v>
      </c>
      <c r="AH1021" s="0" t="n">
        <v>20</v>
      </c>
      <c r="AJ1021" s="0" t="n">
        <v>41</v>
      </c>
      <c r="AP1021" s="0" t="n">
        <v>190000</v>
      </c>
      <c r="DB1021" s="0" t="str">
        <f aca="false">IF($A1021="","",IF($AE1021&amp;""&lt;&gt;設定!$C$4,"対象外",IF($AH1021=20,IF(OR($AJ1021=10,$AJ1021=11,$AJ1021=18),"①病院一般",IF($AJ1021=41,"②病院短期","対象外")),IF($AH1021=5,IF($AJ1021=30,"③特定消防","対象外"),IF(OR($AJ1021=10,$AJ1021=11,$AJ1021=74),"④一般",IF(OR($AJ1021=41,$AJ1021=47),"⑤短期","対象外"))))))</f>
        <v>②病院短期</v>
      </c>
    </row>
    <row r="1022" customFormat="false" ht="15" hidden="false" customHeight="false" outlineLevel="0" collapsed="false">
      <c r="A1022" s="0" t="n">
        <v>31</v>
      </c>
      <c r="AA1022" s="0" t="n">
        <v>21</v>
      </c>
      <c r="AB1022" s="0" t="s">
        <v>544</v>
      </c>
      <c r="AD1022" s="0" t="n">
        <v>12</v>
      </c>
      <c r="AE1022" s="0" t="s">
        <v>96</v>
      </c>
      <c r="AH1022" s="0" t="n">
        <v>20</v>
      </c>
      <c r="AJ1022" s="0" t="n">
        <v>41</v>
      </c>
      <c r="AP1022" s="0" t="n">
        <v>560000</v>
      </c>
      <c r="DB1022" s="0" t="str">
        <f aca="false">IF($A1022="","",IF($AE1022&amp;""&lt;&gt;設定!$C$4,"対象外",IF($AH1022=20,IF(OR($AJ1022=10,$AJ1022=11,$AJ1022=18),"①病院一般",IF($AJ1022=41,"②病院短期","対象外")),IF($AH1022=5,IF($AJ1022=30,"③特定消防","対象外"),IF(OR($AJ1022=10,$AJ1022=11,$AJ1022=74),"④一般",IF(OR($AJ1022=41,$AJ1022=47),"⑤短期","対象外"))))))</f>
        <v>②病院短期</v>
      </c>
    </row>
    <row r="1023" customFormat="false" ht="15" hidden="false" customHeight="false" outlineLevel="0" collapsed="false">
      <c r="A1023" s="0" t="n">
        <v>31</v>
      </c>
      <c r="AA1023" s="0" t="n">
        <v>21</v>
      </c>
      <c r="AB1023" s="0" t="s">
        <v>545</v>
      </c>
      <c r="AD1023" s="0" t="n">
        <v>12</v>
      </c>
      <c r="AE1023" s="0" t="s">
        <v>96</v>
      </c>
      <c r="AH1023" s="0" t="n">
        <v>20</v>
      </c>
      <c r="AJ1023" s="0" t="n">
        <v>41</v>
      </c>
      <c r="AP1023" s="0" t="n">
        <v>260000</v>
      </c>
      <c r="DB1023" s="0" t="str">
        <f aca="false">IF($A1023="","",IF($AE1023&amp;""&lt;&gt;設定!$C$4,"対象外",IF($AH1023=20,IF(OR($AJ1023=10,$AJ1023=11,$AJ1023=18),"①病院一般",IF($AJ1023=41,"②病院短期","対象外")),IF($AH1023=5,IF($AJ1023=30,"③特定消防","対象外"),IF(OR($AJ1023=10,$AJ1023=11,$AJ1023=74),"④一般",IF(OR($AJ1023=41,$AJ1023=47),"⑤短期","対象外"))))))</f>
        <v>②病院短期</v>
      </c>
    </row>
    <row r="1024" customFormat="false" ht="15" hidden="false" customHeight="false" outlineLevel="0" collapsed="false">
      <c r="A1024" s="0" t="n">
        <v>31</v>
      </c>
      <c r="AA1024" s="0" t="n">
        <v>21</v>
      </c>
      <c r="AB1024" s="0" t="s">
        <v>546</v>
      </c>
      <c r="AD1024" s="0" t="n">
        <v>12</v>
      </c>
      <c r="AE1024" s="0" t="s">
        <v>96</v>
      </c>
      <c r="AH1024" s="0" t="n">
        <v>20</v>
      </c>
      <c r="AJ1024" s="0" t="n">
        <v>41</v>
      </c>
      <c r="AP1024" s="0" t="n">
        <v>180000</v>
      </c>
      <c r="DB1024" s="0" t="str">
        <f aca="false">IF($A1024="","",IF($AE1024&amp;""&lt;&gt;設定!$C$4,"対象外",IF($AH1024=20,IF(OR($AJ1024=10,$AJ1024=11,$AJ1024=18),"①病院一般",IF($AJ1024=41,"②病院短期","対象外")),IF($AH1024=5,IF($AJ1024=30,"③特定消防","対象外"),IF(OR($AJ1024=10,$AJ1024=11,$AJ1024=74),"④一般",IF(OR($AJ1024=41,$AJ1024=47),"⑤短期","対象外"))))))</f>
        <v>②病院短期</v>
      </c>
    </row>
    <row r="1025" customFormat="false" ht="15" hidden="false" customHeight="false" outlineLevel="0" collapsed="false">
      <c r="A1025" s="0" t="n">
        <v>31</v>
      </c>
      <c r="AA1025" s="0" t="n">
        <v>21</v>
      </c>
      <c r="AB1025" s="0" t="s">
        <v>499</v>
      </c>
      <c r="AD1025" s="0" t="n">
        <v>11</v>
      </c>
      <c r="AE1025" s="0" t="s">
        <v>96</v>
      </c>
      <c r="AH1025" s="0" t="n">
        <v>1</v>
      </c>
      <c r="AJ1025" s="0" t="n">
        <v>41</v>
      </c>
      <c r="AP1025" s="0" t="n">
        <v>180000</v>
      </c>
      <c r="DB1025" s="0" t="str">
        <f aca="false">IF($A1025="","",IF($AE1025&amp;""&lt;&gt;設定!$C$4,"対象外",IF($AH1025=20,IF(OR($AJ1025=10,$AJ1025=11,$AJ1025=18),"①病院一般",IF($AJ1025=41,"②病院短期","対象外")),IF($AH1025=5,IF($AJ1025=30,"③特定消防","対象外"),IF(OR($AJ1025=10,$AJ1025=11,$AJ1025=74),"④一般",IF(OR($AJ1025=41,$AJ1025=47),"⑤短期","対象外"))))))</f>
        <v>⑤短期</v>
      </c>
    </row>
    <row r="1026" customFormat="false" ht="15" hidden="false" customHeight="false" outlineLevel="0" collapsed="false">
      <c r="A1026" s="0" t="n">
        <v>31</v>
      </c>
      <c r="AA1026" s="0" t="n">
        <v>21</v>
      </c>
      <c r="AB1026" s="0" t="s">
        <v>496</v>
      </c>
      <c r="AD1026" s="0" t="n">
        <v>12</v>
      </c>
      <c r="AE1026" s="0" t="s">
        <v>96</v>
      </c>
      <c r="AH1026" s="0" t="n">
        <v>11</v>
      </c>
      <c r="AJ1026" s="0" t="n">
        <v>41</v>
      </c>
      <c r="AP1026" s="0" t="n">
        <v>160000</v>
      </c>
      <c r="DB1026" s="0" t="str">
        <f aca="false">IF($A1026="","",IF($AE1026&amp;""&lt;&gt;設定!$C$4,"対象外",IF($AH1026=20,IF(OR($AJ1026=10,$AJ1026=11,$AJ1026=18),"①病院一般",IF($AJ1026=41,"②病院短期","対象外")),IF($AH1026=5,IF($AJ1026=30,"③特定消防","対象外"),IF(OR($AJ1026=10,$AJ1026=11,$AJ1026=74),"④一般",IF(OR($AJ1026=41,$AJ1026=47),"⑤短期","対象外"))))))</f>
        <v>⑤短期</v>
      </c>
    </row>
    <row r="1027" customFormat="false" ht="15" hidden="false" customHeight="false" outlineLevel="0" collapsed="false">
      <c r="A1027" s="0" t="n">
        <v>31</v>
      </c>
      <c r="AA1027" s="0" t="n">
        <v>21</v>
      </c>
      <c r="AB1027" s="0" t="s">
        <v>496</v>
      </c>
      <c r="AD1027" s="0" t="n">
        <v>12</v>
      </c>
      <c r="AE1027" s="0" t="s">
        <v>96</v>
      </c>
      <c r="AH1027" s="0" t="n">
        <v>11</v>
      </c>
      <c r="AJ1027" s="0" t="n">
        <v>41</v>
      </c>
      <c r="AP1027" s="0" t="n">
        <v>160000</v>
      </c>
      <c r="DB1027" s="0" t="str">
        <f aca="false">IF($A1027="","",IF($AE1027&amp;""&lt;&gt;設定!$C$4,"対象外",IF($AH1027=20,IF(OR($AJ1027=10,$AJ1027=11,$AJ1027=18),"①病院一般",IF($AJ1027=41,"②病院短期","対象外")),IF($AH1027=5,IF($AJ1027=30,"③特定消防","対象外"),IF(OR($AJ1027=10,$AJ1027=11,$AJ1027=74),"④一般",IF(OR($AJ1027=41,$AJ1027=47),"⑤短期","対象外"))))))</f>
        <v>⑤短期</v>
      </c>
    </row>
    <row r="1028" customFormat="false" ht="15" hidden="false" customHeight="false" outlineLevel="0" collapsed="false">
      <c r="A1028" s="0" t="n">
        <v>31</v>
      </c>
      <c r="AA1028" s="0" t="n">
        <v>21</v>
      </c>
      <c r="AB1028" s="0" t="s">
        <v>496</v>
      </c>
      <c r="AD1028" s="0" t="n">
        <v>12</v>
      </c>
      <c r="AE1028" s="0" t="s">
        <v>96</v>
      </c>
      <c r="AH1028" s="0" t="n">
        <v>11</v>
      </c>
      <c r="AJ1028" s="0" t="n">
        <v>41</v>
      </c>
      <c r="AP1028" s="0" t="n">
        <v>160000</v>
      </c>
      <c r="DB1028" s="0" t="str">
        <f aca="false">IF($A1028="","",IF($AE1028&amp;""&lt;&gt;設定!$C$4,"対象外",IF($AH1028=20,IF(OR($AJ1028=10,$AJ1028=11,$AJ1028=18),"①病院一般",IF($AJ1028=41,"②病院短期","対象外")),IF($AH1028=5,IF($AJ1028=30,"③特定消防","対象外"),IF(OR($AJ1028=10,$AJ1028=11,$AJ1028=74),"④一般",IF(OR($AJ1028=41,$AJ1028=47),"⑤短期","対象外"))))))</f>
        <v>⑤短期</v>
      </c>
    </row>
    <row r="1029" customFormat="false" ht="15" hidden="false" customHeight="false" outlineLevel="0" collapsed="false">
      <c r="A1029" s="0" t="n">
        <v>31</v>
      </c>
      <c r="AA1029" s="0" t="n">
        <v>21</v>
      </c>
      <c r="AB1029" s="0" t="s">
        <v>496</v>
      </c>
      <c r="AD1029" s="0" t="n">
        <v>12</v>
      </c>
      <c r="AE1029" s="0" t="s">
        <v>96</v>
      </c>
      <c r="AH1029" s="0" t="n">
        <v>5</v>
      </c>
      <c r="AJ1029" s="0" t="n">
        <v>41</v>
      </c>
      <c r="AP1029" s="0" t="n">
        <v>220000</v>
      </c>
      <c r="DB1029" s="0" t="str">
        <f aca="false">IF($A1029="","",IF($AE1029&amp;""&lt;&gt;設定!$C$4,"対象外",IF($AH1029=20,IF(OR($AJ1029=10,$AJ1029=11,$AJ1029=18),"①病院一般",IF($AJ1029=41,"②病院短期","対象外")),IF($AH1029=5,IF($AJ1029=30,"③特定消防","対象外"),IF(OR($AJ1029=10,$AJ1029=11,$AJ1029=74),"④一般",IF(OR($AJ1029=41,$AJ1029=47),"⑤短期","対象外"))))))</f>
        <v>対象外</v>
      </c>
    </row>
    <row r="1030" customFormat="false" ht="15" hidden="false" customHeight="false" outlineLevel="0" collapsed="false">
      <c r="A1030" s="0" t="n">
        <v>31</v>
      </c>
      <c r="AA1030" s="0" t="n">
        <v>21</v>
      </c>
      <c r="AB1030" s="0" t="s">
        <v>496</v>
      </c>
      <c r="AD1030" s="0" t="n">
        <v>12</v>
      </c>
      <c r="AE1030" s="0" t="s">
        <v>96</v>
      </c>
      <c r="AH1030" s="0" t="n">
        <v>5</v>
      </c>
      <c r="AJ1030" s="0" t="n">
        <v>41</v>
      </c>
      <c r="AP1030" s="0" t="n">
        <v>200000</v>
      </c>
      <c r="DB1030" s="0" t="str">
        <f aca="false">IF($A1030="","",IF($AE1030&amp;""&lt;&gt;設定!$C$4,"対象外",IF($AH1030=20,IF(OR($AJ1030=10,$AJ1030=11,$AJ1030=18),"①病院一般",IF($AJ1030=41,"②病院短期","対象外")),IF($AH1030=5,IF($AJ1030=30,"③特定消防","対象外"),IF(OR($AJ1030=10,$AJ1030=11,$AJ1030=74),"④一般",IF(OR($AJ1030=41,$AJ1030=47),"⑤短期","対象外"))))))</f>
        <v>対象外</v>
      </c>
    </row>
    <row r="1031" customFormat="false" ht="15" hidden="false" customHeight="false" outlineLevel="0" collapsed="false">
      <c r="A1031" s="0" t="n">
        <v>31</v>
      </c>
      <c r="AA1031" s="0" t="n">
        <v>21</v>
      </c>
      <c r="AB1031" s="0" t="s">
        <v>496</v>
      </c>
      <c r="AD1031" s="0" t="n">
        <v>12</v>
      </c>
      <c r="AE1031" s="0" t="s">
        <v>96</v>
      </c>
      <c r="AH1031" s="0" t="n">
        <v>1</v>
      </c>
      <c r="AJ1031" s="0" t="n">
        <v>41</v>
      </c>
      <c r="AP1031" s="0" t="n">
        <v>220000</v>
      </c>
      <c r="DB1031" s="0" t="str">
        <f aca="false">IF($A1031="","",IF($AE1031&amp;""&lt;&gt;設定!$C$4,"対象外",IF($AH1031=20,IF(OR($AJ1031=10,$AJ1031=11,$AJ1031=18),"①病院一般",IF($AJ1031=41,"②病院短期","対象外")),IF($AH1031=5,IF($AJ1031=30,"③特定消防","対象外"),IF(OR($AJ1031=10,$AJ1031=11,$AJ1031=74),"④一般",IF(OR($AJ1031=41,$AJ1031=47),"⑤短期","対象外"))))))</f>
        <v>⑤短期</v>
      </c>
    </row>
    <row r="1032" customFormat="false" ht="15" hidden="false" customHeight="false" outlineLevel="0" collapsed="false">
      <c r="A1032" s="0" t="n">
        <v>31</v>
      </c>
      <c r="AA1032" s="0" t="n">
        <v>21</v>
      </c>
      <c r="AB1032" s="0" t="s">
        <v>496</v>
      </c>
      <c r="AD1032" s="0" t="n">
        <v>12</v>
      </c>
      <c r="AE1032" s="0" t="s">
        <v>96</v>
      </c>
      <c r="AH1032" s="0" t="n">
        <v>1</v>
      </c>
      <c r="AJ1032" s="0" t="n">
        <v>41</v>
      </c>
      <c r="AP1032" s="0" t="n">
        <v>180000</v>
      </c>
      <c r="DB1032" s="0" t="str">
        <f aca="false">IF($A1032="","",IF($AE1032&amp;""&lt;&gt;設定!$C$4,"対象外",IF($AH1032=20,IF(OR($AJ1032=10,$AJ1032=11,$AJ1032=18),"①病院一般",IF($AJ1032=41,"②病院短期","対象外")),IF($AH1032=5,IF($AJ1032=30,"③特定消防","対象外"),IF(OR($AJ1032=10,$AJ1032=11,$AJ1032=74),"④一般",IF(OR($AJ1032=41,$AJ1032=47),"⑤短期","対象外"))))))</f>
        <v>⑤短期</v>
      </c>
    </row>
    <row r="1033" customFormat="false" ht="15" hidden="false" customHeight="false" outlineLevel="0" collapsed="false">
      <c r="A1033" s="0" t="n">
        <v>31</v>
      </c>
      <c r="AA1033" s="0" t="n">
        <v>21</v>
      </c>
      <c r="AB1033" s="0" t="s">
        <v>496</v>
      </c>
      <c r="AD1033" s="0" t="n">
        <v>12</v>
      </c>
      <c r="AE1033" s="0" t="s">
        <v>96</v>
      </c>
      <c r="AH1033" s="0" t="n">
        <v>1</v>
      </c>
      <c r="AJ1033" s="0" t="n">
        <v>41</v>
      </c>
      <c r="AP1033" s="0" t="n">
        <v>160000</v>
      </c>
      <c r="DB1033" s="0" t="str">
        <f aca="false">IF($A1033="","",IF($AE1033&amp;""&lt;&gt;設定!$C$4,"対象外",IF($AH1033=20,IF(OR($AJ1033=10,$AJ1033=11,$AJ1033=18),"①病院一般",IF($AJ1033=41,"②病院短期","対象外")),IF($AH1033=5,IF($AJ1033=30,"③特定消防","対象外"),IF(OR($AJ1033=10,$AJ1033=11,$AJ1033=74),"④一般",IF(OR($AJ1033=41,$AJ1033=47),"⑤短期","対象外"))))))</f>
        <v>⑤短期</v>
      </c>
    </row>
    <row r="1034" customFormat="false" ht="15" hidden="false" customHeight="false" outlineLevel="0" collapsed="false">
      <c r="A1034" s="0" t="n">
        <v>31</v>
      </c>
      <c r="AA1034" s="0" t="n">
        <v>21</v>
      </c>
      <c r="AB1034" s="0" t="s">
        <v>496</v>
      </c>
      <c r="AD1034" s="0" t="n">
        <v>12</v>
      </c>
      <c r="AE1034" s="0" t="s">
        <v>298</v>
      </c>
      <c r="AH1034" s="0" t="n">
        <v>1</v>
      </c>
      <c r="AJ1034" s="0" t="n">
        <v>41</v>
      </c>
      <c r="AP1034" s="0" t="n">
        <v>142000</v>
      </c>
      <c r="DB1034" s="0" t="str">
        <f aca="false">IF($A1034="","",IF($AE1034&amp;""&lt;&gt;設定!$C$4,"対象外",IF($AH1034=20,IF(OR($AJ1034=10,$AJ1034=11,$AJ1034=18),"①病院一般",IF($AJ1034=41,"②病院短期","対象外")),IF($AH1034=5,IF($AJ1034=30,"③特定消防","対象外"),IF(OR($AJ1034=10,$AJ1034=11,$AJ1034=74),"④一般",IF(OR($AJ1034=41,$AJ1034=47),"⑤短期","対象外"))))))</f>
        <v>対象外</v>
      </c>
    </row>
    <row r="1035" customFormat="false" ht="15" hidden="false" customHeight="false" outlineLevel="0" collapsed="false">
      <c r="A1035" s="0" t="n">
        <v>31</v>
      </c>
      <c r="AA1035" s="0" t="n">
        <v>21</v>
      </c>
      <c r="AB1035" s="0" t="s">
        <v>496</v>
      </c>
      <c r="AD1035" s="0" t="n">
        <v>12</v>
      </c>
      <c r="AE1035" s="0" t="s">
        <v>96</v>
      </c>
      <c r="AH1035" s="0" t="n">
        <v>1</v>
      </c>
      <c r="AJ1035" s="0" t="n">
        <v>41</v>
      </c>
      <c r="AP1035" s="0" t="n">
        <v>160000</v>
      </c>
      <c r="DB1035" s="0" t="str">
        <f aca="false">IF($A1035="","",IF($AE1035&amp;""&lt;&gt;設定!$C$4,"対象外",IF($AH1035=20,IF(OR($AJ1035=10,$AJ1035=11,$AJ1035=18),"①病院一般",IF($AJ1035=41,"②病院短期","対象外")),IF($AH1035=5,IF($AJ1035=30,"③特定消防","対象外"),IF(OR($AJ1035=10,$AJ1035=11,$AJ1035=74),"④一般",IF(OR($AJ1035=41,$AJ1035=47),"⑤短期","対象外"))))))</f>
        <v>⑤短期</v>
      </c>
    </row>
    <row r="1036" customFormat="false" ht="15" hidden="false" customHeight="false" outlineLevel="0" collapsed="false">
      <c r="A1036" s="0" t="n">
        <v>31</v>
      </c>
      <c r="AA1036" s="0" t="n">
        <v>21</v>
      </c>
      <c r="AB1036" s="0" t="s">
        <v>496</v>
      </c>
      <c r="AD1036" s="0" t="n">
        <v>11</v>
      </c>
      <c r="AE1036" s="0" t="s">
        <v>96</v>
      </c>
      <c r="AH1036" s="0" t="n">
        <v>1</v>
      </c>
      <c r="AJ1036" s="0" t="n">
        <v>41</v>
      </c>
      <c r="AP1036" s="0" t="n">
        <v>190000</v>
      </c>
      <c r="DB1036" s="0" t="str">
        <f aca="false">IF($A1036="","",IF($AE1036&amp;""&lt;&gt;設定!$C$4,"対象外",IF($AH1036=20,IF(OR($AJ1036=10,$AJ1036=11,$AJ1036=18),"①病院一般",IF($AJ1036=41,"②病院短期","対象外")),IF($AH1036=5,IF($AJ1036=30,"③特定消防","対象外"),IF(OR($AJ1036=10,$AJ1036=11,$AJ1036=74),"④一般",IF(OR($AJ1036=41,$AJ1036=47),"⑤短期","対象外"))))))</f>
        <v>⑤短期</v>
      </c>
    </row>
    <row r="1037" customFormat="false" ht="15" hidden="false" customHeight="false" outlineLevel="0" collapsed="false">
      <c r="A1037" s="0" t="n">
        <v>31</v>
      </c>
      <c r="AA1037" s="0" t="n">
        <v>21</v>
      </c>
      <c r="AB1037" s="0" t="s">
        <v>496</v>
      </c>
      <c r="AD1037" s="0" t="n">
        <v>12</v>
      </c>
      <c r="AE1037" s="0" t="s">
        <v>96</v>
      </c>
      <c r="AH1037" s="0" t="n">
        <v>1</v>
      </c>
      <c r="AJ1037" s="0" t="n">
        <v>10</v>
      </c>
      <c r="AP1037" s="0" t="n">
        <v>260000</v>
      </c>
      <c r="DB1037" s="0" t="str">
        <f aca="false">IF($A1037="","",IF($AE1037&amp;""&lt;&gt;設定!$C$4,"対象外",IF($AH1037=20,IF(OR($AJ1037=10,$AJ1037=11,$AJ1037=18),"①病院一般",IF($AJ1037=41,"②病院短期","対象外")),IF($AH1037=5,IF($AJ1037=30,"③特定消防","対象外"),IF(OR($AJ1037=10,$AJ1037=11,$AJ1037=74),"④一般",IF(OR($AJ1037=41,$AJ1037=47),"⑤短期","対象外"))))))</f>
        <v>④一般</v>
      </c>
    </row>
    <row r="1038" customFormat="false" ht="15" hidden="false" customHeight="false" outlineLevel="0" collapsed="false">
      <c r="A1038" s="0" t="n">
        <v>31</v>
      </c>
      <c r="AA1038" s="0" t="n">
        <v>21</v>
      </c>
      <c r="AB1038" s="0" t="s">
        <v>496</v>
      </c>
      <c r="AD1038" s="0" t="n">
        <v>12</v>
      </c>
      <c r="AE1038" s="0" t="s">
        <v>96</v>
      </c>
      <c r="AH1038" s="0" t="n">
        <v>1</v>
      </c>
      <c r="AJ1038" s="0" t="n">
        <v>41</v>
      </c>
      <c r="AP1038" s="0" t="n">
        <v>170000</v>
      </c>
      <c r="DB1038" s="0" t="str">
        <f aca="false">IF($A1038="","",IF($AE1038&amp;""&lt;&gt;設定!$C$4,"対象外",IF($AH1038=20,IF(OR($AJ1038=10,$AJ1038=11,$AJ1038=18),"①病院一般",IF($AJ1038=41,"②病院短期","対象外")),IF($AH1038=5,IF($AJ1038=30,"③特定消防","対象外"),IF(OR($AJ1038=10,$AJ1038=11,$AJ1038=74),"④一般",IF(OR($AJ1038=41,$AJ1038=47),"⑤短期","対象外"))))))</f>
        <v>⑤短期</v>
      </c>
    </row>
    <row r="1039" customFormat="false" ht="15" hidden="false" customHeight="false" outlineLevel="0" collapsed="false">
      <c r="A1039" s="0" t="n">
        <v>31</v>
      </c>
      <c r="AA1039" s="0" t="n">
        <v>24</v>
      </c>
      <c r="AB1039" s="0" t="s">
        <v>547</v>
      </c>
      <c r="AD1039" s="0" t="n">
        <v>12</v>
      </c>
      <c r="AE1039" s="0" t="s">
        <v>548</v>
      </c>
      <c r="AH1039" s="0" t="n">
        <v>1</v>
      </c>
      <c r="AJ1039" s="0" t="n">
        <v>41</v>
      </c>
      <c r="AP1039" s="0" t="n">
        <v>200000</v>
      </c>
      <c r="DB1039" s="0" t="str">
        <f aca="false">IF($A1039="","",IF($AE1039&amp;""&lt;&gt;設定!$C$4,"対象外",IF($AH1039=20,IF(OR($AJ1039=10,$AJ1039=11,$AJ1039=18),"①病院一般",IF($AJ1039=41,"②病院短期","対象外")),IF($AH1039=5,IF($AJ1039=30,"③特定消防","対象外"),IF(OR($AJ1039=10,$AJ1039=11,$AJ1039=74),"④一般",IF(OR($AJ1039=41,$AJ1039=47),"⑤短期","対象外"))))))</f>
        <v>対象外</v>
      </c>
    </row>
    <row r="1040" customFormat="false" ht="15" hidden="false" customHeight="false" outlineLevel="0" collapsed="false">
      <c r="A1040" s="0" t="n">
        <v>31</v>
      </c>
      <c r="AA1040" s="0" t="n">
        <v>21</v>
      </c>
      <c r="AB1040" s="0" t="s">
        <v>496</v>
      </c>
      <c r="AD1040" s="0" t="n">
        <v>12</v>
      </c>
      <c r="AE1040" s="0" t="s">
        <v>301</v>
      </c>
      <c r="AH1040" s="0" t="n">
        <v>11</v>
      </c>
      <c r="AJ1040" s="0" t="n">
        <v>41</v>
      </c>
      <c r="AP1040" s="0" t="n">
        <v>170000</v>
      </c>
      <c r="DB1040" s="0" t="str">
        <f aca="false">IF($A1040="","",IF($AE1040&amp;""&lt;&gt;設定!$C$4,"対象外",IF($AH1040=20,IF(OR($AJ1040=10,$AJ1040=11,$AJ1040=18),"①病院一般",IF($AJ1040=41,"②病院短期","対象外")),IF($AH1040=5,IF($AJ1040=30,"③特定消防","対象外"),IF(OR($AJ1040=10,$AJ1040=11,$AJ1040=74),"④一般",IF(OR($AJ1040=41,$AJ1040=47),"⑤短期","対象外"))))))</f>
        <v>対象外</v>
      </c>
    </row>
    <row r="1041" customFormat="false" ht="15" hidden="false" customHeight="false" outlineLevel="0" collapsed="false">
      <c r="A1041" s="0" t="n">
        <v>31</v>
      </c>
      <c r="AA1041" s="0" t="n">
        <v>21</v>
      </c>
      <c r="AB1041" s="0" t="s">
        <v>496</v>
      </c>
      <c r="AD1041" s="0" t="n">
        <v>12</v>
      </c>
      <c r="AE1041" s="0" t="s">
        <v>96</v>
      </c>
      <c r="AH1041" s="0" t="n">
        <v>11</v>
      </c>
      <c r="AJ1041" s="0" t="n">
        <v>41</v>
      </c>
      <c r="AP1041" s="0" t="n">
        <v>180000</v>
      </c>
      <c r="DB1041" s="0" t="str">
        <f aca="false">IF($A1041="","",IF($AE1041&amp;""&lt;&gt;設定!$C$4,"対象外",IF($AH1041=20,IF(OR($AJ1041=10,$AJ1041=11,$AJ1041=18),"①病院一般",IF($AJ1041=41,"②病院短期","対象外")),IF($AH1041=5,IF($AJ1041=30,"③特定消防","対象外"),IF(OR($AJ1041=10,$AJ1041=11,$AJ1041=74),"④一般",IF(OR($AJ1041=41,$AJ1041=47),"⑤短期","対象外"))))))</f>
        <v>⑤短期</v>
      </c>
    </row>
    <row r="1042" customFormat="false" ht="15" hidden="false" customHeight="false" outlineLevel="0" collapsed="false">
      <c r="A1042" s="0" t="n">
        <v>31</v>
      </c>
      <c r="AA1042" s="0" t="n">
        <v>21</v>
      </c>
      <c r="AB1042" s="0" t="s">
        <v>496</v>
      </c>
      <c r="AD1042" s="0" t="n">
        <v>12</v>
      </c>
      <c r="AE1042" s="0" t="s">
        <v>96</v>
      </c>
      <c r="AH1042" s="0" t="n">
        <v>1</v>
      </c>
      <c r="AJ1042" s="0" t="n">
        <v>41</v>
      </c>
      <c r="AP1042" s="0" t="n">
        <v>190000</v>
      </c>
      <c r="DB1042" s="0" t="str">
        <f aca="false">IF($A1042="","",IF($AE1042&amp;""&lt;&gt;設定!$C$4,"対象外",IF($AH1042=20,IF(OR($AJ1042=10,$AJ1042=11,$AJ1042=18),"①病院一般",IF($AJ1042=41,"②病院短期","対象外")),IF($AH1042=5,IF($AJ1042=30,"③特定消防","対象外"),IF(OR($AJ1042=10,$AJ1042=11,$AJ1042=74),"④一般",IF(OR($AJ1042=41,$AJ1042=47),"⑤短期","対象外"))))))</f>
        <v>⑤短期</v>
      </c>
    </row>
    <row r="1043" customFormat="false" ht="15" hidden="false" customHeight="false" outlineLevel="0" collapsed="false">
      <c r="A1043" s="0" t="n">
        <v>31</v>
      </c>
      <c r="AA1043" s="0" t="n">
        <v>24</v>
      </c>
      <c r="AB1043" s="0" t="s">
        <v>504</v>
      </c>
      <c r="AD1043" s="0" t="n">
        <v>12</v>
      </c>
      <c r="AE1043" s="0" t="s">
        <v>96</v>
      </c>
      <c r="AH1043" s="0" t="n">
        <v>1</v>
      </c>
      <c r="AJ1043" s="0" t="n">
        <v>41</v>
      </c>
      <c r="AP1043" s="0" t="n">
        <v>98000</v>
      </c>
      <c r="DB1043" s="0" t="str">
        <f aca="false">IF($A1043="","",IF($AE1043&amp;""&lt;&gt;設定!$C$4,"対象外",IF($AH1043=20,IF(OR($AJ1043=10,$AJ1043=11,$AJ1043=18),"①病院一般",IF($AJ1043=41,"②病院短期","対象外")),IF($AH1043=5,IF($AJ1043=30,"③特定消防","対象外"),IF(OR($AJ1043=10,$AJ1043=11,$AJ1043=74),"④一般",IF(OR($AJ1043=41,$AJ1043=47),"⑤短期","対象外"))))))</f>
        <v>⑤短期</v>
      </c>
    </row>
    <row r="1044" customFormat="false" ht="15" hidden="false" customHeight="false" outlineLevel="0" collapsed="false">
      <c r="A1044" s="0" t="n">
        <v>31</v>
      </c>
      <c r="AA1044" s="0" t="n">
        <v>21</v>
      </c>
      <c r="AB1044" s="0" t="s">
        <v>549</v>
      </c>
      <c r="AD1044" s="0" t="n">
        <v>12</v>
      </c>
      <c r="AE1044" s="0" t="s">
        <v>301</v>
      </c>
      <c r="AH1044" s="0" t="n">
        <v>1</v>
      </c>
      <c r="AJ1044" s="0" t="n">
        <v>41</v>
      </c>
      <c r="AP1044" s="0" t="n">
        <v>142000</v>
      </c>
      <c r="DB1044" s="0" t="str">
        <f aca="false">IF($A1044="","",IF($AE1044&amp;""&lt;&gt;設定!$C$4,"対象外",IF($AH1044=20,IF(OR($AJ1044=10,$AJ1044=11,$AJ1044=18),"①病院一般",IF($AJ1044=41,"②病院短期","対象外")),IF($AH1044=5,IF($AJ1044=30,"③特定消防","対象外"),IF(OR($AJ1044=10,$AJ1044=11,$AJ1044=74),"④一般",IF(OR($AJ1044=41,$AJ1044=47),"⑤短期","対象外"))))))</f>
        <v>対象外</v>
      </c>
    </row>
    <row r="1045" customFormat="false" ht="15" hidden="false" customHeight="false" outlineLevel="0" collapsed="false">
      <c r="A1045" s="0" t="n">
        <v>31</v>
      </c>
      <c r="AA1045" s="0" t="n">
        <v>21</v>
      </c>
      <c r="AB1045" s="0" t="s">
        <v>496</v>
      </c>
      <c r="AD1045" s="0" t="n">
        <v>12</v>
      </c>
      <c r="AE1045" s="0" t="s">
        <v>96</v>
      </c>
      <c r="AH1045" s="0" t="n">
        <v>11</v>
      </c>
      <c r="AJ1045" s="0" t="n">
        <v>41</v>
      </c>
      <c r="AP1045" s="0" t="n">
        <v>134000</v>
      </c>
      <c r="DB1045" s="0" t="str">
        <f aca="false">IF($A1045="","",IF($AE1045&amp;""&lt;&gt;設定!$C$4,"対象外",IF($AH1045=20,IF(OR($AJ1045=10,$AJ1045=11,$AJ1045=18),"①病院一般",IF($AJ1045=41,"②病院短期","対象外")),IF($AH1045=5,IF($AJ1045=30,"③特定消防","対象外"),IF(OR($AJ1045=10,$AJ1045=11,$AJ1045=74),"④一般",IF(OR($AJ1045=41,$AJ1045=47),"⑤短期","対象外"))))))</f>
        <v>⑤短期</v>
      </c>
    </row>
    <row r="1046" customFormat="false" ht="15" hidden="false" customHeight="false" outlineLevel="0" collapsed="false">
      <c r="A1046" s="0" t="n">
        <v>31</v>
      </c>
      <c r="AA1046" s="0" t="n">
        <v>21</v>
      </c>
      <c r="AB1046" s="0" t="s">
        <v>496</v>
      </c>
      <c r="AD1046" s="0" t="n">
        <v>12</v>
      </c>
      <c r="AE1046" s="0" t="s">
        <v>96</v>
      </c>
      <c r="AH1046" s="0" t="n">
        <v>1</v>
      </c>
      <c r="AJ1046" s="0" t="n">
        <v>41</v>
      </c>
      <c r="AP1046" s="0" t="n">
        <v>118000</v>
      </c>
      <c r="DB1046" s="0" t="str">
        <f aca="false">IF($A1046="","",IF($AE1046&amp;""&lt;&gt;設定!$C$4,"対象外",IF($AH1046=20,IF(OR($AJ1046=10,$AJ1046=11,$AJ1046=18),"①病院一般",IF($AJ1046=41,"②病院短期","対象外")),IF($AH1046=5,IF($AJ1046=30,"③特定消防","対象外"),IF(OR($AJ1046=10,$AJ1046=11,$AJ1046=74),"④一般",IF(OR($AJ1046=41,$AJ1046=47),"⑤短期","対象外"))))))</f>
        <v>⑤短期</v>
      </c>
    </row>
    <row r="1047" customFormat="false" ht="15" hidden="false" customHeight="false" outlineLevel="0" collapsed="false">
      <c r="A1047" s="0" t="n">
        <v>31</v>
      </c>
      <c r="AA1047" s="0" t="n">
        <v>21</v>
      </c>
      <c r="AB1047" s="0" t="s">
        <v>550</v>
      </c>
      <c r="AD1047" s="0" t="n">
        <v>12</v>
      </c>
      <c r="AE1047" s="0" t="s">
        <v>96</v>
      </c>
      <c r="AH1047" s="0" t="n">
        <v>1</v>
      </c>
      <c r="AJ1047" s="0" t="n">
        <v>41</v>
      </c>
      <c r="AP1047" s="0" t="n">
        <v>180000</v>
      </c>
      <c r="DB1047" s="0" t="str">
        <f aca="false">IF($A1047="","",IF($AE1047&amp;""&lt;&gt;設定!$C$4,"対象外",IF($AH1047=20,IF(OR($AJ1047=10,$AJ1047=11,$AJ1047=18),"①病院一般",IF($AJ1047=41,"②病院短期","対象外")),IF($AH1047=5,IF($AJ1047=30,"③特定消防","対象外"),IF(OR($AJ1047=10,$AJ1047=11,$AJ1047=74),"④一般",IF(OR($AJ1047=41,$AJ1047=47),"⑤短期","対象外"))))))</f>
        <v>⑤短期</v>
      </c>
    </row>
    <row r="1048" customFormat="false" ht="15" hidden="false" customHeight="false" outlineLevel="0" collapsed="false">
      <c r="A1048" s="0" t="n">
        <v>31</v>
      </c>
      <c r="AA1048" s="0" t="n">
        <v>24</v>
      </c>
      <c r="AB1048" s="0" t="s">
        <v>551</v>
      </c>
      <c r="AD1048" s="0" t="n">
        <v>12</v>
      </c>
      <c r="AE1048" s="0" t="s">
        <v>96</v>
      </c>
      <c r="AH1048" s="0" t="n">
        <v>11</v>
      </c>
      <c r="AJ1048" s="0" t="n">
        <v>41</v>
      </c>
      <c r="AP1048" s="0" t="n">
        <v>200000</v>
      </c>
      <c r="DB1048" s="0" t="str">
        <f aca="false">IF($A1048="","",IF($AE1048&amp;""&lt;&gt;設定!$C$4,"対象外",IF($AH1048=20,IF(OR($AJ1048=10,$AJ1048=11,$AJ1048=18),"①病院一般",IF($AJ1048=41,"②病院短期","対象外")),IF($AH1048=5,IF($AJ1048=30,"③特定消防","対象外"),IF(OR($AJ1048=10,$AJ1048=11,$AJ1048=74),"④一般",IF(OR($AJ1048=41,$AJ1048=47),"⑤短期","対象外"))))))</f>
        <v>⑤短期</v>
      </c>
    </row>
    <row r="1049" customFormat="false" ht="15" hidden="false" customHeight="false" outlineLevel="0" collapsed="false">
      <c r="A1049" s="0" t="n">
        <v>31</v>
      </c>
      <c r="AA1049" s="0" t="n">
        <v>24</v>
      </c>
      <c r="AB1049" s="0" t="s">
        <v>543</v>
      </c>
      <c r="AD1049" s="0" t="n">
        <v>12</v>
      </c>
      <c r="AE1049" s="0" t="s">
        <v>303</v>
      </c>
      <c r="AH1049" s="0" t="n">
        <v>1</v>
      </c>
      <c r="AJ1049" s="0" t="n">
        <v>41</v>
      </c>
      <c r="AP1049" s="0" t="n">
        <v>134000</v>
      </c>
      <c r="DB1049" s="0" t="str">
        <f aca="false">IF($A1049="","",IF($AE1049&amp;""&lt;&gt;設定!$C$4,"対象外",IF($AH1049=20,IF(OR($AJ1049=10,$AJ1049=11,$AJ1049=18),"①病院一般",IF($AJ1049=41,"②病院短期","対象外")),IF($AH1049=5,IF($AJ1049=30,"③特定消防","対象外"),IF(OR($AJ1049=10,$AJ1049=11,$AJ1049=74),"④一般",IF(OR($AJ1049=41,$AJ1049=47),"⑤短期","対象外"))))))</f>
        <v>対象外</v>
      </c>
    </row>
    <row r="1050" customFormat="false" ht="15" hidden="false" customHeight="false" outlineLevel="0" collapsed="false">
      <c r="A1050" s="0" t="n">
        <v>31</v>
      </c>
      <c r="AA1050" s="0" t="n">
        <v>24</v>
      </c>
      <c r="AB1050" s="0" t="s">
        <v>552</v>
      </c>
      <c r="AD1050" s="0" t="n">
        <v>12</v>
      </c>
      <c r="AE1050" s="0" t="s">
        <v>323</v>
      </c>
      <c r="AH1050" s="0" t="n">
        <v>11</v>
      </c>
      <c r="AJ1050" s="0" t="n">
        <v>41</v>
      </c>
      <c r="AP1050" s="0" t="n">
        <v>500000</v>
      </c>
      <c r="DB1050" s="0" t="str">
        <f aca="false">IF($A1050="","",IF($AE1050&amp;""&lt;&gt;設定!$C$4,"対象外",IF($AH1050=20,IF(OR($AJ1050=10,$AJ1050=11,$AJ1050=18),"①病院一般",IF($AJ1050=41,"②病院短期","対象外")),IF($AH1050=5,IF($AJ1050=30,"③特定消防","対象外"),IF(OR($AJ1050=10,$AJ1050=11,$AJ1050=74),"④一般",IF(OR($AJ1050=41,$AJ1050=47),"⑤短期","対象外"))))))</f>
        <v>対象外</v>
      </c>
    </row>
    <row r="1051" customFormat="false" ht="15" hidden="false" customHeight="false" outlineLevel="0" collapsed="false">
      <c r="A1051" s="0" t="n">
        <v>31</v>
      </c>
      <c r="AA1051" s="0" t="n">
        <v>21</v>
      </c>
      <c r="AB1051" s="0" t="s">
        <v>553</v>
      </c>
      <c r="AD1051" s="0" t="n">
        <v>12</v>
      </c>
      <c r="AE1051" s="0" t="s">
        <v>96</v>
      </c>
      <c r="AH1051" s="0" t="n">
        <v>11</v>
      </c>
      <c r="AJ1051" s="0" t="n">
        <v>41</v>
      </c>
      <c r="AP1051" s="0" t="n">
        <v>170000</v>
      </c>
      <c r="DB1051" s="0" t="str">
        <f aca="false">IF($A1051="","",IF($AE1051&amp;""&lt;&gt;設定!$C$4,"対象外",IF($AH1051=20,IF(OR($AJ1051=10,$AJ1051=11,$AJ1051=18),"①病院一般",IF($AJ1051=41,"②病院短期","対象外")),IF($AH1051=5,IF($AJ1051=30,"③特定消防","対象外"),IF(OR($AJ1051=10,$AJ1051=11,$AJ1051=74),"④一般",IF(OR($AJ1051=41,$AJ1051=47),"⑤短期","対象外"))))))</f>
        <v>⑤短期</v>
      </c>
    </row>
    <row r="1052" customFormat="false" ht="15" hidden="false" customHeight="false" outlineLevel="0" collapsed="false">
      <c r="A1052" s="0" t="n">
        <v>31</v>
      </c>
      <c r="AA1052" s="0" t="n">
        <v>21</v>
      </c>
      <c r="AB1052" s="0" t="s">
        <v>518</v>
      </c>
      <c r="AD1052" s="0" t="n">
        <v>12</v>
      </c>
      <c r="AE1052" s="0" t="s">
        <v>96</v>
      </c>
      <c r="AH1052" s="0" t="n">
        <v>11</v>
      </c>
      <c r="AJ1052" s="0" t="n">
        <v>41</v>
      </c>
      <c r="AP1052" s="0" t="n">
        <v>126000</v>
      </c>
      <c r="DB1052" s="0" t="str">
        <f aca="false">IF($A1052="","",IF($AE1052&amp;""&lt;&gt;設定!$C$4,"対象外",IF($AH1052=20,IF(OR($AJ1052=10,$AJ1052=11,$AJ1052=18),"①病院一般",IF($AJ1052=41,"②病院短期","対象外")),IF($AH1052=5,IF($AJ1052=30,"③特定消防","対象外"),IF(OR($AJ1052=10,$AJ1052=11,$AJ1052=74),"④一般",IF(OR($AJ1052=41,$AJ1052=47),"⑤短期","対象外"))))))</f>
        <v>⑤短期</v>
      </c>
    </row>
    <row r="1053" customFormat="false" ht="15" hidden="false" customHeight="false" outlineLevel="0" collapsed="false">
      <c r="A1053" s="0" t="n">
        <v>31</v>
      </c>
      <c r="AA1053" s="0" t="n">
        <v>21</v>
      </c>
      <c r="AB1053" s="0" t="s">
        <v>550</v>
      </c>
      <c r="AD1053" s="0" t="n">
        <v>12</v>
      </c>
      <c r="AE1053" s="0" t="s">
        <v>96</v>
      </c>
      <c r="AH1053" s="0" t="n">
        <v>1</v>
      </c>
      <c r="AJ1053" s="0" t="n">
        <v>41</v>
      </c>
      <c r="AP1053" s="0" t="n">
        <v>126000</v>
      </c>
      <c r="DB1053" s="0" t="str">
        <f aca="false">IF($A1053="","",IF($AE1053&amp;""&lt;&gt;設定!$C$4,"対象外",IF($AH1053=20,IF(OR($AJ1053=10,$AJ1053=11,$AJ1053=18),"①病院一般",IF($AJ1053=41,"②病院短期","対象外")),IF($AH1053=5,IF($AJ1053=30,"③特定消防","対象外"),IF(OR($AJ1053=10,$AJ1053=11,$AJ1053=74),"④一般",IF(OR($AJ1053=41,$AJ1053=47),"⑤短期","対象外"))))))</f>
        <v>⑤短期</v>
      </c>
    </row>
    <row r="1054" customFormat="false" ht="15" hidden="false" customHeight="false" outlineLevel="0" collapsed="false">
      <c r="A1054" s="0" t="n">
        <v>31</v>
      </c>
      <c r="AA1054" s="0" t="n">
        <v>24</v>
      </c>
      <c r="AB1054" s="0" t="s">
        <v>536</v>
      </c>
      <c r="AD1054" s="0" t="n">
        <v>12</v>
      </c>
      <c r="AE1054" s="0" t="s">
        <v>554</v>
      </c>
      <c r="AH1054" s="0" t="n">
        <v>1</v>
      </c>
      <c r="AJ1054" s="0" t="n">
        <v>41</v>
      </c>
      <c r="AP1054" s="0" t="n">
        <v>134000</v>
      </c>
      <c r="DB1054" s="0" t="str">
        <f aca="false">IF($A1054="","",IF($AE1054&amp;""&lt;&gt;設定!$C$4,"対象外",IF($AH1054=20,IF(OR($AJ1054=10,$AJ1054=11,$AJ1054=18),"①病院一般",IF($AJ1054=41,"②病院短期","対象外")),IF($AH1054=5,IF($AJ1054=30,"③特定消防","対象外"),IF(OR($AJ1054=10,$AJ1054=11,$AJ1054=74),"④一般",IF(OR($AJ1054=41,$AJ1054=47),"⑤短期","対象外"))))))</f>
        <v>対象外</v>
      </c>
    </row>
    <row r="1055" customFormat="false" ht="15" hidden="false" customHeight="false" outlineLevel="0" collapsed="false">
      <c r="A1055" s="0" t="n">
        <v>31</v>
      </c>
      <c r="AA1055" s="0" t="n">
        <v>24</v>
      </c>
      <c r="AB1055" s="0" t="s">
        <v>96</v>
      </c>
      <c r="AD1055" s="0" t="n">
        <v>12</v>
      </c>
      <c r="AE1055" s="0" t="s">
        <v>301</v>
      </c>
      <c r="AH1055" s="0" t="n">
        <v>11</v>
      </c>
      <c r="AJ1055" s="0" t="n">
        <v>41</v>
      </c>
      <c r="AP1055" s="0" t="n">
        <v>142000</v>
      </c>
      <c r="DB1055" s="0" t="str">
        <f aca="false">IF($A1055="","",IF($AE1055&amp;""&lt;&gt;設定!$C$4,"対象外",IF($AH1055=20,IF(OR($AJ1055=10,$AJ1055=11,$AJ1055=18),"①病院一般",IF($AJ1055=41,"②病院短期","対象外")),IF($AH1055=5,IF($AJ1055=30,"③特定消防","対象外"),IF(OR($AJ1055=10,$AJ1055=11,$AJ1055=74),"④一般",IF(OR($AJ1055=41,$AJ1055=47),"⑤短期","対象外"))))))</f>
        <v>対象外</v>
      </c>
    </row>
    <row r="1056" customFormat="false" ht="15" hidden="false" customHeight="false" outlineLevel="0" collapsed="false">
      <c r="A1056" s="0" t="n">
        <v>31</v>
      </c>
      <c r="AA1056" s="0" t="n">
        <v>24</v>
      </c>
      <c r="AB1056" s="0" t="s">
        <v>504</v>
      </c>
      <c r="AD1056" s="0" t="n">
        <v>12</v>
      </c>
      <c r="AE1056" s="0" t="s">
        <v>96</v>
      </c>
      <c r="AH1056" s="0" t="n">
        <v>1</v>
      </c>
      <c r="AJ1056" s="0" t="n">
        <v>41</v>
      </c>
      <c r="AP1056" s="0" t="n">
        <v>126000</v>
      </c>
      <c r="DB1056" s="0" t="str">
        <f aca="false">IF($A1056="","",IF($AE1056&amp;""&lt;&gt;設定!$C$4,"対象外",IF($AH1056=20,IF(OR($AJ1056=10,$AJ1056=11,$AJ1056=18),"①病院一般",IF($AJ1056=41,"②病院短期","対象外")),IF($AH1056=5,IF($AJ1056=30,"③特定消防","対象外"),IF(OR($AJ1056=10,$AJ1056=11,$AJ1056=74),"④一般",IF(OR($AJ1056=41,$AJ1056=47),"⑤短期","対象外"))))))</f>
        <v>⑤短期</v>
      </c>
    </row>
    <row r="1057" customFormat="false" ht="15" hidden="false" customHeight="false" outlineLevel="0" collapsed="false">
      <c r="A1057" s="0" t="n">
        <v>31</v>
      </c>
      <c r="AA1057" s="0" t="n">
        <v>21</v>
      </c>
      <c r="AB1057" s="0" t="s">
        <v>477</v>
      </c>
      <c r="AD1057" s="0" t="n">
        <v>12</v>
      </c>
      <c r="AE1057" s="0" t="s">
        <v>96</v>
      </c>
      <c r="AH1057" s="0" t="n">
        <v>1</v>
      </c>
      <c r="AJ1057" s="0" t="n">
        <v>41</v>
      </c>
      <c r="AP1057" s="0" t="n">
        <v>142000</v>
      </c>
      <c r="DB1057" s="0" t="str">
        <f aca="false">IF($A1057="","",IF($AE1057&amp;""&lt;&gt;設定!$C$4,"対象外",IF($AH1057=20,IF(OR($AJ1057=10,$AJ1057=11,$AJ1057=18),"①病院一般",IF($AJ1057=41,"②病院短期","対象外")),IF($AH1057=5,IF($AJ1057=30,"③特定消防","対象外"),IF(OR($AJ1057=10,$AJ1057=11,$AJ1057=74),"④一般",IF(OR($AJ1057=41,$AJ1057=47),"⑤短期","対象外"))))))</f>
        <v>⑤短期</v>
      </c>
    </row>
    <row r="1058" customFormat="false" ht="15" hidden="false" customHeight="false" outlineLevel="0" collapsed="false">
      <c r="A1058" s="0" t="n">
        <v>31</v>
      </c>
      <c r="AA1058" s="0" t="n">
        <v>24</v>
      </c>
      <c r="AB1058" s="0" t="s">
        <v>555</v>
      </c>
      <c r="AD1058" s="0" t="n">
        <v>12</v>
      </c>
      <c r="AE1058" s="0" t="s">
        <v>96</v>
      </c>
      <c r="AH1058" s="0" t="n">
        <v>1</v>
      </c>
      <c r="AJ1058" s="0" t="n">
        <v>41</v>
      </c>
      <c r="AP1058" s="0" t="n">
        <v>134000</v>
      </c>
      <c r="DB1058" s="0" t="str">
        <f aca="false">IF($A1058="","",IF($AE1058&amp;""&lt;&gt;設定!$C$4,"対象外",IF($AH1058=20,IF(OR($AJ1058=10,$AJ1058=11,$AJ1058=18),"①病院一般",IF($AJ1058=41,"②病院短期","対象外")),IF($AH1058=5,IF($AJ1058=30,"③特定消防","対象外"),IF(OR($AJ1058=10,$AJ1058=11,$AJ1058=74),"④一般",IF(OR($AJ1058=41,$AJ1058=47),"⑤短期","対象外"))))))</f>
        <v>⑤短期</v>
      </c>
    </row>
    <row r="1059" customFormat="false" ht="15" hidden="false" customHeight="false" outlineLevel="0" collapsed="false">
      <c r="A1059" s="0" t="n">
        <v>31</v>
      </c>
      <c r="AA1059" s="0" t="n">
        <v>21</v>
      </c>
      <c r="AB1059" s="0" t="s">
        <v>477</v>
      </c>
      <c r="AD1059" s="0" t="n">
        <v>12</v>
      </c>
      <c r="AE1059" s="0" t="s">
        <v>96</v>
      </c>
      <c r="AH1059" s="0" t="n">
        <v>11</v>
      </c>
      <c r="AJ1059" s="0" t="n">
        <v>41</v>
      </c>
      <c r="AP1059" s="0" t="n">
        <v>180000</v>
      </c>
      <c r="DB1059" s="0" t="str">
        <f aca="false">IF($A1059="","",IF($AE1059&amp;""&lt;&gt;設定!$C$4,"対象外",IF($AH1059=20,IF(OR($AJ1059=10,$AJ1059=11,$AJ1059=18),"①病院一般",IF($AJ1059=41,"②病院短期","対象外")),IF($AH1059=5,IF($AJ1059=30,"③特定消防","対象外"),IF(OR($AJ1059=10,$AJ1059=11,$AJ1059=74),"④一般",IF(OR($AJ1059=41,$AJ1059=47),"⑤短期","対象外"))))))</f>
        <v>⑤短期</v>
      </c>
    </row>
    <row r="1060" customFormat="false" ht="15" hidden="false" customHeight="false" outlineLevel="0" collapsed="false">
      <c r="A1060" s="0" t="n">
        <v>31</v>
      </c>
      <c r="AA1060" s="0" t="n">
        <v>21</v>
      </c>
      <c r="AB1060" s="0" t="s">
        <v>494</v>
      </c>
      <c r="AD1060" s="0" t="n">
        <v>12</v>
      </c>
      <c r="AE1060" s="0" t="s">
        <v>556</v>
      </c>
      <c r="AH1060" s="0" t="n">
        <v>1</v>
      </c>
      <c r="AJ1060" s="0" t="n">
        <v>41</v>
      </c>
      <c r="AP1060" s="0" t="n">
        <v>126000</v>
      </c>
      <c r="DB1060" s="0" t="str">
        <f aca="false">IF($A1060="","",IF($AE1060&amp;""&lt;&gt;設定!$C$4,"対象外",IF($AH1060=20,IF(OR($AJ1060=10,$AJ1060=11,$AJ1060=18),"①病院一般",IF($AJ1060=41,"②病院短期","対象外")),IF($AH1060=5,IF($AJ1060=30,"③特定消防","対象外"),IF(OR($AJ1060=10,$AJ1060=11,$AJ1060=74),"④一般",IF(OR($AJ1060=41,$AJ1060=47),"⑤短期","対象外"))))))</f>
        <v>対象外</v>
      </c>
    </row>
    <row r="1061" customFormat="false" ht="15" hidden="false" customHeight="false" outlineLevel="0" collapsed="false">
      <c r="A1061" s="0" t="n">
        <v>31</v>
      </c>
      <c r="AA1061" s="0" t="n">
        <v>24</v>
      </c>
      <c r="AB1061" s="0" t="s">
        <v>502</v>
      </c>
      <c r="AD1061" s="0" t="n">
        <v>12</v>
      </c>
      <c r="AE1061" s="0" t="s">
        <v>317</v>
      </c>
      <c r="AH1061" s="0" t="n">
        <v>1</v>
      </c>
      <c r="AJ1061" s="0" t="n">
        <v>41</v>
      </c>
      <c r="AP1061" s="0" t="n">
        <v>126000</v>
      </c>
      <c r="DB1061" s="0" t="str">
        <f aca="false">IF($A1061="","",IF($AE1061&amp;""&lt;&gt;設定!$C$4,"対象外",IF($AH1061=20,IF(OR($AJ1061=10,$AJ1061=11,$AJ1061=18),"①病院一般",IF($AJ1061=41,"②病院短期","対象外")),IF($AH1061=5,IF($AJ1061=30,"③特定消防","対象外"),IF(OR($AJ1061=10,$AJ1061=11,$AJ1061=74),"④一般",IF(OR($AJ1061=41,$AJ1061=47),"⑤短期","対象外"))))))</f>
        <v>対象外</v>
      </c>
    </row>
    <row r="1062" customFormat="false" ht="15" hidden="false" customHeight="false" outlineLevel="0" collapsed="false">
      <c r="A1062" s="0" t="n">
        <v>31</v>
      </c>
      <c r="AA1062" s="0" t="n">
        <v>21</v>
      </c>
      <c r="AB1062" s="0" t="s">
        <v>528</v>
      </c>
      <c r="AD1062" s="0" t="n">
        <v>12</v>
      </c>
      <c r="AE1062" s="0" t="s">
        <v>96</v>
      </c>
      <c r="AH1062" s="0" t="n">
        <v>11</v>
      </c>
      <c r="AJ1062" s="0" t="n">
        <v>41</v>
      </c>
      <c r="AP1062" s="0" t="n">
        <v>126000</v>
      </c>
      <c r="DB1062" s="0" t="str">
        <f aca="false">IF($A1062="","",IF($AE1062&amp;""&lt;&gt;設定!$C$4,"対象外",IF($AH1062=20,IF(OR($AJ1062=10,$AJ1062=11,$AJ1062=18),"①病院一般",IF($AJ1062=41,"②病院短期","対象外")),IF($AH1062=5,IF($AJ1062=30,"③特定消防","対象外"),IF(OR($AJ1062=10,$AJ1062=11,$AJ1062=74),"④一般",IF(OR($AJ1062=41,$AJ1062=47),"⑤短期","対象外"))))))</f>
        <v>⑤短期</v>
      </c>
    </row>
    <row r="1063" customFormat="false" ht="15" hidden="false" customHeight="false" outlineLevel="0" collapsed="false">
      <c r="A1063" s="0" t="n">
        <v>31</v>
      </c>
      <c r="AA1063" s="0" t="n">
        <v>21</v>
      </c>
      <c r="AB1063" s="0" t="s">
        <v>345</v>
      </c>
      <c r="AD1063" s="0" t="n">
        <v>12</v>
      </c>
      <c r="AE1063" s="0" t="s">
        <v>335</v>
      </c>
      <c r="AH1063" s="0" t="n">
        <v>1</v>
      </c>
      <c r="AJ1063" s="0" t="n">
        <v>41</v>
      </c>
      <c r="AP1063" s="0" t="n">
        <v>260000</v>
      </c>
      <c r="DB1063" s="0" t="str">
        <f aca="false">IF($A1063="","",IF($AE1063&amp;""&lt;&gt;設定!$C$4,"対象外",IF($AH1063=20,IF(OR($AJ1063=10,$AJ1063=11,$AJ1063=18),"①病院一般",IF($AJ1063=41,"②病院短期","対象外")),IF($AH1063=5,IF($AJ1063=30,"③特定消防","対象外"),IF(OR($AJ1063=10,$AJ1063=11,$AJ1063=74),"④一般",IF(OR($AJ1063=41,$AJ1063=47),"⑤短期","対象外"))))))</f>
        <v>対象外</v>
      </c>
    </row>
    <row r="1064" customFormat="false" ht="15" hidden="false" customHeight="false" outlineLevel="0" collapsed="false">
      <c r="A1064" s="0" t="n">
        <v>31</v>
      </c>
      <c r="AA1064" s="0" t="n">
        <v>21</v>
      </c>
      <c r="AB1064" s="0" t="s">
        <v>477</v>
      </c>
      <c r="AD1064" s="0" t="n">
        <v>12</v>
      </c>
      <c r="AE1064" s="0" t="s">
        <v>96</v>
      </c>
      <c r="AH1064" s="0" t="n">
        <v>20</v>
      </c>
      <c r="AJ1064" s="0" t="n">
        <v>10</v>
      </c>
      <c r="AP1064" s="0" t="n">
        <v>880000</v>
      </c>
      <c r="DB1064" s="0" t="str">
        <f aca="false">IF($A1064="","",IF($AE1064&amp;""&lt;&gt;設定!$C$4,"対象外",IF($AH1064=20,IF(OR($AJ1064=10,$AJ1064=11,$AJ1064=18),"①病院一般",IF($AJ1064=41,"②病院短期","対象外")),IF($AH1064=5,IF($AJ1064=30,"③特定消防","対象外"),IF(OR($AJ1064=10,$AJ1064=11,$AJ1064=74),"④一般",IF(OR($AJ1064=41,$AJ1064=47),"⑤短期","対象外"))))))</f>
        <v>①病院一般</v>
      </c>
    </row>
    <row r="1065" customFormat="false" ht="15" hidden="false" customHeight="false" outlineLevel="0" collapsed="false">
      <c r="A1065" s="0" t="n">
        <v>31</v>
      </c>
      <c r="AA1065" s="0" t="n">
        <v>21</v>
      </c>
      <c r="AB1065" s="0" t="s">
        <v>477</v>
      </c>
      <c r="AD1065" s="0" t="n">
        <v>12</v>
      </c>
      <c r="AE1065" s="0" t="s">
        <v>96</v>
      </c>
      <c r="AH1065" s="0" t="n">
        <v>20</v>
      </c>
      <c r="AJ1065" s="0" t="n">
        <v>10</v>
      </c>
      <c r="AP1065" s="0" t="n">
        <v>830000</v>
      </c>
      <c r="DB1065" s="0" t="str">
        <f aca="false">IF($A1065="","",IF($AE1065&amp;""&lt;&gt;設定!$C$4,"対象外",IF($AH1065=20,IF(OR($AJ1065=10,$AJ1065=11,$AJ1065=18),"①病院一般",IF($AJ1065=41,"②病院短期","対象外")),IF($AH1065=5,IF($AJ1065=30,"③特定消防","対象外"),IF(OR($AJ1065=10,$AJ1065=11,$AJ1065=74),"④一般",IF(OR($AJ1065=41,$AJ1065=47),"⑤短期","対象外"))))))</f>
        <v>①病院一般</v>
      </c>
    </row>
    <row r="1066" customFormat="false" ht="15" hidden="false" customHeight="false" outlineLevel="0" collapsed="false">
      <c r="A1066" s="0" t="n">
        <v>31</v>
      </c>
      <c r="AA1066" s="0" t="n">
        <v>21</v>
      </c>
      <c r="AB1066" s="0" t="s">
        <v>477</v>
      </c>
      <c r="AD1066" s="0" t="n">
        <v>12</v>
      </c>
      <c r="AE1066" s="0" t="s">
        <v>96</v>
      </c>
      <c r="AH1066" s="0" t="n">
        <v>20</v>
      </c>
      <c r="AJ1066" s="0" t="n">
        <v>10</v>
      </c>
      <c r="AP1066" s="0" t="n">
        <v>680000</v>
      </c>
      <c r="DB1066" s="0" t="str">
        <f aca="false">IF($A1066="","",IF($AE1066&amp;""&lt;&gt;設定!$C$4,"対象外",IF($AH1066=20,IF(OR($AJ1066=10,$AJ1066=11,$AJ1066=18),"①病院一般",IF($AJ1066=41,"②病院短期","対象外")),IF($AH1066=5,IF($AJ1066=30,"③特定消防","対象外"),IF(OR($AJ1066=10,$AJ1066=11,$AJ1066=74),"④一般",IF(OR($AJ1066=41,$AJ1066=47),"⑤短期","対象外"))))))</f>
        <v>①病院一般</v>
      </c>
    </row>
    <row r="1067" customFormat="false" ht="15" hidden="false" customHeight="false" outlineLevel="0" collapsed="false">
      <c r="A1067" s="0" t="n">
        <v>31</v>
      </c>
      <c r="AA1067" s="0" t="n">
        <v>21</v>
      </c>
      <c r="AB1067" s="0" t="s">
        <v>477</v>
      </c>
      <c r="AD1067" s="0" t="n">
        <v>12</v>
      </c>
      <c r="AE1067" s="0" t="s">
        <v>301</v>
      </c>
      <c r="AH1067" s="0" t="n">
        <v>20</v>
      </c>
      <c r="AJ1067" s="0" t="n">
        <v>10</v>
      </c>
      <c r="AP1067" s="0" t="n">
        <v>830000</v>
      </c>
      <c r="DB1067" s="0" t="str">
        <f aca="false">IF($A1067="","",IF($AE1067&amp;""&lt;&gt;設定!$C$4,"対象外",IF($AH1067=20,IF(OR($AJ1067=10,$AJ1067=11,$AJ1067=18),"①病院一般",IF($AJ1067=41,"②病院短期","対象外")),IF($AH1067=5,IF($AJ1067=30,"③特定消防","対象外"),IF(OR($AJ1067=10,$AJ1067=11,$AJ1067=74),"④一般",IF(OR($AJ1067=41,$AJ1067=47),"⑤短期","対象外"))))))</f>
        <v>対象外</v>
      </c>
    </row>
    <row r="1068" customFormat="false" ht="15" hidden="false" customHeight="false" outlineLevel="0" collapsed="false">
      <c r="A1068" s="0" t="n">
        <v>31</v>
      </c>
      <c r="AA1068" s="0" t="n">
        <v>21</v>
      </c>
      <c r="AB1068" s="0" t="s">
        <v>477</v>
      </c>
      <c r="AD1068" s="0" t="n">
        <v>12</v>
      </c>
      <c r="AE1068" s="0" t="s">
        <v>96</v>
      </c>
      <c r="AH1068" s="0" t="n">
        <v>20</v>
      </c>
      <c r="AJ1068" s="0" t="n">
        <v>10</v>
      </c>
      <c r="AP1068" s="0" t="n">
        <v>980000</v>
      </c>
      <c r="DB1068" s="0" t="str">
        <f aca="false">IF($A1068="","",IF($AE1068&amp;""&lt;&gt;設定!$C$4,"対象外",IF($AH1068=20,IF(OR($AJ1068=10,$AJ1068=11,$AJ1068=18),"①病院一般",IF($AJ1068=41,"②病院短期","対象外")),IF($AH1068=5,IF($AJ1068=30,"③特定消防","対象外"),IF(OR($AJ1068=10,$AJ1068=11,$AJ1068=74),"④一般",IF(OR($AJ1068=41,$AJ1068=47),"⑤短期","対象外"))))))</f>
        <v>①病院一般</v>
      </c>
    </row>
    <row r="1069" customFormat="false" ht="15" hidden="false" customHeight="false" outlineLevel="0" collapsed="false">
      <c r="A1069" s="0" t="n">
        <v>31</v>
      </c>
      <c r="AA1069" s="0" t="n">
        <v>21</v>
      </c>
      <c r="AB1069" s="0" t="s">
        <v>477</v>
      </c>
      <c r="AD1069" s="0" t="n">
        <v>12</v>
      </c>
      <c r="AE1069" s="0" t="s">
        <v>96</v>
      </c>
      <c r="AH1069" s="0" t="n">
        <v>20</v>
      </c>
      <c r="AJ1069" s="0" t="n">
        <v>10</v>
      </c>
      <c r="AP1069" s="0" t="n">
        <v>680000</v>
      </c>
      <c r="DB1069" s="0" t="str">
        <f aca="false">IF($A1069="","",IF($AE1069&amp;""&lt;&gt;設定!$C$4,"対象外",IF($AH1069=20,IF(OR($AJ1069=10,$AJ1069=11,$AJ1069=18),"①病院一般",IF($AJ1069=41,"②病院短期","対象外")),IF($AH1069=5,IF($AJ1069=30,"③特定消防","対象外"),IF(OR($AJ1069=10,$AJ1069=11,$AJ1069=74),"④一般",IF(OR($AJ1069=41,$AJ1069=47),"⑤短期","対象外"))))))</f>
        <v>①病院一般</v>
      </c>
    </row>
    <row r="1070" customFormat="false" ht="15" hidden="false" customHeight="false" outlineLevel="0" collapsed="false">
      <c r="A1070" s="0" t="n">
        <v>31</v>
      </c>
      <c r="AA1070" s="0" t="n">
        <v>21</v>
      </c>
      <c r="AB1070" s="0" t="s">
        <v>477</v>
      </c>
      <c r="AD1070" s="0" t="n">
        <v>12</v>
      </c>
      <c r="AE1070" s="0" t="s">
        <v>301</v>
      </c>
      <c r="AH1070" s="0" t="n">
        <v>20</v>
      </c>
      <c r="AJ1070" s="0" t="n">
        <v>10</v>
      </c>
      <c r="AP1070" s="0" t="n">
        <v>560000</v>
      </c>
      <c r="DB1070" s="0" t="str">
        <f aca="false">IF($A1070="","",IF($AE1070&amp;""&lt;&gt;設定!$C$4,"対象外",IF($AH1070=20,IF(OR($AJ1070=10,$AJ1070=11,$AJ1070=18),"①病院一般",IF($AJ1070=41,"②病院短期","対象外")),IF($AH1070=5,IF($AJ1070=30,"③特定消防","対象外"),IF(OR($AJ1070=10,$AJ1070=11,$AJ1070=74),"④一般",IF(OR($AJ1070=41,$AJ1070=47),"⑤短期","対象外"))))))</f>
        <v>対象外</v>
      </c>
    </row>
    <row r="1071" customFormat="false" ht="15" hidden="false" customHeight="false" outlineLevel="0" collapsed="false">
      <c r="A1071" s="0" t="n">
        <v>31</v>
      </c>
      <c r="AA1071" s="0" t="n">
        <v>21</v>
      </c>
      <c r="AB1071" s="0" t="s">
        <v>477</v>
      </c>
      <c r="AD1071" s="0" t="n">
        <v>12</v>
      </c>
      <c r="AE1071" s="0" t="s">
        <v>96</v>
      </c>
      <c r="AH1071" s="0" t="n">
        <v>20</v>
      </c>
      <c r="AJ1071" s="0" t="n">
        <v>10</v>
      </c>
      <c r="AP1071" s="0" t="n">
        <v>680000</v>
      </c>
      <c r="DB1071" s="0" t="str">
        <f aca="false">IF($A1071="","",IF($AE1071&amp;""&lt;&gt;設定!$C$4,"対象外",IF($AH1071=20,IF(OR($AJ1071=10,$AJ1071=11,$AJ1071=18),"①病院一般",IF($AJ1071=41,"②病院短期","対象外")),IF($AH1071=5,IF($AJ1071=30,"③特定消防","対象外"),IF(OR($AJ1071=10,$AJ1071=11,$AJ1071=74),"④一般",IF(OR($AJ1071=41,$AJ1071=47),"⑤短期","対象外"))))))</f>
        <v>①病院一般</v>
      </c>
    </row>
    <row r="1072" customFormat="false" ht="15" hidden="false" customHeight="false" outlineLevel="0" collapsed="false">
      <c r="A1072" s="0" t="n">
        <v>31</v>
      </c>
      <c r="AA1072" s="0" t="n">
        <v>21</v>
      </c>
      <c r="AB1072" s="0" t="s">
        <v>477</v>
      </c>
      <c r="AD1072" s="0" t="n">
        <v>12</v>
      </c>
      <c r="AE1072" s="0" t="s">
        <v>96</v>
      </c>
      <c r="AH1072" s="0" t="n">
        <v>20</v>
      </c>
      <c r="AJ1072" s="0" t="n">
        <v>10</v>
      </c>
      <c r="AP1072" s="0" t="n">
        <v>680000</v>
      </c>
      <c r="DB1072" s="0" t="str">
        <f aca="false">IF($A1072="","",IF($AE1072&amp;""&lt;&gt;設定!$C$4,"対象外",IF($AH1072=20,IF(OR($AJ1072=10,$AJ1072=11,$AJ1072=18),"①病院一般",IF($AJ1072=41,"②病院短期","対象外")),IF($AH1072=5,IF($AJ1072=30,"③特定消防","対象外"),IF(OR($AJ1072=10,$AJ1072=11,$AJ1072=74),"④一般",IF(OR($AJ1072=41,$AJ1072=47),"⑤短期","対象外"))))))</f>
        <v>①病院一般</v>
      </c>
    </row>
    <row r="1073" customFormat="false" ht="15" hidden="false" customHeight="false" outlineLevel="0" collapsed="false">
      <c r="A1073" s="0" t="n">
        <v>31</v>
      </c>
      <c r="AA1073" s="0" t="n">
        <v>21</v>
      </c>
      <c r="AB1073" s="0" t="s">
        <v>477</v>
      </c>
      <c r="AD1073" s="0" t="n">
        <v>12</v>
      </c>
      <c r="AE1073" s="0" t="s">
        <v>96</v>
      </c>
      <c r="AH1073" s="0" t="n">
        <v>20</v>
      </c>
      <c r="AJ1073" s="0" t="n">
        <v>10</v>
      </c>
      <c r="AP1073" s="0" t="n">
        <v>650000</v>
      </c>
      <c r="DB1073" s="0" t="str">
        <f aca="false">IF($A1073="","",IF($AE1073&amp;""&lt;&gt;設定!$C$4,"対象外",IF($AH1073=20,IF(OR($AJ1073=10,$AJ1073=11,$AJ1073=18),"①病院一般",IF($AJ1073=41,"②病院短期","対象外")),IF($AH1073=5,IF($AJ1073=30,"③特定消防","対象外"),IF(OR($AJ1073=10,$AJ1073=11,$AJ1073=74),"④一般",IF(OR($AJ1073=41,$AJ1073=47),"⑤短期","対象外"))))))</f>
        <v>①病院一般</v>
      </c>
    </row>
    <row r="1074" customFormat="false" ht="15" hidden="false" customHeight="false" outlineLevel="0" collapsed="false">
      <c r="A1074" s="0" t="n">
        <v>31</v>
      </c>
      <c r="AA1074" s="0" t="n">
        <v>21</v>
      </c>
      <c r="AB1074" s="0" t="s">
        <v>477</v>
      </c>
      <c r="AD1074" s="0" t="n">
        <v>12</v>
      </c>
      <c r="AE1074" s="0" t="s">
        <v>96</v>
      </c>
      <c r="AH1074" s="0" t="n">
        <v>20</v>
      </c>
      <c r="AJ1074" s="0" t="n">
        <v>10</v>
      </c>
      <c r="AP1074" s="0" t="n">
        <v>650000</v>
      </c>
      <c r="DB1074" s="0" t="str">
        <f aca="false">IF($A1074="","",IF($AE1074&amp;""&lt;&gt;設定!$C$4,"対象外",IF($AH1074=20,IF(OR($AJ1074=10,$AJ1074=11,$AJ1074=18),"①病院一般",IF($AJ1074=41,"②病院短期","対象外")),IF($AH1074=5,IF($AJ1074=30,"③特定消防","対象外"),IF(OR($AJ1074=10,$AJ1074=11,$AJ1074=74),"④一般",IF(OR($AJ1074=41,$AJ1074=47),"⑤短期","対象外"))))))</f>
        <v>①病院一般</v>
      </c>
    </row>
    <row r="1075" customFormat="false" ht="15" hidden="false" customHeight="false" outlineLevel="0" collapsed="false">
      <c r="A1075" s="0" t="n">
        <v>31</v>
      </c>
      <c r="AA1075" s="0" t="n">
        <v>21</v>
      </c>
      <c r="AB1075" s="0" t="s">
        <v>477</v>
      </c>
      <c r="AD1075" s="0" t="n">
        <v>12</v>
      </c>
      <c r="AE1075" s="0" t="s">
        <v>96</v>
      </c>
      <c r="AH1075" s="0" t="n">
        <v>20</v>
      </c>
      <c r="AJ1075" s="0" t="n">
        <v>10</v>
      </c>
      <c r="AP1075" s="0" t="n">
        <v>650000</v>
      </c>
      <c r="DB1075" s="0" t="str">
        <f aca="false">IF($A1075="","",IF($AE1075&amp;""&lt;&gt;設定!$C$4,"対象外",IF($AH1075=20,IF(OR($AJ1075=10,$AJ1075=11,$AJ1075=18),"①病院一般",IF($AJ1075=41,"②病院短期","対象外")),IF($AH1075=5,IF($AJ1075=30,"③特定消防","対象外"),IF(OR($AJ1075=10,$AJ1075=11,$AJ1075=74),"④一般",IF(OR($AJ1075=41,$AJ1075=47),"⑤短期","対象外"))))))</f>
        <v>①病院一般</v>
      </c>
    </row>
    <row r="1076" customFormat="false" ht="15" hidden="false" customHeight="false" outlineLevel="0" collapsed="false">
      <c r="A1076" s="0" t="n">
        <v>31</v>
      </c>
      <c r="AA1076" s="0" t="n">
        <v>21</v>
      </c>
      <c r="AB1076" s="0" t="s">
        <v>477</v>
      </c>
      <c r="AD1076" s="0" t="n">
        <v>12</v>
      </c>
      <c r="AE1076" s="0" t="s">
        <v>301</v>
      </c>
      <c r="AH1076" s="0" t="n">
        <v>20</v>
      </c>
      <c r="AJ1076" s="0" t="n">
        <v>10</v>
      </c>
      <c r="AP1076" s="0" t="n">
        <v>750000</v>
      </c>
      <c r="DB1076" s="0" t="str">
        <f aca="false">IF($A1076="","",IF($AE1076&amp;""&lt;&gt;設定!$C$4,"対象外",IF($AH1076=20,IF(OR($AJ1076=10,$AJ1076=11,$AJ1076=18),"①病院一般",IF($AJ1076=41,"②病院短期","対象外")),IF($AH1076=5,IF($AJ1076=30,"③特定消防","対象外"),IF(OR($AJ1076=10,$AJ1076=11,$AJ1076=74),"④一般",IF(OR($AJ1076=41,$AJ1076=47),"⑤短期","対象外"))))))</f>
        <v>対象外</v>
      </c>
    </row>
    <row r="1077" customFormat="false" ht="15" hidden="false" customHeight="false" outlineLevel="0" collapsed="false">
      <c r="A1077" s="0" t="n">
        <v>31</v>
      </c>
      <c r="AA1077" s="0" t="n">
        <v>21</v>
      </c>
      <c r="AB1077" s="0" t="s">
        <v>477</v>
      </c>
      <c r="AD1077" s="0" t="n">
        <v>12</v>
      </c>
      <c r="AE1077" s="0" t="s">
        <v>96</v>
      </c>
      <c r="AH1077" s="0" t="n">
        <v>20</v>
      </c>
      <c r="AJ1077" s="0" t="n">
        <v>10</v>
      </c>
      <c r="AP1077" s="0" t="n">
        <v>680000</v>
      </c>
      <c r="DB1077" s="0" t="str">
        <f aca="false">IF($A1077="","",IF($AE1077&amp;""&lt;&gt;設定!$C$4,"対象外",IF($AH1077=20,IF(OR($AJ1077=10,$AJ1077=11,$AJ1077=18),"①病院一般",IF($AJ1077=41,"②病院短期","対象外")),IF($AH1077=5,IF($AJ1077=30,"③特定消防","対象外"),IF(OR($AJ1077=10,$AJ1077=11,$AJ1077=74),"④一般",IF(OR($AJ1077=41,$AJ1077=47),"⑤短期","対象外"))))))</f>
        <v>①病院一般</v>
      </c>
    </row>
    <row r="1078" customFormat="false" ht="15" hidden="false" customHeight="false" outlineLevel="0" collapsed="false">
      <c r="A1078" s="0" t="n">
        <v>31</v>
      </c>
      <c r="AA1078" s="0" t="n">
        <v>21</v>
      </c>
      <c r="AB1078" s="0" t="s">
        <v>477</v>
      </c>
      <c r="AD1078" s="0" t="n">
        <v>12</v>
      </c>
      <c r="AE1078" s="0" t="s">
        <v>96</v>
      </c>
      <c r="AH1078" s="0" t="n">
        <v>20</v>
      </c>
      <c r="AJ1078" s="0" t="n">
        <v>10</v>
      </c>
      <c r="AP1078" s="0" t="n">
        <v>930000</v>
      </c>
      <c r="DB1078" s="0" t="str">
        <f aca="false">IF($A1078="","",IF($AE1078&amp;""&lt;&gt;設定!$C$4,"対象外",IF($AH1078=20,IF(OR($AJ1078=10,$AJ1078=11,$AJ1078=18),"①病院一般",IF($AJ1078=41,"②病院短期","対象外")),IF($AH1078=5,IF($AJ1078=30,"③特定消防","対象外"),IF(OR($AJ1078=10,$AJ1078=11,$AJ1078=74),"④一般",IF(OR($AJ1078=41,$AJ1078=47),"⑤短期","対象外"))))))</f>
        <v>①病院一般</v>
      </c>
    </row>
    <row r="1079" customFormat="false" ht="15" hidden="false" customHeight="false" outlineLevel="0" collapsed="false">
      <c r="A1079" s="0" t="n">
        <v>31</v>
      </c>
      <c r="AA1079" s="0" t="n">
        <v>21</v>
      </c>
      <c r="AB1079" s="0" t="s">
        <v>477</v>
      </c>
      <c r="AD1079" s="0" t="n">
        <v>12</v>
      </c>
      <c r="AE1079" s="0" t="s">
        <v>96</v>
      </c>
      <c r="AH1079" s="0" t="n">
        <v>20</v>
      </c>
      <c r="AJ1079" s="0" t="n">
        <v>10</v>
      </c>
      <c r="AP1079" s="0" t="n">
        <v>790000</v>
      </c>
      <c r="DB1079" s="0" t="str">
        <f aca="false">IF($A1079="","",IF($AE1079&amp;""&lt;&gt;設定!$C$4,"対象外",IF($AH1079=20,IF(OR($AJ1079=10,$AJ1079=11,$AJ1079=18),"①病院一般",IF($AJ1079=41,"②病院短期","対象外")),IF($AH1079=5,IF($AJ1079=30,"③特定消防","対象外"),IF(OR($AJ1079=10,$AJ1079=11,$AJ1079=74),"④一般",IF(OR($AJ1079=41,$AJ1079=47),"⑤短期","対象外"))))))</f>
        <v>①病院一般</v>
      </c>
    </row>
    <row r="1080" customFormat="false" ht="15" hidden="false" customHeight="false" outlineLevel="0" collapsed="false">
      <c r="A1080" s="0" t="n">
        <v>31</v>
      </c>
      <c r="AA1080" s="0" t="n">
        <v>21</v>
      </c>
      <c r="AB1080" s="0" t="s">
        <v>477</v>
      </c>
      <c r="AD1080" s="0" t="n">
        <v>12</v>
      </c>
      <c r="AE1080" s="0" t="s">
        <v>96</v>
      </c>
      <c r="AH1080" s="0" t="n">
        <v>20</v>
      </c>
      <c r="AJ1080" s="0" t="n">
        <v>10</v>
      </c>
      <c r="AP1080" s="0" t="n">
        <v>880000</v>
      </c>
      <c r="DB1080" s="0" t="str">
        <f aca="false">IF($A1080="","",IF($AE1080&amp;""&lt;&gt;設定!$C$4,"対象外",IF($AH1080=20,IF(OR($AJ1080=10,$AJ1080=11,$AJ1080=18),"①病院一般",IF($AJ1080=41,"②病院短期","対象外")),IF($AH1080=5,IF($AJ1080=30,"③特定消防","対象外"),IF(OR($AJ1080=10,$AJ1080=11,$AJ1080=74),"④一般",IF(OR($AJ1080=41,$AJ1080=47),"⑤短期","対象外"))))))</f>
        <v>①病院一般</v>
      </c>
    </row>
    <row r="1081" customFormat="false" ht="15" hidden="false" customHeight="false" outlineLevel="0" collapsed="false">
      <c r="A1081" s="0" t="n">
        <v>31</v>
      </c>
      <c r="AA1081" s="0" t="n">
        <v>21</v>
      </c>
      <c r="AB1081" s="0" t="s">
        <v>477</v>
      </c>
      <c r="AD1081" s="0" t="n">
        <v>12</v>
      </c>
      <c r="AE1081" s="0" t="s">
        <v>96</v>
      </c>
      <c r="AH1081" s="0" t="n">
        <v>20</v>
      </c>
      <c r="AJ1081" s="0" t="n">
        <v>10</v>
      </c>
      <c r="AP1081" s="0" t="n">
        <v>710000</v>
      </c>
      <c r="DB1081" s="0" t="str">
        <f aca="false">IF($A1081="","",IF($AE1081&amp;""&lt;&gt;設定!$C$4,"対象外",IF($AH1081=20,IF(OR($AJ1081=10,$AJ1081=11,$AJ1081=18),"①病院一般",IF($AJ1081=41,"②病院短期","対象外")),IF($AH1081=5,IF($AJ1081=30,"③特定消防","対象外"),IF(OR($AJ1081=10,$AJ1081=11,$AJ1081=74),"④一般",IF(OR($AJ1081=41,$AJ1081=47),"⑤短期","対象外"))))))</f>
        <v>①病院一般</v>
      </c>
    </row>
    <row r="1082" customFormat="false" ht="15" hidden="false" customHeight="false" outlineLevel="0" collapsed="false">
      <c r="A1082" s="0" t="n">
        <v>31</v>
      </c>
      <c r="AA1082" s="0" t="n">
        <v>21</v>
      </c>
      <c r="AB1082" s="0" t="s">
        <v>477</v>
      </c>
      <c r="AD1082" s="0" t="n">
        <v>12</v>
      </c>
      <c r="AE1082" s="0" t="s">
        <v>96</v>
      </c>
      <c r="AH1082" s="0" t="n">
        <v>20</v>
      </c>
      <c r="AJ1082" s="0" t="n">
        <v>10</v>
      </c>
      <c r="AP1082" s="0" t="n">
        <v>750000</v>
      </c>
      <c r="DB1082" s="0" t="str">
        <f aca="false">IF($A1082="","",IF($AE1082&amp;""&lt;&gt;設定!$C$4,"対象外",IF($AH1082=20,IF(OR($AJ1082=10,$AJ1082=11,$AJ1082=18),"①病院一般",IF($AJ1082=41,"②病院短期","対象外")),IF($AH1082=5,IF($AJ1082=30,"③特定消防","対象外"),IF(OR($AJ1082=10,$AJ1082=11,$AJ1082=74),"④一般",IF(OR($AJ1082=41,$AJ1082=47),"⑤短期","対象外"))))))</f>
        <v>①病院一般</v>
      </c>
    </row>
    <row r="1083" customFormat="false" ht="15" hidden="false" customHeight="false" outlineLevel="0" collapsed="false">
      <c r="A1083" s="0" t="n">
        <v>31</v>
      </c>
      <c r="AA1083" s="0" t="n">
        <v>21</v>
      </c>
      <c r="AB1083" s="0" t="s">
        <v>477</v>
      </c>
      <c r="AD1083" s="0" t="n">
        <v>12</v>
      </c>
      <c r="AE1083" s="0" t="s">
        <v>96</v>
      </c>
      <c r="AH1083" s="0" t="n">
        <v>20</v>
      </c>
      <c r="AJ1083" s="0" t="n">
        <v>10</v>
      </c>
      <c r="AP1083" s="0" t="n">
        <v>750000</v>
      </c>
      <c r="DB1083" s="0" t="str">
        <f aca="false">IF($A1083="","",IF($AE1083&amp;""&lt;&gt;設定!$C$4,"対象外",IF($AH1083=20,IF(OR($AJ1083=10,$AJ1083=11,$AJ1083=18),"①病院一般",IF($AJ1083=41,"②病院短期","対象外")),IF($AH1083=5,IF($AJ1083=30,"③特定消防","対象外"),IF(OR($AJ1083=10,$AJ1083=11,$AJ1083=74),"④一般",IF(OR($AJ1083=41,$AJ1083=47),"⑤短期","対象外"))))))</f>
        <v>①病院一般</v>
      </c>
    </row>
    <row r="1084" customFormat="false" ht="15" hidden="false" customHeight="false" outlineLevel="0" collapsed="false">
      <c r="A1084" s="0" t="n">
        <v>31</v>
      </c>
      <c r="AA1084" s="0" t="n">
        <v>21</v>
      </c>
      <c r="AB1084" s="0" t="s">
        <v>477</v>
      </c>
      <c r="AD1084" s="0" t="n">
        <v>12</v>
      </c>
      <c r="AE1084" s="0" t="s">
        <v>96</v>
      </c>
      <c r="AH1084" s="0" t="n">
        <v>20</v>
      </c>
      <c r="AJ1084" s="0" t="n">
        <v>10</v>
      </c>
      <c r="AP1084" s="0" t="n">
        <v>710000</v>
      </c>
      <c r="DB1084" s="0" t="str">
        <f aca="false">IF($A1084="","",IF($AE1084&amp;""&lt;&gt;設定!$C$4,"対象外",IF($AH1084=20,IF(OR($AJ1084=10,$AJ1084=11,$AJ1084=18),"①病院一般",IF($AJ1084=41,"②病院短期","対象外")),IF($AH1084=5,IF($AJ1084=30,"③特定消防","対象外"),IF(OR($AJ1084=10,$AJ1084=11,$AJ1084=74),"④一般",IF(OR($AJ1084=41,$AJ1084=47),"⑤短期","対象外"))))))</f>
        <v>①病院一般</v>
      </c>
    </row>
    <row r="1085" customFormat="false" ht="15" hidden="false" customHeight="false" outlineLevel="0" collapsed="false">
      <c r="A1085" s="0" t="n">
        <v>31</v>
      </c>
      <c r="AA1085" s="0" t="n">
        <v>21</v>
      </c>
      <c r="AB1085" s="0" t="s">
        <v>477</v>
      </c>
      <c r="AD1085" s="0" t="n">
        <v>12</v>
      </c>
      <c r="AE1085" s="0" t="s">
        <v>96</v>
      </c>
      <c r="AH1085" s="0" t="n">
        <v>20</v>
      </c>
      <c r="AJ1085" s="0" t="n">
        <v>10</v>
      </c>
      <c r="AP1085" s="0" t="n">
        <v>790000</v>
      </c>
      <c r="DB1085" s="0" t="str">
        <f aca="false">IF($A1085="","",IF($AE1085&amp;""&lt;&gt;設定!$C$4,"対象外",IF($AH1085=20,IF(OR($AJ1085=10,$AJ1085=11,$AJ1085=18),"①病院一般",IF($AJ1085=41,"②病院短期","対象外")),IF($AH1085=5,IF($AJ1085=30,"③特定消防","対象外"),IF(OR($AJ1085=10,$AJ1085=11,$AJ1085=74),"④一般",IF(OR($AJ1085=41,$AJ1085=47),"⑤短期","対象外"))))))</f>
        <v>①病院一般</v>
      </c>
    </row>
    <row r="1086" customFormat="false" ht="15" hidden="false" customHeight="false" outlineLevel="0" collapsed="false">
      <c r="A1086" s="0" t="n">
        <v>31</v>
      </c>
      <c r="AA1086" s="0" t="n">
        <v>21</v>
      </c>
      <c r="AB1086" s="0" t="s">
        <v>477</v>
      </c>
      <c r="AD1086" s="0" t="n">
        <v>12</v>
      </c>
      <c r="AE1086" s="0" t="s">
        <v>96</v>
      </c>
      <c r="AH1086" s="0" t="n">
        <v>20</v>
      </c>
      <c r="AJ1086" s="0" t="n">
        <v>10</v>
      </c>
      <c r="AP1086" s="0" t="n">
        <v>710000</v>
      </c>
      <c r="DB1086" s="0" t="str">
        <f aca="false">IF($A1086="","",IF($AE1086&amp;""&lt;&gt;設定!$C$4,"対象外",IF($AH1086=20,IF(OR($AJ1086=10,$AJ1086=11,$AJ1086=18),"①病院一般",IF($AJ1086=41,"②病院短期","対象外")),IF($AH1086=5,IF($AJ1086=30,"③特定消防","対象外"),IF(OR($AJ1086=10,$AJ1086=11,$AJ1086=74),"④一般",IF(OR($AJ1086=41,$AJ1086=47),"⑤短期","対象外"))))))</f>
        <v>①病院一般</v>
      </c>
    </row>
    <row r="1087" customFormat="false" ht="15" hidden="false" customHeight="false" outlineLevel="0" collapsed="false">
      <c r="A1087" s="0" t="n">
        <v>31</v>
      </c>
      <c r="AA1087" s="0" t="n">
        <v>21</v>
      </c>
      <c r="AB1087" s="0" t="s">
        <v>477</v>
      </c>
      <c r="AD1087" s="0" t="n">
        <v>12</v>
      </c>
      <c r="AE1087" s="0" t="s">
        <v>303</v>
      </c>
      <c r="AH1087" s="0" t="n">
        <v>20</v>
      </c>
      <c r="AJ1087" s="0" t="n">
        <v>41</v>
      </c>
      <c r="AP1087" s="0" t="n">
        <v>170000</v>
      </c>
      <c r="DB1087" s="0" t="str">
        <f aca="false">IF($A1087="","",IF($AE1087&amp;""&lt;&gt;設定!$C$4,"対象外",IF($AH1087=20,IF(OR($AJ1087=10,$AJ1087=11,$AJ1087=18),"①病院一般",IF($AJ1087=41,"②病院短期","対象外")),IF($AH1087=5,IF($AJ1087=30,"③特定消防","対象外"),IF(OR($AJ1087=10,$AJ1087=11,$AJ1087=74),"④一般",IF(OR($AJ1087=41,$AJ1087=47),"⑤短期","対象外"))))))</f>
        <v>対象外</v>
      </c>
    </row>
    <row r="1088" customFormat="false" ht="15" hidden="false" customHeight="false" outlineLevel="0" collapsed="false">
      <c r="A1088" s="0" t="n">
        <v>31</v>
      </c>
      <c r="AA1088" s="0" t="n">
        <v>21</v>
      </c>
      <c r="AB1088" s="0" t="s">
        <v>477</v>
      </c>
      <c r="AD1088" s="0" t="n">
        <v>12</v>
      </c>
      <c r="AE1088" s="0" t="s">
        <v>334</v>
      </c>
      <c r="AH1088" s="0" t="n">
        <v>20</v>
      </c>
      <c r="AJ1088" s="0" t="n">
        <v>41</v>
      </c>
      <c r="AP1088" s="0" t="n">
        <v>150000</v>
      </c>
      <c r="DB1088" s="0" t="str">
        <f aca="false">IF($A1088="","",IF($AE1088&amp;""&lt;&gt;設定!$C$4,"対象外",IF($AH1088=20,IF(OR($AJ1088=10,$AJ1088=11,$AJ1088=18),"①病院一般",IF($AJ1088=41,"②病院短期","対象外")),IF($AH1088=5,IF($AJ1088=30,"③特定消防","対象外"),IF(OR($AJ1088=10,$AJ1088=11,$AJ1088=74),"④一般",IF(OR($AJ1088=41,$AJ1088=47),"⑤短期","対象外"))))))</f>
        <v>対象外</v>
      </c>
    </row>
    <row r="1089" customFormat="false" ht="15" hidden="false" customHeight="false" outlineLevel="0" collapsed="false">
      <c r="A1089" s="0" t="n">
        <v>31</v>
      </c>
      <c r="AA1089" s="0" t="n">
        <v>21</v>
      </c>
      <c r="AB1089" s="0" t="s">
        <v>477</v>
      </c>
      <c r="AD1089" s="0" t="n">
        <v>12</v>
      </c>
      <c r="AE1089" s="0" t="s">
        <v>294</v>
      </c>
      <c r="AH1089" s="0" t="n">
        <v>20</v>
      </c>
      <c r="AJ1089" s="0" t="n">
        <v>41</v>
      </c>
      <c r="AP1089" s="0" t="n">
        <v>190000</v>
      </c>
      <c r="DB1089" s="0" t="str">
        <f aca="false">IF($A1089="","",IF($AE1089&amp;""&lt;&gt;設定!$C$4,"対象外",IF($AH1089=20,IF(OR($AJ1089=10,$AJ1089=11,$AJ1089=18),"①病院一般",IF($AJ1089=41,"②病院短期","対象外")),IF($AH1089=5,IF($AJ1089=30,"③特定消防","対象外"),IF(OR($AJ1089=10,$AJ1089=11,$AJ1089=74),"④一般",IF(OR($AJ1089=41,$AJ1089=47),"⑤短期","対象外"))))))</f>
        <v>対象外</v>
      </c>
    </row>
    <row r="1090" customFormat="false" ht="15" hidden="false" customHeight="false" outlineLevel="0" collapsed="false">
      <c r="A1090" s="0" t="n">
        <v>31</v>
      </c>
      <c r="AA1090" s="0" t="n">
        <v>21</v>
      </c>
      <c r="AB1090" s="0" t="s">
        <v>502</v>
      </c>
      <c r="AD1090" s="0" t="n">
        <v>12</v>
      </c>
      <c r="AE1090" s="0" t="s">
        <v>301</v>
      </c>
      <c r="AH1090" s="0" t="n">
        <v>20</v>
      </c>
      <c r="AJ1090" s="0" t="n">
        <v>10</v>
      </c>
      <c r="AP1090" s="0" t="n">
        <v>1150000</v>
      </c>
      <c r="DB1090" s="0" t="str">
        <f aca="false">IF($A1090="","",IF($AE1090&amp;""&lt;&gt;設定!$C$4,"対象外",IF($AH1090=20,IF(OR($AJ1090=10,$AJ1090=11,$AJ1090=18),"①病院一般",IF($AJ1090=41,"②病院短期","対象外")),IF($AH1090=5,IF($AJ1090=30,"③特定消防","対象外"),IF(OR($AJ1090=10,$AJ1090=11,$AJ1090=74),"④一般",IF(OR($AJ1090=41,$AJ1090=47),"⑤短期","対象外"))))))</f>
        <v>対象外</v>
      </c>
    </row>
    <row r="1091" customFormat="false" ht="15" hidden="false" customHeight="false" outlineLevel="0" collapsed="false">
      <c r="A1091" s="0" t="n">
        <v>31</v>
      </c>
      <c r="AA1091" s="0" t="n">
        <v>21</v>
      </c>
      <c r="AB1091" s="0" t="s">
        <v>502</v>
      </c>
      <c r="AD1091" s="0" t="n">
        <v>12</v>
      </c>
      <c r="AE1091" s="0" t="s">
        <v>301</v>
      </c>
      <c r="AH1091" s="0" t="n">
        <v>20</v>
      </c>
      <c r="AJ1091" s="0" t="n">
        <v>10</v>
      </c>
      <c r="AP1091" s="0" t="n">
        <v>880000</v>
      </c>
      <c r="DB1091" s="0" t="str">
        <f aca="false">IF($A1091="","",IF($AE1091&amp;""&lt;&gt;設定!$C$4,"対象外",IF($AH1091=20,IF(OR($AJ1091=10,$AJ1091=11,$AJ1091=18),"①病院一般",IF($AJ1091=41,"②病院短期","対象外")),IF($AH1091=5,IF($AJ1091=30,"③特定消防","対象外"),IF(OR($AJ1091=10,$AJ1091=11,$AJ1091=74),"④一般",IF(OR($AJ1091=41,$AJ1091=47),"⑤短期","対象外"))))))</f>
        <v>対象外</v>
      </c>
    </row>
    <row r="1092" customFormat="false" ht="15" hidden="false" customHeight="false" outlineLevel="0" collapsed="false">
      <c r="A1092" s="0" t="n">
        <v>31</v>
      </c>
      <c r="AA1092" s="0" t="n">
        <v>21</v>
      </c>
      <c r="AB1092" s="0" t="s">
        <v>557</v>
      </c>
      <c r="AD1092" s="0" t="n">
        <v>12</v>
      </c>
      <c r="AE1092" s="0" t="s">
        <v>96</v>
      </c>
      <c r="AH1092" s="0" t="n">
        <v>20</v>
      </c>
      <c r="AJ1092" s="0" t="n">
        <v>10</v>
      </c>
      <c r="AP1092" s="0" t="n">
        <v>880000</v>
      </c>
      <c r="DB1092" s="0" t="str">
        <f aca="false">IF($A1092="","",IF($AE1092&amp;""&lt;&gt;設定!$C$4,"対象外",IF($AH1092=20,IF(OR($AJ1092=10,$AJ1092=11,$AJ1092=18),"①病院一般",IF($AJ1092=41,"②病院短期","対象外")),IF($AH1092=5,IF($AJ1092=30,"③特定消防","対象外"),IF(OR($AJ1092=10,$AJ1092=11,$AJ1092=74),"④一般",IF(OR($AJ1092=41,$AJ1092=47),"⑤短期","対象外"))))))</f>
        <v>①病院一般</v>
      </c>
    </row>
    <row r="1093" customFormat="false" ht="15" hidden="false" customHeight="false" outlineLevel="0" collapsed="false">
      <c r="A1093" s="0" t="n">
        <v>31</v>
      </c>
      <c r="AA1093" s="0" t="n">
        <v>21</v>
      </c>
      <c r="AB1093" s="0" t="s">
        <v>477</v>
      </c>
      <c r="AD1093" s="0" t="n">
        <v>12</v>
      </c>
      <c r="AE1093" s="0" t="s">
        <v>96</v>
      </c>
      <c r="AH1093" s="0" t="n">
        <v>20</v>
      </c>
      <c r="AJ1093" s="0" t="n">
        <v>41</v>
      </c>
      <c r="AP1093" s="0" t="n">
        <v>320000</v>
      </c>
      <c r="DB1093" s="0" t="str">
        <f aca="false">IF($A1093="","",IF($AE1093&amp;""&lt;&gt;設定!$C$4,"対象外",IF($AH1093=20,IF(OR($AJ1093=10,$AJ1093=11,$AJ1093=18),"①病院一般",IF($AJ1093=41,"②病院短期","対象外")),IF($AH1093=5,IF($AJ1093=30,"③特定消防","対象外"),IF(OR($AJ1093=10,$AJ1093=11,$AJ1093=74),"④一般",IF(OR($AJ1093=41,$AJ1093=47),"⑤短期","対象外"))))))</f>
        <v>②病院短期</v>
      </c>
    </row>
    <row r="1094" customFormat="false" ht="15" hidden="false" customHeight="false" outlineLevel="0" collapsed="false">
      <c r="A1094" s="0" t="n">
        <v>31</v>
      </c>
      <c r="AA1094" s="0" t="n">
        <v>21</v>
      </c>
      <c r="AB1094" s="0" t="s">
        <v>477</v>
      </c>
      <c r="AD1094" s="0" t="n">
        <v>12</v>
      </c>
      <c r="AE1094" s="0" t="s">
        <v>96</v>
      </c>
      <c r="AH1094" s="0" t="n">
        <v>20</v>
      </c>
      <c r="AJ1094" s="0" t="n">
        <v>41</v>
      </c>
      <c r="AP1094" s="0" t="n">
        <v>280000</v>
      </c>
      <c r="DB1094" s="0" t="str">
        <f aca="false">IF($A1094="","",IF($AE1094&amp;""&lt;&gt;設定!$C$4,"対象外",IF($AH1094=20,IF(OR($AJ1094=10,$AJ1094=11,$AJ1094=18),"①病院一般",IF($AJ1094=41,"②病院短期","対象外")),IF($AH1094=5,IF($AJ1094=30,"③特定消防","対象外"),IF(OR($AJ1094=10,$AJ1094=11,$AJ1094=74),"④一般",IF(OR($AJ1094=41,$AJ1094=47),"⑤短期","対象外"))))))</f>
        <v>②病院短期</v>
      </c>
    </row>
    <row r="1095" customFormat="false" ht="15" hidden="false" customHeight="false" outlineLevel="0" collapsed="false">
      <c r="A1095" s="0" t="n">
        <v>31</v>
      </c>
      <c r="AA1095" s="0" t="n">
        <v>21</v>
      </c>
      <c r="AB1095" s="0" t="s">
        <v>477</v>
      </c>
      <c r="AD1095" s="0" t="n">
        <v>12</v>
      </c>
      <c r="AE1095" s="0" t="s">
        <v>294</v>
      </c>
      <c r="AH1095" s="0" t="n">
        <v>20</v>
      </c>
      <c r="AJ1095" s="0" t="n">
        <v>41</v>
      </c>
      <c r="AP1095" s="0" t="n">
        <v>260000</v>
      </c>
      <c r="DB1095" s="0" t="str">
        <f aca="false">IF($A1095="","",IF($AE1095&amp;""&lt;&gt;設定!$C$4,"対象外",IF($AH1095=20,IF(OR($AJ1095=10,$AJ1095=11,$AJ1095=18),"①病院一般",IF($AJ1095=41,"②病院短期","対象外")),IF($AH1095=5,IF($AJ1095=30,"③特定消防","対象外"),IF(OR($AJ1095=10,$AJ1095=11,$AJ1095=74),"④一般",IF(OR($AJ1095=41,$AJ1095=47),"⑤短期","対象外"))))))</f>
        <v>対象外</v>
      </c>
    </row>
    <row r="1096" customFormat="false" ht="15" hidden="false" customHeight="false" outlineLevel="0" collapsed="false">
      <c r="A1096" s="0" t="n">
        <v>31</v>
      </c>
      <c r="AA1096" s="0" t="n">
        <v>21</v>
      </c>
      <c r="AB1096" s="0" t="s">
        <v>558</v>
      </c>
      <c r="AD1096" s="0" t="n">
        <v>12</v>
      </c>
      <c r="AE1096" s="0" t="s">
        <v>96</v>
      </c>
      <c r="AH1096" s="0" t="n">
        <v>20</v>
      </c>
      <c r="AJ1096" s="0" t="n">
        <v>41</v>
      </c>
      <c r="AP1096" s="0" t="n">
        <v>300000</v>
      </c>
      <c r="DB1096" s="0" t="str">
        <f aca="false">IF($A1096="","",IF($AE1096&amp;""&lt;&gt;設定!$C$4,"対象外",IF($AH1096=20,IF(OR($AJ1096=10,$AJ1096=11,$AJ1096=18),"①病院一般",IF($AJ1096=41,"②病院短期","対象外")),IF($AH1096=5,IF($AJ1096=30,"③特定消防","対象外"),IF(OR($AJ1096=10,$AJ1096=11,$AJ1096=74),"④一般",IF(OR($AJ1096=41,$AJ1096=47),"⑤短期","対象外"))))))</f>
        <v>②病院短期</v>
      </c>
    </row>
    <row r="1097" customFormat="false" ht="15" hidden="false" customHeight="false" outlineLevel="0" collapsed="false">
      <c r="A1097" s="0" t="n">
        <v>31</v>
      </c>
      <c r="AA1097" s="0" t="n">
        <v>21</v>
      </c>
      <c r="AB1097" s="0" t="s">
        <v>500</v>
      </c>
      <c r="AD1097" s="0" t="n">
        <v>12</v>
      </c>
      <c r="AE1097" s="0" t="s">
        <v>96</v>
      </c>
      <c r="AH1097" s="0" t="n">
        <v>20</v>
      </c>
      <c r="AJ1097" s="0" t="n">
        <v>41</v>
      </c>
      <c r="AP1097" s="0" t="n">
        <v>150000</v>
      </c>
      <c r="DB1097" s="0" t="str">
        <f aca="false">IF($A1097="","",IF($AE1097&amp;""&lt;&gt;設定!$C$4,"対象外",IF($AH1097=20,IF(OR($AJ1097=10,$AJ1097=11,$AJ1097=18),"①病院一般",IF($AJ1097=41,"②病院短期","対象外")),IF($AH1097=5,IF($AJ1097=30,"③特定消防","対象外"),IF(OR($AJ1097=10,$AJ1097=11,$AJ1097=74),"④一般",IF(OR($AJ1097=41,$AJ1097=47),"⑤短期","対象外"))))))</f>
        <v>②病院短期</v>
      </c>
    </row>
    <row r="1098" customFormat="false" ht="15" hidden="false" customHeight="false" outlineLevel="0" collapsed="false">
      <c r="A1098" s="0" t="n">
        <v>31</v>
      </c>
      <c r="AA1098" s="0" t="n">
        <v>21</v>
      </c>
      <c r="AB1098" s="0" t="s">
        <v>531</v>
      </c>
      <c r="AD1098" s="0" t="n">
        <v>12</v>
      </c>
      <c r="AE1098" s="0" t="s">
        <v>96</v>
      </c>
      <c r="AH1098" s="0" t="n">
        <v>20</v>
      </c>
      <c r="AJ1098" s="0" t="n">
        <v>41</v>
      </c>
      <c r="AP1098" s="0" t="n">
        <v>200000</v>
      </c>
      <c r="DB1098" s="0" t="str">
        <f aca="false">IF($A1098="","",IF($AE1098&amp;""&lt;&gt;設定!$C$4,"対象外",IF($AH1098=20,IF(OR($AJ1098=10,$AJ1098=11,$AJ1098=18),"①病院一般",IF($AJ1098=41,"②病院短期","対象外")),IF($AH1098=5,IF($AJ1098=30,"③特定消防","対象外"),IF(OR($AJ1098=10,$AJ1098=11,$AJ1098=74),"④一般",IF(OR($AJ1098=41,$AJ1098=47),"⑤短期","対象外"))))))</f>
        <v>②病院短期</v>
      </c>
    </row>
    <row r="1099" customFormat="false" ht="15" hidden="false" customHeight="false" outlineLevel="0" collapsed="false">
      <c r="A1099" s="0" t="n">
        <v>31</v>
      </c>
      <c r="AA1099" s="0" t="n">
        <v>21</v>
      </c>
      <c r="AB1099" s="0" t="s">
        <v>501</v>
      </c>
      <c r="AD1099" s="0" t="n">
        <v>12</v>
      </c>
      <c r="AE1099" s="0" t="s">
        <v>96</v>
      </c>
      <c r="AH1099" s="0" t="n">
        <v>20</v>
      </c>
      <c r="AJ1099" s="0" t="n">
        <v>41</v>
      </c>
      <c r="AP1099" s="0" t="n">
        <v>170000</v>
      </c>
      <c r="DB1099" s="0" t="str">
        <f aca="false">IF($A1099="","",IF($AE1099&amp;""&lt;&gt;設定!$C$4,"対象外",IF($AH1099=20,IF(OR($AJ1099=10,$AJ1099=11,$AJ1099=18),"①病院一般",IF($AJ1099=41,"②病院短期","対象外")),IF($AH1099=5,IF($AJ1099=30,"③特定消防","対象外"),IF(OR($AJ1099=10,$AJ1099=11,$AJ1099=74),"④一般",IF(OR($AJ1099=41,$AJ1099=47),"⑤短期","対象外"))))))</f>
        <v>②病院短期</v>
      </c>
    </row>
    <row r="1100" customFormat="false" ht="15" hidden="false" customHeight="false" outlineLevel="0" collapsed="false">
      <c r="A1100" s="0" t="n">
        <v>31</v>
      </c>
      <c r="AA1100" s="0" t="n">
        <v>21</v>
      </c>
      <c r="AB1100" s="0" t="s">
        <v>559</v>
      </c>
      <c r="AD1100" s="0" t="n">
        <v>12</v>
      </c>
      <c r="AE1100" s="0" t="s">
        <v>96</v>
      </c>
      <c r="AH1100" s="0" t="n">
        <v>20</v>
      </c>
      <c r="AJ1100" s="0" t="n">
        <v>41</v>
      </c>
      <c r="AP1100" s="0" t="n">
        <v>160000</v>
      </c>
      <c r="DB1100" s="0" t="str">
        <f aca="false">IF($A1100="","",IF($AE1100&amp;""&lt;&gt;設定!$C$4,"対象外",IF($AH1100=20,IF(OR($AJ1100=10,$AJ1100=11,$AJ1100=18),"①病院一般",IF($AJ1100=41,"②病院短期","対象外")),IF($AH1100=5,IF($AJ1100=30,"③特定消防","対象外"),IF(OR($AJ1100=10,$AJ1100=11,$AJ1100=74),"④一般",IF(OR($AJ1100=41,$AJ1100=47),"⑤短期","対象外"))))))</f>
        <v>②病院短期</v>
      </c>
    </row>
    <row r="1101" customFormat="false" ht="15" hidden="false" customHeight="false" outlineLevel="0" collapsed="false">
      <c r="A1101" s="0" t="n">
        <v>31</v>
      </c>
      <c r="AA1101" s="0" t="n">
        <v>21</v>
      </c>
      <c r="AB1101" s="0" t="s">
        <v>560</v>
      </c>
      <c r="AD1101" s="0" t="n">
        <v>12</v>
      </c>
      <c r="AE1101" s="0" t="s">
        <v>96</v>
      </c>
      <c r="AH1101" s="0" t="n">
        <v>20</v>
      </c>
      <c r="AJ1101" s="0" t="n">
        <v>41</v>
      </c>
      <c r="AP1101" s="0" t="n">
        <v>240000</v>
      </c>
      <c r="DB1101" s="0" t="str">
        <f aca="false">IF($A1101="","",IF($AE1101&amp;""&lt;&gt;設定!$C$4,"対象外",IF($AH1101=20,IF(OR($AJ1101=10,$AJ1101=11,$AJ1101=18),"①病院一般",IF($AJ1101=41,"②病院短期","対象外")),IF($AH1101=5,IF($AJ1101=30,"③特定消防","対象外"),IF(OR($AJ1101=10,$AJ1101=11,$AJ1101=74),"④一般",IF(OR($AJ1101=41,$AJ1101=47),"⑤短期","対象外"))))))</f>
        <v>②病院短期</v>
      </c>
    </row>
    <row r="1102" customFormat="false" ht="15" hidden="false" customHeight="false" outlineLevel="0" collapsed="false">
      <c r="A1102" s="0" t="n">
        <v>31</v>
      </c>
      <c r="AA1102" s="0" t="n">
        <v>21</v>
      </c>
      <c r="AB1102" s="0" t="s">
        <v>561</v>
      </c>
      <c r="AD1102" s="0" t="n">
        <v>12</v>
      </c>
      <c r="AE1102" s="0" t="s">
        <v>96</v>
      </c>
      <c r="AH1102" s="0" t="n">
        <v>20</v>
      </c>
      <c r="AJ1102" s="0" t="n">
        <v>41</v>
      </c>
      <c r="AP1102" s="0" t="n">
        <v>160000</v>
      </c>
      <c r="DB1102" s="0" t="str">
        <f aca="false">IF($A1102="","",IF($AE1102&amp;""&lt;&gt;設定!$C$4,"対象外",IF($AH1102=20,IF(OR($AJ1102=10,$AJ1102=11,$AJ1102=18),"①病院一般",IF($AJ1102=41,"②病院短期","対象外")),IF($AH1102=5,IF($AJ1102=30,"③特定消防","対象外"),IF(OR($AJ1102=10,$AJ1102=11,$AJ1102=74),"④一般",IF(OR($AJ1102=41,$AJ1102=47),"⑤短期","対象外"))))))</f>
        <v>②病院短期</v>
      </c>
    </row>
    <row r="1103" customFormat="false" ht="15" hidden="false" customHeight="false" outlineLevel="0" collapsed="false">
      <c r="A1103" s="0" t="n">
        <v>31</v>
      </c>
      <c r="AA1103" s="0" t="n">
        <v>21</v>
      </c>
      <c r="AB1103" s="0" t="s">
        <v>562</v>
      </c>
      <c r="AD1103" s="0" t="n">
        <v>12</v>
      </c>
      <c r="AE1103" s="0" t="s">
        <v>96</v>
      </c>
      <c r="AH1103" s="0" t="n">
        <v>20</v>
      </c>
      <c r="AJ1103" s="0" t="n">
        <v>41</v>
      </c>
      <c r="AP1103" s="0" t="n">
        <v>160000</v>
      </c>
      <c r="DB1103" s="0" t="str">
        <f aca="false">IF($A1103="","",IF($AE1103&amp;""&lt;&gt;設定!$C$4,"対象外",IF($AH1103=20,IF(OR($AJ1103=10,$AJ1103=11,$AJ1103=18),"①病院一般",IF($AJ1103=41,"②病院短期","対象外")),IF($AH1103=5,IF($AJ1103=30,"③特定消防","対象外"),IF(OR($AJ1103=10,$AJ1103=11,$AJ1103=74),"④一般",IF(OR($AJ1103=41,$AJ1103=47),"⑤短期","対象外"))))))</f>
        <v>②病院短期</v>
      </c>
    </row>
    <row r="1104" customFormat="false" ht="15" hidden="false" customHeight="false" outlineLevel="0" collapsed="false">
      <c r="A1104" s="0" t="n">
        <v>31</v>
      </c>
      <c r="AA1104" s="0" t="n">
        <v>21</v>
      </c>
      <c r="AB1104" s="0" t="s">
        <v>563</v>
      </c>
      <c r="AD1104" s="0" t="n">
        <v>12</v>
      </c>
      <c r="AE1104" s="0" t="s">
        <v>96</v>
      </c>
      <c r="AH1104" s="0" t="n">
        <v>20</v>
      </c>
      <c r="AJ1104" s="0" t="n">
        <v>41</v>
      </c>
      <c r="AP1104" s="0" t="n">
        <v>240000</v>
      </c>
      <c r="DB1104" s="0" t="str">
        <f aca="false">IF($A1104="","",IF($AE1104&amp;""&lt;&gt;設定!$C$4,"対象外",IF($AH1104=20,IF(OR($AJ1104=10,$AJ1104=11,$AJ1104=18),"①病院一般",IF($AJ1104=41,"②病院短期","対象外")),IF($AH1104=5,IF($AJ1104=30,"③特定消防","対象外"),IF(OR($AJ1104=10,$AJ1104=11,$AJ1104=74),"④一般",IF(OR($AJ1104=41,$AJ1104=47),"⑤短期","対象外"))))))</f>
        <v>②病院短期</v>
      </c>
    </row>
    <row r="1105" customFormat="false" ht="15" hidden="false" customHeight="false" outlineLevel="0" collapsed="false">
      <c r="A1105" s="0" t="n">
        <v>31</v>
      </c>
      <c r="AA1105" s="0" t="n">
        <v>21</v>
      </c>
      <c r="AB1105" s="0" t="s">
        <v>491</v>
      </c>
      <c r="AD1105" s="0" t="n">
        <v>12</v>
      </c>
      <c r="AE1105" s="0" t="s">
        <v>96</v>
      </c>
      <c r="AH1105" s="0" t="n">
        <v>11</v>
      </c>
      <c r="AJ1105" s="0" t="n">
        <v>41</v>
      </c>
      <c r="AP1105" s="0" t="n">
        <v>180000</v>
      </c>
      <c r="DB1105" s="0" t="str">
        <f aca="false">IF($A1105="","",IF($AE1105&amp;""&lt;&gt;設定!$C$4,"対象外",IF($AH1105=20,IF(OR($AJ1105=10,$AJ1105=11,$AJ1105=18),"①病院一般",IF($AJ1105=41,"②病院短期","対象外")),IF($AH1105=5,IF($AJ1105=30,"③特定消防","対象外"),IF(OR($AJ1105=10,$AJ1105=11,$AJ1105=74),"④一般",IF(OR($AJ1105=41,$AJ1105=47),"⑤短期","対象外"))))))</f>
        <v>⑤短期</v>
      </c>
    </row>
    <row r="1106" customFormat="false" ht="15" hidden="false" customHeight="false" outlineLevel="0" collapsed="false">
      <c r="A1106" s="0" t="n">
        <v>31</v>
      </c>
      <c r="AA1106" s="0" t="n">
        <v>21</v>
      </c>
      <c r="AB1106" s="0" t="s">
        <v>477</v>
      </c>
      <c r="AD1106" s="0" t="n">
        <v>12</v>
      </c>
      <c r="AE1106" s="0" t="s">
        <v>96</v>
      </c>
      <c r="AH1106" s="0" t="n">
        <v>1</v>
      </c>
      <c r="AJ1106" s="0" t="n">
        <v>41</v>
      </c>
      <c r="AP1106" s="0" t="n">
        <v>190000</v>
      </c>
      <c r="DB1106" s="0" t="str">
        <f aca="false">IF($A1106="","",IF($AE1106&amp;""&lt;&gt;設定!$C$4,"対象外",IF($AH1106=20,IF(OR($AJ1106=10,$AJ1106=11,$AJ1106=18),"①病院一般",IF($AJ1106=41,"②病院短期","対象外")),IF($AH1106=5,IF($AJ1106=30,"③特定消防","対象外"),IF(OR($AJ1106=10,$AJ1106=11,$AJ1106=74),"④一般",IF(OR($AJ1106=41,$AJ1106=47),"⑤短期","対象外"))))))</f>
        <v>⑤短期</v>
      </c>
    </row>
    <row r="1107" customFormat="false" ht="15" hidden="false" customHeight="false" outlineLevel="0" collapsed="false">
      <c r="A1107" s="0" t="n">
        <v>31</v>
      </c>
      <c r="AA1107" s="0" t="n">
        <v>21</v>
      </c>
      <c r="AB1107" s="0" t="s">
        <v>477</v>
      </c>
      <c r="AD1107" s="0" t="n">
        <v>11</v>
      </c>
      <c r="AE1107" s="0" t="s">
        <v>96</v>
      </c>
      <c r="AH1107" s="0" t="n">
        <v>1</v>
      </c>
      <c r="AJ1107" s="0" t="n">
        <v>41</v>
      </c>
      <c r="AP1107" s="0" t="n">
        <v>110000</v>
      </c>
      <c r="DB1107" s="0" t="str">
        <f aca="false">IF($A1107="","",IF($AE1107&amp;""&lt;&gt;設定!$C$4,"対象外",IF($AH1107=20,IF(OR($AJ1107=10,$AJ1107=11,$AJ1107=18),"①病院一般",IF($AJ1107=41,"②病院短期","対象外")),IF($AH1107=5,IF($AJ1107=30,"③特定消防","対象外"),IF(OR($AJ1107=10,$AJ1107=11,$AJ1107=74),"④一般",IF(OR($AJ1107=41,$AJ1107=47),"⑤短期","対象外"))))))</f>
        <v>⑤短期</v>
      </c>
    </row>
    <row r="1108" customFormat="false" ht="15" hidden="false" customHeight="false" outlineLevel="0" collapsed="false">
      <c r="A1108" s="0" t="n">
        <v>31</v>
      </c>
      <c r="AA1108" s="0" t="n">
        <v>21</v>
      </c>
      <c r="AB1108" s="0" t="s">
        <v>477</v>
      </c>
      <c r="AD1108" s="0" t="n">
        <v>12</v>
      </c>
      <c r="AE1108" s="0" t="s">
        <v>296</v>
      </c>
      <c r="AH1108" s="0" t="n">
        <v>1</v>
      </c>
      <c r="AJ1108" s="0" t="n">
        <v>41</v>
      </c>
      <c r="AP1108" s="0" t="n">
        <v>190000</v>
      </c>
      <c r="DB1108" s="0" t="str">
        <f aca="false">IF($A1108="","",IF($AE1108&amp;""&lt;&gt;設定!$C$4,"対象外",IF($AH1108=20,IF(OR($AJ1108=10,$AJ1108=11,$AJ1108=18),"①病院一般",IF($AJ1108=41,"②病院短期","対象外")),IF($AH1108=5,IF($AJ1108=30,"③特定消防","対象外"),IF(OR($AJ1108=10,$AJ1108=11,$AJ1108=74),"④一般",IF(OR($AJ1108=41,$AJ1108=47),"⑤短期","対象外"))))))</f>
        <v>対象外</v>
      </c>
    </row>
    <row r="1109" customFormat="false" ht="15" hidden="false" customHeight="false" outlineLevel="0" collapsed="false">
      <c r="A1109" s="0" t="n">
        <v>31</v>
      </c>
      <c r="AA1109" s="0" t="n">
        <v>21</v>
      </c>
      <c r="AB1109" s="0" t="s">
        <v>477</v>
      </c>
      <c r="AD1109" s="0" t="n">
        <v>12</v>
      </c>
      <c r="AE1109" s="0" t="s">
        <v>96</v>
      </c>
      <c r="AH1109" s="0" t="n">
        <v>1</v>
      </c>
      <c r="AJ1109" s="0" t="n">
        <v>41</v>
      </c>
      <c r="AP1109" s="0" t="n">
        <v>180000</v>
      </c>
      <c r="DB1109" s="0" t="str">
        <f aca="false">IF($A1109="","",IF($AE1109&amp;""&lt;&gt;設定!$C$4,"対象外",IF($AH1109=20,IF(OR($AJ1109=10,$AJ1109=11,$AJ1109=18),"①病院一般",IF($AJ1109=41,"②病院短期","対象外")),IF($AH1109=5,IF($AJ1109=30,"③特定消防","対象外"),IF(OR($AJ1109=10,$AJ1109=11,$AJ1109=74),"④一般",IF(OR($AJ1109=41,$AJ1109=47),"⑤短期","対象外"))))))</f>
        <v>⑤短期</v>
      </c>
    </row>
    <row r="1110" customFormat="false" ht="15" hidden="false" customHeight="false" outlineLevel="0" collapsed="false">
      <c r="A1110" s="0" t="n">
        <v>31</v>
      </c>
      <c r="AA1110" s="0" t="n">
        <v>21</v>
      </c>
      <c r="AB1110" s="0" t="s">
        <v>477</v>
      </c>
      <c r="AD1110" s="0" t="n">
        <v>12</v>
      </c>
      <c r="AE1110" s="0" t="s">
        <v>96</v>
      </c>
      <c r="AH1110" s="0" t="n">
        <v>1</v>
      </c>
      <c r="AJ1110" s="0" t="n">
        <v>41</v>
      </c>
      <c r="AP1110" s="0" t="n">
        <v>170000</v>
      </c>
      <c r="DB1110" s="0" t="str">
        <f aca="false">IF($A1110="","",IF($AE1110&amp;""&lt;&gt;設定!$C$4,"対象外",IF($AH1110=20,IF(OR($AJ1110=10,$AJ1110=11,$AJ1110=18),"①病院一般",IF($AJ1110=41,"②病院短期","対象外")),IF($AH1110=5,IF($AJ1110=30,"③特定消防","対象外"),IF(OR($AJ1110=10,$AJ1110=11,$AJ1110=74),"④一般",IF(OR($AJ1110=41,$AJ1110=47),"⑤短期","対象外"))))))</f>
        <v>⑤短期</v>
      </c>
    </row>
    <row r="1111" customFormat="false" ht="15" hidden="false" customHeight="false" outlineLevel="0" collapsed="false">
      <c r="A1111" s="0" t="n">
        <v>31</v>
      </c>
      <c r="AA1111" s="0" t="n">
        <v>21</v>
      </c>
      <c r="AB1111" s="0" t="s">
        <v>477</v>
      </c>
      <c r="AD1111" s="0" t="n">
        <v>12</v>
      </c>
      <c r="AE1111" s="0" t="s">
        <v>96</v>
      </c>
      <c r="AH1111" s="0" t="n">
        <v>11</v>
      </c>
      <c r="AJ1111" s="0" t="n">
        <v>41</v>
      </c>
      <c r="AP1111" s="0" t="n">
        <v>160000</v>
      </c>
      <c r="DB1111" s="0" t="str">
        <f aca="false">IF($A1111="","",IF($AE1111&amp;""&lt;&gt;設定!$C$4,"対象外",IF($AH1111=20,IF(OR($AJ1111=10,$AJ1111=11,$AJ1111=18),"①病院一般",IF($AJ1111=41,"②病院短期","対象外")),IF($AH1111=5,IF($AJ1111=30,"③特定消防","対象外"),IF(OR($AJ1111=10,$AJ1111=11,$AJ1111=74),"④一般",IF(OR($AJ1111=41,$AJ1111=47),"⑤短期","対象外"))))))</f>
        <v>⑤短期</v>
      </c>
    </row>
    <row r="1112" customFormat="false" ht="15" hidden="false" customHeight="false" outlineLevel="0" collapsed="false">
      <c r="A1112" s="0" t="n">
        <v>31</v>
      </c>
      <c r="AA1112" s="0" t="n">
        <v>21</v>
      </c>
      <c r="AB1112" s="0" t="s">
        <v>477</v>
      </c>
      <c r="AD1112" s="0" t="n">
        <v>12</v>
      </c>
      <c r="AE1112" s="0" t="s">
        <v>96</v>
      </c>
      <c r="AH1112" s="0" t="n">
        <v>11</v>
      </c>
      <c r="AJ1112" s="0" t="n">
        <v>41</v>
      </c>
      <c r="AP1112" s="0" t="n">
        <v>200000</v>
      </c>
      <c r="DB1112" s="0" t="str">
        <f aca="false">IF($A1112="","",IF($AE1112&amp;""&lt;&gt;設定!$C$4,"対象外",IF($AH1112=20,IF(OR($AJ1112=10,$AJ1112=11,$AJ1112=18),"①病院一般",IF($AJ1112=41,"②病院短期","対象外")),IF($AH1112=5,IF($AJ1112=30,"③特定消防","対象外"),IF(OR($AJ1112=10,$AJ1112=11,$AJ1112=74),"④一般",IF(OR($AJ1112=41,$AJ1112=47),"⑤短期","対象外"))))))</f>
        <v>⑤短期</v>
      </c>
    </row>
    <row r="1113" customFormat="false" ht="15" hidden="false" customHeight="false" outlineLevel="0" collapsed="false">
      <c r="A1113" s="0" t="n">
        <v>31</v>
      </c>
      <c r="AA1113" s="0" t="n">
        <v>21</v>
      </c>
      <c r="AB1113" s="0" t="s">
        <v>477</v>
      </c>
      <c r="AD1113" s="0" t="n">
        <v>12</v>
      </c>
      <c r="AE1113" s="0" t="s">
        <v>96</v>
      </c>
      <c r="AH1113" s="0" t="n">
        <v>1</v>
      </c>
      <c r="AJ1113" s="0" t="n">
        <v>41</v>
      </c>
      <c r="AP1113" s="0" t="n">
        <v>134000</v>
      </c>
      <c r="DB1113" s="0" t="str">
        <f aca="false">IF($A1113="","",IF($AE1113&amp;""&lt;&gt;設定!$C$4,"対象外",IF($AH1113=20,IF(OR($AJ1113=10,$AJ1113=11,$AJ1113=18),"①病院一般",IF($AJ1113=41,"②病院短期","対象外")),IF($AH1113=5,IF($AJ1113=30,"③特定消防","対象外"),IF(OR($AJ1113=10,$AJ1113=11,$AJ1113=74),"④一般",IF(OR($AJ1113=41,$AJ1113=47),"⑤短期","対象外"))))))</f>
        <v>⑤短期</v>
      </c>
    </row>
    <row r="1114" customFormat="false" ht="15" hidden="false" customHeight="false" outlineLevel="0" collapsed="false">
      <c r="A1114" s="0" t="n">
        <v>31</v>
      </c>
      <c r="AA1114" s="0" t="n">
        <v>21</v>
      </c>
      <c r="AB1114" s="0" t="s">
        <v>564</v>
      </c>
      <c r="AD1114" s="0" t="n">
        <v>12</v>
      </c>
      <c r="AE1114" s="0" t="s">
        <v>96</v>
      </c>
      <c r="AH1114" s="0" t="n">
        <v>1</v>
      </c>
      <c r="AJ1114" s="0" t="n">
        <v>41</v>
      </c>
      <c r="AP1114" s="0" t="n">
        <v>118000</v>
      </c>
      <c r="DB1114" s="0" t="str">
        <f aca="false">IF($A1114="","",IF($AE1114&amp;""&lt;&gt;設定!$C$4,"対象外",IF($AH1114=20,IF(OR($AJ1114=10,$AJ1114=11,$AJ1114=18),"①病院一般",IF($AJ1114=41,"②病院短期","対象外")),IF($AH1114=5,IF($AJ1114=30,"③特定消防","対象外"),IF(OR($AJ1114=10,$AJ1114=11,$AJ1114=74),"④一般",IF(OR($AJ1114=41,$AJ1114=47),"⑤短期","対象外"))))))</f>
        <v>⑤短期</v>
      </c>
    </row>
    <row r="1115" customFormat="false" ht="15" hidden="false" customHeight="false" outlineLevel="0" collapsed="false">
      <c r="A1115" s="0" t="n">
        <v>31</v>
      </c>
      <c r="AA1115" s="0" t="n">
        <v>21</v>
      </c>
      <c r="AB1115" s="0" t="s">
        <v>564</v>
      </c>
      <c r="AD1115" s="0" t="n">
        <v>12</v>
      </c>
      <c r="AE1115" s="0" t="s">
        <v>296</v>
      </c>
      <c r="AH1115" s="0" t="n">
        <v>1</v>
      </c>
      <c r="AJ1115" s="0" t="n">
        <v>41</v>
      </c>
      <c r="AP1115" s="0" t="n">
        <v>190000</v>
      </c>
      <c r="DB1115" s="0" t="str">
        <f aca="false">IF($A1115="","",IF($AE1115&amp;""&lt;&gt;設定!$C$4,"対象外",IF($AH1115=20,IF(OR($AJ1115=10,$AJ1115=11,$AJ1115=18),"①病院一般",IF($AJ1115=41,"②病院短期","対象外")),IF($AH1115=5,IF($AJ1115=30,"③特定消防","対象外"),IF(OR($AJ1115=10,$AJ1115=11,$AJ1115=74),"④一般",IF(OR($AJ1115=41,$AJ1115=47),"⑤短期","対象外"))))))</f>
        <v>対象外</v>
      </c>
    </row>
    <row r="1116" customFormat="false" ht="15" hidden="false" customHeight="false" outlineLevel="0" collapsed="false">
      <c r="A1116" s="0" t="n">
        <v>31</v>
      </c>
      <c r="AA1116" s="0" t="n">
        <v>21</v>
      </c>
      <c r="AB1116" s="0" t="s">
        <v>500</v>
      </c>
      <c r="AD1116" s="0" t="n">
        <v>12</v>
      </c>
      <c r="AE1116" s="0" t="s">
        <v>96</v>
      </c>
      <c r="AH1116" s="0" t="n">
        <v>1</v>
      </c>
      <c r="AJ1116" s="0" t="n">
        <v>41</v>
      </c>
      <c r="AP1116" s="0" t="n">
        <v>180000</v>
      </c>
      <c r="DB1116" s="0" t="str">
        <f aca="false">IF($A1116="","",IF($AE1116&amp;""&lt;&gt;設定!$C$4,"対象外",IF($AH1116=20,IF(OR($AJ1116=10,$AJ1116=11,$AJ1116=18),"①病院一般",IF($AJ1116=41,"②病院短期","対象外")),IF($AH1116=5,IF($AJ1116=30,"③特定消防","対象外"),IF(OR($AJ1116=10,$AJ1116=11,$AJ1116=74),"④一般",IF(OR($AJ1116=41,$AJ1116=47),"⑤短期","対象外"))))))</f>
        <v>⑤短期</v>
      </c>
    </row>
    <row r="1117" customFormat="false" ht="15" hidden="false" customHeight="false" outlineLevel="0" collapsed="false">
      <c r="A1117" s="0" t="n">
        <v>31</v>
      </c>
      <c r="AA1117" s="0" t="n">
        <v>21</v>
      </c>
      <c r="AB1117" s="0" t="s">
        <v>500</v>
      </c>
      <c r="AD1117" s="0" t="n">
        <v>12</v>
      </c>
      <c r="AE1117" s="0" t="s">
        <v>296</v>
      </c>
      <c r="AH1117" s="0" t="n">
        <v>1</v>
      </c>
      <c r="AJ1117" s="0" t="n">
        <v>41</v>
      </c>
      <c r="AP1117" s="0" t="n">
        <v>170000</v>
      </c>
      <c r="DB1117" s="0" t="str">
        <f aca="false">IF($A1117="","",IF($AE1117&amp;""&lt;&gt;設定!$C$4,"対象外",IF($AH1117=20,IF(OR($AJ1117=10,$AJ1117=11,$AJ1117=18),"①病院一般",IF($AJ1117=41,"②病院短期","対象外")),IF($AH1117=5,IF($AJ1117=30,"③特定消防","対象外"),IF(OR($AJ1117=10,$AJ1117=11,$AJ1117=74),"④一般",IF(OR($AJ1117=41,$AJ1117=47),"⑤短期","対象外"))))))</f>
        <v>対象外</v>
      </c>
    </row>
    <row r="1118" customFormat="false" ht="15" hidden="false" customHeight="false" outlineLevel="0" collapsed="false">
      <c r="A1118" s="0" t="n">
        <v>31</v>
      </c>
      <c r="AA1118" s="0" t="n">
        <v>21</v>
      </c>
      <c r="AB1118" s="0" t="s">
        <v>565</v>
      </c>
      <c r="AD1118" s="0" t="n">
        <v>12</v>
      </c>
      <c r="AE1118" s="0" t="s">
        <v>379</v>
      </c>
      <c r="AH1118" s="0" t="n">
        <v>11</v>
      </c>
      <c r="AJ1118" s="0" t="n">
        <v>41</v>
      </c>
      <c r="AP1118" s="0" t="n">
        <v>126000</v>
      </c>
      <c r="DB1118" s="0" t="str">
        <f aca="false">IF($A1118="","",IF($AE1118&amp;""&lt;&gt;設定!$C$4,"対象外",IF($AH1118=20,IF(OR($AJ1118=10,$AJ1118=11,$AJ1118=18),"①病院一般",IF($AJ1118=41,"②病院短期","対象外")),IF($AH1118=5,IF($AJ1118=30,"③特定消防","対象外"),IF(OR($AJ1118=10,$AJ1118=11,$AJ1118=74),"④一般",IF(OR($AJ1118=41,$AJ1118=47),"⑤短期","対象外"))))))</f>
        <v>対象外</v>
      </c>
    </row>
    <row r="1119" customFormat="false" ht="15" hidden="false" customHeight="false" outlineLevel="0" collapsed="false">
      <c r="A1119" s="0" t="n">
        <v>31</v>
      </c>
      <c r="AA1119" s="0" t="n">
        <v>21</v>
      </c>
      <c r="AB1119" s="0" t="s">
        <v>501</v>
      </c>
      <c r="AD1119" s="0" t="n">
        <v>12</v>
      </c>
      <c r="AE1119" s="0" t="s">
        <v>96</v>
      </c>
      <c r="AH1119" s="0" t="n">
        <v>1</v>
      </c>
      <c r="AJ1119" s="0" t="n">
        <v>41</v>
      </c>
      <c r="AP1119" s="0" t="n">
        <v>200000</v>
      </c>
      <c r="DB1119" s="0" t="str">
        <f aca="false">IF($A1119="","",IF($AE1119&amp;""&lt;&gt;設定!$C$4,"対象外",IF($AH1119=20,IF(OR($AJ1119=10,$AJ1119=11,$AJ1119=18),"①病院一般",IF($AJ1119=41,"②病院短期","対象外")),IF($AH1119=5,IF($AJ1119=30,"③特定消防","対象外"),IF(OR($AJ1119=10,$AJ1119=11,$AJ1119=74),"④一般",IF(OR($AJ1119=41,$AJ1119=47),"⑤短期","対象外"))))))</f>
        <v>⑤短期</v>
      </c>
    </row>
    <row r="1120" customFormat="false" ht="15" hidden="false" customHeight="false" outlineLevel="0" collapsed="false">
      <c r="A1120" s="0" t="n">
        <v>31</v>
      </c>
      <c r="AA1120" s="0" t="n">
        <v>21</v>
      </c>
      <c r="AB1120" s="0" t="s">
        <v>549</v>
      </c>
      <c r="AD1120" s="0" t="n">
        <v>12</v>
      </c>
      <c r="AE1120" s="0" t="s">
        <v>296</v>
      </c>
      <c r="AH1120" s="0" t="n">
        <v>1</v>
      </c>
      <c r="AJ1120" s="0" t="n">
        <v>41</v>
      </c>
      <c r="AP1120" s="0" t="n">
        <v>180000</v>
      </c>
      <c r="DB1120" s="0" t="str">
        <f aca="false">IF($A1120="","",IF($AE1120&amp;""&lt;&gt;設定!$C$4,"対象外",IF($AH1120=20,IF(OR($AJ1120=10,$AJ1120=11,$AJ1120=18),"①病院一般",IF($AJ1120=41,"②病院短期","対象外")),IF($AH1120=5,IF($AJ1120=30,"③特定消防","対象外"),IF(OR($AJ1120=10,$AJ1120=11,$AJ1120=74),"④一般",IF(OR($AJ1120=41,$AJ1120=47),"⑤短期","対象外"))))))</f>
        <v>対象外</v>
      </c>
    </row>
    <row r="1121" customFormat="false" ht="15" hidden="false" customHeight="false" outlineLevel="0" collapsed="false">
      <c r="A1121" s="0" t="n">
        <v>31</v>
      </c>
      <c r="AA1121" s="0" t="n">
        <v>21</v>
      </c>
      <c r="AB1121" s="0" t="s">
        <v>549</v>
      </c>
      <c r="AD1121" s="0" t="n">
        <v>12</v>
      </c>
      <c r="AE1121" s="0" t="s">
        <v>296</v>
      </c>
      <c r="AH1121" s="0" t="n">
        <v>11</v>
      </c>
      <c r="AJ1121" s="0" t="n">
        <v>41</v>
      </c>
      <c r="AP1121" s="0" t="n">
        <v>180000</v>
      </c>
      <c r="DB1121" s="0" t="str">
        <f aca="false">IF($A1121="","",IF($AE1121&amp;""&lt;&gt;設定!$C$4,"対象外",IF($AH1121=20,IF(OR($AJ1121=10,$AJ1121=11,$AJ1121=18),"①病院一般",IF($AJ1121=41,"②病院短期","対象外")),IF($AH1121=5,IF($AJ1121=30,"③特定消防","対象外"),IF(OR($AJ1121=10,$AJ1121=11,$AJ1121=74),"④一般",IF(OR($AJ1121=41,$AJ1121=47),"⑤短期","対象外"))))))</f>
        <v>対象外</v>
      </c>
    </row>
    <row r="1122" customFormat="false" ht="15" hidden="false" customHeight="false" outlineLevel="0" collapsed="false">
      <c r="A1122" s="0" t="n">
        <v>31</v>
      </c>
      <c r="AA1122" s="0" t="n">
        <v>21</v>
      </c>
      <c r="AB1122" s="0" t="s">
        <v>560</v>
      </c>
      <c r="AD1122" s="0" t="n">
        <v>12</v>
      </c>
      <c r="AE1122" s="0" t="s">
        <v>96</v>
      </c>
      <c r="AH1122" s="0" t="n">
        <v>1</v>
      </c>
      <c r="AJ1122" s="0" t="n">
        <v>41</v>
      </c>
      <c r="AP1122" s="0" t="n">
        <v>118000</v>
      </c>
      <c r="DB1122" s="0" t="str">
        <f aca="false">IF($A1122="","",IF($AE1122&amp;""&lt;&gt;設定!$C$4,"対象外",IF($AH1122=20,IF(OR($AJ1122=10,$AJ1122=11,$AJ1122=18),"①病院一般",IF($AJ1122=41,"②病院短期","対象外")),IF($AH1122=5,IF($AJ1122=30,"③特定消防","対象外"),IF(OR($AJ1122=10,$AJ1122=11,$AJ1122=74),"④一般",IF(OR($AJ1122=41,$AJ1122=47),"⑤短期","対象外"))))))</f>
        <v>⑤短期</v>
      </c>
    </row>
    <row r="1123" customFormat="false" ht="15" hidden="false" customHeight="false" outlineLevel="0" collapsed="false">
      <c r="A1123" s="0" t="n">
        <v>31</v>
      </c>
      <c r="AA1123" s="0" t="n">
        <v>21</v>
      </c>
      <c r="AB1123" s="0" t="s">
        <v>560</v>
      </c>
      <c r="AD1123" s="0" t="n">
        <v>12</v>
      </c>
      <c r="AE1123" s="0" t="s">
        <v>96</v>
      </c>
      <c r="AH1123" s="0" t="n">
        <v>1</v>
      </c>
      <c r="AJ1123" s="0" t="n">
        <v>41</v>
      </c>
      <c r="AP1123" s="0" t="n">
        <v>180000</v>
      </c>
      <c r="DB1123" s="0" t="str">
        <f aca="false">IF($A1123="","",IF($AE1123&amp;""&lt;&gt;設定!$C$4,"対象外",IF($AH1123=20,IF(OR($AJ1123=10,$AJ1123=11,$AJ1123=18),"①病院一般",IF($AJ1123=41,"②病院短期","対象外")),IF($AH1123=5,IF($AJ1123=30,"③特定消防","対象外"),IF(OR($AJ1123=10,$AJ1123=11,$AJ1123=74),"④一般",IF(OR($AJ1123=41,$AJ1123=47),"⑤短期","対象外"))))))</f>
        <v>⑤短期</v>
      </c>
    </row>
    <row r="1124" customFormat="false" ht="15" hidden="false" customHeight="false" outlineLevel="0" collapsed="false">
      <c r="A1124" s="0" t="n">
        <v>31</v>
      </c>
      <c r="AA1124" s="0" t="n">
        <v>21</v>
      </c>
      <c r="AB1124" s="0" t="s">
        <v>566</v>
      </c>
      <c r="AD1124" s="0" t="n">
        <v>12</v>
      </c>
      <c r="AE1124" s="0" t="s">
        <v>299</v>
      </c>
      <c r="AH1124" s="0" t="n">
        <v>11</v>
      </c>
      <c r="AJ1124" s="0" t="n">
        <v>41</v>
      </c>
      <c r="AP1124" s="0" t="n">
        <v>104000</v>
      </c>
      <c r="DB1124" s="0" t="str">
        <f aca="false">IF($A1124="","",IF($AE1124&amp;""&lt;&gt;設定!$C$4,"対象外",IF($AH1124=20,IF(OR($AJ1124=10,$AJ1124=11,$AJ1124=18),"①病院一般",IF($AJ1124=41,"②病院短期","対象外")),IF($AH1124=5,IF($AJ1124=30,"③特定消防","対象外"),IF(OR($AJ1124=10,$AJ1124=11,$AJ1124=74),"④一般",IF(OR($AJ1124=41,$AJ1124=47),"⑤短期","対象外"))))))</f>
        <v>対象外</v>
      </c>
    </row>
    <row r="1125" customFormat="false" ht="15" hidden="false" customHeight="false" outlineLevel="0" collapsed="false">
      <c r="A1125" s="0" t="n">
        <v>31</v>
      </c>
      <c r="AA1125" s="0" t="n">
        <v>21</v>
      </c>
      <c r="AB1125" s="0" t="s">
        <v>564</v>
      </c>
      <c r="AD1125" s="0" t="n">
        <v>12</v>
      </c>
      <c r="AE1125" s="0" t="s">
        <v>96</v>
      </c>
      <c r="AH1125" s="0" t="n">
        <v>1</v>
      </c>
      <c r="AJ1125" s="0" t="n">
        <v>41</v>
      </c>
      <c r="AP1125" s="0" t="n">
        <v>220000</v>
      </c>
      <c r="DB1125" s="0" t="str">
        <f aca="false">IF($A1125="","",IF($AE1125&amp;""&lt;&gt;設定!$C$4,"対象外",IF($AH1125=20,IF(OR($AJ1125=10,$AJ1125=11,$AJ1125=18),"①病院一般",IF($AJ1125=41,"②病院短期","対象外")),IF($AH1125=5,IF($AJ1125=30,"③特定消防","対象外"),IF(OR($AJ1125=10,$AJ1125=11,$AJ1125=74),"④一般",IF(OR($AJ1125=41,$AJ1125=47),"⑤短期","対象外"))))))</f>
        <v>⑤短期</v>
      </c>
    </row>
    <row r="1126" customFormat="false" ht="15" hidden="false" customHeight="false" outlineLevel="0" collapsed="false">
      <c r="A1126" s="0" t="n">
        <v>31</v>
      </c>
      <c r="AA1126" s="0" t="n">
        <v>21</v>
      </c>
      <c r="AB1126" s="0" t="s">
        <v>567</v>
      </c>
      <c r="AD1126" s="0" t="n">
        <v>12</v>
      </c>
      <c r="AE1126" s="0" t="s">
        <v>96</v>
      </c>
      <c r="AH1126" s="0" t="n">
        <v>1</v>
      </c>
      <c r="AJ1126" s="0" t="n">
        <v>41</v>
      </c>
      <c r="AP1126" s="0" t="n">
        <v>134000</v>
      </c>
      <c r="DB1126" s="0" t="str">
        <f aca="false">IF($A1126="","",IF($AE1126&amp;""&lt;&gt;設定!$C$4,"対象外",IF($AH1126=20,IF(OR($AJ1126=10,$AJ1126=11,$AJ1126=18),"①病院一般",IF($AJ1126=41,"②病院短期","対象外")),IF($AH1126=5,IF($AJ1126=30,"③特定消防","対象外"),IF(OR($AJ1126=10,$AJ1126=11,$AJ1126=74),"④一般",IF(OR($AJ1126=41,$AJ1126=47),"⑤短期","対象外"))))))</f>
        <v>⑤短期</v>
      </c>
    </row>
    <row r="1127" customFormat="false" ht="15" hidden="false" customHeight="false" outlineLevel="0" collapsed="false">
      <c r="A1127" s="0" t="n">
        <v>31</v>
      </c>
      <c r="AA1127" s="0" t="n">
        <v>21</v>
      </c>
      <c r="AB1127" s="0" t="s">
        <v>540</v>
      </c>
      <c r="AD1127" s="0" t="n">
        <v>12</v>
      </c>
      <c r="AE1127" s="0" t="s">
        <v>533</v>
      </c>
      <c r="AH1127" s="0" t="n">
        <v>1</v>
      </c>
      <c r="AJ1127" s="0" t="n">
        <v>41</v>
      </c>
      <c r="AP1127" s="0" t="n">
        <v>126000</v>
      </c>
      <c r="DB1127" s="0" t="str">
        <f aca="false">IF($A1127="","",IF($AE1127&amp;""&lt;&gt;設定!$C$4,"対象外",IF($AH1127=20,IF(OR($AJ1127=10,$AJ1127=11,$AJ1127=18),"①病院一般",IF($AJ1127=41,"②病院短期","対象外")),IF($AH1127=5,IF($AJ1127=30,"③特定消防","対象外"),IF(OR($AJ1127=10,$AJ1127=11,$AJ1127=74),"④一般",IF(OR($AJ1127=41,$AJ1127=47),"⑤短期","対象外"))))))</f>
        <v>対象外</v>
      </c>
    </row>
    <row r="1128" customFormat="false" ht="15" hidden="false" customHeight="false" outlineLevel="0" collapsed="false">
      <c r="A1128" s="0" t="n">
        <v>31</v>
      </c>
      <c r="AA1128" s="0" t="n">
        <v>21</v>
      </c>
      <c r="AB1128" s="0" t="s">
        <v>557</v>
      </c>
      <c r="AD1128" s="0" t="n">
        <v>12</v>
      </c>
      <c r="AE1128" s="0" t="s">
        <v>96</v>
      </c>
      <c r="AH1128" s="0" t="n">
        <v>1</v>
      </c>
      <c r="AJ1128" s="0" t="n">
        <v>41</v>
      </c>
      <c r="AP1128" s="0" t="n">
        <v>170000</v>
      </c>
      <c r="DB1128" s="0" t="str">
        <f aca="false">IF($A1128="","",IF($AE1128&amp;""&lt;&gt;設定!$C$4,"対象外",IF($AH1128=20,IF(OR($AJ1128=10,$AJ1128=11,$AJ1128=18),"①病院一般",IF($AJ1128=41,"②病院短期","対象外")),IF($AH1128=5,IF($AJ1128=30,"③特定消防","対象外"),IF(OR($AJ1128=10,$AJ1128=11,$AJ1128=74),"④一般",IF(OR($AJ1128=41,$AJ1128=47),"⑤短期","対象外"))))))</f>
        <v>⑤短期</v>
      </c>
    </row>
    <row r="1129" customFormat="false" ht="15" hidden="false" customHeight="false" outlineLevel="0" collapsed="false">
      <c r="A1129" s="0" t="n">
        <v>31</v>
      </c>
      <c r="AA1129" s="0" t="n">
        <v>21</v>
      </c>
      <c r="AB1129" s="0" t="s">
        <v>494</v>
      </c>
      <c r="AD1129" s="0" t="n">
        <v>12</v>
      </c>
      <c r="AE1129" s="0" t="s">
        <v>96</v>
      </c>
      <c r="AH1129" s="0" t="n">
        <v>1</v>
      </c>
      <c r="AJ1129" s="0" t="n">
        <v>41</v>
      </c>
      <c r="AP1129" s="0" t="n">
        <v>190000</v>
      </c>
      <c r="DB1129" s="0" t="str">
        <f aca="false">IF($A1129="","",IF($AE1129&amp;""&lt;&gt;設定!$C$4,"対象外",IF($AH1129=20,IF(OR($AJ1129=10,$AJ1129=11,$AJ1129=18),"①病院一般",IF($AJ1129=41,"②病院短期","対象外")),IF($AH1129=5,IF($AJ1129=30,"③特定消防","対象外"),IF(OR($AJ1129=10,$AJ1129=11,$AJ1129=74),"④一般",IF(OR($AJ1129=41,$AJ1129=47),"⑤短期","対象外"))))))</f>
        <v>⑤短期</v>
      </c>
    </row>
    <row r="1130" customFormat="false" ht="15" hidden="false" customHeight="false" outlineLevel="0" collapsed="false">
      <c r="A1130" s="0" t="n">
        <v>31</v>
      </c>
      <c r="AA1130" s="0" t="n">
        <v>21</v>
      </c>
      <c r="AB1130" s="0" t="s">
        <v>494</v>
      </c>
      <c r="AD1130" s="0" t="n">
        <v>12</v>
      </c>
      <c r="AE1130" s="0" t="s">
        <v>96</v>
      </c>
      <c r="AH1130" s="0" t="n">
        <v>1</v>
      </c>
      <c r="AJ1130" s="0" t="n">
        <v>41</v>
      </c>
      <c r="AP1130" s="0" t="n">
        <v>126000</v>
      </c>
      <c r="DB1130" s="0" t="str">
        <f aca="false">IF($A1130="","",IF($AE1130&amp;""&lt;&gt;設定!$C$4,"対象外",IF($AH1130=20,IF(OR($AJ1130=10,$AJ1130=11,$AJ1130=18),"①病院一般",IF($AJ1130=41,"②病院短期","対象外")),IF($AH1130=5,IF($AJ1130=30,"③特定消防","対象外"),IF(OR($AJ1130=10,$AJ1130=11,$AJ1130=74),"④一般",IF(OR($AJ1130=41,$AJ1130=47),"⑤短期","対象外"))))))</f>
        <v>⑤短期</v>
      </c>
    </row>
    <row r="1131" customFormat="false" ht="15" hidden="false" customHeight="false" outlineLevel="0" collapsed="false">
      <c r="A1131" s="0" t="n">
        <v>31</v>
      </c>
      <c r="AA1131" s="0" t="n">
        <v>21</v>
      </c>
      <c r="AB1131" s="0" t="s">
        <v>568</v>
      </c>
      <c r="AD1131" s="0" t="n">
        <v>12</v>
      </c>
      <c r="AE1131" s="0" t="s">
        <v>96</v>
      </c>
      <c r="AH1131" s="0" t="n">
        <v>11</v>
      </c>
      <c r="AJ1131" s="0" t="n">
        <v>41</v>
      </c>
      <c r="AP1131" s="0" t="n">
        <v>118000</v>
      </c>
      <c r="DB1131" s="0" t="str">
        <f aca="false">IF($A1131="","",IF($AE1131&amp;""&lt;&gt;設定!$C$4,"対象外",IF($AH1131=20,IF(OR($AJ1131=10,$AJ1131=11,$AJ1131=18),"①病院一般",IF($AJ1131=41,"②病院短期","対象外")),IF($AH1131=5,IF($AJ1131=30,"③特定消防","対象外"),IF(OR($AJ1131=10,$AJ1131=11,$AJ1131=74),"④一般",IF(OR($AJ1131=41,$AJ1131=47),"⑤短期","対象外"))))))</f>
        <v>⑤短期</v>
      </c>
    </row>
    <row r="1132" customFormat="false" ht="15" hidden="false" customHeight="false" outlineLevel="0" collapsed="false">
      <c r="A1132" s="0" t="n">
        <v>31</v>
      </c>
      <c r="AA1132" s="0" t="n">
        <v>21</v>
      </c>
      <c r="AB1132" s="0" t="s">
        <v>494</v>
      </c>
      <c r="AD1132" s="0" t="n">
        <v>12</v>
      </c>
      <c r="AE1132" s="0" t="s">
        <v>96</v>
      </c>
      <c r="AH1132" s="0" t="n">
        <v>20</v>
      </c>
      <c r="AJ1132" s="0" t="n">
        <v>41</v>
      </c>
      <c r="AP1132" s="0" t="n">
        <v>710000</v>
      </c>
      <c r="DB1132" s="0" t="str">
        <f aca="false">IF($A1132="","",IF($AE1132&amp;""&lt;&gt;設定!$C$4,"対象外",IF($AH1132=20,IF(OR($AJ1132=10,$AJ1132=11,$AJ1132=18),"①病院一般",IF($AJ1132=41,"②病院短期","対象外")),IF($AH1132=5,IF($AJ1132=30,"③特定消防","対象外"),IF(OR($AJ1132=10,$AJ1132=11,$AJ1132=74),"④一般",IF(OR($AJ1132=41,$AJ1132=47),"⑤短期","対象外"))))))</f>
        <v>②病院短期</v>
      </c>
    </row>
    <row r="1133" customFormat="false" ht="15" hidden="false" customHeight="false" outlineLevel="0" collapsed="false">
      <c r="A1133" s="0" t="n">
        <v>31</v>
      </c>
      <c r="AA1133" s="0" t="n">
        <v>21</v>
      </c>
      <c r="AB1133" s="0" t="s">
        <v>494</v>
      </c>
      <c r="AD1133" s="0" t="n">
        <v>12</v>
      </c>
      <c r="AE1133" s="0" t="s">
        <v>96</v>
      </c>
      <c r="AH1133" s="0" t="n">
        <v>20</v>
      </c>
      <c r="AJ1133" s="0" t="n">
        <v>41</v>
      </c>
      <c r="AP1133" s="0" t="n">
        <v>830000</v>
      </c>
      <c r="DB1133" s="0" t="str">
        <f aca="false">IF($A1133="","",IF($AE1133&amp;""&lt;&gt;設定!$C$4,"対象外",IF($AH1133=20,IF(OR($AJ1133=10,$AJ1133=11,$AJ1133=18),"①病院一般",IF($AJ1133=41,"②病院短期","対象外")),IF($AH1133=5,IF($AJ1133=30,"③特定消防","対象外"),IF(OR($AJ1133=10,$AJ1133=11,$AJ1133=74),"④一般",IF(OR($AJ1133=41,$AJ1133=47),"⑤短期","対象外"))))))</f>
        <v>②病院短期</v>
      </c>
    </row>
    <row r="1134" customFormat="false" ht="15" hidden="false" customHeight="false" outlineLevel="0" collapsed="false">
      <c r="A1134" s="0" t="n">
        <v>31</v>
      </c>
      <c r="AA1134" s="0" t="n">
        <v>21</v>
      </c>
      <c r="AB1134" s="0" t="s">
        <v>494</v>
      </c>
      <c r="AD1134" s="0" t="n">
        <v>12</v>
      </c>
      <c r="AE1134" s="0" t="s">
        <v>96</v>
      </c>
      <c r="AH1134" s="0" t="n">
        <v>20</v>
      </c>
      <c r="AJ1134" s="0" t="n">
        <v>41</v>
      </c>
      <c r="AP1134" s="0" t="n">
        <v>620000</v>
      </c>
      <c r="DB1134" s="0" t="str">
        <f aca="false">IF($A1134="","",IF($AE1134&amp;""&lt;&gt;設定!$C$4,"対象外",IF($AH1134=20,IF(OR($AJ1134=10,$AJ1134=11,$AJ1134=18),"①病院一般",IF($AJ1134=41,"②病院短期","対象外")),IF($AH1134=5,IF($AJ1134=30,"③特定消防","対象外"),IF(OR($AJ1134=10,$AJ1134=11,$AJ1134=74),"④一般",IF(OR($AJ1134=41,$AJ1134=47),"⑤短期","対象外"))))))</f>
        <v>②病院短期</v>
      </c>
    </row>
    <row r="1135" customFormat="false" ht="15" hidden="false" customHeight="false" outlineLevel="0" collapsed="false">
      <c r="A1135" s="0" t="n">
        <v>31</v>
      </c>
      <c r="AA1135" s="0" t="n">
        <v>21</v>
      </c>
      <c r="AB1135" s="0" t="s">
        <v>494</v>
      </c>
      <c r="AD1135" s="0" t="n">
        <v>12</v>
      </c>
      <c r="AE1135" s="0" t="s">
        <v>96</v>
      </c>
      <c r="AH1135" s="0" t="n">
        <v>20</v>
      </c>
      <c r="AJ1135" s="0" t="n">
        <v>41</v>
      </c>
      <c r="AP1135" s="0" t="n">
        <v>680000</v>
      </c>
      <c r="DB1135" s="0" t="str">
        <f aca="false">IF($A1135="","",IF($AE1135&amp;""&lt;&gt;設定!$C$4,"対象外",IF($AH1135=20,IF(OR($AJ1135=10,$AJ1135=11,$AJ1135=18),"①病院一般",IF($AJ1135=41,"②病院短期","対象外")),IF($AH1135=5,IF($AJ1135=30,"③特定消防","対象外"),IF(OR($AJ1135=10,$AJ1135=11,$AJ1135=74),"④一般",IF(OR($AJ1135=41,$AJ1135=47),"⑤短期","対象外"))))))</f>
        <v>②病院短期</v>
      </c>
    </row>
    <row r="1136" customFormat="false" ht="15" hidden="false" customHeight="false" outlineLevel="0" collapsed="false">
      <c r="A1136" s="0" t="n">
        <v>31</v>
      </c>
      <c r="AA1136" s="0" t="n">
        <v>21</v>
      </c>
      <c r="AB1136" s="0" t="s">
        <v>494</v>
      </c>
      <c r="AD1136" s="0" t="n">
        <v>12</v>
      </c>
      <c r="AE1136" s="0" t="s">
        <v>298</v>
      </c>
      <c r="AH1136" s="0" t="n">
        <v>20</v>
      </c>
      <c r="AJ1136" s="0" t="n">
        <v>10</v>
      </c>
      <c r="AP1136" s="0" t="n">
        <v>790000</v>
      </c>
      <c r="DB1136" s="0" t="str">
        <f aca="false">IF($A1136="","",IF($AE1136&amp;""&lt;&gt;設定!$C$4,"対象外",IF($AH1136=20,IF(OR($AJ1136=10,$AJ1136=11,$AJ1136=18),"①病院一般",IF($AJ1136=41,"②病院短期","対象外")),IF($AH1136=5,IF($AJ1136=30,"③特定消防","対象外"),IF(OR($AJ1136=10,$AJ1136=11,$AJ1136=74),"④一般",IF(OR($AJ1136=41,$AJ1136=47),"⑤短期","対象外"))))))</f>
        <v>対象外</v>
      </c>
    </row>
    <row r="1137" customFormat="false" ht="15" hidden="false" customHeight="false" outlineLevel="0" collapsed="false">
      <c r="A1137" s="0" t="n">
        <v>31</v>
      </c>
      <c r="AA1137" s="0" t="n">
        <v>21</v>
      </c>
      <c r="AB1137" s="0" t="s">
        <v>494</v>
      </c>
      <c r="AD1137" s="0" t="n">
        <v>12</v>
      </c>
      <c r="AE1137" s="0" t="s">
        <v>96</v>
      </c>
      <c r="AH1137" s="0" t="n">
        <v>20</v>
      </c>
      <c r="AJ1137" s="0" t="n">
        <v>41</v>
      </c>
      <c r="AP1137" s="0" t="n">
        <v>530000</v>
      </c>
      <c r="DB1137" s="0" t="str">
        <f aca="false">IF($A1137="","",IF($AE1137&amp;""&lt;&gt;設定!$C$4,"対象外",IF($AH1137=20,IF(OR($AJ1137=10,$AJ1137=11,$AJ1137=18),"①病院一般",IF($AJ1137=41,"②病院短期","対象外")),IF($AH1137=5,IF($AJ1137=30,"③特定消防","対象外"),IF(OR($AJ1137=10,$AJ1137=11,$AJ1137=74),"④一般",IF(OR($AJ1137=41,$AJ1137=47),"⑤短期","対象外"))))))</f>
        <v>②病院短期</v>
      </c>
    </row>
    <row r="1138" customFormat="false" ht="15" hidden="false" customHeight="false" outlineLevel="0" collapsed="false">
      <c r="A1138" s="0" t="n">
        <v>31</v>
      </c>
      <c r="AA1138" s="0" t="n">
        <v>21</v>
      </c>
      <c r="AB1138" s="0" t="s">
        <v>494</v>
      </c>
      <c r="AD1138" s="0" t="n">
        <v>12</v>
      </c>
      <c r="AE1138" s="0" t="s">
        <v>301</v>
      </c>
      <c r="AH1138" s="0" t="n">
        <v>20</v>
      </c>
      <c r="AJ1138" s="0" t="n">
        <v>10</v>
      </c>
      <c r="AP1138" s="0" t="n">
        <v>930000</v>
      </c>
      <c r="DB1138" s="0" t="str">
        <f aca="false">IF($A1138="","",IF($AE1138&amp;""&lt;&gt;設定!$C$4,"対象外",IF($AH1138=20,IF(OR($AJ1138=10,$AJ1138=11,$AJ1138=18),"①病院一般",IF($AJ1138=41,"②病院短期","対象外")),IF($AH1138=5,IF($AJ1138=30,"③特定消防","対象外"),IF(OR($AJ1138=10,$AJ1138=11,$AJ1138=74),"④一般",IF(OR($AJ1138=41,$AJ1138=47),"⑤短期","対象外"))))))</f>
        <v>対象外</v>
      </c>
    </row>
    <row r="1139" customFormat="false" ht="15" hidden="false" customHeight="false" outlineLevel="0" collapsed="false">
      <c r="A1139" s="0" t="n">
        <v>31</v>
      </c>
      <c r="AA1139" s="0" t="n">
        <v>21</v>
      </c>
      <c r="AB1139" s="0" t="s">
        <v>494</v>
      </c>
      <c r="AD1139" s="0" t="n">
        <v>12</v>
      </c>
      <c r="AE1139" s="0" t="s">
        <v>96</v>
      </c>
      <c r="AH1139" s="0" t="n">
        <v>20</v>
      </c>
      <c r="AJ1139" s="0" t="n">
        <v>41</v>
      </c>
      <c r="AP1139" s="0" t="n">
        <v>710000</v>
      </c>
      <c r="DB1139" s="0" t="str">
        <f aca="false">IF($A1139="","",IF($AE1139&amp;""&lt;&gt;設定!$C$4,"対象外",IF($AH1139=20,IF(OR($AJ1139=10,$AJ1139=11,$AJ1139=18),"①病院一般",IF($AJ1139=41,"②病院短期","対象外")),IF($AH1139=5,IF($AJ1139=30,"③特定消防","対象外"),IF(OR($AJ1139=10,$AJ1139=11,$AJ1139=74),"④一般",IF(OR($AJ1139=41,$AJ1139=47),"⑤短期","対象外"))))))</f>
        <v>②病院短期</v>
      </c>
    </row>
    <row r="1140" customFormat="false" ht="15" hidden="false" customHeight="false" outlineLevel="0" collapsed="false">
      <c r="A1140" s="0" t="n">
        <v>31</v>
      </c>
      <c r="AA1140" s="0" t="n">
        <v>21</v>
      </c>
      <c r="AB1140" s="0" t="s">
        <v>494</v>
      </c>
      <c r="AD1140" s="0" t="n">
        <v>12</v>
      </c>
      <c r="AE1140" s="0" t="s">
        <v>96</v>
      </c>
      <c r="AH1140" s="0" t="n">
        <v>20</v>
      </c>
      <c r="AJ1140" s="0" t="n">
        <v>41</v>
      </c>
      <c r="AP1140" s="0" t="n">
        <v>750000</v>
      </c>
      <c r="DB1140" s="0" t="str">
        <f aca="false">IF($A1140="","",IF($AE1140&amp;""&lt;&gt;設定!$C$4,"対象外",IF($AH1140=20,IF(OR($AJ1140=10,$AJ1140=11,$AJ1140=18),"①病院一般",IF($AJ1140=41,"②病院短期","対象外")),IF($AH1140=5,IF($AJ1140=30,"③特定消防","対象外"),IF(OR($AJ1140=10,$AJ1140=11,$AJ1140=74),"④一般",IF(OR($AJ1140=41,$AJ1140=47),"⑤短期","対象外"))))))</f>
        <v>②病院短期</v>
      </c>
    </row>
    <row r="1141" customFormat="false" ht="15" hidden="false" customHeight="false" outlineLevel="0" collapsed="false">
      <c r="A1141" s="0" t="n">
        <v>31</v>
      </c>
      <c r="AA1141" s="0" t="n">
        <v>21</v>
      </c>
      <c r="AB1141" s="0" t="s">
        <v>494</v>
      </c>
      <c r="AD1141" s="0" t="n">
        <v>12</v>
      </c>
      <c r="AE1141" s="0" t="s">
        <v>96</v>
      </c>
      <c r="AH1141" s="0" t="n">
        <v>20</v>
      </c>
      <c r="AJ1141" s="0" t="n">
        <v>41</v>
      </c>
      <c r="AP1141" s="0" t="n">
        <v>930000</v>
      </c>
      <c r="DB1141" s="0" t="str">
        <f aca="false">IF($A1141="","",IF($AE1141&amp;""&lt;&gt;設定!$C$4,"対象外",IF($AH1141=20,IF(OR($AJ1141=10,$AJ1141=11,$AJ1141=18),"①病院一般",IF($AJ1141=41,"②病院短期","対象外")),IF($AH1141=5,IF($AJ1141=30,"③特定消防","対象外"),IF(OR($AJ1141=10,$AJ1141=11,$AJ1141=74),"④一般",IF(OR($AJ1141=41,$AJ1141=47),"⑤短期","対象外"))))))</f>
        <v>②病院短期</v>
      </c>
    </row>
    <row r="1142" customFormat="false" ht="15" hidden="false" customHeight="false" outlineLevel="0" collapsed="false">
      <c r="A1142" s="0" t="n">
        <v>31</v>
      </c>
      <c r="AA1142" s="0" t="n">
        <v>21</v>
      </c>
      <c r="AB1142" s="0" t="s">
        <v>494</v>
      </c>
      <c r="AD1142" s="0" t="n">
        <v>12</v>
      </c>
      <c r="AE1142" s="0" t="s">
        <v>96</v>
      </c>
      <c r="AH1142" s="0" t="n">
        <v>20</v>
      </c>
      <c r="AJ1142" s="0" t="n">
        <v>41</v>
      </c>
      <c r="AP1142" s="0" t="n">
        <v>650000</v>
      </c>
      <c r="DB1142" s="0" t="str">
        <f aca="false">IF($A1142="","",IF($AE1142&amp;""&lt;&gt;設定!$C$4,"対象外",IF($AH1142=20,IF(OR($AJ1142=10,$AJ1142=11,$AJ1142=18),"①病院一般",IF($AJ1142=41,"②病院短期","対象外")),IF($AH1142=5,IF($AJ1142=30,"③特定消防","対象外"),IF(OR($AJ1142=10,$AJ1142=11,$AJ1142=74),"④一般",IF(OR($AJ1142=41,$AJ1142=47),"⑤短期","対象外"))))))</f>
        <v>②病院短期</v>
      </c>
    </row>
    <row r="1143" customFormat="false" ht="15" hidden="false" customHeight="false" outlineLevel="0" collapsed="false">
      <c r="A1143" s="0" t="n">
        <v>31</v>
      </c>
      <c r="AA1143" s="0" t="n">
        <v>21</v>
      </c>
      <c r="AB1143" s="0" t="s">
        <v>494</v>
      </c>
      <c r="AD1143" s="0" t="n">
        <v>12</v>
      </c>
      <c r="AE1143" s="0" t="s">
        <v>96</v>
      </c>
      <c r="AH1143" s="0" t="n">
        <v>20</v>
      </c>
      <c r="AJ1143" s="0" t="n">
        <v>41</v>
      </c>
      <c r="AP1143" s="0" t="n">
        <v>750000</v>
      </c>
      <c r="DB1143" s="0" t="str">
        <f aca="false">IF($A1143="","",IF($AE1143&amp;""&lt;&gt;設定!$C$4,"対象外",IF($AH1143=20,IF(OR($AJ1143=10,$AJ1143=11,$AJ1143=18),"①病院一般",IF($AJ1143=41,"②病院短期","対象外")),IF($AH1143=5,IF($AJ1143=30,"③特定消防","対象外"),IF(OR($AJ1143=10,$AJ1143=11,$AJ1143=74),"④一般",IF(OR($AJ1143=41,$AJ1143=47),"⑤短期","対象外"))))))</f>
        <v>②病院短期</v>
      </c>
    </row>
    <row r="1144" customFormat="false" ht="15" hidden="false" customHeight="false" outlineLevel="0" collapsed="false">
      <c r="A1144" s="0" t="n">
        <v>31</v>
      </c>
      <c r="AA1144" s="0" t="n">
        <v>21</v>
      </c>
      <c r="AB1144" s="0" t="s">
        <v>494</v>
      </c>
      <c r="AD1144" s="0" t="n">
        <v>12</v>
      </c>
      <c r="AE1144" s="0" t="s">
        <v>96</v>
      </c>
      <c r="AH1144" s="0" t="n">
        <v>20</v>
      </c>
      <c r="AJ1144" s="0" t="n">
        <v>41</v>
      </c>
      <c r="AP1144" s="0" t="n">
        <v>750000</v>
      </c>
      <c r="DB1144" s="0" t="str">
        <f aca="false">IF($A1144="","",IF($AE1144&amp;""&lt;&gt;設定!$C$4,"対象外",IF($AH1144=20,IF(OR($AJ1144=10,$AJ1144=11,$AJ1144=18),"①病院一般",IF($AJ1144=41,"②病院短期","対象外")),IF($AH1144=5,IF($AJ1144=30,"③特定消防","対象外"),IF(OR($AJ1144=10,$AJ1144=11,$AJ1144=74),"④一般",IF(OR($AJ1144=41,$AJ1144=47),"⑤短期","対象外"))))))</f>
        <v>②病院短期</v>
      </c>
    </row>
    <row r="1145" customFormat="false" ht="15" hidden="false" customHeight="false" outlineLevel="0" collapsed="false">
      <c r="A1145" s="0" t="n">
        <v>31</v>
      </c>
      <c r="AA1145" s="0" t="n">
        <v>21</v>
      </c>
      <c r="AB1145" s="0" t="s">
        <v>494</v>
      </c>
      <c r="AD1145" s="0" t="n">
        <v>12</v>
      </c>
      <c r="AE1145" s="0" t="s">
        <v>96</v>
      </c>
      <c r="AH1145" s="0" t="n">
        <v>20</v>
      </c>
      <c r="AJ1145" s="0" t="n">
        <v>41</v>
      </c>
      <c r="AP1145" s="0" t="n">
        <v>750000</v>
      </c>
      <c r="DB1145" s="0" t="str">
        <f aca="false">IF($A1145="","",IF($AE1145&amp;""&lt;&gt;設定!$C$4,"対象外",IF($AH1145=20,IF(OR($AJ1145=10,$AJ1145=11,$AJ1145=18),"①病院一般",IF($AJ1145=41,"②病院短期","対象外")),IF($AH1145=5,IF($AJ1145=30,"③特定消防","対象外"),IF(OR($AJ1145=10,$AJ1145=11,$AJ1145=74),"④一般",IF(OR($AJ1145=41,$AJ1145=47),"⑤短期","対象外"))))))</f>
        <v>②病院短期</v>
      </c>
    </row>
    <row r="1146" customFormat="false" ht="15" hidden="false" customHeight="false" outlineLevel="0" collapsed="false">
      <c r="A1146" s="0" t="n">
        <v>31</v>
      </c>
      <c r="AA1146" s="0" t="n">
        <v>21</v>
      </c>
      <c r="AB1146" s="0" t="s">
        <v>494</v>
      </c>
      <c r="AD1146" s="0" t="n">
        <v>12</v>
      </c>
      <c r="AE1146" s="0" t="s">
        <v>96</v>
      </c>
      <c r="AH1146" s="0" t="n">
        <v>20</v>
      </c>
      <c r="AJ1146" s="0" t="n">
        <v>41</v>
      </c>
      <c r="AP1146" s="0" t="n">
        <v>710000</v>
      </c>
      <c r="DB1146" s="0" t="str">
        <f aca="false">IF($A1146="","",IF($AE1146&amp;""&lt;&gt;設定!$C$4,"対象外",IF($AH1146=20,IF(OR($AJ1146=10,$AJ1146=11,$AJ1146=18),"①病院一般",IF($AJ1146=41,"②病院短期","対象外")),IF($AH1146=5,IF($AJ1146=30,"③特定消防","対象外"),IF(OR($AJ1146=10,$AJ1146=11,$AJ1146=74),"④一般",IF(OR($AJ1146=41,$AJ1146=47),"⑤短期","対象外"))))))</f>
        <v>②病院短期</v>
      </c>
    </row>
    <row r="1147" customFormat="false" ht="15" hidden="false" customHeight="false" outlineLevel="0" collapsed="false">
      <c r="A1147" s="0" t="n">
        <v>31</v>
      </c>
      <c r="AA1147" s="0" t="n">
        <v>21</v>
      </c>
      <c r="AB1147" s="0" t="s">
        <v>494</v>
      </c>
      <c r="AD1147" s="0" t="n">
        <v>12</v>
      </c>
      <c r="AE1147" s="0" t="s">
        <v>96</v>
      </c>
      <c r="AH1147" s="0" t="n">
        <v>20</v>
      </c>
      <c r="AJ1147" s="0" t="n">
        <v>41</v>
      </c>
      <c r="AP1147" s="0" t="n">
        <v>590000</v>
      </c>
      <c r="DB1147" s="0" t="str">
        <f aca="false">IF($A1147="","",IF($AE1147&amp;""&lt;&gt;設定!$C$4,"対象外",IF($AH1147=20,IF(OR($AJ1147=10,$AJ1147=11,$AJ1147=18),"①病院一般",IF($AJ1147=41,"②病院短期","対象外")),IF($AH1147=5,IF($AJ1147=30,"③特定消防","対象外"),IF(OR($AJ1147=10,$AJ1147=11,$AJ1147=74),"④一般",IF(OR($AJ1147=41,$AJ1147=47),"⑤短期","対象外"))))))</f>
        <v>②病院短期</v>
      </c>
    </row>
    <row r="1148" customFormat="false" ht="15" hidden="false" customHeight="false" outlineLevel="0" collapsed="false">
      <c r="A1148" s="0" t="n">
        <v>31</v>
      </c>
      <c r="AA1148" s="0" t="n">
        <v>21</v>
      </c>
      <c r="AB1148" s="0" t="s">
        <v>494</v>
      </c>
      <c r="AD1148" s="0" t="n">
        <v>12</v>
      </c>
      <c r="AE1148" s="0" t="s">
        <v>96</v>
      </c>
      <c r="AH1148" s="0" t="n">
        <v>20</v>
      </c>
      <c r="AJ1148" s="0" t="n">
        <v>41</v>
      </c>
      <c r="AP1148" s="0" t="n">
        <v>680000</v>
      </c>
      <c r="DB1148" s="0" t="str">
        <f aca="false">IF($A1148="","",IF($AE1148&amp;""&lt;&gt;設定!$C$4,"対象外",IF($AH1148=20,IF(OR($AJ1148=10,$AJ1148=11,$AJ1148=18),"①病院一般",IF($AJ1148=41,"②病院短期","対象外")),IF($AH1148=5,IF($AJ1148=30,"③特定消防","対象外"),IF(OR($AJ1148=10,$AJ1148=11,$AJ1148=74),"④一般",IF(OR($AJ1148=41,$AJ1148=47),"⑤短期","対象外"))))))</f>
        <v>②病院短期</v>
      </c>
    </row>
    <row r="1149" customFormat="false" ht="15" hidden="false" customHeight="false" outlineLevel="0" collapsed="false">
      <c r="A1149" s="0" t="n">
        <v>31</v>
      </c>
      <c r="AA1149" s="0" t="n">
        <v>21</v>
      </c>
      <c r="AB1149" s="0" t="s">
        <v>494</v>
      </c>
      <c r="AD1149" s="0" t="n">
        <v>12</v>
      </c>
      <c r="AE1149" s="0" t="s">
        <v>96</v>
      </c>
      <c r="AH1149" s="0" t="n">
        <v>20</v>
      </c>
      <c r="AJ1149" s="0" t="n">
        <v>41</v>
      </c>
      <c r="AP1149" s="0" t="n">
        <v>620000</v>
      </c>
      <c r="DB1149" s="0" t="str">
        <f aca="false">IF($A1149="","",IF($AE1149&amp;""&lt;&gt;設定!$C$4,"対象外",IF($AH1149=20,IF(OR($AJ1149=10,$AJ1149=11,$AJ1149=18),"①病院一般",IF($AJ1149=41,"②病院短期","対象外")),IF($AH1149=5,IF($AJ1149=30,"③特定消防","対象外"),IF(OR($AJ1149=10,$AJ1149=11,$AJ1149=74),"④一般",IF(OR($AJ1149=41,$AJ1149=47),"⑤短期","対象外"))))))</f>
        <v>②病院短期</v>
      </c>
    </row>
    <row r="1150" customFormat="false" ht="15" hidden="false" customHeight="false" outlineLevel="0" collapsed="false">
      <c r="A1150" s="0" t="n">
        <v>31</v>
      </c>
      <c r="AA1150" s="0" t="n">
        <v>21</v>
      </c>
      <c r="AB1150" s="0" t="s">
        <v>494</v>
      </c>
      <c r="AD1150" s="0" t="n">
        <v>12</v>
      </c>
      <c r="AE1150" s="0" t="s">
        <v>96</v>
      </c>
      <c r="AH1150" s="0" t="n">
        <v>20</v>
      </c>
      <c r="AJ1150" s="0" t="n">
        <v>41</v>
      </c>
      <c r="AP1150" s="0" t="n">
        <v>440000</v>
      </c>
      <c r="DB1150" s="0" t="str">
        <f aca="false">IF($A1150="","",IF($AE1150&amp;""&lt;&gt;設定!$C$4,"対象外",IF($AH1150=20,IF(OR($AJ1150=10,$AJ1150=11,$AJ1150=18),"①病院一般",IF($AJ1150=41,"②病院短期","対象外")),IF($AH1150=5,IF($AJ1150=30,"③特定消防","対象外"),IF(OR($AJ1150=10,$AJ1150=11,$AJ1150=74),"④一般",IF(OR($AJ1150=41,$AJ1150=47),"⑤短期","対象外"))))))</f>
        <v>②病院短期</v>
      </c>
    </row>
    <row r="1151" customFormat="false" ht="15" hidden="false" customHeight="false" outlineLevel="0" collapsed="false">
      <c r="A1151" s="0" t="n">
        <v>31</v>
      </c>
      <c r="AA1151" s="0" t="n">
        <v>21</v>
      </c>
      <c r="AB1151" s="0" t="s">
        <v>569</v>
      </c>
      <c r="AD1151" s="0" t="n">
        <v>11</v>
      </c>
      <c r="AE1151" s="0" t="s">
        <v>96</v>
      </c>
      <c r="AH1151" s="0" t="n">
        <v>20</v>
      </c>
      <c r="AJ1151" s="0" t="n">
        <v>41</v>
      </c>
      <c r="AP1151" s="0" t="n">
        <v>160000</v>
      </c>
      <c r="DB1151" s="0" t="str">
        <f aca="false">IF($A1151="","",IF($AE1151&amp;""&lt;&gt;設定!$C$4,"対象外",IF($AH1151=20,IF(OR($AJ1151=10,$AJ1151=11,$AJ1151=18),"①病院一般",IF($AJ1151=41,"②病院短期","対象外")),IF($AH1151=5,IF($AJ1151=30,"③特定消防","対象外"),IF(OR($AJ1151=10,$AJ1151=11,$AJ1151=74),"④一般",IF(OR($AJ1151=41,$AJ1151=47),"⑤短期","対象外"))))))</f>
        <v>②病院短期</v>
      </c>
    </row>
    <row r="1152" customFormat="false" ht="15" hidden="false" customHeight="false" outlineLevel="0" collapsed="false">
      <c r="A1152" s="0" t="n">
        <v>31</v>
      </c>
      <c r="AA1152" s="0" t="n">
        <v>21</v>
      </c>
      <c r="AB1152" s="0" t="s">
        <v>504</v>
      </c>
      <c r="AD1152" s="0" t="n">
        <v>12</v>
      </c>
      <c r="AE1152" s="0" t="s">
        <v>96</v>
      </c>
      <c r="AH1152" s="0" t="n">
        <v>20</v>
      </c>
      <c r="AJ1152" s="0" t="n">
        <v>41</v>
      </c>
      <c r="AP1152" s="0" t="n">
        <v>880000</v>
      </c>
      <c r="DB1152" s="0" t="str">
        <f aca="false">IF($A1152="","",IF($AE1152&amp;""&lt;&gt;設定!$C$4,"対象外",IF($AH1152=20,IF(OR($AJ1152=10,$AJ1152=11,$AJ1152=18),"①病院一般",IF($AJ1152=41,"②病院短期","対象外")),IF($AH1152=5,IF($AJ1152=30,"③特定消防","対象外"),IF(OR($AJ1152=10,$AJ1152=11,$AJ1152=74),"④一般",IF(OR($AJ1152=41,$AJ1152=47),"⑤短期","対象外"))))))</f>
        <v>②病院短期</v>
      </c>
    </row>
    <row r="1153" customFormat="false" ht="15" hidden="false" customHeight="false" outlineLevel="0" collapsed="false">
      <c r="A1153" s="0" t="n">
        <v>31</v>
      </c>
      <c r="AA1153" s="0" t="n">
        <v>21</v>
      </c>
      <c r="AB1153" s="0" t="s">
        <v>504</v>
      </c>
      <c r="AD1153" s="0" t="n">
        <v>12</v>
      </c>
      <c r="AE1153" s="0" t="s">
        <v>96</v>
      </c>
      <c r="AH1153" s="0" t="n">
        <v>20</v>
      </c>
      <c r="AJ1153" s="0" t="n">
        <v>41</v>
      </c>
      <c r="AP1153" s="0" t="n">
        <v>750000</v>
      </c>
      <c r="DB1153" s="0" t="str">
        <f aca="false">IF($A1153="","",IF($AE1153&amp;""&lt;&gt;設定!$C$4,"対象外",IF($AH1153=20,IF(OR($AJ1153=10,$AJ1153=11,$AJ1153=18),"①病院一般",IF($AJ1153=41,"②病院短期","対象外")),IF($AH1153=5,IF($AJ1153=30,"③特定消防","対象外"),IF(OR($AJ1153=10,$AJ1153=11,$AJ1153=74),"④一般",IF(OR($AJ1153=41,$AJ1153=47),"⑤短期","対象外"))))))</f>
        <v>②病院短期</v>
      </c>
    </row>
    <row r="1154" customFormat="false" ht="15" hidden="false" customHeight="false" outlineLevel="0" collapsed="false">
      <c r="A1154" s="0" t="n">
        <v>31</v>
      </c>
      <c r="AA1154" s="0" t="n">
        <v>21</v>
      </c>
      <c r="AB1154" s="0" t="s">
        <v>504</v>
      </c>
      <c r="AD1154" s="0" t="n">
        <v>12</v>
      </c>
      <c r="AE1154" s="0" t="s">
        <v>96</v>
      </c>
      <c r="AH1154" s="0" t="n">
        <v>20</v>
      </c>
      <c r="AJ1154" s="0" t="n">
        <v>41</v>
      </c>
      <c r="AP1154" s="0" t="n">
        <v>880000</v>
      </c>
      <c r="DB1154" s="0" t="str">
        <f aca="false">IF($A1154="","",IF($AE1154&amp;""&lt;&gt;設定!$C$4,"対象外",IF($AH1154=20,IF(OR($AJ1154=10,$AJ1154=11,$AJ1154=18),"①病院一般",IF($AJ1154=41,"②病院短期","対象外")),IF($AH1154=5,IF($AJ1154=30,"③特定消防","対象外"),IF(OR($AJ1154=10,$AJ1154=11,$AJ1154=74),"④一般",IF(OR($AJ1154=41,$AJ1154=47),"⑤短期","対象外"))))))</f>
        <v>②病院短期</v>
      </c>
    </row>
    <row r="1155" customFormat="false" ht="15" hidden="false" customHeight="false" outlineLevel="0" collapsed="false">
      <c r="A1155" s="0" t="n">
        <v>31</v>
      </c>
      <c r="AA1155" s="0" t="n">
        <v>21</v>
      </c>
      <c r="AB1155" s="0" t="s">
        <v>504</v>
      </c>
      <c r="AD1155" s="0" t="n">
        <v>12</v>
      </c>
      <c r="AE1155" s="0" t="s">
        <v>301</v>
      </c>
      <c r="AH1155" s="0" t="n">
        <v>20</v>
      </c>
      <c r="AJ1155" s="0" t="n">
        <v>41</v>
      </c>
      <c r="AP1155" s="0" t="n">
        <v>1030000</v>
      </c>
      <c r="DB1155" s="0" t="str">
        <f aca="false">IF($A1155="","",IF($AE1155&amp;""&lt;&gt;設定!$C$4,"対象外",IF($AH1155=20,IF(OR($AJ1155=10,$AJ1155=11,$AJ1155=18),"①病院一般",IF($AJ1155=41,"②病院短期","対象外")),IF($AH1155=5,IF($AJ1155=30,"③特定消防","対象外"),IF(OR($AJ1155=10,$AJ1155=11,$AJ1155=74),"④一般",IF(OR($AJ1155=41,$AJ1155=47),"⑤短期","対象外"))))))</f>
        <v>対象外</v>
      </c>
    </row>
    <row r="1156" customFormat="false" ht="15" hidden="false" customHeight="false" outlineLevel="0" collapsed="false">
      <c r="A1156" s="0" t="n">
        <v>31</v>
      </c>
      <c r="AA1156" s="0" t="n">
        <v>21</v>
      </c>
      <c r="AB1156" s="0" t="s">
        <v>504</v>
      </c>
      <c r="AD1156" s="0" t="n">
        <v>12</v>
      </c>
      <c r="AE1156" s="0" t="s">
        <v>96</v>
      </c>
      <c r="AH1156" s="0" t="n">
        <v>20</v>
      </c>
      <c r="AJ1156" s="0" t="n">
        <v>41</v>
      </c>
      <c r="AP1156" s="0" t="n">
        <v>880000</v>
      </c>
      <c r="DB1156" s="0" t="str">
        <f aca="false">IF($A1156="","",IF($AE1156&amp;""&lt;&gt;設定!$C$4,"対象外",IF($AH1156=20,IF(OR($AJ1156=10,$AJ1156=11,$AJ1156=18),"①病院一般",IF($AJ1156=41,"②病院短期","対象外")),IF($AH1156=5,IF($AJ1156=30,"③特定消防","対象外"),IF(OR($AJ1156=10,$AJ1156=11,$AJ1156=74),"④一般",IF(OR($AJ1156=41,$AJ1156=47),"⑤短期","対象外"))))))</f>
        <v>②病院短期</v>
      </c>
    </row>
    <row r="1157" customFormat="false" ht="15" hidden="false" customHeight="false" outlineLevel="0" collapsed="false">
      <c r="A1157" s="0" t="n">
        <v>31</v>
      </c>
      <c r="AA1157" s="0" t="n">
        <v>21</v>
      </c>
      <c r="AB1157" s="0" t="s">
        <v>504</v>
      </c>
      <c r="AD1157" s="0" t="n">
        <v>12</v>
      </c>
      <c r="AE1157" s="0" t="s">
        <v>96</v>
      </c>
      <c r="AH1157" s="0" t="n">
        <v>20</v>
      </c>
      <c r="AJ1157" s="0" t="n">
        <v>41</v>
      </c>
      <c r="AP1157" s="0" t="n">
        <v>650000</v>
      </c>
      <c r="DB1157" s="0" t="str">
        <f aca="false">IF($A1157="","",IF($AE1157&amp;""&lt;&gt;設定!$C$4,"対象外",IF($AH1157=20,IF(OR($AJ1157=10,$AJ1157=11,$AJ1157=18),"①病院一般",IF($AJ1157=41,"②病院短期","対象外")),IF($AH1157=5,IF($AJ1157=30,"③特定消防","対象外"),IF(OR($AJ1157=10,$AJ1157=11,$AJ1157=74),"④一般",IF(OR($AJ1157=41,$AJ1157=47),"⑤短期","対象外"))))))</f>
        <v>②病院短期</v>
      </c>
    </row>
    <row r="1158" customFormat="false" ht="15" hidden="false" customHeight="false" outlineLevel="0" collapsed="false">
      <c r="A1158" s="0" t="n">
        <v>31</v>
      </c>
      <c r="AA1158" s="0" t="n">
        <v>21</v>
      </c>
      <c r="AB1158" s="0" t="s">
        <v>504</v>
      </c>
      <c r="AD1158" s="0" t="n">
        <v>12</v>
      </c>
      <c r="AE1158" s="0" t="s">
        <v>96</v>
      </c>
      <c r="AH1158" s="0" t="n">
        <v>20</v>
      </c>
      <c r="AJ1158" s="0" t="n">
        <v>41</v>
      </c>
      <c r="AP1158" s="0" t="n">
        <v>830000</v>
      </c>
      <c r="DB1158" s="0" t="str">
        <f aca="false">IF($A1158="","",IF($AE1158&amp;""&lt;&gt;設定!$C$4,"対象外",IF($AH1158=20,IF(OR($AJ1158=10,$AJ1158=11,$AJ1158=18),"①病院一般",IF($AJ1158=41,"②病院短期","対象外")),IF($AH1158=5,IF($AJ1158=30,"③特定消防","対象外"),IF(OR($AJ1158=10,$AJ1158=11,$AJ1158=74),"④一般",IF(OR($AJ1158=41,$AJ1158=47),"⑤短期","対象外"))))))</f>
        <v>②病院短期</v>
      </c>
    </row>
    <row r="1159" customFormat="false" ht="15" hidden="false" customHeight="false" outlineLevel="0" collapsed="false">
      <c r="A1159" s="0" t="n">
        <v>31</v>
      </c>
      <c r="AA1159" s="0" t="n">
        <v>21</v>
      </c>
      <c r="AB1159" s="0" t="s">
        <v>504</v>
      </c>
      <c r="AD1159" s="0" t="n">
        <v>12</v>
      </c>
      <c r="AE1159" s="0" t="s">
        <v>96</v>
      </c>
      <c r="AH1159" s="0" t="n">
        <v>20</v>
      </c>
      <c r="AJ1159" s="0" t="n">
        <v>41</v>
      </c>
      <c r="AP1159" s="0" t="n">
        <v>880000</v>
      </c>
      <c r="DB1159" s="0" t="str">
        <f aca="false">IF($A1159="","",IF($AE1159&amp;""&lt;&gt;設定!$C$4,"対象外",IF($AH1159=20,IF(OR($AJ1159=10,$AJ1159=11,$AJ1159=18),"①病院一般",IF($AJ1159=41,"②病院短期","対象外")),IF($AH1159=5,IF($AJ1159=30,"③特定消防","対象外"),IF(OR($AJ1159=10,$AJ1159=11,$AJ1159=74),"④一般",IF(OR($AJ1159=41,$AJ1159=47),"⑤短期","対象外"))))))</f>
        <v>②病院短期</v>
      </c>
    </row>
    <row r="1160" customFormat="false" ht="15" hidden="false" customHeight="false" outlineLevel="0" collapsed="false">
      <c r="A1160" s="0" t="n">
        <v>31</v>
      </c>
      <c r="AA1160" s="0" t="n">
        <v>21</v>
      </c>
      <c r="AB1160" s="0" t="s">
        <v>526</v>
      </c>
      <c r="AD1160" s="0" t="n">
        <v>12</v>
      </c>
      <c r="AE1160" s="0" t="s">
        <v>96</v>
      </c>
      <c r="AH1160" s="0" t="n">
        <v>20</v>
      </c>
      <c r="AJ1160" s="0" t="n">
        <v>41</v>
      </c>
      <c r="AP1160" s="0" t="n">
        <v>650000</v>
      </c>
      <c r="DB1160" s="0" t="str">
        <f aca="false">IF($A1160="","",IF($AE1160&amp;""&lt;&gt;設定!$C$4,"対象外",IF($AH1160=20,IF(OR($AJ1160=10,$AJ1160=11,$AJ1160=18),"①病院一般",IF($AJ1160=41,"②病院短期","対象外")),IF($AH1160=5,IF($AJ1160=30,"③特定消防","対象外"),IF(OR($AJ1160=10,$AJ1160=11,$AJ1160=74),"④一般",IF(OR($AJ1160=41,$AJ1160=47),"⑤短期","対象外"))))))</f>
        <v>②病院短期</v>
      </c>
    </row>
    <row r="1161" customFormat="false" ht="15" hidden="false" customHeight="false" outlineLevel="0" collapsed="false">
      <c r="A1161" s="0" t="n">
        <v>31</v>
      </c>
      <c r="AA1161" s="0" t="n">
        <v>21</v>
      </c>
      <c r="AB1161" s="0" t="s">
        <v>526</v>
      </c>
      <c r="AD1161" s="0" t="n">
        <v>12</v>
      </c>
      <c r="AE1161" s="0" t="s">
        <v>96</v>
      </c>
      <c r="AH1161" s="0" t="n">
        <v>20</v>
      </c>
      <c r="AJ1161" s="0" t="n">
        <v>41</v>
      </c>
      <c r="AP1161" s="0" t="n">
        <v>650000</v>
      </c>
      <c r="DB1161" s="0" t="str">
        <f aca="false">IF($A1161="","",IF($AE1161&amp;""&lt;&gt;設定!$C$4,"対象外",IF($AH1161=20,IF(OR($AJ1161=10,$AJ1161=11,$AJ1161=18),"①病院一般",IF($AJ1161=41,"②病院短期","対象外")),IF($AH1161=5,IF($AJ1161=30,"③特定消防","対象外"),IF(OR($AJ1161=10,$AJ1161=11,$AJ1161=74),"④一般",IF(OR($AJ1161=41,$AJ1161=47),"⑤短期","対象外"))))))</f>
        <v>②病院短期</v>
      </c>
    </row>
    <row r="1162" customFormat="false" ht="15" hidden="false" customHeight="false" outlineLevel="0" collapsed="false">
      <c r="A1162" s="0" t="n">
        <v>31</v>
      </c>
      <c r="AA1162" s="0" t="n">
        <v>21</v>
      </c>
      <c r="AB1162" s="0" t="s">
        <v>494</v>
      </c>
      <c r="AD1162" s="0" t="n">
        <v>12</v>
      </c>
      <c r="AE1162" s="0" t="s">
        <v>96</v>
      </c>
      <c r="AH1162" s="0" t="n">
        <v>20</v>
      </c>
      <c r="AJ1162" s="0" t="n">
        <v>41</v>
      </c>
      <c r="AP1162" s="0" t="n">
        <v>790000</v>
      </c>
      <c r="DB1162" s="0" t="str">
        <f aca="false">IF($A1162="","",IF($AE1162&amp;""&lt;&gt;設定!$C$4,"対象外",IF($AH1162=20,IF(OR($AJ1162=10,$AJ1162=11,$AJ1162=18),"①病院一般",IF($AJ1162=41,"②病院短期","対象外")),IF($AH1162=5,IF($AJ1162=30,"③特定消防","対象外"),IF(OR($AJ1162=10,$AJ1162=11,$AJ1162=74),"④一般",IF(OR($AJ1162=41,$AJ1162=47),"⑤短期","対象外"))))))</f>
        <v>②病院短期</v>
      </c>
    </row>
    <row r="1163" customFormat="false" ht="15" hidden="false" customHeight="false" outlineLevel="0" collapsed="false">
      <c r="A1163" s="0" t="n">
        <v>31</v>
      </c>
      <c r="AA1163" s="0" t="n">
        <v>21</v>
      </c>
      <c r="AB1163" s="0" t="s">
        <v>494</v>
      </c>
      <c r="AD1163" s="0" t="n">
        <v>12</v>
      </c>
      <c r="AE1163" s="0" t="s">
        <v>96</v>
      </c>
      <c r="AH1163" s="0" t="n">
        <v>20</v>
      </c>
      <c r="AJ1163" s="0" t="n">
        <v>41</v>
      </c>
      <c r="AP1163" s="0" t="n">
        <v>280000</v>
      </c>
      <c r="DB1163" s="0" t="str">
        <f aca="false">IF($A1163="","",IF($AE1163&amp;""&lt;&gt;設定!$C$4,"対象外",IF($AH1163=20,IF(OR($AJ1163=10,$AJ1163=11,$AJ1163=18),"①病院一般",IF($AJ1163=41,"②病院短期","対象外")),IF($AH1163=5,IF($AJ1163=30,"③特定消防","対象外"),IF(OR($AJ1163=10,$AJ1163=11,$AJ1163=74),"④一般",IF(OR($AJ1163=41,$AJ1163=47),"⑤短期","対象外"))))))</f>
        <v>②病院短期</v>
      </c>
    </row>
    <row r="1164" customFormat="false" ht="15" hidden="false" customHeight="false" outlineLevel="0" collapsed="false">
      <c r="A1164" s="0" t="n">
        <v>31</v>
      </c>
      <c r="AA1164" s="0" t="n">
        <v>22</v>
      </c>
      <c r="AB1164" s="0" t="s">
        <v>494</v>
      </c>
      <c r="AD1164" s="0" t="n">
        <v>12</v>
      </c>
      <c r="AE1164" s="0" t="s">
        <v>96</v>
      </c>
      <c r="AH1164" s="0" t="n">
        <v>20</v>
      </c>
      <c r="AJ1164" s="0" t="n">
        <v>41</v>
      </c>
      <c r="AP1164" s="0" t="n">
        <v>300000</v>
      </c>
      <c r="DB1164" s="0" t="str">
        <f aca="false">IF($A1164="","",IF($AE1164&amp;""&lt;&gt;設定!$C$4,"対象外",IF($AH1164=20,IF(OR($AJ1164=10,$AJ1164=11,$AJ1164=18),"①病院一般",IF($AJ1164=41,"②病院短期","対象外")),IF($AH1164=5,IF($AJ1164=30,"③特定消防","対象外"),IF(OR($AJ1164=10,$AJ1164=11,$AJ1164=74),"④一般",IF(OR($AJ1164=41,$AJ1164=47),"⑤短期","対象外"))))))</f>
        <v>②病院短期</v>
      </c>
    </row>
    <row r="1165" customFormat="false" ht="15" hidden="false" customHeight="false" outlineLevel="0" collapsed="false">
      <c r="A1165" s="0" t="n">
        <v>31</v>
      </c>
      <c r="AA1165" s="0" t="n">
        <v>22</v>
      </c>
      <c r="AB1165" s="0" t="s">
        <v>494</v>
      </c>
      <c r="AD1165" s="0" t="n">
        <v>12</v>
      </c>
      <c r="AE1165" s="0" t="s">
        <v>96</v>
      </c>
      <c r="AH1165" s="0" t="n">
        <v>20</v>
      </c>
      <c r="AJ1165" s="0" t="n">
        <v>41</v>
      </c>
      <c r="AP1165" s="0" t="n">
        <v>280000</v>
      </c>
      <c r="DB1165" s="0" t="str">
        <f aca="false">IF($A1165="","",IF($AE1165&amp;""&lt;&gt;設定!$C$4,"対象外",IF($AH1165=20,IF(OR($AJ1165=10,$AJ1165=11,$AJ1165=18),"①病院一般",IF($AJ1165=41,"②病院短期","対象外")),IF($AH1165=5,IF($AJ1165=30,"③特定消防","対象外"),IF(OR($AJ1165=10,$AJ1165=11,$AJ1165=74),"④一般",IF(OR($AJ1165=41,$AJ1165=47),"⑤短期","対象外"))))))</f>
        <v>②病院短期</v>
      </c>
    </row>
    <row r="1166" customFormat="false" ht="15" hidden="false" customHeight="false" outlineLevel="0" collapsed="false">
      <c r="A1166" s="0" t="n">
        <v>31</v>
      </c>
      <c r="AA1166" s="0" t="n">
        <v>21</v>
      </c>
      <c r="AB1166" s="0" t="s">
        <v>494</v>
      </c>
      <c r="AD1166" s="0" t="n">
        <v>12</v>
      </c>
      <c r="AE1166" s="0" t="s">
        <v>96</v>
      </c>
      <c r="AH1166" s="0" t="n">
        <v>20</v>
      </c>
      <c r="AJ1166" s="0" t="n">
        <v>41</v>
      </c>
      <c r="AP1166" s="0" t="n">
        <v>190000</v>
      </c>
      <c r="DB1166" s="0" t="str">
        <f aca="false">IF($A1166="","",IF($AE1166&amp;""&lt;&gt;設定!$C$4,"対象外",IF($AH1166=20,IF(OR($AJ1166=10,$AJ1166=11,$AJ1166=18),"①病院一般",IF($AJ1166=41,"②病院短期","対象外")),IF($AH1166=5,IF($AJ1166=30,"③特定消防","対象外"),IF(OR($AJ1166=10,$AJ1166=11,$AJ1166=74),"④一般",IF(OR($AJ1166=41,$AJ1166=47),"⑤短期","対象外"))))))</f>
        <v>②病院短期</v>
      </c>
    </row>
    <row r="1167" customFormat="false" ht="15" hidden="false" customHeight="false" outlineLevel="0" collapsed="false">
      <c r="A1167" s="0" t="n">
        <v>31</v>
      </c>
      <c r="AA1167" s="0" t="n">
        <v>21</v>
      </c>
      <c r="AB1167" s="0" t="s">
        <v>503</v>
      </c>
      <c r="AD1167" s="0" t="n">
        <v>12</v>
      </c>
      <c r="AE1167" s="0" t="s">
        <v>96</v>
      </c>
      <c r="AH1167" s="0" t="n">
        <v>20</v>
      </c>
      <c r="AJ1167" s="0" t="n">
        <v>41</v>
      </c>
      <c r="AP1167" s="0" t="n">
        <v>220000</v>
      </c>
      <c r="DB1167" s="0" t="str">
        <f aca="false">IF($A1167="","",IF($AE1167&amp;""&lt;&gt;設定!$C$4,"対象外",IF($AH1167=20,IF(OR($AJ1167=10,$AJ1167=11,$AJ1167=18),"①病院一般",IF($AJ1167=41,"②病院短期","対象外")),IF($AH1167=5,IF($AJ1167=30,"③特定消防","対象外"),IF(OR($AJ1167=10,$AJ1167=11,$AJ1167=74),"④一般",IF(OR($AJ1167=41,$AJ1167=47),"⑤短期","対象外"))))))</f>
        <v>②病院短期</v>
      </c>
    </row>
    <row r="1168" customFormat="false" ht="15" hidden="false" customHeight="false" outlineLevel="0" collapsed="false">
      <c r="A1168" s="0" t="n">
        <v>31</v>
      </c>
      <c r="AA1168" s="0" t="n">
        <v>21</v>
      </c>
      <c r="AB1168" s="0" t="s">
        <v>494</v>
      </c>
      <c r="AD1168" s="0" t="n">
        <v>12</v>
      </c>
      <c r="AE1168" s="0" t="s">
        <v>299</v>
      </c>
      <c r="AH1168" s="0" t="n">
        <v>20</v>
      </c>
      <c r="AJ1168" s="0" t="n">
        <v>41</v>
      </c>
      <c r="AP1168" s="0" t="n">
        <v>220000</v>
      </c>
      <c r="DB1168" s="0" t="str">
        <f aca="false">IF($A1168="","",IF($AE1168&amp;""&lt;&gt;設定!$C$4,"対象外",IF($AH1168=20,IF(OR($AJ1168=10,$AJ1168=11,$AJ1168=18),"①病院一般",IF($AJ1168=41,"②病院短期","対象外")),IF($AH1168=5,IF($AJ1168=30,"③特定消防","対象外"),IF(OR($AJ1168=10,$AJ1168=11,$AJ1168=74),"④一般",IF(OR($AJ1168=41,$AJ1168=47),"⑤短期","対象外"))))))</f>
        <v>対象外</v>
      </c>
    </row>
    <row r="1169" customFormat="false" ht="15" hidden="false" customHeight="false" outlineLevel="0" collapsed="false">
      <c r="A1169" s="0" t="n">
        <v>31</v>
      </c>
      <c r="AA1169" s="0" t="n">
        <v>21</v>
      </c>
      <c r="AB1169" s="0" t="s">
        <v>494</v>
      </c>
      <c r="AD1169" s="0" t="n">
        <v>12</v>
      </c>
      <c r="AE1169" s="0" t="s">
        <v>365</v>
      </c>
      <c r="AH1169" s="0" t="n">
        <v>20</v>
      </c>
      <c r="AJ1169" s="0" t="n">
        <v>41</v>
      </c>
      <c r="AP1169" s="0" t="n">
        <v>180000</v>
      </c>
      <c r="DB1169" s="0" t="str">
        <f aca="false">IF($A1169="","",IF($AE1169&amp;""&lt;&gt;設定!$C$4,"対象外",IF($AH1169=20,IF(OR($AJ1169=10,$AJ1169=11,$AJ1169=18),"①病院一般",IF($AJ1169=41,"②病院短期","対象外")),IF($AH1169=5,IF($AJ1169=30,"③特定消防","対象外"),IF(OR($AJ1169=10,$AJ1169=11,$AJ1169=74),"④一般",IF(OR($AJ1169=41,$AJ1169=47),"⑤短期","対象外"))))))</f>
        <v>対象外</v>
      </c>
    </row>
    <row r="1170" customFormat="false" ht="15" hidden="false" customHeight="false" outlineLevel="0" collapsed="false">
      <c r="A1170" s="0" t="n">
        <v>31</v>
      </c>
      <c r="AA1170" s="0" t="n">
        <v>21</v>
      </c>
      <c r="AB1170" s="0" t="s">
        <v>570</v>
      </c>
      <c r="AD1170" s="0" t="n">
        <v>12</v>
      </c>
      <c r="AE1170" s="0" t="s">
        <v>96</v>
      </c>
      <c r="AH1170" s="0" t="n">
        <v>20</v>
      </c>
      <c r="AJ1170" s="0" t="n">
        <v>41</v>
      </c>
      <c r="AP1170" s="0" t="n">
        <v>180000</v>
      </c>
      <c r="DB1170" s="0" t="str">
        <f aca="false">IF($A1170="","",IF($AE1170&amp;""&lt;&gt;設定!$C$4,"対象外",IF($AH1170=20,IF(OR($AJ1170=10,$AJ1170=11,$AJ1170=18),"①病院一般",IF($AJ1170=41,"②病院短期","対象外")),IF($AH1170=5,IF($AJ1170=30,"③特定消防","対象外"),IF(OR($AJ1170=10,$AJ1170=11,$AJ1170=74),"④一般",IF(OR($AJ1170=41,$AJ1170=47),"⑤短期","対象外"))))))</f>
        <v>②病院短期</v>
      </c>
    </row>
    <row r="1171" customFormat="false" ht="15" hidden="false" customHeight="false" outlineLevel="0" collapsed="false">
      <c r="A1171" s="0" t="n">
        <v>31</v>
      </c>
      <c r="AA1171" s="0" t="n">
        <v>21</v>
      </c>
      <c r="AB1171" s="0" t="s">
        <v>503</v>
      </c>
      <c r="AD1171" s="0" t="n">
        <v>12</v>
      </c>
      <c r="AE1171" s="0" t="s">
        <v>96</v>
      </c>
      <c r="AH1171" s="0" t="n">
        <v>20</v>
      </c>
      <c r="AJ1171" s="0" t="n">
        <v>41</v>
      </c>
      <c r="AP1171" s="0" t="n">
        <v>280000</v>
      </c>
      <c r="DB1171" s="0" t="str">
        <f aca="false">IF($A1171="","",IF($AE1171&amp;""&lt;&gt;設定!$C$4,"対象外",IF($AH1171=20,IF(OR($AJ1171=10,$AJ1171=11,$AJ1171=18),"①病院一般",IF($AJ1171=41,"②病院短期","対象外")),IF($AH1171=5,IF($AJ1171=30,"③特定消防","対象外"),IF(OR($AJ1171=10,$AJ1171=11,$AJ1171=74),"④一般",IF(OR($AJ1171=41,$AJ1171=47),"⑤短期","対象外"))))))</f>
        <v>②病院短期</v>
      </c>
    </row>
    <row r="1172" customFormat="false" ht="15" hidden="false" customHeight="false" outlineLevel="0" collapsed="false">
      <c r="A1172" s="0" t="n">
        <v>31</v>
      </c>
      <c r="AA1172" s="0" t="n">
        <v>21</v>
      </c>
      <c r="AB1172" s="0" t="s">
        <v>528</v>
      </c>
      <c r="AD1172" s="0" t="n">
        <v>12</v>
      </c>
      <c r="AE1172" s="0" t="s">
        <v>96</v>
      </c>
      <c r="AH1172" s="0" t="n">
        <v>20</v>
      </c>
      <c r="AJ1172" s="0" t="n">
        <v>41</v>
      </c>
      <c r="AP1172" s="0" t="n">
        <v>220000</v>
      </c>
      <c r="DB1172" s="0" t="str">
        <f aca="false">IF($A1172="","",IF($AE1172&amp;""&lt;&gt;設定!$C$4,"対象外",IF($AH1172=20,IF(OR($AJ1172=10,$AJ1172=11,$AJ1172=18),"①病院一般",IF($AJ1172=41,"②病院短期","対象外")),IF($AH1172=5,IF($AJ1172=30,"③特定消防","対象外"),IF(OR($AJ1172=10,$AJ1172=11,$AJ1172=74),"④一般",IF(OR($AJ1172=41,$AJ1172=47),"⑤短期","対象外"))))))</f>
        <v>②病院短期</v>
      </c>
    </row>
    <row r="1173" customFormat="false" ht="15" hidden="false" customHeight="false" outlineLevel="0" collapsed="false">
      <c r="A1173" s="0" t="n">
        <v>31</v>
      </c>
      <c r="AA1173" s="0" t="n">
        <v>21</v>
      </c>
      <c r="AB1173" s="0" t="s">
        <v>528</v>
      </c>
      <c r="AD1173" s="0" t="n">
        <v>12</v>
      </c>
      <c r="AE1173" s="0" t="s">
        <v>301</v>
      </c>
      <c r="AH1173" s="0" t="n">
        <v>20</v>
      </c>
      <c r="AJ1173" s="0" t="n">
        <v>41</v>
      </c>
      <c r="AP1173" s="0" t="n">
        <v>190000</v>
      </c>
      <c r="DB1173" s="0" t="str">
        <f aca="false">IF($A1173="","",IF($AE1173&amp;""&lt;&gt;設定!$C$4,"対象外",IF($AH1173=20,IF(OR($AJ1173=10,$AJ1173=11,$AJ1173=18),"①病院一般",IF($AJ1173=41,"②病院短期","対象外")),IF($AH1173=5,IF($AJ1173=30,"③特定消防","対象外"),IF(OR($AJ1173=10,$AJ1173=11,$AJ1173=74),"④一般",IF(OR($AJ1173=41,$AJ1173=47),"⑤短期","対象外"))))))</f>
        <v>対象外</v>
      </c>
    </row>
    <row r="1174" customFormat="false" ht="15" hidden="false" customHeight="false" outlineLevel="0" collapsed="false">
      <c r="A1174" s="0" t="n">
        <v>31</v>
      </c>
      <c r="AA1174" s="0" t="n">
        <v>21</v>
      </c>
      <c r="AB1174" s="0" t="s">
        <v>503</v>
      </c>
      <c r="AD1174" s="0" t="n">
        <v>12</v>
      </c>
      <c r="AE1174" s="0" t="s">
        <v>96</v>
      </c>
      <c r="AH1174" s="0" t="n">
        <v>20</v>
      </c>
      <c r="AJ1174" s="0" t="n">
        <v>41</v>
      </c>
      <c r="AP1174" s="0" t="n">
        <v>160000</v>
      </c>
      <c r="DB1174" s="0" t="str">
        <f aca="false">IF($A1174="","",IF($AE1174&amp;""&lt;&gt;設定!$C$4,"対象外",IF($AH1174=20,IF(OR($AJ1174=10,$AJ1174=11,$AJ1174=18),"①病院一般",IF($AJ1174=41,"②病院短期","対象外")),IF($AH1174=5,IF($AJ1174=30,"③特定消防","対象外"),IF(OR($AJ1174=10,$AJ1174=11,$AJ1174=74),"④一般",IF(OR($AJ1174=41,$AJ1174=47),"⑤短期","対象外"))))))</f>
        <v>②病院短期</v>
      </c>
    </row>
    <row r="1175" customFormat="false" ht="15" hidden="false" customHeight="false" outlineLevel="0" collapsed="false">
      <c r="A1175" s="0" t="n">
        <v>31</v>
      </c>
      <c r="AA1175" s="0" t="n">
        <v>21</v>
      </c>
      <c r="AB1175" s="0" t="s">
        <v>515</v>
      </c>
      <c r="AD1175" s="0" t="n">
        <v>12</v>
      </c>
      <c r="AE1175" s="0" t="s">
        <v>96</v>
      </c>
      <c r="AH1175" s="0" t="n">
        <v>20</v>
      </c>
      <c r="AJ1175" s="0" t="n">
        <v>41</v>
      </c>
      <c r="AP1175" s="0" t="n">
        <v>220000</v>
      </c>
      <c r="DB1175" s="0" t="str">
        <f aca="false">IF($A1175="","",IF($AE1175&amp;""&lt;&gt;設定!$C$4,"対象外",IF($AH1175=20,IF(OR($AJ1175=10,$AJ1175=11,$AJ1175=18),"①病院一般",IF($AJ1175=41,"②病院短期","対象外")),IF($AH1175=5,IF($AJ1175=30,"③特定消防","対象外"),IF(OR($AJ1175=10,$AJ1175=11,$AJ1175=74),"④一般",IF(OR($AJ1175=41,$AJ1175=47),"⑤短期","対象外"))))))</f>
        <v>②病院短期</v>
      </c>
    </row>
    <row r="1176" customFormat="false" ht="15" hidden="false" customHeight="false" outlineLevel="0" collapsed="false">
      <c r="A1176" s="0" t="n">
        <v>31</v>
      </c>
      <c r="AA1176" s="0" t="n">
        <v>21</v>
      </c>
      <c r="AB1176" s="0" t="s">
        <v>568</v>
      </c>
      <c r="AD1176" s="0" t="n">
        <v>12</v>
      </c>
      <c r="AE1176" s="0" t="s">
        <v>299</v>
      </c>
      <c r="AH1176" s="0" t="n">
        <v>20</v>
      </c>
      <c r="AJ1176" s="0" t="n">
        <v>41</v>
      </c>
      <c r="AP1176" s="0" t="n">
        <v>200000</v>
      </c>
      <c r="DB1176" s="0" t="str">
        <f aca="false">IF($A1176="","",IF($AE1176&amp;""&lt;&gt;設定!$C$4,"対象外",IF($AH1176=20,IF(OR($AJ1176=10,$AJ1176=11,$AJ1176=18),"①病院一般",IF($AJ1176=41,"②病院短期","対象外")),IF($AH1176=5,IF($AJ1176=30,"③特定消防","対象外"),IF(OR($AJ1176=10,$AJ1176=11,$AJ1176=74),"④一般",IF(OR($AJ1176=41,$AJ1176=47),"⑤短期","対象外"))))))</f>
        <v>対象外</v>
      </c>
    </row>
    <row r="1177" customFormat="false" ht="15" hidden="false" customHeight="false" outlineLevel="0" collapsed="false">
      <c r="A1177" s="0" t="n">
        <v>31</v>
      </c>
      <c r="AA1177" s="0" t="n">
        <v>21</v>
      </c>
      <c r="AB1177" s="0" t="s">
        <v>505</v>
      </c>
      <c r="AD1177" s="0" t="n">
        <v>12</v>
      </c>
      <c r="AE1177" s="0" t="s">
        <v>96</v>
      </c>
      <c r="AH1177" s="0" t="n">
        <v>20</v>
      </c>
      <c r="AJ1177" s="0" t="n">
        <v>41</v>
      </c>
      <c r="AP1177" s="0" t="n">
        <v>134000</v>
      </c>
      <c r="DB1177" s="0" t="str">
        <f aca="false">IF($A1177="","",IF($AE1177&amp;""&lt;&gt;設定!$C$4,"対象外",IF($AH1177=20,IF(OR($AJ1177=10,$AJ1177=11,$AJ1177=18),"①病院一般",IF($AJ1177=41,"②病院短期","対象外")),IF($AH1177=5,IF($AJ1177=30,"③特定消防","対象外"),IF(OR($AJ1177=10,$AJ1177=11,$AJ1177=74),"④一般",IF(OR($AJ1177=41,$AJ1177=47),"⑤短期","対象外"))))))</f>
        <v>②病院短期</v>
      </c>
    </row>
    <row r="1178" customFormat="false" ht="15" hidden="false" customHeight="false" outlineLevel="0" collapsed="false">
      <c r="A1178" s="0" t="n">
        <v>31</v>
      </c>
      <c r="AA1178" s="0" t="n">
        <v>21</v>
      </c>
      <c r="AB1178" s="0" t="s">
        <v>571</v>
      </c>
      <c r="AD1178" s="0" t="n">
        <v>12</v>
      </c>
      <c r="AE1178" s="0" t="s">
        <v>96</v>
      </c>
      <c r="AH1178" s="0" t="n">
        <v>20</v>
      </c>
      <c r="AJ1178" s="0" t="n">
        <v>41</v>
      </c>
      <c r="AP1178" s="0" t="n">
        <v>220000</v>
      </c>
      <c r="DB1178" s="0" t="str">
        <f aca="false">IF($A1178="","",IF($AE1178&amp;""&lt;&gt;設定!$C$4,"対象外",IF($AH1178=20,IF(OR($AJ1178=10,$AJ1178=11,$AJ1178=18),"①病院一般",IF($AJ1178=41,"②病院短期","対象外")),IF($AH1178=5,IF($AJ1178=30,"③特定消防","対象外"),IF(OR($AJ1178=10,$AJ1178=11,$AJ1178=74),"④一般",IF(OR($AJ1178=41,$AJ1178=47),"⑤短期","対象外"))))))</f>
        <v>②病院短期</v>
      </c>
    </row>
    <row r="1179" customFormat="false" ht="15" hidden="false" customHeight="false" outlineLevel="0" collapsed="false">
      <c r="A1179" s="0" t="n">
        <v>31</v>
      </c>
      <c r="AA1179" s="0" t="n">
        <v>21</v>
      </c>
      <c r="AB1179" s="0" t="s">
        <v>505</v>
      </c>
      <c r="AD1179" s="0" t="n">
        <v>12</v>
      </c>
      <c r="AE1179" s="0" t="s">
        <v>96</v>
      </c>
      <c r="AH1179" s="0" t="n">
        <v>20</v>
      </c>
      <c r="AJ1179" s="0" t="n">
        <v>41</v>
      </c>
      <c r="AP1179" s="0" t="n">
        <v>170000</v>
      </c>
      <c r="DB1179" s="0" t="str">
        <f aca="false">IF($A1179="","",IF($AE1179&amp;""&lt;&gt;設定!$C$4,"対象外",IF($AH1179=20,IF(OR($AJ1179=10,$AJ1179=11,$AJ1179=18),"①病院一般",IF($AJ1179=41,"②病院短期","対象外")),IF($AH1179=5,IF($AJ1179=30,"③特定消防","対象外"),IF(OR($AJ1179=10,$AJ1179=11,$AJ1179=74),"④一般",IF(OR($AJ1179=41,$AJ1179=47),"⑤短期","対象外"))))))</f>
        <v>②病院短期</v>
      </c>
    </row>
    <row r="1180" customFormat="false" ht="15" hidden="false" customHeight="false" outlineLevel="0" collapsed="false">
      <c r="A1180" s="0" t="n">
        <v>31</v>
      </c>
      <c r="AA1180" s="0" t="n">
        <v>21</v>
      </c>
      <c r="AB1180" s="0" t="s">
        <v>572</v>
      </c>
      <c r="AD1180" s="0" t="n">
        <v>12</v>
      </c>
      <c r="AE1180" s="0" t="s">
        <v>299</v>
      </c>
      <c r="AH1180" s="0" t="n">
        <v>20</v>
      </c>
      <c r="AJ1180" s="0" t="n">
        <v>41</v>
      </c>
      <c r="AP1180" s="0" t="n">
        <v>240000</v>
      </c>
      <c r="DB1180" s="0" t="str">
        <f aca="false">IF($A1180="","",IF($AE1180&amp;""&lt;&gt;設定!$C$4,"対象外",IF($AH1180=20,IF(OR($AJ1180=10,$AJ1180=11,$AJ1180=18),"①病院一般",IF($AJ1180=41,"②病院短期","対象外")),IF($AH1180=5,IF($AJ1180=30,"③特定消防","対象外"),IF(OR($AJ1180=10,$AJ1180=11,$AJ1180=74),"④一般",IF(OR($AJ1180=41,$AJ1180=47),"⑤短期","対象外"))))))</f>
        <v>対象外</v>
      </c>
    </row>
    <row r="1181" customFormat="false" ht="15" hidden="false" customHeight="false" outlineLevel="0" collapsed="false">
      <c r="A1181" s="0" t="n">
        <v>31</v>
      </c>
      <c r="AA1181" s="0" t="n">
        <v>21</v>
      </c>
      <c r="AB1181" s="0" t="s">
        <v>505</v>
      </c>
      <c r="AD1181" s="0" t="n">
        <v>12</v>
      </c>
      <c r="AE1181" s="0" t="s">
        <v>299</v>
      </c>
      <c r="AH1181" s="0" t="n">
        <v>20</v>
      </c>
      <c r="AJ1181" s="0" t="n">
        <v>41</v>
      </c>
      <c r="AP1181" s="0" t="n">
        <v>240000</v>
      </c>
      <c r="DB1181" s="0" t="str">
        <f aca="false">IF($A1181="","",IF($AE1181&amp;""&lt;&gt;設定!$C$4,"対象外",IF($AH1181=20,IF(OR($AJ1181=10,$AJ1181=11,$AJ1181=18),"①病院一般",IF($AJ1181=41,"②病院短期","対象外")),IF($AH1181=5,IF($AJ1181=30,"③特定消防","対象外"),IF(OR($AJ1181=10,$AJ1181=11,$AJ1181=74),"④一般",IF(OR($AJ1181=41,$AJ1181=47),"⑤短期","対象外"))))))</f>
        <v>対象外</v>
      </c>
    </row>
    <row r="1182" customFormat="false" ht="15" hidden="false" customHeight="false" outlineLevel="0" collapsed="false">
      <c r="A1182" s="0" t="n">
        <v>31</v>
      </c>
      <c r="AA1182" s="0" t="n">
        <v>21</v>
      </c>
      <c r="AB1182" s="0" t="s">
        <v>569</v>
      </c>
      <c r="AD1182" s="0" t="n">
        <v>12</v>
      </c>
      <c r="AE1182" s="0" t="s">
        <v>299</v>
      </c>
      <c r="AH1182" s="0" t="n">
        <v>20</v>
      </c>
      <c r="AJ1182" s="0" t="n">
        <v>41</v>
      </c>
      <c r="AP1182" s="0" t="n">
        <v>240000</v>
      </c>
      <c r="DB1182" s="0" t="str">
        <f aca="false">IF($A1182="","",IF($AE1182&amp;""&lt;&gt;設定!$C$4,"対象外",IF($AH1182=20,IF(OR($AJ1182=10,$AJ1182=11,$AJ1182=18),"①病院一般",IF($AJ1182=41,"②病院短期","対象外")),IF($AH1182=5,IF($AJ1182=30,"③特定消防","対象外"),IF(OR($AJ1182=10,$AJ1182=11,$AJ1182=74),"④一般",IF(OR($AJ1182=41,$AJ1182=47),"⑤短期","対象外"))))))</f>
        <v>対象外</v>
      </c>
    </row>
    <row r="1183" customFormat="false" ht="15" hidden="false" customHeight="false" outlineLevel="0" collapsed="false">
      <c r="A1183" s="0" t="n">
        <v>31</v>
      </c>
      <c r="AA1183" s="0" t="n">
        <v>21</v>
      </c>
      <c r="AB1183" s="0" t="s">
        <v>571</v>
      </c>
      <c r="AD1183" s="0" t="n">
        <v>12</v>
      </c>
      <c r="AE1183" s="0" t="s">
        <v>96</v>
      </c>
      <c r="AH1183" s="0" t="n">
        <v>20</v>
      </c>
      <c r="AJ1183" s="0" t="n">
        <v>41</v>
      </c>
      <c r="AP1183" s="0" t="n">
        <v>170000</v>
      </c>
      <c r="DB1183" s="0" t="str">
        <f aca="false">IF($A1183="","",IF($AE1183&amp;""&lt;&gt;設定!$C$4,"対象外",IF($AH1183=20,IF(OR($AJ1183=10,$AJ1183=11,$AJ1183=18),"①病院一般",IF($AJ1183=41,"②病院短期","対象外")),IF($AH1183=5,IF($AJ1183=30,"③特定消防","対象外"),IF(OR($AJ1183=10,$AJ1183=11,$AJ1183=74),"④一般",IF(OR($AJ1183=41,$AJ1183=47),"⑤短期","対象外"))))))</f>
        <v>②病院短期</v>
      </c>
    </row>
    <row r="1184" customFormat="false" ht="15" hidden="false" customHeight="false" outlineLevel="0" collapsed="false">
      <c r="A1184" s="0" t="n">
        <v>31</v>
      </c>
      <c r="AA1184" s="0" t="n">
        <v>21</v>
      </c>
      <c r="AB1184" s="0" t="s">
        <v>569</v>
      </c>
      <c r="AD1184" s="0" t="n">
        <v>12</v>
      </c>
      <c r="AE1184" s="0" t="s">
        <v>96</v>
      </c>
      <c r="AH1184" s="0" t="n">
        <v>20</v>
      </c>
      <c r="AJ1184" s="0" t="n">
        <v>41</v>
      </c>
      <c r="AP1184" s="0" t="n">
        <v>160000</v>
      </c>
      <c r="DB1184" s="0" t="str">
        <f aca="false">IF($A1184="","",IF($AE1184&amp;""&lt;&gt;設定!$C$4,"対象外",IF($AH1184=20,IF(OR($AJ1184=10,$AJ1184=11,$AJ1184=18),"①病院一般",IF($AJ1184=41,"②病院短期","対象外")),IF($AH1184=5,IF($AJ1184=30,"③特定消防","対象外"),IF(OR($AJ1184=10,$AJ1184=11,$AJ1184=74),"④一般",IF(OR($AJ1184=41,$AJ1184=47),"⑤短期","対象外"))))))</f>
        <v>②病院短期</v>
      </c>
    </row>
    <row r="1185" customFormat="false" ht="15" hidden="false" customHeight="false" outlineLevel="0" collapsed="false">
      <c r="A1185" s="0" t="n">
        <v>31</v>
      </c>
      <c r="AA1185" s="0" t="n">
        <v>21</v>
      </c>
      <c r="AB1185" s="0" t="s">
        <v>573</v>
      </c>
      <c r="AD1185" s="0" t="n">
        <v>12</v>
      </c>
      <c r="AE1185" s="0" t="s">
        <v>303</v>
      </c>
      <c r="AH1185" s="0" t="n">
        <v>20</v>
      </c>
      <c r="AJ1185" s="0" t="n">
        <v>41</v>
      </c>
      <c r="AP1185" s="0" t="n">
        <v>260000</v>
      </c>
      <c r="DB1185" s="0" t="str">
        <f aca="false">IF($A1185="","",IF($AE1185&amp;""&lt;&gt;設定!$C$4,"対象外",IF($AH1185=20,IF(OR($AJ1185=10,$AJ1185=11,$AJ1185=18),"①病院一般",IF($AJ1185=41,"②病院短期","対象外")),IF($AH1185=5,IF($AJ1185=30,"③特定消防","対象外"),IF(OR($AJ1185=10,$AJ1185=11,$AJ1185=74),"④一般",IF(OR($AJ1185=41,$AJ1185=47),"⑤短期","対象外"))))))</f>
        <v>対象外</v>
      </c>
    </row>
    <row r="1186" customFormat="false" ht="15" hidden="false" customHeight="false" outlineLevel="0" collapsed="false">
      <c r="A1186" s="0" t="n">
        <v>31</v>
      </c>
      <c r="AA1186" s="0" t="n">
        <v>21</v>
      </c>
      <c r="AB1186" s="0" t="s">
        <v>573</v>
      </c>
      <c r="AD1186" s="0" t="n">
        <v>12</v>
      </c>
      <c r="AE1186" s="0" t="s">
        <v>96</v>
      </c>
      <c r="AH1186" s="0" t="n">
        <v>20</v>
      </c>
      <c r="AJ1186" s="0" t="n">
        <v>41</v>
      </c>
      <c r="AP1186" s="0" t="n">
        <v>160000</v>
      </c>
      <c r="DB1186" s="0" t="str">
        <f aca="false">IF($A1186="","",IF($AE1186&amp;""&lt;&gt;設定!$C$4,"対象外",IF($AH1186=20,IF(OR($AJ1186=10,$AJ1186=11,$AJ1186=18),"①病院一般",IF($AJ1186=41,"②病院短期","対象外")),IF($AH1186=5,IF($AJ1186=30,"③特定消防","対象外"),IF(OR($AJ1186=10,$AJ1186=11,$AJ1186=74),"④一般",IF(OR($AJ1186=41,$AJ1186=47),"⑤短期","対象外"))))))</f>
        <v>②病院短期</v>
      </c>
    </row>
    <row r="1187" customFormat="false" ht="15" hidden="false" customHeight="false" outlineLevel="0" collapsed="false">
      <c r="A1187" s="0" t="n">
        <v>31</v>
      </c>
      <c r="AA1187" s="0" t="n">
        <v>21</v>
      </c>
      <c r="AB1187" s="0" t="s">
        <v>574</v>
      </c>
      <c r="AD1187" s="0" t="n">
        <v>12</v>
      </c>
      <c r="AE1187" s="0" t="s">
        <v>96</v>
      </c>
      <c r="AH1187" s="0" t="n">
        <v>20</v>
      </c>
      <c r="AJ1187" s="0" t="n">
        <v>41</v>
      </c>
      <c r="AP1187" s="0" t="n">
        <v>160000</v>
      </c>
      <c r="DB1187" s="0" t="str">
        <f aca="false">IF($A1187="","",IF($AE1187&amp;""&lt;&gt;設定!$C$4,"対象外",IF($AH1187=20,IF(OR($AJ1187=10,$AJ1187=11,$AJ1187=18),"①病院一般",IF($AJ1187=41,"②病院短期","対象外")),IF($AH1187=5,IF($AJ1187=30,"③特定消防","対象外"),IF(OR($AJ1187=10,$AJ1187=11,$AJ1187=74),"④一般",IF(OR($AJ1187=41,$AJ1187=47),"⑤短期","対象外"))))))</f>
        <v>②病院短期</v>
      </c>
    </row>
    <row r="1188" customFormat="false" ht="15" hidden="false" customHeight="false" outlineLevel="0" collapsed="false">
      <c r="A1188" s="0" t="n">
        <v>31</v>
      </c>
      <c r="AA1188" s="0" t="n">
        <v>21</v>
      </c>
      <c r="AB1188" s="0" t="s">
        <v>509</v>
      </c>
      <c r="AD1188" s="0" t="n">
        <v>12</v>
      </c>
      <c r="AE1188" s="0" t="s">
        <v>301</v>
      </c>
      <c r="AH1188" s="0" t="n">
        <v>20</v>
      </c>
      <c r="AJ1188" s="0" t="n">
        <v>41</v>
      </c>
      <c r="AP1188" s="0" t="n">
        <v>180000</v>
      </c>
      <c r="DB1188" s="0" t="str">
        <f aca="false">IF($A1188="","",IF($AE1188&amp;""&lt;&gt;設定!$C$4,"対象外",IF($AH1188=20,IF(OR($AJ1188=10,$AJ1188=11,$AJ1188=18),"①病院一般",IF($AJ1188=41,"②病院短期","対象外")),IF($AH1188=5,IF($AJ1188=30,"③特定消防","対象外"),IF(OR($AJ1188=10,$AJ1188=11,$AJ1188=74),"④一般",IF(OR($AJ1188=41,$AJ1188=47),"⑤短期","対象外"))))))</f>
        <v>対象外</v>
      </c>
    </row>
    <row r="1189" customFormat="false" ht="15" hidden="false" customHeight="false" outlineLevel="0" collapsed="false">
      <c r="A1189" s="0" t="n">
        <v>31</v>
      </c>
      <c r="AA1189" s="0" t="n">
        <v>21</v>
      </c>
      <c r="AB1189" s="0" t="s">
        <v>509</v>
      </c>
      <c r="AD1189" s="0" t="n">
        <v>12</v>
      </c>
      <c r="AE1189" s="0" t="s">
        <v>96</v>
      </c>
      <c r="AH1189" s="0" t="n">
        <v>20</v>
      </c>
      <c r="AJ1189" s="0" t="n">
        <v>41</v>
      </c>
      <c r="AP1189" s="0" t="n">
        <v>280000</v>
      </c>
      <c r="DB1189" s="0" t="str">
        <f aca="false">IF($A1189="","",IF($AE1189&amp;""&lt;&gt;設定!$C$4,"対象外",IF($AH1189=20,IF(OR($AJ1189=10,$AJ1189=11,$AJ1189=18),"①病院一般",IF($AJ1189=41,"②病院短期","対象外")),IF($AH1189=5,IF($AJ1189=30,"③特定消防","対象外"),IF(OR($AJ1189=10,$AJ1189=11,$AJ1189=74),"④一般",IF(OR($AJ1189=41,$AJ1189=47),"⑤短期","対象外"))))))</f>
        <v>②病院短期</v>
      </c>
    </row>
    <row r="1190" customFormat="false" ht="15" hidden="false" customHeight="false" outlineLevel="0" collapsed="false">
      <c r="A1190" s="0" t="n">
        <v>31</v>
      </c>
      <c r="AA1190" s="0" t="n">
        <v>21</v>
      </c>
      <c r="AB1190" s="0" t="s">
        <v>509</v>
      </c>
      <c r="AD1190" s="0" t="n">
        <v>12</v>
      </c>
      <c r="AE1190" s="0" t="s">
        <v>96</v>
      </c>
      <c r="AH1190" s="0" t="n">
        <v>20</v>
      </c>
      <c r="AJ1190" s="0" t="n">
        <v>41</v>
      </c>
      <c r="AP1190" s="0" t="n">
        <v>170000</v>
      </c>
      <c r="DB1190" s="0" t="str">
        <f aca="false">IF($A1190="","",IF($AE1190&amp;""&lt;&gt;設定!$C$4,"対象外",IF($AH1190=20,IF(OR($AJ1190=10,$AJ1190=11,$AJ1190=18),"①病院一般",IF($AJ1190=41,"②病院短期","対象外")),IF($AH1190=5,IF($AJ1190=30,"③特定消防","対象外"),IF(OR($AJ1190=10,$AJ1190=11,$AJ1190=74),"④一般",IF(OR($AJ1190=41,$AJ1190=47),"⑤短期","対象外"))))))</f>
        <v>②病院短期</v>
      </c>
    </row>
    <row r="1191" customFormat="false" ht="15" hidden="false" customHeight="false" outlineLevel="0" collapsed="false">
      <c r="A1191" s="0" t="n">
        <v>31</v>
      </c>
      <c r="AA1191" s="0" t="n">
        <v>21</v>
      </c>
      <c r="AB1191" s="0" t="s">
        <v>509</v>
      </c>
      <c r="AD1191" s="0" t="n">
        <v>12</v>
      </c>
      <c r="AE1191" s="0" t="s">
        <v>96</v>
      </c>
      <c r="AH1191" s="0" t="n">
        <v>20</v>
      </c>
      <c r="AJ1191" s="0" t="n">
        <v>41</v>
      </c>
      <c r="AP1191" s="0" t="n">
        <v>142000</v>
      </c>
      <c r="DB1191" s="0" t="str">
        <f aca="false">IF($A1191="","",IF($AE1191&amp;""&lt;&gt;設定!$C$4,"対象外",IF($AH1191=20,IF(OR($AJ1191=10,$AJ1191=11,$AJ1191=18),"①病院一般",IF($AJ1191=41,"②病院短期","対象外")),IF($AH1191=5,IF($AJ1191=30,"③特定消防","対象外"),IF(OR($AJ1191=10,$AJ1191=11,$AJ1191=74),"④一般",IF(OR($AJ1191=41,$AJ1191=47),"⑤短期","対象外"))))))</f>
        <v>②病院短期</v>
      </c>
    </row>
    <row r="1192" customFormat="false" ht="15" hidden="false" customHeight="false" outlineLevel="0" collapsed="false">
      <c r="A1192" s="0" t="n">
        <v>31</v>
      </c>
      <c r="AA1192" s="0" t="n">
        <v>21</v>
      </c>
      <c r="AB1192" s="0" t="s">
        <v>509</v>
      </c>
      <c r="AD1192" s="0" t="n">
        <v>12</v>
      </c>
      <c r="AE1192" s="0" t="s">
        <v>96</v>
      </c>
      <c r="AH1192" s="0" t="n">
        <v>20</v>
      </c>
      <c r="AJ1192" s="0" t="n">
        <v>41</v>
      </c>
      <c r="AP1192" s="0" t="n">
        <v>170000</v>
      </c>
      <c r="DB1192" s="0" t="str">
        <f aca="false">IF($A1192="","",IF($AE1192&amp;""&lt;&gt;設定!$C$4,"対象外",IF($AH1192=20,IF(OR($AJ1192=10,$AJ1192=11,$AJ1192=18),"①病院一般",IF($AJ1192=41,"②病院短期","対象外")),IF($AH1192=5,IF($AJ1192=30,"③特定消防","対象外"),IF(OR($AJ1192=10,$AJ1192=11,$AJ1192=74),"④一般",IF(OR($AJ1192=41,$AJ1192=47),"⑤短期","対象外"))))))</f>
        <v>②病院短期</v>
      </c>
    </row>
    <row r="1193" customFormat="false" ht="15" hidden="false" customHeight="false" outlineLevel="0" collapsed="false">
      <c r="A1193" s="0" t="n">
        <v>31</v>
      </c>
      <c r="AA1193" s="0" t="n">
        <v>21</v>
      </c>
      <c r="AB1193" s="0" t="s">
        <v>575</v>
      </c>
      <c r="AD1193" s="0" t="n">
        <v>12</v>
      </c>
      <c r="AE1193" s="0" t="s">
        <v>96</v>
      </c>
      <c r="AH1193" s="0" t="n">
        <v>20</v>
      </c>
      <c r="AJ1193" s="0" t="n">
        <v>41</v>
      </c>
      <c r="AP1193" s="0" t="n">
        <v>280000</v>
      </c>
      <c r="DB1193" s="0" t="str">
        <f aca="false">IF($A1193="","",IF($AE1193&amp;""&lt;&gt;設定!$C$4,"対象外",IF($AH1193=20,IF(OR($AJ1193=10,$AJ1193=11,$AJ1193=18),"①病院一般",IF($AJ1193=41,"②病院短期","対象外")),IF($AH1193=5,IF($AJ1193=30,"③特定消防","対象外"),IF(OR($AJ1193=10,$AJ1193=11,$AJ1193=74),"④一般",IF(OR($AJ1193=41,$AJ1193=47),"⑤短期","対象外"))))))</f>
        <v>②病院短期</v>
      </c>
    </row>
    <row r="1194" customFormat="false" ht="15" hidden="false" customHeight="false" outlineLevel="0" collapsed="false">
      <c r="A1194" s="0" t="n">
        <v>31</v>
      </c>
      <c r="AA1194" s="0" t="n">
        <v>21</v>
      </c>
      <c r="AB1194" s="0" t="s">
        <v>576</v>
      </c>
      <c r="AD1194" s="0" t="n">
        <v>12</v>
      </c>
      <c r="AE1194" s="0" t="s">
        <v>96</v>
      </c>
      <c r="AH1194" s="0" t="n">
        <v>20</v>
      </c>
      <c r="AJ1194" s="0" t="n">
        <v>41</v>
      </c>
      <c r="AP1194" s="0" t="n">
        <v>180000</v>
      </c>
      <c r="DB1194" s="0" t="str">
        <f aca="false">IF($A1194="","",IF($AE1194&amp;""&lt;&gt;設定!$C$4,"対象外",IF($AH1194=20,IF(OR($AJ1194=10,$AJ1194=11,$AJ1194=18),"①病院一般",IF($AJ1194=41,"②病院短期","対象外")),IF($AH1194=5,IF($AJ1194=30,"③特定消防","対象外"),IF(OR($AJ1194=10,$AJ1194=11,$AJ1194=74),"④一般",IF(OR($AJ1194=41,$AJ1194=47),"⑤短期","対象外"))))))</f>
        <v>②病院短期</v>
      </c>
    </row>
    <row r="1195" customFormat="false" ht="15" hidden="false" customHeight="false" outlineLevel="0" collapsed="false">
      <c r="A1195" s="0" t="n">
        <v>31</v>
      </c>
      <c r="AA1195" s="0" t="n">
        <v>21</v>
      </c>
      <c r="AB1195" s="0" t="s">
        <v>577</v>
      </c>
      <c r="AD1195" s="0" t="n">
        <v>12</v>
      </c>
      <c r="AE1195" s="0" t="s">
        <v>96</v>
      </c>
      <c r="AH1195" s="0" t="n">
        <v>20</v>
      </c>
      <c r="AJ1195" s="0" t="n">
        <v>41</v>
      </c>
      <c r="AP1195" s="0" t="n">
        <v>220000</v>
      </c>
      <c r="DB1195" s="0" t="str">
        <f aca="false">IF($A1195="","",IF($AE1195&amp;""&lt;&gt;設定!$C$4,"対象外",IF($AH1195=20,IF(OR($AJ1195=10,$AJ1195=11,$AJ1195=18),"①病院一般",IF($AJ1195=41,"②病院短期","対象外")),IF($AH1195=5,IF($AJ1195=30,"③特定消防","対象外"),IF(OR($AJ1195=10,$AJ1195=11,$AJ1195=74),"④一般",IF(OR($AJ1195=41,$AJ1195=47),"⑤短期","対象外"))))))</f>
        <v>②病院短期</v>
      </c>
    </row>
    <row r="1196" customFormat="false" ht="15" hidden="false" customHeight="false" outlineLevel="0" collapsed="false">
      <c r="A1196" s="0" t="n">
        <v>31</v>
      </c>
      <c r="AA1196" s="0" t="n">
        <v>21</v>
      </c>
      <c r="AB1196" s="0" t="s">
        <v>578</v>
      </c>
      <c r="AD1196" s="0" t="n">
        <v>12</v>
      </c>
      <c r="AE1196" s="0" t="s">
        <v>96</v>
      </c>
      <c r="AH1196" s="0" t="n">
        <v>20</v>
      </c>
      <c r="AJ1196" s="0" t="n">
        <v>41</v>
      </c>
      <c r="AP1196" s="0" t="n">
        <v>170000</v>
      </c>
      <c r="DB1196" s="0" t="str">
        <f aca="false">IF($A1196="","",IF($AE1196&amp;""&lt;&gt;設定!$C$4,"対象外",IF($AH1196=20,IF(OR($AJ1196=10,$AJ1196=11,$AJ1196=18),"①病院一般",IF($AJ1196=41,"②病院短期","対象外")),IF($AH1196=5,IF($AJ1196=30,"③特定消防","対象外"),IF(OR($AJ1196=10,$AJ1196=11,$AJ1196=74),"④一般",IF(OR($AJ1196=41,$AJ1196=47),"⑤短期","対象外"))))))</f>
        <v>②病院短期</v>
      </c>
    </row>
    <row r="1197" customFormat="false" ht="15" hidden="false" customHeight="false" outlineLevel="0" collapsed="false">
      <c r="A1197" s="0" t="n">
        <v>31</v>
      </c>
      <c r="AA1197" s="0" t="n">
        <v>21</v>
      </c>
      <c r="AB1197" s="0" t="s">
        <v>504</v>
      </c>
      <c r="AD1197" s="0" t="n">
        <v>12</v>
      </c>
      <c r="AE1197" s="0" t="s">
        <v>96</v>
      </c>
      <c r="AH1197" s="0" t="n">
        <v>20</v>
      </c>
      <c r="AJ1197" s="0" t="n">
        <v>41</v>
      </c>
      <c r="AP1197" s="0" t="n">
        <v>280000</v>
      </c>
      <c r="DB1197" s="0" t="str">
        <f aca="false">IF($A1197="","",IF($AE1197&amp;""&lt;&gt;設定!$C$4,"対象外",IF($AH1197=20,IF(OR($AJ1197=10,$AJ1197=11,$AJ1197=18),"①病院一般",IF($AJ1197=41,"②病院短期","対象外")),IF($AH1197=5,IF($AJ1197=30,"③特定消防","対象外"),IF(OR($AJ1197=10,$AJ1197=11,$AJ1197=74),"④一般",IF(OR($AJ1197=41,$AJ1197=47),"⑤短期","対象外"))))))</f>
        <v>②病院短期</v>
      </c>
    </row>
    <row r="1198" customFormat="false" ht="15" hidden="false" customHeight="false" outlineLevel="0" collapsed="false">
      <c r="A1198" s="0" t="n">
        <v>31</v>
      </c>
      <c r="AA1198" s="0" t="n">
        <v>21</v>
      </c>
      <c r="AB1198" s="0" t="s">
        <v>579</v>
      </c>
      <c r="AD1198" s="0" t="n">
        <v>12</v>
      </c>
      <c r="AE1198" s="0" t="s">
        <v>301</v>
      </c>
      <c r="AH1198" s="0" t="n">
        <v>20</v>
      </c>
      <c r="AJ1198" s="0" t="n">
        <v>41</v>
      </c>
      <c r="AP1198" s="0" t="n">
        <v>360000</v>
      </c>
      <c r="DB1198" s="0" t="str">
        <f aca="false">IF($A1198="","",IF($AE1198&amp;""&lt;&gt;設定!$C$4,"対象外",IF($AH1198=20,IF(OR($AJ1198=10,$AJ1198=11,$AJ1198=18),"①病院一般",IF($AJ1198=41,"②病院短期","対象外")),IF($AH1198=5,IF($AJ1198=30,"③特定消防","対象外"),IF(OR($AJ1198=10,$AJ1198=11,$AJ1198=74),"④一般",IF(OR($AJ1198=41,$AJ1198=47),"⑤短期","対象外"))))))</f>
        <v>対象外</v>
      </c>
    </row>
    <row r="1199" customFormat="false" ht="15" hidden="false" customHeight="false" outlineLevel="0" collapsed="false">
      <c r="A1199" s="0" t="n">
        <v>31</v>
      </c>
      <c r="AA1199" s="0" t="n">
        <v>21</v>
      </c>
      <c r="AB1199" s="0" t="s">
        <v>504</v>
      </c>
      <c r="AD1199" s="0" t="n">
        <v>12</v>
      </c>
      <c r="AE1199" s="0" t="s">
        <v>96</v>
      </c>
      <c r="AH1199" s="0" t="n">
        <v>20</v>
      </c>
      <c r="AJ1199" s="0" t="n">
        <v>41</v>
      </c>
      <c r="AP1199" s="0" t="n">
        <v>170000</v>
      </c>
      <c r="DB1199" s="0" t="str">
        <f aca="false">IF($A1199="","",IF($AE1199&amp;""&lt;&gt;設定!$C$4,"対象外",IF($AH1199=20,IF(OR($AJ1199=10,$AJ1199=11,$AJ1199=18),"①病院一般",IF($AJ1199=41,"②病院短期","対象外")),IF($AH1199=5,IF($AJ1199=30,"③特定消防","対象外"),IF(OR($AJ1199=10,$AJ1199=11,$AJ1199=74),"④一般",IF(OR($AJ1199=41,$AJ1199=47),"⑤短期","対象外"))))))</f>
        <v>②病院短期</v>
      </c>
    </row>
    <row r="1200" customFormat="false" ht="15" hidden="false" customHeight="false" outlineLevel="0" collapsed="false">
      <c r="A1200" s="0" t="n">
        <v>31</v>
      </c>
      <c r="AA1200" s="0" t="n">
        <v>21</v>
      </c>
      <c r="AB1200" s="0" t="s">
        <v>504</v>
      </c>
      <c r="AD1200" s="0" t="n">
        <v>12</v>
      </c>
      <c r="AE1200" s="0" t="s">
        <v>96</v>
      </c>
      <c r="AH1200" s="0" t="n">
        <v>20</v>
      </c>
      <c r="AJ1200" s="0" t="n">
        <v>41</v>
      </c>
      <c r="AP1200" s="0" t="n">
        <v>160000</v>
      </c>
      <c r="DB1200" s="0" t="str">
        <f aca="false">IF($A1200="","",IF($AE1200&amp;""&lt;&gt;設定!$C$4,"対象外",IF($AH1200=20,IF(OR($AJ1200=10,$AJ1200=11,$AJ1200=18),"①病院一般",IF($AJ1200=41,"②病院短期","対象外")),IF($AH1200=5,IF($AJ1200=30,"③特定消防","対象外"),IF(OR($AJ1200=10,$AJ1200=11,$AJ1200=74),"④一般",IF(OR($AJ1200=41,$AJ1200=47),"⑤短期","対象外"))))))</f>
        <v>②病院短期</v>
      </c>
    </row>
    <row r="1201" customFormat="false" ht="15" hidden="false" customHeight="false" outlineLevel="0" collapsed="false">
      <c r="A1201" s="0" t="n">
        <v>31</v>
      </c>
      <c r="AA1201" s="0" t="n">
        <v>21</v>
      </c>
      <c r="AB1201" s="0" t="s">
        <v>504</v>
      </c>
      <c r="AD1201" s="0" t="n">
        <v>12</v>
      </c>
      <c r="AE1201" s="0" t="s">
        <v>96</v>
      </c>
      <c r="AH1201" s="0" t="n">
        <v>20</v>
      </c>
      <c r="AJ1201" s="0" t="n">
        <v>41</v>
      </c>
      <c r="AP1201" s="0" t="n">
        <v>240000</v>
      </c>
      <c r="DB1201" s="0" t="str">
        <f aca="false">IF($A1201="","",IF($AE1201&amp;""&lt;&gt;設定!$C$4,"対象外",IF($AH1201=20,IF(OR($AJ1201=10,$AJ1201=11,$AJ1201=18),"①病院一般",IF($AJ1201=41,"②病院短期","対象外")),IF($AH1201=5,IF($AJ1201=30,"③特定消防","対象外"),IF(OR($AJ1201=10,$AJ1201=11,$AJ1201=74),"④一般",IF(OR($AJ1201=41,$AJ1201=47),"⑤短期","対象外"))))))</f>
        <v>②病院短期</v>
      </c>
    </row>
    <row r="1202" customFormat="false" ht="15" hidden="false" customHeight="false" outlineLevel="0" collapsed="false">
      <c r="A1202" s="0" t="n">
        <v>31</v>
      </c>
      <c r="AA1202" s="0" t="n">
        <v>21</v>
      </c>
      <c r="AB1202" s="0" t="s">
        <v>526</v>
      </c>
      <c r="AD1202" s="0" t="n">
        <v>12</v>
      </c>
      <c r="AE1202" s="0" t="s">
        <v>301</v>
      </c>
      <c r="AH1202" s="0" t="n">
        <v>20</v>
      </c>
      <c r="AJ1202" s="0" t="n">
        <v>41</v>
      </c>
      <c r="AP1202" s="0" t="n">
        <v>240000</v>
      </c>
      <c r="DB1202" s="0" t="str">
        <f aca="false">IF($A1202="","",IF($AE1202&amp;""&lt;&gt;設定!$C$4,"対象外",IF($AH1202=20,IF(OR($AJ1202=10,$AJ1202=11,$AJ1202=18),"①病院一般",IF($AJ1202=41,"②病院短期","対象外")),IF($AH1202=5,IF($AJ1202=30,"③特定消防","対象外"),IF(OR($AJ1202=10,$AJ1202=11,$AJ1202=74),"④一般",IF(OR($AJ1202=41,$AJ1202=47),"⑤短期","対象外"))))))</f>
        <v>対象外</v>
      </c>
    </row>
    <row r="1203" customFormat="false" ht="15" hidden="false" customHeight="false" outlineLevel="0" collapsed="false">
      <c r="A1203" s="0" t="n">
        <v>31</v>
      </c>
      <c r="AA1203" s="0" t="n">
        <v>21</v>
      </c>
      <c r="AB1203" s="0" t="s">
        <v>526</v>
      </c>
      <c r="AD1203" s="0" t="n">
        <v>12</v>
      </c>
      <c r="AE1203" s="0" t="s">
        <v>301</v>
      </c>
      <c r="AH1203" s="0" t="n">
        <v>20</v>
      </c>
      <c r="AJ1203" s="0" t="n">
        <v>41</v>
      </c>
      <c r="AP1203" s="0" t="n">
        <v>300000</v>
      </c>
      <c r="DB1203" s="0" t="str">
        <f aca="false">IF($A1203="","",IF($AE1203&amp;""&lt;&gt;設定!$C$4,"対象外",IF($AH1203=20,IF(OR($AJ1203=10,$AJ1203=11,$AJ1203=18),"①病院一般",IF($AJ1203=41,"②病院短期","対象外")),IF($AH1203=5,IF($AJ1203=30,"③特定消防","対象外"),IF(OR($AJ1203=10,$AJ1203=11,$AJ1203=74),"④一般",IF(OR($AJ1203=41,$AJ1203=47),"⑤短期","対象外"))))))</f>
        <v>対象外</v>
      </c>
    </row>
    <row r="1204" customFormat="false" ht="15" hidden="false" customHeight="false" outlineLevel="0" collapsed="false">
      <c r="A1204" s="0" t="n">
        <v>31</v>
      </c>
      <c r="AA1204" s="0" t="n">
        <v>21</v>
      </c>
      <c r="AB1204" s="0" t="s">
        <v>580</v>
      </c>
      <c r="AD1204" s="0" t="n">
        <v>12</v>
      </c>
      <c r="AE1204" s="0" t="s">
        <v>96</v>
      </c>
      <c r="AH1204" s="0" t="n">
        <v>20</v>
      </c>
      <c r="AJ1204" s="0" t="n">
        <v>41</v>
      </c>
      <c r="AP1204" s="0" t="n">
        <v>142000</v>
      </c>
      <c r="DB1204" s="0" t="str">
        <f aca="false">IF($A1204="","",IF($AE1204&amp;""&lt;&gt;設定!$C$4,"対象外",IF($AH1204=20,IF(OR($AJ1204=10,$AJ1204=11,$AJ1204=18),"①病院一般",IF($AJ1204=41,"②病院短期","対象外")),IF($AH1204=5,IF($AJ1204=30,"③特定消防","対象外"),IF(OR($AJ1204=10,$AJ1204=11,$AJ1204=74),"④一般",IF(OR($AJ1204=41,$AJ1204=47),"⑤短期","対象外"))))))</f>
        <v>②病院短期</v>
      </c>
    </row>
    <row r="1205" customFormat="false" ht="15" hidden="false" customHeight="false" outlineLevel="0" collapsed="false">
      <c r="A1205" s="0" t="n">
        <v>31</v>
      </c>
      <c r="AA1205" s="0" t="n">
        <v>21</v>
      </c>
      <c r="AB1205" s="0" t="s">
        <v>581</v>
      </c>
      <c r="AD1205" s="0" t="n">
        <v>12</v>
      </c>
      <c r="AE1205" s="0" t="s">
        <v>301</v>
      </c>
      <c r="AH1205" s="0" t="n">
        <v>20</v>
      </c>
      <c r="AJ1205" s="0" t="n">
        <v>41</v>
      </c>
      <c r="AP1205" s="0" t="n">
        <v>170000</v>
      </c>
      <c r="DB1205" s="0" t="str">
        <f aca="false">IF($A1205="","",IF($AE1205&amp;""&lt;&gt;設定!$C$4,"対象外",IF($AH1205=20,IF(OR($AJ1205=10,$AJ1205=11,$AJ1205=18),"①病院一般",IF($AJ1205=41,"②病院短期","対象外")),IF($AH1205=5,IF($AJ1205=30,"③特定消防","対象外"),IF(OR($AJ1205=10,$AJ1205=11,$AJ1205=74),"④一般",IF(OR($AJ1205=41,$AJ1205=47),"⑤短期","対象外"))))))</f>
        <v>対象外</v>
      </c>
    </row>
    <row r="1206" customFormat="false" ht="15" hidden="false" customHeight="false" outlineLevel="0" collapsed="false">
      <c r="A1206" s="0" t="n">
        <v>31</v>
      </c>
      <c r="AA1206" s="0" t="n">
        <v>21</v>
      </c>
      <c r="AB1206" s="0" t="s">
        <v>582</v>
      </c>
      <c r="AD1206" s="0" t="n">
        <v>12</v>
      </c>
      <c r="AE1206" s="0" t="s">
        <v>301</v>
      </c>
      <c r="AH1206" s="0" t="n">
        <v>20</v>
      </c>
      <c r="AJ1206" s="0" t="n">
        <v>41</v>
      </c>
      <c r="AP1206" s="0" t="n">
        <v>200000</v>
      </c>
      <c r="DB1206" s="0" t="str">
        <f aca="false">IF($A1206="","",IF($AE1206&amp;""&lt;&gt;設定!$C$4,"対象外",IF($AH1206=20,IF(OR($AJ1206=10,$AJ1206=11,$AJ1206=18),"①病院一般",IF($AJ1206=41,"②病院短期","対象外")),IF($AH1206=5,IF($AJ1206=30,"③特定消防","対象外"),IF(OR($AJ1206=10,$AJ1206=11,$AJ1206=74),"④一般",IF(OR($AJ1206=41,$AJ1206=47),"⑤短期","対象外"))))))</f>
        <v>対象外</v>
      </c>
    </row>
    <row r="1207" customFormat="false" ht="15" hidden="false" customHeight="false" outlineLevel="0" collapsed="false">
      <c r="A1207" s="0" t="n">
        <v>31</v>
      </c>
      <c r="AA1207" s="0" t="n">
        <v>21</v>
      </c>
      <c r="AB1207" s="0" t="s">
        <v>527</v>
      </c>
      <c r="AD1207" s="0" t="n">
        <v>12</v>
      </c>
      <c r="AE1207" s="0" t="s">
        <v>301</v>
      </c>
      <c r="AH1207" s="0" t="n">
        <v>20</v>
      </c>
      <c r="AJ1207" s="0" t="n">
        <v>41</v>
      </c>
      <c r="AP1207" s="0" t="n">
        <v>180000</v>
      </c>
      <c r="DB1207" s="0" t="str">
        <f aca="false">IF($A1207="","",IF($AE1207&amp;""&lt;&gt;設定!$C$4,"対象外",IF($AH1207=20,IF(OR($AJ1207=10,$AJ1207=11,$AJ1207=18),"①病院一般",IF($AJ1207=41,"②病院短期","対象外")),IF($AH1207=5,IF($AJ1207=30,"③特定消防","対象外"),IF(OR($AJ1207=10,$AJ1207=11,$AJ1207=74),"④一般",IF(OR($AJ1207=41,$AJ1207=47),"⑤短期","対象外"))))))</f>
        <v>対象外</v>
      </c>
    </row>
    <row r="1208" customFormat="false" ht="15" hidden="false" customHeight="false" outlineLevel="0" collapsed="false">
      <c r="A1208" s="0" t="n">
        <v>31</v>
      </c>
      <c r="AA1208" s="0" t="n">
        <v>21</v>
      </c>
      <c r="AB1208" s="0" t="s">
        <v>527</v>
      </c>
      <c r="AD1208" s="0" t="n">
        <v>12</v>
      </c>
      <c r="AE1208" s="0" t="s">
        <v>301</v>
      </c>
      <c r="AH1208" s="0" t="n">
        <v>20</v>
      </c>
      <c r="AJ1208" s="0" t="n">
        <v>41</v>
      </c>
      <c r="AP1208" s="0" t="n">
        <v>142000</v>
      </c>
      <c r="DB1208" s="0" t="str">
        <f aca="false">IF($A1208="","",IF($AE1208&amp;""&lt;&gt;設定!$C$4,"対象外",IF($AH1208=20,IF(OR($AJ1208=10,$AJ1208=11,$AJ1208=18),"①病院一般",IF($AJ1208=41,"②病院短期","対象外")),IF($AH1208=5,IF($AJ1208=30,"③特定消防","対象外"),IF(OR($AJ1208=10,$AJ1208=11,$AJ1208=74),"④一般",IF(OR($AJ1208=41,$AJ1208=47),"⑤短期","対象外"))))))</f>
        <v>対象外</v>
      </c>
    </row>
    <row r="1209" customFormat="false" ht="15" hidden="false" customHeight="false" outlineLevel="0" collapsed="false">
      <c r="A1209" s="0" t="n">
        <v>31</v>
      </c>
      <c r="AA1209" s="0" t="n">
        <v>21</v>
      </c>
      <c r="AB1209" s="0" t="s">
        <v>583</v>
      </c>
      <c r="AD1209" s="0" t="n">
        <v>12</v>
      </c>
      <c r="AE1209" s="0" t="s">
        <v>480</v>
      </c>
      <c r="AH1209" s="0" t="n">
        <v>20</v>
      </c>
      <c r="AJ1209" s="0" t="n">
        <v>41</v>
      </c>
      <c r="AP1209" s="0" t="n">
        <v>160000</v>
      </c>
      <c r="DB1209" s="0" t="str">
        <f aca="false">IF($A1209="","",IF($AE1209&amp;""&lt;&gt;設定!$C$4,"対象外",IF($AH1209=20,IF(OR($AJ1209=10,$AJ1209=11,$AJ1209=18),"①病院一般",IF($AJ1209=41,"②病院短期","対象外")),IF($AH1209=5,IF($AJ1209=30,"③特定消防","対象外"),IF(OR($AJ1209=10,$AJ1209=11,$AJ1209=74),"④一般",IF(OR($AJ1209=41,$AJ1209=47),"⑤短期","対象外"))))))</f>
        <v>対象外</v>
      </c>
    </row>
    <row r="1210" customFormat="false" ht="15" hidden="false" customHeight="false" outlineLevel="0" collapsed="false">
      <c r="A1210" s="0" t="n">
        <v>31</v>
      </c>
      <c r="AA1210" s="0" t="n">
        <v>21</v>
      </c>
      <c r="AB1210" s="0" t="s">
        <v>537</v>
      </c>
      <c r="AD1210" s="0" t="n">
        <v>12</v>
      </c>
      <c r="AE1210" s="0" t="s">
        <v>301</v>
      </c>
      <c r="AH1210" s="0" t="n">
        <v>20</v>
      </c>
      <c r="AJ1210" s="0" t="n">
        <v>41</v>
      </c>
      <c r="AP1210" s="0" t="n">
        <v>240000</v>
      </c>
      <c r="DB1210" s="0" t="str">
        <f aca="false">IF($A1210="","",IF($AE1210&amp;""&lt;&gt;設定!$C$4,"対象外",IF($AH1210=20,IF(OR($AJ1210=10,$AJ1210=11,$AJ1210=18),"①病院一般",IF($AJ1210=41,"②病院短期","対象外")),IF($AH1210=5,IF($AJ1210=30,"③特定消防","対象外"),IF(OR($AJ1210=10,$AJ1210=11,$AJ1210=74),"④一般",IF(OR($AJ1210=41,$AJ1210=47),"⑤短期","対象外"))))))</f>
        <v>対象外</v>
      </c>
    </row>
    <row r="1211" customFormat="false" ht="15" hidden="false" customHeight="false" outlineLevel="0" collapsed="false">
      <c r="A1211" s="0" t="n">
        <v>31</v>
      </c>
      <c r="AA1211" s="0" t="n">
        <v>21</v>
      </c>
      <c r="AB1211" s="0" t="s">
        <v>584</v>
      </c>
      <c r="AD1211" s="0" t="n">
        <v>12</v>
      </c>
      <c r="AE1211" s="0" t="s">
        <v>480</v>
      </c>
      <c r="AH1211" s="0" t="n">
        <v>20</v>
      </c>
      <c r="AJ1211" s="0" t="n">
        <v>41</v>
      </c>
      <c r="AP1211" s="0" t="n">
        <v>300000</v>
      </c>
      <c r="DB1211" s="0" t="str">
        <f aca="false">IF($A1211="","",IF($AE1211&amp;""&lt;&gt;設定!$C$4,"対象外",IF($AH1211=20,IF(OR($AJ1211=10,$AJ1211=11,$AJ1211=18),"①病院一般",IF($AJ1211=41,"②病院短期","対象外")),IF($AH1211=5,IF($AJ1211=30,"③特定消防","対象外"),IF(OR($AJ1211=10,$AJ1211=11,$AJ1211=74),"④一般",IF(OR($AJ1211=41,$AJ1211=47),"⑤短期","対象外"))))))</f>
        <v>対象外</v>
      </c>
    </row>
    <row r="1212" customFormat="false" ht="15" hidden="false" customHeight="false" outlineLevel="0" collapsed="false">
      <c r="A1212" s="0" t="n">
        <v>31</v>
      </c>
      <c r="AA1212" s="0" t="n">
        <v>21</v>
      </c>
      <c r="AB1212" s="0" t="s">
        <v>585</v>
      </c>
      <c r="AD1212" s="0" t="n">
        <v>12</v>
      </c>
      <c r="AE1212" s="0" t="s">
        <v>301</v>
      </c>
      <c r="AH1212" s="0" t="n">
        <v>20</v>
      </c>
      <c r="AJ1212" s="0" t="n">
        <v>41</v>
      </c>
      <c r="AP1212" s="0" t="n">
        <v>180000</v>
      </c>
      <c r="DB1212" s="0" t="str">
        <f aca="false">IF($A1212="","",IF($AE1212&amp;""&lt;&gt;設定!$C$4,"対象外",IF($AH1212=20,IF(OR($AJ1212=10,$AJ1212=11,$AJ1212=18),"①病院一般",IF($AJ1212=41,"②病院短期","対象外")),IF($AH1212=5,IF($AJ1212=30,"③特定消防","対象外"),IF(OR($AJ1212=10,$AJ1212=11,$AJ1212=74),"④一般",IF(OR($AJ1212=41,$AJ1212=47),"⑤短期","対象外"))))))</f>
        <v>対象外</v>
      </c>
    </row>
    <row r="1213" customFormat="false" ht="15" hidden="false" customHeight="false" outlineLevel="0" collapsed="false">
      <c r="A1213" s="0" t="n">
        <v>31</v>
      </c>
      <c r="AA1213" s="0" t="n">
        <v>21</v>
      </c>
      <c r="AB1213" s="0" t="s">
        <v>537</v>
      </c>
      <c r="AD1213" s="0" t="n">
        <v>12</v>
      </c>
      <c r="AE1213" s="0" t="s">
        <v>301</v>
      </c>
      <c r="AH1213" s="0" t="n">
        <v>20</v>
      </c>
      <c r="AJ1213" s="0" t="n">
        <v>41</v>
      </c>
      <c r="AP1213" s="0" t="n">
        <v>240000</v>
      </c>
      <c r="DB1213" s="0" t="str">
        <f aca="false">IF($A1213="","",IF($AE1213&amp;""&lt;&gt;設定!$C$4,"対象外",IF($AH1213=20,IF(OR($AJ1213=10,$AJ1213=11,$AJ1213=18),"①病院一般",IF($AJ1213=41,"②病院短期","対象外")),IF($AH1213=5,IF($AJ1213=30,"③特定消防","対象外"),IF(OR($AJ1213=10,$AJ1213=11,$AJ1213=74),"④一般",IF(OR($AJ1213=41,$AJ1213=47),"⑤短期","対象外"))))))</f>
        <v>対象外</v>
      </c>
    </row>
    <row r="1214" customFormat="false" ht="15" hidden="false" customHeight="false" outlineLevel="0" collapsed="false">
      <c r="A1214" s="0" t="n">
        <v>31</v>
      </c>
      <c r="AA1214" s="0" t="n">
        <v>21</v>
      </c>
      <c r="AB1214" s="0" t="s">
        <v>586</v>
      </c>
      <c r="AD1214" s="0" t="n">
        <v>12</v>
      </c>
      <c r="AE1214" s="0" t="s">
        <v>301</v>
      </c>
      <c r="AH1214" s="0" t="n">
        <v>20</v>
      </c>
      <c r="AJ1214" s="0" t="n">
        <v>41</v>
      </c>
      <c r="AP1214" s="0" t="n">
        <v>170000</v>
      </c>
      <c r="DB1214" s="0" t="str">
        <f aca="false">IF($A1214="","",IF($AE1214&amp;""&lt;&gt;設定!$C$4,"対象外",IF($AH1214=20,IF(OR($AJ1214=10,$AJ1214=11,$AJ1214=18),"①病院一般",IF($AJ1214=41,"②病院短期","対象外")),IF($AH1214=5,IF($AJ1214=30,"③特定消防","対象外"),IF(OR($AJ1214=10,$AJ1214=11,$AJ1214=74),"④一般",IF(OR($AJ1214=41,$AJ1214=47),"⑤短期","対象外"))))))</f>
        <v>対象外</v>
      </c>
    </row>
    <row r="1215" customFormat="false" ht="15" hidden="false" customHeight="false" outlineLevel="0" collapsed="false">
      <c r="A1215" s="0" t="n">
        <v>31</v>
      </c>
      <c r="AA1215" s="0" t="n">
        <v>21</v>
      </c>
      <c r="AB1215" s="0" t="s">
        <v>551</v>
      </c>
      <c r="AD1215" s="0" t="n">
        <v>12</v>
      </c>
      <c r="AE1215" s="0" t="s">
        <v>96</v>
      </c>
      <c r="AH1215" s="0" t="n">
        <v>11</v>
      </c>
      <c r="AJ1215" s="0" t="n">
        <v>41</v>
      </c>
      <c r="AP1215" s="0" t="n">
        <v>320000</v>
      </c>
      <c r="DB1215" s="0" t="str">
        <f aca="false">IF($A1215="","",IF($AE1215&amp;""&lt;&gt;設定!$C$4,"対象外",IF($AH1215=20,IF(OR($AJ1215=10,$AJ1215=11,$AJ1215=18),"①病院一般",IF($AJ1215=41,"②病院短期","対象外")),IF($AH1215=5,IF($AJ1215=30,"③特定消防","対象外"),IF(OR($AJ1215=10,$AJ1215=11,$AJ1215=74),"④一般",IF(OR($AJ1215=41,$AJ1215=47),"⑤短期","対象外"))))))</f>
        <v>⑤短期</v>
      </c>
    </row>
    <row r="1216" customFormat="false" ht="15" hidden="false" customHeight="false" outlineLevel="0" collapsed="false">
      <c r="A1216" s="0" t="n">
        <v>31</v>
      </c>
      <c r="AA1216" s="0" t="n">
        <v>21</v>
      </c>
      <c r="AB1216" s="0" t="s">
        <v>494</v>
      </c>
      <c r="AD1216" s="0" t="n">
        <v>12</v>
      </c>
      <c r="AE1216" s="0" t="s">
        <v>96</v>
      </c>
      <c r="AH1216" s="0" t="n">
        <v>1</v>
      </c>
      <c r="AJ1216" s="0" t="n">
        <v>41</v>
      </c>
      <c r="AP1216" s="0" t="n">
        <v>170000</v>
      </c>
      <c r="DB1216" s="0" t="str">
        <f aca="false">IF($A1216="","",IF($AE1216&amp;""&lt;&gt;設定!$C$4,"対象外",IF($AH1216=20,IF(OR($AJ1216=10,$AJ1216=11,$AJ1216=18),"①病院一般",IF($AJ1216=41,"②病院短期","対象外")),IF($AH1216=5,IF($AJ1216=30,"③特定消防","対象外"),IF(OR($AJ1216=10,$AJ1216=11,$AJ1216=74),"④一般",IF(OR($AJ1216=41,$AJ1216=47),"⑤短期","対象外"))))))</f>
        <v>⑤短期</v>
      </c>
    </row>
    <row r="1217" customFormat="false" ht="15" hidden="false" customHeight="false" outlineLevel="0" collapsed="false">
      <c r="A1217" s="0" t="n">
        <v>31</v>
      </c>
      <c r="AA1217" s="0" t="n">
        <v>21</v>
      </c>
      <c r="AB1217" s="0" t="s">
        <v>494</v>
      </c>
      <c r="AD1217" s="0" t="n">
        <v>12</v>
      </c>
      <c r="AE1217" s="0" t="s">
        <v>96</v>
      </c>
      <c r="AH1217" s="0" t="n">
        <v>1</v>
      </c>
      <c r="AJ1217" s="0" t="n">
        <v>41</v>
      </c>
      <c r="AP1217" s="0" t="n">
        <v>170000</v>
      </c>
      <c r="DB1217" s="0" t="str">
        <f aca="false">IF($A1217="","",IF($AE1217&amp;""&lt;&gt;設定!$C$4,"対象外",IF($AH1217=20,IF(OR($AJ1217=10,$AJ1217=11,$AJ1217=18),"①病院一般",IF($AJ1217=41,"②病院短期","対象外")),IF($AH1217=5,IF($AJ1217=30,"③特定消防","対象外"),IF(OR($AJ1217=10,$AJ1217=11,$AJ1217=74),"④一般",IF(OR($AJ1217=41,$AJ1217=47),"⑤短期","対象外"))))))</f>
        <v>⑤短期</v>
      </c>
    </row>
    <row r="1218" customFormat="false" ht="15" hidden="false" customHeight="false" outlineLevel="0" collapsed="false">
      <c r="A1218" s="0" t="n">
        <v>31</v>
      </c>
      <c r="AA1218" s="0" t="n">
        <v>21</v>
      </c>
      <c r="AB1218" s="0" t="s">
        <v>494</v>
      </c>
      <c r="AD1218" s="0" t="n">
        <v>12</v>
      </c>
      <c r="AE1218" s="0" t="s">
        <v>96</v>
      </c>
      <c r="AH1218" s="0" t="n">
        <v>11</v>
      </c>
      <c r="AJ1218" s="0" t="n">
        <v>41</v>
      </c>
      <c r="AP1218" s="0" t="n">
        <v>126000</v>
      </c>
      <c r="DB1218" s="0" t="str">
        <f aca="false">IF($A1218="","",IF($AE1218&amp;""&lt;&gt;設定!$C$4,"対象外",IF($AH1218=20,IF(OR($AJ1218=10,$AJ1218=11,$AJ1218=18),"①病院一般",IF($AJ1218=41,"②病院短期","対象外")),IF($AH1218=5,IF($AJ1218=30,"③特定消防","対象外"),IF(OR($AJ1218=10,$AJ1218=11,$AJ1218=74),"④一般",IF(OR($AJ1218=41,$AJ1218=47),"⑤短期","対象外"))))))</f>
        <v>⑤短期</v>
      </c>
    </row>
    <row r="1219" customFormat="false" ht="15" hidden="false" customHeight="false" outlineLevel="0" collapsed="false">
      <c r="A1219" s="0" t="n">
        <v>31</v>
      </c>
      <c r="AA1219" s="0" t="n">
        <v>21</v>
      </c>
      <c r="AB1219" s="0" t="s">
        <v>494</v>
      </c>
      <c r="AD1219" s="0" t="n">
        <v>12</v>
      </c>
      <c r="AE1219" s="0" t="s">
        <v>299</v>
      </c>
      <c r="AH1219" s="0" t="n">
        <v>1</v>
      </c>
      <c r="AJ1219" s="0" t="n">
        <v>41</v>
      </c>
      <c r="AP1219" s="0" t="n">
        <v>220000</v>
      </c>
      <c r="DB1219" s="0" t="str">
        <f aca="false">IF($A1219="","",IF($AE1219&amp;""&lt;&gt;設定!$C$4,"対象外",IF($AH1219=20,IF(OR($AJ1219=10,$AJ1219=11,$AJ1219=18),"①病院一般",IF($AJ1219=41,"②病院短期","対象外")),IF($AH1219=5,IF($AJ1219=30,"③特定消防","対象外"),IF(OR($AJ1219=10,$AJ1219=11,$AJ1219=74),"④一般",IF(OR($AJ1219=41,$AJ1219=47),"⑤短期","対象外"))))))</f>
        <v>対象外</v>
      </c>
    </row>
    <row r="1220" customFormat="false" ht="15" hidden="false" customHeight="false" outlineLevel="0" collapsed="false">
      <c r="A1220" s="0" t="n">
        <v>31</v>
      </c>
      <c r="AA1220" s="0" t="n">
        <v>21</v>
      </c>
      <c r="AB1220" s="0" t="s">
        <v>494</v>
      </c>
      <c r="AD1220" s="0" t="n">
        <v>12</v>
      </c>
      <c r="AE1220" s="0" t="s">
        <v>294</v>
      </c>
      <c r="AH1220" s="0" t="n">
        <v>1</v>
      </c>
      <c r="AJ1220" s="0" t="n">
        <v>41</v>
      </c>
      <c r="AP1220" s="0" t="n">
        <v>170000</v>
      </c>
      <c r="DB1220" s="0" t="str">
        <f aca="false">IF($A1220="","",IF($AE1220&amp;""&lt;&gt;設定!$C$4,"対象外",IF($AH1220=20,IF(OR($AJ1220=10,$AJ1220=11,$AJ1220=18),"①病院一般",IF($AJ1220=41,"②病院短期","対象外")),IF($AH1220=5,IF($AJ1220=30,"③特定消防","対象外"),IF(OR($AJ1220=10,$AJ1220=11,$AJ1220=74),"④一般",IF(OR($AJ1220=41,$AJ1220=47),"⑤短期","対象外"))))))</f>
        <v>対象外</v>
      </c>
    </row>
    <row r="1221" customFormat="false" ht="15" hidden="false" customHeight="false" outlineLevel="0" collapsed="false">
      <c r="A1221" s="0" t="n">
        <v>31</v>
      </c>
      <c r="AA1221" s="0" t="n">
        <v>21</v>
      </c>
      <c r="AB1221" s="0" t="s">
        <v>494</v>
      </c>
      <c r="AD1221" s="0" t="n">
        <v>12</v>
      </c>
      <c r="AE1221" s="0" t="s">
        <v>96</v>
      </c>
      <c r="AH1221" s="0" t="n">
        <v>1</v>
      </c>
      <c r="AJ1221" s="0" t="n">
        <v>41</v>
      </c>
      <c r="AP1221" s="0" t="n">
        <v>126000</v>
      </c>
      <c r="DB1221" s="0" t="str">
        <f aca="false">IF($A1221="","",IF($AE1221&amp;""&lt;&gt;設定!$C$4,"対象外",IF($AH1221=20,IF(OR($AJ1221=10,$AJ1221=11,$AJ1221=18),"①病院一般",IF($AJ1221=41,"②病院短期","対象外")),IF($AH1221=5,IF($AJ1221=30,"③特定消防","対象外"),IF(OR($AJ1221=10,$AJ1221=11,$AJ1221=74),"④一般",IF(OR($AJ1221=41,$AJ1221=47),"⑤短期","対象外"))))))</f>
        <v>⑤短期</v>
      </c>
    </row>
    <row r="1222" customFormat="false" ht="15" hidden="false" customHeight="false" outlineLevel="0" collapsed="false">
      <c r="A1222" s="0" t="n">
        <v>31</v>
      </c>
      <c r="AA1222" s="0" t="n">
        <v>21</v>
      </c>
      <c r="AB1222" s="0" t="s">
        <v>494</v>
      </c>
      <c r="AD1222" s="0" t="n">
        <v>12</v>
      </c>
      <c r="AE1222" s="0" t="s">
        <v>96</v>
      </c>
      <c r="AH1222" s="0" t="n">
        <v>1</v>
      </c>
      <c r="AJ1222" s="0" t="n">
        <v>41</v>
      </c>
      <c r="AP1222" s="0" t="n">
        <v>110000</v>
      </c>
      <c r="DB1222" s="0" t="str">
        <f aca="false">IF($A1222="","",IF($AE1222&amp;""&lt;&gt;設定!$C$4,"対象外",IF($AH1222=20,IF(OR($AJ1222=10,$AJ1222=11,$AJ1222=18),"①病院一般",IF($AJ1222=41,"②病院短期","対象外")),IF($AH1222=5,IF($AJ1222=30,"③特定消防","対象外"),IF(OR($AJ1222=10,$AJ1222=11,$AJ1222=74),"④一般",IF(OR($AJ1222=41,$AJ1222=47),"⑤短期","対象外"))))))</f>
        <v>⑤短期</v>
      </c>
    </row>
    <row r="1223" customFormat="false" ht="15" hidden="false" customHeight="false" outlineLevel="0" collapsed="false">
      <c r="A1223" s="0" t="n">
        <v>31</v>
      </c>
      <c r="AA1223" s="0" t="n">
        <v>21</v>
      </c>
      <c r="AB1223" s="0" t="s">
        <v>494</v>
      </c>
      <c r="AD1223" s="0" t="n">
        <v>12</v>
      </c>
      <c r="AE1223" s="0" t="s">
        <v>96</v>
      </c>
      <c r="AH1223" s="0" t="n">
        <v>1</v>
      </c>
      <c r="AJ1223" s="0" t="n">
        <v>41</v>
      </c>
      <c r="AP1223" s="0" t="n">
        <v>118000</v>
      </c>
      <c r="DB1223" s="0" t="str">
        <f aca="false">IF($A1223="","",IF($AE1223&amp;""&lt;&gt;設定!$C$4,"対象外",IF($AH1223=20,IF(OR($AJ1223=10,$AJ1223=11,$AJ1223=18),"①病院一般",IF($AJ1223=41,"②病院短期","対象外")),IF($AH1223=5,IF($AJ1223=30,"③特定消防","対象外"),IF(OR($AJ1223=10,$AJ1223=11,$AJ1223=74),"④一般",IF(OR($AJ1223=41,$AJ1223=47),"⑤短期","対象外"))))))</f>
        <v>⑤短期</v>
      </c>
    </row>
    <row r="1224" customFormat="false" ht="15" hidden="false" customHeight="false" outlineLevel="0" collapsed="false">
      <c r="A1224" s="0" t="n">
        <v>31</v>
      </c>
      <c r="AA1224" s="0" t="n">
        <v>21</v>
      </c>
      <c r="AB1224" s="0" t="s">
        <v>494</v>
      </c>
      <c r="AD1224" s="0" t="n">
        <v>12</v>
      </c>
      <c r="AE1224" s="0" t="s">
        <v>96</v>
      </c>
      <c r="AH1224" s="0" t="n">
        <v>11</v>
      </c>
      <c r="AJ1224" s="0" t="n">
        <v>41</v>
      </c>
      <c r="AP1224" s="0" t="n">
        <v>160000</v>
      </c>
      <c r="DB1224" s="0" t="str">
        <f aca="false">IF($A1224="","",IF($AE1224&amp;""&lt;&gt;設定!$C$4,"対象外",IF($AH1224=20,IF(OR($AJ1224=10,$AJ1224=11,$AJ1224=18),"①病院一般",IF($AJ1224=41,"②病院短期","対象外")),IF($AH1224=5,IF($AJ1224=30,"③特定消防","対象外"),IF(OR($AJ1224=10,$AJ1224=11,$AJ1224=74),"④一般",IF(OR($AJ1224=41,$AJ1224=47),"⑤短期","対象外"))))))</f>
        <v>⑤短期</v>
      </c>
    </row>
    <row r="1225" customFormat="false" ht="15" hidden="false" customHeight="false" outlineLevel="0" collapsed="false">
      <c r="A1225" s="0" t="n">
        <v>31</v>
      </c>
      <c r="AA1225" s="0" t="n">
        <v>21</v>
      </c>
      <c r="AB1225" s="0" t="s">
        <v>494</v>
      </c>
      <c r="AD1225" s="0" t="n">
        <v>12</v>
      </c>
      <c r="AE1225" s="0" t="s">
        <v>96</v>
      </c>
      <c r="AH1225" s="0" t="n">
        <v>1</v>
      </c>
      <c r="AJ1225" s="0" t="n">
        <v>41</v>
      </c>
      <c r="AP1225" s="0" t="n">
        <v>118000</v>
      </c>
      <c r="DB1225" s="0" t="str">
        <f aca="false">IF($A1225="","",IF($AE1225&amp;""&lt;&gt;設定!$C$4,"対象外",IF($AH1225=20,IF(OR($AJ1225=10,$AJ1225=11,$AJ1225=18),"①病院一般",IF($AJ1225=41,"②病院短期","対象外")),IF($AH1225=5,IF($AJ1225=30,"③特定消防","対象外"),IF(OR($AJ1225=10,$AJ1225=11,$AJ1225=74),"④一般",IF(OR($AJ1225=41,$AJ1225=47),"⑤短期","対象外"))))))</f>
        <v>⑤短期</v>
      </c>
    </row>
    <row r="1226" customFormat="false" ht="15" hidden="false" customHeight="false" outlineLevel="0" collapsed="false">
      <c r="A1226" s="0" t="n">
        <v>31</v>
      </c>
      <c r="AA1226" s="0" t="n">
        <v>21</v>
      </c>
      <c r="AB1226" s="0" t="s">
        <v>494</v>
      </c>
      <c r="AD1226" s="0" t="n">
        <v>12</v>
      </c>
      <c r="AE1226" s="0" t="s">
        <v>96</v>
      </c>
      <c r="AH1226" s="0" t="n">
        <v>1</v>
      </c>
      <c r="AJ1226" s="0" t="n">
        <v>41</v>
      </c>
      <c r="AP1226" s="0" t="n">
        <v>170000</v>
      </c>
      <c r="DB1226" s="0" t="str">
        <f aca="false">IF($A1226="","",IF($AE1226&amp;""&lt;&gt;設定!$C$4,"対象外",IF($AH1226=20,IF(OR($AJ1226=10,$AJ1226=11,$AJ1226=18),"①病院一般",IF($AJ1226=41,"②病院短期","対象外")),IF($AH1226=5,IF($AJ1226=30,"③特定消防","対象外"),IF(OR($AJ1226=10,$AJ1226=11,$AJ1226=74),"④一般",IF(OR($AJ1226=41,$AJ1226=47),"⑤短期","対象外"))))))</f>
        <v>⑤短期</v>
      </c>
    </row>
    <row r="1227" customFormat="false" ht="15" hidden="false" customHeight="false" outlineLevel="0" collapsed="false">
      <c r="A1227" s="0" t="n">
        <v>31</v>
      </c>
      <c r="AA1227" s="0" t="n">
        <v>21</v>
      </c>
      <c r="AB1227" s="0" t="s">
        <v>494</v>
      </c>
      <c r="AD1227" s="0" t="n">
        <v>12</v>
      </c>
      <c r="AE1227" s="0" t="s">
        <v>96</v>
      </c>
      <c r="AH1227" s="0" t="n">
        <v>1</v>
      </c>
      <c r="AJ1227" s="0" t="n">
        <v>41</v>
      </c>
      <c r="AP1227" s="0" t="n">
        <v>134000</v>
      </c>
      <c r="DB1227" s="0" t="str">
        <f aca="false">IF($A1227="","",IF($AE1227&amp;""&lt;&gt;設定!$C$4,"対象外",IF($AH1227=20,IF(OR($AJ1227=10,$AJ1227=11,$AJ1227=18),"①病院一般",IF($AJ1227=41,"②病院短期","対象外")),IF($AH1227=5,IF($AJ1227=30,"③特定消防","対象外"),IF(OR($AJ1227=10,$AJ1227=11,$AJ1227=74),"④一般",IF(OR($AJ1227=41,$AJ1227=47),"⑤短期","対象外"))))))</f>
        <v>⑤短期</v>
      </c>
    </row>
    <row r="1228" customFormat="false" ht="15" hidden="false" customHeight="false" outlineLevel="0" collapsed="false">
      <c r="A1228" s="0" t="n">
        <v>31</v>
      </c>
      <c r="AA1228" s="0" t="n">
        <v>21</v>
      </c>
      <c r="AB1228" s="0" t="s">
        <v>494</v>
      </c>
      <c r="AD1228" s="0" t="n">
        <v>12</v>
      </c>
      <c r="AE1228" s="0" t="s">
        <v>303</v>
      </c>
      <c r="AH1228" s="0" t="n">
        <v>11</v>
      </c>
      <c r="AJ1228" s="0" t="n">
        <v>41</v>
      </c>
      <c r="AP1228" s="0" t="n">
        <v>190000</v>
      </c>
      <c r="DB1228" s="0" t="str">
        <f aca="false">IF($A1228="","",IF($AE1228&amp;""&lt;&gt;設定!$C$4,"対象外",IF($AH1228=20,IF(OR($AJ1228=10,$AJ1228=11,$AJ1228=18),"①病院一般",IF($AJ1228=41,"②病院短期","対象外")),IF($AH1228=5,IF($AJ1228=30,"③特定消防","対象外"),IF(OR($AJ1228=10,$AJ1228=11,$AJ1228=74),"④一般",IF(OR($AJ1228=41,$AJ1228=47),"⑤短期","対象外"))))))</f>
        <v>対象外</v>
      </c>
    </row>
    <row r="1229" customFormat="false" ht="15" hidden="false" customHeight="false" outlineLevel="0" collapsed="false">
      <c r="A1229" s="0" t="n">
        <v>31</v>
      </c>
      <c r="AA1229" s="0" t="n">
        <v>21</v>
      </c>
      <c r="AB1229" s="0" t="s">
        <v>587</v>
      </c>
      <c r="AD1229" s="0" t="n">
        <v>12</v>
      </c>
      <c r="AE1229" s="0" t="s">
        <v>588</v>
      </c>
      <c r="AH1229" s="0" t="n">
        <v>11</v>
      </c>
      <c r="AJ1229" s="0" t="n">
        <v>41</v>
      </c>
      <c r="AP1229" s="0" t="n">
        <v>110000</v>
      </c>
      <c r="DB1229" s="0" t="str">
        <f aca="false">IF($A1229="","",IF($AE1229&amp;""&lt;&gt;設定!$C$4,"対象外",IF($AH1229=20,IF(OR($AJ1229=10,$AJ1229=11,$AJ1229=18),"①病院一般",IF($AJ1229=41,"②病院短期","対象外")),IF($AH1229=5,IF($AJ1229=30,"③特定消防","対象外"),IF(OR($AJ1229=10,$AJ1229=11,$AJ1229=74),"④一般",IF(OR($AJ1229=41,$AJ1229=47),"⑤短期","対象外"))))))</f>
        <v>対象外</v>
      </c>
    </row>
    <row r="1230" customFormat="false" ht="15" hidden="false" customHeight="false" outlineLevel="0" collapsed="false">
      <c r="A1230" s="0" t="n">
        <v>31</v>
      </c>
      <c r="AA1230" s="0" t="n">
        <v>21</v>
      </c>
      <c r="AB1230" s="0" t="s">
        <v>571</v>
      </c>
      <c r="AD1230" s="0" t="n">
        <v>12</v>
      </c>
      <c r="AE1230" s="0" t="s">
        <v>96</v>
      </c>
      <c r="AH1230" s="0" t="n">
        <v>1</v>
      </c>
      <c r="AJ1230" s="0" t="n">
        <v>41</v>
      </c>
      <c r="AP1230" s="0" t="n">
        <v>118000</v>
      </c>
      <c r="DB1230" s="0" t="str">
        <f aca="false">IF($A1230="","",IF($AE1230&amp;""&lt;&gt;設定!$C$4,"対象外",IF($AH1230=20,IF(OR($AJ1230=10,$AJ1230=11,$AJ1230=18),"①病院一般",IF($AJ1230=41,"②病院短期","対象外")),IF($AH1230=5,IF($AJ1230=30,"③特定消防","対象外"),IF(OR($AJ1230=10,$AJ1230=11,$AJ1230=74),"④一般",IF(OR($AJ1230=41,$AJ1230=47),"⑤短期","対象外"))))))</f>
        <v>⑤短期</v>
      </c>
    </row>
    <row r="1231" customFormat="false" ht="15" hidden="false" customHeight="false" outlineLevel="0" collapsed="false">
      <c r="A1231" s="0" t="n">
        <v>31</v>
      </c>
      <c r="AA1231" s="0" t="n">
        <v>21</v>
      </c>
      <c r="AB1231" s="0" t="s">
        <v>509</v>
      </c>
      <c r="AD1231" s="0" t="n">
        <v>12</v>
      </c>
      <c r="AE1231" s="0" t="s">
        <v>296</v>
      </c>
      <c r="AH1231" s="0" t="n">
        <v>1</v>
      </c>
      <c r="AJ1231" s="0" t="n">
        <v>41</v>
      </c>
      <c r="AP1231" s="0" t="n">
        <v>134000</v>
      </c>
      <c r="DB1231" s="0" t="str">
        <f aca="false">IF($A1231="","",IF($AE1231&amp;""&lt;&gt;設定!$C$4,"対象外",IF($AH1231=20,IF(OR($AJ1231=10,$AJ1231=11,$AJ1231=18),"①病院一般",IF($AJ1231=41,"②病院短期","対象外")),IF($AH1231=5,IF($AJ1231=30,"③特定消防","対象外"),IF(OR($AJ1231=10,$AJ1231=11,$AJ1231=74),"④一般",IF(OR($AJ1231=41,$AJ1231=47),"⑤短期","対象外"))))))</f>
        <v>対象外</v>
      </c>
    </row>
    <row r="1232" customFormat="false" ht="15" hidden="false" customHeight="false" outlineLevel="0" collapsed="false">
      <c r="A1232" s="0" t="n">
        <v>31</v>
      </c>
      <c r="AA1232" s="0" t="n">
        <v>21</v>
      </c>
      <c r="AB1232" s="0" t="s">
        <v>509</v>
      </c>
      <c r="AD1232" s="0" t="n">
        <v>12</v>
      </c>
      <c r="AE1232" s="0" t="s">
        <v>96</v>
      </c>
      <c r="AH1232" s="0" t="n">
        <v>1</v>
      </c>
      <c r="AJ1232" s="0" t="n">
        <v>41</v>
      </c>
      <c r="AP1232" s="0" t="n">
        <v>134000</v>
      </c>
      <c r="DB1232" s="0" t="str">
        <f aca="false">IF($A1232="","",IF($AE1232&amp;""&lt;&gt;設定!$C$4,"対象外",IF($AH1232=20,IF(OR($AJ1232=10,$AJ1232=11,$AJ1232=18),"①病院一般",IF($AJ1232=41,"②病院短期","対象外")),IF($AH1232=5,IF($AJ1232=30,"③特定消防","対象外"),IF(OR($AJ1232=10,$AJ1232=11,$AJ1232=74),"④一般",IF(OR($AJ1232=41,$AJ1232=47),"⑤短期","対象外"))))))</f>
        <v>⑤短期</v>
      </c>
    </row>
    <row r="1233" customFormat="false" ht="15" hidden="false" customHeight="false" outlineLevel="0" collapsed="false">
      <c r="A1233" s="0" t="n">
        <v>31</v>
      </c>
      <c r="AA1233" s="0" t="n">
        <v>21</v>
      </c>
      <c r="AB1233" s="0" t="s">
        <v>509</v>
      </c>
      <c r="AD1233" s="0" t="n">
        <v>12</v>
      </c>
      <c r="AE1233" s="0" t="s">
        <v>96</v>
      </c>
      <c r="AH1233" s="0" t="n">
        <v>1</v>
      </c>
      <c r="AJ1233" s="0" t="n">
        <v>41</v>
      </c>
      <c r="AP1233" s="0" t="n">
        <v>200000</v>
      </c>
      <c r="DB1233" s="0" t="str">
        <f aca="false">IF($A1233="","",IF($AE1233&amp;""&lt;&gt;設定!$C$4,"対象外",IF($AH1233=20,IF(OR($AJ1233=10,$AJ1233=11,$AJ1233=18),"①病院一般",IF($AJ1233=41,"②病院短期","対象外")),IF($AH1233=5,IF($AJ1233=30,"③特定消防","対象外"),IF(OR($AJ1233=10,$AJ1233=11,$AJ1233=74),"④一般",IF(OR($AJ1233=41,$AJ1233=47),"⑤短期","対象外"))))))</f>
        <v>⑤短期</v>
      </c>
    </row>
    <row r="1234" customFormat="false" ht="15" hidden="false" customHeight="false" outlineLevel="0" collapsed="false">
      <c r="A1234" s="0" t="n">
        <v>31</v>
      </c>
      <c r="AA1234" s="0" t="n">
        <v>21</v>
      </c>
      <c r="AB1234" s="0" t="s">
        <v>589</v>
      </c>
      <c r="AD1234" s="0" t="n">
        <v>12</v>
      </c>
      <c r="AE1234" s="0" t="s">
        <v>376</v>
      </c>
      <c r="AH1234" s="0" t="n">
        <v>11</v>
      </c>
      <c r="AJ1234" s="0" t="n">
        <v>41</v>
      </c>
      <c r="AP1234" s="0" t="n">
        <v>118000</v>
      </c>
      <c r="DB1234" s="0" t="str">
        <f aca="false">IF($A1234="","",IF($AE1234&amp;""&lt;&gt;設定!$C$4,"対象外",IF($AH1234=20,IF(OR($AJ1234=10,$AJ1234=11,$AJ1234=18),"①病院一般",IF($AJ1234=41,"②病院短期","対象外")),IF($AH1234=5,IF($AJ1234=30,"③特定消防","対象外"),IF(OR($AJ1234=10,$AJ1234=11,$AJ1234=74),"④一般",IF(OR($AJ1234=41,$AJ1234=47),"⑤短期","対象外"))))))</f>
        <v>対象外</v>
      </c>
    </row>
    <row r="1235" customFormat="false" ht="15" hidden="false" customHeight="false" outlineLevel="0" collapsed="false">
      <c r="A1235" s="0" t="n">
        <v>31</v>
      </c>
      <c r="AA1235" s="0" t="n">
        <v>21</v>
      </c>
      <c r="AB1235" s="0" t="s">
        <v>590</v>
      </c>
      <c r="AD1235" s="0" t="n">
        <v>12</v>
      </c>
      <c r="AE1235" s="0" t="s">
        <v>96</v>
      </c>
      <c r="AH1235" s="0" t="n">
        <v>1</v>
      </c>
      <c r="AJ1235" s="0" t="n">
        <v>41</v>
      </c>
      <c r="AP1235" s="0" t="n">
        <v>126000</v>
      </c>
      <c r="DB1235" s="0" t="str">
        <f aca="false">IF($A1235="","",IF($AE1235&amp;""&lt;&gt;設定!$C$4,"対象外",IF($AH1235=20,IF(OR($AJ1235=10,$AJ1235=11,$AJ1235=18),"①病院一般",IF($AJ1235=41,"②病院短期","対象外")),IF($AH1235=5,IF($AJ1235=30,"③特定消防","対象外"),IF(OR($AJ1235=10,$AJ1235=11,$AJ1235=74),"④一般",IF(OR($AJ1235=41,$AJ1235=47),"⑤短期","対象外"))))))</f>
        <v>⑤短期</v>
      </c>
    </row>
    <row r="1236" customFormat="false" ht="15" hidden="false" customHeight="false" outlineLevel="0" collapsed="false">
      <c r="A1236" s="0" t="n">
        <v>31</v>
      </c>
      <c r="AA1236" s="0" t="n">
        <v>21</v>
      </c>
      <c r="AB1236" s="0" t="s">
        <v>506</v>
      </c>
      <c r="AD1236" s="0" t="n">
        <v>12</v>
      </c>
      <c r="AE1236" s="0" t="s">
        <v>96</v>
      </c>
      <c r="AH1236" s="0" t="n">
        <v>1</v>
      </c>
      <c r="AJ1236" s="0" t="n">
        <v>41</v>
      </c>
      <c r="AP1236" s="0" t="n">
        <v>118000</v>
      </c>
      <c r="DB1236" s="0" t="str">
        <f aca="false">IF($A1236="","",IF($AE1236&amp;""&lt;&gt;設定!$C$4,"対象外",IF($AH1236=20,IF(OR($AJ1236=10,$AJ1236=11,$AJ1236=18),"①病院一般",IF($AJ1236=41,"②病院短期","対象外")),IF($AH1236=5,IF($AJ1236=30,"③特定消防","対象外"),IF(OR($AJ1236=10,$AJ1236=11,$AJ1236=74),"④一般",IF(OR($AJ1236=41,$AJ1236=47),"⑤短期","対象外"))))))</f>
        <v>⑤短期</v>
      </c>
    </row>
    <row r="1237" customFormat="false" ht="15" hidden="false" customHeight="false" outlineLevel="0" collapsed="false">
      <c r="A1237" s="0" t="n">
        <v>31</v>
      </c>
      <c r="AA1237" s="0" t="n">
        <v>21</v>
      </c>
      <c r="AB1237" s="0" t="s">
        <v>491</v>
      </c>
      <c r="AD1237" s="0" t="n">
        <v>12</v>
      </c>
      <c r="AE1237" s="0" t="s">
        <v>96</v>
      </c>
      <c r="AH1237" s="0" t="n">
        <v>1</v>
      </c>
      <c r="AJ1237" s="0" t="n">
        <v>41</v>
      </c>
      <c r="AP1237" s="0" t="n">
        <v>170000</v>
      </c>
      <c r="DB1237" s="0" t="str">
        <f aca="false">IF($A1237="","",IF($AE1237&amp;""&lt;&gt;設定!$C$4,"対象外",IF($AH1237=20,IF(OR($AJ1237=10,$AJ1237=11,$AJ1237=18),"①病院一般",IF($AJ1237=41,"②病院短期","対象外")),IF($AH1237=5,IF($AJ1237=30,"③特定消防","対象外"),IF(OR($AJ1237=10,$AJ1237=11,$AJ1237=74),"④一般",IF(OR($AJ1237=41,$AJ1237=47),"⑤短期","対象外"))))))</f>
        <v>⑤短期</v>
      </c>
    </row>
    <row r="1238" customFormat="false" ht="15" hidden="false" customHeight="false" outlineLevel="0" collapsed="false">
      <c r="A1238" s="0" t="n">
        <v>31</v>
      </c>
      <c r="AA1238" s="0" t="n">
        <v>21</v>
      </c>
      <c r="AB1238" s="0" t="s">
        <v>591</v>
      </c>
      <c r="AD1238" s="0" t="n">
        <v>12</v>
      </c>
      <c r="AE1238" s="0" t="s">
        <v>96</v>
      </c>
      <c r="AH1238" s="0" t="n">
        <v>1</v>
      </c>
      <c r="AJ1238" s="0" t="n">
        <v>41</v>
      </c>
      <c r="AP1238" s="0" t="n">
        <v>260000</v>
      </c>
      <c r="DB1238" s="0" t="str">
        <f aca="false">IF($A1238="","",IF($AE1238&amp;""&lt;&gt;設定!$C$4,"対象外",IF($AH1238=20,IF(OR($AJ1238=10,$AJ1238=11,$AJ1238=18),"①病院一般",IF($AJ1238=41,"②病院短期","対象外")),IF($AH1238=5,IF($AJ1238=30,"③特定消防","対象外"),IF(OR($AJ1238=10,$AJ1238=11,$AJ1238=74),"④一般",IF(OR($AJ1238=41,$AJ1238=47),"⑤短期","対象外"))))))</f>
        <v>⑤短期</v>
      </c>
    </row>
    <row r="1239" customFormat="false" ht="15" hidden="false" customHeight="false" outlineLevel="0" collapsed="false">
      <c r="A1239" s="0" t="n">
        <v>31</v>
      </c>
      <c r="AA1239" s="0" t="n">
        <v>21</v>
      </c>
      <c r="AB1239" s="0" t="s">
        <v>504</v>
      </c>
      <c r="AD1239" s="0" t="n">
        <v>12</v>
      </c>
      <c r="AE1239" s="0" t="s">
        <v>96</v>
      </c>
      <c r="AH1239" s="0" t="n">
        <v>1</v>
      </c>
      <c r="AJ1239" s="0" t="n">
        <v>41</v>
      </c>
      <c r="AP1239" s="0" t="n">
        <v>150000</v>
      </c>
      <c r="DB1239" s="0" t="str">
        <f aca="false">IF($A1239="","",IF($AE1239&amp;""&lt;&gt;設定!$C$4,"対象外",IF($AH1239=20,IF(OR($AJ1239=10,$AJ1239=11,$AJ1239=18),"①病院一般",IF($AJ1239=41,"②病院短期","対象外")),IF($AH1239=5,IF($AJ1239=30,"③特定消防","対象外"),IF(OR($AJ1239=10,$AJ1239=11,$AJ1239=74),"④一般",IF(OR($AJ1239=41,$AJ1239=47),"⑤短期","対象外"))))))</f>
        <v>⑤短期</v>
      </c>
    </row>
    <row r="1240" customFormat="false" ht="15" hidden="false" customHeight="false" outlineLevel="0" collapsed="false">
      <c r="A1240" s="0" t="n">
        <v>31</v>
      </c>
      <c r="AA1240" s="0" t="n">
        <v>21</v>
      </c>
      <c r="AB1240" s="0" t="s">
        <v>504</v>
      </c>
      <c r="AD1240" s="0" t="n">
        <v>12</v>
      </c>
      <c r="AE1240" s="0" t="s">
        <v>96</v>
      </c>
      <c r="AH1240" s="0" t="n">
        <v>1</v>
      </c>
      <c r="AJ1240" s="0" t="n">
        <v>41</v>
      </c>
      <c r="AP1240" s="0" t="n">
        <v>240000</v>
      </c>
      <c r="DB1240" s="0" t="str">
        <f aca="false">IF($A1240="","",IF($AE1240&amp;""&lt;&gt;設定!$C$4,"対象外",IF($AH1240=20,IF(OR($AJ1240=10,$AJ1240=11,$AJ1240=18),"①病院一般",IF($AJ1240=41,"②病院短期","対象外")),IF($AH1240=5,IF($AJ1240=30,"③特定消防","対象外"),IF(OR($AJ1240=10,$AJ1240=11,$AJ1240=74),"④一般",IF(OR($AJ1240=41,$AJ1240=47),"⑤短期","対象外"))))))</f>
        <v>⑤短期</v>
      </c>
    </row>
    <row r="1241" customFormat="false" ht="15" hidden="false" customHeight="false" outlineLevel="0" collapsed="false">
      <c r="A1241" s="0" t="n">
        <v>31</v>
      </c>
      <c r="AA1241" s="0" t="n">
        <v>21</v>
      </c>
      <c r="AB1241" s="0" t="s">
        <v>526</v>
      </c>
      <c r="AD1241" s="0" t="n">
        <v>12</v>
      </c>
      <c r="AE1241" s="0" t="s">
        <v>96</v>
      </c>
      <c r="AH1241" s="0" t="n">
        <v>1</v>
      </c>
      <c r="AJ1241" s="0" t="n">
        <v>41</v>
      </c>
      <c r="AP1241" s="0" t="n">
        <v>190000</v>
      </c>
      <c r="DB1241" s="0" t="str">
        <f aca="false">IF($A1241="","",IF($AE1241&amp;""&lt;&gt;設定!$C$4,"対象外",IF($AH1241=20,IF(OR($AJ1241=10,$AJ1241=11,$AJ1241=18),"①病院一般",IF($AJ1241=41,"②病院短期","対象外")),IF($AH1241=5,IF($AJ1241=30,"③特定消防","対象外"),IF(OR($AJ1241=10,$AJ1241=11,$AJ1241=74),"④一般",IF(OR($AJ1241=41,$AJ1241=47),"⑤短期","対象外"))))))</f>
        <v>⑤短期</v>
      </c>
    </row>
    <row r="1242" customFormat="false" ht="15" hidden="false" customHeight="false" outlineLevel="0" collapsed="false">
      <c r="A1242" s="0" t="n">
        <v>31</v>
      </c>
      <c r="AA1242" s="0" t="n">
        <v>21</v>
      </c>
      <c r="AB1242" s="0" t="s">
        <v>592</v>
      </c>
      <c r="AD1242" s="0" t="n">
        <v>12</v>
      </c>
      <c r="AE1242" s="0" t="s">
        <v>593</v>
      </c>
      <c r="AH1242" s="0" t="n">
        <v>11</v>
      </c>
      <c r="AJ1242" s="0" t="n">
        <v>41</v>
      </c>
      <c r="AP1242" s="0" t="n">
        <v>98000</v>
      </c>
      <c r="DB1242" s="0" t="str">
        <f aca="false">IF($A1242="","",IF($AE1242&amp;""&lt;&gt;設定!$C$4,"対象外",IF($AH1242=20,IF(OR($AJ1242=10,$AJ1242=11,$AJ1242=18),"①病院一般",IF($AJ1242=41,"②病院短期","対象外")),IF($AH1242=5,IF($AJ1242=30,"③特定消防","対象外"),IF(OR($AJ1242=10,$AJ1242=11,$AJ1242=74),"④一般",IF(OR($AJ1242=41,$AJ1242=47),"⑤短期","対象外"))))))</f>
        <v>対象外</v>
      </c>
    </row>
    <row r="1243" customFormat="false" ht="15" hidden="false" customHeight="false" outlineLevel="0" collapsed="false">
      <c r="A1243" s="0" t="n">
        <v>31</v>
      </c>
      <c r="AA1243" s="0" t="n">
        <v>21</v>
      </c>
      <c r="AB1243" s="0" t="s">
        <v>527</v>
      </c>
      <c r="AD1243" s="0" t="n">
        <v>12</v>
      </c>
      <c r="AE1243" s="0" t="s">
        <v>594</v>
      </c>
      <c r="AH1243" s="0" t="n">
        <v>11</v>
      </c>
      <c r="AJ1243" s="0" t="n">
        <v>41</v>
      </c>
      <c r="AP1243" s="0" t="n">
        <v>98000</v>
      </c>
      <c r="DB1243" s="0" t="str">
        <f aca="false">IF($A1243="","",IF($AE1243&amp;""&lt;&gt;設定!$C$4,"対象外",IF($AH1243=20,IF(OR($AJ1243=10,$AJ1243=11,$AJ1243=18),"①病院一般",IF($AJ1243=41,"②病院短期","対象外")),IF($AH1243=5,IF($AJ1243=30,"③特定消防","対象外"),IF(OR($AJ1243=10,$AJ1243=11,$AJ1243=74),"④一般",IF(OR($AJ1243=41,$AJ1243=47),"⑤短期","対象外"))))))</f>
        <v>対象外</v>
      </c>
    </row>
    <row r="1244" customFormat="false" ht="15" hidden="false" customHeight="false" outlineLevel="0" collapsed="false">
      <c r="A1244" s="0" t="n">
        <v>31</v>
      </c>
      <c r="AA1244" s="0" t="n">
        <v>21</v>
      </c>
      <c r="AB1244" s="0" t="s">
        <v>595</v>
      </c>
      <c r="AD1244" s="0" t="n">
        <v>12</v>
      </c>
      <c r="AE1244" s="0" t="s">
        <v>596</v>
      </c>
      <c r="AH1244" s="0" t="n">
        <v>11</v>
      </c>
      <c r="AJ1244" s="0" t="n">
        <v>41</v>
      </c>
      <c r="AP1244" s="0" t="n">
        <v>88000</v>
      </c>
      <c r="DB1244" s="0" t="str">
        <f aca="false">IF($A1244="","",IF($AE1244&amp;""&lt;&gt;設定!$C$4,"対象外",IF($AH1244=20,IF(OR($AJ1244=10,$AJ1244=11,$AJ1244=18),"①病院一般",IF($AJ1244=41,"②病院短期","対象外")),IF($AH1244=5,IF($AJ1244=30,"③特定消防","対象外"),IF(OR($AJ1244=10,$AJ1244=11,$AJ1244=74),"④一般",IF(OR($AJ1244=41,$AJ1244=47),"⑤短期","対象外"))))))</f>
        <v>対象外</v>
      </c>
    </row>
    <row r="1245" customFormat="false" ht="15" hidden="false" customHeight="false" outlineLevel="0" collapsed="false">
      <c r="A1245" s="0" t="n">
        <v>31</v>
      </c>
      <c r="AA1245" s="0" t="n">
        <v>21</v>
      </c>
      <c r="AB1245" s="0" t="s">
        <v>597</v>
      </c>
      <c r="AD1245" s="0" t="n">
        <v>12</v>
      </c>
      <c r="AE1245" s="0" t="s">
        <v>294</v>
      </c>
      <c r="AH1245" s="0" t="n">
        <v>1</v>
      </c>
      <c r="AJ1245" s="0" t="n">
        <v>41</v>
      </c>
      <c r="AP1245" s="0" t="n">
        <v>142000</v>
      </c>
      <c r="DB1245" s="0" t="str">
        <f aca="false">IF($A1245="","",IF($AE1245&amp;""&lt;&gt;設定!$C$4,"対象外",IF($AH1245=20,IF(OR($AJ1245=10,$AJ1245=11,$AJ1245=18),"①病院一般",IF($AJ1245=41,"②病院短期","対象外")),IF($AH1245=5,IF($AJ1245=30,"③特定消防","対象外"),IF(OR($AJ1245=10,$AJ1245=11,$AJ1245=74),"④一般",IF(OR($AJ1245=41,$AJ1245=47),"⑤短期","対象外"))))))</f>
        <v>対象外</v>
      </c>
    </row>
    <row r="1246" customFormat="false" ht="15" hidden="false" customHeight="false" outlineLevel="0" collapsed="false">
      <c r="A1246" s="0" t="n">
        <v>31</v>
      </c>
      <c r="AA1246" s="0" t="n">
        <v>21</v>
      </c>
      <c r="AB1246" s="0" t="s">
        <v>598</v>
      </c>
      <c r="AD1246" s="0" t="n">
        <v>12</v>
      </c>
      <c r="AE1246" s="0" t="s">
        <v>96</v>
      </c>
      <c r="AH1246" s="0" t="n">
        <v>11</v>
      </c>
      <c r="AJ1246" s="0" t="n">
        <v>41</v>
      </c>
      <c r="AP1246" s="0" t="n">
        <v>190000</v>
      </c>
      <c r="DB1246" s="0" t="str">
        <f aca="false">IF($A1246="","",IF($AE1246&amp;""&lt;&gt;設定!$C$4,"対象外",IF($AH1246=20,IF(OR($AJ1246=10,$AJ1246=11,$AJ1246=18),"①病院一般",IF($AJ1246=41,"②病院短期","対象外")),IF($AH1246=5,IF($AJ1246=30,"③特定消防","対象外"),IF(OR($AJ1246=10,$AJ1246=11,$AJ1246=74),"④一般",IF(OR($AJ1246=41,$AJ1246=47),"⑤短期","対象外"))))))</f>
        <v>⑤短期</v>
      </c>
    </row>
    <row r="1247" customFormat="false" ht="15" hidden="false" customHeight="false" outlineLevel="0" collapsed="false">
      <c r="A1247" s="0" t="n">
        <v>31</v>
      </c>
      <c r="AA1247" s="0" t="n">
        <v>21</v>
      </c>
      <c r="AB1247" s="0" t="s">
        <v>96</v>
      </c>
      <c r="AD1247" s="0" t="n">
        <v>12</v>
      </c>
      <c r="AE1247" s="0" t="s">
        <v>301</v>
      </c>
      <c r="AH1247" s="0" t="n">
        <v>1</v>
      </c>
      <c r="AJ1247" s="0" t="n">
        <v>41</v>
      </c>
      <c r="AP1247" s="0" t="n">
        <v>142000</v>
      </c>
      <c r="DB1247" s="0" t="str">
        <f aca="false">IF($A1247="","",IF($AE1247&amp;""&lt;&gt;設定!$C$4,"対象外",IF($AH1247=20,IF(OR($AJ1247=10,$AJ1247=11,$AJ1247=18),"①病院一般",IF($AJ1247=41,"②病院短期","対象外")),IF($AH1247=5,IF($AJ1247=30,"③特定消防","対象外"),IF(OR($AJ1247=10,$AJ1247=11,$AJ1247=74),"④一般",IF(OR($AJ1247=41,$AJ1247=47),"⑤短期","対象外"))))))</f>
        <v>対象外</v>
      </c>
    </row>
    <row r="1248" customFormat="false" ht="15" hidden="false" customHeight="false" outlineLevel="0" collapsed="false">
      <c r="A1248" s="0" t="n">
        <v>31</v>
      </c>
      <c r="AA1248" s="0" t="n">
        <v>21</v>
      </c>
      <c r="AB1248" s="0" t="s">
        <v>504</v>
      </c>
      <c r="AD1248" s="0" t="n">
        <v>12</v>
      </c>
      <c r="AE1248" s="0" t="s">
        <v>96</v>
      </c>
      <c r="AH1248" s="0" t="n">
        <v>1</v>
      </c>
      <c r="AJ1248" s="0" t="n">
        <v>41</v>
      </c>
      <c r="AP1248" s="0" t="n">
        <v>118000</v>
      </c>
      <c r="DB1248" s="0" t="str">
        <f aca="false">IF($A1248="","",IF($AE1248&amp;""&lt;&gt;設定!$C$4,"対象外",IF($AH1248=20,IF(OR($AJ1248=10,$AJ1248=11,$AJ1248=18),"①病院一般",IF($AJ1248=41,"②病院短期","対象外")),IF($AH1248=5,IF($AJ1248=30,"③特定消防","対象外"),IF(OR($AJ1248=10,$AJ1248=11,$AJ1248=74),"④一般",IF(OR($AJ1248=41,$AJ1248=47),"⑤短期","対象外"))))))</f>
        <v>⑤短期</v>
      </c>
    </row>
    <row r="1249" customFormat="false" ht="15" hidden="false" customHeight="false" outlineLevel="0" collapsed="false">
      <c r="A1249" s="0" t="n">
        <v>31</v>
      </c>
      <c r="AA1249" s="0" t="n">
        <v>21</v>
      </c>
      <c r="AB1249" s="0" t="s">
        <v>599</v>
      </c>
      <c r="AD1249" s="0" t="n">
        <v>12</v>
      </c>
      <c r="AE1249" s="0" t="s">
        <v>96</v>
      </c>
      <c r="AH1249" s="0" t="n">
        <v>1</v>
      </c>
      <c r="AJ1249" s="0" t="n">
        <v>41</v>
      </c>
      <c r="AP1249" s="0" t="n">
        <v>126000</v>
      </c>
      <c r="DB1249" s="0" t="str">
        <f aca="false">IF($A1249="","",IF($AE1249&amp;""&lt;&gt;設定!$C$4,"対象外",IF($AH1249=20,IF(OR($AJ1249=10,$AJ1249=11,$AJ1249=18),"①病院一般",IF($AJ1249=41,"②病院短期","対象外")),IF($AH1249=5,IF($AJ1249=30,"③特定消防","対象外"),IF(OR($AJ1249=10,$AJ1249=11,$AJ1249=74),"④一般",IF(OR($AJ1249=41,$AJ1249=47),"⑤短期","対象外"))))))</f>
        <v>⑤短期</v>
      </c>
    </row>
    <row r="1250" customFormat="false" ht="15" hidden="false" customHeight="false" outlineLevel="0" collapsed="false">
      <c r="A1250" s="0" t="n">
        <v>31</v>
      </c>
      <c r="AA1250" s="0" t="n">
        <v>21</v>
      </c>
      <c r="AB1250" s="0" t="s">
        <v>526</v>
      </c>
      <c r="AD1250" s="0" t="n">
        <v>13</v>
      </c>
      <c r="AE1250" s="0" t="s">
        <v>96</v>
      </c>
      <c r="AH1250" s="0" t="n">
        <v>1</v>
      </c>
      <c r="AJ1250" s="0" t="n">
        <v>41</v>
      </c>
      <c r="AP1250" s="0" t="n">
        <v>134000</v>
      </c>
      <c r="DB1250" s="0" t="str">
        <f aca="false">IF($A1250="","",IF($AE1250&amp;""&lt;&gt;設定!$C$4,"対象外",IF($AH1250=20,IF(OR($AJ1250=10,$AJ1250=11,$AJ1250=18),"①病院一般",IF($AJ1250=41,"②病院短期","対象外")),IF($AH1250=5,IF($AJ1250=30,"③特定消防","対象外"),IF(OR($AJ1250=10,$AJ1250=11,$AJ1250=74),"④一般",IF(OR($AJ1250=41,$AJ1250=47),"⑤短期","対象外"))))))</f>
        <v>⑤短期</v>
      </c>
    </row>
    <row r="1251" customFormat="false" ht="15" hidden="false" customHeight="false" outlineLevel="0" collapsed="false">
      <c r="A1251" s="0" t="n">
        <v>31</v>
      </c>
      <c r="AA1251" s="0" t="n">
        <v>21</v>
      </c>
      <c r="AB1251" s="0" t="s">
        <v>296</v>
      </c>
      <c r="AD1251" s="0" t="n">
        <v>12</v>
      </c>
      <c r="AE1251" s="0" t="s">
        <v>301</v>
      </c>
      <c r="AH1251" s="0" t="n">
        <v>1</v>
      </c>
      <c r="AJ1251" s="0" t="n">
        <v>41</v>
      </c>
      <c r="AP1251" s="0" t="n">
        <v>104000</v>
      </c>
      <c r="DB1251" s="0" t="str">
        <f aca="false">IF($A1251="","",IF($AE1251&amp;""&lt;&gt;設定!$C$4,"対象外",IF($AH1251=20,IF(OR($AJ1251=10,$AJ1251=11,$AJ1251=18),"①病院一般",IF($AJ1251=41,"②病院短期","対象外")),IF($AH1251=5,IF($AJ1251=30,"③特定消防","対象外"),IF(OR($AJ1251=10,$AJ1251=11,$AJ1251=74),"④一般",IF(OR($AJ1251=41,$AJ1251=47),"⑤短期","対象外"))))))</f>
        <v>対象外</v>
      </c>
    </row>
    <row r="1252" customFormat="false" ht="15" hidden="false" customHeight="false" outlineLevel="0" collapsed="false">
      <c r="A1252" s="0" t="n">
        <v>31</v>
      </c>
      <c r="AA1252" s="0" t="n">
        <v>21</v>
      </c>
      <c r="AB1252" s="0" t="s">
        <v>96</v>
      </c>
      <c r="AD1252" s="0" t="n">
        <v>12</v>
      </c>
      <c r="AE1252" s="0" t="s">
        <v>296</v>
      </c>
      <c r="AH1252" s="0" t="n">
        <v>1</v>
      </c>
      <c r="AJ1252" s="0" t="n">
        <v>41</v>
      </c>
      <c r="AP1252" s="0" t="n">
        <v>134000</v>
      </c>
      <c r="DB1252" s="0" t="str">
        <f aca="false">IF($A1252="","",IF($AE1252&amp;""&lt;&gt;設定!$C$4,"対象外",IF($AH1252=20,IF(OR($AJ1252=10,$AJ1252=11,$AJ1252=18),"①病院一般",IF($AJ1252=41,"②病院短期","対象外")),IF($AH1252=5,IF($AJ1252=30,"③特定消防","対象外"),IF(OR($AJ1252=10,$AJ1252=11,$AJ1252=74),"④一般",IF(OR($AJ1252=41,$AJ1252=47),"⑤短期","対象外"))))))</f>
        <v>対象外</v>
      </c>
    </row>
    <row r="1253" customFormat="false" ht="15" hidden="false" customHeight="false" outlineLevel="0" collapsed="false">
      <c r="A1253" s="0" t="n">
        <v>31</v>
      </c>
      <c r="AA1253" s="0" t="n">
        <v>21</v>
      </c>
      <c r="AB1253" s="0" t="s">
        <v>536</v>
      </c>
      <c r="AD1253" s="0" t="n">
        <v>12</v>
      </c>
      <c r="AE1253" s="0" t="s">
        <v>96</v>
      </c>
      <c r="AH1253" s="0" t="n">
        <v>1</v>
      </c>
      <c r="AJ1253" s="0" t="n">
        <v>41</v>
      </c>
      <c r="AP1253" s="0" t="n">
        <v>126000</v>
      </c>
      <c r="DB1253" s="0" t="str">
        <f aca="false">IF($A1253="","",IF($AE1253&amp;""&lt;&gt;設定!$C$4,"対象外",IF($AH1253=20,IF(OR($AJ1253=10,$AJ1253=11,$AJ1253=18),"①病院一般",IF($AJ1253=41,"②病院短期","対象外")),IF($AH1253=5,IF($AJ1253=30,"③特定消防","対象外"),IF(OR($AJ1253=10,$AJ1253=11,$AJ1253=74),"④一般",IF(OR($AJ1253=41,$AJ1253=47),"⑤短期","対象外"))))))</f>
        <v>⑤短期</v>
      </c>
    </row>
    <row r="1254" customFormat="false" ht="15" hidden="false" customHeight="false" outlineLevel="0" collapsed="false">
      <c r="A1254" s="0" t="n">
        <v>31</v>
      </c>
      <c r="AA1254" s="0" t="n">
        <v>24</v>
      </c>
      <c r="AB1254" s="0" t="s">
        <v>347</v>
      </c>
      <c r="AD1254" s="0" t="n">
        <v>12</v>
      </c>
      <c r="AE1254" s="0" t="s">
        <v>348</v>
      </c>
      <c r="AH1254" s="0" t="n">
        <v>1</v>
      </c>
      <c r="AJ1254" s="0" t="n">
        <v>41</v>
      </c>
      <c r="AP1254" s="0" t="n">
        <v>142000</v>
      </c>
      <c r="DB1254" s="0" t="str">
        <f aca="false">IF($A1254="","",IF($AE1254&amp;""&lt;&gt;設定!$C$4,"対象外",IF($AH1254=20,IF(OR($AJ1254=10,$AJ1254=11,$AJ1254=18),"①病院一般",IF($AJ1254=41,"②病院短期","対象外")),IF($AH1254=5,IF($AJ1254=30,"③特定消防","対象外"),IF(OR($AJ1254=10,$AJ1254=11,$AJ1254=74),"④一般",IF(OR($AJ1254=41,$AJ1254=47),"⑤短期","対象外"))))))</f>
        <v>対象外</v>
      </c>
    </row>
    <row r="1255" customFormat="false" ht="15" hidden="false" customHeight="false" outlineLevel="0" collapsed="false">
      <c r="A1255" s="0" t="n">
        <v>31</v>
      </c>
      <c r="AA1255" s="0" t="n">
        <v>21</v>
      </c>
      <c r="AB1255" s="0" t="s">
        <v>519</v>
      </c>
      <c r="AD1255" s="0" t="n">
        <v>12</v>
      </c>
      <c r="AE1255" s="0" t="s">
        <v>96</v>
      </c>
      <c r="AH1255" s="0" t="n">
        <v>1</v>
      </c>
      <c r="AJ1255" s="0" t="n">
        <v>41</v>
      </c>
      <c r="AP1255" s="0" t="n">
        <v>126000</v>
      </c>
      <c r="DB1255" s="0" t="str">
        <f aca="false">IF($A1255="","",IF($AE1255&amp;""&lt;&gt;設定!$C$4,"対象外",IF($AH1255=20,IF(OR($AJ1255=10,$AJ1255=11,$AJ1255=18),"①病院一般",IF($AJ1255=41,"②病院短期","対象外")),IF($AH1255=5,IF($AJ1255=30,"③特定消防","対象外"),IF(OR($AJ1255=10,$AJ1255=11,$AJ1255=74),"④一般",IF(OR($AJ1255=41,$AJ1255=47),"⑤短期","対象外"))))))</f>
        <v>⑤短期</v>
      </c>
    </row>
    <row r="1256" customFormat="false" ht="15" hidden="false" customHeight="false" outlineLevel="0" collapsed="false">
      <c r="A1256" s="0" t="n">
        <v>31</v>
      </c>
      <c r="AA1256" s="0" t="n">
        <v>21</v>
      </c>
      <c r="AB1256" s="0" t="s">
        <v>542</v>
      </c>
      <c r="AD1256" s="0" t="n">
        <v>12</v>
      </c>
      <c r="AE1256" s="0" t="s">
        <v>96</v>
      </c>
      <c r="AH1256" s="0" t="n">
        <v>1</v>
      </c>
      <c r="AJ1256" s="0" t="n">
        <v>41</v>
      </c>
      <c r="AP1256" s="0" t="n">
        <v>134000</v>
      </c>
      <c r="DB1256" s="0" t="str">
        <f aca="false">IF($A1256="","",IF($AE1256&amp;""&lt;&gt;設定!$C$4,"対象外",IF($AH1256=20,IF(OR($AJ1256=10,$AJ1256=11,$AJ1256=18),"①病院一般",IF($AJ1256=41,"②病院短期","対象外")),IF($AH1256=5,IF($AJ1256=30,"③特定消防","対象外"),IF(OR($AJ1256=10,$AJ1256=11,$AJ1256=74),"④一般",IF(OR($AJ1256=41,$AJ1256=47),"⑤短期","対象外"))))))</f>
        <v>⑤短期</v>
      </c>
    </row>
    <row r="1257" customFormat="false" ht="15" hidden="false" customHeight="false" outlineLevel="0" collapsed="false">
      <c r="A1257" s="0" t="n">
        <v>31</v>
      </c>
      <c r="AA1257" s="0" t="n">
        <v>21</v>
      </c>
      <c r="AB1257" s="0" t="s">
        <v>349</v>
      </c>
      <c r="AD1257" s="0" t="n">
        <v>12</v>
      </c>
      <c r="AE1257" s="0" t="s">
        <v>296</v>
      </c>
      <c r="AH1257" s="0" t="n">
        <v>1</v>
      </c>
      <c r="AJ1257" s="0" t="n">
        <v>41</v>
      </c>
      <c r="AP1257" s="0" t="n">
        <v>142000</v>
      </c>
      <c r="DB1257" s="0" t="str">
        <f aca="false">IF($A1257="","",IF($AE1257&amp;""&lt;&gt;設定!$C$4,"対象外",IF($AH1257=20,IF(OR($AJ1257=10,$AJ1257=11,$AJ1257=18),"①病院一般",IF($AJ1257=41,"②病院短期","対象外")),IF($AH1257=5,IF($AJ1257=30,"③特定消防","対象外"),IF(OR($AJ1257=10,$AJ1257=11,$AJ1257=74),"④一般",IF(OR($AJ1257=41,$AJ1257=47),"⑤短期","対象外"))))))</f>
        <v>対象外</v>
      </c>
    </row>
    <row r="1258" customFormat="false" ht="15" hidden="false" customHeight="false" outlineLevel="0" collapsed="false">
      <c r="A1258" s="0" t="n">
        <v>31</v>
      </c>
      <c r="AA1258" s="0" t="n">
        <v>21</v>
      </c>
      <c r="AB1258" s="0" t="s">
        <v>96</v>
      </c>
      <c r="AD1258" s="0" t="n">
        <v>12</v>
      </c>
      <c r="AE1258" s="0" t="s">
        <v>294</v>
      </c>
      <c r="AH1258" s="0" t="n">
        <v>1</v>
      </c>
      <c r="AJ1258" s="0" t="n">
        <v>41</v>
      </c>
      <c r="AP1258" s="0" t="n">
        <v>142000</v>
      </c>
      <c r="DB1258" s="0" t="str">
        <f aca="false">IF($A1258="","",IF($AE1258&amp;""&lt;&gt;設定!$C$4,"対象外",IF($AH1258=20,IF(OR($AJ1258=10,$AJ1258=11,$AJ1258=18),"①病院一般",IF($AJ1258=41,"②病院短期","対象外")),IF($AH1258=5,IF($AJ1258=30,"③特定消防","対象外"),IF(OR($AJ1258=10,$AJ1258=11,$AJ1258=74),"④一般",IF(OR($AJ1258=41,$AJ1258=47),"⑤短期","対象外"))))))</f>
        <v>対象外</v>
      </c>
    </row>
    <row r="1259" customFormat="false" ht="15" hidden="false" customHeight="false" outlineLevel="0" collapsed="false">
      <c r="A1259" s="0" t="n">
        <v>31</v>
      </c>
      <c r="AA1259" s="0" t="n">
        <v>21</v>
      </c>
      <c r="AB1259" s="0" t="s">
        <v>96</v>
      </c>
      <c r="AD1259" s="0" t="n">
        <v>12</v>
      </c>
      <c r="AE1259" s="0" t="s">
        <v>301</v>
      </c>
      <c r="AH1259" s="0" t="n">
        <v>20</v>
      </c>
      <c r="AJ1259" s="0" t="n">
        <v>41</v>
      </c>
      <c r="AP1259" s="0" t="n">
        <v>750000</v>
      </c>
      <c r="DB1259" s="0" t="str">
        <f aca="false">IF($A1259="","",IF($AE1259&amp;""&lt;&gt;設定!$C$4,"対象外",IF($AH1259=20,IF(OR($AJ1259=10,$AJ1259=11,$AJ1259=18),"①病院一般",IF($AJ1259=41,"②病院短期","対象外")),IF($AH1259=5,IF($AJ1259=30,"③特定消防","対象外"),IF(OR($AJ1259=10,$AJ1259=11,$AJ1259=74),"④一般",IF(OR($AJ1259=41,$AJ1259=47),"⑤短期","対象外"))))))</f>
        <v>対象外</v>
      </c>
    </row>
    <row r="1260" customFormat="false" ht="15" hidden="false" customHeight="false" outlineLevel="0" collapsed="false">
      <c r="A1260" s="0" t="n">
        <v>31</v>
      </c>
      <c r="AA1260" s="0" t="n">
        <v>21</v>
      </c>
      <c r="AB1260" s="0" t="s">
        <v>96</v>
      </c>
      <c r="AD1260" s="0" t="n">
        <v>12</v>
      </c>
      <c r="AE1260" s="0" t="s">
        <v>301</v>
      </c>
      <c r="AH1260" s="0" t="n">
        <v>20</v>
      </c>
      <c r="AJ1260" s="0" t="n">
        <v>41</v>
      </c>
      <c r="AP1260" s="0" t="n">
        <v>620000</v>
      </c>
      <c r="DB1260" s="0" t="str">
        <f aca="false">IF($A1260="","",IF($AE1260&amp;""&lt;&gt;設定!$C$4,"対象外",IF($AH1260=20,IF(OR($AJ1260=10,$AJ1260=11,$AJ1260=18),"①病院一般",IF($AJ1260=41,"②病院短期","対象外")),IF($AH1260=5,IF($AJ1260=30,"③特定消防","対象外"),IF(OR($AJ1260=10,$AJ1260=11,$AJ1260=74),"④一般",IF(OR($AJ1260=41,$AJ1260=47),"⑤短期","対象外"))))))</f>
        <v>対象外</v>
      </c>
    </row>
    <row r="1261" customFormat="false" ht="15" hidden="false" customHeight="false" outlineLevel="0" collapsed="false">
      <c r="A1261" s="0" t="n">
        <v>31</v>
      </c>
      <c r="AA1261" s="0" t="n">
        <v>21</v>
      </c>
      <c r="AB1261" s="0" t="s">
        <v>96</v>
      </c>
      <c r="AD1261" s="0" t="n">
        <v>12</v>
      </c>
      <c r="AE1261" s="0" t="s">
        <v>301</v>
      </c>
      <c r="AH1261" s="0" t="n">
        <v>20</v>
      </c>
      <c r="AJ1261" s="0" t="n">
        <v>41</v>
      </c>
      <c r="AP1261" s="0" t="n">
        <v>280000</v>
      </c>
      <c r="DB1261" s="0" t="str">
        <f aca="false">IF($A1261="","",IF($AE1261&amp;""&lt;&gt;設定!$C$4,"対象外",IF($AH1261=20,IF(OR($AJ1261=10,$AJ1261=11,$AJ1261=18),"①病院一般",IF($AJ1261=41,"②病院短期","対象外")),IF($AH1261=5,IF($AJ1261=30,"③特定消防","対象外"),IF(OR($AJ1261=10,$AJ1261=11,$AJ1261=74),"④一般",IF(OR($AJ1261=41,$AJ1261=47),"⑤短期","対象外"))))))</f>
        <v>対象外</v>
      </c>
    </row>
    <row r="1262" customFormat="false" ht="15" hidden="false" customHeight="false" outlineLevel="0" collapsed="false">
      <c r="A1262" s="0" t="n">
        <v>31</v>
      </c>
      <c r="AA1262" s="0" t="n">
        <v>21</v>
      </c>
      <c r="AB1262" s="0" t="s">
        <v>96</v>
      </c>
      <c r="AD1262" s="0" t="n">
        <v>12</v>
      </c>
      <c r="AE1262" s="0" t="s">
        <v>301</v>
      </c>
      <c r="AH1262" s="0" t="n">
        <v>20</v>
      </c>
      <c r="AJ1262" s="0" t="n">
        <v>41</v>
      </c>
      <c r="AP1262" s="0" t="n">
        <v>260000</v>
      </c>
      <c r="DB1262" s="0" t="str">
        <f aca="false">IF($A1262="","",IF($AE1262&amp;""&lt;&gt;設定!$C$4,"対象外",IF($AH1262=20,IF(OR($AJ1262=10,$AJ1262=11,$AJ1262=18),"①病院一般",IF($AJ1262=41,"②病院短期","対象外")),IF($AH1262=5,IF($AJ1262=30,"③特定消防","対象外"),IF(OR($AJ1262=10,$AJ1262=11,$AJ1262=74),"④一般",IF(OR($AJ1262=41,$AJ1262=47),"⑤短期","対象外"))))))</f>
        <v>対象外</v>
      </c>
    </row>
    <row r="1263" customFormat="false" ht="15" hidden="false" customHeight="false" outlineLevel="0" collapsed="false">
      <c r="A1263" s="0" t="n">
        <v>31</v>
      </c>
      <c r="AA1263" s="0" t="n">
        <v>21</v>
      </c>
      <c r="AB1263" s="0" t="s">
        <v>96</v>
      </c>
      <c r="AD1263" s="0" t="n">
        <v>12</v>
      </c>
      <c r="AE1263" s="0" t="s">
        <v>301</v>
      </c>
      <c r="AH1263" s="0" t="n">
        <v>20</v>
      </c>
      <c r="AJ1263" s="0" t="n">
        <v>41</v>
      </c>
      <c r="AP1263" s="0" t="n">
        <v>180000</v>
      </c>
      <c r="DB1263" s="0" t="str">
        <f aca="false">IF($A1263="","",IF($AE1263&amp;""&lt;&gt;設定!$C$4,"対象外",IF($AH1263=20,IF(OR($AJ1263=10,$AJ1263=11,$AJ1263=18),"①病院一般",IF($AJ1263=41,"②病院短期","対象外")),IF($AH1263=5,IF($AJ1263=30,"③特定消防","対象外"),IF(OR($AJ1263=10,$AJ1263=11,$AJ1263=74),"④一般",IF(OR($AJ1263=41,$AJ1263=47),"⑤短期","対象外"))))))</f>
        <v>対象外</v>
      </c>
    </row>
    <row r="1264" customFormat="false" ht="15" hidden="false" customHeight="false" outlineLevel="0" collapsed="false">
      <c r="A1264" s="0" t="n">
        <v>31</v>
      </c>
      <c r="AA1264" s="0" t="n">
        <v>21</v>
      </c>
      <c r="AB1264" s="0" t="s">
        <v>96</v>
      </c>
      <c r="AD1264" s="0" t="n">
        <v>12</v>
      </c>
      <c r="AE1264" s="0" t="s">
        <v>301</v>
      </c>
      <c r="AH1264" s="0" t="n">
        <v>20</v>
      </c>
      <c r="AJ1264" s="0" t="n">
        <v>41</v>
      </c>
      <c r="AP1264" s="0" t="n">
        <v>180000</v>
      </c>
      <c r="DB1264" s="0" t="str">
        <f aca="false">IF($A1264="","",IF($AE1264&amp;""&lt;&gt;設定!$C$4,"対象外",IF($AH1264=20,IF(OR($AJ1264=10,$AJ1264=11,$AJ1264=18),"①病院一般",IF($AJ1264=41,"②病院短期","対象外")),IF($AH1264=5,IF($AJ1264=30,"③特定消防","対象外"),IF(OR($AJ1264=10,$AJ1264=11,$AJ1264=74),"④一般",IF(OR($AJ1264=41,$AJ1264=47),"⑤短期","対象外"))))))</f>
        <v>対象外</v>
      </c>
    </row>
    <row r="1265" customFormat="false" ht="15" hidden="false" customHeight="false" outlineLevel="0" collapsed="false">
      <c r="A1265" s="0" t="n">
        <v>31</v>
      </c>
      <c r="AA1265" s="0" t="n">
        <v>21</v>
      </c>
      <c r="AB1265" s="0" t="s">
        <v>96</v>
      </c>
      <c r="AD1265" s="0" t="n">
        <v>12</v>
      </c>
      <c r="AE1265" s="0" t="s">
        <v>298</v>
      </c>
      <c r="AH1265" s="0" t="n">
        <v>20</v>
      </c>
      <c r="AJ1265" s="0" t="n">
        <v>41</v>
      </c>
      <c r="AP1265" s="0" t="n">
        <v>160000</v>
      </c>
      <c r="DB1265" s="0" t="str">
        <f aca="false">IF($A1265="","",IF($AE1265&amp;""&lt;&gt;設定!$C$4,"対象外",IF($AH1265=20,IF(OR($AJ1265=10,$AJ1265=11,$AJ1265=18),"①病院一般",IF($AJ1265=41,"②病院短期","対象外")),IF($AH1265=5,IF($AJ1265=30,"③特定消防","対象外"),IF(OR($AJ1265=10,$AJ1265=11,$AJ1265=74),"④一般",IF(OR($AJ1265=41,$AJ1265=47),"⑤短期","対象外"))))))</f>
        <v>対象外</v>
      </c>
    </row>
    <row r="1266" customFormat="false" ht="15" hidden="false" customHeight="false" outlineLevel="0" collapsed="false">
      <c r="A1266" s="0" t="n">
        <v>31</v>
      </c>
      <c r="AA1266" s="0" t="n">
        <v>21</v>
      </c>
      <c r="AB1266" s="0" t="s">
        <v>96</v>
      </c>
      <c r="AD1266" s="0" t="n">
        <v>12</v>
      </c>
      <c r="AE1266" s="0" t="s">
        <v>301</v>
      </c>
      <c r="AH1266" s="0" t="n">
        <v>20</v>
      </c>
      <c r="AJ1266" s="0" t="n">
        <v>41</v>
      </c>
      <c r="AP1266" s="0" t="n">
        <v>260000</v>
      </c>
      <c r="DB1266" s="0" t="str">
        <f aca="false">IF($A1266="","",IF($AE1266&amp;""&lt;&gt;設定!$C$4,"対象外",IF($AH1266=20,IF(OR($AJ1266=10,$AJ1266=11,$AJ1266=18),"①病院一般",IF($AJ1266=41,"②病院短期","対象外")),IF($AH1266=5,IF($AJ1266=30,"③特定消防","対象外"),IF(OR($AJ1266=10,$AJ1266=11,$AJ1266=74),"④一般",IF(OR($AJ1266=41,$AJ1266=47),"⑤短期","対象外"))))))</f>
        <v>対象外</v>
      </c>
    </row>
    <row r="1267" customFormat="false" ht="15" hidden="false" customHeight="false" outlineLevel="0" collapsed="false">
      <c r="A1267" s="0" t="n">
        <v>31</v>
      </c>
      <c r="AA1267" s="0" t="n">
        <v>21</v>
      </c>
      <c r="AB1267" s="0" t="s">
        <v>331</v>
      </c>
      <c r="AD1267" s="0" t="n">
        <v>12</v>
      </c>
      <c r="AE1267" s="0" t="s">
        <v>299</v>
      </c>
      <c r="AH1267" s="0" t="n">
        <v>20</v>
      </c>
      <c r="AJ1267" s="0" t="n">
        <v>41</v>
      </c>
      <c r="AP1267" s="0" t="n">
        <v>190000</v>
      </c>
      <c r="DB1267" s="0" t="str">
        <f aca="false">IF($A1267="","",IF($AE1267&amp;""&lt;&gt;設定!$C$4,"対象外",IF($AH1267=20,IF(OR($AJ1267=10,$AJ1267=11,$AJ1267=18),"①病院一般",IF($AJ1267=41,"②病院短期","対象外")),IF($AH1267=5,IF($AJ1267=30,"③特定消防","対象外"),IF(OR($AJ1267=10,$AJ1267=11,$AJ1267=74),"④一般",IF(OR($AJ1267=41,$AJ1267=47),"⑤短期","対象外"))))))</f>
        <v>対象外</v>
      </c>
    </row>
    <row r="1268" customFormat="false" ht="15" hidden="false" customHeight="false" outlineLevel="0" collapsed="false">
      <c r="A1268" s="0" t="n">
        <v>31</v>
      </c>
      <c r="AA1268" s="0" t="n">
        <v>21</v>
      </c>
      <c r="AB1268" s="0" t="s">
        <v>351</v>
      </c>
      <c r="AD1268" s="0" t="n">
        <v>12</v>
      </c>
      <c r="AE1268" s="0" t="s">
        <v>301</v>
      </c>
      <c r="AH1268" s="0" t="n">
        <v>20</v>
      </c>
      <c r="AJ1268" s="0" t="n">
        <v>41</v>
      </c>
      <c r="AP1268" s="0" t="n">
        <v>340000</v>
      </c>
      <c r="DB1268" s="0" t="str">
        <f aca="false">IF($A1268="","",IF($AE1268&amp;""&lt;&gt;設定!$C$4,"対象外",IF($AH1268=20,IF(OR($AJ1268=10,$AJ1268=11,$AJ1268=18),"①病院一般",IF($AJ1268=41,"②病院短期","対象外")),IF($AH1268=5,IF($AJ1268=30,"③特定消防","対象外"),IF(OR($AJ1268=10,$AJ1268=11,$AJ1268=74),"④一般",IF(OR($AJ1268=41,$AJ1268=47),"⑤短期","対象外"))))))</f>
        <v>対象外</v>
      </c>
    </row>
    <row r="1269" customFormat="false" ht="15" hidden="false" customHeight="false" outlineLevel="0" collapsed="false">
      <c r="A1269" s="0" t="n">
        <v>31</v>
      </c>
      <c r="AA1269" s="0" t="n">
        <v>21</v>
      </c>
      <c r="AB1269" s="0" t="s">
        <v>353</v>
      </c>
      <c r="AD1269" s="0" t="n">
        <v>12</v>
      </c>
      <c r="AE1269" s="0" t="s">
        <v>294</v>
      </c>
      <c r="AH1269" s="0" t="n">
        <v>20</v>
      </c>
      <c r="AJ1269" s="0" t="n">
        <v>41</v>
      </c>
      <c r="AP1269" s="0" t="n">
        <v>180000</v>
      </c>
      <c r="DB1269" s="0" t="str">
        <f aca="false">IF($A1269="","",IF($AE1269&amp;""&lt;&gt;設定!$C$4,"対象外",IF($AH1269=20,IF(OR($AJ1269=10,$AJ1269=11,$AJ1269=18),"①病院一般",IF($AJ1269=41,"②病院短期","対象外")),IF($AH1269=5,IF($AJ1269=30,"③特定消防","対象外"),IF(OR($AJ1269=10,$AJ1269=11,$AJ1269=74),"④一般",IF(OR($AJ1269=41,$AJ1269=47),"⑤短期","対象外"))))))</f>
        <v>対象外</v>
      </c>
    </row>
    <row r="1270" customFormat="false" ht="15" hidden="false" customHeight="false" outlineLevel="0" collapsed="false">
      <c r="A1270" s="0" t="n">
        <v>31</v>
      </c>
      <c r="AA1270" s="0" t="n">
        <v>21</v>
      </c>
      <c r="AB1270" s="0" t="s">
        <v>299</v>
      </c>
      <c r="AD1270" s="0" t="n">
        <v>12</v>
      </c>
      <c r="AE1270" s="0" t="s">
        <v>355</v>
      </c>
      <c r="AH1270" s="0" t="n">
        <v>20</v>
      </c>
      <c r="AJ1270" s="0" t="n">
        <v>41</v>
      </c>
      <c r="AP1270" s="0" t="n">
        <v>170000</v>
      </c>
      <c r="DB1270" s="0" t="str">
        <f aca="false">IF($A1270="","",IF($AE1270&amp;""&lt;&gt;設定!$C$4,"対象外",IF($AH1270=20,IF(OR($AJ1270=10,$AJ1270=11,$AJ1270=18),"①病院一般",IF($AJ1270=41,"②病院短期","対象外")),IF($AH1270=5,IF($AJ1270=30,"③特定消防","対象外"),IF(OR($AJ1270=10,$AJ1270=11,$AJ1270=74),"④一般",IF(OR($AJ1270=41,$AJ1270=47),"⑤短期","対象外"))))))</f>
        <v>対象外</v>
      </c>
    </row>
    <row r="1271" customFormat="false" ht="15" hidden="false" customHeight="false" outlineLevel="0" collapsed="false">
      <c r="A1271" s="0" t="n">
        <v>31</v>
      </c>
      <c r="AA1271" s="0" t="n">
        <v>21</v>
      </c>
      <c r="AB1271" s="0" t="s">
        <v>341</v>
      </c>
      <c r="AD1271" s="0" t="n">
        <v>12</v>
      </c>
      <c r="AE1271" s="0" t="s">
        <v>303</v>
      </c>
      <c r="AH1271" s="0" t="n">
        <v>20</v>
      </c>
      <c r="AJ1271" s="0" t="n">
        <v>41</v>
      </c>
      <c r="AP1271" s="0" t="n">
        <v>220000</v>
      </c>
      <c r="DB1271" s="0" t="str">
        <f aca="false">IF($A1271="","",IF($AE1271&amp;""&lt;&gt;設定!$C$4,"対象外",IF($AH1271=20,IF(OR($AJ1271=10,$AJ1271=11,$AJ1271=18),"①病院一般",IF($AJ1271=41,"②病院短期","対象外")),IF($AH1271=5,IF($AJ1271=30,"③特定消防","対象外"),IF(OR($AJ1271=10,$AJ1271=11,$AJ1271=74),"④一般",IF(OR($AJ1271=41,$AJ1271=47),"⑤短期","対象外"))))))</f>
        <v>対象外</v>
      </c>
    </row>
    <row r="1272" customFormat="false" ht="15" hidden="false" customHeight="false" outlineLevel="0" collapsed="false">
      <c r="A1272" s="0" t="n">
        <v>31</v>
      </c>
      <c r="AA1272" s="0" t="n">
        <v>21</v>
      </c>
      <c r="AB1272" s="0" t="s">
        <v>96</v>
      </c>
      <c r="AD1272" s="0" t="n">
        <v>12</v>
      </c>
      <c r="AE1272" s="0" t="s">
        <v>294</v>
      </c>
      <c r="AH1272" s="0" t="n">
        <v>1</v>
      </c>
      <c r="AJ1272" s="0" t="n">
        <v>41</v>
      </c>
      <c r="AP1272" s="0" t="n">
        <v>134000</v>
      </c>
      <c r="DB1272" s="0" t="str">
        <f aca="false">IF($A1272="","",IF($AE1272&amp;""&lt;&gt;設定!$C$4,"対象外",IF($AH1272=20,IF(OR($AJ1272=10,$AJ1272=11,$AJ1272=18),"①病院一般",IF($AJ1272=41,"②病院短期","対象外")),IF($AH1272=5,IF($AJ1272=30,"③特定消防","対象外"),IF(OR($AJ1272=10,$AJ1272=11,$AJ1272=74),"④一般",IF(OR($AJ1272=41,$AJ1272=47),"⑤短期","対象外"))))))</f>
        <v>対象外</v>
      </c>
    </row>
    <row r="1273" customFormat="false" ht="15" hidden="false" customHeight="false" outlineLevel="0" collapsed="false">
      <c r="A1273" s="0" t="n">
        <v>31</v>
      </c>
      <c r="AA1273" s="0" t="n">
        <v>21</v>
      </c>
      <c r="AB1273" s="0" t="s">
        <v>96</v>
      </c>
      <c r="AD1273" s="0" t="n">
        <v>12</v>
      </c>
      <c r="AE1273" s="0" t="s">
        <v>296</v>
      </c>
      <c r="AH1273" s="0" t="n">
        <v>1</v>
      </c>
      <c r="AJ1273" s="0" t="n">
        <v>41</v>
      </c>
      <c r="AP1273" s="0" t="n">
        <v>142000</v>
      </c>
      <c r="DB1273" s="0" t="str">
        <f aca="false">IF($A1273="","",IF($AE1273&amp;""&lt;&gt;設定!$C$4,"対象外",IF($AH1273=20,IF(OR($AJ1273=10,$AJ1273=11,$AJ1273=18),"①病院一般",IF($AJ1273=41,"②病院短期","対象外")),IF($AH1273=5,IF($AJ1273=30,"③特定消防","対象外"),IF(OR($AJ1273=10,$AJ1273=11,$AJ1273=74),"④一般",IF(OR($AJ1273=41,$AJ1273=47),"⑤短期","対象外"))))))</f>
        <v>対象外</v>
      </c>
    </row>
    <row r="1274" customFormat="false" ht="15" hidden="false" customHeight="false" outlineLevel="0" collapsed="false">
      <c r="A1274" s="0" t="n">
        <v>31</v>
      </c>
      <c r="AA1274" s="0" t="n">
        <v>21</v>
      </c>
      <c r="AB1274" s="0" t="s">
        <v>96</v>
      </c>
      <c r="AD1274" s="0" t="n">
        <v>12</v>
      </c>
      <c r="AE1274" s="0" t="s">
        <v>294</v>
      </c>
      <c r="AH1274" s="0" t="n">
        <v>1</v>
      </c>
      <c r="AJ1274" s="0" t="n">
        <v>41</v>
      </c>
      <c r="AP1274" s="0" t="n">
        <v>190000</v>
      </c>
      <c r="DB1274" s="0" t="str">
        <f aca="false">IF($A1274="","",IF($AE1274&amp;""&lt;&gt;設定!$C$4,"対象外",IF($AH1274=20,IF(OR($AJ1274=10,$AJ1274=11,$AJ1274=18),"①病院一般",IF($AJ1274=41,"②病院短期","対象外")),IF($AH1274=5,IF($AJ1274=30,"③特定消防","対象外"),IF(OR($AJ1274=10,$AJ1274=11,$AJ1274=74),"④一般",IF(OR($AJ1274=41,$AJ1274=47),"⑤短期","対象外"))))))</f>
        <v>対象外</v>
      </c>
    </row>
    <row r="1275" customFormat="false" ht="15" hidden="false" customHeight="false" outlineLevel="0" collapsed="false">
      <c r="A1275" s="0" t="n">
        <v>31</v>
      </c>
      <c r="AA1275" s="0" t="n">
        <v>21</v>
      </c>
      <c r="AB1275" s="0" t="s">
        <v>96</v>
      </c>
      <c r="AD1275" s="0" t="n">
        <v>12</v>
      </c>
      <c r="AE1275" s="0" t="s">
        <v>301</v>
      </c>
      <c r="AH1275" s="0" t="n">
        <v>1</v>
      </c>
      <c r="AJ1275" s="0" t="n">
        <v>41</v>
      </c>
      <c r="AP1275" s="0" t="n">
        <v>190000</v>
      </c>
      <c r="DB1275" s="0" t="str">
        <f aca="false">IF($A1275="","",IF($AE1275&amp;""&lt;&gt;設定!$C$4,"対象外",IF($AH1275=20,IF(OR($AJ1275=10,$AJ1275=11,$AJ1275=18),"①病院一般",IF($AJ1275=41,"②病院短期","対象外")),IF($AH1275=5,IF($AJ1275=30,"③特定消防","対象外"),IF(OR($AJ1275=10,$AJ1275=11,$AJ1275=74),"④一般",IF(OR($AJ1275=41,$AJ1275=47),"⑤短期","対象外"))))))</f>
        <v>対象外</v>
      </c>
    </row>
    <row r="1276" customFormat="false" ht="15" hidden="false" customHeight="false" outlineLevel="0" collapsed="false">
      <c r="A1276" s="0" t="n">
        <v>31</v>
      </c>
      <c r="AA1276" s="0" t="n">
        <v>21</v>
      </c>
      <c r="AB1276" s="0" t="s">
        <v>96</v>
      </c>
      <c r="AD1276" s="0" t="n">
        <v>12</v>
      </c>
      <c r="AE1276" s="0" t="s">
        <v>302</v>
      </c>
      <c r="AH1276" s="0" t="n">
        <v>1</v>
      </c>
      <c r="AJ1276" s="0" t="n">
        <v>41</v>
      </c>
      <c r="AP1276" s="0" t="n">
        <v>190000</v>
      </c>
      <c r="DB1276" s="0" t="str">
        <f aca="false">IF($A1276="","",IF($AE1276&amp;""&lt;&gt;設定!$C$4,"対象外",IF($AH1276=20,IF(OR($AJ1276=10,$AJ1276=11,$AJ1276=18),"①病院一般",IF($AJ1276=41,"②病院短期","対象外")),IF($AH1276=5,IF($AJ1276=30,"③特定消防","対象外"),IF(OR($AJ1276=10,$AJ1276=11,$AJ1276=74),"④一般",IF(OR($AJ1276=41,$AJ1276=47),"⑤短期","対象外"))))))</f>
        <v>対象外</v>
      </c>
    </row>
    <row r="1277" customFormat="false" ht="15" hidden="false" customHeight="false" outlineLevel="0" collapsed="false">
      <c r="A1277" s="0" t="n">
        <v>31</v>
      </c>
      <c r="AA1277" s="0" t="n">
        <v>21</v>
      </c>
      <c r="AB1277" s="0" t="s">
        <v>96</v>
      </c>
      <c r="AD1277" s="0" t="n">
        <v>12</v>
      </c>
      <c r="AE1277" s="0" t="s">
        <v>296</v>
      </c>
      <c r="AH1277" s="0" t="n">
        <v>1</v>
      </c>
      <c r="AJ1277" s="0" t="n">
        <v>41</v>
      </c>
      <c r="AP1277" s="0" t="n">
        <v>134000</v>
      </c>
      <c r="DB1277" s="0" t="str">
        <f aca="false">IF($A1277="","",IF($AE1277&amp;""&lt;&gt;設定!$C$4,"対象外",IF($AH1277=20,IF(OR($AJ1277=10,$AJ1277=11,$AJ1277=18),"①病院一般",IF($AJ1277=41,"②病院短期","対象外")),IF($AH1277=5,IF($AJ1277=30,"③特定消防","対象外"),IF(OR($AJ1277=10,$AJ1277=11,$AJ1277=74),"④一般",IF(OR($AJ1277=41,$AJ1277=47),"⑤短期","対象外"))))))</f>
        <v>対象外</v>
      </c>
    </row>
    <row r="1278" customFormat="false" ht="15" hidden="false" customHeight="false" outlineLevel="0" collapsed="false">
      <c r="A1278" s="0" t="n">
        <v>31</v>
      </c>
      <c r="AA1278" s="0" t="n">
        <v>21</v>
      </c>
      <c r="AB1278" s="0" t="s">
        <v>96</v>
      </c>
      <c r="AD1278" s="0" t="n">
        <v>12</v>
      </c>
      <c r="AE1278" s="0" t="s">
        <v>301</v>
      </c>
      <c r="AH1278" s="0" t="n">
        <v>1</v>
      </c>
      <c r="AJ1278" s="0" t="n">
        <v>41</v>
      </c>
      <c r="AP1278" s="0" t="n">
        <v>200000</v>
      </c>
      <c r="DB1278" s="0" t="str">
        <f aca="false">IF($A1278="","",IF($AE1278&amp;""&lt;&gt;設定!$C$4,"対象外",IF($AH1278=20,IF(OR($AJ1278=10,$AJ1278=11,$AJ1278=18),"①病院一般",IF($AJ1278=41,"②病院短期","対象外")),IF($AH1278=5,IF($AJ1278=30,"③特定消防","対象外"),IF(OR($AJ1278=10,$AJ1278=11,$AJ1278=74),"④一般",IF(OR($AJ1278=41,$AJ1278=47),"⑤短期","対象外"))))))</f>
        <v>対象外</v>
      </c>
    </row>
    <row r="1279" customFormat="false" ht="15" hidden="false" customHeight="false" outlineLevel="0" collapsed="false">
      <c r="A1279" s="0" t="n">
        <v>31</v>
      </c>
      <c r="AA1279" s="0" t="n">
        <v>21</v>
      </c>
      <c r="AB1279" s="0" t="s">
        <v>96</v>
      </c>
      <c r="AD1279" s="0" t="n">
        <v>12</v>
      </c>
      <c r="AE1279" s="0" t="s">
        <v>301</v>
      </c>
      <c r="AH1279" s="0" t="n">
        <v>1</v>
      </c>
      <c r="AJ1279" s="0" t="n">
        <v>41</v>
      </c>
      <c r="AP1279" s="0" t="n">
        <v>200000</v>
      </c>
      <c r="DB1279" s="0" t="str">
        <f aca="false">IF($A1279="","",IF($AE1279&amp;""&lt;&gt;設定!$C$4,"対象外",IF($AH1279=20,IF(OR($AJ1279=10,$AJ1279=11,$AJ1279=18),"①病院一般",IF($AJ1279=41,"②病院短期","対象外")),IF($AH1279=5,IF($AJ1279=30,"③特定消防","対象外"),IF(OR($AJ1279=10,$AJ1279=11,$AJ1279=74),"④一般",IF(OR($AJ1279=41,$AJ1279=47),"⑤短期","対象外"))))))</f>
        <v>対象外</v>
      </c>
    </row>
    <row r="1280" customFormat="false" ht="15" hidden="false" customHeight="false" outlineLevel="0" collapsed="false">
      <c r="A1280" s="0" t="n">
        <v>31</v>
      </c>
      <c r="AA1280" s="0" t="n">
        <v>21</v>
      </c>
      <c r="AB1280" s="0" t="s">
        <v>318</v>
      </c>
      <c r="AD1280" s="0" t="n">
        <v>12</v>
      </c>
      <c r="AE1280" s="0" t="s">
        <v>363</v>
      </c>
      <c r="AH1280" s="0" t="n">
        <v>11</v>
      </c>
      <c r="AJ1280" s="0" t="n">
        <v>41</v>
      </c>
      <c r="AP1280" s="0" t="n">
        <v>110000</v>
      </c>
      <c r="DB1280" s="0" t="str">
        <f aca="false">IF($A1280="","",IF($AE1280&amp;""&lt;&gt;設定!$C$4,"対象外",IF($AH1280=20,IF(OR($AJ1280=10,$AJ1280=11,$AJ1280=18),"①病院一般",IF($AJ1280=41,"②病院短期","対象外")),IF($AH1280=5,IF($AJ1280=30,"③特定消防","対象外"),IF(OR($AJ1280=10,$AJ1280=11,$AJ1280=74),"④一般",IF(OR($AJ1280=41,$AJ1280=47),"⑤短期","対象外"))))))</f>
        <v>対象外</v>
      </c>
    </row>
    <row r="1281" customFormat="false" ht="15" hidden="false" customHeight="false" outlineLevel="0" collapsed="false">
      <c r="A1281" s="0" t="n">
        <v>31</v>
      </c>
      <c r="AA1281" s="0" t="n">
        <v>21</v>
      </c>
      <c r="AB1281" s="0" t="s">
        <v>318</v>
      </c>
      <c r="AD1281" s="0" t="n">
        <v>12</v>
      </c>
      <c r="AE1281" s="0" t="s">
        <v>301</v>
      </c>
      <c r="AH1281" s="0" t="n">
        <v>11</v>
      </c>
      <c r="AJ1281" s="0" t="n">
        <v>41</v>
      </c>
      <c r="AP1281" s="0" t="n">
        <v>126000</v>
      </c>
      <c r="DB1281" s="0" t="str">
        <f aca="false">IF($A1281="","",IF($AE1281&amp;""&lt;&gt;設定!$C$4,"対象外",IF($AH1281=20,IF(OR($AJ1281=10,$AJ1281=11,$AJ1281=18),"①病院一般",IF($AJ1281=41,"②病院短期","対象外")),IF($AH1281=5,IF($AJ1281=30,"③特定消防","対象外"),IF(OR($AJ1281=10,$AJ1281=11,$AJ1281=74),"④一般",IF(OR($AJ1281=41,$AJ1281=47),"⑤短期","対象外"))))))</f>
        <v>対象外</v>
      </c>
    </row>
    <row r="1282" customFormat="false" ht="15" hidden="false" customHeight="false" outlineLevel="0" collapsed="false">
      <c r="A1282" s="0" t="n">
        <v>31</v>
      </c>
      <c r="AA1282" s="0" t="n">
        <v>21</v>
      </c>
      <c r="AB1282" s="0" t="s">
        <v>298</v>
      </c>
      <c r="AD1282" s="0" t="n">
        <v>12</v>
      </c>
      <c r="AE1282" s="0" t="s">
        <v>364</v>
      </c>
      <c r="AH1282" s="0" t="n">
        <v>11</v>
      </c>
      <c r="AJ1282" s="0" t="n">
        <v>41</v>
      </c>
      <c r="AP1282" s="0" t="n">
        <v>104000</v>
      </c>
      <c r="DB1282" s="0" t="str">
        <f aca="false">IF($A1282="","",IF($AE1282&amp;""&lt;&gt;設定!$C$4,"対象外",IF($AH1282=20,IF(OR($AJ1282=10,$AJ1282=11,$AJ1282=18),"①病院一般",IF($AJ1282=41,"②病院短期","対象外")),IF($AH1282=5,IF($AJ1282=30,"③特定消防","対象外"),IF(OR($AJ1282=10,$AJ1282=11,$AJ1282=74),"④一般",IF(OR($AJ1282=41,$AJ1282=47),"⑤短期","対象外"))))))</f>
        <v>対象外</v>
      </c>
    </row>
    <row r="1283" customFormat="false" ht="15" hidden="false" customHeight="false" outlineLevel="0" collapsed="false">
      <c r="A1283" s="0" t="n">
        <v>31</v>
      </c>
      <c r="AA1283" s="0" t="n">
        <v>21</v>
      </c>
      <c r="AB1283" s="0" t="s">
        <v>367</v>
      </c>
      <c r="AD1283" s="0" t="n">
        <v>12</v>
      </c>
      <c r="AE1283" s="0" t="s">
        <v>368</v>
      </c>
      <c r="AH1283" s="0" t="n">
        <v>11</v>
      </c>
      <c r="AJ1283" s="0" t="n">
        <v>41</v>
      </c>
      <c r="AP1283" s="0" t="n">
        <v>110000</v>
      </c>
      <c r="DB1283" s="0" t="str">
        <f aca="false">IF($A1283="","",IF($AE1283&amp;""&lt;&gt;設定!$C$4,"対象外",IF($AH1283=20,IF(OR($AJ1283=10,$AJ1283=11,$AJ1283=18),"①病院一般",IF($AJ1283=41,"②病院短期","対象外")),IF($AH1283=5,IF($AJ1283=30,"③特定消防","対象外"),IF(OR($AJ1283=10,$AJ1283=11,$AJ1283=74),"④一般",IF(OR($AJ1283=41,$AJ1283=47),"⑤短期","対象外"))))))</f>
        <v>対象外</v>
      </c>
    </row>
    <row r="1284" customFormat="false" ht="15" hidden="false" customHeight="false" outlineLevel="0" collapsed="false">
      <c r="A1284" s="0" t="n">
        <v>31</v>
      </c>
      <c r="AA1284" s="0" t="n">
        <v>21</v>
      </c>
      <c r="AB1284" s="0" t="s">
        <v>365</v>
      </c>
      <c r="AD1284" s="0" t="n">
        <v>12</v>
      </c>
      <c r="AE1284" s="0" t="s">
        <v>303</v>
      </c>
      <c r="AH1284" s="0" t="n">
        <v>1</v>
      </c>
      <c r="AJ1284" s="0" t="n">
        <v>41</v>
      </c>
      <c r="AP1284" s="0" t="n">
        <v>134000</v>
      </c>
      <c r="DB1284" s="0" t="str">
        <f aca="false">IF($A1284="","",IF($AE1284&amp;""&lt;&gt;設定!$C$4,"対象外",IF($AH1284=20,IF(OR($AJ1284=10,$AJ1284=11,$AJ1284=18),"①病院一般",IF($AJ1284=41,"②病院短期","対象外")),IF($AH1284=5,IF($AJ1284=30,"③特定消防","対象外"),IF(OR($AJ1284=10,$AJ1284=11,$AJ1284=74),"④一般",IF(OR($AJ1284=41,$AJ1284=47),"⑤短期","対象外"))))))</f>
        <v>対象外</v>
      </c>
    </row>
    <row r="1285" customFormat="false" ht="15" hidden="false" customHeight="false" outlineLevel="0" collapsed="false">
      <c r="A1285" s="0" t="n">
        <v>31</v>
      </c>
      <c r="AA1285" s="0" t="n">
        <v>21</v>
      </c>
      <c r="AB1285" s="0" t="s">
        <v>298</v>
      </c>
      <c r="AD1285" s="0" t="n">
        <v>12</v>
      </c>
      <c r="AE1285" s="0" t="s">
        <v>303</v>
      </c>
      <c r="AH1285" s="0" t="n">
        <v>1</v>
      </c>
      <c r="AJ1285" s="0" t="n">
        <v>41</v>
      </c>
      <c r="AP1285" s="0" t="n">
        <v>260000</v>
      </c>
      <c r="DB1285" s="0" t="str">
        <f aca="false">IF($A1285="","",IF($AE1285&amp;""&lt;&gt;設定!$C$4,"対象外",IF($AH1285=20,IF(OR($AJ1285=10,$AJ1285=11,$AJ1285=18),"①病院一般",IF($AJ1285=41,"②病院短期","対象外")),IF($AH1285=5,IF($AJ1285=30,"③特定消防","対象外"),IF(OR($AJ1285=10,$AJ1285=11,$AJ1285=74),"④一般",IF(OR($AJ1285=41,$AJ1285=47),"⑤短期","対象外"))))))</f>
        <v>対象外</v>
      </c>
    </row>
    <row r="1286" customFormat="false" ht="15" hidden="false" customHeight="false" outlineLevel="0" collapsed="false">
      <c r="A1286" s="0" t="n">
        <v>31</v>
      </c>
      <c r="AA1286" s="0" t="n">
        <v>21</v>
      </c>
      <c r="AB1286" s="0" t="s">
        <v>349</v>
      </c>
      <c r="AD1286" s="0" t="n">
        <v>12</v>
      </c>
      <c r="AE1286" s="0" t="s">
        <v>370</v>
      </c>
      <c r="AH1286" s="0" t="n">
        <v>11</v>
      </c>
      <c r="AJ1286" s="0" t="n">
        <v>41</v>
      </c>
      <c r="AP1286" s="0" t="n">
        <v>104000</v>
      </c>
      <c r="DB1286" s="0" t="str">
        <f aca="false">IF($A1286="","",IF($AE1286&amp;""&lt;&gt;設定!$C$4,"対象外",IF($AH1286=20,IF(OR($AJ1286=10,$AJ1286=11,$AJ1286=18),"①病院一般",IF($AJ1286=41,"②病院短期","対象外")),IF($AH1286=5,IF($AJ1286=30,"③特定消防","対象外"),IF(OR($AJ1286=10,$AJ1286=11,$AJ1286=74),"④一般",IF(OR($AJ1286=41,$AJ1286=47),"⑤短期","対象外"))))))</f>
        <v>対象外</v>
      </c>
    </row>
    <row r="1287" customFormat="false" ht="15" hidden="false" customHeight="false" outlineLevel="0" collapsed="false">
      <c r="A1287" s="0" t="n">
        <v>31</v>
      </c>
      <c r="AA1287" s="0" t="n">
        <v>21</v>
      </c>
      <c r="AB1287" s="0" t="s">
        <v>372</v>
      </c>
      <c r="AD1287" s="0" t="n">
        <v>12</v>
      </c>
      <c r="AE1287" s="0" t="s">
        <v>319</v>
      </c>
      <c r="AH1287" s="0" t="n">
        <v>1</v>
      </c>
      <c r="AJ1287" s="0" t="n">
        <v>41</v>
      </c>
      <c r="AP1287" s="0" t="n">
        <v>180000</v>
      </c>
      <c r="DB1287" s="0" t="str">
        <f aca="false">IF($A1287="","",IF($AE1287&amp;""&lt;&gt;設定!$C$4,"対象外",IF($AH1287=20,IF(OR($AJ1287=10,$AJ1287=11,$AJ1287=18),"①病院一般",IF($AJ1287=41,"②病院短期","対象外")),IF($AH1287=5,IF($AJ1287=30,"③特定消防","対象外"),IF(OR($AJ1287=10,$AJ1287=11,$AJ1287=74),"④一般",IF(OR($AJ1287=41,$AJ1287=47),"⑤短期","対象外"))))))</f>
        <v>対象外</v>
      </c>
    </row>
    <row r="1288" customFormat="false" ht="15" hidden="false" customHeight="false" outlineLevel="0" collapsed="false">
      <c r="A1288" s="0" t="n">
        <v>31</v>
      </c>
      <c r="AA1288" s="0" t="n">
        <v>21</v>
      </c>
      <c r="AB1288" s="0" t="s">
        <v>373</v>
      </c>
      <c r="AD1288" s="0" t="n">
        <v>12</v>
      </c>
      <c r="AE1288" s="0" t="s">
        <v>294</v>
      </c>
      <c r="AH1288" s="0" t="n">
        <v>11</v>
      </c>
      <c r="AJ1288" s="0" t="n">
        <v>41</v>
      </c>
      <c r="AP1288" s="0" t="n">
        <v>104000</v>
      </c>
      <c r="DB1288" s="0" t="str">
        <f aca="false">IF($A1288="","",IF($AE1288&amp;""&lt;&gt;設定!$C$4,"対象外",IF($AH1288=20,IF(OR($AJ1288=10,$AJ1288=11,$AJ1288=18),"①病院一般",IF($AJ1288=41,"②病院短期","対象外")),IF($AH1288=5,IF($AJ1288=30,"③特定消防","対象外"),IF(OR($AJ1288=10,$AJ1288=11,$AJ1288=74),"④一般",IF(OR($AJ1288=41,$AJ1288=47),"⑤短期","対象外"))))))</f>
        <v>対象外</v>
      </c>
    </row>
    <row r="1289" customFormat="false" ht="15" hidden="false" customHeight="false" outlineLevel="0" collapsed="false">
      <c r="A1289" s="0" t="n">
        <v>31</v>
      </c>
      <c r="AA1289" s="0" t="n">
        <v>21</v>
      </c>
      <c r="AB1289" s="0" t="s">
        <v>374</v>
      </c>
      <c r="AD1289" s="0" t="n">
        <v>12</v>
      </c>
      <c r="AE1289" s="0" t="s">
        <v>301</v>
      </c>
      <c r="AH1289" s="0" t="n">
        <v>1</v>
      </c>
      <c r="AJ1289" s="0" t="n">
        <v>41</v>
      </c>
      <c r="AP1289" s="0" t="n">
        <v>190000</v>
      </c>
      <c r="DB1289" s="0" t="str">
        <f aca="false">IF($A1289="","",IF($AE1289&amp;""&lt;&gt;設定!$C$4,"対象外",IF($AH1289=20,IF(OR($AJ1289=10,$AJ1289=11,$AJ1289=18),"①病院一般",IF($AJ1289=41,"②病院短期","対象外")),IF($AH1289=5,IF($AJ1289=30,"③特定消防","対象外"),IF(OR($AJ1289=10,$AJ1289=11,$AJ1289=74),"④一般",IF(OR($AJ1289=41,$AJ1289=47),"⑤短期","対象外"))))))</f>
        <v>対象外</v>
      </c>
    </row>
    <row r="1290" customFormat="false" ht="15" hidden="false" customHeight="false" outlineLevel="0" collapsed="false">
      <c r="A1290" s="0" t="n">
        <v>31</v>
      </c>
      <c r="AA1290" s="0" t="n">
        <v>21</v>
      </c>
      <c r="AB1290" s="0" t="s">
        <v>294</v>
      </c>
      <c r="AD1290" s="0" t="n">
        <v>12</v>
      </c>
      <c r="AE1290" s="0" t="s">
        <v>296</v>
      </c>
      <c r="AH1290" s="0" t="n">
        <v>1</v>
      </c>
      <c r="AJ1290" s="0" t="n">
        <v>41</v>
      </c>
      <c r="AP1290" s="0" t="n">
        <v>190000</v>
      </c>
      <c r="DB1290" s="0" t="str">
        <f aca="false">IF($A1290="","",IF($AE1290&amp;""&lt;&gt;設定!$C$4,"対象外",IF($AH1290=20,IF(OR($AJ1290=10,$AJ1290=11,$AJ1290=18),"①病院一般",IF($AJ1290=41,"②病院短期","対象外")),IF($AH1290=5,IF($AJ1290=30,"③特定消防","対象外"),IF(OR($AJ1290=10,$AJ1290=11,$AJ1290=74),"④一般",IF(OR($AJ1290=41,$AJ1290=47),"⑤短期","対象外"))))))</f>
        <v>対象外</v>
      </c>
    </row>
    <row r="1291" customFormat="false" ht="15" hidden="false" customHeight="false" outlineLevel="0" collapsed="false">
      <c r="A1291" s="0" t="n">
        <v>31</v>
      </c>
      <c r="AA1291" s="0" t="n">
        <v>21</v>
      </c>
      <c r="AB1291" s="0" t="s">
        <v>358</v>
      </c>
      <c r="AD1291" s="0" t="n">
        <v>12</v>
      </c>
      <c r="AE1291" s="0" t="s">
        <v>378</v>
      </c>
      <c r="AH1291" s="0" t="n">
        <v>1</v>
      </c>
      <c r="AJ1291" s="0" t="n">
        <v>41</v>
      </c>
      <c r="AP1291" s="0" t="n">
        <v>180000</v>
      </c>
      <c r="DB1291" s="0" t="str">
        <f aca="false">IF($A1291="","",IF($AE1291&amp;""&lt;&gt;設定!$C$4,"対象外",IF($AH1291=20,IF(OR($AJ1291=10,$AJ1291=11,$AJ1291=18),"①病院一般",IF($AJ1291=41,"②病院短期","対象外")),IF($AH1291=5,IF($AJ1291=30,"③特定消防","対象外"),IF(OR($AJ1291=10,$AJ1291=11,$AJ1291=74),"④一般",IF(OR($AJ1291=41,$AJ1291=47),"⑤短期","対象外"))))))</f>
        <v>対象外</v>
      </c>
    </row>
    <row r="1292" customFormat="false" ht="15" hidden="false" customHeight="false" outlineLevel="0" collapsed="false">
      <c r="A1292" s="0" t="n">
        <v>31</v>
      </c>
      <c r="AA1292" s="0" t="n">
        <v>21</v>
      </c>
      <c r="AB1292" s="0" t="s">
        <v>96</v>
      </c>
      <c r="AD1292" s="0" t="n">
        <v>12</v>
      </c>
      <c r="AE1292" s="0" t="s">
        <v>294</v>
      </c>
      <c r="AH1292" s="0" t="n">
        <v>1</v>
      </c>
      <c r="AJ1292" s="0" t="n">
        <v>41</v>
      </c>
      <c r="AP1292" s="0" t="n">
        <v>126000</v>
      </c>
      <c r="DB1292" s="0" t="str">
        <f aca="false">IF($A1292="","",IF($AE1292&amp;""&lt;&gt;設定!$C$4,"対象外",IF($AH1292=20,IF(OR($AJ1292=10,$AJ1292=11,$AJ1292=18),"①病院一般",IF($AJ1292=41,"②病院短期","対象外")),IF($AH1292=5,IF($AJ1292=30,"③特定消防","対象外"),IF(OR($AJ1292=10,$AJ1292=11,$AJ1292=74),"④一般",IF(OR($AJ1292=41,$AJ1292=47),"⑤短期","対象外"))))))</f>
        <v>対象外</v>
      </c>
    </row>
    <row r="1293" customFormat="false" ht="15" hidden="false" customHeight="false" outlineLevel="0" collapsed="false">
      <c r="A1293" s="0" t="n">
        <v>31</v>
      </c>
      <c r="AA1293" s="0" t="n">
        <v>21</v>
      </c>
      <c r="AB1293" s="0" t="s">
        <v>363</v>
      </c>
      <c r="AD1293" s="0" t="n">
        <v>12</v>
      </c>
      <c r="AE1293" s="0" t="s">
        <v>301</v>
      </c>
      <c r="AH1293" s="0" t="n">
        <v>1</v>
      </c>
      <c r="AJ1293" s="0" t="n">
        <v>41</v>
      </c>
      <c r="AP1293" s="0" t="n">
        <v>220000</v>
      </c>
      <c r="DB1293" s="0" t="str">
        <f aca="false">IF($A1293="","",IF($AE1293&amp;""&lt;&gt;設定!$C$4,"対象外",IF($AH1293=20,IF(OR($AJ1293=10,$AJ1293=11,$AJ1293=18),"①病院一般",IF($AJ1293=41,"②病院短期","対象外")),IF($AH1293=5,IF($AJ1293=30,"③特定消防","対象外"),IF(OR($AJ1293=10,$AJ1293=11,$AJ1293=74),"④一般",IF(OR($AJ1293=41,$AJ1293=47),"⑤短期","対象外"))))))</f>
        <v>対象外</v>
      </c>
    </row>
    <row r="1294" customFormat="false" ht="15" hidden="false" customHeight="false" outlineLevel="0" collapsed="false">
      <c r="A1294" s="0" t="n">
        <v>31</v>
      </c>
      <c r="AA1294" s="0" t="n">
        <v>21</v>
      </c>
      <c r="AB1294" s="0" t="s">
        <v>326</v>
      </c>
      <c r="AD1294" s="0" t="n">
        <v>12</v>
      </c>
      <c r="AE1294" s="0" t="s">
        <v>301</v>
      </c>
      <c r="AH1294" s="0" t="n">
        <v>1</v>
      </c>
      <c r="AJ1294" s="0" t="n">
        <v>41</v>
      </c>
      <c r="AP1294" s="0" t="n">
        <v>160000</v>
      </c>
      <c r="DB1294" s="0" t="str">
        <f aca="false">IF($A1294="","",IF($AE1294&amp;""&lt;&gt;設定!$C$4,"対象外",IF($AH1294=20,IF(OR($AJ1294=10,$AJ1294=11,$AJ1294=18),"①病院一般",IF($AJ1294=41,"②病院短期","対象外")),IF($AH1294=5,IF($AJ1294=30,"③特定消防","対象外"),IF(OR($AJ1294=10,$AJ1294=11,$AJ1294=74),"④一般",IF(OR($AJ1294=41,$AJ1294=47),"⑤短期","対象外"))))))</f>
        <v>対象外</v>
      </c>
    </row>
    <row r="1295" customFormat="false" ht="15" hidden="false" customHeight="false" outlineLevel="0" collapsed="false">
      <c r="A1295" s="0" t="n">
        <v>31</v>
      </c>
      <c r="AA1295" s="0" t="n">
        <v>21</v>
      </c>
      <c r="AB1295" s="0" t="s">
        <v>299</v>
      </c>
      <c r="AD1295" s="0" t="n">
        <v>12</v>
      </c>
      <c r="AE1295" s="0" t="s">
        <v>301</v>
      </c>
      <c r="AH1295" s="0" t="n">
        <v>1</v>
      </c>
      <c r="AJ1295" s="0" t="n">
        <v>41</v>
      </c>
      <c r="AP1295" s="0" t="n">
        <v>190000</v>
      </c>
      <c r="DB1295" s="0" t="str">
        <f aca="false">IF($A1295="","",IF($AE1295&amp;""&lt;&gt;設定!$C$4,"対象外",IF($AH1295=20,IF(OR($AJ1295=10,$AJ1295=11,$AJ1295=18),"①病院一般",IF($AJ1295=41,"②病院短期","対象外")),IF($AH1295=5,IF($AJ1295=30,"③特定消防","対象外"),IF(OR($AJ1295=10,$AJ1295=11,$AJ1295=74),"④一般",IF(OR($AJ1295=41,$AJ1295=47),"⑤短期","対象外"))))))</f>
        <v>対象外</v>
      </c>
    </row>
    <row r="1296" customFormat="false" ht="15" hidden="false" customHeight="false" outlineLevel="0" collapsed="false">
      <c r="A1296" s="0" t="n">
        <v>215</v>
      </c>
      <c r="AA1296" s="0" t="n">
        <v>22</v>
      </c>
      <c r="AB1296" s="0" t="s">
        <v>484</v>
      </c>
      <c r="AD1296" s="0" t="n">
        <v>12</v>
      </c>
      <c r="AE1296" s="0" t="s">
        <v>96</v>
      </c>
      <c r="AH1296" s="0" t="n">
        <v>1</v>
      </c>
      <c r="AJ1296" s="0" t="n">
        <v>10</v>
      </c>
      <c r="AP1296" s="0" t="n">
        <v>410000</v>
      </c>
      <c r="DB1296" s="0" t="str">
        <f aca="false">IF($A1296="","",IF($AE1296&amp;""&lt;&gt;設定!$C$4,"対象外",IF($AH1296=20,IF(OR($AJ1296=10,$AJ1296=11,$AJ1296=18),"①病院一般",IF($AJ1296=41,"②病院短期","対象外")),IF($AH1296=5,IF($AJ1296=30,"③特定消防","対象外"),IF(OR($AJ1296=10,$AJ1296=11,$AJ1296=74),"④一般",IF(OR($AJ1296=41,$AJ1296=47),"⑤短期","対象外"))))))</f>
        <v>④一般</v>
      </c>
    </row>
    <row r="1297" customFormat="false" ht="15" hidden="false" customHeight="false" outlineLevel="0" collapsed="false">
      <c r="A1297" s="0" t="n">
        <v>215</v>
      </c>
      <c r="AA1297" s="0" t="n">
        <v>22</v>
      </c>
      <c r="AB1297" s="0" t="s">
        <v>484</v>
      </c>
      <c r="AD1297" s="0" t="n">
        <v>12</v>
      </c>
      <c r="AE1297" s="0" t="s">
        <v>96</v>
      </c>
      <c r="AH1297" s="0" t="n">
        <v>1</v>
      </c>
      <c r="AJ1297" s="0" t="n">
        <v>10</v>
      </c>
      <c r="AP1297" s="0" t="n">
        <v>410000</v>
      </c>
      <c r="DB1297" s="0" t="str">
        <f aca="false">IF($A1297="","",IF($AE1297&amp;""&lt;&gt;設定!$C$4,"対象外",IF($AH1297=20,IF(OR($AJ1297=10,$AJ1297=11,$AJ1297=18),"①病院一般",IF($AJ1297=41,"②病院短期","対象外")),IF($AH1297=5,IF($AJ1297=30,"③特定消防","対象外"),IF(OR($AJ1297=10,$AJ1297=11,$AJ1297=74),"④一般",IF(OR($AJ1297=41,$AJ1297=47),"⑤短期","対象外"))))))</f>
        <v>④一般</v>
      </c>
    </row>
    <row r="1298" customFormat="false" ht="15" hidden="false" customHeight="false" outlineLevel="0" collapsed="false">
      <c r="A1298" s="0" t="n">
        <v>215</v>
      </c>
      <c r="AA1298" s="0" t="n">
        <v>22</v>
      </c>
      <c r="AB1298" s="0" t="s">
        <v>484</v>
      </c>
      <c r="AD1298" s="0" t="n">
        <v>12</v>
      </c>
      <c r="AE1298" s="0" t="s">
        <v>96</v>
      </c>
      <c r="AH1298" s="0" t="n">
        <v>1</v>
      </c>
      <c r="AJ1298" s="0" t="n">
        <v>10</v>
      </c>
      <c r="AP1298" s="0" t="n">
        <v>280000</v>
      </c>
      <c r="DB1298" s="0" t="str">
        <f aca="false">IF($A1298="","",IF($AE1298&amp;""&lt;&gt;設定!$C$4,"対象外",IF($AH1298=20,IF(OR($AJ1298=10,$AJ1298=11,$AJ1298=18),"①病院一般",IF($AJ1298=41,"②病院短期","対象外")),IF($AH1298=5,IF($AJ1298=30,"③特定消防","対象外"),IF(OR($AJ1298=10,$AJ1298=11,$AJ1298=74),"④一般",IF(OR($AJ1298=41,$AJ1298=47),"⑤短期","対象外"))))))</f>
        <v>④一般</v>
      </c>
    </row>
    <row r="1299" customFormat="false" ht="15" hidden="false" customHeight="false" outlineLevel="0" collapsed="false">
      <c r="A1299" s="0" t="n">
        <v>215</v>
      </c>
      <c r="AA1299" s="0" t="n">
        <v>22</v>
      </c>
      <c r="AB1299" s="0" t="s">
        <v>484</v>
      </c>
      <c r="AD1299" s="0" t="n">
        <v>11</v>
      </c>
      <c r="AE1299" s="0" t="s">
        <v>96</v>
      </c>
      <c r="AH1299" s="0" t="n">
        <v>1</v>
      </c>
      <c r="AJ1299" s="0" t="n">
        <v>10</v>
      </c>
      <c r="AP1299" s="0" t="n">
        <v>280000</v>
      </c>
      <c r="DB1299" s="0" t="str">
        <f aca="false">IF($A1299="","",IF($AE1299&amp;""&lt;&gt;設定!$C$4,"対象外",IF($AH1299=20,IF(OR($AJ1299=10,$AJ1299=11,$AJ1299=18),"①病院一般",IF($AJ1299=41,"②病院短期","対象外")),IF($AH1299=5,IF($AJ1299=30,"③特定消防","対象外"),IF(OR($AJ1299=10,$AJ1299=11,$AJ1299=74),"④一般",IF(OR($AJ1299=41,$AJ1299=47),"⑤短期","対象外"))))))</f>
        <v>④一般</v>
      </c>
    </row>
    <row r="1300" customFormat="false" ht="15" hidden="false" customHeight="false" outlineLevel="0" collapsed="false">
      <c r="A1300" s="0" t="n">
        <v>215</v>
      </c>
      <c r="AA1300" s="0" t="n">
        <v>22</v>
      </c>
      <c r="AB1300" s="0" t="s">
        <v>484</v>
      </c>
      <c r="AD1300" s="0" t="n">
        <v>12</v>
      </c>
      <c r="AE1300" s="0" t="s">
        <v>96</v>
      </c>
      <c r="AH1300" s="0" t="n">
        <v>1</v>
      </c>
      <c r="AJ1300" s="0" t="n">
        <v>10</v>
      </c>
      <c r="AP1300" s="0" t="n">
        <v>280000</v>
      </c>
      <c r="DB1300" s="0" t="str">
        <f aca="false">IF($A1300="","",IF($AE1300&amp;""&lt;&gt;設定!$C$4,"対象外",IF($AH1300=20,IF(OR($AJ1300=10,$AJ1300=11,$AJ1300=18),"①病院一般",IF($AJ1300=41,"②病院短期","対象外")),IF($AH1300=5,IF($AJ1300=30,"③特定消防","対象外"),IF(OR($AJ1300=10,$AJ1300=11,$AJ1300=74),"④一般",IF(OR($AJ1300=41,$AJ1300=47),"⑤短期","対象外"))))))</f>
        <v>④一般</v>
      </c>
    </row>
    <row r="1301" customFormat="false" ht="15" hidden="false" customHeight="false" outlineLevel="0" collapsed="false">
      <c r="A1301" s="0" t="n">
        <v>215</v>
      </c>
      <c r="AA1301" s="0" t="n">
        <v>22</v>
      </c>
      <c r="AB1301" s="0" t="s">
        <v>484</v>
      </c>
      <c r="AD1301" s="0" t="n">
        <v>12</v>
      </c>
      <c r="AE1301" s="0" t="s">
        <v>96</v>
      </c>
      <c r="AH1301" s="0" t="n">
        <v>4</v>
      </c>
      <c r="AJ1301" s="0" t="n">
        <v>10</v>
      </c>
      <c r="AP1301" s="0" t="n">
        <v>300000</v>
      </c>
      <c r="DB1301" s="0" t="str">
        <f aca="false">IF($A1301="","",IF($AE1301&amp;""&lt;&gt;設定!$C$4,"対象外",IF($AH1301=20,IF(OR($AJ1301=10,$AJ1301=11,$AJ1301=18),"①病院一般",IF($AJ1301=41,"②病院短期","対象外")),IF($AH1301=5,IF($AJ1301=30,"③特定消防","対象外"),IF(OR($AJ1301=10,$AJ1301=11,$AJ1301=74),"④一般",IF(OR($AJ1301=41,$AJ1301=47),"⑤短期","対象外"))))))</f>
        <v>④一般</v>
      </c>
    </row>
    <row r="1302" customFormat="false" ht="15" hidden="false" customHeight="false" outlineLevel="0" collapsed="false">
      <c r="A1302" s="0" t="n">
        <v>215</v>
      </c>
      <c r="AA1302" s="0" t="n">
        <v>22</v>
      </c>
      <c r="AB1302" s="0" t="s">
        <v>484</v>
      </c>
      <c r="AD1302" s="0" t="n">
        <v>12</v>
      </c>
      <c r="AE1302" s="0" t="s">
        <v>96</v>
      </c>
      <c r="AH1302" s="0" t="n">
        <v>4</v>
      </c>
      <c r="AJ1302" s="0" t="n">
        <v>10</v>
      </c>
      <c r="AP1302" s="0" t="n">
        <v>360000</v>
      </c>
      <c r="DB1302" s="0" t="str">
        <f aca="false">IF($A1302="","",IF($AE1302&amp;""&lt;&gt;設定!$C$4,"対象外",IF($AH1302=20,IF(OR($AJ1302=10,$AJ1302=11,$AJ1302=18),"①病院一般",IF($AJ1302=41,"②病院短期","対象外")),IF($AH1302=5,IF($AJ1302=30,"③特定消防","対象外"),IF(OR($AJ1302=10,$AJ1302=11,$AJ1302=74),"④一般",IF(OR($AJ1302=41,$AJ1302=47),"⑤短期","対象外"))))))</f>
        <v>④一般</v>
      </c>
    </row>
    <row r="1303" customFormat="false" ht="15" hidden="false" customHeight="false" outlineLevel="0" collapsed="false">
      <c r="A1303" s="0" t="n">
        <v>215</v>
      </c>
      <c r="AA1303" s="0" t="n">
        <v>22</v>
      </c>
      <c r="AB1303" s="0" t="s">
        <v>484</v>
      </c>
      <c r="AD1303" s="0" t="n">
        <v>12</v>
      </c>
      <c r="AE1303" s="0" t="s">
        <v>96</v>
      </c>
      <c r="AH1303" s="0" t="n">
        <v>4</v>
      </c>
      <c r="AJ1303" s="0" t="n">
        <v>10</v>
      </c>
      <c r="AP1303" s="0" t="n">
        <v>280000</v>
      </c>
      <c r="DB1303" s="0" t="str">
        <f aca="false">IF($A1303="","",IF($AE1303&amp;""&lt;&gt;設定!$C$4,"対象外",IF($AH1303=20,IF(OR($AJ1303=10,$AJ1303=11,$AJ1303=18),"①病院一般",IF($AJ1303=41,"②病院短期","対象外")),IF($AH1303=5,IF($AJ1303=30,"③特定消防","対象外"),IF(OR($AJ1303=10,$AJ1303=11,$AJ1303=74),"④一般",IF(OR($AJ1303=41,$AJ1303=47),"⑤短期","対象外"))))))</f>
        <v>④一般</v>
      </c>
    </row>
    <row r="1304" customFormat="false" ht="15" hidden="false" customHeight="false" outlineLevel="0" collapsed="false">
      <c r="A1304" s="0" t="n">
        <v>215</v>
      </c>
      <c r="AA1304" s="0" t="n">
        <v>22</v>
      </c>
      <c r="AB1304" s="0" t="s">
        <v>484</v>
      </c>
      <c r="AD1304" s="0" t="n">
        <v>12</v>
      </c>
      <c r="AE1304" s="0" t="s">
        <v>96</v>
      </c>
      <c r="AH1304" s="0" t="n">
        <v>4</v>
      </c>
      <c r="AJ1304" s="0" t="n">
        <v>10</v>
      </c>
      <c r="AP1304" s="0" t="n">
        <v>300000</v>
      </c>
      <c r="DB1304" s="0" t="str">
        <f aca="false">IF($A1304="","",IF($AE1304&amp;""&lt;&gt;設定!$C$4,"対象外",IF($AH1304=20,IF(OR($AJ1304=10,$AJ1304=11,$AJ1304=18),"①病院一般",IF($AJ1304=41,"②病院短期","対象外")),IF($AH1304=5,IF($AJ1304=30,"③特定消防","対象外"),IF(OR($AJ1304=10,$AJ1304=11,$AJ1304=74),"④一般",IF(OR($AJ1304=41,$AJ1304=47),"⑤短期","対象外"))))))</f>
        <v>④一般</v>
      </c>
    </row>
    <row r="1305" customFormat="false" ht="15" hidden="false" customHeight="false" outlineLevel="0" collapsed="false">
      <c r="A1305" s="0" t="n">
        <v>215</v>
      </c>
      <c r="AA1305" s="0" t="n">
        <v>22</v>
      </c>
      <c r="AB1305" s="0" t="s">
        <v>484</v>
      </c>
      <c r="AD1305" s="0" t="n">
        <v>12</v>
      </c>
      <c r="AE1305" s="0" t="s">
        <v>96</v>
      </c>
      <c r="AH1305" s="0" t="n">
        <v>4</v>
      </c>
      <c r="AJ1305" s="0" t="n">
        <v>10</v>
      </c>
      <c r="AP1305" s="0" t="n">
        <v>280000</v>
      </c>
      <c r="DB1305" s="0" t="str">
        <f aca="false">IF($A1305="","",IF($AE1305&amp;""&lt;&gt;設定!$C$4,"対象外",IF($AH1305=20,IF(OR($AJ1305=10,$AJ1305=11,$AJ1305=18),"①病院一般",IF($AJ1305=41,"②病院短期","対象外")),IF($AH1305=5,IF($AJ1305=30,"③特定消防","対象外"),IF(OR($AJ1305=10,$AJ1305=11,$AJ1305=74),"④一般",IF(OR($AJ1305=41,$AJ1305=47),"⑤短期","対象外"))))))</f>
        <v>④一般</v>
      </c>
    </row>
    <row r="1306" customFormat="false" ht="15" hidden="false" customHeight="false" outlineLevel="0" collapsed="false">
      <c r="A1306" s="0" t="n">
        <v>215</v>
      </c>
      <c r="AA1306" s="0" t="n">
        <v>22</v>
      </c>
      <c r="AB1306" s="0" t="s">
        <v>484</v>
      </c>
      <c r="AD1306" s="0" t="n">
        <v>12</v>
      </c>
      <c r="AE1306" s="0" t="s">
        <v>96</v>
      </c>
      <c r="AH1306" s="0" t="n">
        <v>4</v>
      </c>
      <c r="AJ1306" s="0" t="n">
        <v>10</v>
      </c>
      <c r="AP1306" s="0" t="n">
        <v>320000</v>
      </c>
      <c r="DB1306" s="0" t="str">
        <f aca="false">IF($A1306="","",IF($AE1306&amp;""&lt;&gt;設定!$C$4,"対象外",IF($AH1306=20,IF(OR($AJ1306=10,$AJ1306=11,$AJ1306=18),"①病院一般",IF($AJ1306=41,"②病院短期","対象外")),IF($AH1306=5,IF($AJ1306=30,"③特定消防","対象外"),IF(OR($AJ1306=10,$AJ1306=11,$AJ1306=74),"④一般",IF(OR($AJ1306=41,$AJ1306=47),"⑤短期","対象外"))))))</f>
        <v>④一般</v>
      </c>
    </row>
    <row r="1307" customFormat="false" ht="15" hidden="false" customHeight="false" outlineLevel="0" collapsed="false">
      <c r="A1307" s="0" t="n">
        <v>215</v>
      </c>
      <c r="AA1307" s="0" t="n">
        <v>22</v>
      </c>
      <c r="AB1307" s="0" t="s">
        <v>484</v>
      </c>
      <c r="AD1307" s="0" t="n">
        <v>12</v>
      </c>
      <c r="AE1307" s="0" t="s">
        <v>96</v>
      </c>
      <c r="AH1307" s="0" t="n">
        <v>4</v>
      </c>
      <c r="AJ1307" s="0" t="n">
        <v>10</v>
      </c>
      <c r="AP1307" s="0" t="n">
        <v>320000</v>
      </c>
      <c r="DB1307" s="0" t="str">
        <f aca="false">IF($A1307="","",IF($AE1307&amp;""&lt;&gt;設定!$C$4,"対象外",IF($AH1307=20,IF(OR($AJ1307=10,$AJ1307=11,$AJ1307=18),"①病院一般",IF($AJ1307=41,"②病院短期","対象外")),IF($AH1307=5,IF($AJ1307=30,"③特定消防","対象外"),IF(OR($AJ1307=10,$AJ1307=11,$AJ1307=74),"④一般",IF(OR($AJ1307=41,$AJ1307=47),"⑤短期","対象外"))))))</f>
        <v>④一般</v>
      </c>
    </row>
    <row r="1308" customFormat="false" ht="15" hidden="false" customHeight="false" outlineLevel="0" collapsed="false">
      <c r="A1308" s="0" t="n">
        <v>215</v>
      </c>
      <c r="AA1308" s="0" t="n">
        <v>22</v>
      </c>
      <c r="AB1308" s="0" t="s">
        <v>484</v>
      </c>
      <c r="AD1308" s="0" t="n">
        <v>12</v>
      </c>
      <c r="AE1308" s="0" t="s">
        <v>96</v>
      </c>
      <c r="AH1308" s="0" t="n">
        <v>4</v>
      </c>
      <c r="AJ1308" s="0" t="n">
        <v>10</v>
      </c>
      <c r="AP1308" s="0" t="n">
        <v>280000</v>
      </c>
      <c r="DB1308" s="0" t="str">
        <f aca="false">IF($A1308="","",IF($AE1308&amp;""&lt;&gt;設定!$C$4,"対象外",IF($AH1308=20,IF(OR($AJ1308=10,$AJ1308=11,$AJ1308=18),"①病院一般",IF($AJ1308=41,"②病院短期","対象外")),IF($AH1308=5,IF($AJ1308=30,"③特定消防","対象外"),IF(OR($AJ1308=10,$AJ1308=11,$AJ1308=74),"④一般",IF(OR($AJ1308=41,$AJ1308=47),"⑤短期","対象外"))))))</f>
        <v>④一般</v>
      </c>
    </row>
    <row r="1309" customFormat="false" ht="15" hidden="false" customHeight="false" outlineLevel="0" collapsed="false">
      <c r="A1309" s="0" t="n">
        <v>215</v>
      </c>
      <c r="AA1309" s="0" t="n">
        <v>22</v>
      </c>
      <c r="AB1309" s="0" t="s">
        <v>484</v>
      </c>
      <c r="AD1309" s="0" t="n">
        <v>12</v>
      </c>
      <c r="AE1309" s="0" t="s">
        <v>96</v>
      </c>
      <c r="AH1309" s="0" t="n">
        <v>1</v>
      </c>
      <c r="AJ1309" s="0" t="n">
        <v>10</v>
      </c>
      <c r="AP1309" s="0" t="n">
        <v>280000</v>
      </c>
      <c r="DB1309" s="0" t="str">
        <f aca="false">IF($A1309="","",IF($AE1309&amp;""&lt;&gt;設定!$C$4,"対象外",IF($AH1309=20,IF(OR($AJ1309=10,$AJ1309=11,$AJ1309=18),"①病院一般",IF($AJ1309=41,"②病院短期","対象外")),IF($AH1309=5,IF($AJ1309=30,"③特定消防","対象外"),IF(OR($AJ1309=10,$AJ1309=11,$AJ1309=74),"④一般",IF(OR($AJ1309=41,$AJ1309=47),"⑤短期","対象外"))))))</f>
        <v>④一般</v>
      </c>
    </row>
    <row r="1310" customFormat="false" ht="15" hidden="false" customHeight="false" outlineLevel="0" collapsed="false">
      <c r="A1310" s="0" t="n">
        <v>215</v>
      </c>
      <c r="AA1310" s="0" t="n">
        <v>22</v>
      </c>
      <c r="AB1310" s="0" t="s">
        <v>484</v>
      </c>
      <c r="AD1310" s="0" t="n">
        <v>12</v>
      </c>
      <c r="AE1310" s="0" t="s">
        <v>96</v>
      </c>
      <c r="AH1310" s="0" t="n">
        <v>1</v>
      </c>
      <c r="AJ1310" s="0" t="n">
        <v>10</v>
      </c>
      <c r="AP1310" s="0" t="n">
        <v>340000</v>
      </c>
      <c r="DB1310" s="0" t="str">
        <f aca="false">IF($A1310="","",IF($AE1310&amp;""&lt;&gt;設定!$C$4,"対象外",IF($AH1310=20,IF(OR($AJ1310=10,$AJ1310=11,$AJ1310=18),"①病院一般",IF($AJ1310=41,"②病院短期","対象外")),IF($AH1310=5,IF($AJ1310=30,"③特定消防","対象外"),IF(OR($AJ1310=10,$AJ1310=11,$AJ1310=74),"④一般",IF(OR($AJ1310=41,$AJ1310=47),"⑤短期","対象外"))))))</f>
        <v>④一般</v>
      </c>
    </row>
    <row r="1311" customFormat="false" ht="15" hidden="false" customHeight="false" outlineLevel="0" collapsed="false">
      <c r="A1311" s="0" t="n">
        <v>215</v>
      </c>
      <c r="AA1311" s="0" t="n">
        <v>22</v>
      </c>
      <c r="AB1311" s="0" t="s">
        <v>476</v>
      </c>
      <c r="AD1311" s="0" t="n">
        <v>12</v>
      </c>
      <c r="AE1311" s="0" t="s">
        <v>96</v>
      </c>
      <c r="AH1311" s="0" t="n">
        <v>1</v>
      </c>
      <c r="AJ1311" s="0" t="n">
        <v>10</v>
      </c>
      <c r="AP1311" s="0" t="n">
        <v>280000</v>
      </c>
      <c r="DB1311" s="0" t="str">
        <f aca="false">IF($A1311="","",IF($AE1311&amp;""&lt;&gt;設定!$C$4,"対象外",IF($AH1311=20,IF(OR($AJ1311=10,$AJ1311=11,$AJ1311=18),"①病院一般",IF($AJ1311=41,"②病院短期","対象外")),IF($AH1311=5,IF($AJ1311=30,"③特定消防","対象外"),IF(OR($AJ1311=10,$AJ1311=11,$AJ1311=74),"④一般",IF(OR($AJ1311=41,$AJ1311=47),"⑤短期","対象外"))))))</f>
        <v>④一般</v>
      </c>
    </row>
    <row r="1312" customFormat="false" ht="15" hidden="false" customHeight="false" outlineLevel="0" collapsed="false">
      <c r="A1312" s="0" t="n">
        <v>215</v>
      </c>
      <c r="AA1312" s="0" t="n">
        <v>22</v>
      </c>
      <c r="AB1312" s="0" t="s">
        <v>484</v>
      </c>
      <c r="AD1312" s="0" t="n">
        <v>12</v>
      </c>
      <c r="AE1312" s="0" t="s">
        <v>96</v>
      </c>
      <c r="AH1312" s="0" t="n">
        <v>11</v>
      </c>
      <c r="AJ1312" s="0" t="n">
        <v>10</v>
      </c>
      <c r="AP1312" s="0" t="n">
        <v>280000</v>
      </c>
      <c r="DB1312" s="0" t="str">
        <f aca="false">IF($A1312="","",IF($AE1312&amp;""&lt;&gt;設定!$C$4,"対象外",IF($AH1312=20,IF(OR($AJ1312=10,$AJ1312=11,$AJ1312=18),"①病院一般",IF($AJ1312=41,"②病院短期","対象外")),IF($AH1312=5,IF($AJ1312=30,"③特定消防","対象外"),IF(OR($AJ1312=10,$AJ1312=11,$AJ1312=74),"④一般",IF(OR($AJ1312=41,$AJ1312=47),"⑤短期","対象外"))))))</f>
        <v>④一般</v>
      </c>
    </row>
    <row r="1313" customFormat="false" ht="15" hidden="false" customHeight="false" outlineLevel="0" collapsed="false">
      <c r="A1313" s="0" t="n">
        <v>215</v>
      </c>
      <c r="AA1313" s="0" t="n">
        <v>22</v>
      </c>
      <c r="AB1313" s="0" t="s">
        <v>484</v>
      </c>
      <c r="AD1313" s="0" t="n">
        <v>12</v>
      </c>
      <c r="AE1313" s="0" t="s">
        <v>96</v>
      </c>
      <c r="AH1313" s="0" t="n">
        <v>1</v>
      </c>
      <c r="AJ1313" s="0" t="n">
        <v>10</v>
      </c>
      <c r="AP1313" s="0" t="n">
        <v>410000</v>
      </c>
      <c r="DB1313" s="0" t="str">
        <f aca="false">IF($A1313="","",IF($AE1313&amp;""&lt;&gt;設定!$C$4,"対象外",IF($AH1313=20,IF(OR($AJ1313=10,$AJ1313=11,$AJ1313=18),"①病院一般",IF($AJ1313=41,"②病院短期","対象外")),IF($AH1313=5,IF($AJ1313=30,"③特定消防","対象外"),IF(OR($AJ1313=10,$AJ1313=11,$AJ1313=74),"④一般",IF(OR($AJ1313=41,$AJ1313=47),"⑤短期","対象外"))))))</f>
        <v>④一般</v>
      </c>
    </row>
    <row r="1314" customFormat="false" ht="15" hidden="false" customHeight="false" outlineLevel="0" collapsed="false">
      <c r="A1314" s="0" t="n">
        <v>215</v>
      </c>
      <c r="AA1314" s="0" t="n">
        <v>22</v>
      </c>
      <c r="AB1314" s="0" t="s">
        <v>484</v>
      </c>
      <c r="AD1314" s="0" t="n">
        <v>12</v>
      </c>
      <c r="AE1314" s="0" t="s">
        <v>96</v>
      </c>
      <c r="AH1314" s="0" t="n">
        <v>1</v>
      </c>
      <c r="AJ1314" s="0" t="n">
        <v>10</v>
      </c>
      <c r="AP1314" s="0" t="n">
        <v>320000</v>
      </c>
      <c r="DB1314" s="0" t="str">
        <f aca="false">IF($A1314="","",IF($AE1314&amp;""&lt;&gt;設定!$C$4,"対象外",IF($AH1314=20,IF(OR($AJ1314=10,$AJ1314=11,$AJ1314=18),"①病院一般",IF($AJ1314=41,"②病院短期","対象外")),IF($AH1314=5,IF($AJ1314=30,"③特定消防","対象外"),IF(OR($AJ1314=10,$AJ1314=11,$AJ1314=74),"④一般",IF(OR($AJ1314=41,$AJ1314=47),"⑤短期","対象外"))))))</f>
        <v>④一般</v>
      </c>
    </row>
    <row r="1315" customFormat="false" ht="15" hidden="false" customHeight="false" outlineLevel="0" collapsed="false">
      <c r="A1315" s="0" t="n">
        <v>215</v>
      </c>
      <c r="AA1315" s="0" t="n">
        <v>22</v>
      </c>
      <c r="AB1315" s="0" t="s">
        <v>484</v>
      </c>
      <c r="AD1315" s="0" t="n">
        <v>11</v>
      </c>
      <c r="AE1315" s="0" t="s">
        <v>96</v>
      </c>
      <c r="AH1315" s="0" t="n">
        <v>11</v>
      </c>
      <c r="AJ1315" s="0" t="n">
        <v>10</v>
      </c>
      <c r="AP1315" s="0" t="n">
        <v>320000</v>
      </c>
      <c r="DB1315" s="0" t="str">
        <f aca="false">IF($A1315="","",IF($AE1315&amp;""&lt;&gt;設定!$C$4,"対象外",IF($AH1315=20,IF(OR($AJ1315=10,$AJ1315=11,$AJ1315=18),"①病院一般",IF($AJ1315=41,"②病院短期","対象外")),IF($AH1315=5,IF($AJ1315=30,"③特定消防","対象外"),IF(OR($AJ1315=10,$AJ1315=11,$AJ1315=74),"④一般",IF(OR($AJ1315=41,$AJ1315=47),"⑤短期","対象外"))))))</f>
        <v>④一般</v>
      </c>
    </row>
    <row r="1316" customFormat="false" ht="15" hidden="false" customHeight="false" outlineLevel="0" collapsed="false">
      <c r="A1316" s="0" t="n">
        <v>215</v>
      </c>
      <c r="AA1316" s="0" t="n">
        <v>22</v>
      </c>
      <c r="AB1316" s="0" t="s">
        <v>484</v>
      </c>
      <c r="AD1316" s="0" t="n">
        <v>12</v>
      </c>
      <c r="AE1316" s="0" t="s">
        <v>96</v>
      </c>
      <c r="AH1316" s="0" t="n">
        <v>20</v>
      </c>
      <c r="AJ1316" s="0" t="n">
        <v>10</v>
      </c>
      <c r="AP1316" s="0" t="n">
        <v>300000</v>
      </c>
      <c r="DB1316" s="0" t="str">
        <f aca="false">IF($A1316="","",IF($AE1316&amp;""&lt;&gt;設定!$C$4,"対象外",IF($AH1316=20,IF(OR($AJ1316=10,$AJ1316=11,$AJ1316=18),"①病院一般",IF($AJ1316=41,"②病院短期","対象外")),IF($AH1316=5,IF($AJ1316=30,"③特定消防","対象外"),IF(OR($AJ1316=10,$AJ1316=11,$AJ1316=74),"④一般",IF(OR($AJ1316=41,$AJ1316=47),"⑤短期","対象外"))))))</f>
        <v>①病院一般</v>
      </c>
    </row>
    <row r="1317" customFormat="false" ht="15" hidden="false" customHeight="false" outlineLevel="0" collapsed="false">
      <c r="A1317" s="0" t="n">
        <v>215</v>
      </c>
      <c r="AA1317" s="0" t="n">
        <v>22</v>
      </c>
      <c r="AB1317" s="0" t="s">
        <v>484</v>
      </c>
      <c r="AD1317" s="0" t="n">
        <v>12</v>
      </c>
      <c r="AE1317" s="0" t="s">
        <v>96</v>
      </c>
      <c r="AH1317" s="0" t="n">
        <v>1</v>
      </c>
      <c r="AJ1317" s="0" t="n">
        <v>10</v>
      </c>
      <c r="AP1317" s="0" t="n">
        <v>300000</v>
      </c>
      <c r="DB1317" s="0" t="str">
        <f aca="false">IF($A1317="","",IF($AE1317&amp;""&lt;&gt;設定!$C$4,"対象外",IF($AH1317=20,IF(OR($AJ1317=10,$AJ1317=11,$AJ1317=18),"①病院一般",IF($AJ1317=41,"②病院短期","対象外")),IF($AH1317=5,IF($AJ1317=30,"③特定消防","対象外"),IF(OR($AJ1317=10,$AJ1317=11,$AJ1317=74),"④一般",IF(OR($AJ1317=41,$AJ1317=47),"⑤短期","対象外"))))))</f>
        <v>④一般</v>
      </c>
    </row>
    <row r="1318" customFormat="false" ht="15" hidden="false" customHeight="false" outlineLevel="0" collapsed="false">
      <c r="A1318" s="0" t="n">
        <v>215</v>
      </c>
      <c r="AA1318" s="0" t="n">
        <v>22</v>
      </c>
      <c r="AB1318" s="0" t="s">
        <v>484</v>
      </c>
      <c r="AD1318" s="0" t="n">
        <v>12</v>
      </c>
      <c r="AE1318" s="0" t="s">
        <v>96</v>
      </c>
      <c r="AH1318" s="0" t="n">
        <v>1</v>
      </c>
      <c r="AJ1318" s="0" t="n">
        <v>10</v>
      </c>
      <c r="AP1318" s="0" t="n">
        <v>340000</v>
      </c>
      <c r="DB1318" s="0" t="str">
        <f aca="false">IF($A1318="","",IF($AE1318&amp;""&lt;&gt;設定!$C$4,"対象外",IF($AH1318=20,IF(OR($AJ1318=10,$AJ1318=11,$AJ1318=18),"①病院一般",IF($AJ1318=41,"②病院短期","対象外")),IF($AH1318=5,IF($AJ1318=30,"③特定消防","対象外"),IF(OR($AJ1318=10,$AJ1318=11,$AJ1318=74),"④一般",IF(OR($AJ1318=41,$AJ1318=47),"⑤短期","対象外"))))))</f>
        <v>④一般</v>
      </c>
    </row>
    <row r="1319" customFormat="false" ht="15" hidden="false" customHeight="false" outlineLevel="0" collapsed="false">
      <c r="A1319" s="0" t="n">
        <v>215</v>
      </c>
      <c r="AA1319" s="0" t="n">
        <v>22</v>
      </c>
      <c r="AB1319" s="0" t="s">
        <v>484</v>
      </c>
      <c r="AD1319" s="0" t="n">
        <v>12</v>
      </c>
      <c r="AE1319" s="0" t="s">
        <v>96</v>
      </c>
      <c r="AH1319" s="0" t="n">
        <v>1</v>
      </c>
      <c r="AJ1319" s="0" t="n">
        <v>10</v>
      </c>
      <c r="AP1319" s="0" t="n">
        <v>340000</v>
      </c>
      <c r="DB1319" s="0" t="str">
        <f aca="false">IF($A1319="","",IF($AE1319&amp;""&lt;&gt;設定!$C$4,"対象外",IF($AH1319=20,IF(OR($AJ1319=10,$AJ1319=11,$AJ1319=18),"①病院一般",IF($AJ1319=41,"②病院短期","対象外")),IF($AH1319=5,IF($AJ1319=30,"③特定消防","対象外"),IF(OR($AJ1319=10,$AJ1319=11,$AJ1319=74),"④一般",IF(OR($AJ1319=41,$AJ1319=47),"⑤短期","対象外"))))))</f>
        <v>④一般</v>
      </c>
    </row>
    <row r="1320" customFormat="false" ht="15" hidden="false" customHeight="false" outlineLevel="0" collapsed="false">
      <c r="A1320" s="0" t="n">
        <v>215</v>
      </c>
      <c r="AA1320" s="0" t="n">
        <v>22</v>
      </c>
      <c r="AB1320" s="0" t="s">
        <v>484</v>
      </c>
      <c r="AD1320" s="0" t="n">
        <v>12</v>
      </c>
      <c r="AE1320" s="0" t="s">
        <v>96</v>
      </c>
      <c r="AH1320" s="0" t="n">
        <v>1</v>
      </c>
      <c r="AJ1320" s="0" t="n">
        <v>10</v>
      </c>
      <c r="AP1320" s="0" t="n">
        <v>320000</v>
      </c>
      <c r="DB1320" s="0" t="str">
        <f aca="false">IF($A1320="","",IF($AE1320&amp;""&lt;&gt;設定!$C$4,"対象外",IF($AH1320=20,IF(OR($AJ1320=10,$AJ1320=11,$AJ1320=18),"①病院一般",IF($AJ1320=41,"②病院短期","対象外")),IF($AH1320=5,IF($AJ1320=30,"③特定消防","対象外"),IF(OR($AJ1320=10,$AJ1320=11,$AJ1320=74),"④一般",IF(OR($AJ1320=41,$AJ1320=47),"⑤短期","対象外"))))))</f>
        <v>④一般</v>
      </c>
    </row>
    <row r="1321" customFormat="false" ht="15" hidden="false" customHeight="false" outlineLevel="0" collapsed="false">
      <c r="A1321" s="0" t="n">
        <v>215</v>
      </c>
      <c r="AA1321" s="0" t="n">
        <v>22</v>
      </c>
      <c r="AB1321" s="0" t="s">
        <v>484</v>
      </c>
      <c r="AD1321" s="0" t="n">
        <v>12</v>
      </c>
      <c r="AE1321" s="0" t="s">
        <v>96</v>
      </c>
      <c r="AH1321" s="0" t="n">
        <v>1</v>
      </c>
      <c r="AJ1321" s="0" t="n">
        <v>10</v>
      </c>
      <c r="AP1321" s="0" t="n">
        <v>280000</v>
      </c>
      <c r="DB1321" s="0" t="str">
        <f aca="false">IF($A1321="","",IF($AE1321&amp;""&lt;&gt;設定!$C$4,"対象外",IF($AH1321=20,IF(OR($AJ1321=10,$AJ1321=11,$AJ1321=18),"①病院一般",IF($AJ1321=41,"②病院短期","対象外")),IF($AH1321=5,IF($AJ1321=30,"③特定消防","対象外"),IF(OR($AJ1321=10,$AJ1321=11,$AJ1321=74),"④一般",IF(OR($AJ1321=41,$AJ1321=47),"⑤短期","対象外"))))))</f>
        <v>④一般</v>
      </c>
    </row>
    <row r="1322" customFormat="false" ht="15" hidden="false" customHeight="false" outlineLevel="0" collapsed="false">
      <c r="A1322" s="0" t="n">
        <v>215</v>
      </c>
      <c r="AA1322" s="0" t="n">
        <v>22</v>
      </c>
      <c r="AB1322" s="0" t="s">
        <v>484</v>
      </c>
      <c r="AD1322" s="0" t="n">
        <v>12</v>
      </c>
      <c r="AE1322" s="0" t="s">
        <v>96</v>
      </c>
      <c r="AH1322" s="0" t="n">
        <v>1</v>
      </c>
      <c r="AJ1322" s="0" t="n">
        <v>10</v>
      </c>
      <c r="AP1322" s="0" t="n">
        <v>300000</v>
      </c>
      <c r="DB1322" s="0" t="str">
        <f aca="false">IF($A1322="","",IF($AE1322&amp;""&lt;&gt;設定!$C$4,"対象外",IF($AH1322=20,IF(OR($AJ1322=10,$AJ1322=11,$AJ1322=18),"①病院一般",IF($AJ1322=41,"②病院短期","対象外")),IF($AH1322=5,IF($AJ1322=30,"③特定消防","対象外"),IF(OR($AJ1322=10,$AJ1322=11,$AJ1322=74),"④一般",IF(OR($AJ1322=41,$AJ1322=47),"⑤短期","対象外"))))))</f>
        <v>④一般</v>
      </c>
    </row>
    <row r="1323" customFormat="false" ht="15" hidden="false" customHeight="false" outlineLevel="0" collapsed="false">
      <c r="A1323" s="0" t="n">
        <v>215</v>
      </c>
      <c r="AA1323" s="0" t="n">
        <v>22</v>
      </c>
      <c r="AB1323" s="0" t="s">
        <v>484</v>
      </c>
      <c r="AD1323" s="0" t="n">
        <v>11</v>
      </c>
      <c r="AE1323" s="0" t="s">
        <v>96</v>
      </c>
      <c r="AH1323" s="0" t="n">
        <v>1</v>
      </c>
      <c r="AJ1323" s="0" t="n">
        <v>10</v>
      </c>
      <c r="AP1323" s="0" t="n">
        <v>300000</v>
      </c>
      <c r="DB1323" s="0" t="str">
        <f aca="false">IF($A1323="","",IF($AE1323&amp;""&lt;&gt;設定!$C$4,"対象外",IF($AH1323=20,IF(OR($AJ1323=10,$AJ1323=11,$AJ1323=18),"①病院一般",IF($AJ1323=41,"②病院短期","対象外")),IF($AH1323=5,IF($AJ1323=30,"③特定消防","対象外"),IF(OR($AJ1323=10,$AJ1323=11,$AJ1323=74),"④一般",IF(OR($AJ1323=41,$AJ1323=47),"⑤短期","対象外"))))))</f>
        <v>④一般</v>
      </c>
    </row>
    <row r="1324" customFormat="false" ht="15" hidden="false" customHeight="false" outlineLevel="0" collapsed="false">
      <c r="A1324" s="0" t="n">
        <v>215</v>
      </c>
      <c r="AA1324" s="0" t="n">
        <v>22</v>
      </c>
      <c r="AB1324" s="0" t="s">
        <v>484</v>
      </c>
      <c r="AD1324" s="0" t="n">
        <v>12</v>
      </c>
      <c r="AE1324" s="0" t="s">
        <v>96</v>
      </c>
      <c r="AH1324" s="0" t="n">
        <v>1</v>
      </c>
      <c r="AJ1324" s="0" t="n">
        <v>10</v>
      </c>
      <c r="AP1324" s="0" t="n">
        <v>360000</v>
      </c>
      <c r="DB1324" s="0" t="str">
        <f aca="false">IF($A1324="","",IF($AE1324&amp;""&lt;&gt;設定!$C$4,"対象外",IF($AH1324=20,IF(OR($AJ1324=10,$AJ1324=11,$AJ1324=18),"①病院一般",IF($AJ1324=41,"②病院短期","対象外")),IF($AH1324=5,IF($AJ1324=30,"③特定消防","対象外"),IF(OR($AJ1324=10,$AJ1324=11,$AJ1324=74),"④一般",IF(OR($AJ1324=41,$AJ1324=47),"⑤短期","対象外"))))))</f>
        <v>④一般</v>
      </c>
    </row>
    <row r="1325" customFormat="false" ht="15" hidden="false" customHeight="false" outlineLevel="0" collapsed="false">
      <c r="A1325" s="0" t="n">
        <v>215</v>
      </c>
      <c r="AA1325" s="0" t="n">
        <v>22</v>
      </c>
      <c r="AB1325" s="0" t="s">
        <v>476</v>
      </c>
      <c r="AD1325" s="0" t="n">
        <v>12</v>
      </c>
      <c r="AE1325" s="0" t="s">
        <v>96</v>
      </c>
      <c r="AH1325" s="0" t="n">
        <v>20</v>
      </c>
      <c r="AJ1325" s="0" t="n">
        <v>10</v>
      </c>
      <c r="AP1325" s="0" t="n">
        <v>340000</v>
      </c>
      <c r="DB1325" s="0" t="str">
        <f aca="false">IF($A1325="","",IF($AE1325&amp;""&lt;&gt;設定!$C$4,"対象外",IF($AH1325=20,IF(OR($AJ1325=10,$AJ1325=11,$AJ1325=18),"①病院一般",IF($AJ1325=41,"②病院短期","対象外")),IF($AH1325=5,IF($AJ1325=30,"③特定消防","対象外"),IF(OR($AJ1325=10,$AJ1325=11,$AJ1325=74),"④一般",IF(OR($AJ1325=41,$AJ1325=47),"⑤短期","対象外"))))))</f>
        <v>①病院一般</v>
      </c>
    </row>
    <row r="1326" customFormat="false" ht="15" hidden="false" customHeight="false" outlineLevel="0" collapsed="false">
      <c r="A1326" s="0" t="n">
        <v>215</v>
      </c>
      <c r="AA1326" s="0" t="n">
        <v>22</v>
      </c>
      <c r="AB1326" s="0" t="s">
        <v>477</v>
      </c>
      <c r="AD1326" s="0" t="n">
        <v>12</v>
      </c>
      <c r="AE1326" s="0" t="s">
        <v>96</v>
      </c>
      <c r="AH1326" s="0" t="n">
        <v>20</v>
      </c>
      <c r="AJ1326" s="0" t="n">
        <v>10</v>
      </c>
      <c r="AP1326" s="0" t="n">
        <v>320000</v>
      </c>
      <c r="DB1326" s="0" t="str">
        <f aca="false">IF($A1326="","",IF($AE1326&amp;""&lt;&gt;設定!$C$4,"対象外",IF($AH1326=20,IF(OR($AJ1326=10,$AJ1326=11,$AJ1326=18),"①病院一般",IF($AJ1326=41,"②病院短期","対象外")),IF($AH1326=5,IF($AJ1326=30,"③特定消防","対象外"),IF(OR($AJ1326=10,$AJ1326=11,$AJ1326=74),"④一般",IF(OR($AJ1326=41,$AJ1326=47),"⑤短期","対象外"))))))</f>
        <v>①病院一般</v>
      </c>
    </row>
    <row r="1327" customFormat="false" ht="15" hidden="false" customHeight="false" outlineLevel="0" collapsed="false">
      <c r="A1327" s="0" t="n">
        <v>215</v>
      </c>
      <c r="AA1327" s="0" t="n">
        <v>22</v>
      </c>
      <c r="AB1327" s="0" t="s">
        <v>484</v>
      </c>
      <c r="AD1327" s="0" t="n">
        <v>12</v>
      </c>
      <c r="AE1327" s="0" t="s">
        <v>96</v>
      </c>
      <c r="AH1327" s="0" t="n">
        <v>20</v>
      </c>
      <c r="AJ1327" s="0" t="n">
        <v>10</v>
      </c>
      <c r="AP1327" s="0" t="n">
        <v>440000</v>
      </c>
      <c r="DB1327" s="0" t="str">
        <f aca="false">IF($A1327="","",IF($AE1327&amp;""&lt;&gt;設定!$C$4,"対象外",IF($AH1327=20,IF(OR($AJ1327=10,$AJ1327=11,$AJ1327=18),"①病院一般",IF($AJ1327=41,"②病院短期","対象外")),IF($AH1327=5,IF($AJ1327=30,"③特定消防","対象外"),IF(OR($AJ1327=10,$AJ1327=11,$AJ1327=74),"④一般",IF(OR($AJ1327=41,$AJ1327=47),"⑤短期","対象外"))))))</f>
        <v>①病院一般</v>
      </c>
    </row>
    <row r="1328" customFormat="false" ht="15" hidden="false" customHeight="false" outlineLevel="0" collapsed="false">
      <c r="A1328" s="0" t="n">
        <v>215</v>
      </c>
      <c r="AA1328" s="0" t="n">
        <v>22</v>
      </c>
      <c r="AB1328" s="0" t="s">
        <v>458</v>
      </c>
      <c r="AD1328" s="0" t="n">
        <v>12</v>
      </c>
      <c r="AE1328" s="0" t="s">
        <v>96</v>
      </c>
      <c r="AH1328" s="0" t="n">
        <v>5</v>
      </c>
      <c r="AJ1328" s="0" t="n">
        <v>30</v>
      </c>
      <c r="AP1328" s="0" t="n">
        <v>320000</v>
      </c>
      <c r="DB1328" s="0" t="str">
        <f aca="false">IF($A1328="","",IF($AE1328&amp;""&lt;&gt;設定!$C$4,"対象外",IF($AH1328=20,IF(OR($AJ1328=10,$AJ1328=11,$AJ1328=18),"①病院一般",IF($AJ1328=41,"②病院短期","対象外")),IF($AH1328=5,IF($AJ1328=30,"③特定消防","対象外"),IF(OR($AJ1328=10,$AJ1328=11,$AJ1328=74),"④一般",IF(OR($AJ1328=41,$AJ1328=47),"⑤短期","対象外"))))))</f>
        <v>③特定消防</v>
      </c>
    </row>
    <row r="1329" customFormat="false" ht="15" hidden="false" customHeight="false" outlineLevel="0" collapsed="false">
      <c r="A1329" s="0" t="n">
        <v>215</v>
      </c>
      <c r="AA1329" s="0" t="n">
        <v>22</v>
      </c>
      <c r="AB1329" s="0" t="s">
        <v>484</v>
      </c>
      <c r="AD1329" s="0" t="n">
        <v>12</v>
      </c>
      <c r="AE1329" s="0" t="s">
        <v>96</v>
      </c>
      <c r="AH1329" s="0" t="n">
        <v>5</v>
      </c>
      <c r="AJ1329" s="0" t="n">
        <v>30</v>
      </c>
      <c r="AP1329" s="0" t="n">
        <v>300000</v>
      </c>
      <c r="DB1329" s="0" t="str">
        <f aca="false">IF($A1329="","",IF($AE1329&amp;""&lt;&gt;設定!$C$4,"対象外",IF($AH1329=20,IF(OR($AJ1329=10,$AJ1329=11,$AJ1329=18),"①病院一般",IF($AJ1329=41,"②病院短期","対象外")),IF($AH1329=5,IF($AJ1329=30,"③特定消防","対象外"),IF(OR($AJ1329=10,$AJ1329=11,$AJ1329=74),"④一般",IF(OR($AJ1329=41,$AJ1329=47),"⑤短期","対象外"))))))</f>
        <v>③特定消防</v>
      </c>
    </row>
    <row r="1330" customFormat="false" ht="15" hidden="false" customHeight="false" outlineLevel="0" collapsed="false">
      <c r="A1330" s="0" t="n">
        <v>215</v>
      </c>
      <c r="AA1330" s="0" t="n">
        <v>22</v>
      </c>
      <c r="AB1330" s="0" t="s">
        <v>484</v>
      </c>
      <c r="AD1330" s="0" t="n">
        <v>11</v>
      </c>
      <c r="AE1330" s="0" t="s">
        <v>96</v>
      </c>
      <c r="AH1330" s="0" t="n">
        <v>20</v>
      </c>
      <c r="AJ1330" s="0" t="n">
        <v>10</v>
      </c>
      <c r="AP1330" s="0" t="n">
        <v>410000</v>
      </c>
      <c r="DB1330" s="0" t="str">
        <f aca="false">IF($A1330="","",IF($AE1330&amp;""&lt;&gt;設定!$C$4,"対象外",IF($AH1330=20,IF(OR($AJ1330=10,$AJ1330=11,$AJ1330=18),"①病院一般",IF($AJ1330=41,"②病院短期","対象外")),IF($AH1330=5,IF($AJ1330=30,"③特定消防","対象外"),IF(OR($AJ1330=10,$AJ1330=11,$AJ1330=74),"④一般",IF(OR($AJ1330=41,$AJ1330=47),"⑤短期","対象外"))))))</f>
        <v>①病院一般</v>
      </c>
    </row>
    <row r="1331" customFormat="false" ht="15" hidden="false" customHeight="false" outlineLevel="0" collapsed="false">
      <c r="A1331" s="0" t="n">
        <v>215</v>
      </c>
      <c r="AA1331" s="0" t="n">
        <v>22</v>
      </c>
      <c r="AB1331" s="0" t="s">
        <v>484</v>
      </c>
      <c r="AD1331" s="0" t="n">
        <v>12</v>
      </c>
      <c r="AE1331" s="0" t="s">
        <v>96</v>
      </c>
      <c r="AH1331" s="0" t="n">
        <v>1</v>
      </c>
      <c r="AJ1331" s="0" t="n">
        <v>10</v>
      </c>
      <c r="AP1331" s="0" t="n">
        <v>380000</v>
      </c>
      <c r="DB1331" s="0" t="str">
        <f aca="false">IF($A1331="","",IF($AE1331&amp;""&lt;&gt;設定!$C$4,"対象外",IF($AH1331=20,IF(OR($AJ1331=10,$AJ1331=11,$AJ1331=18),"①病院一般",IF($AJ1331=41,"②病院短期","対象外")),IF($AH1331=5,IF($AJ1331=30,"③特定消防","対象外"),IF(OR($AJ1331=10,$AJ1331=11,$AJ1331=74),"④一般",IF(OR($AJ1331=41,$AJ1331=47),"⑤短期","対象外"))))))</f>
        <v>④一般</v>
      </c>
    </row>
    <row r="1332" customFormat="false" ht="15" hidden="false" customHeight="false" outlineLevel="0" collapsed="false">
      <c r="A1332" s="0" t="n">
        <v>215</v>
      </c>
      <c r="AA1332" s="0" t="n">
        <v>22</v>
      </c>
      <c r="AB1332" s="0" t="s">
        <v>484</v>
      </c>
      <c r="AD1332" s="0" t="n">
        <v>12</v>
      </c>
      <c r="AE1332" s="0" t="s">
        <v>96</v>
      </c>
      <c r="AH1332" s="0" t="n">
        <v>20</v>
      </c>
      <c r="AJ1332" s="0" t="n">
        <v>10</v>
      </c>
      <c r="AP1332" s="0" t="n">
        <v>440000</v>
      </c>
      <c r="DB1332" s="0" t="str">
        <f aca="false">IF($A1332="","",IF($AE1332&amp;""&lt;&gt;設定!$C$4,"対象外",IF($AH1332=20,IF(OR($AJ1332=10,$AJ1332=11,$AJ1332=18),"①病院一般",IF($AJ1332=41,"②病院短期","対象外")),IF($AH1332=5,IF($AJ1332=30,"③特定消防","対象外"),IF(OR($AJ1332=10,$AJ1332=11,$AJ1332=74),"④一般",IF(OR($AJ1332=41,$AJ1332=47),"⑤短期","対象外"))))))</f>
        <v>①病院一般</v>
      </c>
    </row>
    <row r="1333" customFormat="false" ht="15" hidden="false" customHeight="false" outlineLevel="0" collapsed="false">
      <c r="A1333" s="0" t="n">
        <v>215</v>
      </c>
      <c r="AA1333" s="0" t="n">
        <v>22</v>
      </c>
      <c r="AB1333" s="0" t="s">
        <v>484</v>
      </c>
      <c r="AD1333" s="0" t="n">
        <v>12</v>
      </c>
      <c r="AE1333" s="0" t="s">
        <v>96</v>
      </c>
      <c r="AH1333" s="0" t="n">
        <v>1</v>
      </c>
      <c r="AJ1333" s="0" t="n">
        <v>10</v>
      </c>
      <c r="AP1333" s="0" t="n">
        <v>280000</v>
      </c>
      <c r="DB1333" s="0" t="str">
        <f aca="false">IF($A1333="","",IF($AE1333&amp;""&lt;&gt;設定!$C$4,"対象外",IF($AH1333=20,IF(OR($AJ1333=10,$AJ1333=11,$AJ1333=18),"①病院一般",IF($AJ1333=41,"②病院短期","対象外")),IF($AH1333=5,IF($AJ1333=30,"③特定消防","対象外"),IF(OR($AJ1333=10,$AJ1333=11,$AJ1333=74),"④一般",IF(OR($AJ1333=41,$AJ1333=47),"⑤短期","対象外"))))))</f>
        <v>④一般</v>
      </c>
    </row>
    <row r="1334" customFormat="false" ht="15" hidden="false" customHeight="false" outlineLevel="0" collapsed="false">
      <c r="A1334" s="0" t="n">
        <v>215</v>
      </c>
      <c r="AA1334" s="0" t="n">
        <v>22</v>
      </c>
      <c r="AB1334" s="0" t="s">
        <v>476</v>
      </c>
      <c r="AD1334" s="0" t="n">
        <v>12</v>
      </c>
      <c r="AE1334" s="0" t="s">
        <v>96</v>
      </c>
      <c r="AH1334" s="0" t="n">
        <v>1</v>
      </c>
      <c r="AJ1334" s="0" t="n">
        <v>10</v>
      </c>
      <c r="AP1334" s="0" t="n">
        <v>280000</v>
      </c>
      <c r="DB1334" s="0" t="str">
        <f aca="false">IF($A1334="","",IF($AE1334&amp;""&lt;&gt;設定!$C$4,"対象外",IF($AH1334=20,IF(OR($AJ1334=10,$AJ1334=11,$AJ1334=18),"①病院一般",IF($AJ1334=41,"②病院短期","対象外")),IF($AH1334=5,IF($AJ1334=30,"③特定消防","対象外"),IF(OR($AJ1334=10,$AJ1334=11,$AJ1334=74),"④一般",IF(OR($AJ1334=41,$AJ1334=47),"⑤短期","対象外"))))))</f>
        <v>④一般</v>
      </c>
    </row>
    <row r="1335" customFormat="false" ht="15" hidden="false" customHeight="false" outlineLevel="0" collapsed="false">
      <c r="A1335" s="0" t="n">
        <v>215</v>
      </c>
      <c r="AA1335" s="0" t="n">
        <v>22</v>
      </c>
      <c r="AB1335" s="0" t="s">
        <v>477</v>
      </c>
      <c r="AD1335" s="0" t="n">
        <v>12</v>
      </c>
      <c r="AE1335" s="0" t="s">
        <v>96</v>
      </c>
      <c r="AH1335" s="0" t="n">
        <v>20</v>
      </c>
      <c r="AJ1335" s="0" t="n">
        <v>10</v>
      </c>
      <c r="AP1335" s="0" t="n">
        <v>300000</v>
      </c>
      <c r="DB1335" s="0" t="str">
        <f aca="false">IF($A1335="","",IF($AE1335&amp;""&lt;&gt;設定!$C$4,"対象外",IF($AH1335=20,IF(OR($AJ1335=10,$AJ1335=11,$AJ1335=18),"①病院一般",IF($AJ1335=41,"②病院短期","対象外")),IF($AH1335=5,IF($AJ1335=30,"③特定消防","対象外"),IF(OR($AJ1335=10,$AJ1335=11,$AJ1335=74),"④一般",IF(OR($AJ1335=41,$AJ1335=47),"⑤短期","対象外"))))))</f>
        <v>①病院一般</v>
      </c>
    </row>
    <row r="1336" customFormat="false" ht="15" hidden="false" customHeight="false" outlineLevel="0" collapsed="false">
      <c r="A1336" s="0" t="n">
        <v>215</v>
      </c>
      <c r="AA1336" s="0" t="n">
        <v>22</v>
      </c>
      <c r="AB1336" s="0" t="s">
        <v>484</v>
      </c>
      <c r="AD1336" s="0" t="n">
        <v>11</v>
      </c>
      <c r="AE1336" s="0" t="s">
        <v>96</v>
      </c>
      <c r="AH1336" s="0" t="n">
        <v>20</v>
      </c>
      <c r="AJ1336" s="0" t="n">
        <v>10</v>
      </c>
      <c r="AP1336" s="0" t="n">
        <v>300000</v>
      </c>
      <c r="DB1336" s="0" t="str">
        <f aca="false">IF($A1336="","",IF($AE1336&amp;""&lt;&gt;設定!$C$4,"対象外",IF($AH1336=20,IF(OR($AJ1336=10,$AJ1336=11,$AJ1336=18),"①病院一般",IF($AJ1336=41,"②病院短期","対象外")),IF($AH1336=5,IF($AJ1336=30,"③特定消防","対象外"),IF(OR($AJ1336=10,$AJ1336=11,$AJ1336=74),"④一般",IF(OR($AJ1336=41,$AJ1336=47),"⑤短期","対象外"))))))</f>
        <v>①病院一般</v>
      </c>
    </row>
    <row r="1337" customFormat="false" ht="15" hidden="false" customHeight="false" outlineLevel="0" collapsed="false">
      <c r="A1337" s="0" t="n">
        <v>215</v>
      </c>
      <c r="AA1337" s="0" t="n">
        <v>22</v>
      </c>
      <c r="AB1337" s="0" t="s">
        <v>484</v>
      </c>
      <c r="AD1337" s="0" t="n">
        <v>12</v>
      </c>
      <c r="AE1337" s="0" t="s">
        <v>96</v>
      </c>
      <c r="AH1337" s="0" t="n">
        <v>5</v>
      </c>
      <c r="AJ1337" s="0" t="n">
        <v>30</v>
      </c>
      <c r="AP1337" s="0" t="n">
        <v>280000</v>
      </c>
      <c r="DB1337" s="0" t="str">
        <f aca="false">IF($A1337="","",IF($AE1337&amp;""&lt;&gt;設定!$C$4,"対象外",IF($AH1337=20,IF(OR($AJ1337=10,$AJ1337=11,$AJ1337=18),"①病院一般",IF($AJ1337=41,"②病院短期","対象外")),IF($AH1337=5,IF($AJ1337=30,"③特定消防","対象外"),IF(OR($AJ1337=10,$AJ1337=11,$AJ1337=74),"④一般",IF(OR($AJ1337=41,$AJ1337=47),"⑤短期","対象外"))))))</f>
        <v>③特定消防</v>
      </c>
    </row>
    <row r="1338" customFormat="false" ht="15" hidden="false" customHeight="false" outlineLevel="0" collapsed="false">
      <c r="A1338" s="0" t="n">
        <v>215</v>
      </c>
      <c r="AA1338" s="0" t="n">
        <v>22</v>
      </c>
      <c r="AB1338" s="0" t="s">
        <v>476</v>
      </c>
      <c r="AD1338" s="0" t="n">
        <v>12</v>
      </c>
      <c r="AE1338" s="0" t="s">
        <v>96</v>
      </c>
      <c r="AH1338" s="0" t="n">
        <v>1</v>
      </c>
      <c r="AJ1338" s="0" t="n">
        <v>10</v>
      </c>
      <c r="AP1338" s="0" t="n">
        <v>280000</v>
      </c>
      <c r="DB1338" s="0" t="str">
        <f aca="false">IF($A1338="","",IF($AE1338&amp;""&lt;&gt;設定!$C$4,"対象外",IF($AH1338=20,IF(OR($AJ1338=10,$AJ1338=11,$AJ1338=18),"①病院一般",IF($AJ1338=41,"②病院短期","対象外")),IF($AH1338=5,IF($AJ1338=30,"③特定消防","対象外"),IF(OR($AJ1338=10,$AJ1338=11,$AJ1338=74),"④一般",IF(OR($AJ1338=41,$AJ1338=47),"⑤短期","対象外"))))))</f>
        <v>④一般</v>
      </c>
    </row>
    <row r="1339" customFormat="false" ht="15" hidden="false" customHeight="false" outlineLevel="0" collapsed="false">
      <c r="A1339" s="0" t="n">
        <v>215</v>
      </c>
      <c r="AA1339" s="0" t="n">
        <v>22</v>
      </c>
      <c r="AB1339" s="0" t="s">
        <v>477</v>
      </c>
      <c r="AD1339" s="0" t="n">
        <v>12</v>
      </c>
      <c r="AE1339" s="0" t="s">
        <v>96</v>
      </c>
      <c r="AH1339" s="0" t="n">
        <v>1</v>
      </c>
      <c r="AJ1339" s="0" t="n">
        <v>10</v>
      </c>
      <c r="AP1339" s="0" t="n">
        <v>300000</v>
      </c>
      <c r="DB1339" s="0" t="str">
        <f aca="false">IF($A1339="","",IF($AE1339&amp;""&lt;&gt;設定!$C$4,"対象外",IF($AH1339=20,IF(OR($AJ1339=10,$AJ1339=11,$AJ1339=18),"①病院一般",IF($AJ1339=41,"②病院短期","対象外")),IF($AH1339=5,IF($AJ1339=30,"③特定消防","対象外"),IF(OR($AJ1339=10,$AJ1339=11,$AJ1339=74),"④一般",IF(OR($AJ1339=41,$AJ1339=47),"⑤短期","対象外"))))))</f>
        <v>④一般</v>
      </c>
    </row>
    <row r="1340" customFormat="false" ht="15" hidden="false" customHeight="false" outlineLevel="0" collapsed="false">
      <c r="A1340" s="0" t="n">
        <v>215</v>
      </c>
      <c r="AA1340" s="0" t="n">
        <v>22</v>
      </c>
      <c r="AB1340" s="0" t="s">
        <v>477</v>
      </c>
      <c r="AD1340" s="0" t="n">
        <v>12</v>
      </c>
      <c r="AE1340" s="0" t="s">
        <v>96</v>
      </c>
      <c r="AH1340" s="0" t="n">
        <v>4</v>
      </c>
      <c r="AJ1340" s="0" t="n">
        <v>10</v>
      </c>
      <c r="AP1340" s="0" t="n">
        <v>300000</v>
      </c>
      <c r="DB1340" s="0" t="str">
        <f aca="false">IF($A1340="","",IF($AE1340&amp;""&lt;&gt;設定!$C$4,"対象外",IF($AH1340=20,IF(OR($AJ1340=10,$AJ1340=11,$AJ1340=18),"①病院一般",IF($AJ1340=41,"②病院短期","対象外")),IF($AH1340=5,IF($AJ1340=30,"③特定消防","対象外"),IF(OR($AJ1340=10,$AJ1340=11,$AJ1340=74),"④一般",IF(OR($AJ1340=41,$AJ1340=47),"⑤短期","対象外"))))))</f>
        <v>④一般</v>
      </c>
    </row>
    <row r="1341" customFormat="false" ht="15" hidden="false" customHeight="false" outlineLevel="0" collapsed="false">
      <c r="A1341" s="0" t="n">
        <v>215</v>
      </c>
      <c r="AA1341" s="0" t="n">
        <v>22</v>
      </c>
      <c r="AB1341" s="0" t="s">
        <v>477</v>
      </c>
      <c r="AD1341" s="0" t="n">
        <v>12</v>
      </c>
      <c r="AE1341" s="0" t="s">
        <v>96</v>
      </c>
      <c r="AH1341" s="0" t="n">
        <v>1</v>
      </c>
      <c r="AJ1341" s="0" t="n">
        <v>10</v>
      </c>
      <c r="AP1341" s="0" t="n">
        <v>300000</v>
      </c>
      <c r="DB1341" s="0" t="str">
        <f aca="false">IF($A1341="","",IF($AE1341&amp;""&lt;&gt;設定!$C$4,"対象外",IF($AH1341=20,IF(OR($AJ1341=10,$AJ1341=11,$AJ1341=18),"①病院一般",IF($AJ1341=41,"②病院短期","対象外")),IF($AH1341=5,IF($AJ1341=30,"③特定消防","対象外"),IF(OR($AJ1341=10,$AJ1341=11,$AJ1341=74),"④一般",IF(OR($AJ1341=41,$AJ1341=47),"⑤短期","対象外"))))))</f>
        <v>④一般</v>
      </c>
    </row>
    <row r="1342" customFormat="false" ht="15" hidden="false" customHeight="false" outlineLevel="0" collapsed="false">
      <c r="A1342" s="0" t="n">
        <v>215</v>
      </c>
      <c r="AA1342" s="0" t="n">
        <v>22</v>
      </c>
      <c r="AB1342" s="0" t="s">
        <v>484</v>
      </c>
      <c r="AD1342" s="0" t="n">
        <v>12</v>
      </c>
      <c r="AE1342" s="0" t="s">
        <v>96</v>
      </c>
      <c r="AH1342" s="0" t="n">
        <v>3</v>
      </c>
      <c r="AJ1342" s="0" t="n">
        <v>10</v>
      </c>
      <c r="AP1342" s="0" t="n">
        <v>380000</v>
      </c>
      <c r="DB1342" s="0" t="str">
        <f aca="false">IF($A1342="","",IF($AE1342&amp;""&lt;&gt;設定!$C$4,"対象外",IF($AH1342=20,IF(OR($AJ1342=10,$AJ1342=11,$AJ1342=18),"①病院一般",IF($AJ1342=41,"②病院短期","対象外")),IF($AH1342=5,IF($AJ1342=30,"③特定消防","対象外"),IF(OR($AJ1342=10,$AJ1342=11,$AJ1342=74),"④一般",IF(OR($AJ1342=41,$AJ1342=47),"⑤短期","対象外"))))))</f>
        <v>④一般</v>
      </c>
    </row>
    <row r="1343" customFormat="false" ht="15" hidden="false" customHeight="false" outlineLevel="0" collapsed="false">
      <c r="A1343" s="0" t="n">
        <v>215</v>
      </c>
      <c r="AA1343" s="0" t="n">
        <v>22</v>
      </c>
      <c r="AB1343" s="0" t="s">
        <v>484</v>
      </c>
      <c r="AD1343" s="0" t="n">
        <v>12</v>
      </c>
      <c r="AE1343" s="0" t="s">
        <v>96</v>
      </c>
      <c r="AH1343" s="0" t="n">
        <v>11</v>
      </c>
      <c r="AJ1343" s="0" t="n">
        <v>10</v>
      </c>
      <c r="AP1343" s="0" t="n">
        <v>280000</v>
      </c>
      <c r="DB1343" s="0" t="str">
        <f aca="false">IF($A1343="","",IF($AE1343&amp;""&lt;&gt;設定!$C$4,"対象外",IF($AH1343=20,IF(OR($AJ1343=10,$AJ1343=11,$AJ1343=18),"①病院一般",IF($AJ1343=41,"②病院短期","対象外")),IF($AH1343=5,IF($AJ1343=30,"③特定消防","対象外"),IF(OR($AJ1343=10,$AJ1343=11,$AJ1343=74),"④一般",IF(OR($AJ1343=41,$AJ1343=47),"⑤短期","対象外"))))))</f>
        <v>④一般</v>
      </c>
    </row>
    <row r="1344" customFormat="false" ht="15" hidden="false" customHeight="false" outlineLevel="0" collapsed="false">
      <c r="A1344" s="0" t="n">
        <v>215</v>
      </c>
      <c r="AA1344" s="0" t="n">
        <v>22</v>
      </c>
      <c r="AB1344" s="0" t="s">
        <v>484</v>
      </c>
      <c r="AD1344" s="0" t="n">
        <v>12</v>
      </c>
      <c r="AE1344" s="0" t="s">
        <v>96</v>
      </c>
      <c r="AH1344" s="0" t="n">
        <v>11</v>
      </c>
      <c r="AJ1344" s="0" t="n">
        <v>10</v>
      </c>
      <c r="AP1344" s="0" t="n">
        <v>300000</v>
      </c>
      <c r="DB1344" s="0" t="str">
        <f aca="false">IF($A1344="","",IF($AE1344&amp;""&lt;&gt;設定!$C$4,"対象外",IF($AH1344=20,IF(OR($AJ1344=10,$AJ1344=11,$AJ1344=18),"①病院一般",IF($AJ1344=41,"②病院短期","対象外")),IF($AH1344=5,IF($AJ1344=30,"③特定消防","対象外"),IF(OR($AJ1344=10,$AJ1344=11,$AJ1344=74),"④一般",IF(OR($AJ1344=41,$AJ1344=47),"⑤短期","対象外"))))))</f>
        <v>④一般</v>
      </c>
    </row>
    <row r="1345" customFormat="false" ht="15" hidden="false" customHeight="false" outlineLevel="0" collapsed="false">
      <c r="A1345" s="0" t="n">
        <v>215</v>
      </c>
      <c r="AA1345" s="0" t="n">
        <v>22</v>
      </c>
      <c r="AB1345" s="0" t="s">
        <v>477</v>
      </c>
      <c r="AD1345" s="0" t="n">
        <v>12</v>
      </c>
      <c r="AE1345" s="0" t="s">
        <v>96</v>
      </c>
      <c r="AH1345" s="0" t="n">
        <v>20</v>
      </c>
      <c r="AJ1345" s="0" t="n">
        <v>10</v>
      </c>
      <c r="AP1345" s="0" t="n">
        <v>1030000</v>
      </c>
      <c r="DB1345" s="0" t="str">
        <f aca="false">IF($A1345="","",IF($AE1345&amp;""&lt;&gt;設定!$C$4,"対象外",IF($AH1345=20,IF(OR($AJ1345=10,$AJ1345=11,$AJ1345=18),"①病院一般",IF($AJ1345=41,"②病院短期","対象外")),IF($AH1345=5,IF($AJ1345=30,"③特定消防","対象外"),IF(OR($AJ1345=10,$AJ1345=11,$AJ1345=74),"④一般",IF(OR($AJ1345=41,$AJ1345=47),"⑤短期","対象外"))))))</f>
        <v>①病院一般</v>
      </c>
    </row>
    <row r="1346" customFormat="false" ht="15" hidden="false" customHeight="false" outlineLevel="0" collapsed="false">
      <c r="A1346" s="0" t="n">
        <v>215</v>
      </c>
      <c r="AA1346" s="0" t="n">
        <v>22</v>
      </c>
      <c r="AB1346" s="0" t="s">
        <v>484</v>
      </c>
      <c r="AD1346" s="0" t="n">
        <v>12</v>
      </c>
      <c r="AE1346" s="0" t="s">
        <v>96</v>
      </c>
      <c r="AH1346" s="0" t="n">
        <v>1</v>
      </c>
      <c r="AJ1346" s="0" t="n">
        <v>10</v>
      </c>
      <c r="AP1346" s="0" t="n">
        <v>340000</v>
      </c>
      <c r="DB1346" s="0" t="str">
        <f aca="false">IF($A1346="","",IF($AE1346&amp;""&lt;&gt;設定!$C$4,"対象外",IF($AH1346=20,IF(OR($AJ1346=10,$AJ1346=11,$AJ1346=18),"①病院一般",IF($AJ1346=41,"②病院短期","対象外")),IF($AH1346=5,IF($AJ1346=30,"③特定消防","対象外"),IF(OR($AJ1346=10,$AJ1346=11,$AJ1346=74),"④一般",IF(OR($AJ1346=41,$AJ1346=47),"⑤短期","対象外"))))))</f>
        <v>④一般</v>
      </c>
    </row>
    <row r="1347" customFormat="false" ht="15" hidden="false" customHeight="false" outlineLevel="0" collapsed="false">
      <c r="A1347" s="0" t="n">
        <v>215</v>
      </c>
      <c r="AA1347" s="0" t="n">
        <v>22</v>
      </c>
      <c r="AB1347" s="0" t="s">
        <v>484</v>
      </c>
      <c r="AD1347" s="0" t="n">
        <v>12</v>
      </c>
      <c r="AE1347" s="0" t="s">
        <v>96</v>
      </c>
      <c r="AH1347" s="0" t="n">
        <v>1</v>
      </c>
      <c r="AJ1347" s="0" t="n">
        <v>10</v>
      </c>
      <c r="AP1347" s="0" t="n">
        <v>340000</v>
      </c>
      <c r="DB1347" s="0" t="str">
        <f aca="false">IF($A1347="","",IF($AE1347&amp;""&lt;&gt;設定!$C$4,"対象外",IF($AH1347=20,IF(OR($AJ1347=10,$AJ1347=11,$AJ1347=18),"①病院一般",IF($AJ1347=41,"②病院短期","対象外")),IF($AH1347=5,IF($AJ1347=30,"③特定消防","対象外"),IF(OR($AJ1347=10,$AJ1347=11,$AJ1347=74),"④一般",IF(OR($AJ1347=41,$AJ1347=47),"⑤短期","対象外"))))))</f>
        <v>④一般</v>
      </c>
    </row>
    <row r="1348" customFormat="false" ht="15" hidden="false" customHeight="false" outlineLevel="0" collapsed="false">
      <c r="A1348" s="0" t="n">
        <v>215</v>
      </c>
      <c r="AA1348" s="0" t="n">
        <v>22</v>
      </c>
      <c r="AB1348" s="0" t="s">
        <v>484</v>
      </c>
      <c r="AD1348" s="0" t="n">
        <v>12</v>
      </c>
      <c r="AE1348" s="0" t="s">
        <v>96</v>
      </c>
      <c r="AH1348" s="0" t="n">
        <v>1</v>
      </c>
      <c r="AJ1348" s="0" t="n">
        <v>10</v>
      </c>
      <c r="AP1348" s="0" t="n">
        <v>410000</v>
      </c>
      <c r="DB1348" s="0" t="str">
        <f aca="false">IF($A1348="","",IF($AE1348&amp;""&lt;&gt;設定!$C$4,"対象外",IF($AH1348=20,IF(OR($AJ1348=10,$AJ1348=11,$AJ1348=18),"①病院一般",IF($AJ1348=41,"②病院短期","対象外")),IF($AH1348=5,IF($AJ1348=30,"③特定消防","対象外"),IF(OR($AJ1348=10,$AJ1348=11,$AJ1348=74),"④一般",IF(OR($AJ1348=41,$AJ1348=47),"⑤短期","対象外"))))))</f>
        <v>④一般</v>
      </c>
    </row>
    <row r="1349" customFormat="false" ht="15" hidden="false" customHeight="false" outlineLevel="0" collapsed="false">
      <c r="A1349" s="0" t="n">
        <v>215</v>
      </c>
      <c r="AA1349" s="0" t="n">
        <v>22</v>
      </c>
      <c r="AB1349" s="0" t="s">
        <v>458</v>
      </c>
      <c r="AD1349" s="0" t="n">
        <v>12</v>
      </c>
      <c r="AE1349" s="0" t="s">
        <v>96</v>
      </c>
      <c r="AH1349" s="0" t="n">
        <v>1</v>
      </c>
      <c r="AJ1349" s="0" t="n">
        <v>10</v>
      </c>
      <c r="AP1349" s="0" t="n">
        <v>300000</v>
      </c>
      <c r="DB1349" s="0" t="str">
        <f aca="false">IF($A1349="","",IF($AE1349&amp;""&lt;&gt;設定!$C$4,"対象外",IF($AH1349=20,IF(OR($AJ1349=10,$AJ1349=11,$AJ1349=18),"①病院一般",IF($AJ1349=41,"②病院短期","対象外")),IF($AH1349=5,IF($AJ1349=30,"③特定消防","対象外"),IF(OR($AJ1349=10,$AJ1349=11,$AJ1349=74),"④一般",IF(OR($AJ1349=41,$AJ1349=47),"⑤短期","対象外"))))))</f>
        <v>④一般</v>
      </c>
    </row>
    <row r="1350" customFormat="false" ht="15" hidden="false" customHeight="false" outlineLevel="0" collapsed="false">
      <c r="A1350" s="0" t="n">
        <v>215</v>
      </c>
      <c r="AA1350" s="0" t="n">
        <v>22</v>
      </c>
      <c r="AB1350" s="0" t="s">
        <v>484</v>
      </c>
      <c r="AD1350" s="0" t="n">
        <v>12</v>
      </c>
      <c r="AE1350" s="0" t="s">
        <v>96</v>
      </c>
      <c r="AH1350" s="0" t="n">
        <v>3</v>
      </c>
      <c r="AJ1350" s="0" t="n">
        <v>10</v>
      </c>
      <c r="AP1350" s="0" t="n">
        <v>380000</v>
      </c>
      <c r="DB1350" s="0" t="str">
        <f aca="false">IF($A1350="","",IF($AE1350&amp;""&lt;&gt;設定!$C$4,"対象外",IF($AH1350=20,IF(OR($AJ1350=10,$AJ1350=11,$AJ1350=18),"①病院一般",IF($AJ1350=41,"②病院短期","対象外")),IF($AH1350=5,IF($AJ1350=30,"③特定消防","対象外"),IF(OR($AJ1350=10,$AJ1350=11,$AJ1350=74),"④一般",IF(OR($AJ1350=41,$AJ1350=47),"⑤短期","対象外"))))))</f>
        <v>④一般</v>
      </c>
    </row>
    <row r="1351" customFormat="false" ht="15" hidden="false" customHeight="false" outlineLevel="0" collapsed="false">
      <c r="A1351" s="0" t="n">
        <v>215</v>
      </c>
      <c r="AA1351" s="0" t="n">
        <v>22</v>
      </c>
      <c r="AB1351" s="0" t="s">
        <v>484</v>
      </c>
      <c r="AD1351" s="0" t="n">
        <v>12</v>
      </c>
      <c r="AE1351" s="0" t="s">
        <v>96</v>
      </c>
      <c r="AH1351" s="0" t="n">
        <v>1</v>
      </c>
      <c r="AJ1351" s="0" t="n">
        <v>10</v>
      </c>
      <c r="AP1351" s="0" t="n">
        <v>340000</v>
      </c>
      <c r="DB1351" s="0" t="str">
        <f aca="false">IF($A1351="","",IF($AE1351&amp;""&lt;&gt;設定!$C$4,"対象外",IF($AH1351=20,IF(OR($AJ1351=10,$AJ1351=11,$AJ1351=18),"①病院一般",IF($AJ1351=41,"②病院短期","対象外")),IF($AH1351=5,IF($AJ1351=30,"③特定消防","対象外"),IF(OR($AJ1351=10,$AJ1351=11,$AJ1351=74),"④一般",IF(OR($AJ1351=41,$AJ1351=47),"⑤短期","対象外"))))))</f>
        <v>④一般</v>
      </c>
    </row>
    <row r="1352" customFormat="false" ht="15" hidden="false" customHeight="false" outlineLevel="0" collapsed="false">
      <c r="A1352" s="0" t="n">
        <v>215</v>
      </c>
      <c r="AA1352" s="0" t="n">
        <v>22</v>
      </c>
      <c r="AB1352" s="0" t="s">
        <v>484</v>
      </c>
      <c r="AD1352" s="0" t="n">
        <v>12</v>
      </c>
      <c r="AE1352" s="0" t="s">
        <v>96</v>
      </c>
      <c r="AH1352" s="0" t="n">
        <v>3</v>
      </c>
      <c r="AJ1352" s="0" t="n">
        <v>10</v>
      </c>
      <c r="AP1352" s="0" t="n">
        <v>380000</v>
      </c>
      <c r="DB1352" s="0" t="str">
        <f aca="false">IF($A1352="","",IF($AE1352&amp;""&lt;&gt;設定!$C$4,"対象外",IF($AH1352=20,IF(OR($AJ1352=10,$AJ1352=11,$AJ1352=18),"①病院一般",IF($AJ1352=41,"②病院短期","対象外")),IF($AH1352=5,IF($AJ1352=30,"③特定消防","対象外"),IF(OR($AJ1352=10,$AJ1352=11,$AJ1352=74),"④一般",IF(OR($AJ1352=41,$AJ1352=47),"⑤短期","対象外"))))))</f>
        <v>④一般</v>
      </c>
    </row>
    <row r="1353" customFormat="false" ht="15" hidden="false" customHeight="false" outlineLevel="0" collapsed="false">
      <c r="A1353" s="0" t="n">
        <v>215</v>
      </c>
      <c r="AA1353" s="0" t="n">
        <v>22</v>
      </c>
      <c r="AB1353" s="0" t="s">
        <v>477</v>
      </c>
      <c r="AD1353" s="0" t="n">
        <v>12</v>
      </c>
      <c r="AE1353" s="0" t="s">
        <v>96</v>
      </c>
      <c r="AH1353" s="0" t="n">
        <v>11</v>
      </c>
      <c r="AJ1353" s="0" t="n">
        <v>10</v>
      </c>
      <c r="AP1353" s="0" t="n">
        <v>260000</v>
      </c>
      <c r="DB1353" s="0" t="str">
        <f aca="false">IF($A1353="","",IF($AE1353&amp;""&lt;&gt;設定!$C$4,"対象外",IF($AH1353=20,IF(OR($AJ1353=10,$AJ1353=11,$AJ1353=18),"①病院一般",IF($AJ1353=41,"②病院短期","対象外")),IF($AH1353=5,IF($AJ1353=30,"③特定消防","対象外"),IF(OR($AJ1353=10,$AJ1353=11,$AJ1353=74),"④一般",IF(OR($AJ1353=41,$AJ1353=47),"⑤短期","対象外"))))))</f>
        <v>④一般</v>
      </c>
    </row>
    <row r="1354" customFormat="false" ht="15" hidden="false" customHeight="false" outlineLevel="0" collapsed="false">
      <c r="A1354" s="0" t="n">
        <v>215</v>
      </c>
      <c r="AA1354" s="0" t="n">
        <v>22</v>
      </c>
      <c r="AB1354" s="0" t="s">
        <v>477</v>
      </c>
      <c r="AD1354" s="0" t="n">
        <v>12</v>
      </c>
      <c r="AE1354" s="0" t="s">
        <v>296</v>
      </c>
      <c r="AH1354" s="0" t="n">
        <v>1</v>
      </c>
      <c r="AJ1354" s="0" t="n">
        <v>10</v>
      </c>
      <c r="AP1354" s="0" t="n">
        <v>280000</v>
      </c>
      <c r="DB1354" s="0" t="str">
        <f aca="false">IF($A1354="","",IF($AE1354&amp;""&lt;&gt;設定!$C$4,"対象外",IF($AH1354=20,IF(OR($AJ1354=10,$AJ1354=11,$AJ1354=18),"①病院一般",IF($AJ1354=41,"②病院短期","対象外")),IF($AH1354=5,IF($AJ1354=30,"③特定消防","対象外"),IF(OR($AJ1354=10,$AJ1354=11,$AJ1354=74),"④一般",IF(OR($AJ1354=41,$AJ1354=47),"⑤短期","対象外"))))))</f>
        <v>対象外</v>
      </c>
    </row>
    <row r="1355" customFormat="false" ht="15" hidden="false" customHeight="false" outlineLevel="0" collapsed="false">
      <c r="A1355" s="0" t="n">
        <v>215</v>
      </c>
      <c r="AA1355" s="0" t="n">
        <v>22</v>
      </c>
      <c r="AB1355" s="0" t="s">
        <v>484</v>
      </c>
      <c r="AD1355" s="0" t="n">
        <v>12</v>
      </c>
      <c r="AE1355" s="0" t="s">
        <v>96</v>
      </c>
      <c r="AH1355" s="0" t="n">
        <v>11</v>
      </c>
      <c r="AJ1355" s="0" t="n">
        <v>10</v>
      </c>
      <c r="AP1355" s="0" t="n">
        <v>260000</v>
      </c>
      <c r="DB1355" s="0" t="str">
        <f aca="false">IF($A1355="","",IF($AE1355&amp;""&lt;&gt;設定!$C$4,"対象外",IF($AH1355=20,IF(OR($AJ1355=10,$AJ1355=11,$AJ1355=18),"①病院一般",IF($AJ1355=41,"②病院短期","対象外")),IF($AH1355=5,IF($AJ1355=30,"③特定消防","対象外"),IF(OR($AJ1355=10,$AJ1355=11,$AJ1355=74),"④一般",IF(OR($AJ1355=41,$AJ1355=47),"⑤短期","対象外"))))))</f>
        <v>④一般</v>
      </c>
    </row>
    <row r="1356" customFormat="false" ht="15" hidden="false" customHeight="false" outlineLevel="0" collapsed="false">
      <c r="A1356" s="0" t="n">
        <v>215</v>
      </c>
      <c r="AA1356" s="0" t="n">
        <v>22</v>
      </c>
      <c r="AB1356" s="0" t="s">
        <v>484</v>
      </c>
      <c r="AD1356" s="0" t="n">
        <v>12</v>
      </c>
      <c r="AE1356" s="0" t="s">
        <v>96</v>
      </c>
      <c r="AH1356" s="0" t="n">
        <v>11</v>
      </c>
      <c r="AJ1356" s="0" t="n">
        <v>10</v>
      </c>
      <c r="AP1356" s="0" t="n">
        <v>280000</v>
      </c>
      <c r="DB1356" s="0" t="str">
        <f aca="false">IF($A1356="","",IF($AE1356&amp;""&lt;&gt;設定!$C$4,"対象外",IF($AH1356=20,IF(OR($AJ1356=10,$AJ1356=11,$AJ1356=18),"①病院一般",IF($AJ1356=41,"②病院短期","対象外")),IF($AH1356=5,IF($AJ1356=30,"③特定消防","対象外"),IF(OR($AJ1356=10,$AJ1356=11,$AJ1356=74),"④一般",IF(OR($AJ1356=41,$AJ1356=47),"⑤短期","対象外"))))))</f>
        <v>④一般</v>
      </c>
    </row>
    <row r="1357" customFormat="false" ht="15" hidden="false" customHeight="false" outlineLevel="0" collapsed="false">
      <c r="A1357" s="0" t="n">
        <v>215</v>
      </c>
      <c r="AA1357" s="0" t="n">
        <v>22</v>
      </c>
      <c r="AB1357" s="0" t="s">
        <v>477</v>
      </c>
      <c r="AD1357" s="0" t="n">
        <v>12</v>
      </c>
      <c r="AE1357" s="0" t="s">
        <v>96</v>
      </c>
      <c r="AH1357" s="0" t="n">
        <v>11</v>
      </c>
      <c r="AJ1357" s="0" t="n">
        <v>10</v>
      </c>
      <c r="AP1357" s="0" t="n">
        <v>260000</v>
      </c>
      <c r="DB1357" s="0" t="str">
        <f aca="false">IF($A1357="","",IF($AE1357&amp;""&lt;&gt;設定!$C$4,"対象外",IF($AH1357=20,IF(OR($AJ1357=10,$AJ1357=11,$AJ1357=18),"①病院一般",IF($AJ1357=41,"②病院短期","対象外")),IF($AH1357=5,IF($AJ1357=30,"③特定消防","対象外"),IF(OR($AJ1357=10,$AJ1357=11,$AJ1357=74),"④一般",IF(OR($AJ1357=41,$AJ1357=47),"⑤短期","対象外"))))))</f>
        <v>④一般</v>
      </c>
    </row>
    <row r="1358" customFormat="false" ht="15" hidden="false" customHeight="false" outlineLevel="0" collapsed="false">
      <c r="A1358" s="0" t="n">
        <v>215</v>
      </c>
      <c r="AA1358" s="0" t="n">
        <v>22</v>
      </c>
      <c r="AB1358" s="0" t="s">
        <v>484</v>
      </c>
      <c r="AD1358" s="0" t="n">
        <v>12</v>
      </c>
      <c r="AE1358" s="0" t="s">
        <v>96</v>
      </c>
      <c r="AH1358" s="0" t="n">
        <v>5</v>
      </c>
      <c r="AJ1358" s="0" t="n">
        <v>30</v>
      </c>
      <c r="AP1358" s="0" t="n">
        <v>300000</v>
      </c>
      <c r="DB1358" s="0" t="str">
        <f aca="false">IF($A1358="","",IF($AE1358&amp;""&lt;&gt;設定!$C$4,"対象外",IF($AH1358=20,IF(OR($AJ1358=10,$AJ1358=11,$AJ1358=18),"①病院一般",IF($AJ1358=41,"②病院短期","対象外")),IF($AH1358=5,IF($AJ1358=30,"③特定消防","対象外"),IF(OR($AJ1358=10,$AJ1358=11,$AJ1358=74),"④一般",IF(OR($AJ1358=41,$AJ1358=47),"⑤短期","対象外"))))))</f>
        <v>③特定消防</v>
      </c>
    </row>
    <row r="1359" customFormat="false" ht="15" hidden="false" customHeight="false" outlineLevel="0" collapsed="false">
      <c r="A1359" s="0" t="n">
        <v>215</v>
      </c>
      <c r="AA1359" s="0" t="n">
        <v>22</v>
      </c>
      <c r="AB1359" s="0" t="s">
        <v>477</v>
      </c>
      <c r="AD1359" s="0" t="n">
        <v>12</v>
      </c>
      <c r="AE1359" s="0" t="s">
        <v>96</v>
      </c>
      <c r="AH1359" s="0" t="n">
        <v>1</v>
      </c>
      <c r="AJ1359" s="0" t="n">
        <v>10</v>
      </c>
      <c r="AP1359" s="0" t="n">
        <v>280000</v>
      </c>
      <c r="DB1359" s="0" t="str">
        <f aca="false">IF($A1359="","",IF($AE1359&amp;""&lt;&gt;設定!$C$4,"対象外",IF($AH1359=20,IF(OR($AJ1359=10,$AJ1359=11,$AJ1359=18),"①病院一般",IF($AJ1359=41,"②病院短期","対象外")),IF($AH1359=5,IF($AJ1359=30,"③特定消防","対象外"),IF(OR($AJ1359=10,$AJ1359=11,$AJ1359=74),"④一般",IF(OR($AJ1359=41,$AJ1359=47),"⑤短期","対象外"))))))</f>
        <v>④一般</v>
      </c>
    </row>
    <row r="1360" customFormat="false" ht="15" hidden="false" customHeight="false" outlineLevel="0" collapsed="false">
      <c r="A1360" s="0" t="n">
        <v>215</v>
      </c>
      <c r="AA1360" s="0" t="n">
        <v>21</v>
      </c>
      <c r="AB1360" s="0" t="s">
        <v>484</v>
      </c>
      <c r="AD1360" s="0" t="n">
        <v>11</v>
      </c>
      <c r="AE1360" s="0" t="s">
        <v>96</v>
      </c>
      <c r="AH1360" s="0" t="n">
        <v>11</v>
      </c>
      <c r="AJ1360" s="0" t="n">
        <v>10</v>
      </c>
      <c r="AP1360" s="0" t="n">
        <v>280000</v>
      </c>
      <c r="DB1360" s="0" t="str">
        <f aca="false">IF($A1360="","",IF($AE1360&amp;""&lt;&gt;設定!$C$4,"対象外",IF($AH1360=20,IF(OR($AJ1360=10,$AJ1360=11,$AJ1360=18),"①病院一般",IF($AJ1360=41,"②病院短期","対象外")),IF($AH1360=5,IF($AJ1360=30,"③特定消防","対象外"),IF(OR($AJ1360=10,$AJ1360=11,$AJ1360=74),"④一般",IF(OR($AJ1360=41,$AJ1360=47),"⑤短期","対象外"))))))</f>
        <v>④一般</v>
      </c>
    </row>
    <row r="1361" customFormat="false" ht="15" hidden="false" customHeight="false" outlineLevel="0" collapsed="false">
      <c r="A1361" s="0" t="n">
        <v>215</v>
      </c>
      <c r="AA1361" s="0" t="n">
        <v>21</v>
      </c>
      <c r="AB1361" s="0" t="s">
        <v>484</v>
      </c>
      <c r="AD1361" s="0" t="n">
        <v>12</v>
      </c>
      <c r="AE1361" s="0" t="s">
        <v>96</v>
      </c>
      <c r="AH1361" s="0" t="n">
        <v>11</v>
      </c>
      <c r="AJ1361" s="0" t="n">
        <v>10</v>
      </c>
      <c r="AP1361" s="0" t="n">
        <v>260000</v>
      </c>
      <c r="DB1361" s="0" t="str">
        <f aca="false">IF($A1361="","",IF($AE1361&amp;""&lt;&gt;設定!$C$4,"対象外",IF($AH1361=20,IF(OR($AJ1361=10,$AJ1361=11,$AJ1361=18),"①病院一般",IF($AJ1361=41,"②病院短期","対象外")),IF($AH1361=5,IF($AJ1361=30,"③特定消防","対象外"),IF(OR($AJ1361=10,$AJ1361=11,$AJ1361=74),"④一般",IF(OR($AJ1361=41,$AJ1361=47),"⑤短期","対象外"))))))</f>
        <v>④一般</v>
      </c>
    </row>
    <row r="1362" customFormat="false" ht="15" hidden="false" customHeight="false" outlineLevel="0" collapsed="false">
      <c r="DB1362" s="0" t="str">
        <f aca="false">IF($A1362="","",IF($AE1362&amp;""&lt;&gt;設定!$C$4,"対象外",IF($AH1362=20,IF(OR($AJ1362=10,$AJ1362=11,$AJ1362=18),"①病院一般",IF($AJ1362=41,"②病院短期","対象外")),IF($AH1362=5,IF($AJ1362=30,"③特定消防","対象外"),IF(OR($AJ1362=10,$AJ1362=11,$AJ1362=74),"④一般",IF(OR($AJ1362=41,$AJ1362=47),"⑤短期","対象外"))))))</f>
        <v/>
      </c>
    </row>
    <row r="1363" customFormat="false" ht="15" hidden="false" customHeight="false" outlineLevel="0" collapsed="false">
      <c r="DB1363" s="0" t="str">
        <f aca="false">IF($A1363="","",IF($AE1363&amp;""&lt;&gt;設定!$C$4,"対象外",IF($AH1363=20,IF(OR($AJ1363=10,$AJ1363=11,$AJ1363=18),"①病院一般",IF($AJ1363=41,"②病院短期","対象外")),IF($AH1363=5,IF($AJ1363=30,"③特定消防","対象外"),IF(OR($AJ1363=10,$AJ1363=11,$AJ1363=74),"④一般",IF(OR($AJ1363=41,$AJ1363=47),"⑤短期","対象外"))))))</f>
        <v/>
      </c>
    </row>
    <row r="1364" customFormat="false" ht="15" hidden="false" customHeight="false" outlineLevel="0" collapsed="false">
      <c r="DB1364" s="0" t="str">
        <f aca="false">IF($A1364="","",IF($AE1364&amp;""&lt;&gt;設定!$C$4,"対象外",IF($AH1364=20,IF(OR($AJ1364=10,$AJ1364=11,$AJ1364=18),"①病院一般",IF($AJ1364=41,"②病院短期","対象外")),IF($AH1364=5,IF($AJ1364=30,"③特定消防","対象外"),IF(OR($AJ1364=10,$AJ1364=11,$AJ1364=74),"④一般",IF(OR($AJ1364=41,$AJ1364=47),"⑤短期","対象外"))))))</f>
        <v/>
      </c>
    </row>
    <row r="1365" customFormat="false" ht="15" hidden="false" customHeight="false" outlineLevel="0" collapsed="false">
      <c r="DB1365" s="0" t="str">
        <f aca="false">IF($A1365="","",IF($AE1365&amp;""&lt;&gt;設定!$C$4,"対象外",IF($AH1365=20,IF(OR($AJ1365=10,$AJ1365=11,$AJ1365=18),"①病院一般",IF($AJ1365=41,"②病院短期","対象外")),IF($AH1365=5,IF($AJ1365=30,"③特定消防","対象外"),IF(OR($AJ1365=10,$AJ1365=11,$AJ1365=74),"④一般",IF(OR($AJ1365=41,$AJ1365=47),"⑤短期","対象外"))))))</f>
        <v/>
      </c>
    </row>
    <row r="1366" customFormat="false" ht="15" hidden="false" customHeight="false" outlineLevel="0" collapsed="false">
      <c r="DB1366" s="0" t="str">
        <f aca="false">IF($A1366="","",IF($AE1366&amp;""&lt;&gt;設定!$C$4,"対象外",IF($AH1366=20,IF(OR($AJ1366=10,$AJ1366=11,$AJ1366=18),"①病院一般",IF($AJ1366=41,"②病院短期","対象外")),IF($AH1366=5,IF($AJ1366=30,"③特定消防","対象外"),IF(OR($AJ1366=10,$AJ1366=11,$AJ1366=74),"④一般",IF(OR($AJ1366=41,$AJ1366=47),"⑤短期","対象外"))))))</f>
        <v/>
      </c>
    </row>
    <row r="1367" customFormat="false" ht="15" hidden="false" customHeight="false" outlineLevel="0" collapsed="false">
      <c r="DB1367" s="0" t="str">
        <f aca="false">IF($A1367="","",IF($AE1367&amp;""&lt;&gt;設定!$C$4,"対象外",IF($AH1367=20,IF(OR($AJ1367=10,$AJ1367=11,$AJ1367=18),"①病院一般",IF($AJ1367=41,"②病院短期","対象外")),IF($AH1367=5,IF($AJ1367=30,"③特定消防","対象外"),IF(OR($AJ1367=10,$AJ1367=11,$AJ1367=74),"④一般",IF(OR($AJ1367=41,$AJ1367=47),"⑤短期","対象外"))))))</f>
        <v/>
      </c>
    </row>
    <row r="1368" customFormat="false" ht="15" hidden="false" customHeight="false" outlineLevel="0" collapsed="false">
      <c r="DB1368" s="0" t="str">
        <f aca="false">IF($A1368="","",IF($AE1368&amp;""&lt;&gt;設定!$C$4,"対象外",IF($AH1368=20,IF(OR($AJ1368=10,$AJ1368=11,$AJ1368=18),"①病院一般",IF($AJ1368=41,"②病院短期","対象外")),IF($AH1368=5,IF($AJ1368=30,"③特定消防","対象外"),IF(OR($AJ1368=10,$AJ1368=11,$AJ1368=74),"④一般",IF(OR($AJ1368=41,$AJ1368=47),"⑤短期","対象外"))))))</f>
        <v/>
      </c>
    </row>
    <row r="1369" customFormat="false" ht="15" hidden="false" customHeight="false" outlineLevel="0" collapsed="false">
      <c r="DB1369" s="0" t="str">
        <f aca="false">IF($A1369="","",IF($AE1369&amp;""&lt;&gt;設定!$C$4,"対象外",IF($AH1369=20,IF(OR($AJ1369=10,$AJ1369=11,$AJ1369=18),"①病院一般",IF($AJ1369=41,"②病院短期","対象外")),IF($AH1369=5,IF($AJ1369=30,"③特定消防","対象外"),IF(OR($AJ1369=10,$AJ1369=11,$AJ1369=74),"④一般",IF(OR($AJ1369=41,$AJ1369=47),"⑤短期","対象外"))))))</f>
        <v/>
      </c>
    </row>
    <row r="1370" customFormat="false" ht="15" hidden="false" customHeight="false" outlineLevel="0" collapsed="false">
      <c r="DB1370" s="0" t="str">
        <f aca="false">IF($A1370="","",IF($AE1370&amp;""&lt;&gt;設定!$C$4,"対象外",IF($AH1370=20,IF(OR($AJ1370=10,$AJ1370=11,$AJ1370=18),"①病院一般",IF($AJ1370=41,"②病院短期","対象外")),IF($AH1370=5,IF($AJ1370=30,"③特定消防","対象外"),IF(OR($AJ1370=10,$AJ1370=11,$AJ1370=74),"④一般",IF(OR($AJ1370=41,$AJ1370=47),"⑤短期","対象外"))))))</f>
        <v/>
      </c>
    </row>
    <row r="1371" customFormat="false" ht="15" hidden="false" customHeight="false" outlineLevel="0" collapsed="false">
      <c r="DB1371" s="0" t="str">
        <f aca="false">IF($A1371="","",IF($AE1371&amp;""&lt;&gt;設定!$C$4,"対象外",IF($AH1371=20,IF(OR($AJ1371=10,$AJ1371=11,$AJ1371=18),"①病院一般",IF($AJ1371=41,"②病院短期","対象外")),IF($AH1371=5,IF($AJ1371=30,"③特定消防","対象外"),IF(OR($AJ1371=10,$AJ1371=11,$AJ1371=74),"④一般",IF(OR($AJ1371=41,$AJ1371=47),"⑤短期","対象外"))))))</f>
        <v/>
      </c>
    </row>
    <row r="1372" customFormat="false" ht="15" hidden="false" customHeight="false" outlineLevel="0" collapsed="false">
      <c r="DB1372" s="0" t="str">
        <f aca="false">IF($A1372="","",IF($AE1372&amp;""&lt;&gt;設定!$C$4,"対象外",IF($AH1372=20,IF(OR($AJ1372=10,$AJ1372=11,$AJ1372=18),"①病院一般",IF($AJ1372=41,"②病院短期","対象外")),IF($AH1372=5,IF($AJ1372=30,"③特定消防","対象外"),IF(OR($AJ1372=10,$AJ1372=11,$AJ1372=74),"④一般",IF(OR($AJ1372=41,$AJ1372=47),"⑤短期","対象外"))))))</f>
        <v/>
      </c>
    </row>
    <row r="1373" customFormat="false" ht="15" hidden="false" customHeight="false" outlineLevel="0" collapsed="false">
      <c r="DB1373" s="0" t="str">
        <f aca="false">IF($A1373="","",IF($AE1373&amp;""&lt;&gt;設定!$C$4,"対象外",IF($AH1373=20,IF(OR($AJ1373=10,$AJ1373=11,$AJ1373=18),"①病院一般",IF($AJ1373=41,"②病院短期","対象外")),IF($AH1373=5,IF($AJ1373=30,"③特定消防","対象外"),IF(OR($AJ1373=10,$AJ1373=11,$AJ1373=74),"④一般",IF(OR($AJ1373=41,$AJ1373=47),"⑤短期","対象外"))))))</f>
        <v/>
      </c>
    </row>
    <row r="1374" customFormat="false" ht="15" hidden="false" customHeight="false" outlineLevel="0" collapsed="false">
      <c r="DB1374" s="0" t="str">
        <f aca="false">IF($A1374="","",IF($AE1374&amp;""&lt;&gt;設定!$C$4,"対象外",IF($AH1374=20,IF(OR($AJ1374=10,$AJ1374=11,$AJ1374=18),"①病院一般",IF($AJ1374=41,"②病院短期","対象外")),IF($AH1374=5,IF($AJ1374=30,"③特定消防","対象外"),IF(OR($AJ1374=10,$AJ1374=11,$AJ1374=74),"④一般",IF(OR($AJ1374=41,$AJ1374=47),"⑤短期","対象外"))))))</f>
        <v/>
      </c>
    </row>
    <row r="1375" customFormat="false" ht="15" hidden="false" customHeight="false" outlineLevel="0" collapsed="false">
      <c r="DB1375" s="0" t="str">
        <f aca="false">IF($A1375="","",IF($AE1375&amp;""&lt;&gt;設定!$C$4,"対象外",IF($AH1375=20,IF(OR($AJ1375=10,$AJ1375=11,$AJ1375=18),"①病院一般",IF($AJ1375=41,"②病院短期","対象外")),IF($AH1375=5,IF($AJ1375=30,"③特定消防","対象外"),IF(OR($AJ1375=10,$AJ1375=11,$AJ1375=74),"④一般",IF(OR($AJ1375=41,$AJ1375=47),"⑤短期","対象外"))))))</f>
        <v/>
      </c>
    </row>
    <row r="1376" customFormat="false" ht="15" hidden="false" customHeight="false" outlineLevel="0" collapsed="false">
      <c r="DB1376" s="0" t="str">
        <f aca="false">IF($A1376="","",IF($AE1376&amp;""&lt;&gt;設定!$C$4,"対象外",IF($AH1376=20,IF(OR($AJ1376=10,$AJ1376=11,$AJ1376=18),"①病院一般",IF($AJ1376=41,"②病院短期","対象外")),IF($AH1376=5,IF($AJ1376=30,"③特定消防","対象外"),IF(OR($AJ1376=10,$AJ1376=11,$AJ1376=74),"④一般",IF(OR($AJ1376=41,$AJ1376=47),"⑤短期","対象外"))))))</f>
        <v/>
      </c>
    </row>
    <row r="1377" customFormat="false" ht="15" hidden="false" customHeight="false" outlineLevel="0" collapsed="false">
      <c r="DB1377" s="0" t="str">
        <f aca="false">IF($A1377="","",IF($AE1377&amp;""&lt;&gt;設定!$C$4,"対象外",IF($AH1377=20,IF(OR($AJ1377=10,$AJ1377=11,$AJ1377=18),"①病院一般",IF($AJ1377=41,"②病院短期","対象外")),IF($AH1377=5,IF($AJ1377=30,"③特定消防","対象外"),IF(OR($AJ1377=10,$AJ1377=11,$AJ1377=74),"④一般",IF(OR($AJ1377=41,$AJ1377=47),"⑤短期","対象外"))))))</f>
        <v/>
      </c>
    </row>
    <row r="1378" customFormat="false" ht="15" hidden="false" customHeight="false" outlineLevel="0" collapsed="false">
      <c r="DB1378" s="0" t="str">
        <f aca="false">IF($A1378="","",IF($AE1378&amp;""&lt;&gt;設定!$C$4,"対象外",IF($AH1378=20,IF(OR($AJ1378=10,$AJ1378=11,$AJ1378=18),"①病院一般",IF($AJ1378=41,"②病院短期","対象外")),IF($AH1378=5,IF($AJ1378=30,"③特定消防","対象外"),IF(OR($AJ1378=10,$AJ1378=11,$AJ1378=74),"④一般",IF(OR($AJ1378=41,$AJ1378=47),"⑤短期","対象外"))))))</f>
        <v/>
      </c>
    </row>
    <row r="1379" customFormat="false" ht="15" hidden="false" customHeight="false" outlineLevel="0" collapsed="false">
      <c r="DB1379" s="0" t="str">
        <f aca="false">IF($A1379="","",IF($AE1379&amp;""&lt;&gt;設定!$C$4,"対象外",IF($AH1379=20,IF(OR($AJ1379=10,$AJ1379=11,$AJ1379=18),"①病院一般",IF($AJ1379=41,"②病院短期","対象外")),IF($AH1379=5,IF($AJ1379=30,"③特定消防","対象外"),IF(OR($AJ1379=10,$AJ1379=11,$AJ1379=74),"④一般",IF(OR($AJ1379=41,$AJ1379=47),"⑤短期","対象外"))))))</f>
        <v/>
      </c>
    </row>
    <row r="1380" customFormat="false" ht="15" hidden="false" customHeight="false" outlineLevel="0" collapsed="false">
      <c r="DB1380" s="0" t="str">
        <f aca="false">IF($A1380="","",IF($AE1380&amp;""&lt;&gt;設定!$C$4,"対象外",IF($AH1380=20,IF(OR($AJ1380=10,$AJ1380=11,$AJ1380=18),"①病院一般",IF($AJ1380=41,"②病院短期","対象外")),IF($AH1380=5,IF($AJ1380=30,"③特定消防","対象外"),IF(OR($AJ1380=10,$AJ1380=11,$AJ1380=74),"④一般",IF(OR($AJ1380=41,$AJ1380=47),"⑤短期","対象外"))))))</f>
        <v/>
      </c>
    </row>
    <row r="1381" customFormat="false" ht="15" hidden="false" customHeight="false" outlineLevel="0" collapsed="false">
      <c r="DB1381" s="0" t="str">
        <f aca="false">IF($A1381="","",IF($AE1381&amp;""&lt;&gt;設定!$C$4,"対象外",IF($AH1381=20,IF(OR($AJ1381=10,$AJ1381=11,$AJ1381=18),"①病院一般",IF($AJ1381=41,"②病院短期","対象外")),IF($AH1381=5,IF($AJ1381=30,"③特定消防","対象外"),IF(OR($AJ1381=10,$AJ1381=11,$AJ1381=74),"④一般",IF(OR($AJ1381=41,$AJ1381=47),"⑤短期","対象外"))))))</f>
        <v/>
      </c>
    </row>
    <row r="1382" customFormat="false" ht="15" hidden="false" customHeight="false" outlineLevel="0" collapsed="false">
      <c r="DB1382" s="0" t="str">
        <f aca="false">IF($A1382="","",IF($AE1382&amp;""&lt;&gt;設定!$C$4,"対象外",IF($AH1382=20,IF(OR($AJ1382=10,$AJ1382=11,$AJ1382=18),"①病院一般",IF($AJ1382=41,"②病院短期","対象外")),IF($AH1382=5,IF($AJ1382=30,"③特定消防","対象外"),IF(OR($AJ1382=10,$AJ1382=11,$AJ1382=74),"④一般",IF(OR($AJ1382=41,$AJ1382=47),"⑤短期","対象外"))))))</f>
        <v/>
      </c>
    </row>
    <row r="1383" customFormat="false" ht="15" hidden="false" customHeight="false" outlineLevel="0" collapsed="false">
      <c r="DB1383" s="0" t="str">
        <f aca="false">IF($A1383="","",IF($AE1383&amp;""&lt;&gt;設定!$C$4,"対象外",IF($AH1383=20,IF(OR($AJ1383=10,$AJ1383=11,$AJ1383=18),"①病院一般",IF($AJ1383=41,"②病院短期","対象外")),IF($AH1383=5,IF($AJ1383=30,"③特定消防","対象外"),IF(OR($AJ1383=10,$AJ1383=11,$AJ1383=74),"④一般",IF(OR($AJ1383=41,$AJ1383=47),"⑤短期","対象外"))))))</f>
        <v/>
      </c>
    </row>
    <row r="1384" customFormat="false" ht="15" hidden="false" customHeight="false" outlineLevel="0" collapsed="false">
      <c r="DB1384" s="0" t="str">
        <f aca="false">IF($A1384="","",IF($AE1384&amp;""&lt;&gt;設定!$C$4,"対象外",IF($AH1384=20,IF(OR($AJ1384=10,$AJ1384=11,$AJ1384=18),"①病院一般",IF($AJ1384=41,"②病院短期","対象外")),IF($AH1384=5,IF($AJ1384=30,"③特定消防","対象外"),IF(OR($AJ1384=10,$AJ1384=11,$AJ1384=74),"④一般",IF(OR($AJ1384=41,$AJ1384=47),"⑤短期","対象外"))))))</f>
        <v/>
      </c>
    </row>
    <row r="1385" customFormat="false" ht="15" hidden="false" customHeight="false" outlineLevel="0" collapsed="false">
      <c r="DB1385" s="0" t="str">
        <f aca="false">IF($A1385="","",IF($AE1385&amp;""&lt;&gt;設定!$C$4,"対象外",IF($AH1385=20,IF(OR($AJ1385=10,$AJ1385=11,$AJ1385=18),"①病院一般",IF($AJ1385=41,"②病院短期","対象外")),IF($AH1385=5,IF($AJ1385=30,"③特定消防","対象外"),IF(OR($AJ1385=10,$AJ1385=11,$AJ1385=74),"④一般",IF(OR($AJ1385=41,$AJ1385=47),"⑤短期","対象外"))))))</f>
        <v/>
      </c>
    </row>
    <row r="1386" customFormat="false" ht="15" hidden="false" customHeight="false" outlineLevel="0" collapsed="false">
      <c r="DB1386" s="0" t="str">
        <f aca="false">IF($A1386="","",IF($AE1386&amp;""&lt;&gt;設定!$C$4,"対象外",IF($AH1386=20,IF(OR($AJ1386=10,$AJ1386=11,$AJ1386=18),"①病院一般",IF($AJ1386=41,"②病院短期","対象外")),IF($AH1386=5,IF($AJ1386=30,"③特定消防","対象外"),IF(OR($AJ1386=10,$AJ1386=11,$AJ1386=74),"④一般",IF(OR($AJ1386=41,$AJ1386=47),"⑤短期","対象外"))))))</f>
        <v/>
      </c>
    </row>
    <row r="1387" customFormat="false" ht="15" hidden="false" customHeight="false" outlineLevel="0" collapsed="false">
      <c r="DB1387" s="0" t="str">
        <f aca="false">IF($A1387="","",IF($AE1387&amp;""&lt;&gt;設定!$C$4,"対象外",IF($AH1387=20,IF(OR($AJ1387=10,$AJ1387=11,$AJ1387=18),"①病院一般",IF($AJ1387=41,"②病院短期","対象外")),IF($AH1387=5,IF($AJ1387=30,"③特定消防","対象外"),IF(OR($AJ1387=10,$AJ1387=11,$AJ1387=74),"④一般",IF(OR($AJ1387=41,$AJ1387=47),"⑤短期","対象外"))))))</f>
        <v/>
      </c>
    </row>
    <row r="1388" customFormat="false" ht="15" hidden="false" customHeight="false" outlineLevel="0" collapsed="false">
      <c r="DB1388" s="0" t="str">
        <f aca="false">IF($A1388="","",IF($AE1388&amp;""&lt;&gt;設定!$C$4,"対象外",IF($AH1388=20,IF(OR($AJ1388=10,$AJ1388=11,$AJ1388=18),"①病院一般",IF($AJ1388=41,"②病院短期","対象外")),IF($AH1388=5,IF($AJ1388=30,"③特定消防","対象外"),IF(OR($AJ1388=10,$AJ1388=11,$AJ1388=74),"④一般",IF(OR($AJ1388=41,$AJ1388=47),"⑤短期","対象外"))))))</f>
        <v/>
      </c>
    </row>
    <row r="1389" customFormat="false" ht="15" hidden="false" customHeight="false" outlineLevel="0" collapsed="false">
      <c r="DB1389" s="0" t="str">
        <f aca="false">IF($A1389="","",IF($AE1389&amp;""&lt;&gt;設定!$C$4,"対象外",IF($AH1389=20,IF(OR($AJ1389=10,$AJ1389=11,$AJ1389=18),"①病院一般",IF($AJ1389=41,"②病院短期","対象外")),IF($AH1389=5,IF($AJ1389=30,"③特定消防","対象外"),IF(OR($AJ1389=10,$AJ1389=11,$AJ1389=74),"④一般",IF(OR($AJ1389=41,$AJ1389=47),"⑤短期","対象外"))))))</f>
        <v/>
      </c>
    </row>
    <row r="1390" customFormat="false" ht="15" hidden="false" customHeight="false" outlineLevel="0" collapsed="false">
      <c r="DB1390" s="0" t="str">
        <f aca="false">IF($A1390="","",IF($AE1390&amp;""&lt;&gt;設定!$C$4,"対象外",IF($AH1390=20,IF(OR($AJ1390=10,$AJ1390=11,$AJ1390=18),"①病院一般",IF($AJ1390=41,"②病院短期","対象外")),IF($AH1390=5,IF($AJ1390=30,"③特定消防","対象外"),IF(OR($AJ1390=10,$AJ1390=11,$AJ1390=74),"④一般",IF(OR($AJ1390=41,$AJ1390=47),"⑤短期","対象外"))))))</f>
        <v/>
      </c>
    </row>
    <row r="1391" customFormat="false" ht="15" hidden="false" customHeight="false" outlineLevel="0" collapsed="false">
      <c r="DB1391" s="0" t="str">
        <f aca="false">IF($A1391="","",IF($AE1391&amp;""&lt;&gt;設定!$C$4,"対象外",IF($AH1391=20,IF(OR($AJ1391=10,$AJ1391=11,$AJ1391=18),"①病院一般",IF($AJ1391=41,"②病院短期","対象外")),IF($AH1391=5,IF($AJ1391=30,"③特定消防","対象外"),IF(OR($AJ1391=10,$AJ1391=11,$AJ1391=74),"④一般",IF(OR($AJ1391=41,$AJ1391=47),"⑤短期","対象外"))))))</f>
        <v/>
      </c>
    </row>
    <row r="1392" customFormat="false" ht="15" hidden="false" customHeight="false" outlineLevel="0" collapsed="false">
      <c r="DB1392" s="0" t="str">
        <f aca="false">IF($A1392="","",IF($AE1392&amp;""&lt;&gt;設定!$C$4,"対象外",IF($AH1392=20,IF(OR($AJ1392=10,$AJ1392=11,$AJ1392=18),"①病院一般",IF($AJ1392=41,"②病院短期","対象外")),IF($AH1392=5,IF($AJ1392=30,"③特定消防","対象外"),IF(OR($AJ1392=10,$AJ1392=11,$AJ1392=74),"④一般",IF(OR($AJ1392=41,$AJ1392=47),"⑤短期","対象外"))))))</f>
        <v/>
      </c>
    </row>
    <row r="1393" customFormat="false" ht="15" hidden="false" customHeight="false" outlineLevel="0" collapsed="false">
      <c r="DB1393" s="0" t="str">
        <f aca="false">IF($A1393="","",IF($AE1393&amp;""&lt;&gt;設定!$C$4,"対象外",IF($AH1393=20,IF(OR($AJ1393=10,$AJ1393=11,$AJ1393=18),"①病院一般",IF($AJ1393=41,"②病院短期","対象外")),IF($AH1393=5,IF($AJ1393=30,"③特定消防","対象外"),IF(OR($AJ1393=10,$AJ1393=11,$AJ1393=74),"④一般",IF(OR($AJ1393=41,$AJ1393=47),"⑤短期","対象外"))))))</f>
        <v/>
      </c>
    </row>
    <row r="1394" customFormat="false" ht="15" hidden="false" customHeight="false" outlineLevel="0" collapsed="false">
      <c r="DB1394" s="0" t="str">
        <f aca="false">IF($A1394="","",IF($AE1394&amp;""&lt;&gt;設定!$C$4,"対象外",IF($AH1394=20,IF(OR($AJ1394=10,$AJ1394=11,$AJ1394=18),"①病院一般",IF($AJ1394=41,"②病院短期","対象外")),IF($AH1394=5,IF($AJ1394=30,"③特定消防","対象外"),IF(OR($AJ1394=10,$AJ1394=11,$AJ1394=74),"④一般",IF(OR($AJ1394=41,$AJ1394=47),"⑤短期","対象外"))))))</f>
        <v/>
      </c>
    </row>
    <row r="1395" customFormat="false" ht="15" hidden="false" customHeight="false" outlineLevel="0" collapsed="false">
      <c r="DB1395" s="0" t="str">
        <f aca="false">IF($A1395="","",IF($AE1395&amp;""&lt;&gt;設定!$C$4,"対象外",IF($AH1395=20,IF(OR($AJ1395=10,$AJ1395=11,$AJ1395=18),"①病院一般",IF($AJ1395=41,"②病院短期","対象外")),IF($AH1395=5,IF($AJ1395=30,"③特定消防","対象外"),IF(OR($AJ1395=10,$AJ1395=11,$AJ1395=74),"④一般",IF(OR($AJ1395=41,$AJ1395=47),"⑤短期","対象外"))))))</f>
        <v/>
      </c>
    </row>
    <row r="1396" customFormat="false" ht="15" hidden="false" customHeight="false" outlineLevel="0" collapsed="false">
      <c r="DB1396" s="0" t="str">
        <f aca="false">IF($A1396="","",IF($AE1396&amp;""&lt;&gt;設定!$C$4,"対象外",IF($AH1396=20,IF(OR($AJ1396=10,$AJ1396=11,$AJ1396=18),"①病院一般",IF($AJ1396=41,"②病院短期","対象外")),IF($AH1396=5,IF($AJ1396=30,"③特定消防","対象外"),IF(OR($AJ1396=10,$AJ1396=11,$AJ1396=74),"④一般",IF(OR($AJ1396=41,$AJ1396=47),"⑤短期","対象外"))))))</f>
        <v/>
      </c>
    </row>
    <row r="1397" customFormat="false" ht="15" hidden="false" customHeight="false" outlineLevel="0" collapsed="false">
      <c r="DB1397" s="0" t="str">
        <f aca="false">IF($A1397="","",IF($AE1397&amp;""&lt;&gt;設定!$C$4,"対象外",IF($AH1397=20,IF(OR($AJ1397=10,$AJ1397=11,$AJ1397=18),"①病院一般",IF($AJ1397=41,"②病院短期","対象外")),IF($AH1397=5,IF($AJ1397=30,"③特定消防","対象外"),IF(OR($AJ1397=10,$AJ1397=11,$AJ1397=74),"④一般",IF(OR($AJ1397=41,$AJ1397=47),"⑤短期","対象外"))))))</f>
        <v/>
      </c>
    </row>
    <row r="1398" customFormat="false" ht="15" hidden="false" customHeight="false" outlineLevel="0" collapsed="false">
      <c r="DB1398" s="0" t="str">
        <f aca="false">IF($A1398="","",IF($AE1398&amp;""&lt;&gt;設定!$C$4,"対象外",IF($AH1398=20,IF(OR($AJ1398=10,$AJ1398=11,$AJ1398=18),"①病院一般",IF($AJ1398=41,"②病院短期","対象外")),IF($AH1398=5,IF($AJ1398=30,"③特定消防","対象外"),IF(OR($AJ1398=10,$AJ1398=11,$AJ1398=74),"④一般",IF(OR($AJ1398=41,$AJ1398=47),"⑤短期","対象外"))))))</f>
        <v/>
      </c>
    </row>
    <row r="1399" customFormat="false" ht="15" hidden="false" customHeight="false" outlineLevel="0" collapsed="false">
      <c r="DB1399" s="0" t="str">
        <f aca="false">IF($A1399="","",IF($AE1399&amp;""&lt;&gt;設定!$C$4,"対象外",IF($AH1399=20,IF(OR($AJ1399=10,$AJ1399=11,$AJ1399=18),"①病院一般",IF($AJ1399=41,"②病院短期","対象外")),IF($AH1399=5,IF($AJ1399=30,"③特定消防","対象外"),IF(OR($AJ1399=10,$AJ1399=11,$AJ1399=74),"④一般",IF(OR($AJ1399=41,$AJ1399=47),"⑤短期","対象外"))))))</f>
        <v/>
      </c>
    </row>
    <row r="1400" customFormat="false" ht="15" hidden="false" customHeight="false" outlineLevel="0" collapsed="false">
      <c r="DB1400" s="0" t="str">
        <f aca="false">IF($A1400="","",IF($AE1400&amp;""&lt;&gt;設定!$C$4,"対象外",IF($AH1400=20,IF(OR($AJ1400=10,$AJ1400=11,$AJ1400=18),"①病院一般",IF($AJ1400=41,"②病院短期","対象外")),IF($AH1400=5,IF($AJ1400=30,"③特定消防","対象外"),IF(OR($AJ1400=10,$AJ1400=11,$AJ1400=74),"④一般",IF(OR($AJ1400=41,$AJ1400=47),"⑤短期","対象外"))))))</f>
        <v/>
      </c>
    </row>
    <row r="1401" customFormat="false" ht="15" hidden="false" customHeight="false" outlineLevel="0" collapsed="false">
      <c r="DB1401" s="0" t="str">
        <f aca="false">IF($A1401="","",IF($AE1401&amp;""&lt;&gt;設定!$C$4,"対象外",IF($AH1401=20,IF(OR($AJ1401=10,$AJ1401=11,$AJ1401=18),"①病院一般",IF($AJ1401=41,"②病院短期","対象外")),IF($AH1401=5,IF($AJ1401=30,"③特定消防","対象外"),IF(OR($AJ1401=10,$AJ1401=11,$AJ1401=74),"④一般",IF(OR($AJ1401=41,$AJ1401=47),"⑤短期","対象外"))))))</f>
        <v/>
      </c>
    </row>
    <row r="1402" customFormat="false" ht="15" hidden="false" customHeight="false" outlineLevel="0" collapsed="false">
      <c r="DB1402" s="0" t="str">
        <f aca="false">IF($A1402="","",IF($AE1402&amp;""&lt;&gt;設定!$C$4,"対象外",IF($AH1402=20,IF(OR($AJ1402=10,$AJ1402=11,$AJ1402=18),"①病院一般",IF($AJ1402=41,"②病院短期","対象外")),IF($AH1402=5,IF($AJ1402=30,"③特定消防","対象外"),IF(OR($AJ1402=10,$AJ1402=11,$AJ1402=74),"④一般",IF(OR($AJ1402=41,$AJ1402=47),"⑤短期","対象外"))))))</f>
        <v/>
      </c>
    </row>
    <row r="1403" customFormat="false" ht="15" hidden="false" customHeight="false" outlineLevel="0" collapsed="false">
      <c r="DB1403" s="0" t="str">
        <f aca="false">IF($A1403="","",IF($AE1403&amp;""&lt;&gt;設定!$C$4,"対象外",IF($AH1403=20,IF(OR($AJ1403=10,$AJ1403=11,$AJ1403=18),"①病院一般",IF($AJ1403=41,"②病院短期","対象外")),IF($AH1403=5,IF($AJ1403=30,"③特定消防","対象外"),IF(OR($AJ1403=10,$AJ1403=11,$AJ1403=74),"④一般",IF(OR($AJ1403=41,$AJ1403=47),"⑤短期","対象外"))))))</f>
        <v/>
      </c>
    </row>
    <row r="1404" customFormat="false" ht="15" hidden="false" customHeight="false" outlineLevel="0" collapsed="false">
      <c r="DB1404" s="0" t="str">
        <f aca="false">IF($A1404="","",IF($AE1404&amp;""&lt;&gt;設定!$C$4,"対象外",IF($AH1404=20,IF(OR($AJ1404=10,$AJ1404=11,$AJ1404=18),"①病院一般",IF($AJ1404=41,"②病院短期","対象外")),IF($AH1404=5,IF($AJ1404=30,"③特定消防","対象外"),IF(OR($AJ1404=10,$AJ1404=11,$AJ1404=74),"④一般",IF(OR($AJ1404=41,$AJ1404=47),"⑤短期","対象外"))))))</f>
        <v/>
      </c>
    </row>
    <row r="1405" customFormat="false" ht="15" hidden="false" customHeight="false" outlineLevel="0" collapsed="false">
      <c r="DB1405" s="0" t="str">
        <f aca="false">IF($A1405="","",IF($AE1405&amp;""&lt;&gt;設定!$C$4,"対象外",IF($AH1405=20,IF(OR($AJ1405=10,$AJ1405=11,$AJ1405=18),"①病院一般",IF($AJ1405=41,"②病院短期","対象外")),IF($AH1405=5,IF($AJ1405=30,"③特定消防","対象外"),IF(OR($AJ1405=10,$AJ1405=11,$AJ1405=74),"④一般",IF(OR($AJ1405=41,$AJ1405=47),"⑤短期","対象外"))))))</f>
        <v/>
      </c>
    </row>
    <row r="1406" customFormat="false" ht="15" hidden="false" customHeight="false" outlineLevel="0" collapsed="false">
      <c r="DB1406" s="0" t="str">
        <f aca="false">IF($A1406="","",IF($AE1406&amp;""&lt;&gt;設定!$C$4,"対象外",IF($AH1406=20,IF(OR($AJ1406=10,$AJ1406=11,$AJ1406=18),"①病院一般",IF($AJ1406=41,"②病院短期","対象外")),IF($AH1406=5,IF($AJ1406=30,"③特定消防","対象外"),IF(OR($AJ1406=10,$AJ1406=11,$AJ1406=74),"④一般",IF(OR($AJ1406=41,$AJ1406=47),"⑤短期","対象外"))))))</f>
        <v/>
      </c>
    </row>
    <row r="1407" customFormat="false" ht="15" hidden="false" customHeight="false" outlineLevel="0" collapsed="false">
      <c r="DB1407" s="0" t="str">
        <f aca="false">IF($A1407="","",IF($AE1407&amp;""&lt;&gt;設定!$C$4,"対象外",IF($AH1407=20,IF(OR($AJ1407=10,$AJ1407=11,$AJ1407=18),"①病院一般",IF($AJ1407=41,"②病院短期","対象外")),IF($AH1407=5,IF($AJ1407=30,"③特定消防","対象外"),IF(OR($AJ1407=10,$AJ1407=11,$AJ1407=74),"④一般",IF(OR($AJ1407=41,$AJ1407=47),"⑤短期","対象外"))))))</f>
        <v/>
      </c>
    </row>
    <row r="1408" customFormat="false" ht="15" hidden="false" customHeight="false" outlineLevel="0" collapsed="false">
      <c r="DB1408" s="0" t="str">
        <f aca="false">IF($A1408="","",IF($AE1408&amp;""&lt;&gt;設定!$C$4,"対象外",IF($AH1408=20,IF(OR($AJ1408=10,$AJ1408=11,$AJ1408=18),"①病院一般",IF($AJ1408=41,"②病院短期","対象外")),IF($AH1408=5,IF($AJ1408=30,"③特定消防","対象外"),IF(OR($AJ1408=10,$AJ1408=11,$AJ1408=74),"④一般",IF(OR($AJ1408=41,$AJ1408=47),"⑤短期","対象外"))))))</f>
        <v/>
      </c>
    </row>
    <row r="1409" customFormat="false" ht="15" hidden="false" customHeight="false" outlineLevel="0" collapsed="false">
      <c r="DB1409" s="0" t="str">
        <f aca="false">IF($A1409="","",IF($AE1409&amp;""&lt;&gt;設定!$C$4,"対象外",IF($AH1409=20,IF(OR($AJ1409=10,$AJ1409=11,$AJ1409=18),"①病院一般",IF($AJ1409=41,"②病院短期","対象外")),IF($AH1409=5,IF($AJ1409=30,"③特定消防","対象外"),IF(OR($AJ1409=10,$AJ1409=11,$AJ1409=74),"④一般",IF(OR($AJ1409=41,$AJ1409=47),"⑤短期","対象外"))))))</f>
        <v/>
      </c>
    </row>
    <row r="1410" customFormat="false" ht="15" hidden="false" customHeight="false" outlineLevel="0" collapsed="false">
      <c r="DB1410" s="0" t="str">
        <f aca="false">IF($A1410="","",IF($AE1410&amp;""&lt;&gt;設定!$C$4,"対象外",IF($AH1410=20,IF(OR($AJ1410=10,$AJ1410=11,$AJ1410=18),"①病院一般",IF($AJ1410=41,"②病院短期","対象外")),IF($AH1410=5,IF($AJ1410=30,"③特定消防","対象外"),IF(OR($AJ1410=10,$AJ1410=11,$AJ1410=74),"④一般",IF(OR($AJ1410=41,$AJ1410=47),"⑤短期","対象外"))))))</f>
        <v/>
      </c>
    </row>
    <row r="1411" customFormat="false" ht="15" hidden="false" customHeight="false" outlineLevel="0" collapsed="false">
      <c r="DB1411" s="0" t="str">
        <f aca="false">IF($A1411="","",IF($AE1411&amp;""&lt;&gt;設定!$C$4,"対象外",IF($AH1411=20,IF(OR($AJ1411=10,$AJ1411=11,$AJ1411=18),"①病院一般",IF($AJ1411=41,"②病院短期","対象外")),IF($AH1411=5,IF($AJ1411=30,"③特定消防","対象外"),IF(OR($AJ1411=10,$AJ1411=11,$AJ1411=74),"④一般",IF(OR($AJ1411=41,$AJ1411=47),"⑤短期","対象外"))))))</f>
        <v/>
      </c>
    </row>
    <row r="1412" customFormat="false" ht="15" hidden="false" customHeight="false" outlineLevel="0" collapsed="false">
      <c r="DB1412" s="0" t="str">
        <f aca="false">IF($A1412="","",IF($AE1412&amp;""&lt;&gt;設定!$C$4,"対象外",IF($AH1412=20,IF(OR($AJ1412=10,$AJ1412=11,$AJ1412=18),"①病院一般",IF($AJ1412=41,"②病院短期","対象外")),IF($AH1412=5,IF($AJ1412=30,"③特定消防","対象外"),IF(OR($AJ1412=10,$AJ1412=11,$AJ1412=74),"④一般",IF(OR($AJ1412=41,$AJ1412=47),"⑤短期","対象外"))))))</f>
        <v/>
      </c>
    </row>
    <row r="1413" customFormat="false" ht="15" hidden="false" customHeight="false" outlineLevel="0" collapsed="false">
      <c r="DB1413" s="0" t="str">
        <f aca="false">IF($A1413="","",IF($AE1413&amp;""&lt;&gt;設定!$C$4,"対象外",IF($AH1413=20,IF(OR($AJ1413=10,$AJ1413=11,$AJ1413=18),"①病院一般",IF($AJ1413=41,"②病院短期","対象外")),IF($AH1413=5,IF($AJ1413=30,"③特定消防","対象外"),IF(OR($AJ1413=10,$AJ1413=11,$AJ1413=74),"④一般",IF(OR($AJ1413=41,$AJ1413=47),"⑤短期","対象外"))))))</f>
        <v/>
      </c>
    </row>
    <row r="1414" customFormat="false" ht="15" hidden="false" customHeight="false" outlineLevel="0" collapsed="false">
      <c r="DB1414" s="0" t="str">
        <f aca="false">IF($A1414="","",IF($AE1414&amp;""&lt;&gt;設定!$C$4,"対象外",IF($AH1414=20,IF(OR($AJ1414=10,$AJ1414=11,$AJ1414=18),"①病院一般",IF($AJ1414=41,"②病院短期","対象外")),IF($AH1414=5,IF($AJ1414=30,"③特定消防","対象外"),IF(OR($AJ1414=10,$AJ1414=11,$AJ1414=74),"④一般",IF(OR($AJ1414=41,$AJ1414=47),"⑤短期","対象外"))))))</f>
        <v/>
      </c>
    </row>
    <row r="1415" customFormat="false" ht="15" hidden="false" customHeight="false" outlineLevel="0" collapsed="false">
      <c r="DB1415" s="0" t="str">
        <f aca="false">IF($A1415="","",IF($AE1415&amp;""&lt;&gt;設定!$C$4,"対象外",IF($AH1415=20,IF(OR($AJ1415=10,$AJ1415=11,$AJ1415=18),"①病院一般",IF($AJ1415=41,"②病院短期","対象外")),IF($AH1415=5,IF($AJ1415=30,"③特定消防","対象外"),IF(OR($AJ1415=10,$AJ1415=11,$AJ1415=74),"④一般",IF(OR($AJ1415=41,$AJ1415=47),"⑤短期","対象外"))))))</f>
        <v/>
      </c>
    </row>
    <row r="1416" customFormat="false" ht="15" hidden="false" customHeight="false" outlineLevel="0" collapsed="false">
      <c r="DB1416" s="0" t="str">
        <f aca="false">IF($A1416="","",IF($AE1416&amp;""&lt;&gt;設定!$C$4,"対象外",IF($AH1416=20,IF(OR($AJ1416=10,$AJ1416=11,$AJ1416=18),"①病院一般",IF($AJ1416=41,"②病院短期","対象外")),IF($AH1416=5,IF($AJ1416=30,"③特定消防","対象外"),IF(OR($AJ1416=10,$AJ1416=11,$AJ1416=74),"④一般",IF(OR($AJ1416=41,$AJ1416=47),"⑤短期","対象外"))))))</f>
        <v/>
      </c>
    </row>
    <row r="1417" customFormat="false" ht="15" hidden="false" customHeight="false" outlineLevel="0" collapsed="false">
      <c r="DB1417" s="0" t="str">
        <f aca="false">IF($A1417="","",IF($AE1417&amp;""&lt;&gt;設定!$C$4,"対象外",IF($AH1417=20,IF(OR($AJ1417=10,$AJ1417=11,$AJ1417=18),"①病院一般",IF($AJ1417=41,"②病院短期","対象外")),IF($AH1417=5,IF($AJ1417=30,"③特定消防","対象外"),IF(OR($AJ1417=10,$AJ1417=11,$AJ1417=74),"④一般",IF(OR($AJ1417=41,$AJ1417=47),"⑤短期","対象外"))))))</f>
        <v/>
      </c>
    </row>
    <row r="1418" customFormat="false" ht="15" hidden="false" customHeight="false" outlineLevel="0" collapsed="false">
      <c r="DB1418" s="0" t="str">
        <f aca="false">IF($A1418="","",IF($AE1418&amp;""&lt;&gt;設定!$C$4,"対象外",IF($AH1418=20,IF(OR($AJ1418=10,$AJ1418=11,$AJ1418=18),"①病院一般",IF($AJ1418=41,"②病院短期","対象外")),IF($AH1418=5,IF($AJ1418=30,"③特定消防","対象外"),IF(OR($AJ1418=10,$AJ1418=11,$AJ1418=74),"④一般",IF(OR($AJ1418=41,$AJ1418=47),"⑤短期","対象外"))))))</f>
        <v/>
      </c>
    </row>
    <row r="1419" customFormat="false" ht="15" hidden="false" customHeight="false" outlineLevel="0" collapsed="false">
      <c r="DB1419" s="0" t="str">
        <f aca="false">IF($A1419="","",IF($AE1419&amp;""&lt;&gt;設定!$C$4,"対象外",IF($AH1419=20,IF(OR($AJ1419=10,$AJ1419=11,$AJ1419=18),"①病院一般",IF($AJ1419=41,"②病院短期","対象外")),IF($AH1419=5,IF($AJ1419=30,"③特定消防","対象外"),IF(OR($AJ1419=10,$AJ1419=11,$AJ1419=74),"④一般",IF(OR($AJ1419=41,$AJ1419=47),"⑤短期","対象外"))))))</f>
        <v/>
      </c>
    </row>
    <row r="1420" customFormat="false" ht="15" hidden="false" customHeight="false" outlineLevel="0" collapsed="false">
      <c r="DB1420" s="0" t="str">
        <f aca="false">IF($A1420="","",IF($AE1420&amp;""&lt;&gt;設定!$C$4,"対象外",IF($AH1420=20,IF(OR($AJ1420=10,$AJ1420=11,$AJ1420=18),"①病院一般",IF($AJ1420=41,"②病院短期","対象外")),IF($AH1420=5,IF($AJ1420=30,"③特定消防","対象外"),IF(OR($AJ1420=10,$AJ1420=11,$AJ1420=74),"④一般",IF(OR($AJ1420=41,$AJ1420=47),"⑤短期","対象外"))))))</f>
        <v/>
      </c>
    </row>
    <row r="1421" customFormat="false" ht="15" hidden="false" customHeight="false" outlineLevel="0" collapsed="false">
      <c r="DB1421" s="0" t="str">
        <f aca="false">IF($A1421="","",IF($AE1421&amp;""&lt;&gt;設定!$C$4,"対象外",IF($AH1421=20,IF(OR($AJ1421=10,$AJ1421=11,$AJ1421=18),"①病院一般",IF($AJ1421=41,"②病院短期","対象外")),IF($AH1421=5,IF($AJ1421=30,"③特定消防","対象外"),IF(OR($AJ1421=10,$AJ1421=11,$AJ1421=74),"④一般",IF(OR($AJ1421=41,$AJ1421=47),"⑤短期","対象外"))))))</f>
        <v/>
      </c>
    </row>
    <row r="1422" customFormat="false" ht="15" hidden="false" customHeight="false" outlineLevel="0" collapsed="false">
      <c r="DB1422" s="0" t="str">
        <f aca="false">IF($A1422="","",IF($AE1422&amp;""&lt;&gt;設定!$C$4,"対象外",IF($AH1422=20,IF(OR($AJ1422=10,$AJ1422=11,$AJ1422=18),"①病院一般",IF($AJ1422=41,"②病院短期","対象外")),IF($AH1422=5,IF($AJ1422=30,"③特定消防","対象外"),IF(OR($AJ1422=10,$AJ1422=11,$AJ1422=74),"④一般",IF(OR($AJ1422=41,$AJ1422=47),"⑤短期","対象外"))))))</f>
        <v/>
      </c>
    </row>
    <row r="1423" customFormat="false" ht="15" hidden="false" customHeight="false" outlineLevel="0" collapsed="false">
      <c r="DB1423" s="0" t="str">
        <f aca="false">IF($A1423="","",IF($AE1423&amp;""&lt;&gt;設定!$C$4,"対象外",IF($AH1423=20,IF(OR($AJ1423=10,$AJ1423=11,$AJ1423=18),"①病院一般",IF($AJ1423=41,"②病院短期","対象外")),IF($AH1423=5,IF($AJ1423=30,"③特定消防","対象外"),IF(OR($AJ1423=10,$AJ1423=11,$AJ1423=74),"④一般",IF(OR($AJ1423=41,$AJ1423=47),"⑤短期","対象外"))))))</f>
        <v/>
      </c>
    </row>
    <row r="1424" customFormat="false" ht="15" hidden="false" customHeight="false" outlineLevel="0" collapsed="false">
      <c r="DB1424" s="0" t="str">
        <f aca="false">IF($A1424="","",IF($AE1424&amp;""&lt;&gt;設定!$C$4,"対象外",IF($AH1424=20,IF(OR($AJ1424=10,$AJ1424=11,$AJ1424=18),"①病院一般",IF($AJ1424=41,"②病院短期","対象外")),IF($AH1424=5,IF($AJ1424=30,"③特定消防","対象外"),IF(OR($AJ1424=10,$AJ1424=11,$AJ1424=74),"④一般",IF(OR($AJ1424=41,$AJ1424=47),"⑤短期","対象外"))))))</f>
        <v/>
      </c>
    </row>
    <row r="1425" customFormat="false" ht="15" hidden="false" customHeight="false" outlineLevel="0" collapsed="false">
      <c r="DB1425" s="0" t="str">
        <f aca="false">IF($A1425="","",IF($AE1425&amp;""&lt;&gt;設定!$C$4,"対象外",IF($AH1425=20,IF(OR($AJ1425=10,$AJ1425=11,$AJ1425=18),"①病院一般",IF($AJ1425=41,"②病院短期","対象外")),IF($AH1425=5,IF($AJ1425=30,"③特定消防","対象外"),IF(OR($AJ1425=10,$AJ1425=11,$AJ1425=74),"④一般",IF(OR($AJ1425=41,$AJ1425=47),"⑤短期","対象外"))))))</f>
        <v/>
      </c>
    </row>
    <row r="1426" customFormat="false" ht="15" hidden="false" customHeight="false" outlineLevel="0" collapsed="false">
      <c r="DB1426" s="0" t="str">
        <f aca="false">IF($A1426="","",IF($AE1426&amp;""&lt;&gt;設定!$C$4,"対象外",IF($AH1426=20,IF(OR($AJ1426=10,$AJ1426=11,$AJ1426=18),"①病院一般",IF($AJ1426=41,"②病院短期","対象外")),IF($AH1426=5,IF($AJ1426=30,"③特定消防","対象外"),IF(OR($AJ1426=10,$AJ1426=11,$AJ1426=74),"④一般",IF(OR($AJ1426=41,$AJ1426=47),"⑤短期","対象外"))))))</f>
        <v/>
      </c>
    </row>
    <row r="1427" customFormat="false" ht="15" hidden="false" customHeight="false" outlineLevel="0" collapsed="false">
      <c r="DB1427" s="0" t="str">
        <f aca="false">IF($A1427="","",IF($AE1427&amp;""&lt;&gt;設定!$C$4,"対象外",IF($AH1427=20,IF(OR($AJ1427=10,$AJ1427=11,$AJ1427=18),"①病院一般",IF($AJ1427=41,"②病院短期","対象外")),IF($AH1427=5,IF($AJ1427=30,"③特定消防","対象外"),IF(OR($AJ1427=10,$AJ1427=11,$AJ1427=74),"④一般",IF(OR($AJ1427=41,$AJ1427=47),"⑤短期","対象外"))))))</f>
        <v/>
      </c>
    </row>
    <row r="1428" customFormat="false" ht="15" hidden="false" customHeight="false" outlineLevel="0" collapsed="false">
      <c r="DB1428" s="0" t="str">
        <f aca="false">IF($A1428="","",IF($AE1428&amp;""&lt;&gt;設定!$C$4,"対象外",IF($AH1428=20,IF(OR($AJ1428=10,$AJ1428=11,$AJ1428=18),"①病院一般",IF($AJ1428=41,"②病院短期","対象外")),IF($AH1428=5,IF($AJ1428=30,"③特定消防","対象外"),IF(OR($AJ1428=10,$AJ1428=11,$AJ1428=74),"④一般",IF(OR($AJ1428=41,$AJ1428=47),"⑤短期","対象外"))))))</f>
        <v/>
      </c>
    </row>
    <row r="1429" customFormat="false" ht="15" hidden="false" customHeight="false" outlineLevel="0" collapsed="false">
      <c r="DB1429" s="0" t="str">
        <f aca="false">IF($A1429="","",IF($AE1429&amp;""&lt;&gt;設定!$C$4,"対象外",IF($AH1429=20,IF(OR($AJ1429=10,$AJ1429=11,$AJ1429=18),"①病院一般",IF($AJ1429=41,"②病院短期","対象外")),IF($AH1429=5,IF($AJ1429=30,"③特定消防","対象外"),IF(OR($AJ1429=10,$AJ1429=11,$AJ1429=74),"④一般",IF(OR($AJ1429=41,$AJ1429=47),"⑤短期","対象外"))))))</f>
        <v/>
      </c>
    </row>
    <row r="1430" customFormat="false" ht="15" hidden="false" customHeight="false" outlineLevel="0" collapsed="false">
      <c r="DB1430" s="0" t="str">
        <f aca="false">IF($A1430="","",IF($AE1430&amp;""&lt;&gt;設定!$C$4,"対象外",IF($AH1430=20,IF(OR($AJ1430=10,$AJ1430=11,$AJ1430=18),"①病院一般",IF($AJ1430=41,"②病院短期","対象外")),IF($AH1430=5,IF($AJ1430=30,"③特定消防","対象外"),IF(OR($AJ1430=10,$AJ1430=11,$AJ1430=74),"④一般",IF(OR($AJ1430=41,$AJ1430=47),"⑤短期","対象外"))))))</f>
        <v/>
      </c>
    </row>
    <row r="1431" customFormat="false" ht="15" hidden="false" customHeight="false" outlineLevel="0" collapsed="false">
      <c r="DB1431" s="0" t="str">
        <f aca="false">IF($A1431="","",IF($AE1431&amp;""&lt;&gt;設定!$C$4,"対象外",IF($AH1431=20,IF(OR($AJ1431=10,$AJ1431=11,$AJ1431=18),"①病院一般",IF($AJ1431=41,"②病院短期","対象外")),IF($AH1431=5,IF($AJ1431=30,"③特定消防","対象外"),IF(OR($AJ1431=10,$AJ1431=11,$AJ1431=74),"④一般",IF(OR($AJ1431=41,$AJ1431=47),"⑤短期","対象外"))))))</f>
        <v/>
      </c>
    </row>
    <row r="1432" customFormat="false" ht="15" hidden="false" customHeight="false" outlineLevel="0" collapsed="false">
      <c r="DB1432" s="0" t="str">
        <f aca="false">IF($A1432="","",IF($AE1432&amp;""&lt;&gt;設定!$C$4,"対象外",IF($AH1432=20,IF(OR($AJ1432=10,$AJ1432=11,$AJ1432=18),"①病院一般",IF($AJ1432=41,"②病院短期","対象外")),IF($AH1432=5,IF($AJ1432=30,"③特定消防","対象外"),IF(OR($AJ1432=10,$AJ1432=11,$AJ1432=74),"④一般",IF(OR($AJ1432=41,$AJ1432=47),"⑤短期","対象外"))))))</f>
        <v/>
      </c>
    </row>
    <row r="1433" customFormat="false" ht="15" hidden="false" customHeight="false" outlineLevel="0" collapsed="false">
      <c r="DB1433" s="0" t="str">
        <f aca="false">IF($A1433="","",IF($AE1433&amp;""&lt;&gt;設定!$C$4,"対象外",IF($AH1433=20,IF(OR($AJ1433=10,$AJ1433=11,$AJ1433=18),"①病院一般",IF($AJ1433=41,"②病院短期","対象外")),IF($AH1433=5,IF($AJ1433=30,"③特定消防","対象外"),IF(OR($AJ1433=10,$AJ1433=11,$AJ1433=74),"④一般",IF(OR($AJ1433=41,$AJ1433=47),"⑤短期","対象外"))))))</f>
        <v/>
      </c>
    </row>
    <row r="1434" customFormat="false" ht="15" hidden="false" customHeight="false" outlineLevel="0" collapsed="false">
      <c r="DB1434" s="0" t="str">
        <f aca="false">IF($A1434="","",IF($AE1434&amp;""&lt;&gt;設定!$C$4,"対象外",IF($AH1434=20,IF(OR($AJ1434=10,$AJ1434=11,$AJ1434=18),"①病院一般",IF($AJ1434=41,"②病院短期","対象外")),IF($AH1434=5,IF($AJ1434=30,"③特定消防","対象外"),IF(OR($AJ1434=10,$AJ1434=11,$AJ1434=74),"④一般",IF(OR($AJ1434=41,$AJ1434=47),"⑤短期","対象外"))))))</f>
        <v/>
      </c>
    </row>
    <row r="1435" customFormat="false" ht="15" hidden="false" customHeight="false" outlineLevel="0" collapsed="false">
      <c r="DB1435" s="0" t="str">
        <f aca="false">IF($A1435="","",IF($AE1435&amp;""&lt;&gt;設定!$C$4,"対象外",IF($AH1435=20,IF(OR($AJ1435=10,$AJ1435=11,$AJ1435=18),"①病院一般",IF($AJ1435=41,"②病院短期","対象外")),IF($AH1435=5,IF($AJ1435=30,"③特定消防","対象外"),IF(OR($AJ1435=10,$AJ1435=11,$AJ1435=74),"④一般",IF(OR($AJ1435=41,$AJ1435=47),"⑤短期","対象外"))))))</f>
        <v/>
      </c>
    </row>
    <row r="1436" customFormat="false" ht="15" hidden="false" customHeight="false" outlineLevel="0" collapsed="false">
      <c r="DB1436" s="0" t="str">
        <f aca="false">IF($A1436="","",IF($AE1436&amp;""&lt;&gt;設定!$C$4,"対象外",IF($AH1436=20,IF(OR($AJ1436=10,$AJ1436=11,$AJ1436=18),"①病院一般",IF($AJ1436=41,"②病院短期","対象外")),IF($AH1436=5,IF($AJ1436=30,"③特定消防","対象外"),IF(OR($AJ1436=10,$AJ1436=11,$AJ1436=74),"④一般",IF(OR($AJ1436=41,$AJ1436=47),"⑤短期","対象外"))))))</f>
        <v/>
      </c>
    </row>
    <row r="1437" customFormat="false" ht="15" hidden="false" customHeight="false" outlineLevel="0" collapsed="false">
      <c r="DB1437" s="0" t="str">
        <f aca="false">IF($A1437="","",IF($AE1437&amp;""&lt;&gt;設定!$C$4,"対象外",IF($AH1437=20,IF(OR($AJ1437=10,$AJ1437=11,$AJ1437=18),"①病院一般",IF($AJ1437=41,"②病院短期","対象外")),IF($AH1437=5,IF($AJ1437=30,"③特定消防","対象外"),IF(OR($AJ1437=10,$AJ1437=11,$AJ1437=74),"④一般",IF(OR($AJ1437=41,$AJ1437=47),"⑤短期","対象外"))))))</f>
        <v/>
      </c>
    </row>
    <row r="1438" customFormat="false" ht="15" hidden="false" customHeight="false" outlineLevel="0" collapsed="false">
      <c r="DB1438" s="0" t="str">
        <f aca="false">IF($A1438="","",IF($AE1438&amp;""&lt;&gt;設定!$C$4,"対象外",IF($AH1438=20,IF(OR($AJ1438=10,$AJ1438=11,$AJ1438=18),"①病院一般",IF($AJ1438=41,"②病院短期","対象外")),IF($AH1438=5,IF($AJ1438=30,"③特定消防","対象外"),IF(OR($AJ1438=10,$AJ1438=11,$AJ1438=74),"④一般",IF(OR($AJ1438=41,$AJ1438=47),"⑤短期","対象外"))))))</f>
        <v/>
      </c>
    </row>
    <row r="1439" customFormat="false" ht="15" hidden="false" customHeight="false" outlineLevel="0" collapsed="false">
      <c r="DB1439" s="0" t="str">
        <f aca="false">IF($A1439="","",IF($AE1439&amp;""&lt;&gt;設定!$C$4,"対象外",IF($AH1439=20,IF(OR($AJ1439=10,$AJ1439=11,$AJ1439=18),"①病院一般",IF($AJ1439=41,"②病院短期","対象外")),IF($AH1439=5,IF($AJ1439=30,"③特定消防","対象外"),IF(OR($AJ1439=10,$AJ1439=11,$AJ1439=74),"④一般",IF(OR($AJ1439=41,$AJ1439=47),"⑤短期","対象外"))))))</f>
        <v/>
      </c>
    </row>
    <row r="1440" customFormat="false" ht="15" hidden="false" customHeight="false" outlineLevel="0" collapsed="false">
      <c r="DB1440" s="0" t="str">
        <f aca="false">IF($A1440="","",IF($AE1440&amp;""&lt;&gt;設定!$C$4,"対象外",IF($AH1440=20,IF(OR($AJ1440=10,$AJ1440=11,$AJ1440=18),"①病院一般",IF($AJ1440=41,"②病院短期","対象外")),IF($AH1440=5,IF($AJ1440=30,"③特定消防","対象外"),IF(OR($AJ1440=10,$AJ1440=11,$AJ1440=74),"④一般",IF(OR($AJ1440=41,$AJ1440=47),"⑤短期","対象外"))))))</f>
        <v/>
      </c>
    </row>
    <row r="1441" customFormat="false" ht="15" hidden="false" customHeight="false" outlineLevel="0" collapsed="false">
      <c r="DB1441" s="0" t="str">
        <f aca="false">IF($A1441="","",IF($AE1441&amp;""&lt;&gt;設定!$C$4,"対象外",IF($AH1441=20,IF(OR($AJ1441=10,$AJ1441=11,$AJ1441=18),"①病院一般",IF($AJ1441=41,"②病院短期","対象外")),IF($AH1441=5,IF($AJ1441=30,"③特定消防","対象外"),IF(OR($AJ1441=10,$AJ1441=11,$AJ1441=74),"④一般",IF(OR($AJ1441=41,$AJ1441=47),"⑤短期","対象外"))))))</f>
        <v/>
      </c>
    </row>
    <row r="1442" customFormat="false" ht="15" hidden="false" customHeight="false" outlineLevel="0" collapsed="false">
      <c r="DB1442" s="0" t="str">
        <f aca="false">IF($A1442="","",IF($AE1442&amp;""&lt;&gt;設定!$C$4,"対象外",IF($AH1442=20,IF(OR($AJ1442=10,$AJ1442=11,$AJ1442=18),"①病院一般",IF($AJ1442=41,"②病院短期","対象外")),IF($AH1442=5,IF($AJ1442=30,"③特定消防","対象外"),IF(OR($AJ1442=10,$AJ1442=11,$AJ1442=74),"④一般",IF(OR($AJ1442=41,$AJ1442=47),"⑤短期","対象外"))))))</f>
        <v/>
      </c>
    </row>
    <row r="1443" customFormat="false" ht="15" hidden="false" customHeight="false" outlineLevel="0" collapsed="false">
      <c r="DB1443" s="0" t="str">
        <f aca="false">IF($A1443="","",IF($AE1443&amp;""&lt;&gt;設定!$C$4,"対象外",IF($AH1443=20,IF(OR($AJ1443=10,$AJ1443=11,$AJ1443=18),"①病院一般",IF($AJ1443=41,"②病院短期","対象外")),IF($AH1443=5,IF($AJ1443=30,"③特定消防","対象外"),IF(OR($AJ1443=10,$AJ1443=11,$AJ1443=74),"④一般",IF(OR($AJ1443=41,$AJ1443=47),"⑤短期","対象外"))))))</f>
        <v/>
      </c>
    </row>
    <row r="1444" customFormat="false" ht="15" hidden="false" customHeight="false" outlineLevel="0" collapsed="false">
      <c r="DB1444" s="0" t="str">
        <f aca="false">IF($A1444="","",IF($AE1444&amp;""&lt;&gt;設定!$C$4,"対象外",IF($AH1444=20,IF(OR($AJ1444=10,$AJ1444=11,$AJ1444=18),"①病院一般",IF($AJ1444=41,"②病院短期","対象外")),IF($AH1444=5,IF($AJ1444=30,"③特定消防","対象外"),IF(OR($AJ1444=10,$AJ1444=11,$AJ1444=74),"④一般",IF(OR($AJ1444=41,$AJ1444=47),"⑤短期","対象外"))))))</f>
        <v/>
      </c>
    </row>
    <row r="1445" customFormat="false" ht="15" hidden="false" customHeight="false" outlineLevel="0" collapsed="false">
      <c r="DB1445" s="0" t="str">
        <f aca="false">IF($A1445="","",IF($AE1445&amp;""&lt;&gt;設定!$C$4,"対象外",IF($AH1445=20,IF(OR($AJ1445=10,$AJ1445=11,$AJ1445=18),"①病院一般",IF($AJ1445=41,"②病院短期","対象外")),IF($AH1445=5,IF($AJ1445=30,"③特定消防","対象外"),IF(OR($AJ1445=10,$AJ1445=11,$AJ1445=74),"④一般",IF(OR($AJ1445=41,$AJ1445=47),"⑤短期","対象外"))))))</f>
        <v/>
      </c>
    </row>
    <row r="1446" customFormat="false" ht="15" hidden="false" customHeight="false" outlineLevel="0" collapsed="false">
      <c r="DB1446" s="0" t="str">
        <f aca="false">IF($A1446="","",IF($AE1446&amp;""&lt;&gt;設定!$C$4,"対象外",IF($AH1446=20,IF(OR($AJ1446=10,$AJ1446=11,$AJ1446=18),"①病院一般",IF($AJ1446=41,"②病院短期","対象外")),IF($AH1446=5,IF($AJ1446=30,"③特定消防","対象外"),IF(OR($AJ1446=10,$AJ1446=11,$AJ1446=74),"④一般",IF(OR($AJ1446=41,$AJ1446=47),"⑤短期","対象外"))))))</f>
        <v/>
      </c>
    </row>
    <row r="1447" customFormat="false" ht="15" hidden="false" customHeight="false" outlineLevel="0" collapsed="false">
      <c r="DB1447" s="0" t="str">
        <f aca="false">IF($A1447="","",IF($AE1447&amp;""&lt;&gt;設定!$C$4,"対象外",IF($AH1447=20,IF(OR($AJ1447=10,$AJ1447=11,$AJ1447=18),"①病院一般",IF($AJ1447=41,"②病院短期","対象外")),IF($AH1447=5,IF($AJ1447=30,"③特定消防","対象外"),IF(OR($AJ1447=10,$AJ1447=11,$AJ1447=74),"④一般",IF(OR($AJ1447=41,$AJ1447=47),"⑤短期","対象外"))))))</f>
        <v/>
      </c>
    </row>
    <row r="1448" customFormat="false" ht="15" hidden="false" customHeight="false" outlineLevel="0" collapsed="false">
      <c r="DB1448" s="0" t="str">
        <f aca="false">IF($A1448="","",IF($AE1448&amp;""&lt;&gt;設定!$C$4,"対象外",IF($AH1448=20,IF(OR($AJ1448=10,$AJ1448=11,$AJ1448=18),"①病院一般",IF($AJ1448=41,"②病院短期","対象外")),IF($AH1448=5,IF($AJ1448=30,"③特定消防","対象外"),IF(OR($AJ1448=10,$AJ1448=11,$AJ1448=74),"④一般",IF(OR($AJ1448=41,$AJ1448=47),"⑤短期","対象外"))))))</f>
        <v/>
      </c>
    </row>
    <row r="1449" customFormat="false" ht="15" hidden="false" customHeight="false" outlineLevel="0" collapsed="false">
      <c r="DB1449" s="0" t="str">
        <f aca="false">IF($A1449="","",IF($AE1449&amp;""&lt;&gt;設定!$C$4,"対象外",IF($AH1449=20,IF(OR($AJ1449=10,$AJ1449=11,$AJ1449=18),"①病院一般",IF($AJ1449=41,"②病院短期","対象外")),IF($AH1449=5,IF($AJ1449=30,"③特定消防","対象外"),IF(OR($AJ1449=10,$AJ1449=11,$AJ1449=74),"④一般",IF(OR($AJ1449=41,$AJ1449=47),"⑤短期","対象外"))))))</f>
        <v/>
      </c>
    </row>
    <row r="1450" customFormat="false" ht="15" hidden="false" customHeight="false" outlineLevel="0" collapsed="false">
      <c r="DB1450" s="0" t="str">
        <f aca="false">IF($A1450="","",IF($AE1450&amp;""&lt;&gt;設定!$C$4,"対象外",IF($AH1450=20,IF(OR($AJ1450=10,$AJ1450=11,$AJ1450=18),"①病院一般",IF($AJ1450=41,"②病院短期","対象外")),IF($AH1450=5,IF($AJ1450=30,"③特定消防","対象外"),IF(OR($AJ1450=10,$AJ1450=11,$AJ1450=74),"④一般",IF(OR($AJ1450=41,$AJ1450=47),"⑤短期","対象外"))))))</f>
        <v/>
      </c>
    </row>
    <row r="1451" customFormat="false" ht="15" hidden="false" customHeight="false" outlineLevel="0" collapsed="false">
      <c r="DB1451" s="0" t="str">
        <f aca="false">IF($A1451="","",IF($AE1451&amp;""&lt;&gt;設定!$C$4,"対象外",IF($AH1451=20,IF(OR($AJ1451=10,$AJ1451=11,$AJ1451=18),"①病院一般",IF($AJ1451=41,"②病院短期","対象外")),IF($AH1451=5,IF($AJ1451=30,"③特定消防","対象外"),IF(OR($AJ1451=10,$AJ1451=11,$AJ1451=74),"④一般",IF(OR($AJ1451=41,$AJ1451=47),"⑤短期","対象外"))))))</f>
        <v/>
      </c>
    </row>
    <row r="1452" customFormat="false" ht="15" hidden="false" customHeight="false" outlineLevel="0" collapsed="false">
      <c r="DB1452" s="0" t="str">
        <f aca="false">IF($A1452="","",IF($AE1452&amp;""&lt;&gt;設定!$C$4,"対象外",IF($AH1452=20,IF(OR($AJ1452=10,$AJ1452=11,$AJ1452=18),"①病院一般",IF($AJ1452=41,"②病院短期","対象外")),IF($AH1452=5,IF($AJ1452=30,"③特定消防","対象外"),IF(OR($AJ1452=10,$AJ1452=11,$AJ1452=74),"④一般",IF(OR($AJ1452=41,$AJ1452=47),"⑤短期","対象外"))))))</f>
        <v/>
      </c>
    </row>
    <row r="1453" customFormat="false" ht="15" hidden="false" customHeight="false" outlineLevel="0" collapsed="false">
      <c r="DB1453" s="0" t="str">
        <f aca="false">IF($A1453="","",IF($AE1453&amp;""&lt;&gt;設定!$C$4,"対象外",IF($AH1453=20,IF(OR($AJ1453=10,$AJ1453=11,$AJ1453=18),"①病院一般",IF($AJ1453=41,"②病院短期","対象外")),IF($AH1453=5,IF($AJ1453=30,"③特定消防","対象外"),IF(OR($AJ1453=10,$AJ1453=11,$AJ1453=74),"④一般",IF(OR($AJ1453=41,$AJ1453=47),"⑤短期","対象外"))))))</f>
        <v/>
      </c>
    </row>
    <row r="1454" customFormat="false" ht="15" hidden="false" customHeight="false" outlineLevel="0" collapsed="false">
      <c r="DB1454" s="0" t="str">
        <f aca="false">IF($A1454="","",IF($AE1454&amp;""&lt;&gt;設定!$C$4,"対象外",IF($AH1454=20,IF(OR($AJ1454=10,$AJ1454=11,$AJ1454=18),"①病院一般",IF($AJ1454=41,"②病院短期","対象外")),IF($AH1454=5,IF($AJ1454=30,"③特定消防","対象外"),IF(OR($AJ1454=10,$AJ1454=11,$AJ1454=74),"④一般",IF(OR($AJ1454=41,$AJ1454=47),"⑤短期","対象外"))))))</f>
        <v/>
      </c>
    </row>
    <row r="1455" customFormat="false" ht="15" hidden="false" customHeight="false" outlineLevel="0" collapsed="false">
      <c r="DB1455" s="0" t="str">
        <f aca="false">IF($A1455="","",IF($AE1455&amp;""&lt;&gt;設定!$C$4,"対象外",IF($AH1455=20,IF(OR($AJ1455=10,$AJ1455=11,$AJ1455=18),"①病院一般",IF($AJ1455=41,"②病院短期","対象外")),IF($AH1455=5,IF($AJ1455=30,"③特定消防","対象外"),IF(OR($AJ1455=10,$AJ1455=11,$AJ1455=74),"④一般",IF(OR($AJ1455=41,$AJ1455=47),"⑤短期","対象外"))))))</f>
        <v/>
      </c>
    </row>
    <row r="1456" customFormat="false" ht="15" hidden="false" customHeight="false" outlineLevel="0" collapsed="false">
      <c r="DB1456" s="0" t="str">
        <f aca="false">IF($A1456="","",IF($AE1456&amp;""&lt;&gt;設定!$C$4,"対象外",IF($AH1456=20,IF(OR($AJ1456=10,$AJ1456=11,$AJ1456=18),"①病院一般",IF($AJ1456=41,"②病院短期","対象外")),IF($AH1456=5,IF($AJ1456=30,"③特定消防","対象外"),IF(OR($AJ1456=10,$AJ1456=11,$AJ1456=74),"④一般",IF(OR($AJ1456=41,$AJ1456=47),"⑤短期","対象外"))))))</f>
        <v/>
      </c>
    </row>
    <row r="1457" customFormat="false" ht="15" hidden="false" customHeight="false" outlineLevel="0" collapsed="false">
      <c r="DB1457" s="0" t="str">
        <f aca="false">IF($A1457="","",IF($AE1457&amp;""&lt;&gt;設定!$C$4,"対象外",IF($AH1457=20,IF(OR($AJ1457=10,$AJ1457=11,$AJ1457=18),"①病院一般",IF($AJ1457=41,"②病院短期","対象外")),IF($AH1457=5,IF($AJ1457=30,"③特定消防","対象外"),IF(OR($AJ1457=10,$AJ1457=11,$AJ1457=74),"④一般",IF(OR($AJ1457=41,$AJ1457=47),"⑤短期","対象外"))))))</f>
        <v/>
      </c>
    </row>
    <row r="1458" customFormat="false" ht="15" hidden="false" customHeight="false" outlineLevel="0" collapsed="false">
      <c r="DB1458" s="0" t="str">
        <f aca="false">IF($A1458="","",IF($AE1458&amp;""&lt;&gt;設定!$C$4,"対象外",IF($AH1458=20,IF(OR($AJ1458=10,$AJ1458=11,$AJ1458=18),"①病院一般",IF($AJ1458=41,"②病院短期","対象外")),IF($AH1458=5,IF($AJ1458=30,"③特定消防","対象外"),IF(OR($AJ1458=10,$AJ1458=11,$AJ1458=74),"④一般",IF(OR($AJ1458=41,$AJ1458=47),"⑤短期","対象外"))))))</f>
        <v/>
      </c>
    </row>
    <row r="1459" customFormat="false" ht="15" hidden="false" customHeight="false" outlineLevel="0" collapsed="false">
      <c r="DB1459" s="0" t="str">
        <f aca="false">IF($A1459="","",IF($AE1459&amp;""&lt;&gt;設定!$C$4,"対象外",IF($AH1459=20,IF(OR($AJ1459=10,$AJ1459=11,$AJ1459=18),"①病院一般",IF($AJ1459=41,"②病院短期","対象外")),IF($AH1459=5,IF($AJ1459=30,"③特定消防","対象外"),IF(OR($AJ1459=10,$AJ1459=11,$AJ1459=74),"④一般",IF(OR($AJ1459=41,$AJ1459=47),"⑤短期","対象外"))))))</f>
        <v/>
      </c>
    </row>
    <row r="1460" customFormat="false" ht="15" hidden="false" customHeight="false" outlineLevel="0" collapsed="false">
      <c r="DB1460" s="0" t="str">
        <f aca="false">IF($A1460="","",IF($AE1460&amp;""&lt;&gt;設定!$C$4,"対象外",IF($AH1460=20,IF(OR($AJ1460=10,$AJ1460=11,$AJ1460=18),"①病院一般",IF($AJ1460=41,"②病院短期","対象外")),IF($AH1460=5,IF($AJ1460=30,"③特定消防","対象外"),IF(OR($AJ1460=10,$AJ1460=11,$AJ1460=74),"④一般",IF(OR($AJ1460=41,$AJ1460=47),"⑤短期","対象外"))))))</f>
        <v/>
      </c>
    </row>
    <row r="1461" customFormat="false" ht="15" hidden="false" customHeight="false" outlineLevel="0" collapsed="false">
      <c r="DB1461" s="0" t="str">
        <f aca="false">IF($A1461="","",IF($AE1461&amp;""&lt;&gt;設定!$C$4,"対象外",IF($AH1461=20,IF(OR($AJ1461=10,$AJ1461=11,$AJ1461=18),"①病院一般",IF($AJ1461=41,"②病院短期","対象外")),IF($AH1461=5,IF($AJ1461=30,"③特定消防","対象外"),IF(OR($AJ1461=10,$AJ1461=11,$AJ1461=74),"④一般",IF(OR($AJ1461=41,$AJ1461=47),"⑤短期","対象外"))))))</f>
        <v/>
      </c>
    </row>
    <row r="1462" customFormat="false" ht="15" hidden="false" customHeight="false" outlineLevel="0" collapsed="false">
      <c r="DB1462" s="0" t="str">
        <f aca="false">IF($A1462="","",IF($AE1462&amp;""&lt;&gt;設定!$C$4,"対象外",IF($AH1462=20,IF(OR($AJ1462=10,$AJ1462=11,$AJ1462=18),"①病院一般",IF($AJ1462=41,"②病院短期","対象外")),IF($AH1462=5,IF($AJ1462=30,"③特定消防","対象外"),IF(OR($AJ1462=10,$AJ1462=11,$AJ1462=74),"④一般",IF(OR($AJ1462=41,$AJ1462=47),"⑤短期","対象外"))))))</f>
        <v/>
      </c>
    </row>
    <row r="1463" customFormat="false" ht="15" hidden="false" customHeight="false" outlineLevel="0" collapsed="false">
      <c r="DB1463" s="0" t="str">
        <f aca="false">IF($A1463="","",IF($AE1463&amp;""&lt;&gt;設定!$C$4,"対象外",IF($AH1463=20,IF(OR($AJ1463=10,$AJ1463=11,$AJ1463=18),"①病院一般",IF($AJ1463=41,"②病院短期","対象外")),IF($AH1463=5,IF($AJ1463=30,"③特定消防","対象外"),IF(OR($AJ1463=10,$AJ1463=11,$AJ1463=74),"④一般",IF(OR($AJ1463=41,$AJ1463=47),"⑤短期","対象外"))))))</f>
        <v/>
      </c>
    </row>
    <row r="1464" customFormat="false" ht="15" hidden="false" customHeight="false" outlineLevel="0" collapsed="false">
      <c r="DB1464" s="0" t="str">
        <f aca="false">IF($A1464="","",IF($AE1464&amp;""&lt;&gt;設定!$C$4,"対象外",IF($AH1464=20,IF(OR($AJ1464=10,$AJ1464=11,$AJ1464=18),"①病院一般",IF($AJ1464=41,"②病院短期","対象外")),IF($AH1464=5,IF($AJ1464=30,"③特定消防","対象外"),IF(OR($AJ1464=10,$AJ1464=11,$AJ1464=74),"④一般",IF(OR($AJ1464=41,$AJ1464=47),"⑤短期","対象外"))))))</f>
        <v/>
      </c>
    </row>
    <row r="1465" customFormat="false" ht="15" hidden="false" customHeight="false" outlineLevel="0" collapsed="false">
      <c r="DB1465" s="0" t="str">
        <f aca="false">IF($A1465="","",IF($AE1465&amp;""&lt;&gt;設定!$C$4,"対象外",IF($AH1465=20,IF(OR($AJ1465=10,$AJ1465=11,$AJ1465=18),"①病院一般",IF($AJ1465=41,"②病院短期","対象外")),IF($AH1465=5,IF($AJ1465=30,"③特定消防","対象外"),IF(OR($AJ1465=10,$AJ1465=11,$AJ1465=74),"④一般",IF(OR($AJ1465=41,$AJ1465=47),"⑤短期","対象外"))))))</f>
        <v/>
      </c>
    </row>
    <row r="1466" customFormat="false" ht="15" hidden="false" customHeight="false" outlineLevel="0" collapsed="false">
      <c r="DB1466" s="0" t="str">
        <f aca="false">IF($A1466="","",IF($AE1466&amp;""&lt;&gt;設定!$C$4,"対象外",IF($AH1466=20,IF(OR($AJ1466=10,$AJ1466=11,$AJ1466=18),"①病院一般",IF($AJ1466=41,"②病院短期","対象外")),IF($AH1466=5,IF($AJ1466=30,"③特定消防","対象外"),IF(OR($AJ1466=10,$AJ1466=11,$AJ1466=74),"④一般",IF(OR($AJ1466=41,$AJ1466=47),"⑤短期","対象外"))))))</f>
        <v/>
      </c>
    </row>
    <row r="1467" customFormat="false" ht="15" hidden="false" customHeight="false" outlineLevel="0" collapsed="false">
      <c r="DB1467" s="0" t="str">
        <f aca="false">IF($A1467="","",IF($AE1467&amp;""&lt;&gt;設定!$C$4,"対象外",IF($AH1467=20,IF(OR($AJ1467=10,$AJ1467=11,$AJ1467=18),"①病院一般",IF($AJ1467=41,"②病院短期","対象外")),IF($AH1467=5,IF($AJ1467=30,"③特定消防","対象外"),IF(OR($AJ1467=10,$AJ1467=11,$AJ1467=74),"④一般",IF(OR($AJ1467=41,$AJ1467=47),"⑤短期","対象外"))))))</f>
        <v/>
      </c>
    </row>
    <row r="1468" customFormat="false" ht="15" hidden="false" customHeight="false" outlineLevel="0" collapsed="false">
      <c r="DB1468" s="0" t="str">
        <f aca="false">IF($A1468="","",IF($AE1468&amp;""&lt;&gt;設定!$C$4,"対象外",IF($AH1468=20,IF(OR($AJ1468=10,$AJ1468=11,$AJ1468=18),"①病院一般",IF($AJ1468=41,"②病院短期","対象外")),IF($AH1468=5,IF($AJ1468=30,"③特定消防","対象外"),IF(OR($AJ1468=10,$AJ1468=11,$AJ1468=74),"④一般",IF(OR($AJ1468=41,$AJ1468=47),"⑤短期","対象外"))))))</f>
        <v/>
      </c>
    </row>
    <row r="1469" customFormat="false" ht="15" hidden="false" customHeight="false" outlineLevel="0" collapsed="false">
      <c r="DB1469" s="0" t="str">
        <f aca="false">IF($A1469="","",IF($AE1469&amp;""&lt;&gt;設定!$C$4,"対象外",IF($AH1469=20,IF(OR($AJ1469=10,$AJ1469=11,$AJ1469=18),"①病院一般",IF($AJ1469=41,"②病院短期","対象外")),IF($AH1469=5,IF($AJ1469=30,"③特定消防","対象外"),IF(OR($AJ1469=10,$AJ1469=11,$AJ1469=74),"④一般",IF(OR($AJ1469=41,$AJ1469=47),"⑤短期","対象外"))))))</f>
        <v/>
      </c>
    </row>
    <row r="1470" customFormat="false" ht="15" hidden="false" customHeight="false" outlineLevel="0" collapsed="false">
      <c r="DB1470" s="0" t="str">
        <f aca="false">IF($A1470="","",IF($AE1470&amp;""&lt;&gt;設定!$C$4,"対象外",IF($AH1470=20,IF(OR($AJ1470=10,$AJ1470=11,$AJ1470=18),"①病院一般",IF($AJ1470=41,"②病院短期","対象外")),IF($AH1470=5,IF($AJ1470=30,"③特定消防","対象外"),IF(OR($AJ1470=10,$AJ1470=11,$AJ1470=74),"④一般",IF(OR($AJ1470=41,$AJ1470=47),"⑤短期","対象外"))))))</f>
        <v/>
      </c>
    </row>
    <row r="1471" customFormat="false" ht="15" hidden="false" customHeight="false" outlineLevel="0" collapsed="false">
      <c r="DB1471" s="0" t="str">
        <f aca="false">IF($A1471="","",IF($AE1471&amp;""&lt;&gt;設定!$C$4,"対象外",IF($AH1471=20,IF(OR($AJ1471=10,$AJ1471=11,$AJ1471=18),"①病院一般",IF($AJ1471=41,"②病院短期","対象外")),IF($AH1471=5,IF($AJ1471=30,"③特定消防","対象外"),IF(OR($AJ1471=10,$AJ1471=11,$AJ1471=74),"④一般",IF(OR($AJ1471=41,$AJ1471=47),"⑤短期","対象外"))))))</f>
        <v/>
      </c>
    </row>
    <row r="1472" customFormat="false" ht="15" hidden="false" customHeight="false" outlineLevel="0" collapsed="false">
      <c r="DB1472" s="0" t="str">
        <f aca="false">IF($A1472="","",IF($AE1472&amp;""&lt;&gt;設定!$C$4,"対象外",IF($AH1472=20,IF(OR($AJ1472=10,$AJ1472=11,$AJ1472=18),"①病院一般",IF($AJ1472=41,"②病院短期","対象外")),IF($AH1472=5,IF($AJ1472=30,"③特定消防","対象外"),IF(OR($AJ1472=10,$AJ1472=11,$AJ1472=74),"④一般",IF(OR($AJ1472=41,$AJ1472=47),"⑤短期","対象外"))))))</f>
        <v/>
      </c>
    </row>
    <row r="1473" customFormat="false" ht="15" hidden="false" customHeight="false" outlineLevel="0" collapsed="false">
      <c r="DB1473" s="0" t="str">
        <f aca="false">IF($A1473="","",IF($AE1473&amp;""&lt;&gt;設定!$C$4,"対象外",IF($AH1473=20,IF(OR($AJ1473=10,$AJ1473=11,$AJ1473=18),"①病院一般",IF($AJ1473=41,"②病院短期","対象外")),IF($AH1473=5,IF($AJ1473=30,"③特定消防","対象外"),IF(OR($AJ1473=10,$AJ1473=11,$AJ1473=74),"④一般",IF(OR($AJ1473=41,$AJ1473=47),"⑤短期","対象外"))))))</f>
        <v/>
      </c>
    </row>
    <row r="1474" customFormat="false" ht="15" hidden="false" customHeight="false" outlineLevel="0" collapsed="false">
      <c r="DB1474" s="0" t="str">
        <f aca="false">IF($A1474="","",IF($AE1474&amp;""&lt;&gt;設定!$C$4,"対象外",IF($AH1474=20,IF(OR($AJ1474=10,$AJ1474=11,$AJ1474=18),"①病院一般",IF($AJ1474=41,"②病院短期","対象外")),IF($AH1474=5,IF($AJ1474=30,"③特定消防","対象外"),IF(OR($AJ1474=10,$AJ1474=11,$AJ1474=74),"④一般",IF(OR($AJ1474=41,$AJ1474=47),"⑤短期","対象外"))))))</f>
        <v/>
      </c>
    </row>
    <row r="1475" customFormat="false" ht="15" hidden="false" customHeight="false" outlineLevel="0" collapsed="false">
      <c r="DB1475" s="0" t="str">
        <f aca="false">IF($A1475="","",IF($AE1475&amp;""&lt;&gt;設定!$C$4,"対象外",IF($AH1475=20,IF(OR($AJ1475=10,$AJ1475=11,$AJ1475=18),"①病院一般",IF($AJ1475=41,"②病院短期","対象外")),IF($AH1475=5,IF($AJ1475=30,"③特定消防","対象外"),IF(OR($AJ1475=10,$AJ1475=11,$AJ1475=74),"④一般",IF(OR($AJ1475=41,$AJ1475=47),"⑤短期","対象外"))))))</f>
        <v/>
      </c>
    </row>
    <row r="1476" customFormat="false" ht="15" hidden="false" customHeight="false" outlineLevel="0" collapsed="false">
      <c r="DB1476" s="0" t="str">
        <f aca="false">IF($A1476="","",IF($AE1476&amp;""&lt;&gt;設定!$C$4,"対象外",IF($AH1476=20,IF(OR($AJ1476=10,$AJ1476=11,$AJ1476=18),"①病院一般",IF($AJ1476=41,"②病院短期","対象外")),IF($AH1476=5,IF($AJ1476=30,"③特定消防","対象外"),IF(OR($AJ1476=10,$AJ1476=11,$AJ1476=74),"④一般",IF(OR($AJ1476=41,$AJ1476=47),"⑤短期","対象外"))))))</f>
        <v/>
      </c>
    </row>
    <row r="1477" customFormat="false" ht="15" hidden="false" customHeight="false" outlineLevel="0" collapsed="false">
      <c r="DB1477" s="0" t="str">
        <f aca="false">IF($A1477="","",IF($AE1477&amp;""&lt;&gt;設定!$C$4,"対象外",IF($AH1477=20,IF(OR($AJ1477=10,$AJ1477=11,$AJ1477=18),"①病院一般",IF($AJ1477=41,"②病院短期","対象外")),IF($AH1477=5,IF($AJ1477=30,"③特定消防","対象外"),IF(OR($AJ1477=10,$AJ1477=11,$AJ1477=74),"④一般",IF(OR($AJ1477=41,$AJ1477=47),"⑤短期","対象外"))))))</f>
        <v/>
      </c>
    </row>
    <row r="1478" customFormat="false" ht="15" hidden="false" customHeight="false" outlineLevel="0" collapsed="false">
      <c r="DB1478" s="0" t="str">
        <f aca="false">IF($A1478="","",IF($AE1478&amp;""&lt;&gt;設定!$C$4,"対象外",IF($AH1478=20,IF(OR($AJ1478=10,$AJ1478=11,$AJ1478=18),"①病院一般",IF($AJ1478=41,"②病院短期","対象外")),IF($AH1478=5,IF($AJ1478=30,"③特定消防","対象外"),IF(OR($AJ1478=10,$AJ1478=11,$AJ1478=74),"④一般",IF(OR($AJ1478=41,$AJ1478=47),"⑤短期","対象外"))))))</f>
        <v/>
      </c>
    </row>
    <row r="1479" customFormat="false" ht="15" hidden="false" customHeight="false" outlineLevel="0" collapsed="false">
      <c r="DB1479" s="0" t="str">
        <f aca="false">IF($A1479="","",IF($AE1479&amp;""&lt;&gt;設定!$C$4,"対象外",IF($AH1479=20,IF(OR($AJ1479=10,$AJ1479=11,$AJ1479=18),"①病院一般",IF($AJ1479=41,"②病院短期","対象外")),IF($AH1479=5,IF($AJ1479=30,"③特定消防","対象外"),IF(OR($AJ1479=10,$AJ1479=11,$AJ1479=74),"④一般",IF(OR($AJ1479=41,$AJ1479=47),"⑤短期","対象外"))))))</f>
        <v/>
      </c>
    </row>
    <row r="1480" customFormat="false" ht="15" hidden="false" customHeight="false" outlineLevel="0" collapsed="false">
      <c r="DB1480" s="0" t="str">
        <f aca="false">IF($A1480="","",IF($AE1480&amp;""&lt;&gt;設定!$C$4,"対象外",IF($AH1480=20,IF(OR($AJ1480=10,$AJ1480=11,$AJ1480=18),"①病院一般",IF($AJ1480=41,"②病院短期","対象外")),IF($AH1480=5,IF($AJ1480=30,"③特定消防","対象外"),IF(OR($AJ1480=10,$AJ1480=11,$AJ1480=74),"④一般",IF(OR($AJ1480=41,$AJ1480=47),"⑤短期","対象外"))))))</f>
        <v/>
      </c>
    </row>
    <row r="1481" customFormat="false" ht="15" hidden="false" customHeight="false" outlineLevel="0" collapsed="false">
      <c r="DB1481" s="0" t="str">
        <f aca="false">IF($A1481="","",IF($AE1481&amp;""&lt;&gt;設定!$C$4,"対象外",IF($AH1481=20,IF(OR($AJ1481=10,$AJ1481=11,$AJ1481=18),"①病院一般",IF($AJ1481=41,"②病院短期","対象外")),IF($AH1481=5,IF($AJ1481=30,"③特定消防","対象外"),IF(OR($AJ1481=10,$AJ1481=11,$AJ1481=74),"④一般",IF(OR($AJ1481=41,$AJ1481=47),"⑤短期","対象外"))))))</f>
        <v/>
      </c>
    </row>
    <row r="1482" customFormat="false" ht="15" hidden="false" customHeight="false" outlineLevel="0" collapsed="false">
      <c r="DB1482" s="0" t="str">
        <f aca="false">IF($A1482="","",IF($AE1482&amp;""&lt;&gt;設定!$C$4,"対象外",IF($AH1482=20,IF(OR($AJ1482=10,$AJ1482=11,$AJ1482=18),"①病院一般",IF($AJ1482=41,"②病院短期","対象外")),IF($AH1482=5,IF($AJ1482=30,"③特定消防","対象外"),IF(OR($AJ1482=10,$AJ1482=11,$AJ1482=74),"④一般",IF(OR($AJ1482=41,$AJ1482=47),"⑤短期","対象外"))))))</f>
        <v/>
      </c>
    </row>
    <row r="1483" customFormat="false" ht="15" hidden="false" customHeight="false" outlineLevel="0" collapsed="false">
      <c r="DB1483" s="0" t="str">
        <f aca="false">IF($A1483="","",IF($AE1483&amp;""&lt;&gt;設定!$C$4,"対象外",IF($AH1483=20,IF(OR($AJ1483=10,$AJ1483=11,$AJ1483=18),"①病院一般",IF($AJ1483=41,"②病院短期","対象外")),IF($AH1483=5,IF($AJ1483=30,"③特定消防","対象外"),IF(OR($AJ1483=10,$AJ1483=11,$AJ1483=74),"④一般",IF(OR($AJ1483=41,$AJ1483=47),"⑤短期","対象外"))))))</f>
        <v/>
      </c>
    </row>
    <row r="1484" customFormat="false" ht="15" hidden="false" customHeight="false" outlineLevel="0" collapsed="false">
      <c r="DB1484" s="0" t="str">
        <f aca="false">IF($A1484="","",IF($AE1484&amp;""&lt;&gt;設定!$C$4,"対象外",IF($AH1484=20,IF(OR($AJ1484=10,$AJ1484=11,$AJ1484=18),"①病院一般",IF($AJ1484=41,"②病院短期","対象外")),IF($AH1484=5,IF($AJ1484=30,"③特定消防","対象外"),IF(OR($AJ1484=10,$AJ1484=11,$AJ1484=74),"④一般",IF(OR($AJ1484=41,$AJ1484=47),"⑤短期","対象外"))))))</f>
        <v/>
      </c>
    </row>
    <row r="1485" customFormat="false" ht="15" hidden="false" customHeight="false" outlineLevel="0" collapsed="false">
      <c r="DB1485" s="0" t="str">
        <f aca="false">IF($A1485="","",IF($AE1485&amp;""&lt;&gt;設定!$C$4,"対象外",IF($AH1485=20,IF(OR($AJ1485=10,$AJ1485=11,$AJ1485=18),"①病院一般",IF($AJ1485=41,"②病院短期","対象外")),IF($AH1485=5,IF($AJ1485=30,"③特定消防","対象外"),IF(OR($AJ1485=10,$AJ1485=11,$AJ1485=74),"④一般",IF(OR($AJ1485=41,$AJ1485=47),"⑤短期","対象外"))))))</f>
        <v/>
      </c>
    </row>
    <row r="1486" customFormat="false" ht="15" hidden="false" customHeight="false" outlineLevel="0" collapsed="false">
      <c r="DB1486" s="0" t="str">
        <f aca="false">IF($A1486="","",IF($AE1486&amp;""&lt;&gt;設定!$C$4,"対象外",IF($AH1486=20,IF(OR($AJ1486=10,$AJ1486=11,$AJ1486=18),"①病院一般",IF($AJ1486=41,"②病院短期","対象外")),IF($AH1486=5,IF($AJ1486=30,"③特定消防","対象外"),IF(OR($AJ1486=10,$AJ1486=11,$AJ1486=74),"④一般",IF(OR($AJ1486=41,$AJ1486=47),"⑤短期","対象外"))))))</f>
        <v/>
      </c>
    </row>
    <row r="1487" customFormat="false" ht="15" hidden="false" customHeight="false" outlineLevel="0" collapsed="false">
      <c r="DB1487" s="0" t="str">
        <f aca="false">IF($A1487="","",IF($AE1487&amp;""&lt;&gt;設定!$C$4,"対象外",IF($AH1487=20,IF(OR($AJ1487=10,$AJ1487=11,$AJ1487=18),"①病院一般",IF($AJ1487=41,"②病院短期","対象外")),IF($AH1487=5,IF($AJ1487=30,"③特定消防","対象外"),IF(OR($AJ1487=10,$AJ1487=11,$AJ1487=74),"④一般",IF(OR($AJ1487=41,$AJ1487=47),"⑤短期","対象外"))))))</f>
        <v/>
      </c>
    </row>
    <row r="1488" customFormat="false" ht="15" hidden="false" customHeight="false" outlineLevel="0" collapsed="false">
      <c r="DB1488" s="0" t="str">
        <f aca="false">IF($A1488="","",IF($AE1488&amp;""&lt;&gt;設定!$C$4,"対象外",IF($AH1488=20,IF(OR($AJ1488=10,$AJ1488=11,$AJ1488=18),"①病院一般",IF($AJ1488=41,"②病院短期","対象外")),IF($AH1488=5,IF($AJ1488=30,"③特定消防","対象外"),IF(OR($AJ1488=10,$AJ1488=11,$AJ1488=74),"④一般",IF(OR($AJ1488=41,$AJ1488=47),"⑤短期","対象外"))))))</f>
        <v/>
      </c>
    </row>
    <row r="1489" customFormat="false" ht="15" hidden="false" customHeight="false" outlineLevel="0" collapsed="false">
      <c r="DB1489" s="0" t="str">
        <f aca="false">IF($A1489="","",IF($AE1489&amp;""&lt;&gt;設定!$C$4,"対象外",IF($AH1489=20,IF(OR($AJ1489=10,$AJ1489=11,$AJ1489=18),"①病院一般",IF($AJ1489=41,"②病院短期","対象外")),IF($AH1489=5,IF($AJ1489=30,"③特定消防","対象外"),IF(OR($AJ1489=10,$AJ1489=11,$AJ1489=74),"④一般",IF(OR($AJ1489=41,$AJ1489=47),"⑤短期","対象外"))))))</f>
        <v/>
      </c>
    </row>
    <row r="1490" customFormat="false" ht="15" hidden="false" customHeight="false" outlineLevel="0" collapsed="false">
      <c r="DB1490" s="0" t="str">
        <f aca="false">IF($A1490="","",IF($AE1490&amp;""&lt;&gt;設定!$C$4,"対象外",IF($AH1490=20,IF(OR($AJ1490=10,$AJ1490=11,$AJ1490=18),"①病院一般",IF($AJ1490=41,"②病院短期","対象外")),IF($AH1490=5,IF($AJ1490=30,"③特定消防","対象外"),IF(OR($AJ1490=10,$AJ1490=11,$AJ1490=74),"④一般",IF(OR($AJ1490=41,$AJ1490=47),"⑤短期","対象外"))))))</f>
        <v/>
      </c>
    </row>
    <row r="1491" customFormat="false" ht="15" hidden="false" customHeight="false" outlineLevel="0" collapsed="false">
      <c r="DB1491" s="0" t="str">
        <f aca="false">IF($A1491="","",IF($AE1491&amp;""&lt;&gt;設定!$C$4,"対象外",IF($AH1491=20,IF(OR($AJ1491=10,$AJ1491=11,$AJ1491=18),"①病院一般",IF($AJ1491=41,"②病院短期","対象外")),IF($AH1491=5,IF($AJ1491=30,"③特定消防","対象外"),IF(OR($AJ1491=10,$AJ1491=11,$AJ1491=74),"④一般",IF(OR($AJ1491=41,$AJ1491=47),"⑤短期","対象外"))))))</f>
        <v/>
      </c>
    </row>
    <row r="1492" customFormat="false" ht="15" hidden="false" customHeight="false" outlineLevel="0" collapsed="false">
      <c r="DB1492" s="0" t="str">
        <f aca="false">IF($A1492="","",IF($AE1492&amp;""&lt;&gt;設定!$C$4,"対象外",IF($AH1492=20,IF(OR($AJ1492=10,$AJ1492=11,$AJ1492=18),"①病院一般",IF($AJ1492=41,"②病院短期","対象外")),IF($AH1492=5,IF($AJ1492=30,"③特定消防","対象外"),IF(OR($AJ1492=10,$AJ1492=11,$AJ1492=74),"④一般",IF(OR($AJ1492=41,$AJ1492=47),"⑤短期","対象外"))))))</f>
        <v/>
      </c>
    </row>
    <row r="1493" customFormat="false" ht="15" hidden="false" customHeight="false" outlineLevel="0" collapsed="false">
      <c r="DB1493" s="0" t="str">
        <f aca="false">IF($A1493="","",IF($AE1493&amp;""&lt;&gt;設定!$C$4,"対象外",IF($AH1493=20,IF(OR($AJ1493=10,$AJ1493=11,$AJ1493=18),"①病院一般",IF($AJ1493=41,"②病院短期","対象外")),IF($AH1493=5,IF($AJ1493=30,"③特定消防","対象外"),IF(OR($AJ1493=10,$AJ1493=11,$AJ1493=74),"④一般",IF(OR($AJ1493=41,$AJ1493=47),"⑤短期","対象外"))))))</f>
        <v/>
      </c>
    </row>
    <row r="1494" customFormat="false" ht="15" hidden="false" customHeight="false" outlineLevel="0" collapsed="false">
      <c r="DB1494" s="0" t="str">
        <f aca="false">IF($A1494="","",IF($AE1494&amp;""&lt;&gt;設定!$C$4,"対象外",IF($AH1494=20,IF(OR($AJ1494=10,$AJ1494=11,$AJ1494=18),"①病院一般",IF($AJ1494=41,"②病院短期","対象外")),IF($AH1494=5,IF($AJ1494=30,"③特定消防","対象外"),IF(OR($AJ1494=10,$AJ1494=11,$AJ1494=74),"④一般",IF(OR($AJ1494=41,$AJ1494=47),"⑤短期","対象外"))))))</f>
        <v/>
      </c>
    </row>
    <row r="1495" customFormat="false" ht="15" hidden="false" customHeight="false" outlineLevel="0" collapsed="false">
      <c r="DB1495" s="0" t="str">
        <f aca="false">IF($A1495="","",IF($AE1495&amp;""&lt;&gt;設定!$C$4,"対象外",IF($AH1495=20,IF(OR($AJ1495=10,$AJ1495=11,$AJ1495=18),"①病院一般",IF($AJ1495=41,"②病院短期","対象外")),IF($AH1495=5,IF($AJ1495=30,"③特定消防","対象外"),IF(OR($AJ1495=10,$AJ1495=11,$AJ1495=74),"④一般",IF(OR($AJ1495=41,$AJ1495=47),"⑤短期","対象外"))))))</f>
        <v/>
      </c>
    </row>
    <row r="1496" customFormat="false" ht="15" hidden="false" customHeight="false" outlineLevel="0" collapsed="false">
      <c r="DB1496" s="0" t="str">
        <f aca="false">IF($A1496="","",IF($AE1496&amp;""&lt;&gt;設定!$C$4,"対象外",IF($AH1496=20,IF(OR($AJ1496=10,$AJ1496=11,$AJ1496=18),"①病院一般",IF($AJ1496=41,"②病院短期","対象外")),IF($AH1496=5,IF($AJ1496=30,"③特定消防","対象外"),IF(OR($AJ1496=10,$AJ1496=11,$AJ1496=74),"④一般",IF(OR($AJ1496=41,$AJ1496=47),"⑤短期","対象外"))))))</f>
        <v/>
      </c>
    </row>
    <row r="1497" customFormat="false" ht="15" hidden="false" customHeight="false" outlineLevel="0" collapsed="false">
      <c r="DB1497" s="0" t="str">
        <f aca="false">IF($A1497="","",IF($AE1497&amp;""&lt;&gt;設定!$C$4,"対象外",IF($AH1497=20,IF(OR($AJ1497=10,$AJ1497=11,$AJ1497=18),"①病院一般",IF($AJ1497=41,"②病院短期","対象外")),IF($AH1497=5,IF($AJ1497=30,"③特定消防","対象外"),IF(OR($AJ1497=10,$AJ1497=11,$AJ1497=74),"④一般",IF(OR($AJ1497=41,$AJ1497=47),"⑤短期","対象外"))))))</f>
        <v/>
      </c>
    </row>
    <row r="1498" customFormat="false" ht="15" hidden="false" customHeight="false" outlineLevel="0" collapsed="false">
      <c r="DB1498" s="0" t="str">
        <f aca="false">IF($A1498="","",IF($AE1498&amp;""&lt;&gt;設定!$C$4,"対象外",IF($AH1498=20,IF(OR($AJ1498=10,$AJ1498=11,$AJ1498=18),"①病院一般",IF($AJ1498=41,"②病院短期","対象外")),IF($AH1498=5,IF($AJ1498=30,"③特定消防","対象外"),IF(OR($AJ1498=10,$AJ1498=11,$AJ1498=74),"④一般",IF(OR($AJ1498=41,$AJ1498=47),"⑤短期","対象外"))))))</f>
        <v/>
      </c>
    </row>
    <row r="1499" customFormat="false" ht="15" hidden="false" customHeight="false" outlineLevel="0" collapsed="false">
      <c r="DB1499" s="0" t="str">
        <f aca="false">IF($A1499="","",IF($AE1499&amp;""&lt;&gt;設定!$C$4,"対象外",IF($AH1499=20,IF(OR($AJ1499=10,$AJ1499=11,$AJ1499=18),"①病院一般",IF($AJ1499=41,"②病院短期","対象外")),IF($AH1499=5,IF($AJ1499=30,"③特定消防","対象外"),IF(OR($AJ1499=10,$AJ1499=11,$AJ1499=74),"④一般",IF(OR($AJ1499=41,$AJ1499=47),"⑤短期","対象外"))))))</f>
        <v/>
      </c>
    </row>
    <row r="1500" customFormat="false" ht="15" hidden="false" customHeight="false" outlineLevel="0" collapsed="false">
      <c r="DB1500" s="0" t="str">
        <f aca="false">IF($A1500="","",IF($AE1500&amp;""&lt;&gt;設定!$C$4,"対象外",IF($AH1500=20,IF(OR($AJ1500=10,$AJ1500=11,$AJ1500=18),"①病院一般",IF($AJ1500=41,"②病院短期","対象外")),IF($AH1500=5,IF($AJ1500=30,"③特定消防","対象外"),IF(OR($AJ1500=10,$AJ1500=11,$AJ1500=74),"④一般",IF(OR($AJ1500=41,$AJ1500=47),"⑤短期","対象外"))))))</f>
        <v/>
      </c>
    </row>
    <row r="1501" customFormat="false" ht="15" hidden="false" customHeight="false" outlineLevel="0" collapsed="false">
      <c r="DB1501" s="0" t="str">
        <f aca="false">IF($A1501="","",IF($AE1501&amp;""&lt;&gt;設定!$C$4,"対象外",IF($AH1501=20,IF(OR($AJ1501=10,$AJ1501=11,$AJ1501=18),"①病院一般",IF($AJ1501=41,"②病院短期","対象外")),IF($AH1501=5,IF($AJ1501=30,"③特定消防","対象外"),IF(OR($AJ1501=10,$AJ1501=11,$AJ1501=74),"④一般",IF(OR($AJ1501=41,$AJ1501=47),"⑤短期","対象外"))))))</f>
        <v/>
      </c>
    </row>
    <row r="1502" customFormat="false" ht="15" hidden="false" customHeight="false" outlineLevel="0" collapsed="false">
      <c r="DB1502" s="0" t="str">
        <f aca="false">IF($A1502="","",IF($AE1502&amp;""&lt;&gt;設定!$C$4,"対象外",IF($AH1502=20,IF(OR($AJ1502=10,$AJ1502=11,$AJ1502=18),"①病院一般",IF($AJ1502=41,"②病院短期","対象外")),IF($AH1502=5,IF($AJ1502=30,"③特定消防","対象外"),IF(OR($AJ1502=10,$AJ1502=11,$AJ1502=74),"④一般",IF(OR($AJ1502=41,$AJ1502=47),"⑤短期","対象外"))))))</f>
        <v/>
      </c>
    </row>
    <row r="1503" customFormat="false" ht="15" hidden="false" customHeight="false" outlineLevel="0" collapsed="false">
      <c r="DB1503" s="0" t="str">
        <f aca="false">IF($A1503="","",IF($AE1503&amp;""&lt;&gt;設定!$C$4,"対象外",IF($AH1503=20,IF(OR($AJ1503=10,$AJ1503=11,$AJ1503=18),"①病院一般",IF($AJ1503=41,"②病院短期","対象外")),IF($AH1503=5,IF($AJ1503=30,"③特定消防","対象外"),IF(OR($AJ1503=10,$AJ1503=11,$AJ1503=74),"④一般",IF(OR($AJ1503=41,$AJ1503=47),"⑤短期","対象外"))))))</f>
        <v/>
      </c>
    </row>
    <row r="1504" customFormat="false" ht="15" hidden="false" customHeight="false" outlineLevel="0" collapsed="false">
      <c r="DB1504" s="0" t="str">
        <f aca="false">IF($A1504="","",IF($AE1504&amp;""&lt;&gt;設定!$C$4,"対象外",IF($AH1504=20,IF(OR($AJ1504=10,$AJ1504=11,$AJ1504=18),"①病院一般",IF($AJ1504=41,"②病院短期","対象外")),IF($AH1504=5,IF($AJ1504=30,"③特定消防","対象外"),IF(OR($AJ1504=10,$AJ1504=11,$AJ1504=74),"④一般",IF(OR($AJ1504=41,$AJ1504=47),"⑤短期","対象外"))))))</f>
        <v/>
      </c>
    </row>
    <row r="1505" customFormat="false" ht="15" hidden="false" customHeight="false" outlineLevel="0" collapsed="false">
      <c r="DB1505" s="0" t="str">
        <f aca="false">IF($A1505="","",IF($AE1505&amp;""&lt;&gt;設定!$C$4,"対象外",IF($AH1505=20,IF(OR($AJ1505=10,$AJ1505=11,$AJ1505=18),"①病院一般",IF($AJ1505=41,"②病院短期","対象外")),IF($AH1505=5,IF($AJ1505=30,"③特定消防","対象外"),IF(OR($AJ1505=10,$AJ1505=11,$AJ1505=74),"④一般",IF(OR($AJ1505=41,$AJ1505=47),"⑤短期","対象外"))))))</f>
        <v/>
      </c>
    </row>
    <row r="1506" customFormat="false" ht="15" hidden="false" customHeight="false" outlineLevel="0" collapsed="false">
      <c r="DB1506" s="0" t="str">
        <f aca="false">IF($A1506="","",IF($AE1506&amp;""&lt;&gt;設定!$C$4,"対象外",IF($AH1506=20,IF(OR($AJ1506=10,$AJ1506=11,$AJ1506=18),"①病院一般",IF($AJ1506=41,"②病院短期","対象外")),IF($AH1506=5,IF($AJ1506=30,"③特定消防","対象外"),IF(OR($AJ1506=10,$AJ1506=11,$AJ1506=74),"④一般",IF(OR($AJ1506=41,$AJ1506=47),"⑤短期","対象外"))))))</f>
        <v/>
      </c>
    </row>
    <row r="1507" customFormat="false" ht="15" hidden="false" customHeight="false" outlineLevel="0" collapsed="false">
      <c r="DB1507" s="0" t="str">
        <f aca="false">IF($A1507="","",IF($AE1507&amp;""&lt;&gt;設定!$C$4,"対象外",IF($AH1507=20,IF(OR($AJ1507=10,$AJ1507=11,$AJ1507=18),"①病院一般",IF($AJ1507=41,"②病院短期","対象外")),IF($AH1507=5,IF($AJ1507=30,"③特定消防","対象外"),IF(OR($AJ1507=10,$AJ1507=11,$AJ1507=74),"④一般",IF(OR($AJ1507=41,$AJ1507=47),"⑤短期","対象外"))))))</f>
        <v/>
      </c>
    </row>
    <row r="1508" customFormat="false" ht="15" hidden="false" customHeight="false" outlineLevel="0" collapsed="false">
      <c r="DB1508" s="0" t="str">
        <f aca="false">IF($A1508="","",IF($AE1508&amp;""&lt;&gt;設定!$C$4,"対象外",IF($AH1508=20,IF(OR($AJ1508=10,$AJ1508=11,$AJ1508=18),"①病院一般",IF($AJ1508=41,"②病院短期","対象外")),IF($AH1508=5,IF($AJ1508=30,"③特定消防","対象外"),IF(OR($AJ1508=10,$AJ1508=11,$AJ1508=74),"④一般",IF(OR($AJ1508=41,$AJ1508=47),"⑤短期","対象外"))))))</f>
        <v/>
      </c>
    </row>
    <row r="1509" customFormat="false" ht="15" hidden="false" customHeight="false" outlineLevel="0" collapsed="false">
      <c r="DB1509" s="0" t="str">
        <f aca="false">IF($A1509="","",IF($AE1509&amp;""&lt;&gt;設定!$C$4,"対象外",IF($AH1509=20,IF(OR($AJ1509=10,$AJ1509=11,$AJ1509=18),"①病院一般",IF($AJ1509=41,"②病院短期","対象外")),IF($AH1509=5,IF($AJ1509=30,"③特定消防","対象外"),IF(OR($AJ1509=10,$AJ1509=11,$AJ1509=74),"④一般",IF(OR($AJ1509=41,$AJ1509=47),"⑤短期","対象外"))))))</f>
        <v/>
      </c>
    </row>
    <row r="1510" customFormat="false" ht="15" hidden="false" customHeight="false" outlineLevel="0" collapsed="false">
      <c r="DB1510" s="0" t="str">
        <f aca="false">IF($A1510="","",IF($AE1510&amp;""&lt;&gt;設定!$C$4,"対象外",IF($AH1510=20,IF(OR($AJ1510=10,$AJ1510=11,$AJ1510=18),"①病院一般",IF($AJ1510=41,"②病院短期","対象外")),IF($AH1510=5,IF($AJ1510=30,"③特定消防","対象外"),IF(OR($AJ1510=10,$AJ1510=11,$AJ1510=74),"④一般",IF(OR($AJ1510=41,$AJ1510=47),"⑤短期","対象外"))))))</f>
        <v/>
      </c>
    </row>
    <row r="1511" customFormat="false" ht="15" hidden="false" customHeight="false" outlineLevel="0" collapsed="false">
      <c r="DB1511" s="0" t="str">
        <f aca="false">IF($A1511="","",IF($AE1511&amp;""&lt;&gt;設定!$C$4,"対象外",IF($AH1511=20,IF(OR($AJ1511=10,$AJ1511=11,$AJ1511=18),"①病院一般",IF($AJ1511=41,"②病院短期","対象外")),IF($AH1511=5,IF($AJ1511=30,"③特定消防","対象外"),IF(OR($AJ1511=10,$AJ1511=11,$AJ1511=74),"④一般",IF(OR($AJ1511=41,$AJ1511=47),"⑤短期","対象外"))))))</f>
        <v/>
      </c>
    </row>
    <row r="1512" customFormat="false" ht="15" hidden="false" customHeight="false" outlineLevel="0" collapsed="false">
      <c r="DB1512" s="0" t="str">
        <f aca="false">IF($A1512="","",IF($AE1512&amp;""&lt;&gt;設定!$C$4,"対象外",IF($AH1512=20,IF(OR($AJ1512=10,$AJ1512=11,$AJ1512=18),"①病院一般",IF($AJ1512=41,"②病院短期","対象外")),IF($AH1512=5,IF($AJ1512=30,"③特定消防","対象外"),IF(OR($AJ1512=10,$AJ1512=11,$AJ1512=74),"④一般",IF(OR($AJ1512=41,$AJ1512=47),"⑤短期","対象外"))))))</f>
        <v/>
      </c>
    </row>
    <row r="1513" customFormat="false" ht="15" hidden="false" customHeight="false" outlineLevel="0" collapsed="false">
      <c r="DB1513" s="0" t="str">
        <f aca="false">IF($A1513="","",IF($AE1513&amp;""&lt;&gt;設定!$C$4,"対象外",IF($AH1513=20,IF(OR($AJ1513=10,$AJ1513=11,$AJ1513=18),"①病院一般",IF($AJ1513=41,"②病院短期","対象外")),IF($AH1513=5,IF($AJ1513=30,"③特定消防","対象外"),IF(OR($AJ1513=10,$AJ1513=11,$AJ1513=74),"④一般",IF(OR($AJ1513=41,$AJ1513=47),"⑤短期","対象外"))))))</f>
        <v/>
      </c>
    </row>
    <row r="1514" customFormat="false" ht="15" hidden="false" customHeight="false" outlineLevel="0" collapsed="false">
      <c r="DB1514" s="0" t="str">
        <f aca="false">IF($A1514="","",IF($AE1514&amp;""&lt;&gt;設定!$C$4,"対象外",IF($AH1514=20,IF(OR($AJ1514=10,$AJ1514=11,$AJ1514=18),"①病院一般",IF($AJ1514=41,"②病院短期","対象外")),IF($AH1514=5,IF($AJ1514=30,"③特定消防","対象外"),IF(OR($AJ1514=10,$AJ1514=11,$AJ1514=74),"④一般",IF(OR($AJ1514=41,$AJ1514=47),"⑤短期","対象外"))))))</f>
        <v/>
      </c>
    </row>
    <row r="1515" customFormat="false" ht="15" hidden="false" customHeight="false" outlineLevel="0" collapsed="false">
      <c r="DB1515" s="0" t="str">
        <f aca="false">IF($A1515="","",IF($AE1515&amp;""&lt;&gt;設定!$C$4,"対象外",IF($AH1515=20,IF(OR($AJ1515=10,$AJ1515=11,$AJ1515=18),"①病院一般",IF($AJ1515=41,"②病院短期","対象外")),IF($AH1515=5,IF($AJ1515=30,"③特定消防","対象外"),IF(OR($AJ1515=10,$AJ1515=11,$AJ1515=74),"④一般",IF(OR($AJ1515=41,$AJ1515=47),"⑤短期","対象外"))))))</f>
        <v/>
      </c>
    </row>
    <row r="1516" customFormat="false" ht="15" hidden="false" customHeight="false" outlineLevel="0" collapsed="false">
      <c r="DB1516" s="0" t="str">
        <f aca="false">IF($A1516="","",IF($AE1516&amp;""&lt;&gt;設定!$C$4,"対象外",IF($AH1516=20,IF(OR($AJ1516=10,$AJ1516=11,$AJ1516=18),"①病院一般",IF($AJ1516=41,"②病院短期","対象外")),IF($AH1516=5,IF($AJ1516=30,"③特定消防","対象外"),IF(OR($AJ1516=10,$AJ1516=11,$AJ1516=74),"④一般",IF(OR($AJ1516=41,$AJ1516=47),"⑤短期","対象外"))))))</f>
        <v/>
      </c>
    </row>
    <row r="1517" customFormat="false" ht="15" hidden="false" customHeight="false" outlineLevel="0" collapsed="false">
      <c r="DB1517" s="0" t="str">
        <f aca="false">IF($A1517="","",IF($AE1517&amp;""&lt;&gt;設定!$C$4,"対象外",IF($AH1517=20,IF(OR($AJ1517=10,$AJ1517=11,$AJ1517=18),"①病院一般",IF($AJ1517=41,"②病院短期","対象外")),IF($AH1517=5,IF($AJ1517=30,"③特定消防","対象外"),IF(OR($AJ1517=10,$AJ1517=11,$AJ1517=74),"④一般",IF(OR($AJ1517=41,$AJ1517=47),"⑤短期","対象外"))))))</f>
        <v/>
      </c>
    </row>
    <row r="1518" customFormat="false" ht="15" hidden="false" customHeight="false" outlineLevel="0" collapsed="false">
      <c r="DB1518" s="0" t="str">
        <f aca="false">IF($A1518="","",IF($AE1518&amp;""&lt;&gt;設定!$C$4,"対象外",IF($AH1518=20,IF(OR($AJ1518=10,$AJ1518=11,$AJ1518=18),"①病院一般",IF($AJ1518=41,"②病院短期","対象外")),IF($AH1518=5,IF($AJ1518=30,"③特定消防","対象外"),IF(OR($AJ1518=10,$AJ1518=11,$AJ1518=74),"④一般",IF(OR($AJ1518=41,$AJ1518=47),"⑤短期","対象外"))))))</f>
        <v/>
      </c>
    </row>
    <row r="1519" customFormat="false" ht="15" hidden="false" customHeight="false" outlineLevel="0" collapsed="false">
      <c r="DB1519" s="0" t="str">
        <f aca="false">IF($A1519="","",IF($AE1519&amp;""&lt;&gt;設定!$C$4,"対象外",IF($AH1519=20,IF(OR($AJ1519=10,$AJ1519=11,$AJ1519=18),"①病院一般",IF($AJ1519=41,"②病院短期","対象外")),IF($AH1519=5,IF($AJ1519=30,"③特定消防","対象外"),IF(OR($AJ1519=10,$AJ1519=11,$AJ1519=74),"④一般",IF(OR($AJ1519=41,$AJ1519=47),"⑤短期","対象外"))))))</f>
        <v/>
      </c>
    </row>
    <row r="1520" customFormat="false" ht="15" hidden="false" customHeight="false" outlineLevel="0" collapsed="false">
      <c r="DB1520" s="0" t="str">
        <f aca="false">IF($A1520="","",IF($AE1520&amp;""&lt;&gt;設定!$C$4,"対象外",IF($AH1520=20,IF(OR($AJ1520=10,$AJ1520=11,$AJ1520=18),"①病院一般",IF($AJ1520=41,"②病院短期","対象外")),IF($AH1520=5,IF($AJ1520=30,"③特定消防","対象外"),IF(OR($AJ1520=10,$AJ1520=11,$AJ1520=74),"④一般",IF(OR($AJ1520=41,$AJ1520=47),"⑤短期","対象外"))))))</f>
        <v/>
      </c>
    </row>
    <row r="1521" customFormat="false" ht="15" hidden="false" customHeight="false" outlineLevel="0" collapsed="false">
      <c r="DB1521" s="0" t="str">
        <f aca="false">IF($A1521="","",IF($AE1521&amp;""&lt;&gt;設定!$C$4,"対象外",IF($AH1521=20,IF(OR($AJ1521=10,$AJ1521=11,$AJ1521=18),"①病院一般",IF($AJ1521=41,"②病院短期","対象外")),IF($AH1521=5,IF($AJ1521=30,"③特定消防","対象外"),IF(OR($AJ1521=10,$AJ1521=11,$AJ1521=74),"④一般",IF(OR($AJ1521=41,$AJ1521=47),"⑤短期","対象外"))))))</f>
        <v/>
      </c>
    </row>
    <row r="1522" customFormat="false" ht="15" hidden="false" customHeight="false" outlineLevel="0" collapsed="false">
      <c r="DB1522" s="0" t="str">
        <f aca="false">IF($A1522="","",IF($AE1522&amp;""&lt;&gt;設定!$C$4,"対象外",IF($AH1522=20,IF(OR($AJ1522=10,$AJ1522=11,$AJ1522=18),"①病院一般",IF($AJ1522=41,"②病院短期","対象外")),IF($AH1522=5,IF($AJ1522=30,"③特定消防","対象外"),IF(OR($AJ1522=10,$AJ1522=11,$AJ1522=74),"④一般",IF(OR($AJ1522=41,$AJ1522=47),"⑤短期","対象外"))))))</f>
        <v/>
      </c>
    </row>
    <row r="1523" customFormat="false" ht="15" hidden="false" customHeight="false" outlineLevel="0" collapsed="false">
      <c r="DB1523" s="0" t="str">
        <f aca="false">IF($A1523="","",IF($AE1523&amp;""&lt;&gt;設定!$C$4,"対象外",IF($AH1523=20,IF(OR($AJ1523=10,$AJ1523=11,$AJ1523=18),"①病院一般",IF($AJ1523=41,"②病院短期","対象外")),IF($AH1523=5,IF($AJ1523=30,"③特定消防","対象外"),IF(OR($AJ1523=10,$AJ1523=11,$AJ1523=74),"④一般",IF(OR($AJ1523=41,$AJ1523=47),"⑤短期","対象外"))))))</f>
        <v/>
      </c>
    </row>
    <row r="1524" customFormat="false" ht="15" hidden="false" customHeight="false" outlineLevel="0" collapsed="false">
      <c r="DB1524" s="0" t="str">
        <f aca="false">IF($A1524="","",IF($AE1524&amp;""&lt;&gt;設定!$C$4,"対象外",IF($AH1524=20,IF(OR($AJ1524=10,$AJ1524=11,$AJ1524=18),"①病院一般",IF($AJ1524=41,"②病院短期","対象外")),IF($AH1524=5,IF($AJ1524=30,"③特定消防","対象外"),IF(OR($AJ1524=10,$AJ1524=11,$AJ1524=74),"④一般",IF(OR($AJ1524=41,$AJ1524=47),"⑤短期","対象外"))))))</f>
        <v/>
      </c>
    </row>
    <row r="1525" customFormat="false" ht="15" hidden="false" customHeight="false" outlineLevel="0" collapsed="false">
      <c r="DB1525" s="0" t="str">
        <f aca="false">IF($A1525="","",IF($AE1525&amp;""&lt;&gt;設定!$C$4,"対象外",IF($AH1525=20,IF(OR($AJ1525=10,$AJ1525=11,$AJ1525=18),"①病院一般",IF($AJ1525=41,"②病院短期","対象外")),IF($AH1525=5,IF($AJ1525=30,"③特定消防","対象外"),IF(OR($AJ1525=10,$AJ1525=11,$AJ1525=74),"④一般",IF(OR($AJ1525=41,$AJ1525=47),"⑤短期","対象外"))))))</f>
        <v/>
      </c>
    </row>
    <row r="1526" customFormat="false" ht="15" hidden="false" customHeight="false" outlineLevel="0" collapsed="false">
      <c r="DB1526" s="0" t="str">
        <f aca="false">IF($A1526="","",IF($AE1526&amp;""&lt;&gt;設定!$C$4,"対象外",IF($AH1526=20,IF(OR($AJ1526=10,$AJ1526=11,$AJ1526=18),"①病院一般",IF($AJ1526=41,"②病院短期","対象外")),IF($AH1526=5,IF($AJ1526=30,"③特定消防","対象外"),IF(OR($AJ1526=10,$AJ1526=11,$AJ1526=74),"④一般",IF(OR($AJ1526=41,$AJ1526=47),"⑤短期","対象外"))))))</f>
        <v/>
      </c>
    </row>
    <row r="1527" customFormat="false" ht="15" hidden="false" customHeight="false" outlineLevel="0" collapsed="false">
      <c r="DB1527" s="0" t="str">
        <f aca="false">IF($A1527="","",IF($AE1527&amp;""&lt;&gt;設定!$C$4,"対象外",IF($AH1527=20,IF(OR($AJ1527=10,$AJ1527=11,$AJ1527=18),"①病院一般",IF($AJ1527=41,"②病院短期","対象外")),IF($AH1527=5,IF($AJ1527=30,"③特定消防","対象外"),IF(OR($AJ1527=10,$AJ1527=11,$AJ1527=74),"④一般",IF(OR($AJ1527=41,$AJ1527=47),"⑤短期","対象外"))))))</f>
        <v/>
      </c>
    </row>
    <row r="1528" customFormat="false" ht="15" hidden="false" customHeight="false" outlineLevel="0" collapsed="false">
      <c r="DB1528" s="0" t="str">
        <f aca="false">IF($A1528="","",IF($AE1528&amp;""&lt;&gt;設定!$C$4,"対象外",IF($AH1528=20,IF(OR($AJ1528=10,$AJ1528=11,$AJ1528=18),"①病院一般",IF($AJ1528=41,"②病院短期","対象外")),IF($AH1528=5,IF($AJ1528=30,"③特定消防","対象外"),IF(OR($AJ1528=10,$AJ1528=11,$AJ1528=74),"④一般",IF(OR($AJ1528=41,$AJ1528=47),"⑤短期","対象外"))))))</f>
        <v/>
      </c>
    </row>
    <row r="1529" customFormat="false" ht="15" hidden="false" customHeight="false" outlineLevel="0" collapsed="false">
      <c r="DB1529" s="0" t="str">
        <f aca="false">IF($A1529="","",IF($AE1529&amp;""&lt;&gt;設定!$C$4,"対象外",IF($AH1529=20,IF(OR($AJ1529=10,$AJ1529=11,$AJ1529=18),"①病院一般",IF($AJ1529=41,"②病院短期","対象外")),IF($AH1529=5,IF($AJ1529=30,"③特定消防","対象外"),IF(OR($AJ1529=10,$AJ1529=11,$AJ1529=74),"④一般",IF(OR($AJ1529=41,$AJ1529=47),"⑤短期","対象外"))))))</f>
        <v/>
      </c>
    </row>
    <row r="1530" customFormat="false" ht="15" hidden="false" customHeight="false" outlineLevel="0" collapsed="false">
      <c r="DB1530" s="0" t="str">
        <f aca="false">IF($A1530="","",IF($AE1530&amp;""&lt;&gt;設定!$C$4,"対象外",IF($AH1530=20,IF(OR($AJ1530=10,$AJ1530=11,$AJ1530=18),"①病院一般",IF($AJ1530=41,"②病院短期","対象外")),IF($AH1530=5,IF($AJ1530=30,"③特定消防","対象外"),IF(OR($AJ1530=10,$AJ1530=11,$AJ1530=74),"④一般",IF(OR($AJ1530=41,$AJ1530=47),"⑤短期","対象外"))))))</f>
        <v/>
      </c>
    </row>
    <row r="1531" customFormat="false" ht="15" hidden="false" customHeight="false" outlineLevel="0" collapsed="false">
      <c r="DB1531" s="0" t="str">
        <f aca="false">IF($A1531="","",IF($AE1531&amp;""&lt;&gt;設定!$C$4,"対象外",IF($AH1531=20,IF(OR($AJ1531=10,$AJ1531=11,$AJ1531=18),"①病院一般",IF($AJ1531=41,"②病院短期","対象外")),IF($AH1531=5,IF($AJ1531=30,"③特定消防","対象外"),IF(OR($AJ1531=10,$AJ1531=11,$AJ1531=74),"④一般",IF(OR($AJ1531=41,$AJ1531=47),"⑤短期","対象外"))))))</f>
        <v/>
      </c>
    </row>
    <row r="1532" customFormat="false" ht="15" hidden="false" customHeight="false" outlineLevel="0" collapsed="false">
      <c r="DB1532" s="0" t="str">
        <f aca="false">IF($A1532="","",IF($AE1532&amp;""&lt;&gt;設定!$C$4,"対象外",IF($AH1532=20,IF(OR($AJ1532=10,$AJ1532=11,$AJ1532=18),"①病院一般",IF($AJ1532=41,"②病院短期","対象外")),IF($AH1532=5,IF($AJ1532=30,"③特定消防","対象外"),IF(OR($AJ1532=10,$AJ1532=11,$AJ1532=74),"④一般",IF(OR($AJ1532=41,$AJ1532=47),"⑤短期","対象外"))))))</f>
        <v/>
      </c>
    </row>
    <row r="1533" customFormat="false" ht="15" hidden="false" customHeight="false" outlineLevel="0" collapsed="false">
      <c r="DB1533" s="0" t="str">
        <f aca="false">IF($A1533="","",IF($AE1533&amp;""&lt;&gt;設定!$C$4,"対象外",IF($AH1533=20,IF(OR($AJ1533=10,$AJ1533=11,$AJ1533=18),"①病院一般",IF($AJ1533=41,"②病院短期","対象外")),IF($AH1533=5,IF($AJ1533=30,"③特定消防","対象外"),IF(OR($AJ1533=10,$AJ1533=11,$AJ1533=74),"④一般",IF(OR($AJ1533=41,$AJ1533=47),"⑤短期","対象外"))))))</f>
        <v/>
      </c>
    </row>
    <row r="1534" customFormat="false" ht="15" hidden="false" customHeight="false" outlineLevel="0" collapsed="false">
      <c r="DB1534" s="0" t="str">
        <f aca="false">IF($A1534="","",IF($AE1534&amp;""&lt;&gt;設定!$C$4,"対象外",IF($AH1534=20,IF(OR($AJ1534=10,$AJ1534=11,$AJ1534=18),"①病院一般",IF($AJ1534=41,"②病院短期","対象外")),IF($AH1534=5,IF($AJ1534=30,"③特定消防","対象外"),IF(OR($AJ1534=10,$AJ1534=11,$AJ1534=74),"④一般",IF(OR($AJ1534=41,$AJ1534=47),"⑤短期","対象外"))))))</f>
        <v/>
      </c>
    </row>
    <row r="1535" customFormat="false" ht="15" hidden="false" customHeight="false" outlineLevel="0" collapsed="false">
      <c r="DB1535" s="0" t="str">
        <f aca="false">IF($A1535="","",IF($AE1535&amp;""&lt;&gt;設定!$C$4,"対象外",IF($AH1535=20,IF(OR($AJ1535=10,$AJ1535=11,$AJ1535=18),"①病院一般",IF($AJ1535=41,"②病院短期","対象外")),IF($AH1535=5,IF($AJ1535=30,"③特定消防","対象外"),IF(OR($AJ1535=10,$AJ1535=11,$AJ1535=74),"④一般",IF(OR($AJ1535=41,$AJ1535=47),"⑤短期","対象外"))))))</f>
        <v/>
      </c>
    </row>
    <row r="1536" customFormat="false" ht="15" hidden="false" customHeight="false" outlineLevel="0" collapsed="false">
      <c r="DB1536" s="0" t="str">
        <f aca="false">IF($A1536="","",IF($AE1536&amp;""&lt;&gt;設定!$C$4,"対象外",IF($AH1536=20,IF(OR($AJ1536=10,$AJ1536=11,$AJ1536=18),"①病院一般",IF($AJ1536=41,"②病院短期","対象外")),IF($AH1536=5,IF($AJ1536=30,"③特定消防","対象外"),IF(OR($AJ1536=10,$AJ1536=11,$AJ1536=74),"④一般",IF(OR($AJ1536=41,$AJ1536=47),"⑤短期","対象外"))))))</f>
        <v/>
      </c>
    </row>
    <row r="1537" customFormat="false" ht="15" hidden="false" customHeight="false" outlineLevel="0" collapsed="false">
      <c r="DB1537" s="0" t="str">
        <f aca="false">IF($A1537="","",IF($AE1537&amp;""&lt;&gt;設定!$C$4,"対象外",IF($AH1537=20,IF(OR($AJ1537=10,$AJ1537=11,$AJ1537=18),"①病院一般",IF($AJ1537=41,"②病院短期","対象外")),IF($AH1537=5,IF($AJ1537=30,"③特定消防","対象外"),IF(OR($AJ1537=10,$AJ1537=11,$AJ1537=74),"④一般",IF(OR($AJ1537=41,$AJ1537=47),"⑤短期","対象外"))))))</f>
        <v/>
      </c>
    </row>
    <row r="1538" customFormat="false" ht="15" hidden="false" customHeight="false" outlineLevel="0" collapsed="false">
      <c r="DB1538" s="0" t="str">
        <f aca="false">IF($A1538="","",IF($AE1538&amp;""&lt;&gt;設定!$C$4,"対象外",IF($AH1538=20,IF(OR($AJ1538=10,$AJ1538=11,$AJ1538=18),"①病院一般",IF($AJ1538=41,"②病院短期","対象外")),IF($AH1538=5,IF($AJ1538=30,"③特定消防","対象外"),IF(OR($AJ1538=10,$AJ1538=11,$AJ1538=74),"④一般",IF(OR($AJ1538=41,$AJ1538=47),"⑤短期","対象外"))))))</f>
        <v/>
      </c>
    </row>
    <row r="1539" customFormat="false" ht="15" hidden="false" customHeight="false" outlineLevel="0" collapsed="false">
      <c r="DB1539" s="0" t="str">
        <f aca="false">IF($A1539="","",IF($AE1539&amp;""&lt;&gt;設定!$C$4,"対象外",IF($AH1539=20,IF(OR($AJ1539=10,$AJ1539=11,$AJ1539=18),"①病院一般",IF($AJ1539=41,"②病院短期","対象外")),IF($AH1539=5,IF($AJ1539=30,"③特定消防","対象外"),IF(OR($AJ1539=10,$AJ1539=11,$AJ1539=74),"④一般",IF(OR($AJ1539=41,$AJ1539=47),"⑤短期","対象外"))))))</f>
        <v/>
      </c>
    </row>
    <row r="1540" customFormat="false" ht="15" hidden="false" customHeight="false" outlineLevel="0" collapsed="false">
      <c r="DB1540" s="0" t="str">
        <f aca="false">IF($A1540="","",IF($AE1540&amp;""&lt;&gt;設定!$C$4,"対象外",IF($AH1540=20,IF(OR($AJ1540=10,$AJ1540=11,$AJ1540=18),"①病院一般",IF($AJ1540=41,"②病院短期","対象外")),IF($AH1540=5,IF($AJ1540=30,"③特定消防","対象外"),IF(OR($AJ1540=10,$AJ1540=11,$AJ1540=74),"④一般",IF(OR($AJ1540=41,$AJ1540=47),"⑤短期","対象外"))))))</f>
        <v/>
      </c>
    </row>
    <row r="1541" customFormat="false" ht="15" hidden="false" customHeight="false" outlineLevel="0" collapsed="false">
      <c r="DB1541" s="0" t="str">
        <f aca="false">IF($A1541="","",IF($AE1541&amp;""&lt;&gt;設定!$C$4,"対象外",IF($AH1541=20,IF(OR($AJ1541=10,$AJ1541=11,$AJ1541=18),"①病院一般",IF($AJ1541=41,"②病院短期","対象外")),IF($AH1541=5,IF($AJ1541=30,"③特定消防","対象外"),IF(OR($AJ1541=10,$AJ1541=11,$AJ1541=74),"④一般",IF(OR($AJ1541=41,$AJ1541=47),"⑤短期","対象外"))))))</f>
        <v/>
      </c>
    </row>
    <row r="1542" customFormat="false" ht="15" hidden="false" customHeight="false" outlineLevel="0" collapsed="false">
      <c r="DB1542" s="0" t="str">
        <f aca="false">IF($A1542="","",IF($AE1542&amp;""&lt;&gt;設定!$C$4,"対象外",IF($AH1542=20,IF(OR($AJ1542=10,$AJ1542=11,$AJ1542=18),"①病院一般",IF($AJ1542=41,"②病院短期","対象外")),IF($AH1542=5,IF($AJ1542=30,"③特定消防","対象外"),IF(OR($AJ1542=10,$AJ1542=11,$AJ1542=74),"④一般",IF(OR($AJ1542=41,$AJ1542=47),"⑤短期","対象外"))))))</f>
        <v/>
      </c>
    </row>
    <row r="1543" customFormat="false" ht="15" hidden="false" customHeight="false" outlineLevel="0" collapsed="false">
      <c r="DB1543" s="0" t="str">
        <f aca="false">IF($A1543="","",IF($AE1543&amp;""&lt;&gt;設定!$C$4,"対象外",IF($AH1543=20,IF(OR($AJ1543=10,$AJ1543=11,$AJ1543=18),"①病院一般",IF($AJ1543=41,"②病院短期","対象外")),IF($AH1543=5,IF($AJ1543=30,"③特定消防","対象外"),IF(OR($AJ1543=10,$AJ1543=11,$AJ1543=74),"④一般",IF(OR($AJ1543=41,$AJ1543=47),"⑤短期","対象外"))))))</f>
        <v/>
      </c>
    </row>
    <row r="1544" customFormat="false" ht="15" hidden="false" customHeight="false" outlineLevel="0" collapsed="false">
      <c r="DB1544" s="0" t="str">
        <f aca="false">IF($A1544="","",IF($AE1544&amp;""&lt;&gt;設定!$C$4,"対象外",IF($AH1544=20,IF(OR($AJ1544=10,$AJ1544=11,$AJ1544=18),"①病院一般",IF($AJ1544=41,"②病院短期","対象外")),IF($AH1544=5,IF($AJ1544=30,"③特定消防","対象外"),IF(OR($AJ1544=10,$AJ1544=11,$AJ1544=74),"④一般",IF(OR($AJ1544=41,$AJ1544=47),"⑤短期","対象外"))))))</f>
        <v/>
      </c>
    </row>
    <row r="1545" customFormat="false" ht="15" hidden="false" customHeight="false" outlineLevel="0" collapsed="false">
      <c r="DB1545" s="0" t="str">
        <f aca="false">IF($A1545="","",IF($AE1545&amp;""&lt;&gt;設定!$C$4,"対象外",IF($AH1545=20,IF(OR($AJ1545=10,$AJ1545=11,$AJ1545=18),"①病院一般",IF($AJ1545=41,"②病院短期","対象外")),IF($AH1545=5,IF($AJ1545=30,"③特定消防","対象外"),IF(OR($AJ1545=10,$AJ1545=11,$AJ1545=74),"④一般",IF(OR($AJ1545=41,$AJ1545=47),"⑤短期","対象外"))))))</f>
        <v/>
      </c>
    </row>
    <row r="1546" customFormat="false" ht="15" hidden="false" customHeight="false" outlineLevel="0" collapsed="false">
      <c r="DB1546" s="0" t="str">
        <f aca="false">IF($A1546="","",IF($AE1546&amp;""&lt;&gt;設定!$C$4,"対象外",IF($AH1546=20,IF(OR($AJ1546=10,$AJ1546=11,$AJ1546=18),"①病院一般",IF($AJ1546=41,"②病院短期","対象外")),IF($AH1546=5,IF($AJ1546=30,"③特定消防","対象外"),IF(OR($AJ1546=10,$AJ1546=11,$AJ1546=74),"④一般",IF(OR($AJ1546=41,$AJ1546=47),"⑤短期","対象外"))))))</f>
        <v/>
      </c>
    </row>
    <row r="1547" customFormat="false" ht="15" hidden="false" customHeight="false" outlineLevel="0" collapsed="false">
      <c r="DB1547" s="0" t="str">
        <f aca="false">IF($A1547="","",IF($AE1547&amp;""&lt;&gt;設定!$C$4,"対象外",IF($AH1547=20,IF(OR($AJ1547=10,$AJ1547=11,$AJ1547=18),"①病院一般",IF($AJ1547=41,"②病院短期","対象外")),IF($AH1547=5,IF($AJ1547=30,"③特定消防","対象外"),IF(OR($AJ1547=10,$AJ1547=11,$AJ1547=74),"④一般",IF(OR($AJ1547=41,$AJ1547=47),"⑤短期","対象外"))))))</f>
        <v/>
      </c>
    </row>
    <row r="1548" customFormat="false" ht="15" hidden="false" customHeight="false" outlineLevel="0" collapsed="false">
      <c r="DB1548" s="0" t="str">
        <f aca="false">IF($A1548="","",IF($AE1548&amp;""&lt;&gt;設定!$C$4,"対象外",IF($AH1548=20,IF(OR($AJ1548=10,$AJ1548=11,$AJ1548=18),"①病院一般",IF($AJ1548=41,"②病院短期","対象外")),IF($AH1548=5,IF($AJ1548=30,"③特定消防","対象外"),IF(OR($AJ1548=10,$AJ1548=11,$AJ1548=74),"④一般",IF(OR($AJ1548=41,$AJ1548=47),"⑤短期","対象外"))))))</f>
        <v/>
      </c>
    </row>
    <row r="1549" customFormat="false" ht="15" hidden="false" customHeight="false" outlineLevel="0" collapsed="false">
      <c r="DB1549" s="0" t="str">
        <f aca="false">IF($A1549="","",IF($AE1549&amp;""&lt;&gt;設定!$C$4,"対象外",IF($AH1549=20,IF(OR($AJ1549=10,$AJ1549=11,$AJ1549=18),"①病院一般",IF($AJ1549=41,"②病院短期","対象外")),IF($AH1549=5,IF($AJ1549=30,"③特定消防","対象外"),IF(OR($AJ1549=10,$AJ1549=11,$AJ1549=74),"④一般",IF(OR($AJ1549=41,$AJ1549=47),"⑤短期","対象外"))))))</f>
        <v/>
      </c>
    </row>
    <row r="1550" customFormat="false" ht="15" hidden="false" customHeight="false" outlineLevel="0" collapsed="false">
      <c r="DB1550" s="0" t="str">
        <f aca="false">IF($A1550="","",IF($AE1550&amp;""&lt;&gt;設定!$C$4,"対象外",IF($AH1550=20,IF(OR($AJ1550=10,$AJ1550=11,$AJ1550=18),"①病院一般",IF($AJ1550=41,"②病院短期","対象外")),IF($AH1550=5,IF($AJ1550=30,"③特定消防","対象外"),IF(OR($AJ1550=10,$AJ1550=11,$AJ1550=74),"④一般",IF(OR($AJ1550=41,$AJ1550=47),"⑤短期","対象外"))))))</f>
        <v/>
      </c>
    </row>
    <row r="1551" customFormat="false" ht="15" hidden="false" customHeight="false" outlineLevel="0" collapsed="false">
      <c r="DB1551" s="0" t="str">
        <f aca="false">IF($A1551="","",IF($AE1551&amp;""&lt;&gt;設定!$C$4,"対象外",IF($AH1551=20,IF(OR($AJ1551=10,$AJ1551=11,$AJ1551=18),"①病院一般",IF($AJ1551=41,"②病院短期","対象外")),IF($AH1551=5,IF($AJ1551=30,"③特定消防","対象外"),IF(OR($AJ1551=10,$AJ1551=11,$AJ1551=74),"④一般",IF(OR($AJ1551=41,$AJ1551=47),"⑤短期","対象外"))))))</f>
        <v/>
      </c>
    </row>
    <row r="1552" customFormat="false" ht="15" hidden="false" customHeight="false" outlineLevel="0" collapsed="false">
      <c r="DB1552" s="0" t="str">
        <f aca="false">IF($A1552="","",IF($AE1552&amp;""&lt;&gt;設定!$C$4,"対象外",IF($AH1552=20,IF(OR($AJ1552=10,$AJ1552=11,$AJ1552=18),"①病院一般",IF($AJ1552=41,"②病院短期","対象外")),IF($AH1552=5,IF($AJ1552=30,"③特定消防","対象外"),IF(OR($AJ1552=10,$AJ1552=11,$AJ1552=74),"④一般",IF(OR($AJ1552=41,$AJ1552=47),"⑤短期","対象外"))))))</f>
        <v/>
      </c>
    </row>
    <row r="1553" customFormat="false" ht="15" hidden="false" customHeight="false" outlineLevel="0" collapsed="false">
      <c r="DB1553" s="0" t="str">
        <f aca="false">IF($A1553="","",IF($AE1553&amp;""&lt;&gt;設定!$C$4,"対象外",IF($AH1553=20,IF(OR($AJ1553=10,$AJ1553=11,$AJ1553=18),"①病院一般",IF($AJ1553=41,"②病院短期","対象外")),IF($AH1553=5,IF($AJ1553=30,"③特定消防","対象外"),IF(OR($AJ1553=10,$AJ1553=11,$AJ1553=74),"④一般",IF(OR($AJ1553=41,$AJ1553=47),"⑤短期","対象外"))))))</f>
        <v/>
      </c>
    </row>
    <row r="1554" customFormat="false" ht="15" hidden="false" customHeight="false" outlineLevel="0" collapsed="false">
      <c r="DB1554" s="0" t="str">
        <f aca="false">IF($A1554="","",IF($AE1554&amp;""&lt;&gt;設定!$C$4,"対象外",IF($AH1554=20,IF(OR($AJ1554=10,$AJ1554=11,$AJ1554=18),"①病院一般",IF($AJ1554=41,"②病院短期","対象外")),IF($AH1554=5,IF($AJ1554=30,"③特定消防","対象外"),IF(OR($AJ1554=10,$AJ1554=11,$AJ1554=74),"④一般",IF(OR($AJ1554=41,$AJ1554=47),"⑤短期","対象外"))))))</f>
        <v/>
      </c>
    </row>
    <row r="1555" customFormat="false" ht="15" hidden="false" customHeight="false" outlineLevel="0" collapsed="false">
      <c r="DB1555" s="0" t="str">
        <f aca="false">IF($A1555="","",IF($AE1555&amp;""&lt;&gt;設定!$C$4,"対象外",IF($AH1555=20,IF(OR($AJ1555=10,$AJ1555=11,$AJ1555=18),"①病院一般",IF($AJ1555=41,"②病院短期","対象外")),IF($AH1555=5,IF($AJ1555=30,"③特定消防","対象外"),IF(OR($AJ1555=10,$AJ1555=11,$AJ1555=74),"④一般",IF(OR($AJ1555=41,$AJ1555=47),"⑤短期","対象外"))))))</f>
        <v/>
      </c>
    </row>
    <row r="1556" customFormat="false" ht="15" hidden="false" customHeight="false" outlineLevel="0" collapsed="false">
      <c r="DB1556" s="0" t="str">
        <f aca="false">IF($A1556="","",IF($AE1556&amp;""&lt;&gt;設定!$C$4,"対象外",IF($AH1556=20,IF(OR($AJ1556=10,$AJ1556=11,$AJ1556=18),"①病院一般",IF($AJ1556=41,"②病院短期","対象外")),IF($AH1556=5,IF($AJ1556=30,"③特定消防","対象外"),IF(OR($AJ1556=10,$AJ1556=11,$AJ1556=74),"④一般",IF(OR($AJ1556=41,$AJ1556=47),"⑤短期","対象外"))))))</f>
        <v/>
      </c>
    </row>
    <row r="1557" customFormat="false" ht="15" hidden="false" customHeight="false" outlineLevel="0" collapsed="false">
      <c r="DB1557" s="0" t="str">
        <f aca="false">IF($A1557="","",IF($AE1557&amp;""&lt;&gt;設定!$C$4,"対象外",IF($AH1557=20,IF(OR($AJ1557=10,$AJ1557=11,$AJ1557=18),"①病院一般",IF($AJ1557=41,"②病院短期","対象外")),IF($AH1557=5,IF($AJ1557=30,"③特定消防","対象外"),IF(OR($AJ1557=10,$AJ1557=11,$AJ1557=74),"④一般",IF(OR($AJ1557=41,$AJ1557=47),"⑤短期","対象外"))))))</f>
        <v/>
      </c>
    </row>
    <row r="1558" customFormat="false" ht="15" hidden="false" customHeight="false" outlineLevel="0" collapsed="false">
      <c r="DB1558" s="0" t="str">
        <f aca="false">IF($A1558="","",IF($AE1558&amp;""&lt;&gt;設定!$C$4,"対象外",IF($AH1558=20,IF(OR($AJ1558=10,$AJ1558=11,$AJ1558=18),"①病院一般",IF($AJ1558=41,"②病院短期","対象外")),IF($AH1558=5,IF($AJ1558=30,"③特定消防","対象外"),IF(OR($AJ1558=10,$AJ1558=11,$AJ1558=74),"④一般",IF(OR($AJ1558=41,$AJ1558=47),"⑤短期","対象外"))))))</f>
        <v/>
      </c>
    </row>
    <row r="1559" customFormat="false" ht="15" hidden="false" customHeight="false" outlineLevel="0" collapsed="false">
      <c r="DB1559" s="0" t="str">
        <f aca="false">IF($A1559="","",IF($AE1559&amp;""&lt;&gt;設定!$C$4,"対象外",IF($AH1559=20,IF(OR($AJ1559=10,$AJ1559=11,$AJ1559=18),"①病院一般",IF($AJ1559=41,"②病院短期","対象外")),IF($AH1559=5,IF($AJ1559=30,"③特定消防","対象外"),IF(OR($AJ1559=10,$AJ1559=11,$AJ1559=74),"④一般",IF(OR($AJ1559=41,$AJ1559=47),"⑤短期","対象外"))))))</f>
        <v/>
      </c>
    </row>
    <row r="1560" customFormat="false" ht="15" hidden="false" customHeight="false" outlineLevel="0" collapsed="false">
      <c r="DB1560" s="0" t="str">
        <f aca="false">IF($A1560="","",IF($AE1560&amp;""&lt;&gt;設定!$C$4,"対象外",IF($AH1560=20,IF(OR($AJ1560=10,$AJ1560=11,$AJ1560=18),"①病院一般",IF($AJ1560=41,"②病院短期","対象外")),IF($AH1560=5,IF($AJ1560=30,"③特定消防","対象外"),IF(OR($AJ1560=10,$AJ1560=11,$AJ1560=74),"④一般",IF(OR($AJ1560=41,$AJ1560=47),"⑤短期","対象外"))))))</f>
        <v/>
      </c>
    </row>
    <row r="1561" customFormat="false" ht="15" hidden="false" customHeight="false" outlineLevel="0" collapsed="false">
      <c r="DB1561" s="0" t="str">
        <f aca="false">IF($A1561="","",IF($AE1561&amp;""&lt;&gt;設定!$C$4,"対象外",IF($AH1561=20,IF(OR($AJ1561=10,$AJ1561=11,$AJ1561=18),"①病院一般",IF($AJ1561=41,"②病院短期","対象外")),IF($AH1561=5,IF($AJ1561=30,"③特定消防","対象外"),IF(OR($AJ1561=10,$AJ1561=11,$AJ1561=74),"④一般",IF(OR($AJ1561=41,$AJ1561=47),"⑤短期","対象外"))))))</f>
        <v/>
      </c>
    </row>
    <row r="1562" customFormat="false" ht="15" hidden="false" customHeight="false" outlineLevel="0" collapsed="false">
      <c r="DB1562" s="0" t="str">
        <f aca="false">IF($A1562="","",IF($AE1562&amp;""&lt;&gt;設定!$C$4,"対象外",IF($AH1562=20,IF(OR($AJ1562=10,$AJ1562=11,$AJ1562=18),"①病院一般",IF($AJ1562=41,"②病院短期","対象外")),IF($AH1562=5,IF($AJ1562=30,"③特定消防","対象外"),IF(OR($AJ1562=10,$AJ1562=11,$AJ1562=74),"④一般",IF(OR($AJ1562=41,$AJ1562=47),"⑤短期","対象外"))))))</f>
        <v/>
      </c>
    </row>
    <row r="1563" customFormat="false" ht="15" hidden="false" customHeight="false" outlineLevel="0" collapsed="false">
      <c r="DB1563" s="0" t="str">
        <f aca="false">IF($A1563="","",IF($AE1563&amp;""&lt;&gt;設定!$C$4,"対象外",IF($AH1563=20,IF(OR($AJ1563=10,$AJ1563=11,$AJ1563=18),"①病院一般",IF($AJ1563=41,"②病院短期","対象外")),IF($AH1563=5,IF($AJ1563=30,"③特定消防","対象外"),IF(OR($AJ1563=10,$AJ1563=11,$AJ1563=74),"④一般",IF(OR($AJ1563=41,$AJ1563=47),"⑤短期","対象外"))))))</f>
        <v/>
      </c>
    </row>
    <row r="1564" customFormat="false" ht="15" hidden="false" customHeight="false" outlineLevel="0" collapsed="false">
      <c r="DB1564" s="0" t="str">
        <f aca="false">IF($A1564="","",IF($AE1564&amp;""&lt;&gt;設定!$C$4,"対象外",IF($AH1564=20,IF(OR($AJ1564=10,$AJ1564=11,$AJ1564=18),"①病院一般",IF($AJ1564=41,"②病院短期","対象外")),IF($AH1564=5,IF($AJ1564=30,"③特定消防","対象外"),IF(OR($AJ1564=10,$AJ1564=11,$AJ1564=74),"④一般",IF(OR($AJ1564=41,$AJ1564=47),"⑤短期","対象外"))))))</f>
        <v/>
      </c>
    </row>
    <row r="1565" customFormat="false" ht="15" hidden="false" customHeight="false" outlineLevel="0" collapsed="false">
      <c r="DB1565" s="0" t="str">
        <f aca="false">IF($A1565="","",IF($AE1565&amp;""&lt;&gt;設定!$C$4,"対象外",IF($AH1565=20,IF(OR($AJ1565=10,$AJ1565=11,$AJ1565=18),"①病院一般",IF($AJ1565=41,"②病院短期","対象外")),IF($AH1565=5,IF($AJ1565=30,"③特定消防","対象外"),IF(OR($AJ1565=10,$AJ1565=11,$AJ1565=74),"④一般",IF(OR($AJ1565=41,$AJ1565=47),"⑤短期","対象外"))))))</f>
        <v/>
      </c>
    </row>
    <row r="1566" customFormat="false" ht="15" hidden="false" customHeight="false" outlineLevel="0" collapsed="false">
      <c r="DB1566" s="0" t="str">
        <f aca="false">IF($A1566="","",IF($AE1566&amp;""&lt;&gt;設定!$C$4,"対象外",IF($AH1566=20,IF(OR($AJ1566=10,$AJ1566=11,$AJ1566=18),"①病院一般",IF($AJ1566=41,"②病院短期","対象外")),IF($AH1566=5,IF($AJ1566=30,"③特定消防","対象外"),IF(OR($AJ1566=10,$AJ1566=11,$AJ1566=74),"④一般",IF(OR($AJ1566=41,$AJ1566=47),"⑤短期","対象外"))))))</f>
        <v/>
      </c>
    </row>
    <row r="1567" customFormat="false" ht="15" hidden="false" customHeight="false" outlineLevel="0" collapsed="false">
      <c r="DB1567" s="0" t="str">
        <f aca="false">IF($A1567="","",IF($AE1567&amp;""&lt;&gt;設定!$C$4,"対象外",IF($AH1567=20,IF(OR($AJ1567=10,$AJ1567=11,$AJ1567=18),"①病院一般",IF($AJ1567=41,"②病院短期","対象外")),IF($AH1567=5,IF($AJ1567=30,"③特定消防","対象外"),IF(OR($AJ1567=10,$AJ1567=11,$AJ1567=74),"④一般",IF(OR($AJ1567=41,$AJ1567=47),"⑤短期","対象外"))))))</f>
        <v/>
      </c>
    </row>
    <row r="1568" customFormat="false" ht="15" hidden="false" customHeight="false" outlineLevel="0" collapsed="false">
      <c r="DB1568" s="0" t="str">
        <f aca="false">IF($A1568="","",IF($AE1568&amp;""&lt;&gt;設定!$C$4,"対象外",IF($AH1568=20,IF(OR($AJ1568=10,$AJ1568=11,$AJ1568=18),"①病院一般",IF($AJ1568=41,"②病院短期","対象外")),IF($AH1568=5,IF($AJ1568=30,"③特定消防","対象外"),IF(OR($AJ1568=10,$AJ1568=11,$AJ1568=74),"④一般",IF(OR($AJ1568=41,$AJ1568=47),"⑤短期","対象外"))))))</f>
        <v/>
      </c>
    </row>
    <row r="1569" customFormat="false" ht="15" hidden="false" customHeight="false" outlineLevel="0" collapsed="false">
      <c r="DB1569" s="0" t="str">
        <f aca="false">IF($A1569="","",IF($AE1569&amp;""&lt;&gt;設定!$C$4,"対象外",IF($AH1569=20,IF(OR($AJ1569=10,$AJ1569=11,$AJ1569=18),"①病院一般",IF($AJ1569=41,"②病院短期","対象外")),IF($AH1569=5,IF($AJ1569=30,"③特定消防","対象外"),IF(OR($AJ1569=10,$AJ1569=11,$AJ1569=74),"④一般",IF(OR($AJ1569=41,$AJ1569=47),"⑤短期","対象外"))))))</f>
        <v/>
      </c>
    </row>
    <row r="1570" customFormat="false" ht="15" hidden="false" customHeight="false" outlineLevel="0" collapsed="false">
      <c r="DB1570" s="0" t="str">
        <f aca="false">IF($A1570="","",IF($AE1570&amp;""&lt;&gt;設定!$C$4,"対象外",IF($AH1570=20,IF(OR($AJ1570=10,$AJ1570=11,$AJ1570=18),"①病院一般",IF($AJ1570=41,"②病院短期","対象外")),IF($AH1570=5,IF($AJ1570=30,"③特定消防","対象外"),IF(OR($AJ1570=10,$AJ1570=11,$AJ1570=74),"④一般",IF(OR($AJ1570=41,$AJ1570=47),"⑤短期","対象外"))))))</f>
        <v/>
      </c>
    </row>
    <row r="1571" customFormat="false" ht="15" hidden="false" customHeight="false" outlineLevel="0" collapsed="false">
      <c r="DB1571" s="0" t="str">
        <f aca="false">IF($A1571="","",IF($AE1571&amp;""&lt;&gt;設定!$C$4,"対象外",IF($AH1571=20,IF(OR($AJ1571=10,$AJ1571=11,$AJ1571=18),"①病院一般",IF($AJ1571=41,"②病院短期","対象外")),IF($AH1571=5,IF($AJ1571=30,"③特定消防","対象外"),IF(OR($AJ1571=10,$AJ1571=11,$AJ1571=74),"④一般",IF(OR($AJ1571=41,$AJ1571=47),"⑤短期","対象外"))))))</f>
        <v/>
      </c>
    </row>
    <row r="1572" customFormat="false" ht="15" hidden="false" customHeight="false" outlineLevel="0" collapsed="false">
      <c r="DB1572" s="0" t="str">
        <f aca="false">IF($A1572="","",IF($AE1572&amp;""&lt;&gt;設定!$C$4,"対象外",IF($AH1572=20,IF(OR($AJ1572=10,$AJ1572=11,$AJ1572=18),"①病院一般",IF($AJ1572=41,"②病院短期","対象外")),IF($AH1572=5,IF($AJ1572=30,"③特定消防","対象外"),IF(OR($AJ1572=10,$AJ1572=11,$AJ1572=74),"④一般",IF(OR($AJ1572=41,$AJ1572=47),"⑤短期","対象外"))))))</f>
        <v/>
      </c>
    </row>
    <row r="1573" customFormat="false" ht="15" hidden="false" customHeight="false" outlineLevel="0" collapsed="false">
      <c r="DB1573" s="0" t="str">
        <f aca="false">IF($A1573="","",IF($AE1573&amp;""&lt;&gt;設定!$C$4,"対象外",IF($AH1573=20,IF(OR($AJ1573=10,$AJ1573=11,$AJ1573=18),"①病院一般",IF($AJ1573=41,"②病院短期","対象外")),IF($AH1573=5,IF($AJ1573=30,"③特定消防","対象外"),IF(OR($AJ1573=10,$AJ1573=11,$AJ1573=74),"④一般",IF(OR($AJ1573=41,$AJ1573=47),"⑤短期","対象外"))))))</f>
        <v/>
      </c>
    </row>
    <row r="1574" customFormat="false" ht="15" hidden="false" customHeight="false" outlineLevel="0" collapsed="false">
      <c r="DB1574" s="0" t="str">
        <f aca="false">IF($A1574="","",IF($AE1574&amp;""&lt;&gt;設定!$C$4,"対象外",IF($AH1574=20,IF(OR($AJ1574=10,$AJ1574=11,$AJ1574=18),"①病院一般",IF($AJ1574=41,"②病院短期","対象外")),IF($AH1574=5,IF($AJ1574=30,"③特定消防","対象外"),IF(OR($AJ1574=10,$AJ1574=11,$AJ1574=74),"④一般",IF(OR($AJ1574=41,$AJ1574=47),"⑤短期","対象外"))))))</f>
        <v/>
      </c>
    </row>
    <row r="1575" customFormat="false" ht="15" hidden="false" customHeight="false" outlineLevel="0" collapsed="false">
      <c r="DB1575" s="0" t="str">
        <f aca="false">IF($A1575="","",IF($AE1575&amp;""&lt;&gt;設定!$C$4,"対象外",IF($AH1575=20,IF(OR($AJ1575=10,$AJ1575=11,$AJ1575=18),"①病院一般",IF($AJ1575=41,"②病院短期","対象外")),IF($AH1575=5,IF($AJ1575=30,"③特定消防","対象外"),IF(OR($AJ1575=10,$AJ1575=11,$AJ1575=74),"④一般",IF(OR($AJ1575=41,$AJ1575=47),"⑤短期","対象外"))))))</f>
        <v/>
      </c>
    </row>
    <row r="1576" customFormat="false" ht="15" hidden="false" customHeight="false" outlineLevel="0" collapsed="false">
      <c r="DB1576" s="0" t="str">
        <f aca="false">IF($A1576="","",IF($AE1576&amp;""&lt;&gt;設定!$C$4,"対象外",IF($AH1576=20,IF(OR($AJ1576=10,$AJ1576=11,$AJ1576=18),"①病院一般",IF($AJ1576=41,"②病院短期","対象外")),IF($AH1576=5,IF($AJ1576=30,"③特定消防","対象外"),IF(OR($AJ1576=10,$AJ1576=11,$AJ1576=74),"④一般",IF(OR($AJ1576=41,$AJ1576=47),"⑤短期","対象外"))))))</f>
        <v/>
      </c>
    </row>
    <row r="1577" customFormat="false" ht="15" hidden="false" customHeight="false" outlineLevel="0" collapsed="false">
      <c r="DB1577" s="0" t="str">
        <f aca="false">IF($A1577="","",IF($AE1577&amp;""&lt;&gt;設定!$C$4,"対象外",IF($AH1577=20,IF(OR($AJ1577=10,$AJ1577=11,$AJ1577=18),"①病院一般",IF($AJ1577=41,"②病院短期","対象外")),IF($AH1577=5,IF($AJ1577=30,"③特定消防","対象外"),IF(OR($AJ1577=10,$AJ1577=11,$AJ1577=74),"④一般",IF(OR($AJ1577=41,$AJ1577=47),"⑤短期","対象外"))))))</f>
        <v/>
      </c>
    </row>
    <row r="1578" customFormat="false" ht="15" hidden="false" customHeight="false" outlineLevel="0" collapsed="false">
      <c r="DB1578" s="0" t="str">
        <f aca="false">IF($A1578="","",IF($AE1578&amp;""&lt;&gt;設定!$C$4,"対象外",IF($AH1578=20,IF(OR($AJ1578=10,$AJ1578=11,$AJ1578=18),"①病院一般",IF($AJ1578=41,"②病院短期","対象外")),IF($AH1578=5,IF($AJ1578=30,"③特定消防","対象外"),IF(OR($AJ1578=10,$AJ1578=11,$AJ1578=74),"④一般",IF(OR($AJ1578=41,$AJ1578=47),"⑤短期","対象外"))))))</f>
        <v/>
      </c>
    </row>
    <row r="1579" customFormat="false" ht="15" hidden="false" customHeight="false" outlineLevel="0" collapsed="false">
      <c r="DB1579" s="0" t="str">
        <f aca="false">IF($A1579="","",IF($AE1579&amp;""&lt;&gt;設定!$C$4,"対象外",IF($AH1579=20,IF(OR($AJ1579=10,$AJ1579=11,$AJ1579=18),"①病院一般",IF($AJ1579=41,"②病院短期","対象外")),IF($AH1579=5,IF($AJ1579=30,"③特定消防","対象外"),IF(OR($AJ1579=10,$AJ1579=11,$AJ1579=74),"④一般",IF(OR($AJ1579=41,$AJ1579=47),"⑤短期","対象外"))))))</f>
        <v/>
      </c>
    </row>
    <row r="1580" customFormat="false" ht="15" hidden="false" customHeight="false" outlineLevel="0" collapsed="false">
      <c r="DB1580" s="0" t="str">
        <f aca="false">IF($A1580="","",IF($AE1580&amp;""&lt;&gt;設定!$C$4,"対象外",IF($AH1580=20,IF(OR($AJ1580=10,$AJ1580=11,$AJ1580=18),"①病院一般",IF($AJ1580=41,"②病院短期","対象外")),IF($AH1580=5,IF($AJ1580=30,"③特定消防","対象外"),IF(OR($AJ1580=10,$AJ1580=11,$AJ1580=74),"④一般",IF(OR($AJ1580=41,$AJ1580=47),"⑤短期","対象外"))))))</f>
        <v/>
      </c>
    </row>
    <row r="1581" customFormat="false" ht="15" hidden="false" customHeight="false" outlineLevel="0" collapsed="false">
      <c r="DB1581" s="0" t="str">
        <f aca="false">IF($A1581="","",IF($AE1581&amp;""&lt;&gt;設定!$C$4,"対象外",IF($AH1581=20,IF(OR($AJ1581=10,$AJ1581=11,$AJ1581=18),"①病院一般",IF($AJ1581=41,"②病院短期","対象外")),IF($AH1581=5,IF($AJ1581=30,"③特定消防","対象外"),IF(OR($AJ1581=10,$AJ1581=11,$AJ1581=74),"④一般",IF(OR($AJ1581=41,$AJ1581=47),"⑤短期","対象外"))))))</f>
        <v/>
      </c>
    </row>
    <row r="1582" customFormat="false" ht="15" hidden="false" customHeight="false" outlineLevel="0" collapsed="false">
      <c r="DB1582" s="0" t="str">
        <f aca="false">IF($A1582="","",IF($AE1582&amp;""&lt;&gt;設定!$C$4,"対象外",IF($AH1582=20,IF(OR($AJ1582=10,$AJ1582=11,$AJ1582=18),"①病院一般",IF($AJ1582=41,"②病院短期","対象外")),IF($AH1582=5,IF($AJ1582=30,"③特定消防","対象外"),IF(OR($AJ1582=10,$AJ1582=11,$AJ1582=74),"④一般",IF(OR($AJ1582=41,$AJ1582=47),"⑤短期","対象外"))))))</f>
        <v/>
      </c>
    </row>
    <row r="1583" customFormat="false" ht="15" hidden="false" customHeight="false" outlineLevel="0" collapsed="false">
      <c r="DB1583" s="0" t="str">
        <f aca="false">IF($A1583="","",IF($AE1583&amp;""&lt;&gt;設定!$C$4,"対象外",IF($AH1583=20,IF(OR($AJ1583=10,$AJ1583=11,$AJ1583=18),"①病院一般",IF($AJ1583=41,"②病院短期","対象外")),IF($AH1583=5,IF($AJ1583=30,"③特定消防","対象外"),IF(OR($AJ1583=10,$AJ1583=11,$AJ1583=74),"④一般",IF(OR($AJ1583=41,$AJ1583=47),"⑤短期","対象外"))))))</f>
        <v/>
      </c>
    </row>
    <row r="1584" customFormat="false" ht="15" hidden="false" customHeight="false" outlineLevel="0" collapsed="false">
      <c r="DB1584" s="0" t="str">
        <f aca="false">IF($A1584="","",IF($AE1584&amp;""&lt;&gt;設定!$C$4,"対象外",IF($AH1584=20,IF(OR($AJ1584=10,$AJ1584=11,$AJ1584=18),"①病院一般",IF($AJ1584=41,"②病院短期","対象外")),IF($AH1584=5,IF($AJ1584=30,"③特定消防","対象外"),IF(OR($AJ1584=10,$AJ1584=11,$AJ1584=74),"④一般",IF(OR($AJ1584=41,$AJ1584=47),"⑤短期","対象外"))))))</f>
        <v/>
      </c>
    </row>
    <row r="1585" customFormat="false" ht="15" hidden="false" customHeight="false" outlineLevel="0" collapsed="false">
      <c r="DB1585" s="0" t="str">
        <f aca="false">IF($A1585="","",IF($AE1585&amp;""&lt;&gt;設定!$C$4,"対象外",IF($AH1585=20,IF(OR($AJ1585=10,$AJ1585=11,$AJ1585=18),"①病院一般",IF($AJ1585=41,"②病院短期","対象外")),IF($AH1585=5,IF($AJ1585=30,"③特定消防","対象外"),IF(OR($AJ1585=10,$AJ1585=11,$AJ1585=74),"④一般",IF(OR($AJ1585=41,$AJ1585=47),"⑤短期","対象外"))))))</f>
        <v/>
      </c>
    </row>
    <row r="1586" customFormat="false" ht="15" hidden="false" customHeight="false" outlineLevel="0" collapsed="false">
      <c r="DB1586" s="0" t="str">
        <f aca="false">IF($A1586="","",IF($AE1586&amp;""&lt;&gt;設定!$C$4,"対象外",IF($AH1586=20,IF(OR($AJ1586=10,$AJ1586=11,$AJ1586=18),"①病院一般",IF($AJ1586=41,"②病院短期","対象外")),IF($AH1586=5,IF($AJ1586=30,"③特定消防","対象外"),IF(OR($AJ1586=10,$AJ1586=11,$AJ1586=74),"④一般",IF(OR($AJ1586=41,$AJ1586=47),"⑤短期","対象外"))))))</f>
        <v/>
      </c>
    </row>
    <row r="1587" customFormat="false" ht="15" hidden="false" customHeight="false" outlineLevel="0" collapsed="false">
      <c r="DB1587" s="0" t="str">
        <f aca="false">IF($A1587="","",IF($AE1587&amp;""&lt;&gt;設定!$C$4,"対象外",IF($AH1587=20,IF(OR($AJ1587=10,$AJ1587=11,$AJ1587=18),"①病院一般",IF($AJ1587=41,"②病院短期","対象外")),IF($AH1587=5,IF($AJ1587=30,"③特定消防","対象外"),IF(OR($AJ1587=10,$AJ1587=11,$AJ1587=74),"④一般",IF(OR($AJ1587=41,$AJ1587=47),"⑤短期","対象外"))))))</f>
        <v/>
      </c>
    </row>
    <row r="1588" customFormat="false" ht="15" hidden="false" customHeight="false" outlineLevel="0" collapsed="false">
      <c r="DB1588" s="0" t="str">
        <f aca="false">IF($A1588="","",IF($AE1588&amp;""&lt;&gt;設定!$C$4,"対象外",IF($AH1588=20,IF(OR($AJ1588=10,$AJ1588=11,$AJ1588=18),"①病院一般",IF($AJ1588=41,"②病院短期","対象外")),IF($AH1588=5,IF($AJ1588=30,"③特定消防","対象外"),IF(OR($AJ1588=10,$AJ1588=11,$AJ1588=74),"④一般",IF(OR($AJ1588=41,$AJ1588=47),"⑤短期","対象外"))))))</f>
        <v/>
      </c>
    </row>
    <row r="1589" customFormat="false" ht="15" hidden="false" customHeight="false" outlineLevel="0" collapsed="false">
      <c r="DB1589" s="0" t="str">
        <f aca="false">IF($A1589="","",IF($AE1589&amp;""&lt;&gt;設定!$C$4,"対象外",IF($AH1589=20,IF(OR($AJ1589=10,$AJ1589=11,$AJ1589=18),"①病院一般",IF($AJ1589=41,"②病院短期","対象外")),IF($AH1589=5,IF($AJ1589=30,"③特定消防","対象外"),IF(OR($AJ1589=10,$AJ1589=11,$AJ1589=74),"④一般",IF(OR($AJ1589=41,$AJ1589=47),"⑤短期","対象外"))))))</f>
        <v/>
      </c>
    </row>
    <row r="1590" customFormat="false" ht="15" hidden="false" customHeight="false" outlineLevel="0" collapsed="false">
      <c r="DB1590" s="0" t="str">
        <f aca="false">IF($A1590="","",IF($AE1590&amp;""&lt;&gt;設定!$C$4,"対象外",IF($AH1590=20,IF(OR($AJ1590=10,$AJ1590=11,$AJ1590=18),"①病院一般",IF($AJ1590=41,"②病院短期","対象外")),IF($AH1590=5,IF($AJ1590=30,"③特定消防","対象外"),IF(OR($AJ1590=10,$AJ1590=11,$AJ1590=74),"④一般",IF(OR($AJ1590=41,$AJ1590=47),"⑤短期","対象外"))))))</f>
        <v/>
      </c>
    </row>
    <row r="1591" customFormat="false" ht="15" hidden="false" customHeight="false" outlineLevel="0" collapsed="false">
      <c r="DB1591" s="0" t="str">
        <f aca="false">IF($A1591="","",IF($AE1591&amp;""&lt;&gt;設定!$C$4,"対象外",IF($AH1591=20,IF(OR($AJ1591=10,$AJ1591=11,$AJ1591=18),"①病院一般",IF($AJ1591=41,"②病院短期","対象外")),IF($AH1591=5,IF($AJ1591=30,"③特定消防","対象外"),IF(OR($AJ1591=10,$AJ1591=11,$AJ1591=74),"④一般",IF(OR($AJ1591=41,$AJ1591=47),"⑤短期","対象外"))))))</f>
        <v/>
      </c>
    </row>
    <row r="1592" customFormat="false" ht="15" hidden="false" customHeight="false" outlineLevel="0" collapsed="false">
      <c r="DB1592" s="0" t="str">
        <f aca="false">IF($A1592="","",IF($AE1592&amp;""&lt;&gt;設定!$C$4,"対象外",IF($AH1592=20,IF(OR($AJ1592=10,$AJ1592=11,$AJ1592=18),"①病院一般",IF($AJ1592=41,"②病院短期","対象外")),IF($AH1592=5,IF($AJ1592=30,"③特定消防","対象外"),IF(OR($AJ1592=10,$AJ1592=11,$AJ1592=74),"④一般",IF(OR($AJ1592=41,$AJ1592=47),"⑤短期","対象外"))))))</f>
        <v/>
      </c>
    </row>
    <row r="1593" customFormat="false" ht="15" hidden="false" customHeight="false" outlineLevel="0" collapsed="false">
      <c r="DB1593" s="0" t="str">
        <f aca="false">IF($A1593="","",IF($AE1593&amp;""&lt;&gt;設定!$C$4,"対象外",IF($AH1593=20,IF(OR($AJ1593=10,$AJ1593=11,$AJ1593=18),"①病院一般",IF($AJ1593=41,"②病院短期","対象外")),IF($AH1593=5,IF($AJ1593=30,"③特定消防","対象外"),IF(OR($AJ1593=10,$AJ1593=11,$AJ1593=74),"④一般",IF(OR($AJ1593=41,$AJ1593=47),"⑤短期","対象外"))))))</f>
        <v/>
      </c>
    </row>
    <row r="1594" customFormat="false" ht="15" hidden="false" customHeight="false" outlineLevel="0" collapsed="false">
      <c r="DB1594" s="0" t="str">
        <f aca="false">IF($A1594="","",IF($AE1594&amp;""&lt;&gt;設定!$C$4,"対象外",IF($AH1594=20,IF(OR($AJ1594=10,$AJ1594=11,$AJ1594=18),"①病院一般",IF($AJ1594=41,"②病院短期","対象外")),IF($AH1594=5,IF($AJ1594=30,"③特定消防","対象外"),IF(OR($AJ1594=10,$AJ1594=11,$AJ1594=74),"④一般",IF(OR($AJ1594=41,$AJ1594=47),"⑤短期","対象外"))))))</f>
        <v/>
      </c>
    </row>
    <row r="1595" customFormat="false" ht="15" hidden="false" customHeight="false" outlineLevel="0" collapsed="false">
      <c r="DB1595" s="0" t="str">
        <f aca="false">IF($A1595="","",IF($AE1595&amp;""&lt;&gt;設定!$C$4,"対象外",IF($AH1595=20,IF(OR($AJ1595=10,$AJ1595=11,$AJ1595=18),"①病院一般",IF($AJ1595=41,"②病院短期","対象外")),IF($AH1595=5,IF($AJ1595=30,"③特定消防","対象外"),IF(OR($AJ1595=10,$AJ1595=11,$AJ1595=74),"④一般",IF(OR($AJ1595=41,$AJ1595=47),"⑤短期","対象外"))))))</f>
        <v/>
      </c>
    </row>
    <row r="1596" customFormat="false" ht="15" hidden="false" customHeight="false" outlineLevel="0" collapsed="false">
      <c r="DB1596" s="0" t="str">
        <f aca="false">IF($A1596="","",IF($AE1596&amp;""&lt;&gt;設定!$C$4,"対象外",IF($AH1596=20,IF(OR($AJ1596=10,$AJ1596=11,$AJ1596=18),"①病院一般",IF($AJ1596=41,"②病院短期","対象外")),IF($AH1596=5,IF($AJ1596=30,"③特定消防","対象外"),IF(OR($AJ1596=10,$AJ1596=11,$AJ1596=74),"④一般",IF(OR($AJ1596=41,$AJ1596=47),"⑤短期","対象外"))))))</f>
        <v/>
      </c>
    </row>
    <row r="1597" customFormat="false" ht="15" hidden="false" customHeight="false" outlineLevel="0" collapsed="false">
      <c r="DB1597" s="0" t="str">
        <f aca="false">IF($A1597="","",IF($AE1597&amp;""&lt;&gt;設定!$C$4,"対象外",IF($AH1597=20,IF(OR($AJ1597=10,$AJ1597=11,$AJ1597=18),"①病院一般",IF($AJ1597=41,"②病院短期","対象外")),IF($AH1597=5,IF($AJ1597=30,"③特定消防","対象外"),IF(OR($AJ1597=10,$AJ1597=11,$AJ1597=74),"④一般",IF(OR($AJ1597=41,$AJ1597=47),"⑤短期","対象外"))))))</f>
        <v/>
      </c>
    </row>
    <row r="1598" customFormat="false" ht="15" hidden="false" customHeight="false" outlineLevel="0" collapsed="false">
      <c r="DB1598" s="0" t="str">
        <f aca="false">IF($A1598="","",IF($AE1598&amp;""&lt;&gt;設定!$C$4,"対象外",IF($AH1598=20,IF(OR($AJ1598=10,$AJ1598=11,$AJ1598=18),"①病院一般",IF($AJ1598=41,"②病院短期","対象外")),IF($AH1598=5,IF($AJ1598=30,"③特定消防","対象外"),IF(OR($AJ1598=10,$AJ1598=11,$AJ1598=74),"④一般",IF(OR($AJ1598=41,$AJ1598=47),"⑤短期","対象外"))))))</f>
        <v/>
      </c>
    </row>
    <row r="1599" customFormat="false" ht="15" hidden="false" customHeight="false" outlineLevel="0" collapsed="false">
      <c r="DB1599" s="0" t="str">
        <f aca="false">IF($A1599="","",IF($AE1599&amp;""&lt;&gt;設定!$C$4,"対象外",IF($AH1599=20,IF(OR($AJ1599=10,$AJ1599=11,$AJ1599=18),"①病院一般",IF($AJ1599=41,"②病院短期","対象外")),IF($AH1599=5,IF($AJ1599=30,"③特定消防","対象外"),IF(OR($AJ1599=10,$AJ1599=11,$AJ1599=74),"④一般",IF(OR($AJ1599=41,$AJ1599=47),"⑤短期","対象外"))))))</f>
        <v/>
      </c>
    </row>
    <row r="1600" customFormat="false" ht="15" hidden="false" customHeight="false" outlineLevel="0" collapsed="false">
      <c r="DB1600" s="0" t="str">
        <f aca="false">IF($A1600="","",IF($AE1600&amp;""&lt;&gt;設定!$C$4,"対象外",IF($AH1600=20,IF(OR($AJ1600=10,$AJ1600=11,$AJ1600=18),"①病院一般",IF($AJ1600=41,"②病院短期","対象外")),IF($AH1600=5,IF($AJ1600=30,"③特定消防","対象外"),IF(OR($AJ1600=10,$AJ1600=11,$AJ1600=74),"④一般",IF(OR($AJ1600=41,$AJ1600=47),"⑤短期","対象外"))))))</f>
        <v/>
      </c>
    </row>
    <row r="1601" customFormat="false" ht="15" hidden="false" customHeight="false" outlineLevel="0" collapsed="false">
      <c r="DB1601" s="0" t="str">
        <f aca="false">IF($A1601="","",IF($AE1601&amp;""&lt;&gt;設定!$C$4,"対象外",IF($AH1601=20,IF(OR($AJ1601=10,$AJ1601=11,$AJ1601=18),"①病院一般",IF($AJ1601=41,"②病院短期","対象外")),IF($AH1601=5,IF($AJ1601=30,"③特定消防","対象外"),IF(OR($AJ1601=10,$AJ1601=11,$AJ1601=74),"④一般",IF(OR($AJ1601=41,$AJ1601=47),"⑤短期","対象外"))))))</f>
        <v/>
      </c>
    </row>
    <row r="1602" customFormat="false" ht="15" hidden="false" customHeight="false" outlineLevel="0" collapsed="false">
      <c r="DB1602" s="0" t="str">
        <f aca="false">IF($A1602="","",IF($AE1602&amp;""&lt;&gt;設定!$C$4,"対象外",IF($AH1602=20,IF(OR($AJ1602=10,$AJ1602=11,$AJ1602=18),"①病院一般",IF($AJ1602=41,"②病院短期","対象外")),IF($AH1602=5,IF($AJ1602=30,"③特定消防","対象外"),IF(OR($AJ1602=10,$AJ1602=11,$AJ1602=74),"④一般",IF(OR($AJ1602=41,$AJ1602=47),"⑤短期","対象外"))))))</f>
        <v/>
      </c>
    </row>
    <row r="1603" customFormat="false" ht="15" hidden="false" customHeight="false" outlineLevel="0" collapsed="false">
      <c r="DB1603" s="0" t="str">
        <f aca="false">IF($A1603="","",IF($AE1603&amp;""&lt;&gt;設定!$C$4,"対象外",IF($AH1603=20,IF(OR($AJ1603=10,$AJ1603=11,$AJ1603=18),"①病院一般",IF($AJ1603=41,"②病院短期","対象外")),IF($AH1603=5,IF($AJ1603=30,"③特定消防","対象外"),IF(OR($AJ1603=10,$AJ1603=11,$AJ1603=74),"④一般",IF(OR($AJ1603=41,$AJ1603=47),"⑤短期","対象外"))))))</f>
        <v/>
      </c>
    </row>
    <row r="1604" customFormat="false" ht="15" hidden="false" customHeight="false" outlineLevel="0" collapsed="false">
      <c r="DB1604" s="0" t="str">
        <f aca="false">IF($A1604="","",IF($AE1604&amp;""&lt;&gt;設定!$C$4,"対象外",IF($AH1604=20,IF(OR($AJ1604=10,$AJ1604=11,$AJ1604=18),"①病院一般",IF($AJ1604=41,"②病院短期","対象外")),IF($AH1604=5,IF($AJ1604=30,"③特定消防","対象外"),IF(OR($AJ1604=10,$AJ1604=11,$AJ1604=74),"④一般",IF(OR($AJ1604=41,$AJ1604=47),"⑤短期","対象外"))))))</f>
        <v/>
      </c>
    </row>
    <row r="1605" customFormat="false" ht="15" hidden="false" customHeight="false" outlineLevel="0" collapsed="false">
      <c r="DB1605" s="0" t="str">
        <f aca="false">IF($A1605="","",IF($AE1605&amp;""&lt;&gt;設定!$C$4,"対象外",IF($AH1605=20,IF(OR($AJ1605=10,$AJ1605=11,$AJ1605=18),"①病院一般",IF($AJ1605=41,"②病院短期","対象外")),IF($AH1605=5,IF($AJ1605=30,"③特定消防","対象外"),IF(OR($AJ1605=10,$AJ1605=11,$AJ1605=74),"④一般",IF(OR($AJ1605=41,$AJ1605=47),"⑤短期","対象外"))))))</f>
        <v/>
      </c>
    </row>
    <row r="1606" customFormat="false" ht="15" hidden="false" customHeight="false" outlineLevel="0" collapsed="false">
      <c r="DB1606" s="0" t="str">
        <f aca="false">IF($A1606="","",IF($AE1606&amp;""&lt;&gt;設定!$C$4,"対象外",IF($AH1606=20,IF(OR($AJ1606=10,$AJ1606=11,$AJ1606=18),"①病院一般",IF($AJ1606=41,"②病院短期","対象外")),IF($AH1606=5,IF($AJ1606=30,"③特定消防","対象外"),IF(OR($AJ1606=10,$AJ1606=11,$AJ1606=74),"④一般",IF(OR($AJ1606=41,$AJ1606=47),"⑤短期","対象外"))))))</f>
        <v/>
      </c>
    </row>
    <row r="1607" customFormat="false" ht="15" hidden="false" customHeight="false" outlineLevel="0" collapsed="false">
      <c r="DB1607" s="0" t="str">
        <f aca="false">IF($A1607="","",IF($AE1607&amp;""&lt;&gt;設定!$C$4,"対象外",IF($AH1607=20,IF(OR($AJ1607=10,$AJ1607=11,$AJ1607=18),"①病院一般",IF($AJ1607=41,"②病院短期","対象外")),IF($AH1607=5,IF($AJ1607=30,"③特定消防","対象外"),IF(OR($AJ1607=10,$AJ1607=11,$AJ1607=74),"④一般",IF(OR($AJ1607=41,$AJ1607=47),"⑤短期","対象外"))))))</f>
        <v/>
      </c>
    </row>
    <row r="1608" customFormat="false" ht="15" hidden="false" customHeight="false" outlineLevel="0" collapsed="false">
      <c r="DB1608" s="0" t="str">
        <f aca="false">IF($A1608="","",IF($AE1608&amp;""&lt;&gt;設定!$C$4,"対象外",IF($AH1608=20,IF(OR($AJ1608=10,$AJ1608=11,$AJ1608=18),"①病院一般",IF($AJ1608=41,"②病院短期","対象外")),IF($AH1608=5,IF($AJ1608=30,"③特定消防","対象外"),IF(OR($AJ1608=10,$AJ1608=11,$AJ1608=74),"④一般",IF(OR($AJ1608=41,$AJ1608=47),"⑤短期","対象外"))))))</f>
        <v/>
      </c>
    </row>
    <row r="1609" customFormat="false" ht="15" hidden="false" customHeight="false" outlineLevel="0" collapsed="false">
      <c r="DB1609" s="0" t="str">
        <f aca="false">IF($A1609="","",IF($AE1609&amp;""&lt;&gt;設定!$C$4,"対象外",IF($AH1609=20,IF(OR($AJ1609=10,$AJ1609=11,$AJ1609=18),"①病院一般",IF($AJ1609=41,"②病院短期","対象外")),IF($AH1609=5,IF($AJ1609=30,"③特定消防","対象外"),IF(OR($AJ1609=10,$AJ1609=11,$AJ1609=74),"④一般",IF(OR($AJ1609=41,$AJ1609=47),"⑤短期","対象外"))))))</f>
        <v/>
      </c>
    </row>
    <row r="1610" customFormat="false" ht="15" hidden="false" customHeight="false" outlineLevel="0" collapsed="false">
      <c r="DB1610" s="0" t="str">
        <f aca="false">IF($A1610="","",IF($AE1610&amp;""&lt;&gt;設定!$C$4,"対象外",IF($AH1610=20,IF(OR($AJ1610=10,$AJ1610=11,$AJ1610=18),"①病院一般",IF($AJ1610=41,"②病院短期","対象外")),IF($AH1610=5,IF($AJ1610=30,"③特定消防","対象外"),IF(OR($AJ1610=10,$AJ1610=11,$AJ1610=74),"④一般",IF(OR($AJ1610=41,$AJ1610=47),"⑤短期","対象外"))))))</f>
        <v/>
      </c>
    </row>
    <row r="1611" customFormat="false" ht="15" hidden="false" customHeight="false" outlineLevel="0" collapsed="false">
      <c r="DB1611" s="0" t="str">
        <f aca="false">IF($A1611="","",IF($AE1611&amp;""&lt;&gt;設定!$C$4,"対象外",IF($AH1611=20,IF(OR($AJ1611=10,$AJ1611=11,$AJ1611=18),"①病院一般",IF($AJ1611=41,"②病院短期","対象外")),IF($AH1611=5,IF($AJ1611=30,"③特定消防","対象外"),IF(OR($AJ1611=10,$AJ1611=11,$AJ1611=74),"④一般",IF(OR($AJ1611=41,$AJ1611=47),"⑤短期","対象外"))))))</f>
        <v/>
      </c>
    </row>
    <row r="1612" customFormat="false" ht="15" hidden="false" customHeight="false" outlineLevel="0" collapsed="false">
      <c r="DB1612" s="0" t="str">
        <f aca="false">IF($A1612="","",IF($AE1612&amp;""&lt;&gt;設定!$C$4,"対象外",IF($AH1612=20,IF(OR($AJ1612=10,$AJ1612=11,$AJ1612=18),"①病院一般",IF($AJ1612=41,"②病院短期","対象外")),IF($AH1612=5,IF($AJ1612=30,"③特定消防","対象外"),IF(OR($AJ1612=10,$AJ1612=11,$AJ1612=74),"④一般",IF(OR($AJ1612=41,$AJ1612=47),"⑤短期","対象外"))))))</f>
        <v/>
      </c>
    </row>
    <row r="1613" customFormat="false" ht="15" hidden="false" customHeight="false" outlineLevel="0" collapsed="false">
      <c r="DB1613" s="0" t="str">
        <f aca="false">IF($A1613="","",IF($AE1613&amp;""&lt;&gt;設定!$C$4,"対象外",IF($AH1613=20,IF(OR($AJ1613=10,$AJ1613=11,$AJ1613=18),"①病院一般",IF($AJ1613=41,"②病院短期","対象外")),IF($AH1613=5,IF($AJ1613=30,"③特定消防","対象外"),IF(OR($AJ1613=10,$AJ1613=11,$AJ1613=74),"④一般",IF(OR($AJ1613=41,$AJ1613=47),"⑤短期","対象外"))))))</f>
        <v/>
      </c>
    </row>
    <row r="1614" customFormat="false" ht="15" hidden="false" customHeight="false" outlineLevel="0" collapsed="false">
      <c r="DB1614" s="0" t="str">
        <f aca="false">IF($A1614="","",IF($AE1614&amp;""&lt;&gt;設定!$C$4,"対象外",IF($AH1614=20,IF(OR($AJ1614=10,$AJ1614=11,$AJ1614=18),"①病院一般",IF($AJ1614=41,"②病院短期","対象外")),IF($AH1614=5,IF($AJ1614=30,"③特定消防","対象外"),IF(OR($AJ1614=10,$AJ1614=11,$AJ1614=74),"④一般",IF(OR($AJ1614=41,$AJ1614=47),"⑤短期","対象外"))))))</f>
        <v/>
      </c>
    </row>
    <row r="1615" customFormat="false" ht="15" hidden="false" customHeight="false" outlineLevel="0" collapsed="false">
      <c r="DB1615" s="0" t="str">
        <f aca="false">IF($A1615="","",IF($AE1615&amp;""&lt;&gt;設定!$C$4,"対象外",IF($AH1615=20,IF(OR($AJ1615=10,$AJ1615=11,$AJ1615=18),"①病院一般",IF($AJ1615=41,"②病院短期","対象外")),IF($AH1615=5,IF($AJ1615=30,"③特定消防","対象外"),IF(OR($AJ1615=10,$AJ1615=11,$AJ1615=74),"④一般",IF(OR($AJ1615=41,$AJ1615=47),"⑤短期","対象外"))))))</f>
        <v/>
      </c>
    </row>
    <row r="1616" customFormat="false" ht="15" hidden="false" customHeight="false" outlineLevel="0" collapsed="false">
      <c r="DB1616" s="0" t="str">
        <f aca="false">IF($A1616="","",IF($AE1616&amp;""&lt;&gt;設定!$C$4,"対象外",IF($AH1616=20,IF(OR($AJ1616=10,$AJ1616=11,$AJ1616=18),"①病院一般",IF($AJ1616=41,"②病院短期","対象外")),IF($AH1616=5,IF($AJ1616=30,"③特定消防","対象外"),IF(OR($AJ1616=10,$AJ1616=11,$AJ1616=74),"④一般",IF(OR($AJ1616=41,$AJ1616=47),"⑤短期","対象外"))))))</f>
        <v/>
      </c>
    </row>
    <row r="1617" customFormat="false" ht="15" hidden="false" customHeight="false" outlineLevel="0" collapsed="false">
      <c r="DB1617" s="0" t="str">
        <f aca="false">IF($A1617="","",IF($AE1617&amp;""&lt;&gt;設定!$C$4,"対象外",IF($AH1617=20,IF(OR($AJ1617=10,$AJ1617=11,$AJ1617=18),"①病院一般",IF($AJ1617=41,"②病院短期","対象外")),IF($AH1617=5,IF($AJ1617=30,"③特定消防","対象外"),IF(OR($AJ1617=10,$AJ1617=11,$AJ1617=74),"④一般",IF(OR($AJ1617=41,$AJ1617=47),"⑤短期","対象外"))))))</f>
        <v/>
      </c>
    </row>
    <row r="1618" customFormat="false" ht="15" hidden="false" customHeight="false" outlineLevel="0" collapsed="false">
      <c r="DB1618" s="0" t="str">
        <f aca="false">IF($A1618="","",IF($AE1618&amp;""&lt;&gt;設定!$C$4,"対象外",IF($AH1618=20,IF(OR($AJ1618=10,$AJ1618=11,$AJ1618=18),"①病院一般",IF($AJ1618=41,"②病院短期","対象外")),IF($AH1618=5,IF($AJ1618=30,"③特定消防","対象外"),IF(OR($AJ1618=10,$AJ1618=11,$AJ1618=74),"④一般",IF(OR($AJ1618=41,$AJ1618=47),"⑤短期","対象外"))))))</f>
        <v/>
      </c>
    </row>
    <row r="1619" customFormat="false" ht="15" hidden="false" customHeight="false" outlineLevel="0" collapsed="false">
      <c r="DB1619" s="0" t="str">
        <f aca="false">IF($A1619="","",IF($AE1619&amp;""&lt;&gt;設定!$C$4,"対象外",IF($AH1619=20,IF(OR($AJ1619=10,$AJ1619=11,$AJ1619=18),"①病院一般",IF($AJ1619=41,"②病院短期","対象外")),IF($AH1619=5,IF($AJ1619=30,"③特定消防","対象外"),IF(OR($AJ1619=10,$AJ1619=11,$AJ1619=74),"④一般",IF(OR($AJ1619=41,$AJ1619=47),"⑤短期","対象外"))))))</f>
        <v/>
      </c>
    </row>
    <row r="1620" customFormat="false" ht="15" hidden="false" customHeight="false" outlineLevel="0" collapsed="false">
      <c r="DB1620" s="0" t="str">
        <f aca="false">IF($A1620="","",IF($AE1620&amp;""&lt;&gt;設定!$C$4,"対象外",IF($AH1620=20,IF(OR($AJ1620=10,$AJ1620=11,$AJ1620=18),"①病院一般",IF($AJ1620=41,"②病院短期","対象外")),IF($AH1620=5,IF($AJ1620=30,"③特定消防","対象外"),IF(OR($AJ1620=10,$AJ1620=11,$AJ1620=74),"④一般",IF(OR($AJ1620=41,$AJ1620=47),"⑤短期","対象外"))))))</f>
        <v/>
      </c>
    </row>
    <row r="1621" customFormat="false" ht="15" hidden="false" customHeight="false" outlineLevel="0" collapsed="false">
      <c r="DB1621" s="0" t="str">
        <f aca="false">IF($A1621="","",IF($AE1621&amp;""&lt;&gt;設定!$C$4,"対象外",IF($AH1621=20,IF(OR($AJ1621=10,$AJ1621=11,$AJ1621=18),"①病院一般",IF($AJ1621=41,"②病院短期","対象外")),IF($AH1621=5,IF($AJ1621=30,"③特定消防","対象外"),IF(OR($AJ1621=10,$AJ1621=11,$AJ1621=74),"④一般",IF(OR($AJ1621=41,$AJ1621=47),"⑤短期","対象外"))))))</f>
        <v/>
      </c>
    </row>
    <row r="1622" customFormat="false" ht="15" hidden="false" customHeight="false" outlineLevel="0" collapsed="false">
      <c r="DB1622" s="0" t="str">
        <f aca="false">IF($A1622="","",IF($AE1622&amp;""&lt;&gt;設定!$C$4,"対象外",IF($AH1622=20,IF(OR($AJ1622=10,$AJ1622=11,$AJ1622=18),"①病院一般",IF($AJ1622=41,"②病院短期","対象外")),IF($AH1622=5,IF($AJ1622=30,"③特定消防","対象外"),IF(OR($AJ1622=10,$AJ1622=11,$AJ1622=74),"④一般",IF(OR($AJ1622=41,$AJ1622=47),"⑤短期","対象外"))))))</f>
        <v/>
      </c>
    </row>
    <row r="1623" customFormat="false" ht="15" hidden="false" customHeight="false" outlineLevel="0" collapsed="false">
      <c r="DB1623" s="0" t="str">
        <f aca="false">IF($A1623="","",IF($AE1623&amp;""&lt;&gt;設定!$C$4,"対象外",IF($AH1623=20,IF(OR($AJ1623=10,$AJ1623=11,$AJ1623=18),"①病院一般",IF($AJ1623=41,"②病院短期","対象外")),IF($AH1623=5,IF($AJ1623=30,"③特定消防","対象外"),IF(OR($AJ1623=10,$AJ1623=11,$AJ1623=74),"④一般",IF(OR($AJ1623=41,$AJ1623=47),"⑤短期","対象外"))))))</f>
        <v/>
      </c>
    </row>
    <row r="1624" customFormat="false" ht="15" hidden="false" customHeight="false" outlineLevel="0" collapsed="false">
      <c r="DB1624" s="0" t="str">
        <f aca="false">IF($A1624="","",IF($AE1624&amp;""&lt;&gt;設定!$C$4,"対象外",IF($AH1624=20,IF(OR($AJ1624=10,$AJ1624=11,$AJ1624=18),"①病院一般",IF($AJ1624=41,"②病院短期","対象外")),IF($AH1624=5,IF($AJ1624=30,"③特定消防","対象外"),IF(OR($AJ1624=10,$AJ1624=11,$AJ1624=74),"④一般",IF(OR($AJ1624=41,$AJ1624=47),"⑤短期","対象外"))))))</f>
        <v/>
      </c>
    </row>
    <row r="1625" customFormat="false" ht="15" hidden="false" customHeight="false" outlineLevel="0" collapsed="false">
      <c r="DB1625" s="0" t="str">
        <f aca="false">IF($A1625="","",IF($AE1625&amp;""&lt;&gt;設定!$C$4,"対象外",IF($AH1625=20,IF(OR($AJ1625=10,$AJ1625=11,$AJ1625=18),"①病院一般",IF($AJ1625=41,"②病院短期","対象外")),IF($AH1625=5,IF($AJ1625=30,"③特定消防","対象外"),IF(OR($AJ1625=10,$AJ1625=11,$AJ1625=74),"④一般",IF(OR($AJ1625=41,$AJ1625=47),"⑤短期","対象外"))))))</f>
        <v/>
      </c>
    </row>
    <row r="1626" customFormat="false" ht="15" hidden="false" customHeight="false" outlineLevel="0" collapsed="false">
      <c r="DB1626" s="0" t="str">
        <f aca="false">IF($A1626="","",IF($AE1626&amp;""&lt;&gt;設定!$C$4,"対象外",IF($AH1626=20,IF(OR($AJ1626=10,$AJ1626=11,$AJ1626=18),"①病院一般",IF($AJ1626=41,"②病院短期","対象外")),IF($AH1626=5,IF($AJ1626=30,"③特定消防","対象外"),IF(OR($AJ1626=10,$AJ1626=11,$AJ1626=74),"④一般",IF(OR($AJ1626=41,$AJ1626=47),"⑤短期","対象外"))))))</f>
        <v/>
      </c>
    </row>
    <row r="1627" customFormat="false" ht="15" hidden="false" customHeight="false" outlineLevel="0" collapsed="false">
      <c r="DB1627" s="0" t="str">
        <f aca="false">IF($A1627="","",IF($AE1627&amp;""&lt;&gt;設定!$C$4,"対象外",IF($AH1627=20,IF(OR($AJ1627=10,$AJ1627=11,$AJ1627=18),"①病院一般",IF($AJ1627=41,"②病院短期","対象外")),IF($AH1627=5,IF($AJ1627=30,"③特定消防","対象外"),IF(OR($AJ1627=10,$AJ1627=11,$AJ1627=74),"④一般",IF(OR($AJ1627=41,$AJ1627=47),"⑤短期","対象外"))))))</f>
        <v/>
      </c>
    </row>
    <row r="1628" customFormat="false" ht="15" hidden="false" customHeight="false" outlineLevel="0" collapsed="false">
      <c r="DB1628" s="0" t="str">
        <f aca="false">IF($A1628="","",IF($AE1628&amp;""&lt;&gt;設定!$C$4,"対象外",IF($AH1628=20,IF(OR($AJ1628=10,$AJ1628=11,$AJ1628=18),"①病院一般",IF($AJ1628=41,"②病院短期","対象外")),IF($AH1628=5,IF($AJ1628=30,"③特定消防","対象外"),IF(OR($AJ1628=10,$AJ1628=11,$AJ1628=74),"④一般",IF(OR($AJ1628=41,$AJ1628=47),"⑤短期","対象外"))))))</f>
        <v/>
      </c>
    </row>
    <row r="1629" customFormat="false" ht="15" hidden="false" customHeight="false" outlineLevel="0" collapsed="false">
      <c r="DB1629" s="0" t="str">
        <f aca="false">IF($A1629="","",IF($AE1629&amp;""&lt;&gt;設定!$C$4,"対象外",IF($AH1629=20,IF(OR($AJ1629=10,$AJ1629=11,$AJ1629=18),"①病院一般",IF($AJ1629=41,"②病院短期","対象外")),IF($AH1629=5,IF($AJ1629=30,"③特定消防","対象外"),IF(OR($AJ1629=10,$AJ1629=11,$AJ1629=74),"④一般",IF(OR($AJ1629=41,$AJ1629=47),"⑤短期","対象外"))))))</f>
        <v/>
      </c>
    </row>
    <row r="1630" customFormat="false" ht="15" hidden="false" customHeight="false" outlineLevel="0" collapsed="false">
      <c r="DB1630" s="0" t="str">
        <f aca="false">IF($A1630="","",IF($AE1630&amp;""&lt;&gt;設定!$C$4,"対象外",IF($AH1630=20,IF(OR($AJ1630=10,$AJ1630=11,$AJ1630=18),"①病院一般",IF($AJ1630=41,"②病院短期","対象外")),IF($AH1630=5,IF($AJ1630=30,"③特定消防","対象外"),IF(OR($AJ1630=10,$AJ1630=11,$AJ1630=74),"④一般",IF(OR($AJ1630=41,$AJ1630=47),"⑤短期","対象外"))))))</f>
        <v/>
      </c>
    </row>
    <row r="1631" customFormat="false" ht="15" hidden="false" customHeight="false" outlineLevel="0" collapsed="false">
      <c r="DB1631" s="0" t="str">
        <f aca="false">IF($A1631="","",IF($AE1631&amp;""&lt;&gt;設定!$C$4,"対象外",IF($AH1631=20,IF(OR($AJ1631=10,$AJ1631=11,$AJ1631=18),"①病院一般",IF($AJ1631=41,"②病院短期","対象外")),IF($AH1631=5,IF($AJ1631=30,"③特定消防","対象外"),IF(OR($AJ1631=10,$AJ1631=11,$AJ1631=74),"④一般",IF(OR($AJ1631=41,$AJ1631=47),"⑤短期","対象外"))))))</f>
        <v/>
      </c>
    </row>
    <row r="1632" customFormat="false" ht="15" hidden="false" customHeight="false" outlineLevel="0" collapsed="false">
      <c r="DB1632" s="0" t="str">
        <f aca="false">IF($A1632="","",IF($AE1632&amp;""&lt;&gt;設定!$C$4,"対象外",IF($AH1632=20,IF(OR($AJ1632=10,$AJ1632=11,$AJ1632=18),"①病院一般",IF($AJ1632=41,"②病院短期","対象外")),IF($AH1632=5,IF($AJ1632=30,"③特定消防","対象外"),IF(OR($AJ1632=10,$AJ1632=11,$AJ1632=74),"④一般",IF(OR($AJ1632=41,$AJ1632=47),"⑤短期","対象外"))))))</f>
        <v/>
      </c>
    </row>
    <row r="1633" customFormat="false" ht="15" hidden="false" customHeight="false" outlineLevel="0" collapsed="false">
      <c r="DB1633" s="0" t="str">
        <f aca="false">IF($A1633="","",IF($AE1633&amp;""&lt;&gt;設定!$C$4,"対象外",IF($AH1633=20,IF(OR($AJ1633=10,$AJ1633=11,$AJ1633=18),"①病院一般",IF($AJ1633=41,"②病院短期","対象外")),IF($AH1633=5,IF($AJ1633=30,"③特定消防","対象外"),IF(OR($AJ1633=10,$AJ1633=11,$AJ1633=74),"④一般",IF(OR($AJ1633=41,$AJ1633=47),"⑤短期","対象外"))))))</f>
        <v/>
      </c>
    </row>
    <row r="1634" customFormat="false" ht="15" hidden="false" customHeight="false" outlineLevel="0" collapsed="false">
      <c r="DB1634" s="0" t="str">
        <f aca="false">IF($A1634="","",IF($AE1634&amp;""&lt;&gt;設定!$C$4,"対象外",IF($AH1634=20,IF(OR($AJ1634=10,$AJ1634=11,$AJ1634=18),"①病院一般",IF($AJ1634=41,"②病院短期","対象外")),IF($AH1634=5,IF($AJ1634=30,"③特定消防","対象外"),IF(OR($AJ1634=10,$AJ1634=11,$AJ1634=74),"④一般",IF(OR($AJ1634=41,$AJ1634=47),"⑤短期","対象外"))))))</f>
        <v/>
      </c>
    </row>
    <row r="1635" customFormat="false" ht="15" hidden="false" customHeight="false" outlineLevel="0" collapsed="false">
      <c r="DB1635" s="0" t="str">
        <f aca="false">IF($A1635="","",IF($AE1635&amp;""&lt;&gt;設定!$C$4,"対象外",IF($AH1635=20,IF(OR($AJ1635=10,$AJ1635=11,$AJ1635=18),"①病院一般",IF($AJ1635=41,"②病院短期","対象外")),IF($AH1635=5,IF($AJ1635=30,"③特定消防","対象外"),IF(OR($AJ1635=10,$AJ1635=11,$AJ1635=74),"④一般",IF(OR($AJ1635=41,$AJ1635=47),"⑤短期","対象外"))))))</f>
        <v/>
      </c>
    </row>
    <row r="1636" customFormat="false" ht="15" hidden="false" customHeight="false" outlineLevel="0" collapsed="false">
      <c r="DB1636" s="0" t="str">
        <f aca="false">IF($A1636="","",IF($AE1636&amp;""&lt;&gt;設定!$C$4,"対象外",IF($AH1636=20,IF(OR($AJ1636=10,$AJ1636=11,$AJ1636=18),"①病院一般",IF($AJ1636=41,"②病院短期","対象外")),IF($AH1636=5,IF($AJ1636=30,"③特定消防","対象外"),IF(OR($AJ1636=10,$AJ1636=11,$AJ1636=74),"④一般",IF(OR($AJ1636=41,$AJ1636=47),"⑤短期","対象外"))))))</f>
        <v/>
      </c>
    </row>
    <row r="1637" customFormat="false" ht="15" hidden="false" customHeight="false" outlineLevel="0" collapsed="false">
      <c r="DB1637" s="0" t="str">
        <f aca="false">IF($A1637="","",IF($AE1637&amp;""&lt;&gt;設定!$C$4,"対象外",IF($AH1637=20,IF(OR($AJ1637=10,$AJ1637=11,$AJ1637=18),"①病院一般",IF($AJ1637=41,"②病院短期","対象外")),IF($AH1637=5,IF($AJ1637=30,"③特定消防","対象外"),IF(OR($AJ1637=10,$AJ1637=11,$AJ1637=74),"④一般",IF(OR($AJ1637=41,$AJ1637=47),"⑤短期","対象外"))))))</f>
        <v/>
      </c>
    </row>
    <row r="1638" customFormat="false" ht="15" hidden="false" customHeight="false" outlineLevel="0" collapsed="false">
      <c r="DB1638" s="0" t="str">
        <f aca="false">IF($A1638="","",IF($AE1638&amp;""&lt;&gt;設定!$C$4,"対象外",IF($AH1638=20,IF(OR($AJ1638=10,$AJ1638=11,$AJ1638=18),"①病院一般",IF($AJ1638=41,"②病院短期","対象外")),IF($AH1638=5,IF($AJ1638=30,"③特定消防","対象外"),IF(OR($AJ1638=10,$AJ1638=11,$AJ1638=74),"④一般",IF(OR($AJ1638=41,$AJ1638=47),"⑤短期","対象外"))))))</f>
        <v/>
      </c>
    </row>
    <row r="1639" customFormat="false" ht="15" hidden="false" customHeight="false" outlineLevel="0" collapsed="false">
      <c r="DB1639" s="0" t="str">
        <f aca="false">IF($A1639="","",IF($AE1639&amp;""&lt;&gt;設定!$C$4,"対象外",IF($AH1639=20,IF(OR($AJ1639=10,$AJ1639=11,$AJ1639=18),"①病院一般",IF($AJ1639=41,"②病院短期","対象外")),IF($AH1639=5,IF($AJ1639=30,"③特定消防","対象外"),IF(OR($AJ1639=10,$AJ1639=11,$AJ1639=74),"④一般",IF(OR($AJ1639=41,$AJ1639=47),"⑤短期","対象外"))))))</f>
        <v/>
      </c>
    </row>
    <row r="1640" customFormat="false" ht="15" hidden="false" customHeight="false" outlineLevel="0" collapsed="false">
      <c r="DB1640" s="0" t="str">
        <f aca="false">IF($A1640="","",IF($AE1640&amp;""&lt;&gt;設定!$C$4,"対象外",IF($AH1640=20,IF(OR($AJ1640=10,$AJ1640=11,$AJ1640=18),"①病院一般",IF($AJ1640=41,"②病院短期","対象外")),IF($AH1640=5,IF($AJ1640=30,"③特定消防","対象外"),IF(OR($AJ1640=10,$AJ1640=11,$AJ1640=74),"④一般",IF(OR($AJ1640=41,$AJ1640=47),"⑤短期","対象外"))))))</f>
        <v/>
      </c>
    </row>
    <row r="1641" customFormat="false" ht="15" hidden="false" customHeight="false" outlineLevel="0" collapsed="false">
      <c r="DB1641" s="0" t="str">
        <f aca="false">IF($A1641="","",IF($AE1641&amp;""&lt;&gt;設定!$C$4,"対象外",IF($AH1641=20,IF(OR($AJ1641=10,$AJ1641=11,$AJ1641=18),"①病院一般",IF($AJ1641=41,"②病院短期","対象外")),IF($AH1641=5,IF($AJ1641=30,"③特定消防","対象外"),IF(OR($AJ1641=10,$AJ1641=11,$AJ1641=74),"④一般",IF(OR($AJ1641=41,$AJ1641=47),"⑤短期","対象外"))))))</f>
        <v/>
      </c>
    </row>
    <row r="1642" customFormat="false" ht="15" hidden="false" customHeight="false" outlineLevel="0" collapsed="false">
      <c r="DB1642" s="0" t="str">
        <f aca="false">IF($A1642="","",IF($AE1642&amp;""&lt;&gt;設定!$C$4,"対象外",IF($AH1642=20,IF(OR($AJ1642=10,$AJ1642=11,$AJ1642=18),"①病院一般",IF($AJ1642=41,"②病院短期","対象外")),IF($AH1642=5,IF($AJ1642=30,"③特定消防","対象外"),IF(OR($AJ1642=10,$AJ1642=11,$AJ1642=74),"④一般",IF(OR($AJ1642=41,$AJ1642=47),"⑤短期","対象外"))))))</f>
        <v/>
      </c>
    </row>
    <row r="1643" customFormat="false" ht="15" hidden="false" customHeight="false" outlineLevel="0" collapsed="false">
      <c r="DB1643" s="0" t="str">
        <f aca="false">IF($A1643="","",IF($AE1643&amp;""&lt;&gt;設定!$C$4,"対象外",IF($AH1643=20,IF(OR($AJ1643=10,$AJ1643=11,$AJ1643=18),"①病院一般",IF($AJ1643=41,"②病院短期","対象外")),IF($AH1643=5,IF($AJ1643=30,"③特定消防","対象外"),IF(OR($AJ1643=10,$AJ1643=11,$AJ1643=74),"④一般",IF(OR($AJ1643=41,$AJ1643=47),"⑤短期","対象外"))))))</f>
        <v/>
      </c>
    </row>
    <row r="1644" customFormat="false" ht="15" hidden="false" customHeight="false" outlineLevel="0" collapsed="false">
      <c r="DB1644" s="0" t="str">
        <f aca="false">IF($A1644="","",IF($AE1644&amp;""&lt;&gt;設定!$C$4,"対象外",IF($AH1644=20,IF(OR($AJ1644=10,$AJ1644=11,$AJ1644=18),"①病院一般",IF($AJ1644=41,"②病院短期","対象外")),IF($AH1644=5,IF($AJ1644=30,"③特定消防","対象外"),IF(OR($AJ1644=10,$AJ1644=11,$AJ1644=74),"④一般",IF(OR($AJ1644=41,$AJ1644=47),"⑤短期","対象外"))))))</f>
        <v/>
      </c>
    </row>
    <row r="1645" customFormat="false" ht="15" hidden="false" customHeight="false" outlineLevel="0" collapsed="false">
      <c r="DB1645" s="0" t="str">
        <f aca="false">IF($A1645="","",IF($AE1645&amp;""&lt;&gt;設定!$C$4,"対象外",IF($AH1645=20,IF(OR($AJ1645=10,$AJ1645=11,$AJ1645=18),"①病院一般",IF($AJ1645=41,"②病院短期","対象外")),IF($AH1645=5,IF($AJ1645=30,"③特定消防","対象外"),IF(OR($AJ1645=10,$AJ1645=11,$AJ1645=74),"④一般",IF(OR($AJ1645=41,$AJ1645=47),"⑤短期","対象外"))))))</f>
        <v/>
      </c>
    </row>
    <row r="1646" customFormat="false" ht="15" hidden="false" customHeight="false" outlineLevel="0" collapsed="false">
      <c r="DB1646" s="0" t="str">
        <f aca="false">IF($A1646="","",IF($AE1646&amp;""&lt;&gt;設定!$C$4,"対象外",IF($AH1646=20,IF(OR($AJ1646=10,$AJ1646=11,$AJ1646=18),"①病院一般",IF($AJ1646=41,"②病院短期","対象外")),IF($AH1646=5,IF($AJ1646=30,"③特定消防","対象外"),IF(OR($AJ1646=10,$AJ1646=11,$AJ1646=74),"④一般",IF(OR($AJ1646=41,$AJ1646=47),"⑤短期","対象外"))))))</f>
        <v/>
      </c>
    </row>
    <row r="1647" customFormat="false" ht="15" hidden="false" customHeight="false" outlineLevel="0" collapsed="false">
      <c r="DB1647" s="0" t="str">
        <f aca="false">IF($A1647="","",IF($AE1647&amp;""&lt;&gt;設定!$C$4,"対象外",IF($AH1647=20,IF(OR($AJ1647=10,$AJ1647=11,$AJ1647=18),"①病院一般",IF($AJ1647=41,"②病院短期","対象外")),IF($AH1647=5,IF($AJ1647=30,"③特定消防","対象外"),IF(OR($AJ1647=10,$AJ1647=11,$AJ1647=74),"④一般",IF(OR($AJ1647=41,$AJ1647=47),"⑤短期","対象外"))))))</f>
        <v/>
      </c>
    </row>
    <row r="1648" customFormat="false" ht="15" hidden="false" customHeight="false" outlineLevel="0" collapsed="false">
      <c r="DB1648" s="0" t="str">
        <f aca="false">IF($A1648="","",IF($AE1648&amp;""&lt;&gt;設定!$C$4,"対象外",IF($AH1648=20,IF(OR($AJ1648=10,$AJ1648=11,$AJ1648=18),"①病院一般",IF($AJ1648=41,"②病院短期","対象外")),IF($AH1648=5,IF($AJ1648=30,"③特定消防","対象外"),IF(OR($AJ1648=10,$AJ1648=11,$AJ1648=74),"④一般",IF(OR($AJ1648=41,$AJ1648=47),"⑤短期","対象外"))))))</f>
        <v/>
      </c>
    </row>
    <row r="1649" customFormat="false" ht="15" hidden="false" customHeight="false" outlineLevel="0" collapsed="false">
      <c r="DB1649" s="0" t="str">
        <f aca="false">IF($A1649="","",IF($AE1649&amp;""&lt;&gt;設定!$C$4,"対象外",IF($AH1649=20,IF(OR($AJ1649=10,$AJ1649=11,$AJ1649=18),"①病院一般",IF($AJ1649=41,"②病院短期","対象外")),IF($AH1649=5,IF($AJ1649=30,"③特定消防","対象外"),IF(OR($AJ1649=10,$AJ1649=11,$AJ1649=74),"④一般",IF(OR($AJ1649=41,$AJ1649=47),"⑤短期","対象外"))))))</f>
        <v/>
      </c>
    </row>
    <row r="1650" customFormat="false" ht="15" hidden="false" customHeight="false" outlineLevel="0" collapsed="false">
      <c r="DB1650" s="0" t="str">
        <f aca="false">IF($A1650="","",IF($AE1650&amp;""&lt;&gt;設定!$C$4,"対象外",IF($AH1650=20,IF(OR($AJ1650=10,$AJ1650=11,$AJ1650=18),"①病院一般",IF($AJ1650=41,"②病院短期","対象外")),IF($AH1650=5,IF($AJ1650=30,"③特定消防","対象外"),IF(OR($AJ1650=10,$AJ1650=11,$AJ1650=74),"④一般",IF(OR($AJ1650=41,$AJ1650=47),"⑤短期","対象外"))))))</f>
        <v/>
      </c>
    </row>
    <row r="1651" customFormat="false" ht="15" hidden="false" customHeight="false" outlineLevel="0" collapsed="false">
      <c r="DB1651" s="0" t="str">
        <f aca="false">IF($A1651="","",IF($AE1651&amp;""&lt;&gt;設定!$C$4,"対象外",IF($AH1651=20,IF(OR($AJ1651=10,$AJ1651=11,$AJ1651=18),"①病院一般",IF($AJ1651=41,"②病院短期","対象外")),IF($AH1651=5,IF($AJ1651=30,"③特定消防","対象外"),IF(OR($AJ1651=10,$AJ1651=11,$AJ1651=74),"④一般",IF(OR($AJ1651=41,$AJ1651=47),"⑤短期","対象外"))))))</f>
        <v/>
      </c>
    </row>
    <row r="1652" customFormat="false" ht="15" hidden="false" customHeight="false" outlineLevel="0" collapsed="false">
      <c r="DB1652" s="0" t="str">
        <f aca="false">IF($A1652="","",IF($AE1652&amp;""&lt;&gt;設定!$C$4,"対象外",IF($AH1652=20,IF(OR($AJ1652=10,$AJ1652=11,$AJ1652=18),"①病院一般",IF($AJ1652=41,"②病院短期","対象外")),IF($AH1652=5,IF($AJ1652=30,"③特定消防","対象外"),IF(OR($AJ1652=10,$AJ1652=11,$AJ1652=74),"④一般",IF(OR($AJ1652=41,$AJ1652=47),"⑤短期","対象外"))))))</f>
        <v/>
      </c>
    </row>
    <row r="1653" customFormat="false" ht="15" hidden="false" customHeight="false" outlineLevel="0" collapsed="false">
      <c r="DB1653" s="0" t="str">
        <f aca="false">IF($A1653="","",IF($AE1653&amp;""&lt;&gt;設定!$C$4,"対象外",IF($AH1653=20,IF(OR($AJ1653=10,$AJ1653=11,$AJ1653=18),"①病院一般",IF($AJ1653=41,"②病院短期","対象外")),IF($AH1653=5,IF($AJ1653=30,"③特定消防","対象外"),IF(OR($AJ1653=10,$AJ1653=11,$AJ1653=74),"④一般",IF(OR($AJ1653=41,$AJ1653=47),"⑤短期","対象外"))))))</f>
        <v/>
      </c>
    </row>
    <row r="1654" customFormat="false" ht="15" hidden="false" customHeight="false" outlineLevel="0" collapsed="false">
      <c r="DB1654" s="0" t="str">
        <f aca="false">IF($A1654="","",IF($AE1654&amp;""&lt;&gt;設定!$C$4,"対象外",IF($AH1654=20,IF(OR($AJ1654=10,$AJ1654=11,$AJ1654=18),"①病院一般",IF($AJ1654=41,"②病院短期","対象外")),IF($AH1654=5,IF($AJ1654=30,"③特定消防","対象外"),IF(OR($AJ1654=10,$AJ1654=11,$AJ1654=74),"④一般",IF(OR($AJ1654=41,$AJ1654=47),"⑤短期","対象外"))))))</f>
        <v/>
      </c>
    </row>
    <row r="1655" customFormat="false" ht="15" hidden="false" customHeight="false" outlineLevel="0" collapsed="false">
      <c r="DB1655" s="0" t="str">
        <f aca="false">IF($A1655="","",IF($AE1655&amp;""&lt;&gt;設定!$C$4,"対象外",IF($AH1655=20,IF(OR($AJ1655=10,$AJ1655=11,$AJ1655=18),"①病院一般",IF($AJ1655=41,"②病院短期","対象外")),IF($AH1655=5,IF($AJ1655=30,"③特定消防","対象外"),IF(OR($AJ1655=10,$AJ1655=11,$AJ1655=74),"④一般",IF(OR($AJ1655=41,$AJ1655=47),"⑤短期","対象外"))))))</f>
        <v/>
      </c>
    </row>
    <row r="1656" customFormat="false" ht="15" hidden="false" customHeight="false" outlineLevel="0" collapsed="false">
      <c r="DB1656" s="0" t="str">
        <f aca="false">IF($A1656="","",IF($AE1656&amp;""&lt;&gt;設定!$C$4,"対象外",IF($AH1656=20,IF(OR($AJ1656=10,$AJ1656=11,$AJ1656=18),"①病院一般",IF($AJ1656=41,"②病院短期","対象外")),IF($AH1656=5,IF($AJ1656=30,"③特定消防","対象外"),IF(OR($AJ1656=10,$AJ1656=11,$AJ1656=74),"④一般",IF(OR($AJ1656=41,$AJ1656=47),"⑤短期","対象外"))))))</f>
        <v/>
      </c>
    </row>
    <row r="1657" customFormat="false" ht="15" hidden="false" customHeight="false" outlineLevel="0" collapsed="false">
      <c r="DB1657" s="0" t="str">
        <f aca="false">IF($A1657="","",IF($AE1657&amp;""&lt;&gt;設定!$C$4,"対象外",IF($AH1657=20,IF(OR($AJ1657=10,$AJ1657=11,$AJ1657=18),"①病院一般",IF($AJ1657=41,"②病院短期","対象外")),IF($AH1657=5,IF($AJ1657=30,"③特定消防","対象外"),IF(OR($AJ1657=10,$AJ1657=11,$AJ1657=74),"④一般",IF(OR($AJ1657=41,$AJ1657=47),"⑤短期","対象外"))))))</f>
        <v/>
      </c>
    </row>
    <row r="1658" customFormat="false" ht="15" hidden="false" customHeight="false" outlineLevel="0" collapsed="false">
      <c r="DB1658" s="0" t="str">
        <f aca="false">IF($A1658="","",IF($AE1658&amp;""&lt;&gt;設定!$C$4,"対象外",IF($AH1658=20,IF(OR($AJ1658=10,$AJ1658=11,$AJ1658=18),"①病院一般",IF($AJ1658=41,"②病院短期","対象外")),IF($AH1658=5,IF($AJ1658=30,"③特定消防","対象外"),IF(OR($AJ1658=10,$AJ1658=11,$AJ1658=74),"④一般",IF(OR($AJ1658=41,$AJ1658=47),"⑤短期","対象外"))))))</f>
        <v/>
      </c>
    </row>
    <row r="1659" customFormat="false" ht="15" hidden="false" customHeight="false" outlineLevel="0" collapsed="false">
      <c r="DB1659" s="0" t="str">
        <f aca="false">IF($A1659="","",IF($AE1659&amp;""&lt;&gt;設定!$C$4,"対象外",IF($AH1659=20,IF(OR($AJ1659=10,$AJ1659=11,$AJ1659=18),"①病院一般",IF($AJ1659=41,"②病院短期","対象外")),IF($AH1659=5,IF($AJ1659=30,"③特定消防","対象外"),IF(OR($AJ1659=10,$AJ1659=11,$AJ1659=74),"④一般",IF(OR($AJ1659=41,$AJ1659=47),"⑤短期","対象外"))))))</f>
        <v/>
      </c>
    </row>
    <row r="1660" customFormat="false" ht="15" hidden="false" customHeight="false" outlineLevel="0" collapsed="false">
      <c r="DB1660" s="0" t="str">
        <f aca="false">IF($A1660="","",IF($AE1660&amp;""&lt;&gt;設定!$C$4,"対象外",IF($AH1660=20,IF(OR($AJ1660=10,$AJ1660=11,$AJ1660=18),"①病院一般",IF($AJ1660=41,"②病院短期","対象外")),IF($AH1660=5,IF($AJ1660=30,"③特定消防","対象外"),IF(OR($AJ1660=10,$AJ1660=11,$AJ1660=74),"④一般",IF(OR($AJ1660=41,$AJ1660=47),"⑤短期","対象外"))))))</f>
        <v/>
      </c>
    </row>
    <row r="1661" customFormat="false" ht="15" hidden="false" customHeight="false" outlineLevel="0" collapsed="false">
      <c r="DB1661" s="0" t="str">
        <f aca="false">IF($A1661="","",IF($AE1661&amp;""&lt;&gt;設定!$C$4,"対象外",IF($AH1661=20,IF(OR($AJ1661=10,$AJ1661=11,$AJ1661=18),"①病院一般",IF($AJ1661=41,"②病院短期","対象外")),IF($AH1661=5,IF($AJ1661=30,"③特定消防","対象外"),IF(OR($AJ1661=10,$AJ1661=11,$AJ1661=74),"④一般",IF(OR($AJ1661=41,$AJ1661=47),"⑤短期","対象外"))))))</f>
        <v/>
      </c>
    </row>
    <row r="1662" customFormat="false" ht="15" hidden="false" customHeight="false" outlineLevel="0" collapsed="false">
      <c r="DB1662" s="0" t="str">
        <f aca="false">IF($A1662="","",IF($AE1662&amp;""&lt;&gt;設定!$C$4,"対象外",IF($AH1662=20,IF(OR($AJ1662=10,$AJ1662=11,$AJ1662=18),"①病院一般",IF($AJ1662=41,"②病院短期","対象外")),IF($AH1662=5,IF($AJ1662=30,"③特定消防","対象外"),IF(OR($AJ1662=10,$AJ1662=11,$AJ1662=74),"④一般",IF(OR($AJ1662=41,$AJ1662=47),"⑤短期","対象外"))))))</f>
        <v/>
      </c>
    </row>
    <row r="1663" customFormat="false" ht="15" hidden="false" customHeight="false" outlineLevel="0" collapsed="false">
      <c r="DB1663" s="0" t="str">
        <f aca="false">IF($A1663="","",IF($AE1663&amp;""&lt;&gt;設定!$C$4,"対象外",IF($AH1663=20,IF(OR($AJ1663=10,$AJ1663=11,$AJ1663=18),"①病院一般",IF($AJ1663=41,"②病院短期","対象外")),IF($AH1663=5,IF($AJ1663=30,"③特定消防","対象外"),IF(OR($AJ1663=10,$AJ1663=11,$AJ1663=74),"④一般",IF(OR($AJ1663=41,$AJ1663=47),"⑤短期","対象外"))))))</f>
        <v/>
      </c>
    </row>
    <row r="1664" customFormat="false" ht="15" hidden="false" customHeight="false" outlineLevel="0" collapsed="false">
      <c r="DB1664" s="0" t="str">
        <f aca="false">IF($A1664="","",IF($AE1664&amp;""&lt;&gt;設定!$C$4,"対象外",IF($AH1664=20,IF(OR($AJ1664=10,$AJ1664=11,$AJ1664=18),"①病院一般",IF($AJ1664=41,"②病院短期","対象外")),IF($AH1664=5,IF($AJ1664=30,"③特定消防","対象外"),IF(OR($AJ1664=10,$AJ1664=11,$AJ1664=74),"④一般",IF(OR($AJ1664=41,$AJ1664=47),"⑤短期","対象外"))))))</f>
        <v/>
      </c>
    </row>
    <row r="1665" customFormat="false" ht="15" hidden="false" customHeight="false" outlineLevel="0" collapsed="false">
      <c r="DB1665" s="0" t="str">
        <f aca="false">IF($A1665="","",IF($AE1665&amp;""&lt;&gt;設定!$C$4,"対象外",IF($AH1665=20,IF(OR($AJ1665=10,$AJ1665=11,$AJ1665=18),"①病院一般",IF($AJ1665=41,"②病院短期","対象外")),IF($AH1665=5,IF($AJ1665=30,"③特定消防","対象外"),IF(OR($AJ1665=10,$AJ1665=11,$AJ1665=74),"④一般",IF(OR($AJ1665=41,$AJ1665=47),"⑤短期","対象外"))))))</f>
        <v/>
      </c>
    </row>
    <row r="1666" customFormat="false" ht="15" hidden="false" customHeight="false" outlineLevel="0" collapsed="false">
      <c r="DB1666" s="0" t="str">
        <f aca="false">IF($A1666="","",IF($AE1666&amp;""&lt;&gt;設定!$C$4,"対象外",IF($AH1666=20,IF(OR($AJ1666=10,$AJ1666=11,$AJ1666=18),"①病院一般",IF($AJ1666=41,"②病院短期","対象外")),IF($AH1666=5,IF($AJ1666=30,"③特定消防","対象外"),IF(OR($AJ1666=10,$AJ1666=11,$AJ1666=74),"④一般",IF(OR($AJ1666=41,$AJ1666=47),"⑤短期","対象外"))))))</f>
        <v/>
      </c>
    </row>
    <row r="1667" customFormat="false" ht="15" hidden="false" customHeight="false" outlineLevel="0" collapsed="false">
      <c r="DB1667" s="0" t="str">
        <f aca="false">IF($A1667="","",IF($AE1667&amp;""&lt;&gt;設定!$C$4,"対象外",IF($AH1667=20,IF(OR($AJ1667=10,$AJ1667=11,$AJ1667=18),"①病院一般",IF($AJ1667=41,"②病院短期","対象外")),IF($AH1667=5,IF($AJ1667=30,"③特定消防","対象外"),IF(OR($AJ1667=10,$AJ1667=11,$AJ1667=74),"④一般",IF(OR($AJ1667=41,$AJ1667=47),"⑤短期","対象外"))))))</f>
        <v/>
      </c>
    </row>
    <row r="1668" customFormat="false" ht="15" hidden="false" customHeight="false" outlineLevel="0" collapsed="false">
      <c r="DB1668" s="0" t="str">
        <f aca="false">IF($A1668="","",IF($AE1668&amp;""&lt;&gt;設定!$C$4,"対象外",IF($AH1668=20,IF(OR($AJ1668=10,$AJ1668=11,$AJ1668=18),"①病院一般",IF($AJ1668=41,"②病院短期","対象外")),IF($AH1668=5,IF($AJ1668=30,"③特定消防","対象外"),IF(OR($AJ1668=10,$AJ1668=11,$AJ1668=74),"④一般",IF(OR($AJ1668=41,$AJ1668=47),"⑤短期","対象外"))))))</f>
        <v/>
      </c>
    </row>
    <row r="1669" customFormat="false" ht="15" hidden="false" customHeight="false" outlineLevel="0" collapsed="false">
      <c r="DB1669" s="0" t="str">
        <f aca="false">IF($A1669="","",IF($AE1669&amp;""&lt;&gt;設定!$C$4,"対象外",IF($AH1669=20,IF(OR($AJ1669=10,$AJ1669=11,$AJ1669=18),"①病院一般",IF($AJ1669=41,"②病院短期","対象外")),IF($AH1669=5,IF($AJ1669=30,"③特定消防","対象外"),IF(OR($AJ1669=10,$AJ1669=11,$AJ1669=74),"④一般",IF(OR($AJ1669=41,$AJ1669=47),"⑤短期","対象外"))))))</f>
        <v/>
      </c>
    </row>
    <row r="1670" customFormat="false" ht="15" hidden="false" customHeight="false" outlineLevel="0" collapsed="false">
      <c r="DB1670" s="0" t="str">
        <f aca="false">IF($A1670="","",IF($AE1670&amp;""&lt;&gt;設定!$C$4,"対象外",IF($AH1670=20,IF(OR($AJ1670=10,$AJ1670=11,$AJ1670=18),"①病院一般",IF($AJ1670=41,"②病院短期","対象外")),IF($AH1670=5,IF($AJ1670=30,"③特定消防","対象外"),IF(OR($AJ1670=10,$AJ1670=11,$AJ1670=74),"④一般",IF(OR($AJ1670=41,$AJ1670=47),"⑤短期","対象外"))))))</f>
        <v/>
      </c>
    </row>
    <row r="1671" customFormat="false" ht="15" hidden="false" customHeight="false" outlineLevel="0" collapsed="false">
      <c r="DB1671" s="0" t="str">
        <f aca="false">IF($A1671="","",IF($AE1671&amp;""&lt;&gt;設定!$C$4,"対象外",IF($AH1671=20,IF(OR($AJ1671=10,$AJ1671=11,$AJ1671=18),"①病院一般",IF($AJ1671=41,"②病院短期","対象外")),IF($AH1671=5,IF($AJ1671=30,"③特定消防","対象外"),IF(OR($AJ1671=10,$AJ1671=11,$AJ1671=74),"④一般",IF(OR($AJ1671=41,$AJ1671=47),"⑤短期","対象外"))))))</f>
        <v/>
      </c>
    </row>
    <row r="1672" customFormat="false" ht="15" hidden="false" customHeight="false" outlineLevel="0" collapsed="false">
      <c r="DB1672" s="0" t="str">
        <f aca="false">IF($A1672="","",IF($AE1672&amp;""&lt;&gt;設定!$C$4,"対象外",IF($AH1672=20,IF(OR($AJ1672=10,$AJ1672=11,$AJ1672=18),"①病院一般",IF($AJ1672=41,"②病院短期","対象外")),IF($AH1672=5,IF($AJ1672=30,"③特定消防","対象外"),IF(OR($AJ1672=10,$AJ1672=11,$AJ1672=74),"④一般",IF(OR($AJ1672=41,$AJ1672=47),"⑤短期","対象外"))))))</f>
        <v/>
      </c>
    </row>
    <row r="1673" customFormat="false" ht="15" hidden="false" customHeight="false" outlineLevel="0" collapsed="false">
      <c r="DB1673" s="0" t="str">
        <f aca="false">IF($A1673="","",IF($AE1673&amp;""&lt;&gt;設定!$C$4,"対象外",IF($AH1673=20,IF(OR($AJ1673=10,$AJ1673=11,$AJ1673=18),"①病院一般",IF($AJ1673=41,"②病院短期","対象外")),IF($AH1673=5,IF($AJ1673=30,"③特定消防","対象外"),IF(OR($AJ1673=10,$AJ1673=11,$AJ1673=74),"④一般",IF(OR($AJ1673=41,$AJ1673=47),"⑤短期","対象外"))))))</f>
        <v/>
      </c>
    </row>
    <row r="1674" customFormat="false" ht="15" hidden="false" customHeight="false" outlineLevel="0" collapsed="false">
      <c r="DB1674" s="0" t="str">
        <f aca="false">IF($A1674="","",IF($AE1674&amp;""&lt;&gt;設定!$C$4,"対象外",IF($AH1674=20,IF(OR($AJ1674=10,$AJ1674=11,$AJ1674=18),"①病院一般",IF($AJ1674=41,"②病院短期","対象外")),IF($AH1674=5,IF($AJ1674=30,"③特定消防","対象外"),IF(OR($AJ1674=10,$AJ1674=11,$AJ1674=74),"④一般",IF(OR($AJ1674=41,$AJ1674=47),"⑤短期","対象外"))))))</f>
        <v/>
      </c>
    </row>
    <row r="1675" customFormat="false" ht="15" hidden="false" customHeight="false" outlineLevel="0" collapsed="false">
      <c r="DB1675" s="0" t="str">
        <f aca="false">IF($A1675="","",IF($AE1675&amp;""&lt;&gt;設定!$C$4,"対象外",IF($AH1675=20,IF(OR($AJ1675=10,$AJ1675=11,$AJ1675=18),"①病院一般",IF($AJ1675=41,"②病院短期","対象外")),IF($AH1675=5,IF($AJ1675=30,"③特定消防","対象外"),IF(OR($AJ1675=10,$AJ1675=11,$AJ1675=74),"④一般",IF(OR($AJ1675=41,$AJ1675=47),"⑤短期","対象外"))))))</f>
        <v/>
      </c>
    </row>
    <row r="1676" customFormat="false" ht="15" hidden="false" customHeight="false" outlineLevel="0" collapsed="false">
      <c r="DB1676" s="0" t="str">
        <f aca="false">IF($A1676="","",IF($AE1676&amp;""&lt;&gt;設定!$C$4,"対象外",IF($AH1676=20,IF(OR($AJ1676=10,$AJ1676=11,$AJ1676=18),"①病院一般",IF($AJ1676=41,"②病院短期","対象外")),IF($AH1676=5,IF($AJ1676=30,"③特定消防","対象外"),IF(OR($AJ1676=10,$AJ1676=11,$AJ1676=74),"④一般",IF(OR($AJ1676=41,$AJ1676=47),"⑤短期","対象外"))))))</f>
        <v/>
      </c>
    </row>
    <row r="1677" customFormat="false" ht="15" hidden="false" customHeight="false" outlineLevel="0" collapsed="false">
      <c r="DB1677" s="0" t="str">
        <f aca="false">IF($A1677="","",IF($AE1677&amp;""&lt;&gt;設定!$C$4,"対象外",IF($AH1677=20,IF(OR($AJ1677=10,$AJ1677=11,$AJ1677=18),"①病院一般",IF($AJ1677=41,"②病院短期","対象外")),IF($AH1677=5,IF($AJ1677=30,"③特定消防","対象外"),IF(OR($AJ1677=10,$AJ1677=11,$AJ1677=74),"④一般",IF(OR($AJ1677=41,$AJ1677=47),"⑤短期","対象外"))))))</f>
        <v/>
      </c>
    </row>
    <row r="1678" customFormat="false" ht="15" hidden="false" customHeight="false" outlineLevel="0" collapsed="false">
      <c r="DB1678" s="0" t="str">
        <f aca="false">IF($A1678="","",IF($AE1678&amp;""&lt;&gt;設定!$C$4,"対象外",IF($AH1678=20,IF(OR($AJ1678=10,$AJ1678=11,$AJ1678=18),"①病院一般",IF($AJ1678=41,"②病院短期","対象外")),IF($AH1678=5,IF($AJ1678=30,"③特定消防","対象外"),IF(OR($AJ1678=10,$AJ1678=11,$AJ1678=74),"④一般",IF(OR($AJ1678=41,$AJ1678=47),"⑤短期","対象外"))))))</f>
        <v/>
      </c>
    </row>
    <row r="1679" customFormat="false" ht="15" hidden="false" customHeight="false" outlineLevel="0" collapsed="false">
      <c r="DB1679" s="0" t="str">
        <f aca="false">IF($A1679="","",IF($AE1679&amp;""&lt;&gt;設定!$C$4,"対象外",IF($AH1679=20,IF(OR($AJ1679=10,$AJ1679=11,$AJ1679=18),"①病院一般",IF($AJ1679=41,"②病院短期","対象外")),IF($AH1679=5,IF($AJ1679=30,"③特定消防","対象外"),IF(OR($AJ1679=10,$AJ1679=11,$AJ1679=74),"④一般",IF(OR($AJ1679=41,$AJ1679=47),"⑤短期","対象外"))))))</f>
        <v/>
      </c>
    </row>
    <row r="1680" customFormat="false" ht="15" hidden="false" customHeight="false" outlineLevel="0" collapsed="false">
      <c r="DB1680" s="0" t="str">
        <f aca="false">IF($A1680="","",IF($AE1680&amp;""&lt;&gt;設定!$C$4,"対象外",IF($AH1680=20,IF(OR($AJ1680=10,$AJ1680=11,$AJ1680=18),"①病院一般",IF($AJ1680=41,"②病院短期","対象外")),IF($AH1680=5,IF($AJ1680=30,"③特定消防","対象外"),IF(OR($AJ1680=10,$AJ1680=11,$AJ1680=74),"④一般",IF(OR($AJ1680=41,$AJ1680=47),"⑤短期","対象外"))))))</f>
        <v/>
      </c>
    </row>
    <row r="1681" customFormat="false" ht="15" hidden="false" customHeight="false" outlineLevel="0" collapsed="false">
      <c r="DB1681" s="0" t="str">
        <f aca="false">IF($A1681="","",IF($AE1681&amp;""&lt;&gt;設定!$C$4,"対象外",IF($AH1681=20,IF(OR($AJ1681=10,$AJ1681=11,$AJ1681=18),"①病院一般",IF($AJ1681=41,"②病院短期","対象外")),IF($AH1681=5,IF($AJ1681=30,"③特定消防","対象外"),IF(OR($AJ1681=10,$AJ1681=11,$AJ1681=74),"④一般",IF(OR($AJ1681=41,$AJ1681=47),"⑤短期","対象外"))))))</f>
        <v/>
      </c>
    </row>
    <row r="1682" customFormat="false" ht="15" hidden="false" customHeight="false" outlineLevel="0" collapsed="false">
      <c r="DB1682" s="0" t="str">
        <f aca="false">IF($A1682="","",IF($AE1682&amp;""&lt;&gt;設定!$C$4,"対象外",IF($AH1682=20,IF(OR($AJ1682=10,$AJ1682=11,$AJ1682=18),"①病院一般",IF($AJ1682=41,"②病院短期","対象外")),IF($AH1682=5,IF($AJ1682=30,"③特定消防","対象外"),IF(OR($AJ1682=10,$AJ1682=11,$AJ1682=74),"④一般",IF(OR($AJ1682=41,$AJ1682=47),"⑤短期","対象外"))))))</f>
        <v/>
      </c>
    </row>
    <row r="1683" customFormat="false" ht="15" hidden="false" customHeight="false" outlineLevel="0" collapsed="false">
      <c r="DB1683" s="0" t="str">
        <f aca="false">IF($A1683="","",IF($AE1683&amp;""&lt;&gt;設定!$C$4,"対象外",IF($AH1683=20,IF(OR($AJ1683=10,$AJ1683=11,$AJ1683=18),"①病院一般",IF($AJ1683=41,"②病院短期","対象外")),IF($AH1683=5,IF($AJ1683=30,"③特定消防","対象外"),IF(OR($AJ1683=10,$AJ1683=11,$AJ1683=74),"④一般",IF(OR($AJ1683=41,$AJ1683=47),"⑤短期","対象外"))))))</f>
        <v/>
      </c>
    </row>
    <row r="1684" customFormat="false" ht="15" hidden="false" customHeight="false" outlineLevel="0" collapsed="false">
      <c r="DB1684" s="0" t="str">
        <f aca="false">IF($A1684="","",IF($AE1684&amp;""&lt;&gt;設定!$C$4,"対象外",IF($AH1684=20,IF(OR($AJ1684=10,$AJ1684=11,$AJ1684=18),"①病院一般",IF($AJ1684=41,"②病院短期","対象外")),IF($AH1684=5,IF($AJ1684=30,"③特定消防","対象外"),IF(OR($AJ1684=10,$AJ1684=11,$AJ1684=74),"④一般",IF(OR($AJ1684=41,$AJ1684=47),"⑤短期","対象外"))))))</f>
        <v/>
      </c>
    </row>
    <row r="1685" customFormat="false" ht="15" hidden="false" customHeight="false" outlineLevel="0" collapsed="false">
      <c r="DB1685" s="0" t="str">
        <f aca="false">IF($A1685="","",IF($AE1685&amp;""&lt;&gt;設定!$C$4,"対象外",IF($AH1685=20,IF(OR($AJ1685=10,$AJ1685=11,$AJ1685=18),"①病院一般",IF($AJ1685=41,"②病院短期","対象外")),IF($AH1685=5,IF($AJ1685=30,"③特定消防","対象外"),IF(OR($AJ1685=10,$AJ1685=11,$AJ1685=74),"④一般",IF(OR($AJ1685=41,$AJ1685=47),"⑤短期","対象外"))))))</f>
        <v/>
      </c>
    </row>
    <row r="1686" customFormat="false" ht="15" hidden="false" customHeight="false" outlineLevel="0" collapsed="false">
      <c r="DB1686" s="0" t="str">
        <f aca="false">IF($A1686="","",IF($AE1686&amp;""&lt;&gt;設定!$C$4,"対象外",IF($AH1686=20,IF(OR($AJ1686=10,$AJ1686=11,$AJ1686=18),"①病院一般",IF($AJ1686=41,"②病院短期","対象外")),IF($AH1686=5,IF($AJ1686=30,"③特定消防","対象外"),IF(OR($AJ1686=10,$AJ1686=11,$AJ1686=74),"④一般",IF(OR($AJ1686=41,$AJ1686=47),"⑤短期","対象外"))))))</f>
        <v/>
      </c>
    </row>
    <row r="1687" customFormat="false" ht="15" hidden="false" customHeight="false" outlineLevel="0" collapsed="false">
      <c r="DB1687" s="0" t="str">
        <f aca="false">IF($A1687="","",IF($AE1687&amp;""&lt;&gt;設定!$C$4,"対象外",IF($AH1687=20,IF(OR($AJ1687=10,$AJ1687=11,$AJ1687=18),"①病院一般",IF($AJ1687=41,"②病院短期","対象外")),IF($AH1687=5,IF($AJ1687=30,"③特定消防","対象外"),IF(OR($AJ1687=10,$AJ1687=11,$AJ1687=74),"④一般",IF(OR($AJ1687=41,$AJ1687=47),"⑤短期","対象外"))))))</f>
        <v/>
      </c>
    </row>
    <row r="1688" customFormat="false" ht="15" hidden="false" customHeight="false" outlineLevel="0" collapsed="false">
      <c r="DB1688" s="0" t="str">
        <f aca="false">IF($A1688="","",IF($AE1688&amp;""&lt;&gt;設定!$C$4,"対象外",IF($AH1688=20,IF(OR($AJ1688=10,$AJ1688=11,$AJ1688=18),"①病院一般",IF($AJ1688=41,"②病院短期","対象外")),IF($AH1688=5,IF($AJ1688=30,"③特定消防","対象外"),IF(OR($AJ1688=10,$AJ1688=11,$AJ1688=74),"④一般",IF(OR($AJ1688=41,$AJ1688=47),"⑤短期","対象外"))))))</f>
        <v/>
      </c>
    </row>
    <row r="1689" customFormat="false" ht="15" hidden="false" customHeight="false" outlineLevel="0" collapsed="false">
      <c r="DB1689" s="0" t="str">
        <f aca="false">IF($A1689="","",IF($AE1689&amp;""&lt;&gt;設定!$C$4,"対象外",IF($AH1689=20,IF(OR($AJ1689=10,$AJ1689=11,$AJ1689=18),"①病院一般",IF($AJ1689=41,"②病院短期","対象外")),IF($AH1689=5,IF($AJ1689=30,"③特定消防","対象外"),IF(OR($AJ1689=10,$AJ1689=11,$AJ1689=74),"④一般",IF(OR($AJ1689=41,$AJ1689=47),"⑤短期","対象外"))))))</f>
        <v/>
      </c>
    </row>
    <row r="1690" customFormat="false" ht="15" hidden="false" customHeight="false" outlineLevel="0" collapsed="false">
      <c r="DB1690" s="0" t="str">
        <f aca="false">IF($A1690="","",IF($AE1690&amp;""&lt;&gt;設定!$C$4,"対象外",IF($AH1690=20,IF(OR($AJ1690=10,$AJ1690=11,$AJ1690=18),"①病院一般",IF($AJ1690=41,"②病院短期","対象外")),IF($AH1690=5,IF($AJ1690=30,"③特定消防","対象外"),IF(OR($AJ1690=10,$AJ1690=11,$AJ1690=74),"④一般",IF(OR($AJ1690=41,$AJ1690=47),"⑤短期","対象外"))))))</f>
        <v/>
      </c>
    </row>
    <row r="1691" customFormat="false" ht="15" hidden="false" customHeight="false" outlineLevel="0" collapsed="false">
      <c r="DB1691" s="0" t="str">
        <f aca="false">IF($A1691="","",IF($AE1691&amp;""&lt;&gt;設定!$C$4,"対象外",IF($AH1691=20,IF(OR($AJ1691=10,$AJ1691=11,$AJ1691=18),"①病院一般",IF($AJ1691=41,"②病院短期","対象外")),IF($AH1691=5,IF($AJ1691=30,"③特定消防","対象外"),IF(OR($AJ1691=10,$AJ1691=11,$AJ1691=74),"④一般",IF(OR($AJ1691=41,$AJ1691=47),"⑤短期","対象外"))))))</f>
        <v/>
      </c>
    </row>
    <row r="1692" customFormat="false" ht="15" hidden="false" customHeight="false" outlineLevel="0" collapsed="false">
      <c r="DB1692" s="0" t="str">
        <f aca="false">IF($A1692="","",IF($AE1692&amp;""&lt;&gt;設定!$C$4,"対象外",IF($AH1692=20,IF(OR($AJ1692=10,$AJ1692=11,$AJ1692=18),"①病院一般",IF($AJ1692=41,"②病院短期","対象外")),IF($AH1692=5,IF($AJ1692=30,"③特定消防","対象外"),IF(OR($AJ1692=10,$AJ1692=11,$AJ1692=74),"④一般",IF(OR($AJ1692=41,$AJ1692=47),"⑤短期","対象外"))))))</f>
        <v/>
      </c>
    </row>
    <row r="1693" customFormat="false" ht="15" hidden="false" customHeight="false" outlineLevel="0" collapsed="false">
      <c r="DB1693" s="0" t="str">
        <f aca="false">IF($A1693="","",IF($AE1693&amp;""&lt;&gt;設定!$C$4,"対象外",IF($AH1693=20,IF(OR($AJ1693=10,$AJ1693=11,$AJ1693=18),"①病院一般",IF($AJ1693=41,"②病院短期","対象外")),IF($AH1693=5,IF($AJ1693=30,"③特定消防","対象外"),IF(OR($AJ1693=10,$AJ1693=11,$AJ1693=74),"④一般",IF(OR($AJ1693=41,$AJ1693=47),"⑤短期","対象外"))))))</f>
        <v/>
      </c>
    </row>
    <row r="1694" customFormat="false" ht="15" hidden="false" customHeight="false" outlineLevel="0" collapsed="false">
      <c r="DB1694" s="0" t="str">
        <f aca="false">IF($A1694="","",IF($AE1694&amp;""&lt;&gt;設定!$C$4,"対象外",IF($AH1694=20,IF(OR($AJ1694=10,$AJ1694=11,$AJ1694=18),"①病院一般",IF($AJ1694=41,"②病院短期","対象外")),IF($AH1694=5,IF($AJ1694=30,"③特定消防","対象外"),IF(OR($AJ1694=10,$AJ1694=11,$AJ1694=74),"④一般",IF(OR($AJ1694=41,$AJ1694=47),"⑤短期","対象外"))))))</f>
        <v/>
      </c>
    </row>
    <row r="1695" customFormat="false" ht="15" hidden="false" customHeight="false" outlineLevel="0" collapsed="false">
      <c r="DB1695" s="0" t="str">
        <f aca="false">IF($A1695="","",IF($AE1695&amp;""&lt;&gt;設定!$C$4,"対象外",IF($AH1695=20,IF(OR($AJ1695=10,$AJ1695=11,$AJ1695=18),"①病院一般",IF($AJ1695=41,"②病院短期","対象外")),IF($AH1695=5,IF($AJ1695=30,"③特定消防","対象外"),IF(OR($AJ1695=10,$AJ1695=11,$AJ1695=74),"④一般",IF(OR($AJ1695=41,$AJ1695=47),"⑤短期","対象外"))))))</f>
        <v/>
      </c>
    </row>
    <row r="1696" customFormat="false" ht="15" hidden="false" customHeight="false" outlineLevel="0" collapsed="false">
      <c r="DB1696" s="0" t="str">
        <f aca="false">IF($A1696="","",IF($AE1696&amp;""&lt;&gt;設定!$C$4,"対象外",IF($AH1696=20,IF(OR($AJ1696=10,$AJ1696=11,$AJ1696=18),"①病院一般",IF($AJ1696=41,"②病院短期","対象外")),IF($AH1696=5,IF($AJ1696=30,"③特定消防","対象外"),IF(OR($AJ1696=10,$AJ1696=11,$AJ1696=74),"④一般",IF(OR($AJ1696=41,$AJ1696=47),"⑤短期","対象外"))))))</f>
        <v/>
      </c>
    </row>
    <row r="1697" customFormat="false" ht="15" hidden="false" customHeight="false" outlineLevel="0" collapsed="false">
      <c r="DB1697" s="0" t="str">
        <f aca="false">IF($A1697="","",IF($AE1697&amp;""&lt;&gt;設定!$C$4,"対象外",IF($AH1697=20,IF(OR($AJ1697=10,$AJ1697=11,$AJ1697=18),"①病院一般",IF($AJ1697=41,"②病院短期","対象外")),IF($AH1697=5,IF($AJ1697=30,"③特定消防","対象外"),IF(OR($AJ1697=10,$AJ1697=11,$AJ1697=74),"④一般",IF(OR($AJ1697=41,$AJ1697=47),"⑤短期","対象外"))))))</f>
        <v/>
      </c>
    </row>
    <row r="1698" customFormat="false" ht="15" hidden="false" customHeight="false" outlineLevel="0" collapsed="false">
      <c r="DB1698" s="0" t="str">
        <f aca="false">IF($A1698="","",IF($AE1698&amp;""&lt;&gt;設定!$C$4,"対象外",IF($AH1698=20,IF(OR($AJ1698=10,$AJ1698=11,$AJ1698=18),"①病院一般",IF($AJ1698=41,"②病院短期","対象外")),IF($AH1698=5,IF($AJ1698=30,"③特定消防","対象外"),IF(OR($AJ1698=10,$AJ1698=11,$AJ1698=74),"④一般",IF(OR($AJ1698=41,$AJ1698=47),"⑤短期","対象外"))))))</f>
        <v/>
      </c>
    </row>
    <row r="1699" customFormat="false" ht="15" hidden="false" customHeight="false" outlineLevel="0" collapsed="false">
      <c r="DB1699" s="0" t="str">
        <f aca="false">IF($A1699="","",IF($AE1699&amp;""&lt;&gt;設定!$C$4,"対象外",IF($AH1699=20,IF(OR($AJ1699=10,$AJ1699=11,$AJ1699=18),"①病院一般",IF($AJ1699=41,"②病院短期","対象外")),IF($AH1699=5,IF($AJ1699=30,"③特定消防","対象外"),IF(OR($AJ1699=10,$AJ1699=11,$AJ1699=74),"④一般",IF(OR($AJ1699=41,$AJ1699=47),"⑤短期","対象外"))))))</f>
        <v/>
      </c>
    </row>
    <row r="1700" customFormat="false" ht="15" hidden="false" customHeight="false" outlineLevel="0" collapsed="false">
      <c r="DB1700" s="0" t="str">
        <f aca="false">IF($A1700="","",IF($AE1700&amp;""&lt;&gt;設定!$C$4,"対象外",IF($AH1700=20,IF(OR($AJ1700=10,$AJ1700=11,$AJ1700=18),"①病院一般",IF($AJ1700=41,"②病院短期","対象外")),IF($AH1700=5,IF($AJ1700=30,"③特定消防","対象外"),IF(OR($AJ1700=10,$AJ1700=11,$AJ1700=74),"④一般",IF(OR($AJ1700=41,$AJ1700=47),"⑤短期","対象外"))))))</f>
        <v/>
      </c>
    </row>
    <row r="1701" customFormat="false" ht="15" hidden="false" customHeight="false" outlineLevel="0" collapsed="false">
      <c r="DB1701" s="0" t="str">
        <f aca="false">IF($A1701="","",IF($AE1701&amp;""&lt;&gt;設定!$C$4,"対象外",IF($AH1701=20,IF(OR($AJ1701=10,$AJ1701=11,$AJ1701=18),"①病院一般",IF($AJ1701=41,"②病院短期","対象外")),IF($AH1701=5,IF($AJ1701=30,"③特定消防","対象外"),IF(OR($AJ1701=10,$AJ1701=11,$AJ1701=74),"④一般",IF(OR($AJ1701=41,$AJ1701=47),"⑤短期","対象外"))))))</f>
        <v/>
      </c>
    </row>
    <row r="1702" customFormat="false" ht="15" hidden="false" customHeight="false" outlineLevel="0" collapsed="false">
      <c r="DB1702" s="0" t="str">
        <f aca="false">IF($A1702="","",IF($AE1702&amp;""&lt;&gt;設定!$C$4,"対象外",IF($AH1702=20,IF(OR($AJ1702=10,$AJ1702=11,$AJ1702=18),"①病院一般",IF($AJ1702=41,"②病院短期","対象外")),IF($AH1702=5,IF($AJ1702=30,"③特定消防","対象外"),IF(OR($AJ1702=10,$AJ1702=11,$AJ1702=74),"④一般",IF(OR($AJ1702=41,$AJ1702=47),"⑤短期","対象外"))))))</f>
        <v/>
      </c>
    </row>
    <row r="1703" customFormat="false" ht="15" hidden="false" customHeight="false" outlineLevel="0" collapsed="false">
      <c r="DB1703" s="0" t="str">
        <f aca="false">IF($A1703="","",IF($AE1703&amp;""&lt;&gt;設定!$C$4,"対象外",IF($AH1703=20,IF(OR($AJ1703=10,$AJ1703=11,$AJ1703=18),"①病院一般",IF($AJ1703=41,"②病院短期","対象外")),IF($AH1703=5,IF($AJ1703=30,"③特定消防","対象外"),IF(OR($AJ1703=10,$AJ1703=11,$AJ1703=74),"④一般",IF(OR($AJ1703=41,$AJ1703=47),"⑤短期","対象外"))))))</f>
        <v/>
      </c>
    </row>
    <row r="1704" customFormat="false" ht="15" hidden="false" customHeight="false" outlineLevel="0" collapsed="false">
      <c r="DB1704" s="0" t="str">
        <f aca="false">IF($A1704="","",IF($AE1704&amp;""&lt;&gt;設定!$C$4,"対象外",IF($AH1704=20,IF(OR($AJ1704=10,$AJ1704=11,$AJ1704=18),"①病院一般",IF($AJ1704=41,"②病院短期","対象外")),IF($AH1704=5,IF($AJ1704=30,"③特定消防","対象外"),IF(OR($AJ1704=10,$AJ1704=11,$AJ1704=74),"④一般",IF(OR($AJ1704=41,$AJ1704=47),"⑤短期","対象外"))))))</f>
        <v/>
      </c>
    </row>
    <row r="1705" customFormat="false" ht="15" hidden="false" customHeight="false" outlineLevel="0" collapsed="false">
      <c r="DB1705" s="0" t="str">
        <f aca="false">IF($A1705="","",IF($AE1705&amp;""&lt;&gt;設定!$C$4,"対象外",IF($AH1705=20,IF(OR($AJ1705=10,$AJ1705=11,$AJ1705=18),"①病院一般",IF($AJ1705=41,"②病院短期","対象外")),IF($AH1705=5,IF($AJ1705=30,"③特定消防","対象外"),IF(OR($AJ1705=10,$AJ1705=11,$AJ1705=74),"④一般",IF(OR($AJ1705=41,$AJ1705=47),"⑤短期","対象外"))))))</f>
        <v/>
      </c>
    </row>
    <row r="1706" customFormat="false" ht="15" hidden="false" customHeight="false" outlineLevel="0" collapsed="false">
      <c r="DB1706" s="0" t="str">
        <f aca="false">IF($A1706="","",IF($AE1706&amp;""&lt;&gt;設定!$C$4,"対象外",IF($AH1706=20,IF(OR($AJ1706=10,$AJ1706=11,$AJ1706=18),"①病院一般",IF($AJ1706=41,"②病院短期","対象外")),IF($AH1706=5,IF($AJ1706=30,"③特定消防","対象外"),IF(OR($AJ1706=10,$AJ1706=11,$AJ1706=74),"④一般",IF(OR($AJ1706=41,$AJ1706=47),"⑤短期","対象外"))))))</f>
        <v/>
      </c>
    </row>
    <row r="1707" customFormat="false" ht="15" hidden="false" customHeight="false" outlineLevel="0" collapsed="false">
      <c r="DB1707" s="0" t="str">
        <f aca="false">IF($A1707="","",IF($AE1707&amp;""&lt;&gt;設定!$C$4,"対象外",IF($AH1707=20,IF(OR($AJ1707=10,$AJ1707=11,$AJ1707=18),"①病院一般",IF($AJ1707=41,"②病院短期","対象外")),IF($AH1707=5,IF($AJ1707=30,"③特定消防","対象外"),IF(OR($AJ1707=10,$AJ1707=11,$AJ1707=74),"④一般",IF(OR($AJ1707=41,$AJ1707=47),"⑤短期","対象外"))))))</f>
        <v/>
      </c>
    </row>
    <row r="1708" customFormat="false" ht="15" hidden="false" customHeight="false" outlineLevel="0" collapsed="false">
      <c r="DB1708" s="0" t="str">
        <f aca="false">IF($A1708="","",IF($AE1708&amp;""&lt;&gt;設定!$C$4,"対象外",IF($AH1708=20,IF(OR($AJ1708=10,$AJ1708=11,$AJ1708=18),"①病院一般",IF($AJ1708=41,"②病院短期","対象外")),IF($AH1708=5,IF($AJ1708=30,"③特定消防","対象外"),IF(OR($AJ1708=10,$AJ1708=11,$AJ1708=74),"④一般",IF(OR($AJ1708=41,$AJ1708=47),"⑤短期","対象外"))))))</f>
        <v/>
      </c>
    </row>
    <row r="1709" customFormat="false" ht="15" hidden="false" customHeight="false" outlineLevel="0" collapsed="false">
      <c r="DB1709" s="0" t="str">
        <f aca="false">IF($A1709="","",IF($AE1709&amp;""&lt;&gt;設定!$C$4,"対象外",IF($AH1709=20,IF(OR($AJ1709=10,$AJ1709=11,$AJ1709=18),"①病院一般",IF($AJ1709=41,"②病院短期","対象外")),IF($AH1709=5,IF($AJ1709=30,"③特定消防","対象外"),IF(OR($AJ1709=10,$AJ1709=11,$AJ1709=74),"④一般",IF(OR($AJ1709=41,$AJ1709=47),"⑤短期","対象外"))))))</f>
        <v/>
      </c>
    </row>
    <row r="1710" customFormat="false" ht="15" hidden="false" customHeight="false" outlineLevel="0" collapsed="false">
      <c r="DB1710" s="0" t="str">
        <f aca="false">IF($A1710="","",IF($AE1710&amp;""&lt;&gt;設定!$C$4,"対象外",IF($AH1710=20,IF(OR($AJ1710=10,$AJ1710=11,$AJ1710=18),"①病院一般",IF($AJ1710=41,"②病院短期","対象外")),IF($AH1710=5,IF($AJ1710=30,"③特定消防","対象外"),IF(OR($AJ1710=10,$AJ1710=11,$AJ1710=74),"④一般",IF(OR($AJ1710=41,$AJ1710=47),"⑤短期","対象外"))))))</f>
        <v/>
      </c>
    </row>
    <row r="1711" customFormat="false" ht="15" hidden="false" customHeight="false" outlineLevel="0" collapsed="false">
      <c r="DB1711" s="0" t="str">
        <f aca="false">IF($A1711="","",IF($AE1711&amp;""&lt;&gt;設定!$C$4,"対象外",IF($AH1711=20,IF(OR($AJ1711=10,$AJ1711=11,$AJ1711=18),"①病院一般",IF($AJ1711=41,"②病院短期","対象外")),IF($AH1711=5,IF($AJ1711=30,"③特定消防","対象外"),IF(OR($AJ1711=10,$AJ1711=11,$AJ1711=74),"④一般",IF(OR($AJ1711=41,$AJ1711=47),"⑤短期","対象外"))))))</f>
        <v/>
      </c>
    </row>
    <row r="1712" customFormat="false" ht="15" hidden="false" customHeight="false" outlineLevel="0" collapsed="false">
      <c r="DB1712" s="0" t="str">
        <f aca="false">IF($A1712="","",IF($AE1712&amp;""&lt;&gt;設定!$C$4,"対象外",IF($AH1712=20,IF(OR($AJ1712=10,$AJ1712=11,$AJ1712=18),"①病院一般",IF($AJ1712=41,"②病院短期","対象外")),IF($AH1712=5,IF($AJ1712=30,"③特定消防","対象外"),IF(OR($AJ1712=10,$AJ1712=11,$AJ1712=74),"④一般",IF(OR($AJ1712=41,$AJ1712=47),"⑤短期","対象外"))))))</f>
        <v/>
      </c>
    </row>
    <row r="1713" customFormat="false" ht="15" hidden="false" customHeight="false" outlineLevel="0" collapsed="false">
      <c r="DB1713" s="0" t="str">
        <f aca="false">IF($A1713="","",IF($AE1713&amp;""&lt;&gt;設定!$C$4,"対象外",IF($AH1713=20,IF(OR($AJ1713=10,$AJ1713=11,$AJ1713=18),"①病院一般",IF($AJ1713=41,"②病院短期","対象外")),IF($AH1713=5,IF($AJ1713=30,"③特定消防","対象外"),IF(OR($AJ1713=10,$AJ1713=11,$AJ1713=74),"④一般",IF(OR($AJ1713=41,$AJ1713=47),"⑤短期","対象外"))))))</f>
        <v/>
      </c>
    </row>
    <row r="1714" customFormat="false" ht="15" hidden="false" customHeight="false" outlineLevel="0" collapsed="false">
      <c r="DB1714" s="0" t="str">
        <f aca="false">IF($A1714="","",IF($AE1714&amp;""&lt;&gt;設定!$C$4,"対象外",IF($AH1714=20,IF(OR($AJ1714=10,$AJ1714=11,$AJ1714=18),"①病院一般",IF($AJ1714=41,"②病院短期","対象外")),IF($AH1714=5,IF($AJ1714=30,"③特定消防","対象外"),IF(OR($AJ1714=10,$AJ1714=11,$AJ1714=74),"④一般",IF(OR($AJ1714=41,$AJ1714=47),"⑤短期","対象外"))))))</f>
        <v/>
      </c>
    </row>
    <row r="1715" customFormat="false" ht="15" hidden="false" customHeight="false" outlineLevel="0" collapsed="false">
      <c r="DB1715" s="0" t="str">
        <f aca="false">IF($A1715="","",IF($AE1715&amp;""&lt;&gt;設定!$C$4,"対象外",IF($AH1715=20,IF(OR($AJ1715=10,$AJ1715=11,$AJ1715=18),"①病院一般",IF($AJ1715=41,"②病院短期","対象外")),IF($AH1715=5,IF($AJ1715=30,"③特定消防","対象外"),IF(OR($AJ1715=10,$AJ1715=11,$AJ1715=74),"④一般",IF(OR($AJ1715=41,$AJ1715=47),"⑤短期","対象外"))))))</f>
        <v/>
      </c>
    </row>
    <row r="1716" customFormat="false" ht="15" hidden="false" customHeight="false" outlineLevel="0" collapsed="false">
      <c r="DB1716" s="0" t="str">
        <f aca="false">IF($A1716="","",IF($AE1716&amp;""&lt;&gt;設定!$C$4,"対象外",IF($AH1716=20,IF(OR($AJ1716=10,$AJ1716=11,$AJ1716=18),"①病院一般",IF($AJ1716=41,"②病院短期","対象外")),IF($AH1716=5,IF($AJ1716=30,"③特定消防","対象外"),IF(OR($AJ1716=10,$AJ1716=11,$AJ1716=74),"④一般",IF(OR($AJ1716=41,$AJ1716=47),"⑤短期","対象外"))))))</f>
        <v/>
      </c>
    </row>
    <row r="1717" customFormat="false" ht="15" hidden="false" customHeight="false" outlineLevel="0" collapsed="false">
      <c r="DB1717" s="0" t="str">
        <f aca="false">IF($A1717="","",IF($AE1717&amp;""&lt;&gt;設定!$C$4,"対象外",IF($AH1717=20,IF(OR($AJ1717=10,$AJ1717=11,$AJ1717=18),"①病院一般",IF($AJ1717=41,"②病院短期","対象外")),IF($AH1717=5,IF($AJ1717=30,"③特定消防","対象外"),IF(OR($AJ1717=10,$AJ1717=11,$AJ1717=74),"④一般",IF(OR($AJ1717=41,$AJ1717=47),"⑤短期","対象外"))))))</f>
        <v/>
      </c>
    </row>
    <row r="1718" customFormat="false" ht="15" hidden="false" customHeight="false" outlineLevel="0" collapsed="false">
      <c r="DB1718" s="0" t="str">
        <f aca="false">IF($A1718="","",IF($AE1718&amp;""&lt;&gt;設定!$C$4,"対象外",IF($AH1718=20,IF(OR($AJ1718=10,$AJ1718=11,$AJ1718=18),"①病院一般",IF($AJ1718=41,"②病院短期","対象外")),IF($AH1718=5,IF($AJ1718=30,"③特定消防","対象外"),IF(OR($AJ1718=10,$AJ1718=11,$AJ1718=74),"④一般",IF(OR($AJ1718=41,$AJ1718=47),"⑤短期","対象外"))))))</f>
        <v/>
      </c>
    </row>
    <row r="1719" customFormat="false" ht="15" hidden="false" customHeight="false" outlineLevel="0" collapsed="false">
      <c r="DB1719" s="0" t="str">
        <f aca="false">IF($A1719="","",IF($AE1719&amp;""&lt;&gt;設定!$C$4,"対象外",IF($AH1719=20,IF(OR($AJ1719=10,$AJ1719=11,$AJ1719=18),"①病院一般",IF($AJ1719=41,"②病院短期","対象外")),IF($AH1719=5,IF($AJ1719=30,"③特定消防","対象外"),IF(OR($AJ1719=10,$AJ1719=11,$AJ1719=74),"④一般",IF(OR($AJ1719=41,$AJ1719=47),"⑤短期","対象外"))))))</f>
        <v/>
      </c>
    </row>
    <row r="1720" customFormat="false" ht="15" hidden="false" customHeight="false" outlineLevel="0" collapsed="false">
      <c r="DB1720" s="0" t="str">
        <f aca="false">IF($A1720="","",IF($AE1720&amp;""&lt;&gt;設定!$C$4,"対象外",IF($AH1720=20,IF(OR($AJ1720=10,$AJ1720=11,$AJ1720=18),"①病院一般",IF($AJ1720=41,"②病院短期","対象外")),IF($AH1720=5,IF($AJ1720=30,"③特定消防","対象外"),IF(OR($AJ1720=10,$AJ1720=11,$AJ1720=74),"④一般",IF(OR($AJ1720=41,$AJ1720=47),"⑤短期","対象外"))))))</f>
        <v/>
      </c>
    </row>
    <row r="1721" customFormat="false" ht="15" hidden="false" customHeight="false" outlineLevel="0" collapsed="false">
      <c r="DB1721" s="0" t="str">
        <f aca="false">IF($A1721="","",IF($AE1721&amp;""&lt;&gt;設定!$C$4,"対象外",IF($AH1721=20,IF(OR($AJ1721=10,$AJ1721=11,$AJ1721=18),"①病院一般",IF($AJ1721=41,"②病院短期","対象外")),IF($AH1721=5,IF($AJ1721=30,"③特定消防","対象外"),IF(OR($AJ1721=10,$AJ1721=11,$AJ1721=74),"④一般",IF(OR($AJ1721=41,$AJ1721=47),"⑤短期","対象外"))))))</f>
        <v/>
      </c>
    </row>
    <row r="1722" customFormat="false" ht="15" hidden="false" customHeight="false" outlineLevel="0" collapsed="false">
      <c r="DB1722" s="0" t="str">
        <f aca="false">IF($A1722="","",IF($AE1722&amp;""&lt;&gt;設定!$C$4,"対象外",IF($AH1722=20,IF(OR($AJ1722=10,$AJ1722=11,$AJ1722=18),"①病院一般",IF($AJ1722=41,"②病院短期","対象外")),IF($AH1722=5,IF($AJ1722=30,"③特定消防","対象外"),IF(OR($AJ1722=10,$AJ1722=11,$AJ1722=74),"④一般",IF(OR($AJ1722=41,$AJ1722=47),"⑤短期","対象外"))))))</f>
        <v/>
      </c>
    </row>
    <row r="1723" customFormat="false" ht="15" hidden="false" customHeight="false" outlineLevel="0" collapsed="false">
      <c r="DB1723" s="0" t="str">
        <f aca="false">IF($A1723="","",IF($AE1723&amp;""&lt;&gt;設定!$C$4,"対象外",IF($AH1723=20,IF(OR($AJ1723=10,$AJ1723=11,$AJ1723=18),"①病院一般",IF($AJ1723=41,"②病院短期","対象外")),IF($AH1723=5,IF($AJ1723=30,"③特定消防","対象外"),IF(OR($AJ1723=10,$AJ1723=11,$AJ1723=74),"④一般",IF(OR($AJ1723=41,$AJ1723=47),"⑤短期","対象外"))))))</f>
        <v/>
      </c>
    </row>
    <row r="1724" customFormat="false" ht="15" hidden="false" customHeight="false" outlineLevel="0" collapsed="false">
      <c r="DB1724" s="0" t="str">
        <f aca="false">IF($A1724="","",IF($AE1724&amp;""&lt;&gt;設定!$C$4,"対象外",IF($AH1724=20,IF(OR($AJ1724=10,$AJ1724=11,$AJ1724=18),"①病院一般",IF($AJ1724=41,"②病院短期","対象外")),IF($AH1724=5,IF($AJ1724=30,"③特定消防","対象外"),IF(OR($AJ1724=10,$AJ1724=11,$AJ1724=74),"④一般",IF(OR($AJ1724=41,$AJ1724=47),"⑤短期","対象外"))))))</f>
        <v/>
      </c>
    </row>
    <row r="1725" customFormat="false" ht="15" hidden="false" customHeight="false" outlineLevel="0" collapsed="false">
      <c r="DB1725" s="0" t="str">
        <f aca="false">IF($A1725="","",IF($AE1725&amp;""&lt;&gt;設定!$C$4,"対象外",IF($AH1725=20,IF(OR($AJ1725=10,$AJ1725=11,$AJ1725=18),"①病院一般",IF($AJ1725=41,"②病院短期","対象外")),IF($AH1725=5,IF($AJ1725=30,"③特定消防","対象外"),IF(OR($AJ1725=10,$AJ1725=11,$AJ1725=74),"④一般",IF(OR($AJ1725=41,$AJ1725=47),"⑤短期","対象外"))))))</f>
        <v/>
      </c>
    </row>
    <row r="1726" customFormat="false" ht="15" hidden="false" customHeight="false" outlineLevel="0" collapsed="false">
      <c r="DB1726" s="0" t="str">
        <f aca="false">IF($A1726="","",IF($AE1726&amp;""&lt;&gt;設定!$C$4,"対象外",IF($AH1726=20,IF(OR($AJ1726=10,$AJ1726=11,$AJ1726=18),"①病院一般",IF($AJ1726=41,"②病院短期","対象外")),IF($AH1726=5,IF($AJ1726=30,"③特定消防","対象外"),IF(OR($AJ1726=10,$AJ1726=11,$AJ1726=74),"④一般",IF(OR($AJ1726=41,$AJ1726=47),"⑤短期","対象外"))))))</f>
        <v/>
      </c>
    </row>
    <row r="1727" customFormat="false" ht="15" hidden="false" customHeight="false" outlineLevel="0" collapsed="false">
      <c r="DB1727" s="0" t="str">
        <f aca="false">IF($A1727="","",IF($AE1727&amp;""&lt;&gt;設定!$C$4,"対象外",IF($AH1727=20,IF(OR($AJ1727=10,$AJ1727=11,$AJ1727=18),"①病院一般",IF($AJ1727=41,"②病院短期","対象外")),IF($AH1727=5,IF($AJ1727=30,"③特定消防","対象外"),IF(OR($AJ1727=10,$AJ1727=11,$AJ1727=74),"④一般",IF(OR($AJ1727=41,$AJ1727=47),"⑤短期","対象外"))))))</f>
        <v/>
      </c>
    </row>
    <row r="1728" customFormat="false" ht="15" hidden="false" customHeight="false" outlineLevel="0" collapsed="false">
      <c r="DB1728" s="0" t="str">
        <f aca="false">IF($A1728="","",IF($AE1728&amp;""&lt;&gt;設定!$C$4,"対象外",IF($AH1728=20,IF(OR($AJ1728=10,$AJ1728=11,$AJ1728=18),"①病院一般",IF($AJ1728=41,"②病院短期","対象外")),IF($AH1728=5,IF($AJ1728=30,"③特定消防","対象外"),IF(OR($AJ1728=10,$AJ1728=11,$AJ1728=74),"④一般",IF(OR($AJ1728=41,$AJ1728=47),"⑤短期","対象外"))))))</f>
        <v/>
      </c>
    </row>
    <row r="1729" customFormat="false" ht="15" hidden="false" customHeight="false" outlineLevel="0" collapsed="false">
      <c r="DB1729" s="0" t="str">
        <f aca="false">IF($A1729="","",IF($AE1729&amp;""&lt;&gt;設定!$C$4,"対象外",IF($AH1729=20,IF(OR($AJ1729=10,$AJ1729=11,$AJ1729=18),"①病院一般",IF($AJ1729=41,"②病院短期","対象外")),IF($AH1729=5,IF($AJ1729=30,"③特定消防","対象外"),IF(OR($AJ1729=10,$AJ1729=11,$AJ1729=74),"④一般",IF(OR($AJ1729=41,$AJ1729=47),"⑤短期","対象外"))))))</f>
        <v/>
      </c>
    </row>
    <row r="1730" customFormat="false" ht="15" hidden="false" customHeight="false" outlineLevel="0" collapsed="false">
      <c r="DB1730" s="0" t="str">
        <f aca="false">IF($A1730="","",IF($AE1730&amp;""&lt;&gt;設定!$C$4,"対象外",IF($AH1730=20,IF(OR($AJ1730=10,$AJ1730=11,$AJ1730=18),"①病院一般",IF($AJ1730=41,"②病院短期","対象外")),IF($AH1730=5,IF($AJ1730=30,"③特定消防","対象外"),IF(OR($AJ1730=10,$AJ1730=11,$AJ1730=74),"④一般",IF(OR($AJ1730=41,$AJ1730=47),"⑤短期","対象外"))))))</f>
        <v/>
      </c>
    </row>
    <row r="1731" customFormat="false" ht="15" hidden="false" customHeight="false" outlineLevel="0" collapsed="false">
      <c r="DB1731" s="0" t="str">
        <f aca="false">IF($A1731="","",IF($AE1731&amp;""&lt;&gt;設定!$C$4,"対象外",IF($AH1731=20,IF(OR($AJ1731=10,$AJ1731=11,$AJ1731=18),"①病院一般",IF($AJ1731=41,"②病院短期","対象外")),IF($AH1731=5,IF($AJ1731=30,"③特定消防","対象外"),IF(OR($AJ1731=10,$AJ1731=11,$AJ1731=74),"④一般",IF(OR($AJ1731=41,$AJ1731=47),"⑤短期","対象外"))))))</f>
        <v/>
      </c>
    </row>
    <row r="1732" customFormat="false" ht="15" hidden="false" customHeight="false" outlineLevel="0" collapsed="false">
      <c r="DB1732" s="0" t="str">
        <f aca="false">IF($A1732="","",IF($AE1732&amp;""&lt;&gt;設定!$C$4,"対象外",IF($AH1732=20,IF(OR($AJ1732=10,$AJ1732=11,$AJ1732=18),"①病院一般",IF($AJ1732=41,"②病院短期","対象外")),IF($AH1732=5,IF($AJ1732=30,"③特定消防","対象外"),IF(OR($AJ1732=10,$AJ1732=11,$AJ1732=74),"④一般",IF(OR($AJ1732=41,$AJ1732=47),"⑤短期","対象外"))))))</f>
        <v/>
      </c>
    </row>
    <row r="1733" customFormat="false" ht="15" hidden="false" customHeight="false" outlineLevel="0" collapsed="false">
      <c r="DB1733" s="0" t="str">
        <f aca="false">IF($A1733="","",IF($AE1733&amp;""&lt;&gt;設定!$C$4,"対象外",IF($AH1733=20,IF(OR($AJ1733=10,$AJ1733=11,$AJ1733=18),"①病院一般",IF($AJ1733=41,"②病院短期","対象外")),IF($AH1733=5,IF($AJ1733=30,"③特定消防","対象外"),IF(OR($AJ1733=10,$AJ1733=11,$AJ1733=74),"④一般",IF(OR($AJ1733=41,$AJ1733=47),"⑤短期","対象外"))))))</f>
        <v/>
      </c>
    </row>
    <row r="1734" customFormat="false" ht="15" hidden="false" customHeight="false" outlineLevel="0" collapsed="false">
      <c r="DB1734" s="0" t="str">
        <f aca="false">IF($A1734="","",IF($AE1734&amp;""&lt;&gt;設定!$C$4,"対象外",IF($AH1734=20,IF(OR($AJ1734=10,$AJ1734=11,$AJ1734=18),"①病院一般",IF($AJ1734=41,"②病院短期","対象外")),IF($AH1734=5,IF($AJ1734=30,"③特定消防","対象外"),IF(OR($AJ1734=10,$AJ1734=11,$AJ1734=74),"④一般",IF(OR($AJ1734=41,$AJ1734=47),"⑤短期","対象外"))))))</f>
        <v/>
      </c>
    </row>
    <row r="1735" customFormat="false" ht="15" hidden="false" customHeight="false" outlineLevel="0" collapsed="false">
      <c r="DB1735" s="0" t="str">
        <f aca="false">IF($A1735="","",IF($AE1735&amp;""&lt;&gt;設定!$C$4,"対象外",IF($AH1735=20,IF(OR($AJ1735=10,$AJ1735=11,$AJ1735=18),"①病院一般",IF($AJ1735=41,"②病院短期","対象外")),IF($AH1735=5,IF($AJ1735=30,"③特定消防","対象外"),IF(OR($AJ1735=10,$AJ1735=11,$AJ1735=74),"④一般",IF(OR($AJ1735=41,$AJ1735=47),"⑤短期","対象外"))))))</f>
        <v/>
      </c>
    </row>
    <row r="1736" customFormat="false" ht="15" hidden="false" customHeight="false" outlineLevel="0" collapsed="false">
      <c r="DB1736" s="0" t="str">
        <f aca="false">IF($A1736="","",IF($AE1736&amp;""&lt;&gt;設定!$C$4,"対象外",IF($AH1736=20,IF(OR($AJ1736=10,$AJ1736=11,$AJ1736=18),"①病院一般",IF($AJ1736=41,"②病院短期","対象外")),IF($AH1736=5,IF($AJ1736=30,"③特定消防","対象外"),IF(OR($AJ1736=10,$AJ1736=11,$AJ1736=74),"④一般",IF(OR($AJ1736=41,$AJ1736=47),"⑤短期","対象外"))))))</f>
        <v/>
      </c>
    </row>
    <row r="1737" customFormat="false" ht="15" hidden="false" customHeight="false" outlineLevel="0" collapsed="false">
      <c r="DB1737" s="0" t="str">
        <f aca="false">IF($A1737="","",IF($AE1737&amp;""&lt;&gt;設定!$C$4,"対象外",IF($AH1737=20,IF(OR($AJ1737=10,$AJ1737=11,$AJ1737=18),"①病院一般",IF($AJ1737=41,"②病院短期","対象外")),IF($AH1737=5,IF($AJ1737=30,"③特定消防","対象外"),IF(OR($AJ1737=10,$AJ1737=11,$AJ1737=74),"④一般",IF(OR($AJ1737=41,$AJ1737=47),"⑤短期","対象外"))))))</f>
        <v/>
      </c>
    </row>
    <row r="1738" customFormat="false" ht="15" hidden="false" customHeight="false" outlineLevel="0" collapsed="false">
      <c r="DB1738" s="0" t="str">
        <f aca="false">IF($A1738="","",IF($AE1738&amp;""&lt;&gt;設定!$C$4,"対象外",IF($AH1738=20,IF(OR($AJ1738=10,$AJ1738=11,$AJ1738=18),"①病院一般",IF($AJ1738=41,"②病院短期","対象外")),IF($AH1738=5,IF($AJ1738=30,"③特定消防","対象外"),IF(OR($AJ1738=10,$AJ1738=11,$AJ1738=74),"④一般",IF(OR($AJ1738=41,$AJ1738=47),"⑤短期","対象外"))))))</f>
        <v/>
      </c>
    </row>
    <row r="1739" customFormat="false" ht="15" hidden="false" customHeight="false" outlineLevel="0" collapsed="false">
      <c r="DB1739" s="0" t="str">
        <f aca="false">IF($A1739="","",IF($AE1739&amp;""&lt;&gt;設定!$C$4,"対象外",IF($AH1739=20,IF(OR($AJ1739=10,$AJ1739=11,$AJ1739=18),"①病院一般",IF($AJ1739=41,"②病院短期","対象外")),IF($AH1739=5,IF($AJ1739=30,"③特定消防","対象外"),IF(OR($AJ1739=10,$AJ1739=11,$AJ1739=74),"④一般",IF(OR($AJ1739=41,$AJ1739=47),"⑤短期","対象外"))))))</f>
        <v/>
      </c>
    </row>
    <row r="1740" customFormat="false" ht="15" hidden="false" customHeight="false" outlineLevel="0" collapsed="false">
      <c r="DB1740" s="0" t="str">
        <f aca="false">IF($A1740="","",IF($AE1740&amp;""&lt;&gt;設定!$C$4,"対象外",IF($AH1740=20,IF(OR($AJ1740=10,$AJ1740=11,$AJ1740=18),"①病院一般",IF($AJ1740=41,"②病院短期","対象外")),IF($AH1740=5,IF($AJ1740=30,"③特定消防","対象外"),IF(OR($AJ1740=10,$AJ1740=11,$AJ1740=74),"④一般",IF(OR($AJ1740=41,$AJ1740=47),"⑤短期","対象外"))))))</f>
        <v/>
      </c>
    </row>
    <row r="1741" customFormat="false" ht="15" hidden="false" customHeight="false" outlineLevel="0" collapsed="false">
      <c r="DB1741" s="0" t="str">
        <f aca="false">IF($A1741="","",IF($AE1741&amp;""&lt;&gt;設定!$C$4,"対象外",IF($AH1741=20,IF(OR($AJ1741=10,$AJ1741=11,$AJ1741=18),"①病院一般",IF($AJ1741=41,"②病院短期","対象外")),IF($AH1741=5,IF($AJ1741=30,"③特定消防","対象外"),IF(OR($AJ1741=10,$AJ1741=11,$AJ1741=74),"④一般",IF(OR($AJ1741=41,$AJ1741=47),"⑤短期","対象外"))))))</f>
        <v/>
      </c>
    </row>
    <row r="1742" customFormat="false" ht="15" hidden="false" customHeight="false" outlineLevel="0" collapsed="false">
      <c r="DB1742" s="0" t="str">
        <f aca="false">IF($A1742="","",IF($AE1742&amp;""&lt;&gt;設定!$C$4,"対象外",IF($AH1742=20,IF(OR($AJ1742=10,$AJ1742=11,$AJ1742=18),"①病院一般",IF($AJ1742=41,"②病院短期","対象外")),IF($AH1742=5,IF($AJ1742=30,"③特定消防","対象外"),IF(OR($AJ1742=10,$AJ1742=11,$AJ1742=74),"④一般",IF(OR($AJ1742=41,$AJ1742=47),"⑤短期","対象外"))))))</f>
        <v/>
      </c>
    </row>
    <row r="1743" customFormat="false" ht="15" hidden="false" customHeight="false" outlineLevel="0" collapsed="false">
      <c r="DB1743" s="0" t="str">
        <f aca="false">IF($A1743="","",IF($AE1743&amp;""&lt;&gt;設定!$C$4,"対象外",IF($AH1743=20,IF(OR($AJ1743=10,$AJ1743=11,$AJ1743=18),"①病院一般",IF($AJ1743=41,"②病院短期","対象外")),IF($AH1743=5,IF($AJ1743=30,"③特定消防","対象外"),IF(OR($AJ1743=10,$AJ1743=11,$AJ1743=74),"④一般",IF(OR($AJ1743=41,$AJ1743=47),"⑤短期","対象外"))))))</f>
        <v/>
      </c>
    </row>
    <row r="1744" customFormat="false" ht="15" hidden="false" customHeight="false" outlineLevel="0" collapsed="false">
      <c r="DB1744" s="0" t="str">
        <f aca="false">IF($A1744="","",IF($AE1744&amp;""&lt;&gt;設定!$C$4,"対象外",IF($AH1744=20,IF(OR($AJ1744=10,$AJ1744=11,$AJ1744=18),"①病院一般",IF($AJ1744=41,"②病院短期","対象外")),IF($AH1744=5,IF($AJ1744=30,"③特定消防","対象外"),IF(OR($AJ1744=10,$AJ1744=11,$AJ1744=74),"④一般",IF(OR($AJ1744=41,$AJ1744=47),"⑤短期","対象外"))))))</f>
        <v/>
      </c>
    </row>
    <row r="1745" customFormat="false" ht="15" hidden="false" customHeight="false" outlineLevel="0" collapsed="false">
      <c r="DB1745" s="0" t="str">
        <f aca="false">IF($A1745="","",IF($AE1745&amp;""&lt;&gt;設定!$C$4,"対象外",IF($AH1745=20,IF(OR($AJ1745=10,$AJ1745=11,$AJ1745=18),"①病院一般",IF($AJ1745=41,"②病院短期","対象外")),IF($AH1745=5,IF($AJ1745=30,"③特定消防","対象外"),IF(OR($AJ1745=10,$AJ1745=11,$AJ1745=74),"④一般",IF(OR($AJ1745=41,$AJ1745=47),"⑤短期","対象外"))))))</f>
        <v/>
      </c>
    </row>
    <row r="1746" customFormat="false" ht="15" hidden="false" customHeight="false" outlineLevel="0" collapsed="false">
      <c r="DB1746" s="0" t="str">
        <f aca="false">IF($A1746="","",IF($AE1746&amp;""&lt;&gt;設定!$C$4,"対象外",IF($AH1746=20,IF(OR($AJ1746=10,$AJ1746=11,$AJ1746=18),"①病院一般",IF($AJ1746=41,"②病院短期","対象外")),IF($AH1746=5,IF($AJ1746=30,"③特定消防","対象外"),IF(OR($AJ1746=10,$AJ1746=11,$AJ1746=74),"④一般",IF(OR($AJ1746=41,$AJ1746=47),"⑤短期","対象外"))))))</f>
        <v/>
      </c>
    </row>
    <row r="1747" customFormat="false" ht="15" hidden="false" customHeight="false" outlineLevel="0" collapsed="false">
      <c r="DB1747" s="0" t="str">
        <f aca="false">IF($A1747="","",IF($AE1747&amp;""&lt;&gt;設定!$C$4,"対象外",IF($AH1747=20,IF(OR($AJ1747=10,$AJ1747=11,$AJ1747=18),"①病院一般",IF($AJ1747=41,"②病院短期","対象外")),IF($AH1747=5,IF($AJ1747=30,"③特定消防","対象外"),IF(OR($AJ1747=10,$AJ1747=11,$AJ1747=74),"④一般",IF(OR($AJ1747=41,$AJ1747=47),"⑤短期","対象外"))))))</f>
        <v/>
      </c>
    </row>
    <row r="1748" customFormat="false" ht="15" hidden="false" customHeight="false" outlineLevel="0" collapsed="false">
      <c r="DB1748" s="0" t="str">
        <f aca="false">IF($A1748="","",IF($AE1748&amp;""&lt;&gt;設定!$C$4,"対象外",IF($AH1748=20,IF(OR($AJ1748=10,$AJ1748=11,$AJ1748=18),"①病院一般",IF($AJ1748=41,"②病院短期","対象外")),IF($AH1748=5,IF($AJ1748=30,"③特定消防","対象外"),IF(OR($AJ1748=10,$AJ1748=11,$AJ1748=74),"④一般",IF(OR($AJ1748=41,$AJ1748=47),"⑤短期","対象外"))))))</f>
        <v/>
      </c>
    </row>
    <row r="1749" customFormat="false" ht="15" hidden="false" customHeight="false" outlineLevel="0" collapsed="false">
      <c r="DB1749" s="0" t="str">
        <f aca="false">IF($A1749="","",IF($AE1749&amp;""&lt;&gt;設定!$C$4,"対象外",IF($AH1749=20,IF(OR($AJ1749=10,$AJ1749=11,$AJ1749=18),"①病院一般",IF($AJ1749=41,"②病院短期","対象外")),IF($AH1749=5,IF($AJ1749=30,"③特定消防","対象外"),IF(OR($AJ1749=10,$AJ1749=11,$AJ1749=74),"④一般",IF(OR($AJ1749=41,$AJ1749=47),"⑤短期","対象外"))))))</f>
        <v/>
      </c>
    </row>
    <row r="1750" customFormat="false" ht="15" hidden="false" customHeight="false" outlineLevel="0" collapsed="false">
      <c r="DB1750" s="0" t="str">
        <f aca="false">IF($A1750="","",IF($AE1750&amp;""&lt;&gt;設定!$C$4,"対象外",IF($AH1750=20,IF(OR($AJ1750=10,$AJ1750=11,$AJ1750=18),"①病院一般",IF($AJ1750=41,"②病院短期","対象外")),IF($AH1750=5,IF($AJ1750=30,"③特定消防","対象外"),IF(OR($AJ1750=10,$AJ1750=11,$AJ1750=74),"④一般",IF(OR($AJ1750=41,$AJ1750=47),"⑤短期","対象外"))))))</f>
        <v/>
      </c>
    </row>
    <row r="1751" customFormat="false" ht="15" hidden="false" customHeight="false" outlineLevel="0" collapsed="false">
      <c r="DB1751" s="0" t="str">
        <f aca="false">IF($A1751="","",IF($AE1751&amp;""&lt;&gt;設定!$C$4,"対象外",IF($AH1751=20,IF(OR($AJ1751=10,$AJ1751=11,$AJ1751=18),"①病院一般",IF($AJ1751=41,"②病院短期","対象外")),IF($AH1751=5,IF($AJ1751=30,"③特定消防","対象外"),IF(OR($AJ1751=10,$AJ1751=11,$AJ1751=74),"④一般",IF(OR($AJ1751=41,$AJ1751=47),"⑤短期","対象外"))))))</f>
        <v/>
      </c>
    </row>
    <row r="1752" customFormat="false" ht="15" hidden="false" customHeight="false" outlineLevel="0" collapsed="false">
      <c r="DB1752" s="0" t="str">
        <f aca="false">IF($A1752="","",IF($AE1752&amp;""&lt;&gt;設定!$C$4,"対象外",IF($AH1752=20,IF(OR($AJ1752=10,$AJ1752=11,$AJ1752=18),"①病院一般",IF($AJ1752=41,"②病院短期","対象外")),IF($AH1752=5,IF($AJ1752=30,"③特定消防","対象外"),IF(OR($AJ1752=10,$AJ1752=11,$AJ1752=74),"④一般",IF(OR($AJ1752=41,$AJ1752=47),"⑤短期","対象外"))))))</f>
        <v/>
      </c>
    </row>
    <row r="1753" customFormat="false" ht="15" hidden="false" customHeight="false" outlineLevel="0" collapsed="false">
      <c r="DB1753" s="0" t="str">
        <f aca="false">IF($A1753="","",IF($AE1753&amp;""&lt;&gt;設定!$C$4,"対象外",IF($AH1753=20,IF(OR($AJ1753=10,$AJ1753=11,$AJ1753=18),"①病院一般",IF($AJ1753=41,"②病院短期","対象外")),IF($AH1753=5,IF($AJ1753=30,"③特定消防","対象外"),IF(OR($AJ1753=10,$AJ1753=11,$AJ1753=74),"④一般",IF(OR($AJ1753=41,$AJ1753=47),"⑤短期","対象外"))))))</f>
        <v/>
      </c>
    </row>
    <row r="1754" customFormat="false" ht="15" hidden="false" customHeight="false" outlineLevel="0" collapsed="false">
      <c r="DB1754" s="0" t="str">
        <f aca="false">IF($A1754="","",IF($AE1754&amp;""&lt;&gt;設定!$C$4,"対象外",IF($AH1754=20,IF(OR($AJ1754=10,$AJ1754=11,$AJ1754=18),"①病院一般",IF($AJ1754=41,"②病院短期","対象外")),IF($AH1754=5,IF($AJ1754=30,"③特定消防","対象外"),IF(OR($AJ1754=10,$AJ1754=11,$AJ1754=74),"④一般",IF(OR($AJ1754=41,$AJ1754=47),"⑤短期","対象外"))))))</f>
        <v/>
      </c>
    </row>
    <row r="1755" customFormat="false" ht="15" hidden="false" customHeight="false" outlineLevel="0" collapsed="false">
      <c r="DB1755" s="0" t="str">
        <f aca="false">IF($A1755="","",IF($AE1755&amp;""&lt;&gt;設定!$C$4,"対象外",IF($AH1755=20,IF(OR($AJ1755=10,$AJ1755=11,$AJ1755=18),"①病院一般",IF($AJ1755=41,"②病院短期","対象外")),IF($AH1755=5,IF($AJ1755=30,"③特定消防","対象外"),IF(OR($AJ1755=10,$AJ1755=11,$AJ1755=74),"④一般",IF(OR($AJ1755=41,$AJ1755=47),"⑤短期","対象外"))))))</f>
        <v/>
      </c>
    </row>
    <row r="1756" customFormat="false" ht="15" hidden="false" customHeight="false" outlineLevel="0" collapsed="false">
      <c r="DB1756" s="0" t="str">
        <f aca="false">IF($A1756="","",IF($AE1756&amp;""&lt;&gt;設定!$C$4,"対象外",IF($AH1756=20,IF(OR($AJ1756=10,$AJ1756=11,$AJ1756=18),"①病院一般",IF($AJ1756=41,"②病院短期","対象外")),IF($AH1756=5,IF($AJ1756=30,"③特定消防","対象外"),IF(OR($AJ1756=10,$AJ1756=11,$AJ1756=74),"④一般",IF(OR($AJ1756=41,$AJ1756=47),"⑤短期","対象外"))))))</f>
        <v/>
      </c>
    </row>
    <row r="1757" customFormat="false" ht="15" hidden="false" customHeight="false" outlineLevel="0" collapsed="false">
      <c r="DB1757" s="0" t="str">
        <f aca="false">IF($A1757="","",IF($AE1757&amp;""&lt;&gt;設定!$C$4,"対象外",IF($AH1757=20,IF(OR($AJ1757=10,$AJ1757=11,$AJ1757=18),"①病院一般",IF($AJ1757=41,"②病院短期","対象外")),IF($AH1757=5,IF($AJ1757=30,"③特定消防","対象外"),IF(OR($AJ1757=10,$AJ1757=11,$AJ1757=74),"④一般",IF(OR($AJ1757=41,$AJ1757=47),"⑤短期","対象外"))))))</f>
        <v/>
      </c>
    </row>
    <row r="1758" customFormat="false" ht="15" hidden="false" customHeight="false" outlineLevel="0" collapsed="false">
      <c r="DB1758" s="0" t="str">
        <f aca="false">IF($A1758="","",IF($AE1758&amp;""&lt;&gt;設定!$C$4,"対象外",IF($AH1758=20,IF(OR($AJ1758=10,$AJ1758=11,$AJ1758=18),"①病院一般",IF($AJ1758=41,"②病院短期","対象外")),IF($AH1758=5,IF($AJ1758=30,"③特定消防","対象外"),IF(OR($AJ1758=10,$AJ1758=11,$AJ1758=74),"④一般",IF(OR($AJ1758=41,$AJ1758=47),"⑤短期","対象外"))))))</f>
        <v/>
      </c>
    </row>
    <row r="1759" customFormat="false" ht="15" hidden="false" customHeight="false" outlineLevel="0" collapsed="false">
      <c r="DB1759" s="0" t="str">
        <f aca="false">IF($A1759="","",IF($AE1759&amp;""&lt;&gt;設定!$C$4,"対象外",IF($AH1759=20,IF(OR($AJ1759=10,$AJ1759=11,$AJ1759=18),"①病院一般",IF($AJ1759=41,"②病院短期","対象外")),IF($AH1759=5,IF($AJ1759=30,"③特定消防","対象外"),IF(OR($AJ1759=10,$AJ1759=11,$AJ1759=74),"④一般",IF(OR($AJ1759=41,$AJ1759=47),"⑤短期","対象外"))))))</f>
        <v/>
      </c>
    </row>
    <row r="1760" customFormat="false" ht="15" hidden="false" customHeight="false" outlineLevel="0" collapsed="false">
      <c r="DB1760" s="0" t="str">
        <f aca="false">IF($A1760="","",IF($AE1760&amp;""&lt;&gt;設定!$C$4,"対象外",IF($AH1760=20,IF(OR($AJ1760=10,$AJ1760=11,$AJ1760=18),"①病院一般",IF($AJ1760=41,"②病院短期","対象外")),IF($AH1760=5,IF($AJ1760=30,"③特定消防","対象外"),IF(OR($AJ1760=10,$AJ1760=11,$AJ1760=74),"④一般",IF(OR($AJ1760=41,$AJ1760=47),"⑤短期","対象外"))))))</f>
        <v/>
      </c>
    </row>
    <row r="1761" customFormat="false" ht="15" hidden="false" customHeight="false" outlineLevel="0" collapsed="false">
      <c r="DB1761" s="0" t="str">
        <f aca="false">IF($A1761="","",IF($AE1761&amp;""&lt;&gt;設定!$C$4,"対象外",IF($AH1761=20,IF(OR($AJ1761=10,$AJ1761=11,$AJ1761=18),"①病院一般",IF($AJ1761=41,"②病院短期","対象外")),IF($AH1761=5,IF($AJ1761=30,"③特定消防","対象外"),IF(OR($AJ1761=10,$AJ1761=11,$AJ1761=74),"④一般",IF(OR($AJ1761=41,$AJ1761=47),"⑤短期","対象外"))))))</f>
        <v/>
      </c>
    </row>
    <row r="1762" customFormat="false" ht="15" hidden="false" customHeight="false" outlineLevel="0" collapsed="false">
      <c r="DB1762" s="0" t="str">
        <f aca="false">IF($A1762="","",IF($AE1762&amp;""&lt;&gt;設定!$C$4,"対象外",IF($AH1762=20,IF(OR($AJ1762=10,$AJ1762=11,$AJ1762=18),"①病院一般",IF($AJ1762=41,"②病院短期","対象外")),IF($AH1762=5,IF($AJ1762=30,"③特定消防","対象外"),IF(OR($AJ1762=10,$AJ1762=11,$AJ1762=74),"④一般",IF(OR($AJ1762=41,$AJ1762=47),"⑤短期","対象外"))))))</f>
        <v/>
      </c>
    </row>
    <row r="1763" customFormat="false" ht="15" hidden="false" customHeight="false" outlineLevel="0" collapsed="false">
      <c r="DB1763" s="0" t="str">
        <f aca="false">IF($A1763="","",IF($AE1763&amp;""&lt;&gt;設定!$C$4,"対象外",IF($AH1763=20,IF(OR($AJ1763=10,$AJ1763=11,$AJ1763=18),"①病院一般",IF($AJ1763=41,"②病院短期","対象外")),IF($AH1763=5,IF($AJ1763=30,"③特定消防","対象外"),IF(OR($AJ1763=10,$AJ1763=11,$AJ1763=74),"④一般",IF(OR($AJ1763=41,$AJ1763=47),"⑤短期","対象外"))))))</f>
        <v/>
      </c>
    </row>
    <row r="1764" customFormat="false" ht="15" hidden="false" customHeight="false" outlineLevel="0" collapsed="false">
      <c r="DB1764" s="0" t="str">
        <f aca="false">IF($A1764="","",IF($AE1764&amp;""&lt;&gt;設定!$C$4,"対象外",IF($AH1764=20,IF(OR($AJ1764=10,$AJ1764=11,$AJ1764=18),"①病院一般",IF($AJ1764=41,"②病院短期","対象外")),IF($AH1764=5,IF($AJ1764=30,"③特定消防","対象外"),IF(OR($AJ1764=10,$AJ1764=11,$AJ1764=74),"④一般",IF(OR($AJ1764=41,$AJ1764=47),"⑤短期","対象外"))))))</f>
        <v/>
      </c>
    </row>
    <row r="1765" customFormat="false" ht="15" hidden="false" customHeight="false" outlineLevel="0" collapsed="false">
      <c r="DB1765" s="0" t="str">
        <f aca="false">IF($A1765="","",IF($AE1765&amp;""&lt;&gt;設定!$C$4,"対象外",IF($AH1765=20,IF(OR($AJ1765=10,$AJ1765=11,$AJ1765=18),"①病院一般",IF($AJ1765=41,"②病院短期","対象外")),IF($AH1765=5,IF($AJ1765=30,"③特定消防","対象外"),IF(OR($AJ1765=10,$AJ1765=11,$AJ1765=74),"④一般",IF(OR($AJ1765=41,$AJ1765=47),"⑤短期","対象外"))))))</f>
        <v/>
      </c>
    </row>
    <row r="1766" customFormat="false" ht="15" hidden="false" customHeight="false" outlineLevel="0" collapsed="false">
      <c r="DB1766" s="0" t="str">
        <f aca="false">IF($A1766="","",IF($AE1766&amp;""&lt;&gt;設定!$C$4,"対象外",IF($AH1766=20,IF(OR($AJ1766=10,$AJ1766=11,$AJ1766=18),"①病院一般",IF($AJ1766=41,"②病院短期","対象外")),IF($AH1766=5,IF($AJ1766=30,"③特定消防","対象外"),IF(OR($AJ1766=10,$AJ1766=11,$AJ1766=74),"④一般",IF(OR($AJ1766=41,$AJ1766=47),"⑤短期","対象外"))))))</f>
        <v/>
      </c>
    </row>
    <row r="1767" customFormat="false" ht="15" hidden="false" customHeight="false" outlineLevel="0" collapsed="false">
      <c r="DB1767" s="0" t="str">
        <f aca="false">IF($A1767="","",IF($AE1767&amp;""&lt;&gt;設定!$C$4,"対象外",IF($AH1767=20,IF(OR($AJ1767=10,$AJ1767=11,$AJ1767=18),"①病院一般",IF($AJ1767=41,"②病院短期","対象外")),IF($AH1767=5,IF($AJ1767=30,"③特定消防","対象外"),IF(OR($AJ1767=10,$AJ1767=11,$AJ1767=74),"④一般",IF(OR($AJ1767=41,$AJ1767=47),"⑤短期","対象外"))))))</f>
        <v/>
      </c>
    </row>
    <row r="1768" customFormat="false" ht="15" hidden="false" customHeight="false" outlineLevel="0" collapsed="false">
      <c r="DB1768" s="0" t="str">
        <f aca="false">IF($A1768="","",IF($AE1768&amp;""&lt;&gt;設定!$C$4,"対象外",IF($AH1768=20,IF(OR($AJ1768=10,$AJ1768=11,$AJ1768=18),"①病院一般",IF($AJ1768=41,"②病院短期","対象外")),IF($AH1768=5,IF($AJ1768=30,"③特定消防","対象外"),IF(OR($AJ1768=10,$AJ1768=11,$AJ1768=74),"④一般",IF(OR($AJ1768=41,$AJ1768=47),"⑤短期","対象外"))))))</f>
        <v/>
      </c>
    </row>
    <row r="1769" customFormat="false" ht="15" hidden="false" customHeight="false" outlineLevel="0" collapsed="false">
      <c r="DB1769" s="0" t="str">
        <f aca="false">IF($A1769="","",IF($AE1769&amp;""&lt;&gt;設定!$C$4,"対象外",IF($AH1769=20,IF(OR($AJ1769=10,$AJ1769=11,$AJ1769=18),"①病院一般",IF($AJ1769=41,"②病院短期","対象外")),IF($AH1769=5,IF($AJ1769=30,"③特定消防","対象外"),IF(OR($AJ1769=10,$AJ1769=11,$AJ1769=74),"④一般",IF(OR($AJ1769=41,$AJ1769=47),"⑤短期","対象外"))))))</f>
        <v/>
      </c>
    </row>
    <row r="1770" customFormat="false" ht="15" hidden="false" customHeight="false" outlineLevel="0" collapsed="false">
      <c r="DB1770" s="0" t="str">
        <f aca="false">IF($A1770="","",IF($AE1770&amp;""&lt;&gt;設定!$C$4,"対象外",IF($AH1770=20,IF(OR($AJ1770=10,$AJ1770=11,$AJ1770=18),"①病院一般",IF($AJ1770=41,"②病院短期","対象外")),IF($AH1770=5,IF($AJ1770=30,"③特定消防","対象外"),IF(OR($AJ1770=10,$AJ1770=11,$AJ1770=74),"④一般",IF(OR($AJ1770=41,$AJ1770=47),"⑤短期","対象外"))))))</f>
        <v/>
      </c>
    </row>
    <row r="1771" customFormat="false" ht="15" hidden="false" customHeight="false" outlineLevel="0" collapsed="false">
      <c r="DB1771" s="0" t="str">
        <f aca="false">IF($A1771="","",IF($AE1771&amp;""&lt;&gt;設定!$C$4,"対象外",IF($AH1771=20,IF(OR($AJ1771=10,$AJ1771=11,$AJ1771=18),"①病院一般",IF($AJ1771=41,"②病院短期","対象外")),IF($AH1771=5,IF($AJ1771=30,"③特定消防","対象外"),IF(OR($AJ1771=10,$AJ1771=11,$AJ1771=74),"④一般",IF(OR($AJ1771=41,$AJ1771=47),"⑤短期","対象外"))))))</f>
        <v/>
      </c>
    </row>
    <row r="1772" customFormat="false" ht="15" hidden="false" customHeight="false" outlineLevel="0" collapsed="false">
      <c r="DB1772" s="0" t="str">
        <f aca="false">IF($A1772="","",IF($AE1772&amp;""&lt;&gt;設定!$C$4,"対象外",IF($AH1772=20,IF(OR($AJ1772=10,$AJ1772=11,$AJ1772=18),"①病院一般",IF($AJ1772=41,"②病院短期","対象外")),IF($AH1772=5,IF($AJ1772=30,"③特定消防","対象外"),IF(OR($AJ1772=10,$AJ1772=11,$AJ1772=74),"④一般",IF(OR($AJ1772=41,$AJ1772=47),"⑤短期","対象外"))))))</f>
        <v/>
      </c>
    </row>
    <row r="1773" customFormat="false" ht="15" hidden="false" customHeight="false" outlineLevel="0" collapsed="false">
      <c r="DB1773" s="0" t="str">
        <f aca="false">IF($A1773="","",IF($AE1773&amp;""&lt;&gt;設定!$C$4,"対象外",IF($AH1773=20,IF(OR($AJ1773=10,$AJ1773=11,$AJ1773=18),"①病院一般",IF($AJ1773=41,"②病院短期","対象外")),IF($AH1773=5,IF($AJ1773=30,"③特定消防","対象外"),IF(OR($AJ1773=10,$AJ1773=11,$AJ1773=74),"④一般",IF(OR($AJ1773=41,$AJ1773=47),"⑤短期","対象外"))))))</f>
        <v/>
      </c>
    </row>
    <row r="1774" customFormat="false" ht="15" hidden="false" customHeight="false" outlineLevel="0" collapsed="false">
      <c r="DB1774" s="0" t="str">
        <f aca="false">IF($A1774="","",IF($AE1774&amp;""&lt;&gt;設定!$C$4,"対象外",IF($AH1774=20,IF(OR($AJ1774=10,$AJ1774=11,$AJ1774=18),"①病院一般",IF($AJ1774=41,"②病院短期","対象外")),IF($AH1774=5,IF($AJ1774=30,"③特定消防","対象外"),IF(OR($AJ1774=10,$AJ1774=11,$AJ1774=74),"④一般",IF(OR($AJ1774=41,$AJ1774=47),"⑤短期","対象外"))))))</f>
        <v/>
      </c>
    </row>
    <row r="1775" customFormat="false" ht="15" hidden="false" customHeight="false" outlineLevel="0" collapsed="false">
      <c r="DB1775" s="0" t="str">
        <f aca="false">IF($A1775="","",IF($AE1775&amp;""&lt;&gt;設定!$C$4,"対象外",IF($AH1775=20,IF(OR($AJ1775=10,$AJ1775=11,$AJ1775=18),"①病院一般",IF($AJ1775=41,"②病院短期","対象外")),IF($AH1775=5,IF($AJ1775=30,"③特定消防","対象外"),IF(OR($AJ1775=10,$AJ1775=11,$AJ1775=74),"④一般",IF(OR($AJ1775=41,$AJ1775=47),"⑤短期","対象外"))))))</f>
        <v/>
      </c>
    </row>
    <row r="1776" customFormat="false" ht="15" hidden="false" customHeight="false" outlineLevel="0" collapsed="false">
      <c r="DB1776" s="0" t="str">
        <f aca="false">IF($A1776="","",IF($AE1776&amp;""&lt;&gt;設定!$C$4,"対象外",IF($AH1776=20,IF(OR($AJ1776=10,$AJ1776=11,$AJ1776=18),"①病院一般",IF($AJ1776=41,"②病院短期","対象外")),IF($AH1776=5,IF($AJ1776=30,"③特定消防","対象外"),IF(OR($AJ1776=10,$AJ1776=11,$AJ1776=74),"④一般",IF(OR($AJ1776=41,$AJ1776=47),"⑤短期","対象外"))))))</f>
        <v/>
      </c>
    </row>
    <row r="1777" customFormat="false" ht="15" hidden="false" customHeight="false" outlineLevel="0" collapsed="false">
      <c r="DB1777" s="0" t="str">
        <f aca="false">IF($A1777="","",IF($AE1777&amp;""&lt;&gt;設定!$C$4,"対象外",IF($AH1777=20,IF(OR($AJ1777=10,$AJ1777=11,$AJ1777=18),"①病院一般",IF($AJ1777=41,"②病院短期","対象外")),IF($AH1777=5,IF($AJ1777=30,"③特定消防","対象外"),IF(OR($AJ1777=10,$AJ1777=11,$AJ1777=74),"④一般",IF(OR($AJ1777=41,$AJ1777=47),"⑤短期","対象外"))))))</f>
        <v/>
      </c>
    </row>
    <row r="1778" customFormat="false" ht="15" hidden="false" customHeight="false" outlineLevel="0" collapsed="false">
      <c r="DB1778" s="0" t="str">
        <f aca="false">IF($A1778="","",IF($AE1778&amp;""&lt;&gt;設定!$C$4,"対象外",IF($AH1778=20,IF(OR($AJ1778=10,$AJ1778=11,$AJ1778=18),"①病院一般",IF($AJ1778=41,"②病院短期","対象外")),IF($AH1778=5,IF($AJ1778=30,"③特定消防","対象外"),IF(OR($AJ1778=10,$AJ1778=11,$AJ1778=74),"④一般",IF(OR($AJ1778=41,$AJ1778=47),"⑤短期","対象外"))))))</f>
        <v/>
      </c>
    </row>
    <row r="1779" customFormat="false" ht="15" hidden="false" customHeight="false" outlineLevel="0" collapsed="false">
      <c r="DB1779" s="0" t="str">
        <f aca="false">IF($A1779="","",IF($AE1779&amp;""&lt;&gt;設定!$C$4,"対象外",IF($AH1779=20,IF(OR($AJ1779=10,$AJ1779=11,$AJ1779=18),"①病院一般",IF($AJ1779=41,"②病院短期","対象外")),IF($AH1779=5,IF($AJ1779=30,"③特定消防","対象外"),IF(OR($AJ1779=10,$AJ1779=11,$AJ1779=74),"④一般",IF(OR($AJ1779=41,$AJ1779=47),"⑤短期","対象外"))))))</f>
        <v/>
      </c>
    </row>
    <row r="1780" customFormat="false" ht="15" hidden="false" customHeight="false" outlineLevel="0" collapsed="false">
      <c r="DB1780" s="0" t="str">
        <f aca="false">IF($A1780="","",IF($AE1780&amp;""&lt;&gt;設定!$C$4,"対象外",IF($AH1780=20,IF(OR($AJ1780=10,$AJ1780=11,$AJ1780=18),"①病院一般",IF($AJ1780=41,"②病院短期","対象外")),IF($AH1780=5,IF($AJ1780=30,"③特定消防","対象外"),IF(OR($AJ1780=10,$AJ1780=11,$AJ1780=74),"④一般",IF(OR($AJ1780=41,$AJ1780=47),"⑤短期","対象外"))))))</f>
        <v/>
      </c>
    </row>
    <row r="1781" customFormat="false" ht="15" hidden="false" customHeight="false" outlineLevel="0" collapsed="false">
      <c r="DB1781" s="0" t="str">
        <f aca="false">IF($A1781="","",IF($AE1781&amp;""&lt;&gt;設定!$C$4,"対象外",IF($AH1781=20,IF(OR($AJ1781=10,$AJ1781=11,$AJ1781=18),"①病院一般",IF($AJ1781=41,"②病院短期","対象外")),IF($AH1781=5,IF($AJ1781=30,"③特定消防","対象外"),IF(OR($AJ1781=10,$AJ1781=11,$AJ1781=74),"④一般",IF(OR($AJ1781=41,$AJ1781=47),"⑤短期","対象外"))))))</f>
        <v/>
      </c>
    </row>
    <row r="1782" customFormat="false" ht="15" hidden="false" customHeight="false" outlineLevel="0" collapsed="false">
      <c r="DB1782" s="0" t="str">
        <f aca="false">IF($A1782="","",IF($AE1782&amp;""&lt;&gt;設定!$C$4,"対象外",IF($AH1782=20,IF(OR($AJ1782=10,$AJ1782=11,$AJ1782=18),"①病院一般",IF($AJ1782=41,"②病院短期","対象外")),IF($AH1782=5,IF($AJ1782=30,"③特定消防","対象外"),IF(OR($AJ1782=10,$AJ1782=11,$AJ1782=74),"④一般",IF(OR($AJ1782=41,$AJ1782=47),"⑤短期","対象外"))))))</f>
        <v/>
      </c>
    </row>
    <row r="1783" customFormat="false" ht="15" hidden="false" customHeight="false" outlineLevel="0" collapsed="false">
      <c r="DB1783" s="0" t="str">
        <f aca="false">IF($A1783="","",IF($AE1783&amp;""&lt;&gt;設定!$C$4,"対象外",IF($AH1783=20,IF(OR($AJ1783=10,$AJ1783=11,$AJ1783=18),"①病院一般",IF($AJ1783=41,"②病院短期","対象外")),IF($AH1783=5,IF($AJ1783=30,"③特定消防","対象外"),IF(OR($AJ1783=10,$AJ1783=11,$AJ1783=74),"④一般",IF(OR($AJ1783=41,$AJ1783=47),"⑤短期","対象外"))))))</f>
        <v/>
      </c>
    </row>
    <row r="1784" customFormat="false" ht="15" hidden="false" customHeight="false" outlineLevel="0" collapsed="false">
      <c r="DB1784" s="0" t="str">
        <f aca="false">IF($A1784="","",IF($AE1784&amp;""&lt;&gt;設定!$C$4,"対象外",IF($AH1784=20,IF(OR($AJ1784=10,$AJ1784=11,$AJ1784=18),"①病院一般",IF($AJ1784=41,"②病院短期","対象外")),IF($AH1784=5,IF($AJ1784=30,"③特定消防","対象外"),IF(OR($AJ1784=10,$AJ1784=11,$AJ1784=74),"④一般",IF(OR($AJ1784=41,$AJ1784=47),"⑤短期","対象外"))))))</f>
        <v/>
      </c>
    </row>
    <row r="1785" customFormat="false" ht="15" hidden="false" customHeight="false" outlineLevel="0" collapsed="false">
      <c r="DB1785" s="0" t="str">
        <f aca="false">IF($A1785="","",IF($AE1785&amp;""&lt;&gt;設定!$C$4,"対象外",IF($AH1785=20,IF(OR($AJ1785=10,$AJ1785=11,$AJ1785=18),"①病院一般",IF($AJ1785=41,"②病院短期","対象外")),IF($AH1785=5,IF($AJ1785=30,"③特定消防","対象外"),IF(OR($AJ1785=10,$AJ1785=11,$AJ1785=74),"④一般",IF(OR($AJ1785=41,$AJ1785=47),"⑤短期","対象外"))))))</f>
        <v/>
      </c>
    </row>
    <row r="1786" customFormat="false" ht="15" hidden="false" customHeight="false" outlineLevel="0" collapsed="false">
      <c r="DB1786" s="0" t="str">
        <f aca="false">IF($A1786="","",IF($AE1786&amp;""&lt;&gt;設定!$C$4,"対象外",IF($AH1786=20,IF(OR($AJ1786=10,$AJ1786=11,$AJ1786=18),"①病院一般",IF($AJ1786=41,"②病院短期","対象外")),IF($AH1786=5,IF($AJ1786=30,"③特定消防","対象外"),IF(OR($AJ1786=10,$AJ1786=11,$AJ1786=74),"④一般",IF(OR($AJ1786=41,$AJ1786=47),"⑤短期","対象外"))))))</f>
        <v/>
      </c>
    </row>
    <row r="1787" customFormat="false" ht="15" hidden="false" customHeight="false" outlineLevel="0" collapsed="false">
      <c r="DB1787" s="0" t="str">
        <f aca="false">IF($A1787="","",IF($AE1787&amp;""&lt;&gt;設定!$C$4,"対象外",IF($AH1787=20,IF(OR($AJ1787=10,$AJ1787=11,$AJ1787=18),"①病院一般",IF($AJ1787=41,"②病院短期","対象外")),IF($AH1787=5,IF($AJ1787=30,"③特定消防","対象外"),IF(OR($AJ1787=10,$AJ1787=11,$AJ1787=74),"④一般",IF(OR($AJ1787=41,$AJ1787=47),"⑤短期","対象外"))))))</f>
        <v/>
      </c>
    </row>
    <row r="1788" customFormat="false" ht="15" hidden="false" customHeight="false" outlineLevel="0" collapsed="false">
      <c r="DB1788" s="0" t="str">
        <f aca="false">IF($A1788="","",IF($AE1788&amp;""&lt;&gt;設定!$C$4,"対象外",IF($AH1788=20,IF(OR($AJ1788=10,$AJ1788=11,$AJ1788=18),"①病院一般",IF($AJ1788=41,"②病院短期","対象外")),IF($AH1788=5,IF($AJ1788=30,"③特定消防","対象外"),IF(OR($AJ1788=10,$AJ1788=11,$AJ1788=74),"④一般",IF(OR($AJ1788=41,$AJ1788=47),"⑤短期","対象外"))))))</f>
        <v/>
      </c>
    </row>
    <row r="1789" customFormat="false" ht="15" hidden="false" customHeight="false" outlineLevel="0" collapsed="false">
      <c r="DB1789" s="0" t="str">
        <f aca="false">IF($A1789="","",IF($AE1789&amp;""&lt;&gt;設定!$C$4,"対象外",IF($AH1789=20,IF(OR($AJ1789=10,$AJ1789=11,$AJ1789=18),"①病院一般",IF($AJ1789=41,"②病院短期","対象外")),IF($AH1789=5,IF($AJ1789=30,"③特定消防","対象外"),IF(OR($AJ1789=10,$AJ1789=11,$AJ1789=74),"④一般",IF(OR($AJ1789=41,$AJ1789=47),"⑤短期","対象外"))))))</f>
        <v/>
      </c>
    </row>
    <row r="1790" customFormat="false" ht="15" hidden="false" customHeight="false" outlineLevel="0" collapsed="false">
      <c r="DB1790" s="0" t="str">
        <f aca="false">IF($A1790="","",IF($AE1790&amp;""&lt;&gt;設定!$C$4,"対象外",IF($AH1790=20,IF(OR($AJ1790=10,$AJ1790=11,$AJ1790=18),"①病院一般",IF($AJ1790=41,"②病院短期","対象外")),IF($AH1790=5,IF($AJ1790=30,"③特定消防","対象外"),IF(OR($AJ1790=10,$AJ1790=11,$AJ1790=74),"④一般",IF(OR($AJ1790=41,$AJ1790=47),"⑤短期","対象外"))))))</f>
        <v/>
      </c>
    </row>
    <row r="1791" customFormat="false" ht="15" hidden="false" customHeight="false" outlineLevel="0" collapsed="false">
      <c r="DB1791" s="0" t="str">
        <f aca="false">IF($A1791="","",IF($AE1791&amp;""&lt;&gt;設定!$C$4,"対象外",IF($AH1791=20,IF(OR($AJ1791=10,$AJ1791=11,$AJ1791=18),"①病院一般",IF($AJ1791=41,"②病院短期","対象外")),IF($AH1791=5,IF($AJ1791=30,"③特定消防","対象外"),IF(OR($AJ1791=10,$AJ1791=11,$AJ1791=74),"④一般",IF(OR($AJ1791=41,$AJ1791=47),"⑤短期","対象外"))))))</f>
        <v/>
      </c>
    </row>
    <row r="1792" customFormat="false" ht="15" hidden="false" customHeight="false" outlineLevel="0" collapsed="false">
      <c r="DB1792" s="0" t="str">
        <f aca="false">IF($A1792="","",IF($AE1792&amp;""&lt;&gt;設定!$C$4,"対象外",IF($AH1792=20,IF(OR($AJ1792=10,$AJ1792=11,$AJ1792=18),"①病院一般",IF($AJ1792=41,"②病院短期","対象外")),IF($AH1792=5,IF($AJ1792=30,"③特定消防","対象外"),IF(OR($AJ1792=10,$AJ1792=11,$AJ1792=74),"④一般",IF(OR($AJ1792=41,$AJ1792=47),"⑤短期","対象外"))))))</f>
        <v/>
      </c>
    </row>
    <row r="1793" customFormat="false" ht="15" hidden="false" customHeight="false" outlineLevel="0" collapsed="false">
      <c r="DB1793" s="0" t="str">
        <f aca="false">IF($A1793="","",IF($AE1793&amp;""&lt;&gt;設定!$C$4,"対象外",IF($AH1793=20,IF(OR($AJ1793=10,$AJ1793=11,$AJ1793=18),"①病院一般",IF($AJ1793=41,"②病院短期","対象外")),IF($AH1793=5,IF($AJ1793=30,"③特定消防","対象外"),IF(OR($AJ1793=10,$AJ1793=11,$AJ1793=74),"④一般",IF(OR($AJ1793=41,$AJ1793=47),"⑤短期","対象外"))))))</f>
        <v/>
      </c>
    </row>
    <row r="1794" customFormat="false" ht="15" hidden="false" customHeight="false" outlineLevel="0" collapsed="false">
      <c r="DB1794" s="0" t="str">
        <f aca="false">IF($A1794="","",IF($AE1794&amp;""&lt;&gt;設定!$C$4,"対象外",IF($AH1794=20,IF(OR($AJ1794=10,$AJ1794=11,$AJ1794=18),"①病院一般",IF($AJ1794=41,"②病院短期","対象外")),IF($AH1794=5,IF($AJ1794=30,"③特定消防","対象外"),IF(OR($AJ1794=10,$AJ1794=11,$AJ1794=74),"④一般",IF(OR($AJ1794=41,$AJ1794=47),"⑤短期","対象外"))))))</f>
        <v/>
      </c>
    </row>
    <row r="1795" customFormat="false" ht="15" hidden="false" customHeight="false" outlineLevel="0" collapsed="false">
      <c r="DB1795" s="0" t="str">
        <f aca="false">IF($A1795="","",IF($AE1795&amp;""&lt;&gt;設定!$C$4,"対象外",IF($AH1795=20,IF(OR($AJ1795=10,$AJ1795=11,$AJ1795=18),"①病院一般",IF($AJ1795=41,"②病院短期","対象外")),IF($AH1795=5,IF($AJ1795=30,"③特定消防","対象外"),IF(OR($AJ1795=10,$AJ1795=11,$AJ1795=74),"④一般",IF(OR($AJ1795=41,$AJ1795=47),"⑤短期","対象外"))))))</f>
        <v/>
      </c>
    </row>
    <row r="1796" customFormat="false" ht="15" hidden="false" customHeight="false" outlineLevel="0" collapsed="false">
      <c r="DB1796" s="0" t="str">
        <f aca="false">IF($A1796="","",IF($AE1796&amp;""&lt;&gt;設定!$C$4,"対象外",IF($AH1796=20,IF(OR($AJ1796=10,$AJ1796=11,$AJ1796=18),"①病院一般",IF($AJ1796=41,"②病院短期","対象外")),IF($AH1796=5,IF($AJ1796=30,"③特定消防","対象外"),IF(OR($AJ1796=10,$AJ1796=11,$AJ1796=74),"④一般",IF(OR($AJ1796=41,$AJ1796=47),"⑤短期","対象外"))))))</f>
        <v/>
      </c>
    </row>
    <row r="1797" customFormat="false" ht="15" hidden="false" customHeight="false" outlineLevel="0" collapsed="false">
      <c r="DB1797" s="0" t="str">
        <f aca="false">IF($A1797="","",IF($AE1797&amp;""&lt;&gt;設定!$C$4,"対象外",IF($AH1797=20,IF(OR($AJ1797=10,$AJ1797=11,$AJ1797=18),"①病院一般",IF($AJ1797=41,"②病院短期","対象外")),IF($AH1797=5,IF($AJ1797=30,"③特定消防","対象外"),IF(OR($AJ1797=10,$AJ1797=11,$AJ1797=74),"④一般",IF(OR($AJ1797=41,$AJ1797=47),"⑤短期","対象外"))))))</f>
        <v/>
      </c>
    </row>
    <row r="1798" customFormat="false" ht="15" hidden="false" customHeight="false" outlineLevel="0" collapsed="false">
      <c r="DB1798" s="0" t="str">
        <f aca="false">IF($A1798="","",IF($AE1798&amp;""&lt;&gt;設定!$C$4,"対象外",IF($AH1798=20,IF(OR($AJ1798=10,$AJ1798=11,$AJ1798=18),"①病院一般",IF($AJ1798=41,"②病院短期","対象外")),IF($AH1798=5,IF($AJ1798=30,"③特定消防","対象外"),IF(OR($AJ1798=10,$AJ1798=11,$AJ1798=74),"④一般",IF(OR($AJ1798=41,$AJ1798=47),"⑤短期","対象外"))))))</f>
        <v/>
      </c>
    </row>
    <row r="1799" customFormat="false" ht="15" hidden="false" customHeight="false" outlineLevel="0" collapsed="false">
      <c r="DB1799" s="0" t="str">
        <f aca="false">IF($A1799="","",IF($AE1799&amp;""&lt;&gt;設定!$C$4,"対象外",IF($AH1799=20,IF(OR($AJ1799=10,$AJ1799=11,$AJ1799=18),"①病院一般",IF($AJ1799=41,"②病院短期","対象外")),IF($AH1799=5,IF($AJ1799=30,"③特定消防","対象外"),IF(OR($AJ1799=10,$AJ1799=11,$AJ1799=74),"④一般",IF(OR($AJ1799=41,$AJ1799=47),"⑤短期","対象外"))))))</f>
        <v/>
      </c>
    </row>
    <row r="1800" customFormat="false" ht="15" hidden="false" customHeight="false" outlineLevel="0" collapsed="false">
      <c r="DB1800" s="0" t="str">
        <f aca="false">IF($A1800="","",IF($AE1800&amp;""&lt;&gt;設定!$C$4,"対象外",IF($AH1800=20,IF(OR($AJ1800=10,$AJ1800=11,$AJ1800=18),"①病院一般",IF($AJ1800=41,"②病院短期","対象外")),IF($AH1800=5,IF($AJ1800=30,"③特定消防","対象外"),IF(OR($AJ1800=10,$AJ1800=11,$AJ1800=74),"④一般",IF(OR($AJ1800=41,$AJ1800=47),"⑤短期","対象外"))))))</f>
        <v/>
      </c>
    </row>
    <row r="1801" customFormat="false" ht="15" hidden="false" customHeight="false" outlineLevel="0" collapsed="false">
      <c r="DB1801" s="0" t="str">
        <f aca="false">IF($A1801="","",IF($AE1801&amp;""&lt;&gt;設定!$C$4,"対象外",IF($AH1801=20,IF(OR($AJ1801=10,$AJ1801=11,$AJ1801=18),"①病院一般",IF($AJ1801=41,"②病院短期","対象外")),IF($AH1801=5,IF($AJ1801=30,"③特定消防","対象外"),IF(OR($AJ1801=10,$AJ1801=11,$AJ1801=74),"④一般",IF(OR($AJ1801=41,$AJ1801=47),"⑤短期","対象外"))))))</f>
        <v/>
      </c>
    </row>
    <row r="1802" customFormat="false" ht="15" hidden="false" customHeight="false" outlineLevel="0" collapsed="false">
      <c r="DB1802" s="0" t="str">
        <f aca="false">IF($A1802="","",IF($AE1802&amp;""&lt;&gt;設定!$C$4,"対象外",IF($AH1802=20,IF(OR($AJ1802=10,$AJ1802=11,$AJ1802=18),"①病院一般",IF($AJ1802=41,"②病院短期","対象外")),IF($AH1802=5,IF($AJ1802=30,"③特定消防","対象外"),IF(OR($AJ1802=10,$AJ1802=11,$AJ1802=74),"④一般",IF(OR($AJ1802=41,$AJ1802=47),"⑤短期","対象外"))))))</f>
        <v/>
      </c>
    </row>
    <row r="1803" customFormat="false" ht="15" hidden="false" customHeight="false" outlineLevel="0" collapsed="false">
      <c r="DB1803" s="0" t="str">
        <f aca="false">IF($A1803="","",IF($AE1803&amp;""&lt;&gt;設定!$C$4,"対象外",IF($AH1803=20,IF(OR($AJ1803=10,$AJ1803=11,$AJ1803=18),"①病院一般",IF($AJ1803=41,"②病院短期","対象外")),IF($AH1803=5,IF($AJ1803=30,"③特定消防","対象外"),IF(OR($AJ1803=10,$AJ1803=11,$AJ1803=74),"④一般",IF(OR($AJ1803=41,$AJ1803=47),"⑤短期","対象外"))))))</f>
        <v/>
      </c>
    </row>
    <row r="1804" customFormat="false" ht="15" hidden="false" customHeight="false" outlineLevel="0" collapsed="false">
      <c r="DB1804" s="0" t="str">
        <f aca="false">IF($A1804="","",IF($AE1804&amp;""&lt;&gt;設定!$C$4,"対象外",IF($AH1804=20,IF(OR($AJ1804=10,$AJ1804=11,$AJ1804=18),"①病院一般",IF($AJ1804=41,"②病院短期","対象外")),IF($AH1804=5,IF($AJ1804=30,"③特定消防","対象外"),IF(OR($AJ1804=10,$AJ1804=11,$AJ1804=74),"④一般",IF(OR($AJ1804=41,$AJ1804=47),"⑤短期","対象外"))))))</f>
        <v/>
      </c>
    </row>
    <row r="1805" customFormat="false" ht="15" hidden="false" customHeight="false" outlineLevel="0" collapsed="false">
      <c r="DB1805" s="0" t="str">
        <f aca="false">IF($A1805="","",IF($AE1805&amp;""&lt;&gt;設定!$C$4,"対象外",IF($AH1805=20,IF(OR($AJ1805=10,$AJ1805=11,$AJ1805=18),"①病院一般",IF($AJ1805=41,"②病院短期","対象外")),IF($AH1805=5,IF($AJ1805=30,"③特定消防","対象外"),IF(OR($AJ1805=10,$AJ1805=11,$AJ1805=74),"④一般",IF(OR($AJ1805=41,$AJ1805=47),"⑤短期","対象外"))))))</f>
        <v/>
      </c>
    </row>
    <row r="1806" customFormat="false" ht="15" hidden="false" customHeight="false" outlineLevel="0" collapsed="false">
      <c r="DB1806" s="0" t="str">
        <f aca="false">IF($A1806="","",IF($AE1806&amp;""&lt;&gt;設定!$C$4,"対象外",IF($AH1806=20,IF(OR($AJ1806=10,$AJ1806=11,$AJ1806=18),"①病院一般",IF($AJ1806=41,"②病院短期","対象外")),IF($AH1806=5,IF($AJ1806=30,"③特定消防","対象外"),IF(OR($AJ1806=10,$AJ1806=11,$AJ1806=74),"④一般",IF(OR($AJ1806=41,$AJ1806=47),"⑤短期","対象外"))))))</f>
        <v/>
      </c>
    </row>
    <row r="1807" customFormat="false" ht="15" hidden="false" customHeight="false" outlineLevel="0" collapsed="false">
      <c r="DB1807" s="0" t="str">
        <f aca="false">IF($A1807="","",IF($AE1807&amp;""&lt;&gt;設定!$C$4,"対象外",IF($AH1807=20,IF(OR($AJ1807=10,$AJ1807=11,$AJ1807=18),"①病院一般",IF($AJ1807=41,"②病院短期","対象外")),IF($AH1807=5,IF($AJ1807=30,"③特定消防","対象外"),IF(OR($AJ1807=10,$AJ1807=11,$AJ1807=74),"④一般",IF(OR($AJ1807=41,$AJ1807=47),"⑤短期","対象外"))))))</f>
        <v/>
      </c>
    </row>
    <row r="1808" customFormat="false" ht="15" hidden="false" customHeight="false" outlineLevel="0" collapsed="false">
      <c r="DB1808" s="0" t="str">
        <f aca="false">IF($A1808="","",IF($AE1808&amp;""&lt;&gt;設定!$C$4,"対象外",IF($AH1808=20,IF(OR($AJ1808=10,$AJ1808=11,$AJ1808=18),"①病院一般",IF($AJ1808=41,"②病院短期","対象外")),IF($AH1808=5,IF($AJ1808=30,"③特定消防","対象外"),IF(OR($AJ1808=10,$AJ1808=11,$AJ1808=74),"④一般",IF(OR($AJ1808=41,$AJ1808=47),"⑤短期","対象外"))))))</f>
        <v/>
      </c>
    </row>
    <row r="1809" customFormat="false" ht="15" hidden="false" customHeight="false" outlineLevel="0" collapsed="false">
      <c r="DB1809" s="0" t="str">
        <f aca="false">IF($A1809="","",IF($AE1809&amp;""&lt;&gt;設定!$C$4,"対象外",IF($AH1809=20,IF(OR($AJ1809=10,$AJ1809=11,$AJ1809=18),"①病院一般",IF($AJ1809=41,"②病院短期","対象外")),IF($AH1809=5,IF($AJ1809=30,"③特定消防","対象外"),IF(OR($AJ1809=10,$AJ1809=11,$AJ1809=74),"④一般",IF(OR($AJ1809=41,$AJ1809=47),"⑤短期","対象外"))))))</f>
        <v/>
      </c>
    </row>
    <row r="1810" customFormat="false" ht="15" hidden="false" customHeight="false" outlineLevel="0" collapsed="false">
      <c r="DB1810" s="0" t="str">
        <f aca="false">IF($A1810="","",IF($AE1810&amp;""&lt;&gt;設定!$C$4,"対象外",IF($AH1810=20,IF(OR($AJ1810=10,$AJ1810=11,$AJ1810=18),"①病院一般",IF($AJ1810=41,"②病院短期","対象外")),IF($AH1810=5,IF($AJ1810=30,"③特定消防","対象外"),IF(OR($AJ1810=10,$AJ1810=11,$AJ1810=74),"④一般",IF(OR($AJ1810=41,$AJ1810=47),"⑤短期","対象外"))))))</f>
        <v/>
      </c>
    </row>
    <row r="1811" customFormat="false" ht="15" hidden="false" customHeight="false" outlineLevel="0" collapsed="false">
      <c r="DB1811" s="0" t="str">
        <f aca="false">IF($A1811="","",IF($AE1811&amp;""&lt;&gt;設定!$C$4,"対象外",IF($AH1811=20,IF(OR($AJ1811=10,$AJ1811=11,$AJ1811=18),"①病院一般",IF($AJ1811=41,"②病院短期","対象外")),IF($AH1811=5,IF($AJ1811=30,"③特定消防","対象外"),IF(OR($AJ1811=10,$AJ1811=11,$AJ1811=74),"④一般",IF(OR($AJ1811=41,$AJ1811=47),"⑤短期","対象外"))))))</f>
        <v/>
      </c>
    </row>
    <row r="1812" customFormat="false" ht="15" hidden="false" customHeight="false" outlineLevel="0" collapsed="false">
      <c r="DB1812" s="0" t="str">
        <f aca="false">IF($A1812="","",IF($AE1812&amp;""&lt;&gt;設定!$C$4,"対象外",IF($AH1812=20,IF(OR($AJ1812=10,$AJ1812=11,$AJ1812=18),"①病院一般",IF($AJ1812=41,"②病院短期","対象外")),IF($AH1812=5,IF($AJ1812=30,"③特定消防","対象外"),IF(OR($AJ1812=10,$AJ1812=11,$AJ1812=74),"④一般",IF(OR($AJ1812=41,$AJ1812=47),"⑤短期","対象外"))))))</f>
        <v/>
      </c>
    </row>
    <row r="1813" customFormat="false" ht="15" hidden="false" customHeight="false" outlineLevel="0" collapsed="false">
      <c r="DB1813" s="0" t="str">
        <f aca="false">IF($A1813="","",IF($AE1813&amp;""&lt;&gt;設定!$C$4,"対象外",IF($AH1813=20,IF(OR($AJ1813=10,$AJ1813=11,$AJ1813=18),"①病院一般",IF($AJ1813=41,"②病院短期","対象外")),IF($AH1813=5,IF($AJ1813=30,"③特定消防","対象外"),IF(OR($AJ1813=10,$AJ1813=11,$AJ1813=74),"④一般",IF(OR($AJ1813=41,$AJ1813=47),"⑤短期","対象外"))))))</f>
        <v/>
      </c>
    </row>
    <row r="1814" customFormat="false" ht="15" hidden="false" customHeight="false" outlineLevel="0" collapsed="false">
      <c r="DB1814" s="0" t="str">
        <f aca="false">IF($A1814="","",IF($AE1814&amp;""&lt;&gt;設定!$C$4,"対象外",IF($AH1814=20,IF(OR($AJ1814=10,$AJ1814=11,$AJ1814=18),"①病院一般",IF($AJ1814=41,"②病院短期","対象外")),IF($AH1814=5,IF($AJ1814=30,"③特定消防","対象外"),IF(OR($AJ1814=10,$AJ1814=11,$AJ1814=74),"④一般",IF(OR($AJ1814=41,$AJ1814=47),"⑤短期","対象外"))))))</f>
        <v/>
      </c>
    </row>
    <row r="1815" customFormat="false" ht="15" hidden="false" customHeight="false" outlineLevel="0" collapsed="false">
      <c r="DB1815" s="0" t="str">
        <f aca="false">IF($A1815="","",IF($AE1815&amp;""&lt;&gt;設定!$C$4,"対象外",IF($AH1815=20,IF(OR($AJ1815=10,$AJ1815=11,$AJ1815=18),"①病院一般",IF($AJ1815=41,"②病院短期","対象外")),IF($AH1815=5,IF($AJ1815=30,"③特定消防","対象外"),IF(OR($AJ1815=10,$AJ1815=11,$AJ1815=74),"④一般",IF(OR($AJ1815=41,$AJ1815=47),"⑤短期","対象外"))))))</f>
        <v/>
      </c>
    </row>
    <row r="1816" customFormat="false" ht="15" hidden="false" customHeight="false" outlineLevel="0" collapsed="false">
      <c r="DB1816" s="0" t="str">
        <f aca="false">IF($A1816="","",IF($AE1816&amp;""&lt;&gt;設定!$C$4,"対象外",IF($AH1816=20,IF(OR($AJ1816=10,$AJ1816=11,$AJ1816=18),"①病院一般",IF($AJ1816=41,"②病院短期","対象外")),IF($AH1816=5,IF($AJ1816=30,"③特定消防","対象外"),IF(OR($AJ1816=10,$AJ1816=11,$AJ1816=74),"④一般",IF(OR($AJ1816=41,$AJ1816=47),"⑤短期","対象外"))))))</f>
        <v/>
      </c>
    </row>
    <row r="1817" customFormat="false" ht="15" hidden="false" customHeight="false" outlineLevel="0" collapsed="false">
      <c r="DB1817" s="0" t="str">
        <f aca="false">IF($A1817="","",IF($AE1817&amp;""&lt;&gt;設定!$C$4,"対象外",IF($AH1817=20,IF(OR($AJ1817=10,$AJ1817=11,$AJ1817=18),"①病院一般",IF($AJ1817=41,"②病院短期","対象外")),IF($AH1817=5,IF($AJ1817=30,"③特定消防","対象外"),IF(OR($AJ1817=10,$AJ1817=11,$AJ1817=74),"④一般",IF(OR($AJ1817=41,$AJ1817=47),"⑤短期","対象外"))))))</f>
        <v/>
      </c>
    </row>
    <row r="1818" customFormat="false" ht="15" hidden="false" customHeight="false" outlineLevel="0" collapsed="false">
      <c r="DB1818" s="0" t="str">
        <f aca="false">IF($A1818="","",IF($AE1818&amp;""&lt;&gt;設定!$C$4,"対象外",IF($AH1818=20,IF(OR($AJ1818=10,$AJ1818=11,$AJ1818=18),"①病院一般",IF($AJ1818=41,"②病院短期","対象外")),IF($AH1818=5,IF($AJ1818=30,"③特定消防","対象外"),IF(OR($AJ1818=10,$AJ1818=11,$AJ1818=74),"④一般",IF(OR($AJ1818=41,$AJ1818=47),"⑤短期","対象外"))))))</f>
        <v/>
      </c>
    </row>
    <row r="1819" customFormat="false" ht="15" hidden="false" customHeight="false" outlineLevel="0" collapsed="false">
      <c r="DB1819" s="0" t="str">
        <f aca="false">IF($A1819="","",IF($AE1819&amp;""&lt;&gt;設定!$C$4,"対象外",IF($AH1819=20,IF(OR($AJ1819=10,$AJ1819=11,$AJ1819=18),"①病院一般",IF($AJ1819=41,"②病院短期","対象外")),IF($AH1819=5,IF($AJ1819=30,"③特定消防","対象外"),IF(OR($AJ1819=10,$AJ1819=11,$AJ1819=74),"④一般",IF(OR($AJ1819=41,$AJ1819=47),"⑤短期","対象外"))))))</f>
        <v/>
      </c>
    </row>
    <row r="1820" customFormat="false" ht="15" hidden="false" customHeight="false" outlineLevel="0" collapsed="false">
      <c r="DB1820" s="0" t="str">
        <f aca="false">IF($A1820="","",IF($AE1820&amp;""&lt;&gt;設定!$C$4,"対象外",IF($AH1820=20,IF(OR($AJ1820=10,$AJ1820=11,$AJ1820=18),"①病院一般",IF($AJ1820=41,"②病院短期","対象外")),IF($AH1820=5,IF($AJ1820=30,"③特定消防","対象外"),IF(OR($AJ1820=10,$AJ1820=11,$AJ1820=74),"④一般",IF(OR($AJ1820=41,$AJ1820=47),"⑤短期","対象外"))))))</f>
        <v/>
      </c>
    </row>
    <row r="1821" customFormat="false" ht="15" hidden="false" customHeight="false" outlineLevel="0" collapsed="false">
      <c r="DB1821" s="0" t="str">
        <f aca="false">IF($A1821="","",IF($AE1821&amp;""&lt;&gt;設定!$C$4,"対象外",IF($AH1821=20,IF(OR($AJ1821=10,$AJ1821=11,$AJ1821=18),"①病院一般",IF($AJ1821=41,"②病院短期","対象外")),IF($AH1821=5,IF($AJ1821=30,"③特定消防","対象外"),IF(OR($AJ1821=10,$AJ1821=11,$AJ1821=74),"④一般",IF(OR($AJ1821=41,$AJ1821=47),"⑤短期","対象外"))))))</f>
        <v/>
      </c>
    </row>
    <row r="1822" customFormat="false" ht="15" hidden="false" customHeight="false" outlineLevel="0" collapsed="false">
      <c r="DB1822" s="0" t="str">
        <f aca="false">IF($A1822="","",IF($AE1822&amp;""&lt;&gt;設定!$C$4,"対象外",IF($AH1822=20,IF(OR($AJ1822=10,$AJ1822=11,$AJ1822=18),"①病院一般",IF($AJ1822=41,"②病院短期","対象外")),IF($AH1822=5,IF($AJ1822=30,"③特定消防","対象外"),IF(OR($AJ1822=10,$AJ1822=11,$AJ1822=74),"④一般",IF(OR($AJ1822=41,$AJ1822=47),"⑤短期","対象外"))))))</f>
        <v/>
      </c>
    </row>
    <row r="1823" customFormat="false" ht="15" hidden="false" customHeight="false" outlineLevel="0" collapsed="false">
      <c r="DB1823" s="0" t="str">
        <f aca="false">IF($A1823="","",IF($AE1823&amp;""&lt;&gt;設定!$C$4,"対象外",IF($AH1823=20,IF(OR($AJ1823=10,$AJ1823=11,$AJ1823=18),"①病院一般",IF($AJ1823=41,"②病院短期","対象外")),IF($AH1823=5,IF($AJ1823=30,"③特定消防","対象外"),IF(OR($AJ1823=10,$AJ1823=11,$AJ1823=74),"④一般",IF(OR($AJ1823=41,$AJ1823=47),"⑤短期","対象外"))))))</f>
        <v/>
      </c>
    </row>
    <row r="1824" customFormat="false" ht="15" hidden="false" customHeight="false" outlineLevel="0" collapsed="false">
      <c r="DB1824" s="0" t="str">
        <f aca="false">IF($A1824="","",IF($AE1824&amp;""&lt;&gt;設定!$C$4,"対象外",IF($AH1824=20,IF(OR($AJ1824=10,$AJ1824=11,$AJ1824=18),"①病院一般",IF($AJ1824=41,"②病院短期","対象外")),IF($AH1824=5,IF($AJ1824=30,"③特定消防","対象外"),IF(OR($AJ1824=10,$AJ1824=11,$AJ1824=74),"④一般",IF(OR($AJ1824=41,$AJ1824=47),"⑤短期","対象外"))))))</f>
        <v/>
      </c>
    </row>
    <row r="1825" customFormat="false" ht="15" hidden="false" customHeight="false" outlineLevel="0" collapsed="false">
      <c r="DB1825" s="0" t="str">
        <f aca="false">IF($A1825="","",IF($AE1825&amp;""&lt;&gt;設定!$C$4,"対象外",IF($AH1825=20,IF(OR($AJ1825=10,$AJ1825=11,$AJ1825=18),"①病院一般",IF($AJ1825=41,"②病院短期","対象外")),IF($AH1825=5,IF($AJ1825=30,"③特定消防","対象外"),IF(OR($AJ1825=10,$AJ1825=11,$AJ1825=74),"④一般",IF(OR($AJ1825=41,$AJ1825=47),"⑤短期","対象外"))))))</f>
        <v/>
      </c>
    </row>
    <row r="1826" customFormat="false" ht="15" hidden="false" customHeight="false" outlineLevel="0" collapsed="false">
      <c r="DB1826" s="0" t="str">
        <f aca="false">IF($A1826="","",IF($AE1826&amp;""&lt;&gt;設定!$C$4,"対象外",IF($AH1826=20,IF(OR($AJ1826=10,$AJ1826=11,$AJ1826=18),"①病院一般",IF($AJ1826=41,"②病院短期","対象外")),IF($AH1826=5,IF($AJ1826=30,"③特定消防","対象外"),IF(OR($AJ1826=10,$AJ1826=11,$AJ1826=74),"④一般",IF(OR($AJ1826=41,$AJ1826=47),"⑤短期","対象外"))))))</f>
        <v/>
      </c>
    </row>
    <row r="1827" customFormat="false" ht="15" hidden="false" customHeight="false" outlineLevel="0" collapsed="false">
      <c r="DB1827" s="0" t="str">
        <f aca="false">IF($A1827="","",IF($AE1827&amp;""&lt;&gt;設定!$C$4,"対象外",IF($AH1827=20,IF(OR($AJ1827=10,$AJ1827=11,$AJ1827=18),"①病院一般",IF($AJ1827=41,"②病院短期","対象外")),IF($AH1827=5,IF($AJ1827=30,"③特定消防","対象外"),IF(OR($AJ1827=10,$AJ1827=11,$AJ1827=74),"④一般",IF(OR($AJ1827=41,$AJ1827=47),"⑤短期","対象外"))))))</f>
        <v/>
      </c>
    </row>
    <row r="1828" customFormat="false" ht="15" hidden="false" customHeight="false" outlineLevel="0" collapsed="false">
      <c r="DB1828" s="0" t="str">
        <f aca="false">IF($A1828="","",IF($AE1828&amp;""&lt;&gt;設定!$C$4,"対象外",IF($AH1828=20,IF(OR($AJ1828=10,$AJ1828=11,$AJ1828=18),"①病院一般",IF($AJ1828=41,"②病院短期","対象外")),IF($AH1828=5,IF($AJ1828=30,"③特定消防","対象外"),IF(OR($AJ1828=10,$AJ1828=11,$AJ1828=74),"④一般",IF(OR($AJ1828=41,$AJ1828=47),"⑤短期","対象外"))))))</f>
        <v/>
      </c>
    </row>
    <row r="1829" customFormat="false" ht="15" hidden="false" customHeight="false" outlineLevel="0" collapsed="false">
      <c r="DB1829" s="0" t="str">
        <f aca="false">IF($A1829="","",IF($AE1829&amp;""&lt;&gt;設定!$C$4,"対象外",IF($AH1829=20,IF(OR($AJ1829=10,$AJ1829=11,$AJ1829=18),"①病院一般",IF($AJ1829=41,"②病院短期","対象外")),IF($AH1829=5,IF($AJ1829=30,"③特定消防","対象外"),IF(OR($AJ1829=10,$AJ1829=11,$AJ1829=74),"④一般",IF(OR($AJ1829=41,$AJ1829=47),"⑤短期","対象外"))))))</f>
        <v/>
      </c>
    </row>
    <row r="1830" customFormat="false" ht="15" hidden="false" customHeight="false" outlineLevel="0" collapsed="false">
      <c r="DB1830" s="0" t="str">
        <f aca="false">IF($A1830="","",IF($AE1830&amp;""&lt;&gt;設定!$C$4,"対象外",IF($AH1830=20,IF(OR($AJ1830=10,$AJ1830=11,$AJ1830=18),"①病院一般",IF($AJ1830=41,"②病院短期","対象外")),IF($AH1830=5,IF($AJ1830=30,"③特定消防","対象外"),IF(OR($AJ1830=10,$AJ1830=11,$AJ1830=74),"④一般",IF(OR($AJ1830=41,$AJ1830=47),"⑤短期","対象外"))))))</f>
        <v/>
      </c>
    </row>
    <row r="1831" customFormat="false" ht="15" hidden="false" customHeight="false" outlineLevel="0" collapsed="false">
      <c r="DB1831" s="0" t="str">
        <f aca="false">IF($A1831="","",IF($AE1831&amp;""&lt;&gt;設定!$C$4,"対象外",IF($AH1831=20,IF(OR($AJ1831=10,$AJ1831=11,$AJ1831=18),"①病院一般",IF($AJ1831=41,"②病院短期","対象外")),IF($AH1831=5,IF($AJ1831=30,"③特定消防","対象外"),IF(OR($AJ1831=10,$AJ1831=11,$AJ1831=74),"④一般",IF(OR($AJ1831=41,$AJ1831=47),"⑤短期","対象外"))))))</f>
        <v/>
      </c>
    </row>
    <row r="1832" customFormat="false" ht="15" hidden="false" customHeight="false" outlineLevel="0" collapsed="false">
      <c r="DB1832" s="0" t="str">
        <f aca="false">IF($A1832="","",IF($AE1832&amp;""&lt;&gt;設定!$C$4,"対象外",IF($AH1832=20,IF(OR($AJ1832=10,$AJ1832=11,$AJ1832=18),"①病院一般",IF($AJ1832=41,"②病院短期","対象外")),IF($AH1832=5,IF($AJ1832=30,"③特定消防","対象外"),IF(OR($AJ1832=10,$AJ1832=11,$AJ1832=74),"④一般",IF(OR($AJ1832=41,$AJ1832=47),"⑤短期","対象外"))))))</f>
        <v/>
      </c>
    </row>
    <row r="1833" customFormat="false" ht="15" hidden="false" customHeight="false" outlineLevel="0" collapsed="false">
      <c r="DB1833" s="0" t="str">
        <f aca="false">IF($A1833="","",IF($AE1833&amp;""&lt;&gt;設定!$C$4,"対象外",IF($AH1833=20,IF(OR($AJ1833=10,$AJ1833=11,$AJ1833=18),"①病院一般",IF($AJ1833=41,"②病院短期","対象外")),IF($AH1833=5,IF($AJ1833=30,"③特定消防","対象外"),IF(OR($AJ1833=10,$AJ1833=11,$AJ1833=74),"④一般",IF(OR($AJ1833=41,$AJ1833=47),"⑤短期","対象外"))))))</f>
        <v/>
      </c>
    </row>
    <row r="1834" customFormat="false" ht="15" hidden="false" customHeight="false" outlineLevel="0" collapsed="false">
      <c r="DB1834" s="0" t="str">
        <f aca="false">IF($A1834="","",IF($AE1834&amp;""&lt;&gt;設定!$C$4,"対象外",IF($AH1834=20,IF(OR($AJ1834=10,$AJ1834=11,$AJ1834=18),"①病院一般",IF($AJ1834=41,"②病院短期","対象外")),IF($AH1834=5,IF($AJ1834=30,"③特定消防","対象外"),IF(OR($AJ1834=10,$AJ1834=11,$AJ1834=74),"④一般",IF(OR($AJ1834=41,$AJ1834=47),"⑤短期","対象外"))))))</f>
        <v/>
      </c>
    </row>
    <row r="1835" customFormat="false" ht="15" hidden="false" customHeight="false" outlineLevel="0" collapsed="false">
      <c r="DB1835" s="0" t="str">
        <f aca="false">IF($A1835="","",IF($AE1835&amp;""&lt;&gt;設定!$C$4,"対象外",IF($AH1835=20,IF(OR($AJ1835=10,$AJ1835=11,$AJ1835=18),"①病院一般",IF($AJ1835=41,"②病院短期","対象外")),IF($AH1835=5,IF($AJ1835=30,"③特定消防","対象外"),IF(OR($AJ1835=10,$AJ1835=11,$AJ1835=74),"④一般",IF(OR($AJ1835=41,$AJ1835=47),"⑤短期","対象外"))))))</f>
        <v/>
      </c>
    </row>
    <row r="1836" customFormat="false" ht="15" hidden="false" customHeight="false" outlineLevel="0" collapsed="false">
      <c r="DB1836" s="0" t="str">
        <f aca="false">IF($A1836="","",IF($AE1836&amp;""&lt;&gt;設定!$C$4,"対象外",IF($AH1836=20,IF(OR($AJ1836=10,$AJ1836=11,$AJ1836=18),"①病院一般",IF($AJ1836=41,"②病院短期","対象外")),IF($AH1836=5,IF($AJ1836=30,"③特定消防","対象外"),IF(OR($AJ1836=10,$AJ1836=11,$AJ1836=74),"④一般",IF(OR($AJ1836=41,$AJ1836=47),"⑤短期","対象外"))))))</f>
        <v/>
      </c>
    </row>
    <row r="1837" customFormat="false" ht="15" hidden="false" customHeight="false" outlineLevel="0" collapsed="false">
      <c r="DB1837" s="0" t="str">
        <f aca="false">IF($A1837="","",IF($AE1837&amp;""&lt;&gt;設定!$C$4,"対象外",IF($AH1837=20,IF(OR($AJ1837=10,$AJ1837=11,$AJ1837=18),"①病院一般",IF($AJ1837=41,"②病院短期","対象外")),IF($AH1837=5,IF($AJ1837=30,"③特定消防","対象外"),IF(OR($AJ1837=10,$AJ1837=11,$AJ1837=74),"④一般",IF(OR($AJ1837=41,$AJ1837=47),"⑤短期","対象外"))))))</f>
        <v/>
      </c>
    </row>
    <row r="1838" customFormat="false" ht="15" hidden="false" customHeight="false" outlineLevel="0" collapsed="false">
      <c r="DB1838" s="0" t="str">
        <f aca="false">IF($A1838="","",IF($AE1838&amp;""&lt;&gt;設定!$C$4,"対象外",IF($AH1838=20,IF(OR($AJ1838=10,$AJ1838=11,$AJ1838=18),"①病院一般",IF($AJ1838=41,"②病院短期","対象外")),IF($AH1838=5,IF($AJ1838=30,"③特定消防","対象外"),IF(OR($AJ1838=10,$AJ1838=11,$AJ1838=74),"④一般",IF(OR($AJ1838=41,$AJ1838=47),"⑤短期","対象外"))))))</f>
        <v/>
      </c>
    </row>
    <row r="1839" customFormat="false" ht="15" hidden="false" customHeight="false" outlineLevel="0" collapsed="false">
      <c r="DB1839" s="0" t="str">
        <f aca="false">IF($A1839="","",IF($AE1839&amp;""&lt;&gt;設定!$C$4,"対象外",IF($AH1839=20,IF(OR($AJ1839=10,$AJ1839=11,$AJ1839=18),"①病院一般",IF($AJ1839=41,"②病院短期","対象外")),IF($AH1839=5,IF($AJ1839=30,"③特定消防","対象外"),IF(OR($AJ1839=10,$AJ1839=11,$AJ1839=74),"④一般",IF(OR($AJ1839=41,$AJ1839=47),"⑤短期","対象外"))))))</f>
        <v/>
      </c>
    </row>
    <row r="1840" customFormat="false" ht="15" hidden="false" customHeight="false" outlineLevel="0" collapsed="false">
      <c r="DB1840" s="0" t="str">
        <f aca="false">IF($A1840="","",IF($AE1840&amp;""&lt;&gt;設定!$C$4,"対象外",IF($AH1840=20,IF(OR($AJ1840=10,$AJ1840=11,$AJ1840=18),"①病院一般",IF($AJ1840=41,"②病院短期","対象外")),IF($AH1840=5,IF($AJ1840=30,"③特定消防","対象外"),IF(OR($AJ1840=10,$AJ1840=11,$AJ1840=74),"④一般",IF(OR($AJ1840=41,$AJ1840=47),"⑤短期","対象外"))))))</f>
        <v/>
      </c>
    </row>
    <row r="1841" customFormat="false" ht="15" hidden="false" customHeight="false" outlineLevel="0" collapsed="false">
      <c r="DB1841" s="0" t="str">
        <f aca="false">IF($A1841="","",IF($AE1841&amp;""&lt;&gt;設定!$C$4,"対象外",IF($AH1841=20,IF(OR($AJ1841=10,$AJ1841=11,$AJ1841=18),"①病院一般",IF($AJ1841=41,"②病院短期","対象外")),IF($AH1841=5,IF($AJ1841=30,"③特定消防","対象外"),IF(OR($AJ1841=10,$AJ1841=11,$AJ1841=74),"④一般",IF(OR($AJ1841=41,$AJ1841=47),"⑤短期","対象外"))))))</f>
        <v/>
      </c>
    </row>
    <row r="1842" customFormat="false" ht="15" hidden="false" customHeight="false" outlineLevel="0" collapsed="false">
      <c r="DB1842" s="0" t="str">
        <f aca="false">IF($A1842="","",IF($AE1842&amp;""&lt;&gt;設定!$C$4,"対象外",IF($AH1842=20,IF(OR($AJ1842=10,$AJ1842=11,$AJ1842=18),"①病院一般",IF($AJ1842=41,"②病院短期","対象外")),IF($AH1842=5,IF($AJ1842=30,"③特定消防","対象外"),IF(OR($AJ1842=10,$AJ1842=11,$AJ1842=74),"④一般",IF(OR($AJ1842=41,$AJ1842=47),"⑤短期","対象外"))))))</f>
        <v/>
      </c>
    </row>
    <row r="1843" customFormat="false" ht="15" hidden="false" customHeight="false" outlineLevel="0" collapsed="false">
      <c r="DB1843" s="0" t="str">
        <f aca="false">IF($A1843="","",IF($AE1843&amp;""&lt;&gt;設定!$C$4,"対象外",IF($AH1843=20,IF(OR($AJ1843=10,$AJ1843=11,$AJ1843=18),"①病院一般",IF($AJ1843=41,"②病院短期","対象外")),IF($AH1843=5,IF($AJ1843=30,"③特定消防","対象外"),IF(OR($AJ1843=10,$AJ1843=11,$AJ1843=74),"④一般",IF(OR($AJ1843=41,$AJ1843=47),"⑤短期","対象外"))))))</f>
        <v/>
      </c>
    </row>
    <row r="1844" customFormat="false" ht="15" hidden="false" customHeight="false" outlineLevel="0" collapsed="false">
      <c r="DB1844" s="0" t="str">
        <f aca="false">IF($A1844="","",IF($AE1844&amp;""&lt;&gt;設定!$C$4,"対象外",IF($AH1844=20,IF(OR($AJ1844=10,$AJ1844=11,$AJ1844=18),"①病院一般",IF($AJ1844=41,"②病院短期","対象外")),IF($AH1844=5,IF($AJ1844=30,"③特定消防","対象外"),IF(OR($AJ1844=10,$AJ1844=11,$AJ1844=74),"④一般",IF(OR($AJ1844=41,$AJ1844=47),"⑤短期","対象外"))))))</f>
        <v/>
      </c>
    </row>
    <row r="1845" customFormat="false" ht="15" hidden="false" customHeight="false" outlineLevel="0" collapsed="false">
      <c r="DB1845" s="0" t="str">
        <f aca="false">IF($A1845="","",IF($AE1845&amp;""&lt;&gt;設定!$C$4,"対象外",IF($AH1845=20,IF(OR($AJ1845=10,$AJ1845=11,$AJ1845=18),"①病院一般",IF($AJ1845=41,"②病院短期","対象外")),IF($AH1845=5,IF($AJ1845=30,"③特定消防","対象外"),IF(OR($AJ1845=10,$AJ1845=11,$AJ1845=74),"④一般",IF(OR($AJ1845=41,$AJ1845=47),"⑤短期","対象外"))))))</f>
        <v/>
      </c>
    </row>
    <row r="1846" customFormat="false" ht="15" hidden="false" customHeight="false" outlineLevel="0" collapsed="false">
      <c r="DB1846" s="0" t="str">
        <f aca="false">IF($A1846="","",IF($AE1846&amp;""&lt;&gt;設定!$C$4,"対象外",IF($AH1846=20,IF(OR($AJ1846=10,$AJ1846=11,$AJ1846=18),"①病院一般",IF($AJ1846=41,"②病院短期","対象外")),IF($AH1846=5,IF($AJ1846=30,"③特定消防","対象外"),IF(OR($AJ1846=10,$AJ1846=11,$AJ1846=74),"④一般",IF(OR($AJ1846=41,$AJ1846=47),"⑤短期","対象外"))))))</f>
        <v/>
      </c>
    </row>
    <row r="1847" customFormat="false" ht="15" hidden="false" customHeight="false" outlineLevel="0" collapsed="false">
      <c r="DB1847" s="0" t="str">
        <f aca="false">IF($A1847="","",IF($AE1847&amp;""&lt;&gt;設定!$C$4,"対象外",IF($AH1847=20,IF(OR($AJ1847=10,$AJ1847=11,$AJ1847=18),"①病院一般",IF($AJ1847=41,"②病院短期","対象外")),IF($AH1847=5,IF($AJ1847=30,"③特定消防","対象外"),IF(OR($AJ1847=10,$AJ1847=11,$AJ1847=74),"④一般",IF(OR($AJ1847=41,$AJ1847=47),"⑤短期","対象外"))))))</f>
        <v/>
      </c>
    </row>
    <row r="1848" customFormat="false" ht="15" hidden="false" customHeight="false" outlineLevel="0" collapsed="false">
      <c r="DB1848" s="0" t="str">
        <f aca="false">IF($A1848="","",IF($AE1848&amp;""&lt;&gt;設定!$C$4,"対象外",IF($AH1848=20,IF(OR($AJ1848=10,$AJ1848=11,$AJ1848=18),"①病院一般",IF($AJ1848=41,"②病院短期","対象外")),IF($AH1848=5,IF($AJ1848=30,"③特定消防","対象外"),IF(OR($AJ1848=10,$AJ1848=11,$AJ1848=74),"④一般",IF(OR($AJ1848=41,$AJ1848=47),"⑤短期","対象外"))))))</f>
        <v/>
      </c>
    </row>
    <row r="1849" customFormat="false" ht="15" hidden="false" customHeight="false" outlineLevel="0" collapsed="false">
      <c r="DB1849" s="0" t="str">
        <f aca="false">IF($A1849="","",IF($AE1849&amp;""&lt;&gt;設定!$C$4,"対象外",IF($AH1849=20,IF(OR($AJ1849=10,$AJ1849=11,$AJ1849=18),"①病院一般",IF($AJ1849=41,"②病院短期","対象外")),IF($AH1849=5,IF($AJ1849=30,"③特定消防","対象外"),IF(OR($AJ1849=10,$AJ1849=11,$AJ1849=74),"④一般",IF(OR($AJ1849=41,$AJ1849=47),"⑤短期","対象外"))))))</f>
        <v/>
      </c>
    </row>
    <row r="1850" customFormat="false" ht="15" hidden="false" customHeight="false" outlineLevel="0" collapsed="false">
      <c r="DB1850" s="0" t="str">
        <f aca="false">IF($A1850="","",IF($AE1850&amp;""&lt;&gt;設定!$C$4,"対象外",IF($AH1850=20,IF(OR($AJ1850=10,$AJ1850=11,$AJ1850=18),"①病院一般",IF($AJ1850=41,"②病院短期","対象外")),IF($AH1850=5,IF($AJ1850=30,"③特定消防","対象外"),IF(OR($AJ1850=10,$AJ1850=11,$AJ1850=74),"④一般",IF(OR($AJ1850=41,$AJ1850=47),"⑤短期","対象外"))))))</f>
        <v/>
      </c>
    </row>
    <row r="1851" customFormat="false" ht="15" hidden="false" customHeight="false" outlineLevel="0" collapsed="false">
      <c r="DB1851" s="0" t="str">
        <f aca="false">IF($A1851="","",IF($AE1851&amp;""&lt;&gt;設定!$C$4,"対象外",IF($AH1851=20,IF(OR($AJ1851=10,$AJ1851=11,$AJ1851=18),"①病院一般",IF($AJ1851=41,"②病院短期","対象外")),IF($AH1851=5,IF($AJ1851=30,"③特定消防","対象外"),IF(OR($AJ1851=10,$AJ1851=11,$AJ1851=74),"④一般",IF(OR($AJ1851=41,$AJ1851=47),"⑤短期","対象外"))))))</f>
        <v/>
      </c>
    </row>
    <row r="1852" customFormat="false" ht="15" hidden="false" customHeight="false" outlineLevel="0" collapsed="false">
      <c r="DB1852" s="0" t="str">
        <f aca="false">IF($A1852="","",IF($AE1852&amp;""&lt;&gt;設定!$C$4,"対象外",IF($AH1852=20,IF(OR($AJ1852=10,$AJ1852=11,$AJ1852=18),"①病院一般",IF($AJ1852=41,"②病院短期","対象外")),IF($AH1852=5,IF($AJ1852=30,"③特定消防","対象外"),IF(OR($AJ1852=10,$AJ1852=11,$AJ1852=74),"④一般",IF(OR($AJ1852=41,$AJ1852=47),"⑤短期","対象外"))))))</f>
        <v/>
      </c>
    </row>
    <row r="1853" customFormat="false" ht="15" hidden="false" customHeight="false" outlineLevel="0" collapsed="false">
      <c r="DB1853" s="0" t="str">
        <f aca="false">IF($A1853="","",IF($AE1853&amp;""&lt;&gt;設定!$C$4,"対象外",IF($AH1853=20,IF(OR($AJ1853=10,$AJ1853=11,$AJ1853=18),"①病院一般",IF($AJ1853=41,"②病院短期","対象外")),IF($AH1853=5,IF($AJ1853=30,"③特定消防","対象外"),IF(OR($AJ1853=10,$AJ1853=11,$AJ1853=74),"④一般",IF(OR($AJ1853=41,$AJ1853=47),"⑤短期","対象外"))))))</f>
        <v/>
      </c>
    </row>
    <row r="1854" customFormat="false" ht="15" hidden="false" customHeight="false" outlineLevel="0" collapsed="false">
      <c r="DB1854" s="0" t="str">
        <f aca="false">IF($A1854="","",IF($AE1854&amp;""&lt;&gt;設定!$C$4,"対象外",IF($AH1854=20,IF(OR($AJ1854=10,$AJ1854=11,$AJ1854=18),"①病院一般",IF($AJ1854=41,"②病院短期","対象外")),IF($AH1854=5,IF($AJ1854=30,"③特定消防","対象外"),IF(OR($AJ1854=10,$AJ1854=11,$AJ1854=74),"④一般",IF(OR($AJ1854=41,$AJ1854=47),"⑤短期","対象外"))))))</f>
        <v/>
      </c>
    </row>
    <row r="1855" customFormat="false" ht="15" hidden="false" customHeight="false" outlineLevel="0" collapsed="false">
      <c r="DB1855" s="0" t="str">
        <f aca="false">IF($A1855="","",IF($AE1855&amp;""&lt;&gt;設定!$C$4,"対象外",IF($AH1855=20,IF(OR($AJ1855=10,$AJ1855=11,$AJ1855=18),"①病院一般",IF($AJ1855=41,"②病院短期","対象外")),IF($AH1855=5,IF($AJ1855=30,"③特定消防","対象外"),IF(OR($AJ1855=10,$AJ1855=11,$AJ1855=74),"④一般",IF(OR($AJ1855=41,$AJ1855=47),"⑤短期","対象外"))))))</f>
        <v/>
      </c>
    </row>
    <row r="1856" customFormat="false" ht="15" hidden="false" customHeight="false" outlineLevel="0" collapsed="false">
      <c r="DB1856" s="0" t="str">
        <f aca="false">IF($A1856="","",IF($AE1856&amp;""&lt;&gt;設定!$C$4,"対象外",IF($AH1856=20,IF(OR($AJ1856=10,$AJ1856=11,$AJ1856=18),"①病院一般",IF($AJ1856=41,"②病院短期","対象外")),IF($AH1856=5,IF($AJ1856=30,"③特定消防","対象外"),IF(OR($AJ1856=10,$AJ1856=11,$AJ1856=74),"④一般",IF(OR($AJ1856=41,$AJ1856=47),"⑤短期","対象外"))))))</f>
        <v/>
      </c>
    </row>
    <row r="1857" customFormat="false" ht="15" hidden="false" customHeight="false" outlineLevel="0" collapsed="false">
      <c r="DB1857" s="0" t="str">
        <f aca="false">IF($A1857="","",IF($AE1857&amp;""&lt;&gt;設定!$C$4,"対象外",IF($AH1857=20,IF(OR($AJ1857=10,$AJ1857=11,$AJ1857=18),"①病院一般",IF($AJ1857=41,"②病院短期","対象外")),IF($AH1857=5,IF($AJ1857=30,"③特定消防","対象外"),IF(OR($AJ1857=10,$AJ1857=11,$AJ1857=74),"④一般",IF(OR($AJ1857=41,$AJ1857=47),"⑤短期","対象外"))))))</f>
        <v/>
      </c>
    </row>
    <row r="1858" customFormat="false" ht="15" hidden="false" customHeight="false" outlineLevel="0" collapsed="false">
      <c r="DB1858" s="0" t="str">
        <f aca="false">IF($A1858="","",IF($AE1858&amp;""&lt;&gt;設定!$C$4,"対象外",IF($AH1858=20,IF(OR($AJ1858=10,$AJ1858=11,$AJ1858=18),"①病院一般",IF($AJ1858=41,"②病院短期","対象外")),IF($AH1858=5,IF($AJ1858=30,"③特定消防","対象外"),IF(OR($AJ1858=10,$AJ1858=11,$AJ1858=74),"④一般",IF(OR($AJ1858=41,$AJ1858=47),"⑤短期","対象外"))))))</f>
        <v/>
      </c>
    </row>
    <row r="1859" customFormat="false" ht="15" hidden="false" customHeight="false" outlineLevel="0" collapsed="false">
      <c r="DB1859" s="0" t="str">
        <f aca="false">IF($A1859="","",IF($AE1859&amp;""&lt;&gt;設定!$C$4,"対象外",IF($AH1859=20,IF(OR($AJ1859=10,$AJ1859=11,$AJ1859=18),"①病院一般",IF($AJ1859=41,"②病院短期","対象外")),IF($AH1859=5,IF($AJ1859=30,"③特定消防","対象外"),IF(OR($AJ1859=10,$AJ1859=11,$AJ1859=74),"④一般",IF(OR($AJ1859=41,$AJ1859=47),"⑤短期","対象外"))))))</f>
        <v/>
      </c>
    </row>
    <row r="1860" customFormat="false" ht="15" hidden="false" customHeight="false" outlineLevel="0" collapsed="false">
      <c r="DB1860" s="0" t="str">
        <f aca="false">IF($A1860="","",IF($AE1860&amp;""&lt;&gt;設定!$C$4,"対象外",IF($AH1860=20,IF(OR($AJ1860=10,$AJ1860=11,$AJ1860=18),"①病院一般",IF($AJ1860=41,"②病院短期","対象外")),IF($AH1860=5,IF($AJ1860=30,"③特定消防","対象外"),IF(OR($AJ1860=10,$AJ1860=11,$AJ1860=74),"④一般",IF(OR($AJ1860=41,$AJ1860=47),"⑤短期","対象外"))))))</f>
        <v/>
      </c>
    </row>
    <row r="1861" customFormat="false" ht="15" hidden="false" customHeight="false" outlineLevel="0" collapsed="false">
      <c r="DB1861" s="0" t="str">
        <f aca="false">IF($A1861="","",IF($AE1861&amp;""&lt;&gt;設定!$C$4,"対象外",IF($AH1861=20,IF(OR($AJ1861=10,$AJ1861=11,$AJ1861=18),"①病院一般",IF($AJ1861=41,"②病院短期","対象外")),IF($AH1861=5,IF($AJ1861=30,"③特定消防","対象外"),IF(OR($AJ1861=10,$AJ1861=11,$AJ1861=74),"④一般",IF(OR($AJ1861=41,$AJ1861=47),"⑤短期","対象外"))))))</f>
        <v/>
      </c>
    </row>
    <row r="1862" customFormat="false" ht="15" hidden="false" customHeight="false" outlineLevel="0" collapsed="false">
      <c r="DB1862" s="0" t="str">
        <f aca="false">IF($A1862="","",IF($AE1862&amp;""&lt;&gt;設定!$C$4,"対象外",IF($AH1862=20,IF(OR($AJ1862=10,$AJ1862=11,$AJ1862=18),"①病院一般",IF($AJ1862=41,"②病院短期","対象外")),IF($AH1862=5,IF($AJ1862=30,"③特定消防","対象外"),IF(OR($AJ1862=10,$AJ1862=11,$AJ1862=74),"④一般",IF(OR($AJ1862=41,$AJ1862=47),"⑤短期","対象外"))))))</f>
        <v/>
      </c>
    </row>
    <row r="1863" customFormat="false" ht="15" hidden="false" customHeight="false" outlineLevel="0" collapsed="false">
      <c r="DB1863" s="0" t="str">
        <f aca="false">IF($A1863="","",IF($AE1863&amp;""&lt;&gt;設定!$C$4,"対象外",IF($AH1863=20,IF(OR($AJ1863=10,$AJ1863=11,$AJ1863=18),"①病院一般",IF($AJ1863=41,"②病院短期","対象外")),IF($AH1863=5,IF($AJ1863=30,"③特定消防","対象外"),IF(OR($AJ1863=10,$AJ1863=11,$AJ1863=74),"④一般",IF(OR($AJ1863=41,$AJ1863=47),"⑤短期","対象外"))))))</f>
        <v/>
      </c>
    </row>
    <row r="1864" customFormat="false" ht="15" hidden="false" customHeight="false" outlineLevel="0" collapsed="false">
      <c r="DB1864" s="0" t="str">
        <f aca="false">IF($A1864="","",IF($AE1864&amp;""&lt;&gt;設定!$C$4,"対象外",IF($AH1864=20,IF(OR($AJ1864=10,$AJ1864=11,$AJ1864=18),"①病院一般",IF($AJ1864=41,"②病院短期","対象外")),IF($AH1864=5,IF($AJ1864=30,"③特定消防","対象外"),IF(OR($AJ1864=10,$AJ1864=11,$AJ1864=74),"④一般",IF(OR($AJ1864=41,$AJ1864=47),"⑤短期","対象外"))))))</f>
        <v/>
      </c>
    </row>
    <row r="1865" customFormat="false" ht="15" hidden="false" customHeight="false" outlineLevel="0" collapsed="false">
      <c r="DB1865" s="0" t="str">
        <f aca="false">IF($A1865="","",IF($AE1865&amp;""&lt;&gt;設定!$C$4,"対象外",IF($AH1865=20,IF(OR($AJ1865=10,$AJ1865=11,$AJ1865=18),"①病院一般",IF($AJ1865=41,"②病院短期","対象外")),IF($AH1865=5,IF($AJ1865=30,"③特定消防","対象外"),IF(OR($AJ1865=10,$AJ1865=11,$AJ1865=74),"④一般",IF(OR($AJ1865=41,$AJ1865=47),"⑤短期","対象外"))))))</f>
        <v/>
      </c>
    </row>
    <row r="1866" customFormat="false" ht="15" hidden="false" customHeight="false" outlineLevel="0" collapsed="false">
      <c r="DB1866" s="0" t="str">
        <f aca="false">IF($A1866="","",IF($AE1866&amp;""&lt;&gt;設定!$C$4,"対象外",IF($AH1866=20,IF(OR($AJ1866=10,$AJ1866=11,$AJ1866=18),"①病院一般",IF($AJ1866=41,"②病院短期","対象外")),IF($AH1866=5,IF($AJ1866=30,"③特定消防","対象外"),IF(OR($AJ1866=10,$AJ1866=11,$AJ1866=74),"④一般",IF(OR($AJ1866=41,$AJ1866=47),"⑤短期","対象外"))))))</f>
        <v/>
      </c>
    </row>
    <row r="1867" customFormat="false" ht="15" hidden="false" customHeight="false" outlineLevel="0" collapsed="false">
      <c r="DB1867" s="0" t="str">
        <f aca="false">IF($A1867="","",IF($AE1867&amp;""&lt;&gt;設定!$C$4,"対象外",IF($AH1867=20,IF(OR($AJ1867=10,$AJ1867=11,$AJ1867=18),"①病院一般",IF($AJ1867=41,"②病院短期","対象外")),IF($AH1867=5,IF($AJ1867=30,"③特定消防","対象外"),IF(OR($AJ1867=10,$AJ1867=11,$AJ1867=74),"④一般",IF(OR($AJ1867=41,$AJ1867=47),"⑤短期","対象外"))))))</f>
        <v/>
      </c>
    </row>
    <row r="1868" customFormat="false" ht="15" hidden="false" customHeight="false" outlineLevel="0" collapsed="false">
      <c r="DB1868" s="0" t="str">
        <f aca="false">IF($A1868="","",IF($AE1868&amp;""&lt;&gt;設定!$C$4,"対象外",IF($AH1868=20,IF(OR($AJ1868=10,$AJ1868=11,$AJ1868=18),"①病院一般",IF($AJ1868=41,"②病院短期","対象外")),IF($AH1868=5,IF($AJ1868=30,"③特定消防","対象外"),IF(OR($AJ1868=10,$AJ1868=11,$AJ1868=74),"④一般",IF(OR($AJ1868=41,$AJ1868=47),"⑤短期","対象外"))))))</f>
        <v/>
      </c>
    </row>
    <row r="1869" customFormat="false" ht="15" hidden="false" customHeight="false" outlineLevel="0" collapsed="false">
      <c r="DB1869" s="0" t="str">
        <f aca="false">IF($A1869="","",IF($AE1869&amp;""&lt;&gt;設定!$C$4,"対象外",IF($AH1869=20,IF(OR($AJ1869=10,$AJ1869=11,$AJ1869=18),"①病院一般",IF($AJ1869=41,"②病院短期","対象外")),IF($AH1869=5,IF($AJ1869=30,"③特定消防","対象外"),IF(OR($AJ1869=10,$AJ1869=11,$AJ1869=74),"④一般",IF(OR($AJ1869=41,$AJ1869=47),"⑤短期","対象外"))))))</f>
        <v/>
      </c>
    </row>
    <row r="1870" customFormat="false" ht="15" hidden="false" customHeight="false" outlineLevel="0" collapsed="false">
      <c r="DB1870" s="0" t="str">
        <f aca="false">IF($A1870="","",IF($AE1870&amp;""&lt;&gt;設定!$C$4,"対象外",IF($AH1870=20,IF(OR($AJ1870=10,$AJ1870=11,$AJ1870=18),"①病院一般",IF($AJ1870=41,"②病院短期","対象外")),IF($AH1870=5,IF($AJ1870=30,"③特定消防","対象外"),IF(OR($AJ1870=10,$AJ1870=11,$AJ1870=74),"④一般",IF(OR($AJ1870=41,$AJ1870=47),"⑤短期","対象外"))))))</f>
        <v/>
      </c>
    </row>
    <row r="1871" customFormat="false" ht="15" hidden="false" customHeight="false" outlineLevel="0" collapsed="false">
      <c r="DB1871" s="0" t="str">
        <f aca="false">IF($A1871="","",IF($AE1871&amp;""&lt;&gt;設定!$C$4,"対象外",IF($AH1871=20,IF(OR($AJ1871=10,$AJ1871=11,$AJ1871=18),"①病院一般",IF($AJ1871=41,"②病院短期","対象外")),IF($AH1871=5,IF($AJ1871=30,"③特定消防","対象外"),IF(OR($AJ1871=10,$AJ1871=11,$AJ1871=74),"④一般",IF(OR($AJ1871=41,$AJ1871=47),"⑤短期","対象外"))))))</f>
        <v/>
      </c>
    </row>
    <row r="1872" customFormat="false" ht="15" hidden="false" customHeight="false" outlineLevel="0" collapsed="false">
      <c r="DB1872" s="0" t="str">
        <f aca="false">IF($A1872="","",IF($AE1872&amp;""&lt;&gt;設定!$C$4,"対象外",IF($AH1872=20,IF(OR($AJ1872=10,$AJ1872=11,$AJ1872=18),"①病院一般",IF($AJ1872=41,"②病院短期","対象外")),IF($AH1872=5,IF($AJ1872=30,"③特定消防","対象外"),IF(OR($AJ1872=10,$AJ1872=11,$AJ1872=74),"④一般",IF(OR($AJ1872=41,$AJ1872=47),"⑤短期","対象外"))))))</f>
        <v/>
      </c>
    </row>
    <row r="1873" customFormat="false" ht="15" hidden="false" customHeight="false" outlineLevel="0" collapsed="false">
      <c r="DB1873" s="0" t="str">
        <f aca="false">IF($A1873="","",IF($AE1873&amp;""&lt;&gt;設定!$C$4,"対象外",IF($AH1873=20,IF(OR($AJ1873=10,$AJ1873=11,$AJ1873=18),"①病院一般",IF($AJ1873=41,"②病院短期","対象外")),IF($AH1873=5,IF($AJ1873=30,"③特定消防","対象外"),IF(OR($AJ1873=10,$AJ1873=11,$AJ1873=74),"④一般",IF(OR($AJ1873=41,$AJ1873=47),"⑤短期","対象外"))))))</f>
        <v/>
      </c>
    </row>
    <row r="1874" customFormat="false" ht="15" hidden="false" customHeight="false" outlineLevel="0" collapsed="false">
      <c r="DB1874" s="0" t="str">
        <f aca="false">IF($A1874="","",IF($AE1874&amp;""&lt;&gt;設定!$C$4,"対象外",IF($AH1874=20,IF(OR($AJ1874=10,$AJ1874=11,$AJ1874=18),"①病院一般",IF($AJ1874=41,"②病院短期","対象外")),IF($AH1874=5,IF($AJ1874=30,"③特定消防","対象外"),IF(OR($AJ1874=10,$AJ1874=11,$AJ1874=74),"④一般",IF(OR($AJ1874=41,$AJ1874=47),"⑤短期","対象外"))))))</f>
        <v/>
      </c>
    </row>
    <row r="1875" customFormat="false" ht="15" hidden="false" customHeight="false" outlineLevel="0" collapsed="false">
      <c r="DB1875" s="0" t="str">
        <f aca="false">IF($A1875="","",IF($AE1875&amp;""&lt;&gt;設定!$C$4,"対象外",IF($AH1875=20,IF(OR($AJ1875=10,$AJ1875=11,$AJ1875=18),"①病院一般",IF($AJ1875=41,"②病院短期","対象外")),IF($AH1875=5,IF($AJ1875=30,"③特定消防","対象外"),IF(OR($AJ1875=10,$AJ1875=11,$AJ1875=74),"④一般",IF(OR($AJ1875=41,$AJ1875=47),"⑤短期","対象外"))))))</f>
        <v/>
      </c>
    </row>
    <row r="1876" customFormat="false" ht="15" hidden="false" customHeight="false" outlineLevel="0" collapsed="false">
      <c r="DB1876" s="0" t="str">
        <f aca="false">IF($A1876="","",IF($AE1876&amp;""&lt;&gt;設定!$C$4,"対象外",IF($AH1876=20,IF(OR($AJ1876=10,$AJ1876=11,$AJ1876=18),"①病院一般",IF($AJ1876=41,"②病院短期","対象外")),IF($AH1876=5,IF($AJ1876=30,"③特定消防","対象外"),IF(OR($AJ1876=10,$AJ1876=11,$AJ1876=74),"④一般",IF(OR($AJ1876=41,$AJ1876=47),"⑤短期","対象外"))))))</f>
        <v/>
      </c>
    </row>
    <row r="1877" customFormat="false" ht="15" hidden="false" customHeight="false" outlineLevel="0" collapsed="false">
      <c r="DB1877" s="0" t="str">
        <f aca="false">IF($A1877="","",IF($AE1877&amp;""&lt;&gt;設定!$C$4,"対象外",IF($AH1877=20,IF(OR($AJ1877=10,$AJ1877=11,$AJ1877=18),"①病院一般",IF($AJ1877=41,"②病院短期","対象外")),IF($AH1877=5,IF($AJ1877=30,"③特定消防","対象外"),IF(OR($AJ1877=10,$AJ1877=11,$AJ1877=74),"④一般",IF(OR($AJ1877=41,$AJ1877=47),"⑤短期","対象外"))))))</f>
        <v/>
      </c>
    </row>
    <row r="1878" customFormat="false" ht="15" hidden="false" customHeight="false" outlineLevel="0" collapsed="false">
      <c r="DB1878" s="0" t="str">
        <f aca="false">IF($A1878="","",IF($AE1878&amp;""&lt;&gt;設定!$C$4,"対象外",IF($AH1878=20,IF(OR($AJ1878=10,$AJ1878=11,$AJ1878=18),"①病院一般",IF($AJ1878=41,"②病院短期","対象外")),IF($AH1878=5,IF($AJ1878=30,"③特定消防","対象外"),IF(OR($AJ1878=10,$AJ1878=11,$AJ1878=74),"④一般",IF(OR($AJ1878=41,$AJ1878=47),"⑤短期","対象外"))))))</f>
        <v/>
      </c>
    </row>
    <row r="1879" customFormat="false" ht="15" hidden="false" customHeight="false" outlineLevel="0" collapsed="false">
      <c r="DB1879" s="0" t="str">
        <f aca="false">IF($A1879="","",IF($AE1879&amp;""&lt;&gt;設定!$C$4,"対象外",IF($AH1879=20,IF(OR($AJ1879=10,$AJ1879=11,$AJ1879=18),"①病院一般",IF($AJ1879=41,"②病院短期","対象外")),IF($AH1879=5,IF($AJ1879=30,"③特定消防","対象外"),IF(OR($AJ1879=10,$AJ1879=11,$AJ1879=74),"④一般",IF(OR($AJ1879=41,$AJ1879=47),"⑤短期","対象外"))))))</f>
        <v/>
      </c>
    </row>
    <row r="1880" customFormat="false" ht="15" hidden="false" customHeight="false" outlineLevel="0" collapsed="false">
      <c r="DB1880" s="0" t="str">
        <f aca="false">IF($A1880="","",IF($AE1880&amp;""&lt;&gt;設定!$C$4,"対象外",IF($AH1880=20,IF(OR($AJ1880=10,$AJ1880=11,$AJ1880=18),"①病院一般",IF($AJ1880=41,"②病院短期","対象外")),IF($AH1880=5,IF($AJ1880=30,"③特定消防","対象外"),IF(OR($AJ1880=10,$AJ1880=11,$AJ1880=74),"④一般",IF(OR($AJ1880=41,$AJ1880=47),"⑤短期","対象外"))))))</f>
        <v/>
      </c>
    </row>
    <row r="1881" customFormat="false" ht="15" hidden="false" customHeight="false" outlineLevel="0" collapsed="false">
      <c r="DB1881" s="0" t="str">
        <f aca="false">IF($A1881="","",IF($AE1881&amp;""&lt;&gt;設定!$C$4,"対象外",IF($AH1881=20,IF(OR($AJ1881=10,$AJ1881=11,$AJ1881=18),"①病院一般",IF($AJ1881=41,"②病院短期","対象外")),IF($AH1881=5,IF($AJ1881=30,"③特定消防","対象外"),IF(OR($AJ1881=10,$AJ1881=11,$AJ1881=74),"④一般",IF(OR($AJ1881=41,$AJ1881=47),"⑤短期","対象外"))))))</f>
        <v/>
      </c>
    </row>
    <row r="1882" customFormat="false" ht="15" hidden="false" customHeight="false" outlineLevel="0" collapsed="false">
      <c r="DB1882" s="0" t="str">
        <f aca="false">IF($A1882="","",IF($AE1882&amp;""&lt;&gt;設定!$C$4,"対象外",IF($AH1882=20,IF(OR($AJ1882=10,$AJ1882=11,$AJ1882=18),"①病院一般",IF($AJ1882=41,"②病院短期","対象外")),IF($AH1882=5,IF($AJ1882=30,"③特定消防","対象外"),IF(OR($AJ1882=10,$AJ1882=11,$AJ1882=74),"④一般",IF(OR($AJ1882=41,$AJ1882=47),"⑤短期","対象外"))))))</f>
        <v/>
      </c>
    </row>
    <row r="1883" customFormat="false" ht="15" hidden="false" customHeight="false" outlineLevel="0" collapsed="false">
      <c r="DB1883" s="0" t="str">
        <f aca="false">IF($A1883="","",IF($AE1883&amp;""&lt;&gt;設定!$C$4,"対象外",IF($AH1883=20,IF(OR($AJ1883=10,$AJ1883=11,$AJ1883=18),"①病院一般",IF($AJ1883=41,"②病院短期","対象外")),IF($AH1883=5,IF($AJ1883=30,"③特定消防","対象外"),IF(OR($AJ1883=10,$AJ1883=11,$AJ1883=74),"④一般",IF(OR($AJ1883=41,$AJ1883=47),"⑤短期","対象外"))))))</f>
        <v/>
      </c>
    </row>
    <row r="1884" customFormat="false" ht="15" hidden="false" customHeight="false" outlineLevel="0" collapsed="false">
      <c r="DB1884" s="0" t="str">
        <f aca="false">IF($A1884="","",IF($AE1884&amp;""&lt;&gt;設定!$C$4,"対象外",IF($AH1884=20,IF(OR($AJ1884=10,$AJ1884=11,$AJ1884=18),"①病院一般",IF($AJ1884=41,"②病院短期","対象外")),IF($AH1884=5,IF($AJ1884=30,"③特定消防","対象外"),IF(OR($AJ1884=10,$AJ1884=11,$AJ1884=74),"④一般",IF(OR($AJ1884=41,$AJ1884=47),"⑤短期","対象外"))))))</f>
        <v/>
      </c>
    </row>
    <row r="1885" customFormat="false" ht="15" hidden="false" customHeight="false" outlineLevel="0" collapsed="false">
      <c r="DB1885" s="0" t="str">
        <f aca="false">IF($A1885="","",IF($AE1885&amp;""&lt;&gt;設定!$C$4,"対象外",IF($AH1885=20,IF(OR($AJ1885=10,$AJ1885=11,$AJ1885=18),"①病院一般",IF($AJ1885=41,"②病院短期","対象外")),IF($AH1885=5,IF($AJ1885=30,"③特定消防","対象外"),IF(OR($AJ1885=10,$AJ1885=11,$AJ1885=74),"④一般",IF(OR($AJ1885=41,$AJ1885=47),"⑤短期","対象外"))))))</f>
        <v/>
      </c>
    </row>
    <row r="1886" customFormat="false" ht="15" hidden="false" customHeight="false" outlineLevel="0" collapsed="false">
      <c r="DB1886" s="0" t="str">
        <f aca="false">IF($A1886="","",IF($AE1886&amp;""&lt;&gt;設定!$C$4,"対象外",IF($AH1886=20,IF(OR($AJ1886=10,$AJ1886=11,$AJ1886=18),"①病院一般",IF($AJ1886=41,"②病院短期","対象外")),IF($AH1886=5,IF($AJ1886=30,"③特定消防","対象外"),IF(OR($AJ1886=10,$AJ1886=11,$AJ1886=74),"④一般",IF(OR($AJ1886=41,$AJ1886=47),"⑤短期","対象外"))))))</f>
        <v/>
      </c>
    </row>
    <row r="1887" customFormat="false" ht="15" hidden="false" customHeight="false" outlineLevel="0" collapsed="false">
      <c r="DB1887" s="0" t="str">
        <f aca="false">IF($A1887="","",IF($AE1887&amp;""&lt;&gt;設定!$C$4,"対象外",IF($AH1887=20,IF(OR($AJ1887=10,$AJ1887=11,$AJ1887=18),"①病院一般",IF($AJ1887=41,"②病院短期","対象外")),IF($AH1887=5,IF($AJ1887=30,"③特定消防","対象外"),IF(OR($AJ1887=10,$AJ1887=11,$AJ1887=74),"④一般",IF(OR($AJ1887=41,$AJ1887=47),"⑤短期","対象外"))))))</f>
        <v/>
      </c>
    </row>
    <row r="1888" customFormat="false" ht="15" hidden="false" customHeight="false" outlineLevel="0" collapsed="false">
      <c r="DB1888" s="0" t="str">
        <f aca="false">IF($A1888="","",IF($AE1888&amp;""&lt;&gt;設定!$C$4,"対象外",IF($AH1888=20,IF(OR($AJ1888=10,$AJ1888=11,$AJ1888=18),"①病院一般",IF($AJ1888=41,"②病院短期","対象外")),IF($AH1888=5,IF($AJ1888=30,"③特定消防","対象外"),IF(OR($AJ1888=10,$AJ1888=11,$AJ1888=74),"④一般",IF(OR($AJ1888=41,$AJ1888=47),"⑤短期","対象外"))))))</f>
        <v/>
      </c>
    </row>
    <row r="1889" customFormat="false" ht="15" hidden="false" customHeight="false" outlineLevel="0" collapsed="false">
      <c r="DB1889" s="0" t="str">
        <f aca="false">IF($A1889="","",IF($AE1889&amp;""&lt;&gt;設定!$C$4,"対象外",IF($AH1889=20,IF(OR($AJ1889=10,$AJ1889=11,$AJ1889=18),"①病院一般",IF($AJ1889=41,"②病院短期","対象外")),IF($AH1889=5,IF($AJ1889=30,"③特定消防","対象外"),IF(OR($AJ1889=10,$AJ1889=11,$AJ1889=74),"④一般",IF(OR($AJ1889=41,$AJ1889=47),"⑤短期","対象外"))))))</f>
        <v/>
      </c>
    </row>
    <row r="1890" customFormat="false" ht="15" hidden="false" customHeight="false" outlineLevel="0" collapsed="false">
      <c r="DB1890" s="0" t="str">
        <f aca="false">IF($A1890="","",IF($AE1890&amp;""&lt;&gt;設定!$C$4,"対象外",IF($AH1890=20,IF(OR($AJ1890=10,$AJ1890=11,$AJ1890=18),"①病院一般",IF($AJ1890=41,"②病院短期","対象外")),IF($AH1890=5,IF($AJ1890=30,"③特定消防","対象外"),IF(OR($AJ1890=10,$AJ1890=11,$AJ1890=74),"④一般",IF(OR($AJ1890=41,$AJ1890=47),"⑤短期","対象外"))))))</f>
        <v/>
      </c>
    </row>
    <row r="1891" customFormat="false" ht="15" hidden="false" customHeight="false" outlineLevel="0" collapsed="false">
      <c r="DB1891" s="0" t="str">
        <f aca="false">IF($A1891="","",IF($AE1891&amp;""&lt;&gt;設定!$C$4,"対象外",IF($AH1891=20,IF(OR($AJ1891=10,$AJ1891=11,$AJ1891=18),"①病院一般",IF($AJ1891=41,"②病院短期","対象外")),IF($AH1891=5,IF($AJ1891=30,"③特定消防","対象外"),IF(OR($AJ1891=10,$AJ1891=11,$AJ1891=74),"④一般",IF(OR($AJ1891=41,$AJ1891=47),"⑤短期","対象外"))))))</f>
        <v/>
      </c>
    </row>
    <row r="1892" customFormat="false" ht="15" hidden="false" customHeight="false" outlineLevel="0" collapsed="false">
      <c r="DB1892" s="0" t="str">
        <f aca="false">IF($A1892="","",IF($AE1892&amp;""&lt;&gt;設定!$C$4,"対象外",IF($AH1892=20,IF(OR($AJ1892=10,$AJ1892=11,$AJ1892=18),"①病院一般",IF($AJ1892=41,"②病院短期","対象外")),IF($AH1892=5,IF($AJ1892=30,"③特定消防","対象外"),IF(OR($AJ1892=10,$AJ1892=11,$AJ1892=74),"④一般",IF(OR($AJ1892=41,$AJ1892=47),"⑤短期","対象外"))))))</f>
        <v/>
      </c>
    </row>
    <row r="1893" customFormat="false" ht="15" hidden="false" customHeight="false" outlineLevel="0" collapsed="false">
      <c r="DB1893" s="0" t="str">
        <f aca="false">IF($A1893="","",IF($AE1893&amp;""&lt;&gt;設定!$C$4,"対象外",IF($AH1893=20,IF(OR($AJ1893=10,$AJ1893=11,$AJ1893=18),"①病院一般",IF($AJ1893=41,"②病院短期","対象外")),IF($AH1893=5,IF($AJ1893=30,"③特定消防","対象外"),IF(OR($AJ1893=10,$AJ1893=11,$AJ1893=74),"④一般",IF(OR($AJ1893=41,$AJ1893=47),"⑤短期","対象外"))))))</f>
        <v/>
      </c>
    </row>
    <row r="1894" customFormat="false" ht="15" hidden="false" customHeight="false" outlineLevel="0" collapsed="false">
      <c r="DB1894" s="0" t="str">
        <f aca="false">IF($A1894="","",IF($AE1894&amp;""&lt;&gt;設定!$C$4,"対象外",IF($AH1894=20,IF(OR($AJ1894=10,$AJ1894=11,$AJ1894=18),"①病院一般",IF($AJ1894=41,"②病院短期","対象外")),IF($AH1894=5,IF($AJ1894=30,"③特定消防","対象外"),IF(OR($AJ1894=10,$AJ1894=11,$AJ1894=74),"④一般",IF(OR($AJ1894=41,$AJ1894=47),"⑤短期","対象外"))))))</f>
        <v/>
      </c>
    </row>
    <row r="1895" customFormat="false" ht="15" hidden="false" customHeight="false" outlineLevel="0" collapsed="false">
      <c r="DB1895" s="0" t="str">
        <f aca="false">IF($A1895="","",IF($AE1895&amp;""&lt;&gt;設定!$C$4,"対象外",IF($AH1895=20,IF(OR($AJ1895=10,$AJ1895=11,$AJ1895=18),"①病院一般",IF($AJ1895=41,"②病院短期","対象外")),IF($AH1895=5,IF($AJ1895=30,"③特定消防","対象外"),IF(OR($AJ1895=10,$AJ1895=11,$AJ1895=74),"④一般",IF(OR($AJ1895=41,$AJ1895=47),"⑤短期","対象外"))))))</f>
        <v/>
      </c>
    </row>
    <row r="1896" customFormat="false" ht="15" hidden="false" customHeight="false" outlineLevel="0" collapsed="false">
      <c r="DB1896" s="0" t="str">
        <f aca="false">IF($A1896="","",IF($AE1896&amp;""&lt;&gt;設定!$C$4,"対象外",IF($AH1896=20,IF(OR($AJ1896=10,$AJ1896=11,$AJ1896=18),"①病院一般",IF($AJ1896=41,"②病院短期","対象外")),IF($AH1896=5,IF($AJ1896=30,"③特定消防","対象外"),IF(OR($AJ1896=10,$AJ1896=11,$AJ1896=74),"④一般",IF(OR($AJ1896=41,$AJ1896=47),"⑤短期","対象外"))))))</f>
        <v/>
      </c>
    </row>
    <row r="1897" customFormat="false" ht="15" hidden="false" customHeight="false" outlineLevel="0" collapsed="false">
      <c r="DB1897" s="0" t="str">
        <f aca="false">IF($A1897="","",IF($AE1897&amp;""&lt;&gt;設定!$C$4,"対象外",IF($AH1897=20,IF(OR($AJ1897=10,$AJ1897=11,$AJ1897=18),"①病院一般",IF($AJ1897=41,"②病院短期","対象外")),IF($AH1897=5,IF($AJ1897=30,"③特定消防","対象外"),IF(OR($AJ1897=10,$AJ1897=11,$AJ1897=74),"④一般",IF(OR($AJ1897=41,$AJ1897=47),"⑤短期","対象外"))))))</f>
        <v/>
      </c>
    </row>
    <row r="1898" customFormat="false" ht="15" hidden="false" customHeight="false" outlineLevel="0" collapsed="false">
      <c r="DB1898" s="0" t="str">
        <f aca="false">IF($A1898="","",IF($AE1898&amp;""&lt;&gt;設定!$C$4,"対象外",IF($AH1898=20,IF(OR($AJ1898=10,$AJ1898=11,$AJ1898=18),"①病院一般",IF($AJ1898=41,"②病院短期","対象外")),IF($AH1898=5,IF($AJ1898=30,"③特定消防","対象外"),IF(OR($AJ1898=10,$AJ1898=11,$AJ1898=74),"④一般",IF(OR($AJ1898=41,$AJ1898=47),"⑤短期","対象外"))))))</f>
        <v/>
      </c>
    </row>
    <row r="1899" customFormat="false" ht="15" hidden="false" customHeight="false" outlineLevel="0" collapsed="false">
      <c r="DB1899" s="0" t="str">
        <f aca="false">IF($A1899="","",IF($AE1899&amp;""&lt;&gt;設定!$C$4,"対象外",IF($AH1899=20,IF(OR($AJ1899=10,$AJ1899=11,$AJ1899=18),"①病院一般",IF($AJ1899=41,"②病院短期","対象外")),IF($AH1899=5,IF($AJ1899=30,"③特定消防","対象外"),IF(OR($AJ1899=10,$AJ1899=11,$AJ1899=74),"④一般",IF(OR($AJ1899=41,$AJ1899=47),"⑤短期","対象外"))))))</f>
        <v/>
      </c>
    </row>
    <row r="1900" customFormat="false" ht="15" hidden="false" customHeight="false" outlineLevel="0" collapsed="false">
      <c r="DB1900" s="0" t="str">
        <f aca="false">IF($A1900="","",IF($AE1900&amp;""&lt;&gt;設定!$C$4,"対象外",IF($AH1900=20,IF(OR($AJ1900=10,$AJ1900=11,$AJ1900=18),"①病院一般",IF($AJ1900=41,"②病院短期","対象外")),IF($AH1900=5,IF($AJ1900=30,"③特定消防","対象外"),IF(OR($AJ1900=10,$AJ1900=11,$AJ1900=74),"④一般",IF(OR($AJ1900=41,$AJ1900=47),"⑤短期","対象外"))))))</f>
        <v/>
      </c>
    </row>
    <row r="1901" customFormat="false" ht="15" hidden="false" customHeight="false" outlineLevel="0" collapsed="false">
      <c r="DB1901" s="0" t="str">
        <f aca="false">IF($A1901="","",IF($AE1901&amp;""&lt;&gt;設定!$C$4,"対象外",IF($AH1901=20,IF(OR($AJ1901=10,$AJ1901=11,$AJ1901=18),"①病院一般",IF($AJ1901=41,"②病院短期","対象外")),IF($AH1901=5,IF($AJ1901=30,"③特定消防","対象外"),IF(OR($AJ1901=10,$AJ1901=11,$AJ1901=74),"④一般",IF(OR($AJ1901=41,$AJ1901=47),"⑤短期","対象外"))))))</f>
        <v/>
      </c>
    </row>
    <row r="1902" customFormat="false" ht="15" hidden="false" customHeight="false" outlineLevel="0" collapsed="false">
      <c r="DB1902" s="0" t="str">
        <f aca="false">IF($A1902="","",IF($AE1902&amp;""&lt;&gt;設定!$C$4,"対象外",IF($AH1902=20,IF(OR($AJ1902=10,$AJ1902=11,$AJ1902=18),"①病院一般",IF($AJ1902=41,"②病院短期","対象外")),IF($AH1902=5,IF($AJ1902=30,"③特定消防","対象外"),IF(OR($AJ1902=10,$AJ1902=11,$AJ1902=74),"④一般",IF(OR($AJ1902=41,$AJ1902=47),"⑤短期","対象外"))))))</f>
        <v/>
      </c>
    </row>
    <row r="1903" customFormat="false" ht="15" hidden="false" customHeight="false" outlineLevel="0" collapsed="false">
      <c r="DB1903" s="0" t="str">
        <f aca="false">IF($A1903="","",IF($AE1903&amp;""&lt;&gt;設定!$C$4,"対象外",IF($AH1903=20,IF(OR($AJ1903=10,$AJ1903=11,$AJ1903=18),"①病院一般",IF($AJ1903=41,"②病院短期","対象外")),IF($AH1903=5,IF($AJ1903=30,"③特定消防","対象外"),IF(OR($AJ1903=10,$AJ1903=11,$AJ1903=74),"④一般",IF(OR($AJ1903=41,$AJ1903=47),"⑤短期","対象外"))))))</f>
        <v/>
      </c>
    </row>
    <row r="1904" customFormat="false" ht="15" hidden="false" customHeight="false" outlineLevel="0" collapsed="false">
      <c r="DB1904" s="0" t="str">
        <f aca="false">IF($A1904="","",IF($AE1904&amp;""&lt;&gt;設定!$C$4,"対象外",IF($AH1904=20,IF(OR($AJ1904=10,$AJ1904=11,$AJ1904=18),"①病院一般",IF($AJ1904=41,"②病院短期","対象外")),IF($AH1904=5,IF($AJ1904=30,"③特定消防","対象外"),IF(OR($AJ1904=10,$AJ1904=11,$AJ1904=74),"④一般",IF(OR($AJ1904=41,$AJ1904=47),"⑤短期","対象外"))))))</f>
        <v/>
      </c>
    </row>
    <row r="1905" customFormat="false" ht="15" hidden="false" customHeight="false" outlineLevel="0" collapsed="false">
      <c r="DB1905" s="0" t="str">
        <f aca="false">IF($A1905="","",IF($AE1905&amp;""&lt;&gt;設定!$C$4,"対象外",IF($AH1905=20,IF(OR($AJ1905=10,$AJ1905=11,$AJ1905=18),"①病院一般",IF($AJ1905=41,"②病院短期","対象外")),IF($AH1905=5,IF($AJ1905=30,"③特定消防","対象外"),IF(OR($AJ1905=10,$AJ1905=11,$AJ1905=74),"④一般",IF(OR($AJ1905=41,$AJ1905=47),"⑤短期","対象外"))))))</f>
        <v/>
      </c>
    </row>
    <row r="1906" customFormat="false" ht="15" hidden="false" customHeight="false" outlineLevel="0" collapsed="false">
      <c r="DB1906" s="0" t="str">
        <f aca="false">IF($A1906="","",IF($AE1906&amp;""&lt;&gt;設定!$C$4,"対象外",IF($AH1906=20,IF(OR($AJ1906=10,$AJ1906=11,$AJ1906=18),"①病院一般",IF($AJ1906=41,"②病院短期","対象外")),IF($AH1906=5,IF($AJ1906=30,"③特定消防","対象外"),IF(OR($AJ1906=10,$AJ1906=11,$AJ1906=74),"④一般",IF(OR($AJ1906=41,$AJ1906=47),"⑤短期","対象外"))))))</f>
        <v/>
      </c>
    </row>
    <row r="1907" customFormat="false" ht="15" hidden="false" customHeight="false" outlineLevel="0" collapsed="false">
      <c r="DB1907" s="0" t="str">
        <f aca="false">IF($A1907="","",IF($AE1907&amp;""&lt;&gt;設定!$C$4,"対象外",IF($AH1907=20,IF(OR($AJ1907=10,$AJ1907=11,$AJ1907=18),"①病院一般",IF($AJ1907=41,"②病院短期","対象外")),IF($AH1907=5,IF($AJ1907=30,"③特定消防","対象外"),IF(OR($AJ1907=10,$AJ1907=11,$AJ1907=74),"④一般",IF(OR($AJ1907=41,$AJ1907=47),"⑤短期","対象外"))))))</f>
        <v/>
      </c>
    </row>
    <row r="1908" customFormat="false" ht="15" hidden="false" customHeight="false" outlineLevel="0" collapsed="false">
      <c r="DB1908" s="0" t="str">
        <f aca="false">IF($A1908="","",IF($AE1908&amp;""&lt;&gt;設定!$C$4,"対象外",IF($AH1908=20,IF(OR($AJ1908=10,$AJ1908=11,$AJ1908=18),"①病院一般",IF($AJ1908=41,"②病院短期","対象外")),IF($AH1908=5,IF($AJ1908=30,"③特定消防","対象外"),IF(OR($AJ1908=10,$AJ1908=11,$AJ1908=74),"④一般",IF(OR($AJ1908=41,$AJ1908=47),"⑤短期","対象外"))))))</f>
        <v/>
      </c>
    </row>
    <row r="1909" customFormat="false" ht="15" hidden="false" customHeight="false" outlineLevel="0" collapsed="false">
      <c r="DB1909" s="0" t="str">
        <f aca="false">IF($A1909="","",IF($AE1909&amp;""&lt;&gt;設定!$C$4,"対象外",IF($AH1909=20,IF(OR($AJ1909=10,$AJ1909=11,$AJ1909=18),"①病院一般",IF($AJ1909=41,"②病院短期","対象外")),IF($AH1909=5,IF($AJ1909=30,"③特定消防","対象外"),IF(OR($AJ1909=10,$AJ1909=11,$AJ1909=74),"④一般",IF(OR($AJ1909=41,$AJ1909=47),"⑤短期","対象外"))))))</f>
        <v/>
      </c>
    </row>
    <row r="1910" customFormat="false" ht="15" hidden="false" customHeight="false" outlineLevel="0" collapsed="false">
      <c r="DB1910" s="0" t="str">
        <f aca="false">IF($A1910="","",IF($AE1910&amp;""&lt;&gt;設定!$C$4,"対象外",IF($AH1910=20,IF(OR($AJ1910=10,$AJ1910=11,$AJ1910=18),"①病院一般",IF($AJ1910=41,"②病院短期","対象外")),IF($AH1910=5,IF($AJ1910=30,"③特定消防","対象外"),IF(OR($AJ1910=10,$AJ1910=11,$AJ1910=74),"④一般",IF(OR($AJ1910=41,$AJ1910=47),"⑤短期","対象外"))))))</f>
        <v/>
      </c>
    </row>
    <row r="1911" customFormat="false" ht="15" hidden="false" customHeight="false" outlineLevel="0" collapsed="false">
      <c r="DB1911" s="0" t="str">
        <f aca="false">IF($A1911="","",IF($AE1911&amp;""&lt;&gt;設定!$C$4,"対象外",IF($AH1911=20,IF(OR($AJ1911=10,$AJ1911=11,$AJ1911=18),"①病院一般",IF($AJ1911=41,"②病院短期","対象外")),IF($AH1911=5,IF($AJ1911=30,"③特定消防","対象外"),IF(OR($AJ1911=10,$AJ1911=11,$AJ1911=74),"④一般",IF(OR($AJ1911=41,$AJ1911=47),"⑤短期","対象外"))))))</f>
        <v/>
      </c>
    </row>
    <row r="1912" customFormat="false" ht="15" hidden="false" customHeight="false" outlineLevel="0" collapsed="false">
      <c r="DB1912" s="0" t="str">
        <f aca="false">IF($A1912="","",IF($AE1912&amp;""&lt;&gt;設定!$C$4,"対象外",IF($AH1912=20,IF(OR($AJ1912=10,$AJ1912=11,$AJ1912=18),"①病院一般",IF($AJ1912=41,"②病院短期","対象外")),IF($AH1912=5,IF($AJ1912=30,"③特定消防","対象外"),IF(OR($AJ1912=10,$AJ1912=11,$AJ1912=74),"④一般",IF(OR($AJ1912=41,$AJ1912=47),"⑤短期","対象外"))))))</f>
        <v/>
      </c>
    </row>
    <row r="1913" customFormat="false" ht="15" hidden="false" customHeight="false" outlineLevel="0" collapsed="false">
      <c r="DB1913" s="0" t="str">
        <f aca="false">IF($A1913="","",IF($AE1913&amp;""&lt;&gt;設定!$C$4,"対象外",IF($AH1913=20,IF(OR($AJ1913=10,$AJ1913=11,$AJ1913=18),"①病院一般",IF($AJ1913=41,"②病院短期","対象外")),IF($AH1913=5,IF($AJ1913=30,"③特定消防","対象外"),IF(OR($AJ1913=10,$AJ1913=11,$AJ1913=74),"④一般",IF(OR($AJ1913=41,$AJ1913=47),"⑤短期","対象外"))))))</f>
        <v/>
      </c>
    </row>
    <row r="1914" customFormat="false" ht="15" hidden="false" customHeight="false" outlineLevel="0" collapsed="false">
      <c r="DB1914" s="0" t="str">
        <f aca="false">IF($A1914="","",IF($AE1914&amp;""&lt;&gt;設定!$C$4,"対象外",IF($AH1914=20,IF(OR($AJ1914=10,$AJ1914=11,$AJ1914=18),"①病院一般",IF($AJ1914=41,"②病院短期","対象外")),IF($AH1914=5,IF($AJ1914=30,"③特定消防","対象外"),IF(OR($AJ1914=10,$AJ1914=11,$AJ1914=74),"④一般",IF(OR($AJ1914=41,$AJ1914=47),"⑤短期","対象外"))))))</f>
        <v/>
      </c>
    </row>
    <row r="1915" customFormat="false" ht="15" hidden="false" customHeight="false" outlineLevel="0" collapsed="false">
      <c r="DB1915" s="0" t="str">
        <f aca="false">IF($A1915="","",IF($AE1915&amp;""&lt;&gt;設定!$C$4,"対象外",IF($AH1915=20,IF(OR($AJ1915=10,$AJ1915=11,$AJ1915=18),"①病院一般",IF($AJ1915=41,"②病院短期","対象外")),IF($AH1915=5,IF($AJ1915=30,"③特定消防","対象外"),IF(OR($AJ1915=10,$AJ1915=11,$AJ1915=74),"④一般",IF(OR($AJ1915=41,$AJ1915=47),"⑤短期","対象外"))))))</f>
        <v/>
      </c>
    </row>
    <row r="1916" customFormat="false" ht="15" hidden="false" customHeight="false" outlineLevel="0" collapsed="false">
      <c r="DB1916" s="0" t="str">
        <f aca="false">IF($A1916="","",IF($AE1916&amp;""&lt;&gt;設定!$C$4,"対象外",IF($AH1916=20,IF(OR($AJ1916=10,$AJ1916=11,$AJ1916=18),"①病院一般",IF($AJ1916=41,"②病院短期","対象外")),IF($AH1916=5,IF($AJ1916=30,"③特定消防","対象外"),IF(OR($AJ1916=10,$AJ1916=11,$AJ1916=74),"④一般",IF(OR($AJ1916=41,$AJ1916=47),"⑤短期","対象外"))))))</f>
        <v/>
      </c>
    </row>
    <row r="1917" customFormat="false" ht="15" hidden="false" customHeight="false" outlineLevel="0" collapsed="false">
      <c r="DB1917" s="0" t="str">
        <f aca="false">IF($A1917="","",IF($AE1917&amp;""&lt;&gt;設定!$C$4,"対象外",IF($AH1917=20,IF(OR($AJ1917=10,$AJ1917=11,$AJ1917=18),"①病院一般",IF($AJ1917=41,"②病院短期","対象外")),IF($AH1917=5,IF($AJ1917=30,"③特定消防","対象外"),IF(OR($AJ1917=10,$AJ1917=11,$AJ1917=74),"④一般",IF(OR($AJ1917=41,$AJ1917=47),"⑤短期","対象外"))))))</f>
        <v/>
      </c>
    </row>
    <row r="1918" customFormat="false" ht="15" hidden="false" customHeight="false" outlineLevel="0" collapsed="false">
      <c r="DB1918" s="0" t="str">
        <f aca="false">IF($A1918="","",IF($AE1918&amp;""&lt;&gt;設定!$C$4,"対象外",IF($AH1918=20,IF(OR($AJ1918=10,$AJ1918=11,$AJ1918=18),"①病院一般",IF($AJ1918=41,"②病院短期","対象外")),IF($AH1918=5,IF($AJ1918=30,"③特定消防","対象外"),IF(OR($AJ1918=10,$AJ1918=11,$AJ1918=74),"④一般",IF(OR($AJ1918=41,$AJ1918=47),"⑤短期","対象外"))))))</f>
        <v/>
      </c>
    </row>
    <row r="1919" customFormat="false" ht="15" hidden="false" customHeight="false" outlineLevel="0" collapsed="false">
      <c r="DB1919" s="0" t="str">
        <f aca="false">IF($A1919="","",IF($AE1919&amp;""&lt;&gt;設定!$C$4,"対象外",IF($AH1919=20,IF(OR($AJ1919=10,$AJ1919=11,$AJ1919=18),"①病院一般",IF($AJ1919=41,"②病院短期","対象外")),IF($AH1919=5,IF($AJ1919=30,"③特定消防","対象外"),IF(OR($AJ1919=10,$AJ1919=11,$AJ1919=74),"④一般",IF(OR($AJ1919=41,$AJ1919=47),"⑤短期","対象外"))))))</f>
        <v/>
      </c>
    </row>
    <row r="1920" customFormat="false" ht="15" hidden="false" customHeight="false" outlineLevel="0" collapsed="false">
      <c r="DB1920" s="0" t="str">
        <f aca="false">IF($A1920="","",IF($AE1920&amp;""&lt;&gt;設定!$C$4,"対象外",IF($AH1920=20,IF(OR($AJ1920=10,$AJ1920=11,$AJ1920=18),"①病院一般",IF($AJ1920=41,"②病院短期","対象外")),IF($AH1920=5,IF($AJ1920=30,"③特定消防","対象外"),IF(OR($AJ1920=10,$AJ1920=11,$AJ1920=74),"④一般",IF(OR($AJ1920=41,$AJ1920=47),"⑤短期","対象外"))))))</f>
        <v/>
      </c>
    </row>
    <row r="1921" customFormat="false" ht="15" hidden="false" customHeight="false" outlineLevel="0" collapsed="false">
      <c r="DB1921" s="0" t="str">
        <f aca="false">IF($A1921="","",IF($AE1921&amp;""&lt;&gt;設定!$C$4,"対象外",IF($AH1921=20,IF(OR($AJ1921=10,$AJ1921=11,$AJ1921=18),"①病院一般",IF($AJ1921=41,"②病院短期","対象外")),IF($AH1921=5,IF($AJ1921=30,"③特定消防","対象外"),IF(OR($AJ1921=10,$AJ1921=11,$AJ1921=74),"④一般",IF(OR($AJ1921=41,$AJ1921=47),"⑤短期","対象外"))))))</f>
        <v/>
      </c>
    </row>
    <row r="1922" customFormat="false" ht="15" hidden="false" customHeight="false" outlineLevel="0" collapsed="false">
      <c r="DB1922" s="0" t="str">
        <f aca="false">IF($A1922="","",IF($AE1922&amp;""&lt;&gt;設定!$C$4,"対象外",IF($AH1922=20,IF(OR($AJ1922=10,$AJ1922=11,$AJ1922=18),"①病院一般",IF($AJ1922=41,"②病院短期","対象外")),IF($AH1922=5,IF($AJ1922=30,"③特定消防","対象外"),IF(OR($AJ1922=10,$AJ1922=11,$AJ1922=74),"④一般",IF(OR($AJ1922=41,$AJ1922=47),"⑤短期","対象外"))))))</f>
        <v/>
      </c>
    </row>
    <row r="1923" customFormat="false" ht="15" hidden="false" customHeight="false" outlineLevel="0" collapsed="false">
      <c r="DB1923" s="0" t="str">
        <f aca="false">IF($A1923="","",IF($AE1923&amp;""&lt;&gt;設定!$C$4,"対象外",IF($AH1923=20,IF(OR($AJ1923=10,$AJ1923=11,$AJ1923=18),"①病院一般",IF($AJ1923=41,"②病院短期","対象外")),IF($AH1923=5,IF($AJ1923=30,"③特定消防","対象外"),IF(OR($AJ1923=10,$AJ1923=11,$AJ1923=74),"④一般",IF(OR($AJ1923=41,$AJ1923=47),"⑤短期","対象外"))))))</f>
        <v/>
      </c>
    </row>
    <row r="1924" customFormat="false" ht="15" hidden="false" customHeight="false" outlineLevel="0" collapsed="false">
      <c r="DB1924" s="0" t="str">
        <f aca="false">IF($A1924="","",IF($AE1924&amp;""&lt;&gt;設定!$C$4,"対象外",IF($AH1924=20,IF(OR($AJ1924=10,$AJ1924=11,$AJ1924=18),"①病院一般",IF($AJ1924=41,"②病院短期","対象外")),IF($AH1924=5,IF($AJ1924=30,"③特定消防","対象外"),IF(OR($AJ1924=10,$AJ1924=11,$AJ1924=74),"④一般",IF(OR($AJ1924=41,$AJ1924=47),"⑤短期","対象外"))))))</f>
        <v/>
      </c>
    </row>
    <row r="1925" customFormat="false" ht="15" hidden="false" customHeight="false" outlineLevel="0" collapsed="false">
      <c r="DB1925" s="0" t="str">
        <f aca="false">IF($A1925="","",IF($AE1925&amp;""&lt;&gt;設定!$C$4,"対象外",IF($AH1925=20,IF(OR($AJ1925=10,$AJ1925=11,$AJ1925=18),"①病院一般",IF($AJ1925=41,"②病院短期","対象外")),IF($AH1925=5,IF($AJ1925=30,"③特定消防","対象外"),IF(OR($AJ1925=10,$AJ1925=11,$AJ1925=74),"④一般",IF(OR($AJ1925=41,$AJ1925=47),"⑤短期","対象外"))))))</f>
        <v/>
      </c>
    </row>
    <row r="1926" customFormat="false" ht="15" hidden="false" customHeight="false" outlineLevel="0" collapsed="false">
      <c r="DB1926" s="0" t="str">
        <f aca="false">IF($A1926="","",IF($AE1926&amp;""&lt;&gt;設定!$C$4,"対象外",IF($AH1926=20,IF(OR($AJ1926=10,$AJ1926=11,$AJ1926=18),"①病院一般",IF($AJ1926=41,"②病院短期","対象外")),IF($AH1926=5,IF($AJ1926=30,"③特定消防","対象外"),IF(OR($AJ1926=10,$AJ1926=11,$AJ1926=74),"④一般",IF(OR($AJ1926=41,$AJ1926=47),"⑤短期","対象外"))))))</f>
        <v/>
      </c>
    </row>
    <row r="1927" customFormat="false" ht="15" hidden="false" customHeight="false" outlineLevel="0" collapsed="false">
      <c r="DB1927" s="0" t="str">
        <f aca="false">IF($A1927="","",IF($AE1927&amp;""&lt;&gt;設定!$C$4,"対象外",IF($AH1927=20,IF(OR($AJ1927=10,$AJ1927=11,$AJ1927=18),"①病院一般",IF($AJ1927=41,"②病院短期","対象外")),IF($AH1927=5,IF($AJ1927=30,"③特定消防","対象外"),IF(OR($AJ1927=10,$AJ1927=11,$AJ1927=74),"④一般",IF(OR($AJ1927=41,$AJ1927=47),"⑤短期","対象外"))))))</f>
        <v/>
      </c>
    </row>
    <row r="1928" customFormat="false" ht="15" hidden="false" customHeight="false" outlineLevel="0" collapsed="false">
      <c r="DB1928" s="0" t="str">
        <f aca="false">IF($A1928="","",IF($AE1928&amp;""&lt;&gt;設定!$C$4,"対象外",IF($AH1928=20,IF(OR($AJ1928=10,$AJ1928=11,$AJ1928=18),"①病院一般",IF($AJ1928=41,"②病院短期","対象外")),IF($AH1928=5,IF($AJ1928=30,"③特定消防","対象外"),IF(OR($AJ1928=10,$AJ1928=11,$AJ1928=74),"④一般",IF(OR($AJ1928=41,$AJ1928=47),"⑤短期","対象外"))))))</f>
        <v/>
      </c>
    </row>
    <row r="1929" customFormat="false" ht="15" hidden="false" customHeight="false" outlineLevel="0" collapsed="false">
      <c r="DB1929" s="0" t="str">
        <f aca="false">IF($A1929="","",IF($AE1929&amp;""&lt;&gt;設定!$C$4,"対象外",IF($AH1929=20,IF(OR($AJ1929=10,$AJ1929=11,$AJ1929=18),"①病院一般",IF($AJ1929=41,"②病院短期","対象外")),IF($AH1929=5,IF($AJ1929=30,"③特定消防","対象外"),IF(OR($AJ1929=10,$AJ1929=11,$AJ1929=74),"④一般",IF(OR($AJ1929=41,$AJ1929=47),"⑤短期","対象外"))))))</f>
        <v/>
      </c>
    </row>
    <row r="1930" customFormat="false" ht="15" hidden="false" customHeight="false" outlineLevel="0" collapsed="false">
      <c r="DB1930" s="0" t="str">
        <f aca="false">IF($A1930="","",IF($AE1930&amp;""&lt;&gt;設定!$C$4,"対象外",IF($AH1930=20,IF(OR($AJ1930=10,$AJ1930=11,$AJ1930=18),"①病院一般",IF($AJ1930=41,"②病院短期","対象外")),IF($AH1930=5,IF($AJ1930=30,"③特定消防","対象外"),IF(OR($AJ1930=10,$AJ1930=11,$AJ1930=74),"④一般",IF(OR($AJ1930=41,$AJ1930=47),"⑤短期","対象外"))))))</f>
        <v/>
      </c>
    </row>
    <row r="1931" customFormat="false" ht="15" hidden="false" customHeight="false" outlineLevel="0" collapsed="false">
      <c r="DB1931" s="0" t="str">
        <f aca="false">IF($A1931="","",IF($AE1931&amp;""&lt;&gt;設定!$C$4,"対象外",IF($AH1931=20,IF(OR($AJ1931=10,$AJ1931=11,$AJ1931=18),"①病院一般",IF($AJ1931=41,"②病院短期","対象外")),IF($AH1931=5,IF($AJ1931=30,"③特定消防","対象外"),IF(OR($AJ1931=10,$AJ1931=11,$AJ1931=74),"④一般",IF(OR($AJ1931=41,$AJ1931=47),"⑤短期","対象外"))))))</f>
        <v/>
      </c>
    </row>
    <row r="1932" customFormat="false" ht="15" hidden="false" customHeight="false" outlineLevel="0" collapsed="false">
      <c r="DB1932" s="0" t="str">
        <f aca="false">IF($A1932="","",IF($AE1932&amp;""&lt;&gt;設定!$C$4,"対象外",IF($AH1932=20,IF(OR($AJ1932=10,$AJ1932=11,$AJ1932=18),"①病院一般",IF($AJ1932=41,"②病院短期","対象外")),IF($AH1932=5,IF($AJ1932=30,"③特定消防","対象外"),IF(OR($AJ1932=10,$AJ1932=11,$AJ1932=74),"④一般",IF(OR($AJ1932=41,$AJ1932=47),"⑤短期","対象外"))))))</f>
        <v/>
      </c>
    </row>
    <row r="1933" customFormat="false" ht="15" hidden="false" customHeight="false" outlineLevel="0" collapsed="false">
      <c r="DB1933" s="0" t="str">
        <f aca="false">IF($A1933="","",IF($AE1933&amp;""&lt;&gt;設定!$C$4,"対象外",IF($AH1933=20,IF(OR($AJ1933=10,$AJ1933=11,$AJ1933=18),"①病院一般",IF($AJ1933=41,"②病院短期","対象外")),IF($AH1933=5,IF($AJ1933=30,"③特定消防","対象外"),IF(OR($AJ1933=10,$AJ1933=11,$AJ1933=74),"④一般",IF(OR($AJ1933=41,$AJ1933=47),"⑤短期","対象外"))))))</f>
        <v/>
      </c>
    </row>
    <row r="1934" customFormat="false" ht="15" hidden="false" customHeight="false" outlineLevel="0" collapsed="false">
      <c r="DB1934" s="0" t="str">
        <f aca="false">IF($A1934="","",IF($AE1934&amp;""&lt;&gt;設定!$C$4,"対象外",IF($AH1934=20,IF(OR($AJ1934=10,$AJ1934=11,$AJ1934=18),"①病院一般",IF($AJ1934=41,"②病院短期","対象外")),IF($AH1934=5,IF($AJ1934=30,"③特定消防","対象外"),IF(OR($AJ1934=10,$AJ1934=11,$AJ1934=74),"④一般",IF(OR($AJ1934=41,$AJ1934=47),"⑤短期","対象外"))))))</f>
        <v/>
      </c>
    </row>
    <row r="1935" customFormat="false" ht="15" hidden="false" customHeight="false" outlineLevel="0" collapsed="false">
      <c r="DB1935" s="0" t="str">
        <f aca="false">IF($A1935="","",IF($AE1935&amp;""&lt;&gt;設定!$C$4,"対象外",IF($AH1935=20,IF(OR($AJ1935=10,$AJ1935=11,$AJ1935=18),"①病院一般",IF($AJ1935=41,"②病院短期","対象外")),IF($AH1935=5,IF($AJ1935=30,"③特定消防","対象外"),IF(OR($AJ1935=10,$AJ1935=11,$AJ1935=74),"④一般",IF(OR($AJ1935=41,$AJ1935=47),"⑤短期","対象外"))))))</f>
        <v/>
      </c>
    </row>
    <row r="1936" customFormat="false" ht="15" hidden="false" customHeight="false" outlineLevel="0" collapsed="false">
      <c r="DB1936" s="0" t="str">
        <f aca="false">IF($A1936="","",IF($AE1936&amp;""&lt;&gt;設定!$C$4,"対象外",IF($AH1936=20,IF(OR($AJ1936=10,$AJ1936=11,$AJ1936=18),"①病院一般",IF($AJ1936=41,"②病院短期","対象外")),IF($AH1936=5,IF($AJ1936=30,"③特定消防","対象外"),IF(OR($AJ1936=10,$AJ1936=11,$AJ1936=74),"④一般",IF(OR($AJ1936=41,$AJ1936=47),"⑤短期","対象外"))))))</f>
        <v/>
      </c>
    </row>
    <row r="1937" customFormat="false" ht="15" hidden="false" customHeight="false" outlineLevel="0" collapsed="false">
      <c r="DB1937" s="0" t="str">
        <f aca="false">IF($A1937="","",IF($AE1937&amp;""&lt;&gt;設定!$C$4,"対象外",IF($AH1937=20,IF(OR($AJ1937=10,$AJ1937=11,$AJ1937=18),"①病院一般",IF($AJ1937=41,"②病院短期","対象外")),IF($AH1937=5,IF($AJ1937=30,"③特定消防","対象外"),IF(OR($AJ1937=10,$AJ1937=11,$AJ1937=74),"④一般",IF(OR($AJ1937=41,$AJ1937=47),"⑤短期","対象外"))))))</f>
        <v/>
      </c>
    </row>
    <row r="1938" customFormat="false" ht="15" hidden="false" customHeight="false" outlineLevel="0" collapsed="false">
      <c r="DB1938" s="0" t="str">
        <f aca="false">IF($A1938="","",IF($AE1938&amp;""&lt;&gt;設定!$C$4,"対象外",IF($AH1938=20,IF(OR($AJ1938=10,$AJ1938=11,$AJ1938=18),"①病院一般",IF($AJ1938=41,"②病院短期","対象外")),IF($AH1938=5,IF($AJ1938=30,"③特定消防","対象外"),IF(OR($AJ1938=10,$AJ1938=11,$AJ1938=74),"④一般",IF(OR($AJ1938=41,$AJ1938=47),"⑤短期","対象外"))))))</f>
        <v/>
      </c>
    </row>
    <row r="1939" customFormat="false" ht="15" hidden="false" customHeight="false" outlineLevel="0" collapsed="false">
      <c r="DB1939" s="0" t="str">
        <f aca="false">IF($A1939="","",IF($AE1939&amp;""&lt;&gt;設定!$C$4,"対象外",IF($AH1939=20,IF(OR($AJ1939=10,$AJ1939=11,$AJ1939=18),"①病院一般",IF($AJ1939=41,"②病院短期","対象外")),IF($AH1939=5,IF($AJ1939=30,"③特定消防","対象外"),IF(OR($AJ1939=10,$AJ1939=11,$AJ1939=74),"④一般",IF(OR($AJ1939=41,$AJ1939=47),"⑤短期","対象外"))))))</f>
        <v/>
      </c>
    </row>
    <row r="1940" customFormat="false" ht="15" hidden="false" customHeight="false" outlineLevel="0" collapsed="false">
      <c r="DB1940" s="0" t="str">
        <f aca="false">IF($A1940="","",IF($AE1940&amp;""&lt;&gt;設定!$C$4,"対象外",IF($AH1940=20,IF(OR($AJ1940=10,$AJ1940=11,$AJ1940=18),"①病院一般",IF($AJ1940=41,"②病院短期","対象外")),IF($AH1940=5,IF($AJ1940=30,"③特定消防","対象外"),IF(OR($AJ1940=10,$AJ1940=11,$AJ1940=74),"④一般",IF(OR($AJ1940=41,$AJ1940=47),"⑤短期","対象外"))))))</f>
        <v/>
      </c>
    </row>
    <row r="1941" customFormat="false" ht="15" hidden="false" customHeight="false" outlineLevel="0" collapsed="false">
      <c r="DB1941" s="0" t="str">
        <f aca="false">IF($A1941="","",IF($AE1941&amp;""&lt;&gt;設定!$C$4,"対象外",IF($AH1941=20,IF(OR($AJ1941=10,$AJ1941=11,$AJ1941=18),"①病院一般",IF($AJ1941=41,"②病院短期","対象外")),IF($AH1941=5,IF($AJ1941=30,"③特定消防","対象外"),IF(OR($AJ1941=10,$AJ1941=11,$AJ1941=74),"④一般",IF(OR($AJ1941=41,$AJ1941=47),"⑤短期","対象外"))))))</f>
        <v/>
      </c>
    </row>
    <row r="1942" customFormat="false" ht="15" hidden="false" customHeight="false" outlineLevel="0" collapsed="false">
      <c r="DB1942" s="0" t="str">
        <f aca="false">IF($A1942="","",IF($AE1942&amp;""&lt;&gt;設定!$C$4,"対象外",IF($AH1942=20,IF(OR($AJ1942=10,$AJ1942=11,$AJ1942=18),"①病院一般",IF($AJ1942=41,"②病院短期","対象外")),IF($AH1942=5,IF($AJ1942=30,"③特定消防","対象外"),IF(OR($AJ1942=10,$AJ1942=11,$AJ1942=74),"④一般",IF(OR($AJ1942=41,$AJ1942=47),"⑤短期","対象外"))))))</f>
        <v/>
      </c>
    </row>
    <row r="1943" customFormat="false" ht="15" hidden="false" customHeight="false" outlineLevel="0" collapsed="false">
      <c r="DB1943" s="0" t="str">
        <f aca="false">IF($A1943="","",IF($AE1943&amp;""&lt;&gt;設定!$C$4,"対象外",IF($AH1943=20,IF(OR($AJ1943=10,$AJ1943=11,$AJ1943=18),"①病院一般",IF($AJ1943=41,"②病院短期","対象外")),IF($AH1943=5,IF($AJ1943=30,"③特定消防","対象外"),IF(OR($AJ1943=10,$AJ1943=11,$AJ1943=74),"④一般",IF(OR($AJ1943=41,$AJ1943=47),"⑤短期","対象外"))))))</f>
        <v/>
      </c>
    </row>
    <row r="1944" customFormat="false" ht="15" hidden="false" customHeight="false" outlineLevel="0" collapsed="false">
      <c r="DB1944" s="0" t="str">
        <f aca="false">IF($A1944="","",IF($AE1944&amp;""&lt;&gt;設定!$C$4,"対象外",IF($AH1944=20,IF(OR($AJ1944=10,$AJ1944=11,$AJ1944=18),"①病院一般",IF($AJ1944=41,"②病院短期","対象外")),IF($AH1944=5,IF($AJ1944=30,"③特定消防","対象外"),IF(OR($AJ1944=10,$AJ1944=11,$AJ1944=74),"④一般",IF(OR($AJ1944=41,$AJ1944=47),"⑤短期","対象外"))))))</f>
        <v/>
      </c>
    </row>
    <row r="1945" customFormat="false" ht="15" hidden="false" customHeight="false" outlineLevel="0" collapsed="false">
      <c r="DB1945" s="0" t="str">
        <f aca="false">IF($A1945="","",IF($AE1945&amp;""&lt;&gt;設定!$C$4,"対象外",IF($AH1945=20,IF(OR($AJ1945=10,$AJ1945=11,$AJ1945=18),"①病院一般",IF($AJ1945=41,"②病院短期","対象外")),IF($AH1945=5,IF($AJ1945=30,"③特定消防","対象外"),IF(OR($AJ1945=10,$AJ1945=11,$AJ1945=74),"④一般",IF(OR($AJ1945=41,$AJ1945=47),"⑤短期","対象外"))))))</f>
        <v/>
      </c>
    </row>
    <row r="1946" customFormat="false" ht="15" hidden="false" customHeight="false" outlineLevel="0" collapsed="false">
      <c r="DB1946" s="0" t="str">
        <f aca="false">IF($A1946="","",IF($AE1946&amp;""&lt;&gt;設定!$C$4,"対象外",IF($AH1946=20,IF(OR($AJ1946=10,$AJ1946=11,$AJ1946=18),"①病院一般",IF($AJ1946=41,"②病院短期","対象外")),IF($AH1946=5,IF($AJ1946=30,"③特定消防","対象外"),IF(OR($AJ1946=10,$AJ1946=11,$AJ1946=74),"④一般",IF(OR($AJ1946=41,$AJ1946=47),"⑤短期","対象外"))))))</f>
        <v/>
      </c>
    </row>
    <row r="1947" customFormat="false" ht="15" hidden="false" customHeight="false" outlineLevel="0" collapsed="false">
      <c r="DB1947" s="0" t="str">
        <f aca="false">IF($A1947="","",IF($AE1947&amp;""&lt;&gt;設定!$C$4,"対象外",IF($AH1947=20,IF(OR($AJ1947=10,$AJ1947=11,$AJ1947=18),"①病院一般",IF($AJ1947=41,"②病院短期","対象外")),IF($AH1947=5,IF($AJ1947=30,"③特定消防","対象外"),IF(OR($AJ1947=10,$AJ1947=11,$AJ1947=74),"④一般",IF(OR($AJ1947=41,$AJ1947=47),"⑤短期","対象外"))))))</f>
        <v/>
      </c>
    </row>
    <row r="1948" customFormat="false" ht="15" hidden="false" customHeight="false" outlineLevel="0" collapsed="false">
      <c r="DB1948" s="0" t="str">
        <f aca="false">IF($A1948="","",IF($AE1948&amp;""&lt;&gt;設定!$C$4,"対象外",IF($AH1948=20,IF(OR($AJ1948=10,$AJ1948=11,$AJ1948=18),"①病院一般",IF($AJ1948=41,"②病院短期","対象外")),IF($AH1948=5,IF($AJ1948=30,"③特定消防","対象外"),IF(OR($AJ1948=10,$AJ1948=11,$AJ1948=74),"④一般",IF(OR($AJ1948=41,$AJ1948=47),"⑤短期","対象外"))))))</f>
        <v/>
      </c>
    </row>
    <row r="1949" customFormat="false" ht="15" hidden="false" customHeight="false" outlineLevel="0" collapsed="false">
      <c r="DB1949" s="0" t="str">
        <f aca="false">IF($A1949="","",IF($AE1949&amp;""&lt;&gt;設定!$C$4,"対象外",IF($AH1949=20,IF(OR($AJ1949=10,$AJ1949=11,$AJ1949=18),"①病院一般",IF($AJ1949=41,"②病院短期","対象外")),IF($AH1949=5,IF($AJ1949=30,"③特定消防","対象外"),IF(OR($AJ1949=10,$AJ1949=11,$AJ1949=74),"④一般",IF(OR($AJ1949=41,$AJ1949=47),"⑤短期","対象外"))))))</f>
        <v/>
      </c>
    </row>
    <row r="1950" customFormat="false" ht="15" hidden="false" customHeight="false" outlineLevel="0" collapsed="false">
      <c r="DB1950" s="0" t="str">
        <f aca="false">IF($A1950="","",IF($AE1950&amp;""&lt;&gt;設定!$C$4,"対象外",IF($AH1950=20,IF(OR($AJ1950=10,$AJ1950=11,$AJ1950=18),"①病院一般",IF($AJ1950=41,"②病院短期","対象外")),IF($AH1950=5,IF($AJ1950=30,"③特定消防","対象外"),IF(OR($AJ1950=10,$AJ1950=11,$AJ1950=74),"④一般",IF(OR($AJ1950=41,$AJ1950=47),"⑤短期","対象外"))))))</f>
        <v/>
      </c>
    </row>
    <row r="1951" customFormat="false" ht="15" hidden="false" customHeight="false" outlineLevel="0" collapsed="false">
      <c r="DB1951" s="0" t="str">
        <f aca="false">IF($A1951="","",IF($AE1951&amp;""&lt;&gt;設定!$C$4,"対象外",IF($AH1951=20,IF(OR($AJ1951=10,$AJ1951=11,$AJ1951=18),"①病院一般",IF($AJ1951=41,"②病院短期","対象外")),IF($AH1951=5,IF($AJ1951=30,"③特定消防","対象外"),IF(OR($AJ1951=10,$AJ1951=11,$AJ1951=74),"④一般",IF(OR($AJ1951=41,$AJ1951=47),"⑤短期","対象外"))))))</f>
        <v/>
      </c>
    </row>
    <row r="1952" customFormat="false" ht="15" hidden="false" customHeight="false" outlineLevel="0" collapsed="false">
      <c r="DB1952" s="0" t="str">
        <f aca="false">IF($A1952="","",IF($AE1952&amp;""&lt;&gt;設定!$C$4,"対象外",IF($AH1952=20,IF(OR($AJ1952=10,$AJ1952=11,$AJ1952=18),"①病院一般",IF($AJ1952=41,"②病院短期","対象外")),IF($AH1952=5,IF($AJ1952=30,"③特定消防","対象外"),IF(OR($AJ1952=10,$AJ1952=11,$AJ1952=74),"④一般",IF(OR($AJ1952=41,$AJ1952=47),"⑤短期","対象外"))))))</f>
        <v/>
      </c>
    </row>
    <row r="1953" customFormat="false" ht="15" hidden="false" customHeight="false" outlineLevel="0" collapsed="false">
      <c r="DB1953" s="0" t="str">
        <f aca="false">IF($A1953="","",IF($AE1953&amp;""&lt;&gt;設定!$C$4,"対象外",IF($AH1953=20,IF(OR($AJ1953=10,$AJ1953=11,$AJ1953=18),"①病院一般",IF($AJ1953=41,"②病院短期","対象外")),IF($AH1953=5,IF($AJ1953=30,"③特定消防","対象外"),IF(OR($AJ1953=10,$AJ1953=11,$AJ1953=74),"④一般",IF(OR($AJ1953=41,$AJ1953=47),"⑤短期","対象外"))))))</f>
        <v/>
      </c>
    </row>
    <row r="1954" customFormat="false" ht="15" hidden="false" customHeight="false" outlineLevel="0" collapsed="false">
      <c r="DB1954" s="0" t="str">
        <f aca="false">IF($A1954="","",IF($AE1954&amp;""&lt;&gt;設定!$C$4,"対象外",IF($AH1954=20,IF(OR($AJ1954=10,$AJ1954=11,$AJ1954=18),"①病院一般",IF($AJ1954=41,"②病院短期","対象外")),IF($AH1954=5,IF($AJ1954=30,"③特定消防","対象外"),IF(OR($AJ1954=10,$AJ1954=11,$AJ1954=74),"④一般",IF(OR($AJ1954=41,$AJ1954=47),"⑤短期","対象外"))))))</f>
        <v/>
      </c>
    </row>
    <row r="1955" customFormat="false" ht="15" hidden="false" customHeight="false" outlineLevel="0" collapsed="false">
      <c r="DB1955" s="0" t="str">
        <f aca="false">IF($A1955="","",IF($AE1955&amp;""&lt;&gt;設定!$C$4,"対象外",IF($AH1955=20,IF(OR($AJ1955=10,$AJ1955=11,$AJ1955=18),"①病院一般",IF($AJ1955=41,"②病院短期","対象外")),IF($AH1955=5,IF($AJ1955=30,"③特定消防","対象外"),IF(OR($AJ1955=10,$AJ1955=11,$AJ1955=74),"④一般",IF(OR($AJ1955=41,$AJ1955=47),"⑤短期","対象外"))))))</f>
        <v/>
      </c>
    </row>
    <row r="1956" customFormat="false" ht="15" hidden="false" customHeight="false" outlineLevel="0" collapsed="false">
      <c r="DB1956" s="0" t="str">
        <f aca="false">IF($A1956="","",IF($AE1956&amp;""&lt;&gt;設定!$C$4,"対象外",IF($AH1956=20,IF(OR($AJ1956=10,$AJ1956=11,$AJ1956=18),"①病院一般",IF($AJ1956=41,"②病院短期","対象外")),IF($AH1956=5,IF($AJ1956=30,"③特定消防","対象外"),IF(OR($AJ1956=10,$AJ1956=11,$AJ1956=74),"④一般",IF(OR($AJ1956=41,$AJ1956=47),"⑤短期","対象外"))))))</f>
        <v/>
      </c>
    </row>
    <row r="1957" customFormat="false" ht="15" hidden="false" customHeight="false" outlineLevel="0" collapsed="false">
      <c r="DB1957" s="0" t="str">
        <f aca="false">IF($A1957="","",IF($AE1957&amp;""&lt;&gt;設定!$C$4,"対象外",IF($AH1957=20,IF(OR($AJ1957=10,$AJ1957=11,$AJ1957=18),"①病院一般",IF($AJ1957=41,"②病院短期","対象外")),IF($AH1957=5,IF($AJ1957=30,"③特定消防","対象外"),IF(OR($AJ1957=10,$AJ1957=11,$AJ1957=74),"④一般",IF(OR($AJ1957=41,$AJ1957=47),"⑤短期","対象外"))))))</f>
        <v/>
      </c>
    </row>
    <row r="1958" customFormat="false" ht="15" hidden="false" customHeight="false" outlineLevel="0" collapsed="false">
      <c r="DB1958" s="0" t="str">
        <f aca="false">IF($A1958="","",IF($AE1958&amp;""&lt;&gt;設定!$C$4,"対象外",IF($AH1958=20,IF(OR($AJ1958=10,$AJ1958=11,$AJ1958=18),"①病院一般",IF($AJ1958=41,"②病院短期","対象外")),IF($AH1958=5,IF($AJ1958=30,"③特定消防","対象外"),IF(OR($AJ1958=10,$AJ1958=11,$AJ1958=74),"④一般",IF(OR($AJ1958=41,$AJ1958=47),"⑤短期","対象外"))))))</f>
        <v/>
      </c>
    </row>
    <row r="1959" customFormat="false" ht="15" hidden="false" customHeight="false" outlineLevel="0" collapsed="false">
      <c r="DB1959" s="0" t="str">
        <f aca="false">IF($A1959="","",IF($AE1959&amp;""&lt;&gt;設定!$C$4,"対象外",IF($AH1959=20,IF(OR($AJ1959=10,$AJ1959=11,$AJ1959=18),"①病院一般",IF($AJ1959=41,"②病院短期","対象外")),IF($AH1959=5,IF($AJ1959=30,"③特定消防","対象外"),IF(OR($AJ1959=10,$AJ1959=11,$AJ1959=74),"④一般",IF(OR($AJ1959=41,$AJ1959=47),"⑤短期","対象外"))))))</f>
        <v/>
      </c>
    </row>
    <row r="1960" customFormat="false" ht="15" hidden="false" customHeight="false" outlineLevel="0" collapsed="false">
      <c r="DB1960" s="0" t="str">
        <f aca="false">IF($A1960="","",IF($AE1960&amp;""&lt;&gt;設定!$C$4,"対象外",IF($AH1960=20,IF(OR($AJ1960=10,$AJ1960=11,$AJ1960=18),"①病院一般",IF($AJ1960=41,"②病院短期","対象外")),IF($AH1960=5,IF($AJ1960=30,"③特定消防","対象外"),IF(OR($AJ1960=10,$AJ1960=11,$AJ1960=74),"④一般",IF(OR($AJ1960=41,$AJ1960=47),"⑤短期","対象外"))))))</f>
        <v/>
      </c>
    </row>
    <row r="1961" customFormat="false" ht="15" hidden="false" customHeight="false" outlineLevel="0" collapsed="false">
      <c r="DB1961" s="0" t="str">
        <f aca="false">IF($A1961="","",IF($AE1961&amp;""&lt;&gt;設定!$C$4,"対象外",IF($AH1961=20,IF(OR($AJ1961=10,$AJ1961=11,$AJ1961=18),"①病院一般",IF($AJ1961=41,"②病院短期","対象外")),IF($AH1961=5,IF($AJ1961=30,"③特定消防","対象外"),IF(OR($AJ1961=10,$AJ1961=11,$AJ1961=74),"④一般",IF(OR($AJ1961=41,$AJ1961=47),"⑤短期","対象外"))))))</f>
        <v/>
      </c>
    </row>
    <row r="1962" customFormat="false" ht="15" hidden="false" customHeight="false" outlineLevel="0" collapsed="false">
      <c r="DB1962" s="0" t="str">
        <f aca="false">IF($A1962="","",IF($AE1962&amp;""&lt;&gt;設定!$C$4,"対象外",IF($AH1962=20,IF(OR($AJ1962=10,$AJ1962=11,$AJ1962=18),"①病院一般",IF($AJ1962=41,"②病院短期","対象外")),IF($AH1962=5,IF($AJ1962=30,"③特定消防","対象外"),IF(OR($AJ1962=10,$AJ1962=11,$AJ1962=74),"④一般",IF(OR($AJ1962=41,$AJ1962=47),"⑤短期","対象外"))))))</f>
        <v/>
      </c>
    </row>
    <row r="1963" customFormat="false" ht="15" hidden="false" customHeight="false" outlineLevel="0" collapsed="false">
      <c r="DB1963" s="0" t="str">
        <f aca="false">IF($A1963="","",IF($AE1963&amp;""&lt;&gt;設定!$C$4,"対象外",IF($AH1963=20,IF(OR($AJ1963=10,$AJ1963=11,$AJ1963=18),"①病院一般",IF($AJ1963=41,"②病院短期","対象外")),IF($AH1963=5,IF($AJ1963=30,"③特定消防","対象外"),IF(OR($AJ1963=10,$AJ1963=11,$AJ1963=74),"④一般",IF(OR($AJ1963=41,$AJ1963=47),"⑤短期","対象外"))))))</f>
        <v/>
      </c>
    </row>
    <row r="1964" customFormat="false" ht="15" hidden="false" customHeight="false" outlineLevel="0" collapsed="false">
      <c r="DB1964" s="0" t="str">
        <f aca="false">IF($A1964="","",IF($AE1964&amp;""&lt;&gt;設定!$C$4,"対象外",IF($AH1964=20,IF(OR($AJ1964=10,$AJ1964=11,$AJ1964=18),"①病院一般",IF($AJ1964=41,"②病院短期","対象外")),IF($AH1964=5,IF($AJ1964=30,"③特定消防","対象外"),IF(OR($AJ1964=10,$AJ1964=11,$AJ1964=74),"④一般",IF(OR($AJ1964=41,$AJ1964=47),"⑤短期","対象外"))))))</f>
        <v/>
      </c>
    </row>
    <row r="1965" customFormat="false" ht="15" hidden="false" customHeight="false" outlineLevel="0" collapsed="false">
      <c r="DB1965" s="0" t="str">
        <f aca="false">IF($A1965="","",IF($AE1965&amp;""&lt;&gt;設定!$C$4,"対象外",IF($AH1965=20,IF(OR($AJ1965=10,$AJ1965=11,$AJ1965=18),"①病院一般",IF($AJ1965=41,"②病院短期","対象外")),IF($AH1965=5,IF($AJ1965=30,"③特定消防","対象外"),IF(OR($AJ1965=10,$AJ1965=11,$AJ1965=74),"④一般",IF(OR($AJ1965=41,$AJ1965=47),"⑤短期","対象外"))))))</f>
        <v/>
      </c>
    </row>
    <row r="1966" customFormat="false" ht="15" hidden="false" customHeight="false" outlineLevel="0" collapsed="false">
      <c r="DB1966" s="0" t="str">
        <f aca="false">IF($A1966="","",IF($AE1966&amp;""&lt;&gt;設定!$C$4,"対象外",IF($AH1966=20,IF(OR($AJ1966=10,$AJ1966=11,$AJ1966=18),"①病院一般",IF($AJ1966=41,"②病院短期","対象外")),IF($AH1966=5,IF($AJ1966=30,"③特定消防","対象外"),IF(OR($AJ1966=10,$AJ1966=11,$AJ1966=74),"④一般",IF(OR($AJ1966=41,$AJ1966=47),"⑤短期","対象外"))))))</f>
        <v/>
      </c>
    </row>
    <row r="1967" customFormat="false" ht="15" hidden="false" customHeight="false" outlineLevel="0" collapsed="false">
      <c r="DB1967" s="0" t="str">
        <f aca="false">IF($A1967="","",IF($AE1967&amp;""&lt;&gt;設定!$C$4,"対象外",IF($AH1967=20,IF(OR($AJ1967=10,$AJ1967=11,$AJ1967=18),"①病院一般",IF($AJ1967=41,"②病院短期","対象外")),IF($AH1967=5,IF($AJ1967=30,"③特定消防","対象外"),IF(OR($AJ1967=10,$AJ1967=11,$AJ1967=74),"④一般",IF(OR($AJ1967=41,$AJ1967=47),"⑤短期","対象外"))))))</f>
        <v/>
      </c>
    </row>
    <row r="1968" customFormat="false" ht="15" hidden="false" customHeight="false" outlineLevel="0" collapsed="false">
      <c r="DB1968" s="0" t="str">
        <f aca="false">IF($A1968="","",IF($AE1968&amp;""&lt;&gt;設定!$C$4,"対象外",IF($AH1968=20,IF(OR($AJ1968=10,$AJ1968=11,$AJ1968=18),"①病院一般",IF($AJ1968=41,"②病院短期","対象外")),IF($AH1968=5,IF($AJ1968=30,"③特定消防","対象外"),IF(OR($AJ1968=10,$AJ1968=11,$AJ1968=74),"④一般",IF(OR($AJ1968=41,$AJ1968=47),"⑤短期","対象外"))))))</f>
        <v/>
      </c>
    </row>
    <row r="1969" customFormat="false" ht="15" hidden="false" customHeight="false" outlineLevel="0" collapsed="false">
      <c r="DB1969" s="0" t="str">
        <f aca="false">IF($A1969="","",IF($AE1969&amp;""&lt;&gt;設定!$C$4,"対象外",IF($AH1969=20,IF(OR($AJ1969=10,$AJ1969=11,$AJ1969=18),"①病院一般",IF($AJ1969=41,"②病院短期","対象外")),IF($AH1969=5,IF($AJ1969=30,"③特定消防","対象外"),IF(OR($AJ1969=10,$AJ1969=11,$AJ1969=74),"④一般",IF(OR($AJ1969=41,$AJ1969=47),"⑤短期","対象外"))))))</f>
        <v/>
      </c>
    </row>
    <row r="1970" customFormat="false" ht="15" hidden="false" customHeight="false" outlineLevel="0" collapsed="false">
      <c r="DB1970" s="0" t="str">
        <f aca="false">IF($A1970="","",IF($AE1970&amp;""&lt;&gt;設定!$C$4,"対象外",IF($AH1970=20,IF(OR($AJ1970=10,$AJ1970=11,$AJ1970=18),"①病院一般",IF($AJ1970=41,"②病院短期","対象外")),IF($AH1970=5,IF($AJ1970=30,"③特定消防","対象外"),IF(OR($AJ1970=10,$AJ1970=11,$AJ1970=74),"④一般",IF(OR($AJ1970=41,$AJ1970=47),"⑤短期","対象外"))))))</f>
        <v/>
      </c>
    </row>
    <row r="1971" customFormat="false" ht="15" hidden="false" customHeight="false" outlineLevel="0" collapsed="false">
      <c r="DB1971" s="0" t="str">
        <f aca="false">IF($A1971="","",IF($AE1971&amp;""&lt;&gt;設定!$C$4,"対象外",IF($AH1971=20,IF(OR($AJ1971=10,$AJ1971=11,$AJ1971=18),"①病院一般",IF($AJ1971=41,"②病院短期","対象外")),IF($AH1971=5,IF($AJ1971=30,"③特定消防","対象外"),IF(OR($AJ1971=10,$AJ1971=11,$AJ1971=74),"④一般",IF(OR($AJ1971=41,$AJ1971=47),"⑤短期","対象外"))))))</f>
        <v/>
      </c>
    </row>
    <row r="1972" customFormat="false" ht="15" hidden="false" customHeight="false" outlineLevel="0" collapsed="false">
      <c r="DB1972" s="0" t="str">
        <f aca="false">IF($A1972="","",IF($AE1972&amp;""&lt;&gt;設定!$C$4,"対象外",IF($AH1972=20,IF(OR($AJ1972=10,$AJ1972=11,$AJ1972=18),"①病院一般",IF($AJ1972=41,"②病院短期","対象外")),IF($AH1972=5,IF($AJ1972=30,"③特定消防","対象外"),IF(OR($AJ1972=10,$AJ1972=11,$AJ1972=74),"④一般",IF(OR($AJ1972=41,$AJ1972=47),"⑤短期","対象外"))))))</f>
        <v/>
      </c>
    </row>
    <row r="1973" customFormat="false" ht="15" hidden="false" customHeight="false" outlineLevel="0" collapsed="false">
      <c r="DB1973" s="0" t="str">
        <f aca="false">IF($A1973="","",IF($AE1973&amp;""&lt;&gt;設定!$C$4,"対象外",IF($AH1973=20,IF(OR($AJ1973=10,$AJ1973=11,$AJ1973=18),"①病院一般",IF($AJ1973=41,"②病院短期","対象外")),IF($AH1973=5,IF($AJ1973=30,"③特定消防","対象外"),IF(OR($AJ1973=10,$AJ1973=11,$AJ1973=74),"④一般",IF(OR($AJ1973=41,$AJ1973=47),"⑤短期","対象外"))))))</f>
        <v/>
      </c>
    </row>
    <row r="1974" customFormat="false" ht="15" hidden="false" customHeight="false" outlineLevel="0" collapsed="false">
      <c r="DB1974" s="0" t="str">
        <f aca="false">IF($A1974="","",IF($AE1974&amp;""&lt;&gt;設定!$C$4,"対象外",IF($AH1974=20,IF(OR($AJ1974=10,$AJ1974=11,$AJ1974=18),"①病院一般",IF($AJ1974=41,"②病院短期","対象外")),IF($AH1974=5,IF($AJ1974=30,"③特定消防","対象外"),IF(OR($AJ1974=10,$AJ1974=11,$AJ1974=74),"④一般",IF(OR($AJ1974=41,$AJ1974=47),"⑤短期","対象外"))))))</f>
        <v/>
      </c>
    </row>
    <row r="1975" customFormat="false" ht="15" hidden="false" customHeight="false" outlineLevel="0" collapsed="false">
      <c r="DB1975" s="0" t="str">
        <f aca="false">IF($A1975="","",IF($AE1975&amp;""&lt;&gt;設定!$C$4,"対象外",IF($AH1975=20,IF(OR($AJ1975=10,$AJ1975=11,$AJ1975=18),"①病院一般",IF($AJ1975=41,"②病院短期","対象外")),IF($AH1975=5,IF($AJ1975=30,"③特定消防","対象外"),IF(OR($AJ1975=10,$AJ1975=11,$AJ1975=74),"④一般",IF(OR($AJ1975=41,$AJ1975=47),"⑤短期","対象外"))))))</f>
        <v/>
      </c>
    </row>
    <row r="1976" customFormat="false" ht="15" hidden="false" customHeight="false" outlineLevel="0" collapsed="false">
      <c r="DB1976" s="0" t="str">
        <f aca="false">IF($A1976="","",IF($AE1976&amp;""&lt;&gt;設定!$C$4,"対象外",IF($AH1976=20,IF(OR($AJ1976=10,$AJ1976=11,$AJ1976=18),"①病院一般",IF($AJ1976=41,"②病院短期","対象外")),IF($AH1976=5,IF($AJ1976=30,"③特定消防","対象外"),IF(OR($AJ1976=10,$AJ1976=11,$AJ1976=74),"④一般",IF(OR($AJ1976=41,$AJ1976=47),"⑤短期","対象外"))))))</f>
        <v/>
      </c>
    </row>
    <row r="1977" customFormat="false" ht="15" hidden="false" customHeight="false" outlineLevel="0" collapsed="false">
      <c r="DB1977" s="0" t="str">
        <f aca="false">IF($A1977="","",IF($AE1977&amp;""&lt;&gt;設定!$C$4,"対象外",IF($AH1977=20,IF(OR($AJ1977=10,$AJ1977=11,$AJ1977=18),"①病院一般",IF($AJ1977=41,"②病院短期","対象外")),IF($AH1977=5,IF($AJ1977=30,"③特定消防","対象外"),IF(OR($AJ1977=10,$AJ1977=11,$AJ1977=74),"④一般",IF(OR($AJ1977=41,$AJ1977=47),"⑤短期","対象外"))))))</f>
        <v/>
      </c>
    </row>
    <row r="1978" customFormat="false" ht="15" hidden="false" customHeight="false" outlineLevel="0" collapsed="false">
      <c r="DB1978" s="0" t="str">
        <f aca="false">IF($A1978="","",IF($AE1978&amp;""&lt;&gt;設定!$C$4,"対象外",IF($AH1978=20,IF(OR($AJ1978=10,$AJ1978=11,$AJ1978=18),"①病院一般",IF($AJ1978=41,"②病院短期","対象外")),IF($AH1978=5,IF($AJ1978=30,"③特定消防","対象外"),IF(OR($AJ1978=10,$AJ1978=11,$AJ1978=74),"④一般",IF(OR($AJ1978=41,$AJ1978=47),"⑤短期","対象外"))))))</f>
        <v/>
      </c>
    </row>
    <row r="1979" customFormat="false" ht="15" hidden="false" customHeight="false" outlineLevel="0" collapsed="false">
      <c r="DB1979" s="0" t="str">
        <f aca="false">IF($A1979="","",IF($AE1979&amp;""&lt;&gt;設定!$C$4,"対象外",IF($AH1979=20,IF(OR($AJ1979=10,$AJ1979=11,$AJ1979=18),"①病院一般",IF($AJ1979=41,"②病院短期","対象外")),IF($AH1979=5,IF($AJ1979=30,"③特定消防","対象外"),IF(OR($AJ1979=10,$AJ1979=11,$AJ1979=74),"④一般",IF(OR($AJ1979=41,$AJ1979=47),"⑤短期","対象外"))))))</f>
        <v/>
      </c>
    </row>
    <row r="1980" customFormat="false" ht="15" hidden="false" customHeight="false" outlineLevel="0" collapsed="false">
      <c r="DB1980" s="0" t="str">
        <f aca="false">IF($A1980="","",IF($AE1980&amp;""&lt;&gt;設定!$C$4,"対象外",IF($AH1980=20,IF(OR($AJ1980=10,$AJ1980=11,$AJ1980=18),"①病院一般",IF($AJ1980=41,"②病院短期","対象外")),IF($AH1980=5,IF($AJ1980=30,"③特定消防","対象外"),IF(OR($AJ1980=10,$AJ1980=11,$AJ1980=74),"④一般",IF(OR($AJ1980=41,$AJ1980=47),"⑤短期","対象外"))))))</f>
        <v/>
      </c>
    </row>
    <row r="1981" customFormat="false" ht="15" hidden="false" customHeight="false" outlineLevel="0" collapsed="false">
      <c r="DB1981" s="0" t="str">
        <f aca="false">IF($A1981="","",IF($AE1981&amp;""&lt;&gt;設定!$C$4,"対象外",IF($AH1981=20,IF(OR($AJ1981=10,$AJ1981=11,$AJ1981=18),"①病院一般",IF($AJ1981=41,"②病院短期","対象外")),IF($AH1981=5,IF($AJ1981=30,"③特定消防","対象外"),IF(OR($AJ1981=10,$AJ1981=11,$AJ1981=74),"④一般",IF(OR($AJ1981=41,$AJ1981=47),"⑤短期","対象外"))))))</f>
        <v/>
      </c>
    </row>
    <row r="1982" customFormat="false" ht="15" hidden="false" customHeight="false" outlineLevel="0" collapsed="false">
      <c r="DB1982" s="0" t="str">
        <f aca="false">IF($A1982="","",IF($AE1982&amp;""&lt;&gt;設定!$C$4,"対象外",IF($AH1982=20,IF(OR($AJ1982=10,$AJ1982=11,$AJ1982=18),"①病院一般",IF($AJ1982=41,"②病院短期","対象外")),IF($AH1982=5,IF($AJ1982=30,"③特定消防","対象外"),IF(OR($AJ1982=10,$AJ1982=11,$AJ1982=74),"④一般",IF(OR($AJ1982=41,$AJ1982=47),"⑤短期","対象外"))))))</f>
        <v/>
      </c>
    </row>
    <row r="1983" customFormat="false" ht="15" hidden="false" customHeight="false" outlineLevel="0" collapsed="false">
      <c r="DB1983" s="0" t="str">
        <f aca="false">IF($A1983="","",IF($AE1983&amp;""&lt;&gt;設定!$C$4,"対象外",IF($AH1983=20,IF(OR($AJ1983=10,$AJ1983=11,$AJ1983=18),"①病院一般",IF($AJ1983=41,"②病院短期","対象外")),IF($AH1983=5,IF($AJ1983=30,"③特定消防","対象外"),IF(OR($AJ1983=10,$AJ1983=11,$AJ1983=74),"④一般",IF(OR($AJ1983=41,$AJ1983=47),"⑤短期","対象外"))))))</f>
        <v/>
      </c>
    </row>
    <row r="1984" customFormat="false" ht="15" hidden="false" customHeight="false" outlineLevel="0" collapsed="false">
      <c r="DB1984" s="0" t="str">
        <f aca="false">IF($A1984="","",IF($AE1984&amp;""&lt;&gt;設定!$C$4,"対象外",IF($AH1984=20,IF(OR($AJ1984=10,$AJ1984=11,$AJ1984=18),"①病院一般",IF($AJ1984=41,"②病院短期","対象外")),IF($AH1984=5,IF($AJ1984=30,"③特定消防","対象外"),IF(OR($AJ1984=10,$AJ1984=11,$AJ1984=74),"④一般",IF(OR($AJ1984=41,$AJ1984=47),"⑤短期","対象外"))))))</f>
        <v/>
      </c>
    </row>
    <row r="1985" customFormat="false" ht="15" hidden="false" customHeight="false" outlineLevel="0" collapsed="false">
      <c r="DB1985" s="0" t="str">
        <f aca="false">IF($A1985="","",IF($AE1985&amp;""&lt;&gt;設定!$C$4,"対象外",IF($AH1985=20,IF(OR($AJ1985=10,$AJ1985=11,$AJ1985=18),"①病院一般",IF($AJ1985=41,"②病院短期","対象外")),IF($AH1985=5,IF($AJ1985=30,"③特定消防","対象外"),IF(OR($AJ1985=10,$AJ1985=11,$AJ1985=74),"④一般",IF(OR($AJ1985=41,$AJ1985=47),"⑤短期","対象外"))))))</f>
        <v/>
      </c>
    </row>
    <row r="1986" customFormat="false" ht="15" hidden="false" customHeight="false" outlineLevel="0" collapsed="false">
      <c r="DB1986" s="0" t="str">
        <f aca="false">IF($A1986="","",IF($AE1986&amp;""&lt;&gt;設定!$C$4,"対象外",IF($AH1986=20,IF(OR($AJ1986=10,$AJ1986=11,$AJ1986=18),"①病院一般",IF($AJ1986=41,"②病院短期","対象外")),IF($AH1986=5,IF($AJ1986=30,"③特定消防","対象外"),IF(OR($AJ1986=10,$AJ1986=11,$AJ1986=74),"④一般",IF(OR($AJ1986=41,$AJ1986=47),"⑤短期","対象外"))))))</f>
        <v/>
      </c>
    </row>
    <row r="1987" customFormat="false" ht="15" hidden="false" customHeight="false" outlineLevel="0" collapsed="false">
      <c r="DB1987" s="0" t="str">
        <f aca="false">IF($A1987="","",IF($AE1987&amp;""&lt;&gt;設定!$C$4,"対象外",IF($AH1987=20,IF(OR($AJ1987=10,$AJ1987=11,$AJ1987=18),"①病院一般",IF($AJ1987=41,"②病院短期","対象外")),IF($AH1987=5,IF($AJ1987=30,"③特定消防","対象外"),IF(OR($AJ1987=10,$AJ1987=11,$AJ1987=74),"④一般",IF(OR($AJ1987=41,$AJ1987=47),"⑤短期","対象外"))))))</f>
        <v/>
      </c>
    </row>
    <row r="1988" customFormat="false" ht="15" hidden="false" customHeight="false" outlineLevel="0" collapsed="false">
      <c r="DB1988" s="0" t="str">
        <f aca="false">IF($A1988="","",IF($AE1988&amp;""&lt;&gt;設定!$C$4,"対象外",IF($AH1988=20,IF(OR($AJ1988=10,$AJ1988=11,$AJ1988=18),"①病院一般",IF($AJ1988=41,"②病院短期","対象外")),IF($AH1988=5,IF($AJ1988=30,"③特定消防","対象外"),IF(OR($AJ1988=10,$AJ1988=11,$AJ1988=74),"④一般",IF(OR($AJ1988=41,$AJ1988=47),"⑤短期","対象外"))))))</f>
        <v/>
      </c>
    </row>
    <row r="1989" customFormat="false" ht="15" hidden="false" customHeight="false" outlineLevel="0" collapsed="false">
      <c r="DB1989" s="0" t="str">
        <f aca="false">IF($A1989="","",IF($AE1989&amp;""&lt;&gt;設定!$C$4,"対象外",IF($AH1989=20,IF(OR($AJ1989=10,$AJ1989=11,$AJ1989=18),"①病院一般",IF($AJ1989=41,"②病院短期","対象外")),IF($AH1989=5,IF($AJ1989=30,"③特定消防","対象外"),IF(OR($AJ1989=10,$AJ1989=11,$AJ1989=74),"④一般",IF(OR($AJ1989=41,$AJ1989=47),"⑤短期","対象外"))))))</f>
        <v/>
      </c>
    </row>
    <row r="1990" customFormat="false" ht="15" hidden="false" customHeight="false" outlineLevel="0" collapsed="false">
      <c r="DB1990" s="0" t="str">
        <f aca="false">IF($A1990="","",IF($AE1990&amp;""&lt;&gt;設定!$C$4,"対象外",IF($AH1990=20,IF(OR($AJ1990=10,$AJ1990=11,$AJ1990=18),"①病院一般",IF($AJ1990=41,"②病院短期","対象外")),IF($AH1990=5,IF($AJ1990=30,"③特定消防","対象外"),IF(OR($AJ1990=10,$AJ1990=11,$AJ1990=74),"④一般",IF(OR($AJ1990=41,$AJ1990=47),"⑤短期","対象外"))))))</f>
        <v/>
      </c>
    </row>
    <row r="1991" customFormat="false" ht="15" hidden="false" customHeight="false" outlineLevel="0" collapsed="false">
      <c r="DB1991" s="0" t="str">
        <f aca="false">IF($A1991="","",IF($AE1991&amp;""&lt;&gt;設定!$C$4,"対象外",IF($AH1991=20,IF(OR($AJ1991=10,$AJ1991=11,$AJ1991=18),"①病院一般",IF($AJ1991=41,"②病院短期","対象外")),IF($AH1991=5,IF($AJ1991=30,"③特定消防","対象外"),IF(OR($AJ1991=10,$AJ1991=11,$AJ1991=74),"④一般",IF(OR($AJ1991=41,$AJ1991=47),"⑤短期","対象外"))))))</f>
        <v/>
      </c>
    </row>
    <row r="1992" customFormat="false" ht="15" hidden="false" customHeight="false" outlineLevel="0" collapsed="false">
      <c r="DB1992" s="0" t="str">
        <f aca="false">IF($A1992="","",IF($AE1992&amp;""&lt;&gt;設定!$C$4,"対象外",IF($AH1992=20,IF(OR($AJ1992=10,$AJ1992=11,$AJ1992=18),"①病院一般",IF($AJ1992=41,"②病院短期","対象外")),IF($AH1992=5,IF($AJ1992=30,"③特定消防","対象外"),IF(OR($AJ1992=10,$AJ1992=11,$AJ1992=74),"④一般",IF(OR($AJ1992=41,$AJ1992=47),"⑤短期","対象外"))))))</f>
        <v/>
      </c>
    </row>
    <row r="1993" customFormat="false" ht="15" hidden="false" customHeight="false" outlineLevel="0" collapsed="false">
      <c r="DB1993" s="0" t="str">
        <f aca="false">IF($A1993="","",IF($AE1993&amp;""&lt;&gt;設定!$C$4,"対象外",IF($AH1993=20,IF(OR($AJ1993=10,$AJ1993=11,$AJ1993=18),"①病院一般",IF($AJ1993=41,"②病院短期","対象外")),IF($AH1993=5,IF($AJ1993=30,"③特定消防","対象外"),IF(OR($AJ1993=10,$AJ1993=11,$AJ1993=74),"④一般",IF(OR($AJ1993=41,$AJ1993=47),"⑤短期","対象外"))))))</f>
        <v/>
      </c>
    </row>
    <row r="1994" customFormat="false" ht="15" hidden="false" customHeight="false" outlineLevel="0" collapsed="false">
      <c r="DB1994" s="0" t="str">
        <f aca="false">IF($A1994="","",IF($AE1994&amp;""&lt;&gt;設定!$C$4,"対象外",IF($AH1994=20,IF(OR($AJ1994=10,$AJ1994=11,$AJ1994=18),"①病院一般",IF($AJ1994=41,"②病院短期","対象外")),IF($AH1994=5,IF($AJ1994=30,"③特定消防","対象外"),IF(OR($AJ1994=10,$AJ1994=11,$AJ1994=74),"④一般",IF(OR($AJ1994=41,$AJ1994=47),"⑤短期","対象外"))))))</f>
        <v/>
      </c>
    </row>
    <row r="1995" customFormat="false" ht="15" hidden="false" customHeight="false" outlineLevel="0" collapsed="false">
      <c r="DB1995" s="0" t="str">
        <f aca="false">IF($A1995="","",IF($AE1995&amp;""&lt;&gt;設定!$C$4,"対象外",IF($AH1995=20,IF(OR($AJ1995=10,$AJ1995=11,$AJ1995=18),"①病院一般",IF($AJ1995=41,"②病院短期","対象外")),IF($AH1995=5,IF($AJ1995=30,"③特定消防","対象外"),IF(OR($AJ1995=10,$AJ1995=11,$AJ1995=74),"④一般",IF(OR($AJ1995=41,$AJ1995=47),"⑤短期","対象外"))))))</f>
        <v/>
      </c>
    </row>
    <row r="1996" customFormat="false" ht="15" hidden="false" customHeight="false" outlineLevel="0" collapsed="false">
      <c r="DB1996" s="0" t="str">
        <f aca="false">IF($A1996="","",IF($AE1996&amp;""&lt;&gt;設定!$C$4,"対象外",IF($AH1996=20,IF(OR($AJ1996=10,$AJ1996=11,$AJ1996=18),"①病院一般",IF($AJ1996=41,"②病院短期","対象外")),IF($AH1996=5,IF($AJ1996=30,"③特定消防","対象外"),IF(OR($AJ1996=10,$AJ1996=11,$AJ1996=74),"④一般",IF(OR($AJ1996=41,$AJ1996=47),"⑤短期","対象外"))))))</f>
        <v/>
      </c>
    </row>
    <row r="1997" customFormat="false" ht="15" hidden="false" customHeight="false" outlineLevel="0" collapsed="false">
      <c r="DB1997" s="0" t="str">
        <f aca="false">IF($A1997="","",IF($AE1997&amp;""&lt;&gt;設定!$C$4,"対象外",IF($AH1997=20,IF(OR($AJ1997=10,$AJ1997=11,$AJ1997=18),"①病院一般",IF($AJ1997=41,"②病院短期","対象外")),IF($AH1997=5,IF($AJ1997=30,"③特定消防","対象外"),IF(OR($AJ1997=10,$AJ1997=11,$AJ1997=74),"④一般",IF(OR($AJ1997=41,$AJ1997=47),"⑤短期","対象外"))))))</f>
        <v/>
      </c>
    </row>
    <row r="1998" customFormat="false" ht="15" hidden="false" customHeight="false" outlineLevel="0" collapsed="false">
      <c r="DB1998" s="0" t="str">
        <f aca="false">IF($A1998="","",IF($AE1998&amp;""&lt;&gt;設定!$C$4,"対象外",IF($AH1998=20,IF(OR($AJ1998=10,$AJ1998=11,$AJ1998=18),"①病院一般",IF($AJ1998=41,"②病院短期","対象外")),IF($AH1998=5,IF($AJ1998=30,"③特定消防","対象外"),IF(OR($AJ1998=10,$AJ1998=11,$AJ1998=74),"④一般",IF(OR($AJ1998=41,$AJ1998=47),"⑤短期","対象外"))))))</f>
        <v/>
      </c>
    </row>
    <row r="1999" customFormat="false" ht="15" hidden="false" customHeight="false" outlineLevel="0" collapsed="false">
      <c r="DB1999" s="0" t="str">
        <f aca="false">IF($A1999="","",IF($AE1999&amp;""&lt;&gt;設定!$C$4,"対象外",IF($AH1999=20,IF(OR($AJ1999=10,$AJ1999=11,$AJ1999=18),"①病院一般",IF($AJ1999=41,"②病院短期","対象外")),IF($AH1999=5,IF($AJ1999=30,"③特定消防","対象外"),IF(OR($AJ1999=10,$AJ1999=11,$AJ1999=74),"④一般",IF(OR($AJ1999=41,$AJ1999=47),"⑤短期","対象外"))))))</f>
        <v/>
      </c>
    </row>
    <row r="2000" customFormat="false" ht="15" hidden="false" customHeight="false" outlineLevel="0" collapsed="false">
      <c r="DB2000" s="0" t="str">
        <f aca="false">IF($A2000="","",IF($AE2000&amp;""&lt;&gt;設定!$C$4,"対象外",IF($AH2000=20,IF(OR($AJ2000=10,$AJ2000=11,$AJ2000=18),"①病院一般",IF($AJ2000=41,"②病院短期","対象外")),IF($AH2000=5,IF($AJ2000=30,"③特定消防","対象外"),IF(OR($AJ2000=10,$AJ2000=11,$AJ2000=74),"④一般",IF(OR($AJ2000=41,$AJ2000=47),"⑤短期","対象外"))))))</f>
        <v/>
      </c>
    </row>
    <row r="2001" customFormat="false" ht="15" hidden="false" customHeight="false" outlineLevel="0" collapsed="false">
      <c r="DB2001" s="0" t="str">
        <f aca="false">IF($A2001="","",IF($AE2001&amp;""&lt;&gt;設定!$C$4,"対象外",IF($AH2001=20,IF(OR($AJ2001=10,$AJ2001=11,$AJ2001=18),"①病院一般",IF($AJ2001=41,"②病院短期","対象外")),IF($AH2001=5,IF($AJ2001=30,"③特定消防","対象外"),IF(OR($AJ2001=10,$AJ2001=11,$AJ2001=74),"④一般",IF(OR($AJ2001=41,$AJ2001=47),"⑤短期","対象外"))))))</f>
        <v/>
      </c>
    </row>
    <row r="2002" customFormat="false" ht="15" hidden="false" customHeight="false" outlineLevel="0" collapsed="false">
      <c r="DB2002" s="0" t="str">
        <f aca="false">IF($A2002="","",IF($AE2002&amp;""&lt;&gt;設定!$C$4,"対象外",IF($AH2002=20,IF(OR($AJ2002=10,$AJ2002=11,$AJ2002=18),"①病院一般",IF($AJ2002=41,"②病院短期","対象外")),IF($AH2002=5,IF($AJ2002=30,"③特定消防","対象外"),IF(OR($AJ2002=10,$AJ2002=11,$AJ2002=74),"④一般",IF(OR($AJ2002=41,$AJ2002=47),"⑤短期","対象外"))))))</f>
        <v/>
      </c>
    </row>
    <row r="2003" customFormat="false" ht="15" hidden="false" customHeight="false" outlineLevel="0" collapsed="false">
      <c r="DB2003" s="0" t="str">
        <f aca="false">IF($A2003="","",IF($AE2003&amp;""&lt;&gt;設定!$C$4,"対象外",IF($AH2003=20,IF(OR($AJ2003=10,$AJ2003=11,$AJ2003=18),"①病院一般",IF($AJ2003=41,"②病院短期","対象外")),IF($AH2003=5,IF($AJ2003=30,"③特定消防","対象外"),IF(OR($AJ2003=10,$AJ2003=11,$AJ2003=74),"④一般",IF(OR($AJ2003=41,$AJ2003=47),"⑤短期","対象外"))))))</f>
        <v/>
      </c>
    </row>
    <row r="2004" customFormat="false" ht="15" hidden="false" customHeight="false" outlineLevel="0" collapsed="false">
      <c r="DB2004" s="0" t="str">
        <f aca="false">IF($A2004="","",IF($AE2004&amp;""&lt;&gt;設定!$C$4,"対象外",IF($AH2004=20,IF(OR($AJ2004=10,$AJ2004=11,$AJ2004=18),"①病院一般",IF($AJ2004=41,"②病院短期","対象外")),IF($AH2004=5,IF($AJ2004=30,"③特定消防","対象外"),IF(OR($AJ2004=10,$AJ2004=11,$AJ2004=74),"④一般",IF(OR($AJ2004=41,$AJ2004=47),"⑤短期","対象外"))))))</f>
        <v/>
      </c>
    </row>
    <row r="2005" customFormat="false" ht="15" hidden="false" customHeight="false" outlineLevel="0" collapsed="false">
      <c r="DB2005" s="0" t="str">
        <f aca="false">IF($A2005="","",IF($AE2005&amp;""&lt;&gt;設定!$C$4,"対象外",IF($AH2005=20,IF(OR($AJ2005=10,$AJ2005=11,$AJ2005=18),"①病院一般",IF($AJ2005=41,"②病院短期","対象外")),IF($AH2005=5,IF($AJ2005=30,"③特定消防","対象外"),IF(OR($AJ2005=10,$AJ2005=11,$AJ2005=74),"④一般",IF(OR($AJ2005=41,$AJ2005=47),"⑤短期","対象外"))))))</f>
        <v/>
      </c>
    </row>
    <row r="2006" customFormat="false" ht="15" hidden="false" customHeight="false" outlineLevel="0" collapsed="false">
      <c r="DB2006" s="0" t="str">
        <f aca="false">IF($A2006="","",IF($AE2006&amp;""&lt;&gt;設定!$C$4,"対象外",IF($AH2006=20,IF(OR($AJ2006=10,$AJ2006=11,$AJ2006=18),"①病院一般",IF($AJ2006=41,"②病院短期","対象外")),IF($AH2006=5,IF($AJ2006=30,"③特定消防","対象外"),IF(OR($AJ2006=10,$AJ2006=11,$AJ2006=74),"④一般",IF(OR($AJ2006=41,$AJ2006=47),"⑤短期","対象外"))))))</f>
        <v/>
      </c>
    </row>
    <row r="2007" customFormat="false" ht="15" hidden="false" customHeight="false" outlineLevel="0" collapsed="false">
      <c r="DB2007" s="0" t="str">
        <f aca="false">IF($A2007="","",IF($AE2007&amp;""&lt;&gt;設定!$C$4,"対象外",IF($AH2007=20,IF(OR($AJ2007=10,$AJ2007=11,$AJ2007=18),"①病院一般",IF($AJ2007=41,"②病院短期","対象外")),IF($AH2007=5,IF($AJ2007=30,"③特定消防","対象外"),IF(OR($AJ2007=10,$AJ2007=11,$AJ2007=74),"④一般",IF(OR($AJ2007=41,$AJ2007=47),"⑤短期","対象外"))))))</f>
        <v/>
      </c>
    </row>
    <row r="2008" customFormat="false" ht="15" hidden="false" customHeight="false" outlineLevel="0" collapsed="false">
      <c r="DB2008" s="0" t="str">
        <f aca="false">IF($A2008="","",IF($AE2008&amp;""&lt;&gt;設定!$C$4,"対象外",IF($AH2008=20,IF(OR($AJ2008=10,$AJ2008=11,$AJ2008=18),"①病院一般",IF($AJ2008=41,"②病院短期","対象外")),IF($AH2008=5,IF($AJ2008=30,"③特定消防","対象外"),IF(OR($AJ2008=10,$AJ2008=11,$AJ2008=74),"④一般",IF(OR($AJ2008=41,$AJ2008=47),"⑤短期","対象外"))))))</f>
        <v/>
      </c>
    </row>
    <row r="2009" customFormat="false" ht="15" hidden="false" customHeight="false" outlineLevel="0" collapsed="false">
      <c r="DB2009" s="0" t="str">
        <f aca="false">IF($A2009="","",IF($AE2009&amp;""&lt;&gt;設定!$C$4,"対象外",IF($AH2009=20,IF(OR($AJ2009=10,$AJ2009=11,$AJ2009=18),"①病院一般",IF($AJ2009=41,"②病院短期","対象外")),IF($AH2009=5,IF($AJ2009=30,"③特定消防","対象外"),IF(OR($AJ2009=10,$AJ2009=11,$AJ2009=74),"④一般",IF(OR($AJ2009=41,$AJ2009=47),"⑤短期","対象外"))))))</f>
        <v/>
      </c>
    </row>
    <row r="2010" customFormat="false" ht="15" hidden="false" customHeight="false" outlineLevel="0" collapsed="false">
      <c r="DB2010" s="0" t="str">
        <f aca="false">IF($A2010="","",IF($AE2010&amp;""&lt;&gt;設定!$C$4,"対象外",IF($AH2010=20,IF(OR($AJ2010=10,$AJ2010=11,$AJ2010=18),"①病院一般",IF($AJ2010=41,"②病院短期","対象外")),IF($AH2010=5,IF($AJ2010=30,"③特定消防","対象外"),IF(OR($AJ2010=10,$AJ2010=11,$AJ2010=74),"④一般",IF(OR($AJ2010=41,$AJ2010=47),"⑤短期","対象外"))))))</f>
        <v/>
      </c>
    </row>
    <row r="2011" customFormat="false" ht="15" hidden="false" customHeight="false" outlineLevel="0" collapsed="false">
      <c r="DB2011" s="0" t="str">
        <f aca="false">IF($A2011="","",IF($AE2011&amp;""&lt;&gt;設定!$C$4,"対象外",IF($AH2011=20,IF(OR($AJ2011=10,$AJ2011=11,$AJ2011=18),"①病院一般",IF($AJ2011=41,"②病院短期","対象外")),IF($AH2011=5,IF($AJ2011=30,"③特定消防","対象外"),IF(OR($AJ2011=10,$AJ2011=11,$AJ2011=74),"④一般",IF(OR($AJ2011=41,$AJ2011=47),"⑤短期","対象外"))))))</f>
        <v/>
      </c>
    </row>
    <row r="2012" customFormat="false" ht="15" hidden="false" customHeight="false" outlineLevel="0" collapsed="false">
      <c r="DB2012" s="0" t="str">
        <f aca="false">IF($A2012="","",IF($AE2012&amp;""&lt;&gt;設定!$C$4,"対象外",IF($AH2012=20,IF(OR($AJ2012=10,$AJ2012=11,$AJ2012=18),"①病院一般",IF($AJ2012=41,"②病院短期","対象外")),IF($AH2012=5,IF($AJ2012=30,"③特定消防","対象外"),IF(OR($AJ2012=10,$AJ2012=11,$AJ2012=74),"④一般",IF(OR($AJ2012=41,$AJ2012=47),"⑤短期","対象外"))))))</f>
        <v/>
      </c>
    </row>
    <row r="2013" customFormat="false" ht="15" hidden="false" customHeight="false" outlineLevel="0" collapsed="false">
      <c r="DB2013" s="0" t="str">
        <f aca="false">IF($A2013="","",IF($AE2013&amp;""&lt;&gt;設定!$C$4,"対象外",IF($AH2013=20,IF(OR($AJ2013=10,$AJ2013=11,$AJ2013=18),"①病院一般",IF($AJ2013=41,"②病院短期","対象外")),IF($AH2013=5,IF($AJ2013=30,"③特定消防","対象外"),IF(OR($AJ2013=10,$AJ2013=11,$AJ2013=74),"④一般",IF(OR($AJ2013=41,$AJ2013=47),"⑤短期","対象外"))))))</f>
        <v/>
      </c>
    </row>
    <row r="2014" customFormat="false" ht="15" hidden="false" customHeight="false" outlineLevel="0" collapsed="false">
      <c r="DB2014" s="0" t="str">
        <f aca="false">IF($A2014="","",IF($AE2014&amp;""&lt;&gt;設定!$C$4,"対象外",IF($AH2014=20,IF(OR($AJ2014=10,$AJ2014=11,$AJ2014=18),"①病院一般",IF($AJ2014=41,"②病院短期","対象外")),IF($AH2014=5,IF($AJ2014=30,"③特定消防","対象外"),IF(OR($AJ2014=10,$AJ2014=11,$AJ2014=74),"④一般",IF(OR($AJ2014=41,$AJ2014=47),"⑤短期","対象外"))))))</f>
        <v/>
      </c>
    </row>
    <row r="2015" customFormat="false" ht="15" hidden="false" customHeight="false" outlineLevel="0" collapsed="false">
      <c r="DB2015" s="0" t="str">
        <f aca="false">IF($A2015="","",IF($AE2015&amp;""&lt;&gt;設定!$C$4,"対象外",IF($AH2015=20,IF(OR($AJ2015=10,$AJ2015=11,$AJ2015=18),"①病院一般",IF($AJ2015=41,"②病院短期","対象外")),IF($AH2015=5,IF($AJ2015=30,"③特定消防","対象外"),IF(OR($AJ2015=10,$AJ2015=11,$AJ2015=74),"④一般",IF(OR($AJ2015=41,$AJ2015=47),"⑤短期","対象外"))))))</f>
        <v/>
      </c>
    </row>
    <row r="2016" customFormat="false" ht="15" hidden="false" customHeight="false" outlineLevel="0" collapsed="false">
      <c r="DB2016" s="0" t="str">
        <f aca="false">IF($A2016="","",IF($AE2016&amp;""&lt;&gt;設定!$C$4,"対象外",IF($AH2016=20,IF(OR($AJ2016=10,$AJ2016=11,$AJ2016=18),"①病院一般",IF($AJ2016=41,"②病院短期","対象外")),IF($AH2016=5,IF($AJ2016=30,"③特定消防","対象外"),IF(OR($AJ2016=10,$AJ2016=11,$AJ2016=74),"④一般",IF(OR($AJ2016=41,$AJ2016=47),"⑤短期","対象外"))))))</f>
        <v/>
      </c>
    </row>
    <row r="2017" customFormat="false" ht="15" hidden="false" customHeight="false" outlineLevel="0" collapsed="false">
      <c r="DB2017" s="0" t="str">
        <f aca="false">IF($A2017="","",IF($AE2017&amp;""&lt;&gt;設定!$C$4,"対象外",IF($AH2017=20,IF(OR($AJ2017=10,$AJ2017=11,$AJ2017=18),"①病院一般",IF($AJ2017=41,"②病院短期","対象外")),IF($AH2017=5,IF($AJ2017=30,"③特定消防","対象外"),IF(OR($AJ2017=10,$AJ2017=11,$AJ2017=74),"④一般",IF(OR($AJ2017=41,$AJ2017=47),"⑤短期","対象外"))))))</f>
        <v/>
      </c>
    </row>
    <row r="2018" customFormat="false" ht="15" hidden="false" customHeight="false" outlineLevel="0" collapsed="false">
      <c r="DB2018" s="0" t="str">
        <f aca="false">IF($A2018="","",IF($AE2018&amp;""&lt;&gt;設定!$C$4,"対象外",IF($AH2018=20,IF(OR($AJ2018=10,$AJ2018=11,$AJ2018=18),"①病院一般",IF($AJ2018=41,"②病院短期","対象外")),IF($AH2018=5,IF($AJ2018=30,"③特定消防","対象外"),IF(OR($AJ2018=10,$AJ2018=11,$AJ2018=74),"④一般",IF(OR($AJ2018=41,$AJ2018=47),"⑤短期","対象外"))))))</f>
        <v/>
      </c>
    </row>
    <row r="2019" customFormat="false" ht="15" hidden="false" customHeight="false" outlineLevel="0" collapsed="false">
      <c r="DB2019" s="0" t="str">
        <f aca="false">IF($A2019="","",IF($AE2019&amp;""&lt;&gt;設定!$C$4,"対象外",IF($AH2019=20,IF(OR($AJ2019=10,$AJ2019=11,$AJ2019=18),"①病院一般",IF($AJ2019=41,"②病院短期","対象外")),IF($AH2019=5,IF($AJ2019=30,"③特定消防","対象外"),IF(OR($AJ2019=10,$AJ2019=11,$AJ2019=74),"④一般",IF(OR($AJ2019=41,$AJ2019=47),"⑤短期","対象外"))))))</f>
        <v/>
      </c>
    </row>
    <row r="2020" customFormat="false" ht="15" hidden="false" customHeight="false" outlineLevel="0" collapsed="false">
      <c r="DB2020" s="0" t="str">
        <f aca="false">IF($A2020="","",IF($AE2020&amp;""&lt;&gt;設定!$C$4,"対象外",IF($AH2020=20,IF(OR($AJ2020=10,$AJ2020=11,$AJ2020=18),"①病院一般",IF($AJ2020=41,"②病院短期","対象外")),IF($AH2020=5,IF($AJ2020=30,"③特定消防","対象外"),IF(OR($AJ2020=10,$AJ2020=11,$AJ2020=74),"④一般",IF(OR($AJ2020=41,$AJ2020=47),"⑤短期","対象外"))))))</f>
        <v/>
      </c>
    </row>
    <row r="2021" customFormat="false" ht="15" hidden="false" customHeight="false" outlineLevel="0" collapsed="false">
      <c r="DB2021" s="0" t="str">
        <f aca="false">IF($A2021="","",IF($AE2021&amp;""&lt;&gt;設定!$C$4,"対象外",IF($AH2021=20,IF(OR($AJ2021=10,$AJ2021=11,$AJ2021=18),"①病院一般",IF($AJ2021=41,"②病院短期","対象外")),IF($AH2021=5,IF($AJ2021=30,"③特定消防","対象外"),IF(OR($AJ2021=10,$AJ2021=11,$AJ2021=74),"④一般",IF(OR($AJ2021=41,$AJ2021=47),"⑤短期","対象外"))))))</f>
        <v/>
      </c>
    </row>
    <row r="2022" customFormat="false" ht="15" hidden="false" customHeight="false" outlineLevel="0" collapsed="false">
      <c r="DB2022" s="0" t="str">
        <f aca="false">IF($A2022="","",IF($AE2022&amp;""&lt;&gt;設定!$C$4,"対象外",IF($AH2022=20,IF(OR($AJ2022=10,$AJ2022=11,$AJ2022=18),"①病院一般",IF($AJ2022=41,"②病院短期","対象外")),IF($AH2022=5,IF($AJ2022=30,"③特定消防","対象外"),IF(OR($AJ2022=10,$AJ2022=11,$AJ2022=74),"④一般",IF(OR($AJ2022=41,$AJ2022=47),"⑤短期","対象外"))))))</f>
        <v/>
      </c>
    </row>
    <row r="2023" customFormat="false" ht="15" hidden="false" customHeight="false" outlineLevel="0" collapsed="false">
      <c r="DB2023" s="0" t="str">
        <f aca="false">IF($A2023="","",IF($AE2023&amp;""&lt;&gt;設定!$C$4,"対象外",IF($AH2023=20,IF(OR($AJ2023=10,$AJ2023=11,$AJ2023=18),"①病院一般",IF($AJ2023=41,"②病院短期","対象外")),IF($AH2023=5,IF($AJ2023=30,"③特定消防","対象外"),IF(OR($AJ2023=10,$AJ2023=11,$AJ2023=74),"④一般",IF(OR($AJ2023=41,$AJ2023=47),"⑤短期","対象外"))))))</f>
        <v/>
      </c>
    </row>
    <row r="2024" customFormat="false" ht="15" hidden="false" customHeight="false" outlineLevel="0" collapsed="false">
      <c r="DB2024" s="0" t="str">
        <f aca="false">IF($A2024="","",IF($AE2024&amp;""&lt;&gt;設定!$C$4,"対象外",IF($AH2024=20,IF(OR($AJ2024=10,$AJ2024=11,$AJ2024=18),"①病院一般",IF($AJ2024=41,"②病院短期","対象外")),IF($AH2024=5,IF($AJ2024=30,"③特定消防","対象外"),IF(OR($AJ2024=10,$AJ2024=11,$AJ2024=74),"④一般",IF(OR($AJ2024=41,$AJ2024=47),"⑤短期","対象外"))))))</f>
        <v/>
      </c>
    </row>
    <row r="2025" customFormat="false" ht="15" hidden="false" customHeight="false" outlineLevel="0" collapsed="false">
      <c r="DB2025" s="0" t="str">
        <f aca="false">IF($A2025="","",IF($AE2025&amp;""&lt;&gt;設定!$C$4,"対象外",IF($AH2025=20,IF(OR($AJ2025=10,$AJ2025=11,$AJ2025=18),"①病院一般",IF($AJ2025=41,"②病院短期","対象外")),IF($AH2025=5,IF($AJ2025=30,"③特定消防","対象外"),IF(OR($AJ2025=10,$AJ2025=11,$AJ2025=74),"④一般",IF(OR($AJ2025=41,$AJ2025=47),"⑤短期","対象外"))))))</f>
        <v/>
      </c>
    </row>
    <row r="2026" customFormat="false" ht="15" hidden="false" customHeight="false" outlineLevel="0" collapsed="false">
      <c r="DB2026" s="0" t="str">
        <f aca="false">IF($A2026="","",IF($AE2026&amp;""&lt;&gt;設定!$C$4,"対象外",IF($AH2026=20,IF(OR($AJ2026=10,$AJ2026=11,$AJ2026=18),"①病院一般",IF($AJ2026=41,"②病院短期","対象外")),IF($AH2026=5,IF($AJ2026=30,"③特定消防","対象外"),IF(OR($AJ2026=10,$AJ2026=11,$AJ2026=74),"④一般",IF(OR($AJ2026=41,$AJ2026=47),"⑤短期","対象外"))))))</f>
        <v/>
      </c>
    </row>
    <row r="2027" customFormat="false" ht="15" hidden="false" customHeight="false" outlineLevel="0" collapsed="false">
      <c r="DB2027" s="0" t="str">
        <f aca="false">IF($A2027="","",IF($AE2027&amp;""&lt;&gt;設定!$C$4,"対象外",IF($AH2027=20,IF(OR($AJ2027=10,$AJ2027=11,$AJ2027=18),"①病院一般",IF($AJ2027=41,"②病院短期","対象外")),IF($AH2027=5,IF($AJ2027=30,"③特定消防","対象外"),IF(OR($AJ2027=10,$AJ2027=11,$AJ2027=74),"④一般",IF(OR($AJ2027=41,$AJ2027=47),"⑤短期","対象外"))))))</f>
        <v/>
      </c>
    </row>
    <row r="2028" customFormat="false" ht="15" hidden="false" customHeight="false" outlineLevel="0" collapsed="false">
      <c r="DB2028" s="0" t="str">
        <f aca="false">IF($A2028="","",IF($AE2028&amp;""&lt;&gt;設定!$C$4,"対象外",IF($AH2028=20,IF(OR($AJ2028=10,$AJ2028=11,$AJ2028=18),"①病院一般",IF($AJ2028=41,"②病院短期","対象外")),IF($AH2028=5,IF($AJ2028=30,"③特定消防","対象外"),IF(OR($AJ2028=10,$AJ2028=11,$AJ2028=74),"④一般",IF(OR($AJ2028=41,$AJ2028=47),"⑤短期","対象外"))))))</f>
        <v/>
      </c>
    </row>
    <row r="2029" customFormat="false" ht="15" hidden="false" customHeight="false" outlineLevel="0" collapsed="false">
      <c r="DB2029" s="0" t="str">
        <f aca="false">IF($A2029="","",IF($AE2029&amp;""&lt;&gt;設定!$C$4,"対象外",IF($AH2029=20,IF(OR($AJ2029=10,$AJ2029=11,$AJ2029=18),"①病院一般",IF($AJ2029=41,"②病院短期","対象外")),IF($AH2029=5,IF($AJ2029=30,"③特定消防","対象外"),IF(OR($AJ2029=10,$AJ2029=11,$AJ2029=74),"④一般",IF(OR($AJ2029=41,$AJ2029=47),"⑤短期","対象外"))))))</f>
        <v/>
      </c>
    </row>
    <row r="2030" customFormat="false" ht="15" hidden="false" customHeight="false" outlineLevel="0" collapsed="false">
      <c r="DB2030" s="0" t="str">
        <f aca="false">IF($A2030="","",IF($AE2030&amp;""&lt;&gt;設定!$C$4,"対象外",IF($AH2030=20,IF(OR($AJ2030=10,$AJ2030=11,$AJ2030=18),"①病院一般",IF($AJ2030=41,"②病院短期","対象外")),IF($AH2030=5,IF($AJ2030=30,"③特定消防","対象外"),IF(OR($AJ2030=10,$AJ2030=11,$AJ2030=74),"④一般",IF(OR($AJ2030=41,$AJ2030=47),"⑤短期","対象外"))))))</f>
        <v/>
      </c>
    </row>
    <row r="2031" customFormat="false" ht="15" hidden="false" customHeight="false" outlineLevel="0" collapsed="false">
      <c r="DB2031" s="0" t="str">
        <f aca="false">IF($A2031="","",IF($AE2031&amp;""&lt;&gt;設定!$C$4,"対象外",IF($AH2031=20,IF(OR($AJ2031=10,$AJ2031=11,$AJ2031=18),"①病院一般",IF($AJ2031=41,"②病院短期","対象外")),IF($AH2031=5,IF($AJ2031=30,"③特定消防","対象外"),IF(OR($AJ2031=10,$AJ2031=11,$AJ2031=74),"④一般",IF(OR($AJ2031=41,$AJ2031=47),"⑤短期","対象外"))))))</f>
        <v/>
      </c>
    </row>
    <row r="2032" customFormat="false" ht="15" hidden="false" customHeight="false" outlineLevel="0" collapsed="false">
      <c r="DB2032" s="0" t="str">
        <f aca="false">IF($A2032="","",IF($AE2032&amp;""&lt;&gt;設定!$C$4,"対象外",IF($AH2032=20,IF(OR($AJ2032=10,$AJ2032=11,$AJ2032=18),"①病院一般",IF($AJ2032=41,"②病院短期","対象外")),IF($AH2032=5,IF($AJ2032=30,"③特定消防","対象外"),IF(OR($AJ2032=10,$AJ2032=11,$AJ2032=74),"④一般",IF(OR($AJ2032=41,$AJ2032=47),"⑤短期","対象外"))))))</f>
        <v/>
      </c>
    </row>
    <row r="2033" customFormat="false" ht="15" hidden="false" customHeight="false" outlineLevel="0" collapsed="false">
      <c r="DB2033" s="0" t="str">
        <f aca="false">IF($A2033="","",IF($AE2033&amp;""&lt;&gt;設定!$C$4,"対象外",IF($AH2033=20,IF(OR($AJ2033=10,$AJ2033=11,$AJ2033=18),"①病院一般",IF($AJ2033=41,"②病院短期","対象外")),IF($AH2033=5,IF($AJ2033=30,"③特定消防","対象外"),IF(OR($AJ2033=10,$AJ2033=11,$AJ2033=74),"④一般",IF(OR($AJ2033=41,$AJ2033=47),"⑤短期","対象外"))))))</f>
        <v/>
      </c>
    </row>
    <row r="2034" customFormat="false" ht="15" hidden="false" customHeight="false" outlineLevel="0" collapsed="false">
      <c r="DB2034" s="0" t="str">
        <f aca="false">IF($A2034="","",IF($AE2034&amp;""&lt;&gt;設定!$C$4,"対象外",IF($AH2034=20,IF(OR($AJ2034=10,$AJ2034=11,$AJ2034=18),"①病院一般",IF($AJ2034=41,"②病院短期","対象外")),IF($AH2034=5,IF($AJ2034=30,"③特定消防","対象外"),IF(OR($AJ2034=10,$AJ2034=11,$AJ2034=74),"④一般",IF(OR($AJ2034=41,$AJ2034=47),"⑤短期","対象外"))))))</f>
        <v/>
      </c>
    </row>
    <row r="2035" customFormat="false" ht="15" hidden="false" customHeight="false" outlineLevel="0" collapsed="false">
      <c r="DB2035" s="0" t="str">
        <f aca="false">IF($A2035="","",IF($AE2035&amp;""&lt;&gt;設定!$C$4,"対象外",IF($AH2035=20,IF(OR($AJ2035=10,$AJ2035=11,$AJ2035=18),"①病院一般",IF($AJ2035=41,"②病院短期","対象外")),IF($AH2035=5,IF($AJ2035=30,"③特定消防","対象外"),IF(OR($AJ2035=10,$AJ2035=11,$AJ2035=74),"④一般",IF(OR($AJ2035=41,$AJ2035=47),"⑤短期","対象外"))))))</f>
        <v/>
      </c>
    </row>
    <row r="2036" customFormat="false" ht="15" hidden="false" customHeight="false" outlineLevel="0" collapsed="false">
      <c r="DB2036" s="0" t="str">
        <f aca="false">IF($A2036="","",IF($AE2036&amp;""&lt;&gt;設定!$C$4,"対象外",IF($AH2036=20,IF(OR($AJ2036=10,$AJ2036=11,$AJ2036=18),"①病院一般",IF($AJ2036=41,"②病院短期","対象外")),IF($AH2036=5,IF($AJ2036=30,"③特定消防","対象外"),IF(OR($AJ2036=10,$AJ2036=11,$AJ2036=74),"④一般",IF(OR($AJ2036=41,$AJ2036=47),"⑤短期","対象外"))))))</f>
        <v/>
      </c>
    </row>
    <row r="2037" customFormat="false" ht="15" hidden="false" customHeight="false" outlineLevel="0" collapsed="false">
      <c r="DB2037" s="0" t="str">
        <f aca="false">IF($A2037="","",IF($AE2037&amp;""&lt;&gt;設定!$C$4,"対象外",IF($AH2037=20,IF(OR($AJ2037=10,$AJ2037=11,$AJ2037=18),"①病院一般",IF($AJ2037=41,"②病院短期","対象外")),IF($AH2037=5,IF($AJ2037=30,"③特定消防","対象外"),IF(OR($AJ2037=10,$AJ2037=11,$AJ2037=74),"④一般",IF(OR($AJ2037=41,$AJ2037=47),"⑤短期","対象外"))))))</f>
        <v/>
      </c>
    </row>
    <row r="2038" customFormat="false" ht="15" hidden="false" customHeight="false" outlineLevel="0" collapsed="false">
      <c r="DB2038" s="0" t="str">
        <f aca="false">IF($A2038="","",IF($AE2038&amp;""&lt;&gt;設定!$C$4,"対象外",IF($AH2038=20,IF(OR($AJ2038=10,$AJ2038=11,$AJ2038=18),"①病院一般",IF($AJ2038=41,"②病院短期","対象外")),IF($AH2038=5,IF($AJ2038=30,"③特定消防","対象外"),IF(OR($AJ2038=10,$AJ2038=11,$AJ2038=74),"④一般",IF(OR($AJ2038=41,$AJ2038=47),"⑤短期","対象外"))))))</f>
        <v/>
      </c>
    </row>
    <row r="2039" customFormat="false" ht="15" hidden="false" customHeight="false" outlineLevel="0" collapsed="false">
      <c r="DB2039" s="0" t="str">
        <f aca="false">IF($A2039="","",IF($AE2039&amp;""&lt;&gt;設定!$C$4,"対象外",IF($AH2039=20,IF(OR($AJ2039=10,$AJ2039=11,$AJ2039=18),"①病院一般",IF($AJ2039=41,"②病院短期","対象外")),IF($AH2039=5,IF($AJ2039=30,"③特定消防","対象外"),IF(OR($AJ2039=10,$AJ2039=11,$AJ2039=74),"④一般",IF(OR($AJ2039=41,$AJ2039=47),"⑤短期","対象外"))))))</f>
        <v/>
      </c>
    </row>
    <row r="2040" customFormat="false" ht="15" hidden="false" customHeight="false" outlineLevel="0" collapsed="false">
      <c r="DB2040" s="0" t="str">
        <f aca="false">IF($A2040="","",IF($AE2040&amp;""&lt;&gt;設定!$C$4,"対象外",IF($AH2040=20,IF(OR($AJ2040=10,$AJ2040=11,$AJ2040=18),"①病院一般",IF($AJ2040=41,"②病院短期","対象外")),IF($AH2040=5,IF($AJ2040=30,"③特定消防","対象外"),IF(OR($AJ2040=10,$AJ2040=11,$AJ2040=74),"④一般",IF(OR($AJ2040=41,$AJ2040=47),"⑤短期","対象外"))))))</f>
        <v/>
      </c>
    </row>
    <row r="2041" customFormat="false" ht="15" hidden="false" customHeight="false" outlineLevel="0" collapsed="false">
      <c r="DB2041" s="0" t="str">
        <f aca="false">IF($A2041="","",IF($AE2041&amp;""&lt;&gt;設定!$C$4,"対象外",IF($AH2041=20,IF(OR($AJ2041=10,$AJ2041=11,$AJ2041=18),"①病院一般",IF($AJ2041=41,"②病院短期","対象外")),IF($AH2041=5,IF($AJ2041=30,"③特定消防","対象外"),IF(OR($AJ2041=10,$AJ2041=11,$AJ2041=74),"④一般",IF(OR($AJ2041=41,$AJ2041=47),"⑤短期","対象外"))))))</f>
        <v/>
      </c>
    </row>
    <row r="2042" customFormat="false" ht="15" hidden="false" customHeight="false" outlineLevel="0" collapsed="false">
      <c r="DB2042" s="0" t="str">
        <f aca="false">IF($A2042="","",IF($AE2042&amp;""&lt;&gt;設定!$C$4,"対象外",IF($AH2042=20,IF(OR($AJ2042=10,$AJ2042=11,$AJ2042=18),"①病院一般",IF($AJ2042=41,"②病院短期","対象外")),IF($AH2042=5,IF($AJ2042=30,"③特定消防","対象外"),IF(OR($AJ2042=10,$AJ2042=11,$AJ2042=74),"④一般",IF(OR($AJ2042=41,$AJ2042=47),"⑤短期","対象外"))))))</f>
        <v/>
      </c>
    </row>
    <row r="2043" customFormat="false" ht="15" hidden="false" customHeight="false" outlineLevel="0" collapsed="false">
      <c r="DB2043" s="0" t="str">
        <f aca="false">IF($A2043="","",IF($AE2043&amp;""&lt;&gt;設定!$C$4,"対象外",IF($AH2043=20,IF(OR($AJ2043=10,$AJ2043=11,$AJ2043=18),"①病院一般",IF($AJ2043=41,"②病院短期","対象外")),IF($AH2043=5,IF($AJ2043=30,"③特定消防","対象外"),IF(OR($AJ2043=10,$AJ2043=11,$AJ2043=74),"④一般",IF(OR($AJ2043=41,$AJ2043=47),"⑤短期","対象外"))))))</f>
        <v/>
      </c>
    </row>
    <row r="2044" customFormat="false" ht="15" hidden="false" customHeight="false" outlineLevel="0" collapsed="false">
      <c r="DB2044" s="0" t="str">
        <f aca="false">IF($A2044="","",IF($AE2044&amp;""&lt;&gt;設定!$C$4,"対象外",IF($AH2044=20,IF(OR($AJ2044=10,$AJ2044=11,$AJ2044=18),"①病院一般",IF($AJ2044=41,"②病院短期","対象外")),IF($AH2044=5,IF($AJ2044=30,"③特定消防","対象外"),IF(OR($AJ2044=10,$AJ2044=11,$AJ2044=74),"④一般",IF(OR($AJ2044=41,$AJ2044=47),"⑤短期","対象外"))))))</f>
        <v/>
      </c>
    </row>
    <row r="2045" customFormat="false" ht="15" hidden="false" customHeight="false" outlineLevel="0" collapsed="false">
      <c r="DB2045" s="0" t="str">
        <f aca="false">IF($A2045="","",IF($AE2045&amp;""&lt;&gt;設定!$C$4,"対象外",IF($AH2045=20,IF(OR($AJ2045=10,$AJ2045=11,$AJ2045=18),"①病院一般",IF($AJ2045=41,"②病院短期","対象外")),IF($AH2045=5,IF($AJ2045=30,"③特定消防","対象外"),IF(OR($AJ2045=10,$AJ2045=11,$AJ2045=74),"④一般",IF(OR($AJ2045=41,$AJ2045=47),"⑤短期","対象外"))))))</f>
        <v/>
      </c>
    </row>
    <row r="2046" customFormat="false" ht="15" hidden="false" customHeight="false" outlineLevel="0" collapsed="false">
      <c r="DB2046" s="0" t="str">
        <f aca="false">IF($A2046="","",IF($AE2046&amp;""&lt;&gt;設定!$C$4,"対象外",IF($AH2046=20,IF(OR($AJ2046=10,$AJ2046=11,$AJ2046=18),"①病院一般",IF($AJ2046=41,"②病院短期","対象外")),IF($AH2046=5,IF($AJ2046=30,"③特定消防","対象外"),IF(OR($AJ2046=10,$AJ2046=11,$AJ2046=74),"④一般",IF(OR($AJ2046=41,$AJ2046=47),"⑤短期","対象外"))))))</f>
        <v/>
      </c>
    </row>
    <row r="2047" customFormat="false" ht="15" hidden="false" customHeight="false" outlineLevel="0" collapsed="false">
      <c r="DB2047" s="0" t="str">
        <f aca="false">IF($A2047="","",IF($AE2047&amp;""&lt;&gt;設定!$C$4,"対象外",IF($AH2047=20,IF(OR($AJ2047=10,$AJ2047=11,$AJ2047=18),"①病院一般",IF($AJ2047=41,"②病院短期","対象外")),IF($AH2047=5,IF($AJ2047=30,"③特定消防","対象外"),IF(OR($AJ2047=10,$AJ2047=11,$AJ2047=74),"④一般",IF(OR($AJ2047=41,$AJ2047=47),"⑤短期","対象外"))))))</f>
        <v/>
      </c>
    </row>
    <row r="2048" customFormat="false" ht="15" hidden="false" customHeight="false" outlineLevel="0" collapsed="false">
      <c r="DB2048" s="0" t="str">
        <f aca="false">IF($A2048="","",IF($AE2048&amp;""&lt;&gt;設定!$C$4,"対象外",IF($AH2048=20,IF(OR($AJ2048=10,$AJ2048=11,$AJ2048=18),"①病院一般",IF($AJ2048=41,"②病院短期","対象外")),IF($AH2048=5,IF($AJ2048=30,"③特定消防","対象外"),IF(OR($AJ2048=10,$AJ2048=11,$AJ2048=74),"④一般",IF(OR($AJ2048=41,$AJ2048=47),"⑤短期","対象外"))))))</f>
        <v/>
      </c>
    </row>
    <row r="2049" customFormat="false" ht="15" hidden="false" customHeight="false" outlineLevel="0" collapsed="false">
      <c r="DB2049" s="0" t="str">
        <f aca="false">IF($A2049="","",IF($AE2049&amp;""&lt;&gt;設定!$C$4,"対象外",IF($AH2049=20,IF(OR($AJ2049=10,$AJ2049=11,$AJ2049=18),"①病院一般",IF($AJ2049=41,"②病院短期","対象外")),IF($AH2049=5,IF($AJ2049=30,"③特定消防","対象外"),IF(OR($AJ2049=10,$AJ2049=11,$AJ2049=74),"④一般",IF(OR($AJ2049=41,$AJ2049=47),"⑤短期","対象外"))))))</f>
        <v/>
      </c>
    </row>
    <row r="2050" customFormat="false" ht="15" hidden="false" customHeight="false" outlineLevel="0" collapsed="false">
      <c r="DB2050" s="0" t="str">
        <f aca="false">IF($A2050="","",IF($AE2050&amp;""&lt;&gt;設定!$C$4,"対象外",IF($AH2050=20,IF(OR($AJ2050=10,$AJ2050=11,$AJ2050=18),"①病院一般",IF($AJ2050=41,"②病院短期","対象外")),IF($AH2050=5,IF($AJ2050=30,"③特定消防","対象外"),IF(OR($AJ2050=10,$AJ2050=11,$AJ2050=74),"④一般",IF(OR($AJ2050=41,$AJ2050=47),"⑤短期","対象外"))))))</f>
        <v/>
      </c>
    </row>
    <row r="2051" customFormat="false" ht="15" hidden="false" customHeight="false" outlineLevel="0" collapsed="false">
      <c r="DB2051" s="0" t="str">
        <f aca="false">IF($A2051="","",IF($AE2051&amp;""&lt;&gt;設定!$C$4,"対象外",IF($AH2051=20,IF(OR($AJ2051=10,$AJ2051=11,$AJ2051=18),"①病院一般",IF($AJ2051=41,"②病院短期","対象外")),IF($AH2051=5,IF($AJ2051=30,"③特定消防","対象外"),IF(OR($AJ2051=10,$AJ2051=11,$AJ2051=74),"④一般",IF(OR($AJ2051=41,$AJ2051=47),"⑤短期","対象外"))))))</f>
        <v/>
      </c>
    </row>
    <row r="2052" customFormat="false" ht="15" hidden="false" customHeight="false" outlineLevel="0" collapsed="false">
      <c r="DB2052" s="0" t="str">
        <f aca="false">IF($A2052="","",IF($AE2052&amp;""&lt;&gt;設定!$C$4,"対象外",IF($AH2052=20,IF(OR($AJ2052=10,$AJ2052=11,$AJ2052=18),"①病院一般",IF($AJ2052=41,"②病院短期","対象外")),IF($AH2052=5,IF($AJ2052=30,"③特定消防","対象外"),IF(OR($AJ2052=10,$AJ2052=11,$AJ2052=74),"④一般",IF(OR($AJ2052=41,$AJ2052=47),"⑤短期","対象外"))))))</f>
        <v/>
      </c>
    </row>
    <row r="2053" customFormat="false" ht="15" hidden="false" customHeight="false" outlineLevel="0" collapsed="false">
      <c r="DB2053" s="0" t="str">
        <f aca="false">IF($A2053="","",IF($AE2053&amp;""&lt;&gt;設定!$C$4,"対象外",IF($AH2053=20,IF(OR($AJ2053=10,$AJ2053=11,$AJ2053=18),"①病院一般",IF($AJ2053=41,"②病院短期","対象外")),IF($AH2053=5,IF($AJ2053=30,"③特定消防","対象外"),IF(OR($AJ2053=10,$AJ2053=11,$AJ2053=74),"④一般",IF(OR($AJ2053=41,$AJ2053=47),"⑤短期","対象外"))))))</f>
        <v/>
      </c>
    </row>
    <row r="2054" customFormat="false" ht="15" hidden="false" customHeight="false" outlineLevel="0" collapsed="false">
      <c r="DB2054" s="0" t="str">
        <f aca="false">IF($A2054="","",IF($AE2054&amp;""&lt;&gt;設定!$C$4,"対象外",IF($AH2054=20,IF(OR($AJ2054=10,$AJ2054=11,$AJ2054=18),"①病院一般",IF($AJ2054=41,"②病院短期","対象外")),IF($AH2054=5,IF($AJ2054=30,"③特定消防","対象外"),IF(OR($AJ2054=10,$AJ2054=11,$AJ2054=74),"④一般",IF(OR($AJ2054=41,$AJ2054=47),"⑤短期","対象外"))))))</f>
        <v/>
      </c>
    </row>
    <row r="2055" customFormat="false" ht="15" hidden="false" customHeight="false" outlineLevel="0" collapsed="false">
      <c r="DB2055" s="0" t="str">
        <f aca="false">IF($A2055="","",IF($AE2055&amp;""&lt;&gt;設定!$C$4,"対象外",IF($AH2055=20,IF(OR($AJ2055=10,$AJ2055=11,$AJ2055=18),"①病院一般",IF($AJ2055=41,"②病院短期","対象外")),IF($AH2055=5,IF($AJ2055=30,"③特定消防","対象外"),IF(OR($AJ2055=10,$AJ2055=11,$AJ2055=74),"④一般",IF(OR($AJ2055=41,$AJ2055=47),"⑤短期","対象外"))))))</f>
        <v/>
      </c>
    </row>
    <row r="2056" customFormat="false" ht="15" hidden="false" customHeight="false" outlineLevel="0" collapsed="false">
      <c r="DB2056" s="0" t="str">
        <f aca="false">IF($A2056="","",IF($AE2056&amp;""&lt;&gt;設定!$C$4,"対象外",IF($AH2056=20,IF(OR($AJ2056=10,$AJ2056=11,$AJ2056=18),"①病院一般",IF($AJ2056=41,"②病院短期","対象外")),IF($AH2056=5,IF($AJ2056=30,"③特定消防","対象外"),IF(OR($AJ2056=10,$AJ2056=11,$AJ2056=74),"④一般",IF(OR($AJ2056=41,$AJ2056=47),"⑤短期","対象外"))))))</f>
        <v/>
      </c>
    </row>
    <row r="2057" customFormat="false" ht="15" hidden="false" customHeight="false" outlineLevel="0" collapsed="false">
      <c r="DB2057" s="0" t="str">
        <f aca="false">IF($A2057="","",IF($AE2057&amp;""&lt;&gt;設定!$C$4,"対象外",IF($AH2057=20,IF(OR($AJ2057=10,$AJ2057=11,$AJ2057=18),"①病院一般",IF($AJ2057=41,"②病院短期","対象外")),IF($AH2057=5,IF($AJ2057=30,"③特定消防","対象外"),IF(OR($AJ2057=10,$AJ2057=11,$AJ2057=74),"④一般",IF(OR($AJ2057=41,$AJ2057=47),"⑤短期","対象外"))))))</f>
        <v/>
      </c>
    </row>
    <row r="2058" customFormat="false" ht="15" hidden="false" customHeight="false" outlineLevel="0" collapsed="false">
      <c r="DB2058" s="0" t="str">
        <f aca="false">IF($A2058="","",IF($AE2058&amp;""&lt;&gt;設定!$C$4,"対象外",IF($AH2058=20,IF(OR($AJ2058=10,$AJ2058=11,$AJ2058=18),"①病院一般",IF($AJ2058=41,"②病院短期","対象外")),IF($AH2058=5,IF($AJ2058=30,"③特定消防","対象外"),IF(OR($AJ2058=10,$AJ2058=11,$AJ2058=74),"④一般",IF(OR($AJ2058=41,$AJ2058=47),"⑤短期","対象外"))))))</f>
        <v/>
      </c>
    </row>
    <row r="2059" customFormat="false" ht="15" hidden="false" customHeight="false" outlineLevel="0" collapsed="false">
      <c r="DB2059" s="0" t="str">
        <f aca="false">IF($A2059="","",IF($AE2059&amp;""&lt;&gt;設定!$C$4,"対象外",IF($AH2059=20,IF(OR($AJ2059=10,$AJ2059=11,$AJ2059=18),"①病院一般",IF($AJ2059=41,"②病院短期","対象外")),IF($AH2059=5,IF($AJ2059=30,"③特定消防","対象外"),IF(OR($AJ2059=10,$AJ2059=11,$AJ2059=74),"④一般",IF(OR($AJ2059=41,$AJ2059=47),"⑤短期","対象外"))))))</f>
        <v/>
      </c>
    </row>
    <row r="2060" customFormat="false" ht="15" hidden="false" customHeight="false" outlineLevel="0" collapsed="false">
      <c r="DB2060" s="0" t="str">
        <f aca="false">IF($A2060="","",IF($AE2060&amp;""&lt;&gt;設定!$C$4,"対象外",IF($AH2060=20,IF(OR($AJ2060=10,$AJ2060=11,$AJ2060=18),"①病院一般",IF($AJ2060=41,"②病院短期","対象外")),IF($AH2060=5,IF($AJ2060=30,"③特定消防","対象外"),IF(OR($AJ2060=10,$AJ2060=11,$AJ2060=74),"④一般",IF(OR($AJ2060=41,$AJ2060=47),"⑤短期","対象外"))))))</f>
        <v/>
      </c>
    </row>
    <row r="2061" customFormat="false" ht="15" hidden="false" customHeight="false" outlineLevel="0" collapsed="false">
      <c r="DB2061" s="0" t="str">
        <f aca="false">IF($A2061="","",IF($AE2061&amp;""&lt;&gt;設定!$C$4,"対象外",IF($AH2061=20,IF(OR($AJ2061=10,$AJ2061=11,$AJ2061=18),"①病院一般",IF($AJ2061=41,"②病院短期","対象外")),IF($AH2061=5,IF($AJ2061=30,"③特定消防","対象外"),IF(OR($AJ2061=10,$AJ2061=11,$AJ2061=74),"④一般",IF(OR($AJ2061=41,$AJ2061=47),"⑤短期","対象外"))))))</f>
        <v/>
      </c>
    </row>
    <row r="2062" customFormat="false" ht="15" hidden="false" customHeight="false" outlineLevel="0" collapsed="false">
      <c r="DB2062" s="0" t="str">
        <f aca="false">IF($A2062="","",IF($AE2062&amp;""&lt;&gt;設定!$C$4,"対象外",IF($AH2062=20,IF(OR($AJ2062=10,$AJ2062=11,$AJ2062=18),"①病院一般",IF($AJ2062=41,"②病院短期","対象外")),IF($AH2062=5,IF($AJ2062=30,"③特定消防","対象外"),IF(OR($AJ2062=10,$AJ2062=11,$AJ2062=74),"④一般",IF(OR($AJ2062=41,$AJ2062=47),"⑤短期","対象外"))))))</f>
        <v/>
      </c>
    </row>
    <row r="2063" customFormat="false" ht="15" hidden="false" customHeight="false" outlineLevel="0" collapsed="false">
      <c r="DB2063" s="0" t="str">
        <f aca="false">IF($A2063="","",IF($AE2063&amp;""&lt;&gt;設定!$C$4,"対象外",IF($AH2063=20,IF(OR($AJ2063=10,$AJ2063=11,$AJ2063=18),"①病院一般",IF($AJ2063=41,"②病院短期","対象外")),IF($AH2063=5,IF($AJ2063=30,"③特定消防","対象外"),IF(OR($AJ2063=10,$AJ2063=11,$AJ2063=74),"④一般",IF(OR($AJ2063=41,$AJ2063=47),"⑤短期","対象外"))))))</f>
        <v/>
      </c>
    </row>
    <row r="2064" customFormat="false" ht="15" hidden="false" customHeight="false" outlineLevel="0" collapsed="false">
      <c r="DB2064" s="0" t="str">
        <f aca="false">IF($A2064="","",IF($AE2064&amp;""&lt;&gt;設定!$C$4,"対象外",IF($AH2064=20,IF(OR($AJ2064=10,$AJ2064=11,$AJ2064=18),"①病院一般",IF($AJ2064=41,"②病院短期","対象外")),IF($AH2064=5,IF($AJ2064=30,"③特定消防","対象外"),IF(OR($AJ2064=10,$AJ2064=11,$AJ2064=74),"④一般",IF(OR($AJ2064=41,$AJ2064=47),"⑤短期","対象外"))))))</f>
        <v/>
      </c>
    </row>
    <row r="2065" customFormat="false" ht="15" hidden="false" customHeight="false" outlineLevel="0" collapsed="false">
      <c r="DB2065" s="0" t="str">
        <f aca="false">IF($A2065="","",IF($AE2065&amp;""&lt;&gt;設定!$C$4,"対象外",IF($AH2065=20,IF(OR($AJ2065=10,$AJ2065=11,$AJ2065=18),"①病院一般",IF($AJ2065=41,"②病院短期","対象外")),IF($AH2065=5,IF($AJ2065=30,"③特定消防","対象外"),IF(OR($AJ2065=10,$AJ2065=11,$AJ2065=74),"④一般",IF(OR($AJ2065=41,$AJ2065=47),"⑤短期","対象外"))))))</f>
        <v/>
      </c>
    </row>
    <row r="2066" customFormat="false" ht="15" hidden="false" customHeight="false" outlineLevel="0" collapsed="false">
      <c r="DB2066" s="0" t="str">
        <f aca="false">IF($A2066="","",IF($AE2066&amp;""&lt;&gt;設定!$C$4,"対象外",IF($AH2066=20,IF(OR($AJ2066=10,$AJ2066=11,$AJ2066=18),"①病院一般",IF($AJ2066=41,"②病院短期","対象外")),IF($AH2066=5,IF($AJ2066=30,"③特定消防","対象外"),IF(OR($AJ2066=10,$AJ2066=11,$AJ2066=74),"④一般",IF(OR($AJ2066=41,$AJ2066=47),"⑤短期","対象外"))))))</f>
        <v/>
      </c>
    </row>
    <row r="2067" customFormat="false" ht="15" hidden="false" customHeight="false" outlineLevel="0" collapsed="false">
      <c r="DB2067" s="0" t="str">
        <f aca="false">IF($A2067="","",IF($AE2067&amp;""&lt;&gt;設定!$C$4,"対象外",IF($AH2067=20,IF(OR($AJ2067=10,$AJ2067=11,$AJ2067=18),"①病院一般",IF($AJ2067=41,"②病院短期","対象外")),IF($AH2067=5,IF($AJ2067=30,"③特定消防","対象外"),IF(OR($AJ2067=10,$AJ2067=11,$AJ2067=74),"④一般",IF(OR($AJ2067=41,$AJ2067=47),"⑤短期","対象外"))))))</f>
        <v/>
      </c>
    </row>
    <row r="2068" customFormat="false" ht="15" hidden="false" customHeight="false" outlineLevel="0" collapsed="false">
      <c r="DB2068" s="0" t="str">
        <f aca="false">IF($A2068="","",IF($AE2068&amp;""&lt;&gt;設定!$C$4,"対象外",IF($AH2068=20,IF(OR($AJ2068=10,$AJ2068=11,$AJ2068=18),"①病院一般",IF($AJ2068=41,"②病院短期","対象外")),IF($AH2068=5,IF($AJ2068=30,"③特定消防","対象外"),IF(OR($AJ2068=10,$AJ2068=11,$AJ2068=74),"④一般",IF(OR($AJ2068=41,$AJ2068=47),"⑤短期","対象外"))))))</f>
        <v/>
      </c>
    </row>
    <row r="2069" customFormat="false" ht="15" hidden="false" customHeight="false" outlineLevel="0" collapsed="false">
      <c r="DB2069" s="0" t="str">
        <f aca="false">IF($A2069="","",IF($AE2069&amp;""&lt;&gt;設定!$C$4,"対象外",IF($AH2069=20,IF(OR($AJ2069=10,$AJ2069=11,$AJ2069=18),"①病院一般",IF($AJ2069=41,"②病院短期","対象外")),IF($AH2069=5,IF($AJ2069=30,"③特定消防","対象外"),IF(OR($AJ2069=10,$AJ2069=11,$AJ2069=74),"④一般",IF(OR($AJ2069=41,$AJ2069=47),"⑤短期","対象外"))))))</f>
        <v/>
      </c>
    </row>
    <row r="2070" customFormat="false" ht="15" hidden="false" customHeight="false" outlineLevel="0" collapsed="false">
      <c r="DB2070" s="0" t="str">
        <f aca="false">IF($A2070="","",IF($AE2070&amp;""&lt;&gt;設定!$C$4,"対象外",IF($AH2070=20,IF(OR($AJ2070=10,$AJ2070=11,$AJ2070=18),"①病院一般",IF($AJ2070=41,"②病院短期","対象外")),IF($AH2070=5,IF($AJ2070=30,"③特定消防","対象外"),IF(OR($AJ2070=10,$AJ2070=11,$AJ2070=74),"④一般",IF(OR($AJ2070=41,$AJ2070=47),"⑤短期","対象外"))))))</f>
        <v/>
      </c>
    </row>
    <row r="2071" customFormat="false" ht="15" hidden="false" customHeight="false" outlineLevel="0" collapsed="false">
      <c r="DB2071" s="0" t="str">
        <f aca="false">IF($A2071="","",IF($AE2071&amp;""&lt;&gt;設定!$C$4,"対象外",IF($AH2071=20,IF(OR($AJ2071=10,$AJ2071=11,$AJ2071=18),"①病院一般",IF($AJ2071=41,"②病院短期","対象外")),IF($AH2071=5,IF($AJ2071=30,"③特定消防","対象外"),IF(OR($AJ2071=10,$AJ2071=11,$AJ2071=74),"④一般",IF(OR($AJ2071=41,$AJ2071=47),"⑤短期","対象外"))))))</f>
        <v/>
      </c>
    </row>
    <row r="2072" customFormat="false" ht="15" hidden="false" customHeight="false" outlineLevel="0" collapsed="false">
      <c r="DB2072" s="0" t="str">
        <f aca="false">IF($A2072="","",IF($AE2072&amp;""&lt;&gt;設定!$C$4,"対象外",IF($AH2072=20,IF(OR($AJ2072=10,$AJ2072=11,$AJ2072=18),"①病院一般",IF($AJ2072=41,"②病院短期","対象外")),IF($AH2072=5,IF($AJ2072=30,"③特定消防","対象外"),IF(OR($AJ2072=10,$AJ2072=11,$AJ2072=74),"④一般",IF(OR($AJ2072=41,$AJ2072=47),"⑤短期","対象外"))))))</f>
        <v/>
      </c>
    </row>
    <row r="2073" customFormat="false" ht="15" hidden="false" customHeight="false" outlineLevel="0" collapsed="false">
      <c r="DB2073" s="0" t="str">
        <f aca="false">IF($A2073="","",IF($AE2073&amp;""&lt;&gt;設定!$C$4,"対象外",IF($AH2073=20,IF(OR($AJ2073=10,$AJ2073=11,$AJ2073=18),"①病院一般",IF($AJ2073=41,"②病院短期","対象外")),IF($AH2073=5,IF($AJ2073=30,"③特定消防","対象外"),IF(OR($AJ2073=10,$AJ2073=11,$AJ2073=74),"④一般",IF(OR($AJ2073=41,$AJ2073=47),"⑤短期","対象外"))))))</f>
        <v/>
      </c>
    </row>
    <row r="2074" customFormat="false" ht="15" hidden="false" customHeight="false" outlineLevel="0" collapsed="false">
      <c r="DB2074" s="0" t="str">
        <f aca="false">IF($A2074="","",IF($AE2074&amp;""&lt;&gt;設定!$C$4,"対象外",IF($AH2074=20,IF(OR($AJ2074=10,$AJ2074=11,$AJ2074=18),"①病院一般",IF($AJ2074=41,"②病院短期","対象外")),IF($AH2074=5,IF($AJ2074=30,"③特定消防","対象外"),IF(OR($AJ2074=10,$AJ2074=11,$AJ2074=74),"④一般",IF(OR($AJ2074=41,$AJ2074=47),"⑤短期","対象外"))))))</f>
        <v/>
      </c>
    </row>
    <row r="2075" customFormat="false" ht="15" hidden="false" customHeight="false" outlineLevel="0" collapsed="false">
      <c r="DB2075" s="0" t="str">
        <f aca="false">IF($A2075="","",IF($AE2075&amp;""&lt;&gt;設定!$C$4,"対象外",IF($AH2075=20,IF(OR($AJ2075=10,$AJ2075=11,$AJ2075=18),"①病院一般",IF($AJ2075=41,"②病院短期","対象外")),IF($AH2075=5,IF($AJ2075=30,"③特定消防","対象外"),IF(OR($AJ2075=10,$AJ2075=11,$AJ2075=74),"④一般",IF(OR($AJ2075=41,$AJ2075=47),"⑤短期","対象外"))))))</f>
        <v/>
      </c>
    </row>
    <row r="2076" customFormat="false" ht="15" hidden="false" customHeight="false" outlineLevel="0" collapsed="false">
      <c r="DB2076" s="0" t="str">
        <f aca="false">IF($A2076="","",IF($AE2076&amp;""&lt;&gt;設定!$C$4,"対象外",IF($AH2076=20,IF(OR($AJ2076=10,$AJ2076=11,$AJ2076=18),"①病院一般",IF($AJ2076=41,"②病院短期","対象外")),IF($AH2076=5,IF($AJ2076=30,"③特定消防","対象外"),IF(OR($AJ2076=10,$AJ2076=11,$AJ2076=74),"④一般",IF(OR($AJ2076=41,$AJ2076=47),"⑤短期","対象外"))))))</f>
        <v/>
      </c>
    </row>
    <row r="2077" customFormat="false" ht="15" hidden="false" customHeight="false" outlineLevel="0" collapsed="false">
      <c r="DB2077" s="0" t="str">
        <f aca="false">IF($A2077="","",IF($AE2077&amp;""&lt;&gt;設定!$C$4,"対象外",IF($AH2077=20,IF(OR($AJ2077=10,$AJ2077=11,$AJ2077=18),"①病院一般",IF($AJ2077=41,"②病院短期","対象外")),IF($AH2077=5,IF($AJ2077=30,"③特定消防","対象外"),IF(OR($AJ2077=10,$AJ2077=11,$AJ2077=74),"④一般",IF(OR($AJ2077=41,$AJ2077=47),"⑤短期","対象外"))))))</f>
        <v/>
      </c>
    </row>
    <row r="2078" customFormat="false" ht="15" hidden="false" customHeight="false" outlineLevel="0" collapsed="false">
      <c r="DB2078" s="0" t="str">
        <f aca="false">IF($A2078="","",IF($AE2078&amp;""&lt;&gt;設定!$C$4,"対象外",IF($AH2078=20,IF(OR($AJ2078=10,$AJ2078=11,$AJ2078=18),"①病院一般",IF($AJ2078=41,"②病院短期","対象外")),IF($AH2078=5,IF($AJ2078=30,"③特定消防","対象外"),IF(OR($AJ2078=10,$AJ2078=11,$AJ2078=74),"④一般",IF(OR($AJ2078=41,$AJ2078=47),"⑤短期","対象外"))))))</f>
        <v/>
      </c>
    </row>
    <row r="2079" customFormat="false" ht="15" hidden="false" customHeight="false" outlineLevel="0" collapsed="false">
      <c r="DB2079" s="0" t="str">
        <f aca="false">IF($A2079="","",IF($AE2079&amp;""&lt;&gt;設定!$C$4,"対象外",IF($AH2079=20,IF(OR($AJ2079=10,$AJ2079=11,$AJ2079=18),"①病院一般",IF($AJ2079=41,"②病院短期","対象外")),IF($AH2079=5,IF($AJ2079=30,"③特定消防","対象外"),IF(OR($AJ2079=10,$AJ2079=11,$AJ2079=74),"④一般",IF(OR($AJ2079=41,$AJ2079=47),"⑤短期","対象外"))))))</f>
        <v/>
      </c>
    </row>
    <row r="2080" customFormat="false" ht="15" hidden="false" customHeight="false" outlineLevel="0" collapsed="false">
      <c r="DB2080" s="0" t="str">
        <f aca="false">IF($A2080="","",IF($AE2080&amp;""&lt;&gt;設定!$C$4,"対象外",IF($AH2080=20,IF(OR($AJ2080=10,$AJ2080=11,$AJ2080=18),"①病院一般",IF($AJ2080=41,"②病院短期","対象外")),IF($AH2080=5,IF($AJ2080=30,"③特定消防","対象外"),IF(OR($AJ2080=10,$AJ2080=11,$AJ2080=74),"④一般",IF(OR($AJ2080=41,$AJ2080=47),"⑤短期","対象外"))))))</f>
        <v/>
      </c>
    </row>
    <row r="2081" customFormat="false" ht="15" hidden="false" customHeight="false" outlineLevel="0" collapsed="false">
      <c r="DB2081" s="0" t="str">
        <f aca="false">IF($A2081="","",IF($AE2081&amp;""&lt;&gt;設定!$C$4,"対象外",IF($AH2081=20,IF(OR($AJ2081=10,$AJ2081=11,$AJ2081=18),"①病院一般",IF($AJ2081=41,"②病院短期","対象外")),IF($AH2081=5,IF($AJ2081=30,"③特定消防","対象外"),IF(OR($AJ2081=10,$AJ2081=11,$AJ2081=74),"④一般",IF(OR($AJ2081=41,$AJ2081=47),"⑤短期","対象外"))))))</f>
        <v/>
      </c>
    </row>
    <row r="2082" customFormat="false" ht="15" hidden="false" customHeight="false" outlineLevel="0" collapsed="false">
      <c r="DB2082" s="0" t="str">
        <f aca="false">IF($A2082="","",IF($AE2082&amp;""&lt;&gt;設定!$C$4,"対象外",IF($AH2082=20,IF(OR($AJ2082=10,$AJ2082=11,$AJ2082=18),"①病院一般",IF($AJ2082=41,"②病院短期","対象外")),IF($AH2082=5,IF($AJ2082=30,"③特定消防","対象外"),IF(OR($AJ2082=10,$AJ2082=11,$AJ2082=74),"④一般",IF(OR($AJ2082=41,$AJ2082=47),"⑤短期","対象外"))))))</f>
        <v/>
      </c>
    </row>
    <row r="2083" customFormat="false" ht="15" hidden="false" customHeight="false" outlineLevel="0" collapsed="false">
      <c r="DB2083" s="0" t="str">
        <f aca="false">IF($A2083="","",IF($AE2083&amp;""&lt;&gt;設定!$C$4,"対象外",IF($AH2083=20,IF(OR($AJ2083=10,$AJ2083=11,$AJ2083=18),"①病院一般",IF($AJ2083=41,"②病院短期","対象外")),IF($AH2083=5,IF($AJ2083=30,"③特定消防","対象外"),IF(OR($AJ2083=10,$AJ2083=11,$AJ2083=74),"④一般",IF(OR($AJ2083=41,$AJ2083=47),"⑤短期","対象外"))))))</f>
        <v/>
      </c>
    </row>
    <row r="2084" customFormat="false" ht="15" hidden="false" customHeight="false" outlineLevel="0" collapsed="false">
      <c r="DB2084" s="0" t="str">
        <f aca="false">IF($A2084="","",IF($AE2084&amp;""&lt;&gt;設定!$C$4,"対象外",IF($AH2084=20,IF(OR($AJ2084=10,$AJ2084=11,$AJ2084=18),"①病院一般",IF($AJ2084=41,"②病院短期","対象外")),IF($AH2084=5,IF($AJ2084=30,"③特定消防","対象外"),IF(OR($AJ2084=10,$AJ2084=11,$AJ2084=74),"④一般",IF(OR($AJ2084=41,$AJ2084=47),"⑤短期","対象外"))))))</f>
        <v/>
      </c>
    </row>
    <row r="2085" customFormat="false" ht="15" hidden="false" customHeight="false" outlineLevel="0" collapsed="false">
      <c r="DB2085" s="0" t="str">
        <f aca="false">IF($A2085="","",IF($AE2085&amp;""&lt;&gt;設定!$C$4,"対象外",IF($AH2085=20,IF(OR($AJ2085=10,$AJ2085=11,$AJ2085=18),"①病院一般",IF($AJ2085=41,"②病院短期","対象外")),IF($AH2085=5,IF($AJ2085=30,"③特定消防","対象外"),IF(OR($AJ2085=10,$AJ2085=11,$AJ2085=74),"④一般",IF(OR($AJ2085=41,$AJ2085=47),"⑤短期","対象外"))))))</f>
        <v/>
      </c>
    </row>
    <row r="2086" customFormat="false" ht="15" hidden="false" customHeight="false" outlineLevel="0" collapsed="false">
      <c r="DB2086" s="0" t="str">
        <f aca="false">IF($A2086="","",IF($AE2086&amp;""&lt;&gt;設定!$C$4,"対象外",IF($AH2086=20,IF(OR($AJ2086=10,$AJ2086=11,$AJ2086=18),"①病院一般",IF($AJ2086=41,"②病院短期","対象外")),IF($AH2086=5,IF($AJ2086=30,"③特定消防","対象外"),IF(OR($AJ2086=10,$AJ2086=11,$AJ2086=74),"④一般",IF(OR($AJ2086=41,$AJ2086=47),"⑤短期","対象外"))))))</f>
        <v/>
      </c>
    </row>
    <row r="2087" customFormat="false" ht="15" hidden="false" customHeight="false" outlineLevel="0" collapsed="false">
      <c r="DB2087" s="0" t="str">
        <f aca="false">IF($A2087="","",IF($AE2087&amp;""&lt;&gt;設定!$C$4,"対象外",IF($AH2087=20,IF(OR($AJ2087=10,$AJ2087=11,$AJ2087=18),"①病院一般",IF($AJ2087=41,"②病院短期","対象外")),IF($AH2087=5,IF($AJ2087=30,"③特定消防","対象外"),IF(OR($AJ2087=10,$AJ2087=11,$AJ2087=74),"④一般",IF(OR($AJ2087=41,$AJ2087=47),"⑤短期","対象外"))))))</f>
        <v/>
      </c>
    </row>
    <row r="2088" customFormat="false" ht="15" hidden="false" customHeight="false" outlineLevel="0" collapsed="false">
      <c r="DB2088" s="0" t="str">
        <f aca="false">IF($A2088="","",IF($AE2088&amp;""&lt;&gt;設定!$C$4,"対象外",IF($AH2088=20,IF(OR($AJ2088=10,$AJ2088=11,$AJ2088=18),"①病院一般",IF($AJ2088=41,"②病院短期","対象外")),IF($AH2088=5,IF($AJ2088=30,"③特定消防","対象外"),IF(OR($AJ2088=10,$AJ2088=11,$AJ2088=74),"④一般",IF(OR($AJ2088=41,$AJ2088=47),"⑤短期","対象外"))))))</f>
        <v/>
      </c>
    </row>
    <row r="2089" customFormat="false" ht="15" hidden="false" customHeight="false" outlineLevel="0" collapsed="false">
      <c r="DB2089" s="0" t="str">
        <f aca="false">IF($A2089="","",IF($AE2089&amp;""&lt;&gt;設定!$C$4,"対象外",IF($AH2089=20,IF(OR($AJ2089=10,$AJ2089=11,$AJ2089=18),"①病院一般",IF($AJ2089=41,"②病院短期","対象外")),IF($AH2089=5,IF($AJ2089=30,"③特定消防","対象外"),IF(OR($AJ2089=10,$AJ2089=11,$AJ2089=74),"④一般",IF(OR($AJ2089=41,$AJ2089=47),"⑤短期","対象外"))))))</f>
        <v/>
      </c>
    </row>
    <row r="2090" customFormat="false" ht="15" hidden="false" customHeight="false" outlineLevel="0" collapsed="false">
      <c r="DB2090" s="0" t="str">
        <f aca="false">IF($A2090="","",IF($AE2090&amp;""&lt;&gt;設定!$C$4,"対象外",IF($AH2090=20,IF(OR($AJ2090=10,$AJ2090=11,$AJ2090=18),"①病院一般",IF($AJ2090=41,"②病院短期","対象外")),IF($AH2090=5,IF($AJ2090=30,"③特定消防","対象外"),IF(OR($AJ2090=10,$AJ2090=11,$AJ2090=74),"④一般",IF(OR($AJ2090=41,$AJ2090=47),"⑤短期","対象外"))))))</f>
        <v/>
      </c>
    </row>
    <row r="2091" customFormat="false" ht="15" hidden="false" customHeight="false" outlineLevel="0" collapsed="false">
      <c r="DB2091" s="0" t="str">
        <f aca="false">IF($A2091="","",IF($AE2091&amp;""&lt;&gt;設定!$C$4,"対象外",IF($AH2091=20,IF(OR($AJ2091=10,$AJ2091=11,$AJ2091=18),"①病院一般",IF($AJ2091=41,"②病院短期","対象外")),IF($AH2091=5,IF($AJ2091=30,"③特定消防","対象外"),IF(OR($AJ2091=10,$AJ2091=11,$AJ2091=74),"④一般",IF(OR($AJ2091=41,$AJ2091=47),"⑤短期","対象外"))))))</f>
        <v/>
      </c>
    </row>
    <row r="2092" customFormat="false" ht="15" hidden="false" customHeight="false" outlineLevel="0" collapsed="false">
      <c r="DB2092" s="0" t="str">
        <f aca="false">IF($A2092="","",IF($AE2092&amp;""&lt;&gt;設定!$C$4,"対象外",IF($AH2092=20,IF(OR($AJ2092=10,$AJ2092=11,$AJ2092=18),"①病院一般",IF($AJ2092=41,"②病院短期","対象外")),IF($AH2092=5,IF($AJ2092=30,"③特定消防","対象外"),IF(OR($AJ2092=10,$AJ2092=11,$AJ2092=74),"④一般",IF(OR($AJ2092=41,$AJ2092=47),"⑤短期","対象外"))))))</f>
        <v/>
      </c>
    </row>
    <row r="2093" customFormat="false" ht="15" hidden="false" customHeight="false" outlineLevel="0" collapsed="false">
      <c r="DB2093" s="0" t="str">
        <f aca="false">IF($A2093="","",IF($AE2093&amp;""&lt;&gt;設定!$C$4,"対象外",IF($AH2093=20,IF(OR($AJ2093=10,$AJ2093=11,$AJ2093=18),"①病院一般",IF($AJ2093=41,"②病院短期","対象外")),IF($AH2093=5,IF($AJ2093=30,"③特定消防","対象外"),IF(OR($AJ2093=10,$AJ2093=11,$AJ2093=74),"④一般",IF(OR($AJ2093=41,$AJ2093=47),"⑤短期","対象外"))))))</f>
        <v/>
      </c>
    </row>
    <row r="2094" customFormat="false" ht="15" hidden="false" customHeight="false" outlineLevel="0" collapsed="false">
      <c r="DB2094" s="0" t="str">
        <f aca="false">IF($A2094="","",IF($AE2094&amp;""&lt;&gt;設定!$C$4,"対象外",IF($AH2094=20,IF(OR($AJ2094=10,$AJ2094=11,$AJ2094=18),"①病院一般",IF($AJ2094=41,"②病院短期","対象外")),IF($AH2094=5,IF($AJ2094=30,"③特定消防","対象外"),IF(OR($AJ2094=10,$AJ2094=11,$AJ2094=74),"④一般",IF(OR($AJ2094=41,$AJ2094=47),"⑤短期","対象外"))))))</f>
        <v/>
      </c>
    </row>
    <row r="2095" customFormat="false" ht="15" hidden="false" customHeight="false" outlineLevel="0" collapsed="false">
      <c r="DB2095" s="0" t="str">
        <f aca="false">IF($A2095="","",IF($AE2095&amp;""&lt;&gt;設定!$C$4,"対象外",IF($AH2095=20,IF(OR($AJ2095=10,$AJ2095=11,$AJ2095=18),"①病院一般",IF($AJ2095=41,"②病院短期","対象外")),IF($AH2095=5,IF($AJ2095=30,"③特定消防","対象外"),IF(OR($AJ2095=10,$AJ2095=11,$AJ2095=74),"④一般",IF(OR($AJ2095=41,$AJ2095=47),"⑤短期","対象外"))))))</f>
        <v/>
      </c>
    </row>
    <row r="2096" customFormat="false" ht="15" hidden="false" customHeight="false" outlineLevel="0" collapsed="false">
      <c r="DB2096" s="0" t="str">
        <f aca="false">IF($A2096="","",IF($AE2096&amp;""&lt;&gt;設定!$C$4,"対象外",IF($AH2096=20,IF(OR($AJ2096=10,$AJ2096=11,$AJ2096=18),"①病院一般",IF($AJ2096=41,"②病院短期","対象外")),IF($AH2096=5,IF($AJ2096=30,"③特定消防","対象外"),IF(OR($AJ2096=10,$AJ2096=11,$AJ2096=74),"④一般",IF(OR($AJ2096=41,$AJ2096=47),"⑤短期","対象外"))))))</f>
        <v/>
      </c>
    </row>
    <row r="2097" customFormat="false" ht="15" hidden="false" customHeight="false" outlineLevel="0" collapsed="false">
      <c r="DB2097" s="0" t="str">
        <f aca="false">IF($A2097="","",IF($AE2097&amp;""&lt;&gt;設定!$C$4,"対象外",IF($AH2097=20,IF(OR($AJ2097=10,$AJ2097=11,$AJ2097=18),"①病院一般",IF($AJ2097=41,"②病院短期","対象外")),IF($AH2097=5,IF($AJ2097=30,"③特定消防","対象外"),IF(OR($AJ2097=10,$AJ2097=11,$AJ2097=74),"④一般",IF(OR($AJ2097=41,$AJ2097=47),"⑤短期","対象外"))))))</f>
        <v/>
      </c>
    </row>
    <row r="2098" customFormat="false" ht="15" hidden="false" customHeight="false" outlineLevel="0" collapsed="false">
      <c r="DB2098" s="0" t="str">
        <f aca="false">IF($A2098="","",IF($AE2098&amp;""&lt;&gt;設定!$C$4,"対象外",IF($AH2098=20,IF(OR($AJ2098=10,$AJ2098=11,$AJ2098=18),"①病院一般",IF($AJ2098=41,"②病院短期","対象外")),IF($AH2098=5,IF($AJ2098=30,"③特定消防","対象外"),IF(OR($AJ2098=10,$AJ2098=11,$AJ2098=74),"④一般",IF(OR($AJ2098=41,$AJ2098=47),"⑤短期","対象外"))))))</f>
        <v/>
      </c>
    </row>
    <row r="2099" customFormat="false" ht="15" hidden="false" customHeight="false" outlineLevel="0" collapsed="false">
      <c r="DB2099" s="0" t="str">
        <f aca="false">IF($A2099="","",IF($AE2099&amp;""&lt;&gt;設定!$C$4,"対象外",IF($AH2099=20,IF(OR($AJ2099=10,$AJ2099=11,$AJ2099=18),"①病院一般",IF($AJ2099=41,"②病院短期","対象外")),IF($AH2099=5,IF($AJ2099=30,"③特定消防","対象外"),IF(OR($AJ2099=10,$AJ2099=11,$AJ2099=74),"④一般",IF(OR($AJ2099=41,$AJ2099=47),"⑤短期","対象外"))))))</f>
        <v/>
      </c>
    </row>
    <row r="2100" customFormat="false" ht="15" hidden="false" customHeight="false" outlineLevel="0" collapsed="false">
      <c r="DB2100" s="0" t="str">
        <f aca="false">IF($A2100="","",IF($AE2100&amp;""&lt;&gt;設定!$C$4,"対象外",IF($AH2100=20,IF(OR($AJ2100=10,$AJ2100=11,$AJ2100=18),"①病院一般",IF($AJ2100=41,"②病院短期","対象外")),IF($AH2100=5,IF($AJ2100=30,"③特定消防","対象外"),IF(OR($AJ2100=10,$AJ2100=11,$AJ2100=74),"④一般",IF(OR($AJ2100=41,$AJ2100=47),"⑤短期","対象外"))))))</f>
        <v/>
      </c>
    </row>
    <row r="2101" customFormat="false" ht="15" hidden="false" customHeight="false" outlineLevel="0" collapsed="false">
      <c r="DB2101" s="0" t="str">
        <f aca="false">IF($A2101="","",IF($AE2101&amp;""&lt;&gt;設定!$C$4,"対象外",IF($AH2101=20,IF(OR($AJ2101=10,$AJ2101=11,$AJ2101=18),"①病院一般",IF($AJ2101=41,"②病院短期","対象外")),IF($AH2101=5,IF($AJ2101=30,"③特定消防","対象外"),IF(OR($AJ2101=10,$AJ2101=11,$AJ2101=74),"④一般",IF(OR($AJ2101=41,$AJ2101=47),"⑤短期","対象外"))))))</f>
        <v/>
      </c>
    </row>
    <row r="2102" customFormat="false" ht="15" hidden="false" customHeight="false" outlineLevel="0" collapsed="false">
      <c r="DB2102" s="0" t="str">
        <f aca="false">IF($A2102="","",IF($AE2102&amp;""&lt;&gt;設定!$C$4,"対象外",IF($AH2102=20,IF(OR($AJ2102=10,$AJ2102=11,$AJ2102=18),"①病院一般",IF($AJ2102=41,"②病院短期","対象外")),IF($AH2102=5,IF($AJ2102=30,"③特定消防","対象外"),IF(OR($AJ2102=10,$AJ2102=11,$AJ2102=74),"④一般",IF(OR($AJ2102=41,$AJ2102=47),"⑤短期","対象外"))))))</f>
        <v/>
      </c>
    </row>
    <row r="2103" customFormat="false" ht="15" hidden="false" customHeight="false" outlineLevel="0" collapsed="false">
      <c r="DB2103" s="0" t="str">
        <f aca="false">IF($A2103="","",IF($AE2103&amp;""&lt;&gt;設定!$C$4,"対象外",IF($AH2103=20,IF(OR($AJ2103=10,$AJ2103=11,$AJ2103=18),"①病院一般",IF($AJ2103=41,"②病院短期","対象外")),IF($AH2103=5,IF($AJ2103=30,"③特定消防","対象外"),IF(OR($AJ2103=10,$AJ2103=11,$AJ2103=74),"④一般",IF(OR($AJ2103=41,$AJ2103=47),"⑤短期","対象外"))))))</f>
        <v/>
      </c>
    </row>
    <row r="2104" customFormat="false" ht="15" hidden="false" customHeight="false" outlineLevel="0" collapsed="false">
      <c r="DB2104" s="0" t="str">
        <f aca="false">IF($A2104="","",IF($AE2104&amp;""&lt;&gt;設定!$C$4,"対象外",IF($AH2104=20,IF(OR($AJ2104=10,$AJ2104=11,$AJ2104=18),"①病院一般",IF($AJ2104=41,"②病院短期","対象外")),IF($AH2104=5,IF($AJ2104=30,"③特定消防","対象外"),IF(OR($AJ2104=10,$AJ2104=11,$AJ2104=74),"④一般",IF(OR($AJ2104=41,$AJ2104=47),"⑤短期","対象外"))))))</f>
        <v/>
      </c>
    </row>
    <row r="2105" customFormat="false" ht="15" hidden="false" customHeight="false" outlineLevel="0" collapsed="false">
      <c r="DB2105" s="0" t="str">
        <f aca="false">IF($A2105="","",IF($AE2105&amp;""&lt;&gt;設定!$C$4,"対象外",IF($AH2105=20,IF(OR($AJ2105=10,$AJ2105=11,$AJ2105=18),"①病院一般",IF($AJ2105=41,"②病院短期","対象外")),IF($AH2105=5,IF($AJ2105=30,"③特定消防","対象外"),IF(OR($AJ2105=10,$AJ2105=11,$AJ2105=74),"④一般",IF(OR($AJ2105=41,$AJ2105=47),"⑤短期","対象外"))))))</f>
        <v/>
      </c>
    </row>
    <row r="2106" customFormat="false" ht="15" hidden="false" customHeight="false" outlineLevel="0" collapsed="false">
      <c r="DB2106" s="0" t="str">
        <f aca="false">IF($A2106="","",IF($AE2106&amp;""&lt;&gt;設定!$C$4,"対象外",IF($AH2106=20,IF(OR($AJ2106=10,$AJ2106=11,$AJ2106=18),"①病院一般",IF($AJ2106=41,"②病院短期","対象外")),IF($AH2106=5,IF($AJ2106=30,"③特定消防","対象外"),IF(OR($AJ2106=10,$AJ2106=11,$AJ2106=74),"④一般",IF(OR($AJ2106=41,$AJ2106=47),"⑤短期","対象外"))))))</f>
        <v/>
      </c>
    </row>
    <row r="2107" customFormat="false" ht="15" hidden="false" customHeight="false" outlineLevel="0" collapsed="false">
      <c r="DB2107" s="0" t="str">
        <f aca="false">IF($A2107="","",IF($AE2107&amp;""&lt;&gt;設定!$C$4,"対象外",IF($AH2107=20,IF(OR($AJ2107=10,$AJ2107=11,$AJ2107=18),"①病院一般",IF($AJ2107=41,"②病院短期","対象外")),IF($AH2107=5,IF($AJ2107=30,"③特定消防","対象外"),IF(OR($AJ2107=10,$AJ2107=11,$AJ2107=74),"④一般",IF(OR($AJ2107=41,$AJ2107=47),"⑤短期","対象外"))))))</f>
        <v/>
      </c>
    </row>
    <row r="2108" customFormat="false" ht="15" hidden="false" customHeight="false" outlineLevel="0" collapsed="false">
      <c r="DB2108" s="0" t="str">
        <f aca="false">IF($A2108="","",IF($AE2108&amp;""&lt;&gt;設定!$C$4,"対象外",IF($AH2108=20,IF(OR($AJ2108=10,$AJ2108=11,$AJ2108=18),"①病院一般",IF($AJ2108=41,"②病院短期","対象外")),IF($AH2108=5,IF($AJ2108=30,"③特定消防","対象外"),IF(OR($AJ2108=10,$AJ2108=11,$AJ2108=74),"④一般",IF(OR($AJ2108=41,$AJ2108=47),"⑤短期","対象外"))))))</f>
        <v/>
      </c>
    </row>
    <row r="2109" customFormat="false" ht="15" hidden="false" customHeight="false" outlineLevel="0" collapsed="false">
      <c r="DB2109" s="0" t="str">
        <f aca="false">IF($A2109="","",IF($AE2109&amp;""&lt;&gt;設定!$C$4,"対象外",IF($AH2109=20,IF(OR($AJ2109=10,$AJ2109=11,$AJ2109=18),"①病院一般",IF($AJ2109=41,"②病院短期","対象外")),IF($AH2109=5,IF($AJ2109=30,"③特定消防","対象外"),IF(OR($AJ2109=10,$AJ2109=11,$AJ2109=74),"④一般",IF(OR($AJ2109=41,$AJ2109=47),"⑤短期","対象外"))))))</f>
        <v/>
      </c>
    </row>
    <row r="2110" customFormat="false" ht="15" hidden="false" customHeight="false" outlineLevel="0" collapsed="false">
      <c r="DB2110" s="0" t="str">
        <f aca="false">IF($A2110="","",IF($AE2110&amp;""&lt;&gt;設定!$C$4,"対象外",IF($AH2110=20,IF(OR($AJ2110=10,$AJ2110=11,$AJ2110=18),"①病院一般",IF($AJ2110=41,"②病院短期","対象外")),IF($AH2110=5,IF($AJ2110=30,"③特定消防","対象外"),IF(OR($AJ2110=10,$AJ2110=11,$AJ2110=74),"④一般",IF(OR($AJ2110=41,$AJ2110=47),"⑤短期","対象外"))))))</f>
        <v/>
      </c>
    </row>
    <row r="2111" customFormat="false" ht="15" hidden="false" customHeight="false" outlineLevel="0" collapsed="false">
      <c r="DB2111" s="0" t="str">
        <f aca="false">IF($A2111="","",IF($AE2111&amp;""&lt;&gt;設定!$C$4,"対象外",IF($AH2111=20,IF(OR($AJ2111=10,$AJ2111=11,$AJ2111=18),"①病院一般",IF($AJ2111=41,"②病院短期","対象外")),IF($AH2111=5,IF($AJ2111=30,"③特定消防","対象外"),IF(OR($AJ2111=10,$AJ2111=11,$AJ2111=74),"④一般",IF(OR($AJ2111=41,$AJ2111=47),"⑤短期","対象外"))))))</f>
        <v/>
      </c>
    </row>
    <row r="2112" customFormat="false" ht="15" hidden="false" customHeight="false" outlineLevel="0" collapsed="false">
      <c r="DB2112" s="0" t="str">
        <f aca="false">IF($A2112="","",IF($AE2112&amp;""&lt;&gt;設定!$C$4,"対象外",IF($AH2112=20,IF(OR($AJ2112=10,$AJ2112=11,$AJ2112=18),"①病院一般",IF($AJ2112=41,"②病院短期","対象外")),IF($AH2112=5,IF($AJ2112=30,"③特定消防","対象外"),IF(OR($AJ2112=10,$AJ2112=11,$AJ2112=74),"④一般",IF(OR($AJ2112=41,$AJ2112=47),"⑤短期","対象外"))))))</f>
        <v/>
      </c>
    </row>
    <row r="2113" customFormat="false" ht="15" hidden="false" customHeight="false" outlineLevel="0" collapsed="false">
      <c r="DB2113" s="0" t="str">
        <f aca="false">IF($A2113="","",IF($AE2113&amp;""&lt;&gt;設定!$C$4,"対象外",IF($AH2113=20,IF(OR($AJ2113=10,$AJ2113=11,$AJ2113=18),"①病院一般",IF($AJ2113=41,"②病院短期","対象外")),IF($AH2113=5,IF($AJ2113=30,"③特定消防","対象外"),IF(OR($AJ2113=10,$AJ2113=11,$AJ2113=74),"④一般",IF(OR($AJ2113=41,$AJ2113=47),"⑤短期","対象外"))))))</f>
        <v/>
      </c>
    </row>
    <row r="2114" customFormat="false" ht="15" hidden="false" customHeight="false" outlineLevel="0" collapsed="false">
      <c r="DB2114" s="0" t="str">
        <f aca="false">IF($A2114="","",IF($AE2114&amp;""&lt;&gt;設定!$C$4,"対象外",IF($AH2114=20,IF(OR($AJ2114=10,$AJ2114=11,$AJ2114=18),"①病院一般",IF($AJ2114=41,"②病院短期","対象外")),IF($AH2114=5,IF($AJ2114=30,"③特定消防","対象外"),IF(OR($AJ2114=10,$AJ2114=11,$AJ2114=74),"④一般",IF(OR($AJ2114=41,$AJ2114=47),"⑤短期","対象外"))))))</f>
        <v/>
      </c>
    </row>
    <row r="2115" customFormat="false" ht="15" hidden="false" customHeight="false" outlineLevel="0" collapsed="false">
      <c r="DB2115" s="0" t="str">
        <f aca="false">IF($A2115="","",IF($AE2115&amp;""&lt;&gt;設定!$C$4,"対象外",IF($AH2115=20,IF(OR($AJ2115=10,$AJ2115=11,$AJ2115=18),"①病院一般",IF($AJ2115=41,"②病院短期","対象外")),IF($AH2115=5,IF($AJ2115=30,"③特定消防","対象外"),IF(OR($AJ2115=10,$AJ2115=11,$AJ2115=74),"④一般",IF(OR($AJ2115=41,$AJ2115=47),"⑤短期","対象外"))))))</f>
        <v/>
      </c>
    </row>
    <row r="2116" customFormat="false" ht="15" hidden="false" customHeight="false" outlineLevel="0" collapsed="false">
      <c r="DB2116" s="0" t="str">
        <f aca="false">IF($A2116="","",IF($AE2116&amp;""&lt;&gt;設定!$C$4,"対象外",IF($AH2116=20,IF(OR($AJ2116=10,$AJ2116=11,$AJ2116=18),"①病院一般",IF($AJ2116=41,"②病院短期","対象外")),IF($AH2116=5,IF($AJ2116=30,"③特定消防","対象外"),IF(OR($AJ2116=10,$AJ2116=11,$AJ2116=74),"④一般",IF(OR($AJ2116=41,$AJ2116=47),"⑤短期","対象外"))))))</f>
        <v/>
      </c>
    </row>
    <row r="2117" customFormat="false" ht="15" hidden="false" customHeight="false" outlineLevel="0" collapsed="false">
      <c r="DB2117" s="0" t="str">
        <f aca="false">IF($A2117="","",IF($AE2117&amp;""&lt;&gt;設定!$C$4,"対象外",IF($AH2117=20,IF(OR($AJ2117=10,$AJ2117=11,$AJ2117=18),"①病院一般",IF($AJ2117=41,"②病院短期","対象外")),IF($AH2117=5,IF($AJ2117=30,"③特定消防","対象外"),IF(OR($AJ2117=10,$AJ2117=11,$AJ2117=74),"④一般",IF(OR($AJ2117=41,$AJ2117=47),"⑤短期","対象外"))))))</f>
        <v/>
      </c>
    </row>
    <row r="2118" customFormat="false" ht="15" hidden="false" customHeight="false" outlineLevel="0" collapsed="false">
      <c r="DB2118" s="0" t="str">
        <f aca="false">IF($A2118="","",IF($AE2118&amp;""&lt;&gt;設定!$C$4,"対象外",IF($AH2118=20,IF(OR($AJ2118=10,$AJ2118=11,$AJ2118=18),"①病院一般",IF($AJ2118=41,"②病院短期","対象外")),IF($AH2118=5,IF($AJ2118=30,"③特定消防","対象外"),IF(OR($AJ2118=10,$AJ2118=11,$AJ2118=74),"④一般",IF(OR($AJ2118=41,$AJ2118=47),"⑤短期","対象外"))))))</f>
        <v/>
      </c>
    </row>
    <row r="2119" customFormat="false" ht="15" hidden="false" customHeight="false" outlineLevel="0" collapsed="false">
      <c r="DB2119" s="0" t="str">
        <f aca="false">IF($A2119="","",IF($AE2119&amp;""&lt;&gt;設定!$C$4,"対象外",IF($AH2119=20,IF(OR($AJ2119=10,$AJ2119=11,$AJ2119=18),"①病院一般",IF($AJ2119=41,"②病院短期","対象外")),IF($AH2119=5,IF($AJ2119=30,"③特定消防","対象外"),IF(OR($AJ2119=10,$AJ2119=11,$AJ2119=74),"④一般",IF(OR($AJ2119=41,$AJ2119=47),"⑤短期","対象外"))))))</f>
        <v/>
      </c>
    </row>
    <row r="2120" customFormat="false" ht="15" hidden="false" customHeight="false" outlineLevel="0" collapsed="false">
      <c r="DB2120" s="0" t="str">
        <f aca="false">IF($A2120="","",IF($AE2120&amp;""&lt;&gt;設定!$C$4,"対象外",IF($AH2120=20,IF(OR($AJ2120=10,$AJ2120=11,$AJ2120=18),"①病院一般",IF($AJ2120=41,"②病院短期","対象外")),IF($AH2120=5,IF($AJ2120=30,"③特定消防","対象外"),IF(OR($AJ2120=10,$AJ2120=11,$AJ2120=74),"④一般",IF(OR($AJ2120=41,$AJ2120=47),"⑤短期","対象外"))))))</f>
        <v/>
      </c>
    </row>
    <row r="2121" customFormat="false" ht="15" hidden="false" customHeight="false" outlineLevel="0" collapsed="false">
      <c r="DB2121" s="0" t="str">
        <f aca="false">IF($A2121="","",IF($AE2121&amp;""&lt;&gt;設定!$C$4,"対象外",IF($AH2121=20,IF(OR($AJ2121=10,$AJ2121=11,$AJ2121=18),"①病院一般",IF($AJ2121=41,"②病院短期","対象外")),IF($AH2121=5,IF($AJ2121=30,"③特定消防","対象外"),IF(OR($AJ2121=10,$AJ2121=11,$AJ2121=74),"④一般",IF(OR($AJ2121=41,$AJ2121=47),"⑤短期","対象外"))))))</f>
        <v/>
      </c>
    </row>
    <row r="2122" customFormat="false" ht="15" hidden="false" customHeight="false" outlineLevel="0" collapsed="false">
      <c r="DB2122" s="0" t="str">
        <f aca="false">IF($A2122="","",IF($AE2122&amp;""&lt;&gt;設定!$C$4,"対象外",IF($AH2122=20,IF(OR($AJ2122=10,$AJ2122=11,$AJ2122=18),"①病院一般",IF($AJ2122=41,"②病院短期","対象外")),IF($AH2122=5,IF($AJ2122=30,"③特定消防","対象外"),IF(OR($AJ2122=10,$AJ2122=11,$AJ2122=74),"④一般",IF(OR($AJ2122=41,$AJ2122=47),"⑤短期","対象外"))))))</f>
        <v/>
      </c>
    </row>
    <row r="2123" customFormat="false" ht="15" hidden="false" customHeight="false" outlineLevel="0" collapsed="false">
      <c r="DB2123" s="0" t="str">
        <f aca="false">IF($A2123="","",IF($AE2123&amp;""&lt;&gt;設定!$C$4,"対象外",IF($AH2123=20,IF(OR($AJ2123=10,$AJ2123=11,$AJ2123=18),"①病院一般",IF($AJ2123=41,"②病院短期","対象外")),IF($AH2123=5,IF($AJ2123=30,"③特定消防","対象外"),IF(OR($AJ2123=10,$AJ2123=11,$AJ2123=74),"④一般",IF(OR($AJ2123=41,$AJ2123=47),"⑤短期","対象外"))))))</f>
        <v/>
      </c>
    </row>
    <row r="2124" customFormat="false" ht="15" hidden="false" customHeight="false" outlineLevel="0" collapsed="false">
      <c r="DB2124" s="0" t="str">
        <f aca="false">IF($A2124="","",IF($AE2124&amp;""&lt;&gt;設定!$C$4,"対象外",IF($AH2124=20,IF(OR($AJ2124=10,$AJ2124=11,$AJ2124=18),"①病院一般",IF($AJ2124=41,"②病院短期","対象外")),IF($AH2124=5,IF($AJ2124=30,"③特定消防","対象外"),IF(OR($AJ2124=10,$AJ2124=11,$AJ2124=74),"④一般",IF(OR($AJ2124=41,$AJ2124=47),"⑤短期","対象外"))))))</f>
        <v/>
      </c>
    </row>
    <row r="2125" customFormat="false" ht="15" hidden="false" customHeight="false" outlineLevel="0" collapsed="false">
      <c r="DB2125" s="0" t="str">
        <f aca="false">IF($A2125="","",IF($AE2125&amp;""&lt;&gt;設定!$C$4,"対象外",IF($AH2125=20,IF(OR($AJ2125=10,$AJ2125=11,$AJ2125=18),"①病院一般",IF($AJ2125=41,"②病院短期","対象外")),IF($AH2125=5,IF($AJ2125=30,"③特定消防","対象外"),IF(OR($AJ2125=10,$AJ2125=11,$AJ2125=74),"④一般",IF(OR($AJ2125=41,$AJ2125=47),"⑤短期","対象外"))))))</f>
        <v/>
      </c>
    </row>
    <row r="2126" customFormat="false" ht="15" hidden="false" customHeight="false" outlineLevel="0" collapsed="false">
      <c r="DB2126" s="0" t="str">
        <f aca="false">IF($A2126="","",IF($AE2126&amp;""&lt;&gt;設定!$C$4,"対象外",IF($AH2126=20,IF(OR($AJ2126=10,$AJ2126=11,$AJ2126=18),"①病院一般",IF($AJ2126=41,"②病院短期","対象外")),IF($AH2126=5,IF($AJ2126=30,"③特定消防","対象外"),IF(OR($AJ2126=10,$AJ2126=11,$AJ2126=74),"④一般",IF(OR($AJ2126=41,$AJ2126=47),"⑤短期","対象外"))))))</f>
        <v/>
      </c>
    </row>
    <row r="2127" customFormat="false" ht="15" hidden="false" customHeight="false" outlineLevel="0" collapsed="false">
      <c r="DB2127" s="0" t="str">
        <f aca="false">IF($A2127="","",IF($AE2127&amp;""&lt;&gt;設定!$C$4,"対象外",IF($AH2127=20,IF(OR($AJ2127=10,$AJ2127=11,$AJ2127=18),"①病院一般",IF($AJ2127=41,"②病院短期","対象外")),IF($AH2127=5,IF($AJ2127=30,"③特定消防","対象外"),IF(OR($AJ2127=10,$AJ2127=11,$AJ2127=74),"④一般",IF(OR($AJ2127=41,$AJ2127=47),"⑤短期","対象外"))))))</f>
        <v/>
      </c>
    </row>
    <row r="2128" customFormat="false" ht="15" hidden="false" customHeight="false" outlineLevel="0" collapsed="false">
      <c r="DB2128" s="0" t="str">
        <f aca="false">IF($A2128="","",IF($AE2128&amp;""&lt;&gt;設定!$C$4,"対象外",IF($AH2128=20,IF(OR($AJ2128=10,$AJ2128=11,$AJ2128=18),"①病院一般",IF($AJ2128=41,"②病院短期","対象外")),IF($AH2128=5,IF($AJ2128=30,"③特定消防","対象外"),IF(OR($AJ2128=10,$AJ2128=11,$AJ2128=74),"④一般",IF(OR($AJ2128=41,$AJ2128=47),"⑤短期","対象外"))))))</f>
        <v/>
      </c>
    </row>
    <row r="2129" customFormat="false" ht="15" hidden="false" customHeight="false" outlineLevel="0" collapsed="false">
      <c r="DB2129" s="0" t="str">
        <f aca="false">IF($A2129="","",IF($AE2129&amp;""&lt;&gt;設定!$C$4,"対象外",IF($AH2129=20,IF(OR($AJ2129=10,$AJ2129=11,$AJ2129=18),"①病院一般",IF($AJ2129=41,"②病院短期","対象外")),IF($AH2129=5,IF($AJ2129=30,"③特定消防","対象外"),IF(OR($AJ2129=10,$AJ2129=11,$AJ2129=74),"④一般",IF(OR($AJ2129=41,$AJ2129=47),"⑤短期","対象外"))))))</f>
        <v/>
      </c>
    </row>
    <row r="2130" customFormat="false" ht="15" hidden="false" customHeight="false" outlineLevel="0" collapsed="false">
      <c r="DB2130" s="0" t="str">
        <f aca="false">IF($A2130="","",IF($AE2130&amp;""&lt;&gt;設定!$C$4,"対象外",IF($AH2130=20,IF(OR($AJ2130=10,$AJ2130=11,$AJ2130=18),"①病院一般",IF($AJ2130=41,"②病院短期","対象外")),IF($AH2130=5,IF($AJ2130=30,"③特定消防","対象外"),IF(OR($AJ2130=10,$AJ2130=11,$AJ2130=74),"④一般",IF(OR($AJ2130=41,$AJ2130=47),"⑤短期","対象外"))))))</f>
        <v/>
      </c>
    </row>
    <row r="2131" customFormat="false" ht="15" hidden="false" customHeight="false" outlineLevel="0" collapsed="false">
      <c r="DB2131" s="0" t="str">
        <f aca="false">IF($A2131="","",IF($AE2131&amp;""&lt;&gt;設定!$C$4,"対象外",IF($AH2131=20,IF(OR($AJ2131=10,$AJ2131=11,$AJ2131=18),"①病院一般",IF($AJ2131=41,"②病院短期","対象外")),IF($AH2131=5,IF($AJ2131=30,"③特定消防","対象外"),IF(OR($AJ2131=10,$AJ2131=11,$AJ2131=74),"④一般",IF(OR($AJ2131=41,$AJ2131=47),"⑤短期","対象外"))))))</f>
        <v/>
      </c>
    </row>
    <row r="2132" customFormat="false" ht="15" hidden="false" customHeight="false" outlineLevel="0" collapsed="false">
      <c r="DB2132" s="0" t="str">
        <f aca="false">IF($A2132="","",IF($AE2132&amp;""&lt;&gt;設定!$C$4,"対象外",IF($AH2132=20,IF(OR($AJ2132=10,$AJ2132=11,$AJ2132=18),"①病院一般",IF($AJ2132=41,"②病院短期","対象外")),IF($AH2132=5,IF($AJ2132=30,"③特定消防","対象外"),IF(OR($AJ2132=10,$AJ2132=11,$AJ2132=74),"④一般",IF(OR($AJ2132=41,$AJ2132=47),"⑤短期","対象外"))))))</f>
        <v/>
      </c>
    </row>
    <row r="2133" customFormat="false" ht="15" hidden="false" customHeight="false" outlineLevel="0" collapsed="false">
      <c r="DB2133" s="0" t="str">
        <f aca="false">IF($A2133="","",IF($AE2133&amp;""&lt;&gt;設定!$C$4,"対象外",IF($AH2133=20,IF(OR($AJ2133=10,$AJ2133=11,$AJ2133=18),"①病院一般",IF($AJ2133=41,"②病院短期","対象外")),IF($AH2133=5,IF($AJ2133=30,"③特定消防","対象外"),IF(OR($AJ2133=10,$AJ2133=11,$AJ2133=74),"④一般",IF(OR($AJ2133=41,$AJ2133=47),"⑤短期","対象外"))))))</f>
        <v/>
      </c>
    </row>
    <row r="2134" customFormat="false" ht="15" hidden="false" customHeight="false" outlineLevel="0" collapsed="false">
      <c r="DB2134" s="0" t="str">
        <f aca="false">IF($A2134="","",IF($AE2134&amp;""&lt;&gt;設定!$C$4,"対象外",IF($AH2134=20,IF(OR($AJ2134=10,$AJ2134=11,$AJ2134=18),"①病院一般",IF($AJ2134=41,"②病院短期","対象外")),IF($AH2134=5,IF($AJ2134=30,"③特定消防","対象外"),IF(OR($AJ2134=10,$AJ2134=11,$AJ2134=74),"④一般",IF(OR($AJ2134=41,$AJ2134=47),"⑤短期","対象外"))))))</f>
        <v/>
      </c>
    </row>
    <row r="2135" customFormat="false" ht="15" hidden="false" customHeight="false" outlineLevel="0" collapsed="false">
      <c r="DB2135" s="0" t="str">
        <f aca="false">IF($A2135="","",IF($AE2135&amp;""&lt;&gt;設定!$C$4,"対象外",IF($AH2135=20,IF(OR($AJ2135=10,$AJ2135=11,$AJ2135=18),"①病院一般",IF($AJ2135=41,"②病院短期","対象外")),IF($AH2135=5,IF($AJ2135=30,"③特定消防","対象外"),IF(OR($AJ2135=10,$AJ2135=11,$AJ2135=74),"④一般",IF(OR($AJ2135=41,$AJ2135=47),"⑤短期","対象外"))))))</f>
        <v/>
      </c>
    </row>
    <row r="2136" customFormat="false" ht="15" hidden="false" customHeight="false" outlineLevel="0" collapsed="false">
      <c r="DB2136" s="0" t="str">
        <f aca="false">IF($A2136="","",IF($AE2136&amp;""&lt;&gt;設定!$C$4,"対象外",IF($AH2136=20,IF(OR($AJ2136=10,$AJ2136=11,$AJ2136=18),"①病院一般",IF($AJ2136=41,"②病院短期","対象外")),IF($AH2136=5,IF($AJ2136=30,"③特定消防","対象外"),IF(OR($AJ2136=10,$AJ2136=11,$AJ2136=74),"④一般",IF(OR($AJ2136=41,$AJ2136=47),"⑤短期","対象外"))))))</f>
        <v/>
      </c>
    </row>
    <row r="2137" customFormat="false" ht="15" hidden="false" customHeight="false" outlineLevel="0" collapsed="false">
      <c r="DB2137" s="0" t="str">
        <f aca="false">IF($A2137="","",IF($AE2137&amp;""&lt;&gt;設定!$C$4,"対象外",IF($AH2137=20,IF(OR($AJ2137=10,$AJ2137=11,$AJ2137=18),"①病院一般",IF($AJ2137=41,"②病院短期","対象外")),IF($AH2137=5,IF($AJ2137=30,"③特定消防","対象外"),IF(OR($AJ2137=10,$AJ2137=11,$AJ2137=74),"④一般",IF(OR($AJ2137=41,$AJ2137=47),"⑤短期","対象外"))))))</f>
        <v/>
      </c>
    </row>
    <row r="2138" customFormat="false" ht="15" hidden="false" customHeight="false" outlineLevel="0" collapsed="false">
      <c r="DB2138" s="0" t="str">
        <f aca="false">IF($A2138="","",IF($AE2138&amp;""&lt;&gt;設定!$C$4,"対象外",IF($AH2138=20,IF(OR($AJ2138=10,$AJ2138=11,$AJ2138=18),"①病院一般",IF($AJ2138=41,"②病院短期","対象外")),IF($AH2138=5,IF($AJ2138=30,"③特定消防","対象外"),IF(OR($AJ2138=10,$AJ2138=11,$AJ2138=74),"④一般",IF(OR($AJ2138=41,$AJ2138=47),"⑤短期","対象外"))))))</f>
        <v/>
      </c>
    </row>
    <row r="2139" customFormat="false" ht="15" hidden="false" customHeight="false" outlineLevel="0" collapsed="false">
      <c r="DB2139" s="0" t="str">
        <f aca="false">IF($A2139="","",IF($AE2139&amp;""&lt;&gt;設定!$C$4,"対象外",IF($AH2139=20,IF(OR($AJ2139=10,$AJ2139=11,$AJ2139=18),"①病院一般",IF($AJ2139=41,"②病院短期","対象外")),IF($AH2139=5,IF($AJ2139=30,"③特定消防","対象外"),IF(OR($AJ2139=10,$AJ2139=11,$AJ2139=74),"④一般",IF(OR($AJ2139=41,$AJ2139=47),"⑤短期","対象外"))))))</f>
        <v/>
      </c>
    </row>
    <row r="2140" customFormat="false" ht="15" hidden="false" customHeight="false" outlineLevel="0" collapsed="false">
      <c r="DB2140" s="0" t="str">
        <f aca="false">IF($A2140="","",IF($AE2140&amp;""&lt;&gt;設定!$C$4,"対象外",IF($AH2140=20,IF(OR($AJ2140=10,$AJ2140=11,$AJ2140=18),"①病院一般",IF($AJ2140=41,"②病院短期","対象外")),IF($AH2140=5,IF($AJ2140=30,"③特定消防","対象外"),IF(OR($AJ2140=10,$AJ2140=11,$AJ2140=74),"④一般",IF(OR($AJ2140=41,$AJ2140=47),"⑤短期","対象外"))))))</f>
        <v/>
      </c>
    </row>
    <row r="2141" customFormat="false" ht="15" hidden="false" customHeight="false" outlineLevel="0" collapsed="false">
      <c r="DB2141" s="0" t="str">
        <f aca="false">IF($A2141="","",IF($AE2141&amp;""&lt;&gt;設定!$C$4,"対象外",IF($AH2141=20,IF(OR($AJ2141=10,$AJ2141=11,$AJ2141=18),"①病院一般",IF($AJ2141=41,"②病院短期","対象外")),IF($AH2141=5,IF($AJ2141=30,"③特定消防","対象外"),IF(OR($AJ2141=10,$AJ2141=11,$AJ2141=74),"④一般",IF(OR($AJ2141=41,$AJ2141=47),"⑤短期","対象外"))))))</f>
        <v/>
      </c>
    </row>
    <row r="2142" customFormat="false" ht="15" hidden="false" customHeight="false" outlineLevel="0" collapsed="false">
      <c r="DB2142" s="0" t="str">
        <f aca="false">IF($A2142="","",IF($AE2142&amp;""&lt;&gt;設定!$C$4,"対象外",IF($AH2142=20,IF(OR($AJ2142=10,$AJ2142=11,$AJ2142=18),"①病院一般",IF($AJ2142=41,"②病院短期","対象外")),IF($AH2142=5,IF($AJ2142=30,"③特定消防","対象外"),IF(OR($AJ2142=10,$AJ2142=11,$AJ2142=74),"④一般",IF(OR($AJ2142=41,$AJ2142=47),"⑤短期","対象外"))))))</f>
        <v/>
      </c>
    </row>
    <row r="2143" customFormat="false" ht="15" hidden="false" customHeight="false" outlineLevel="0" collapsed="false">
      <c r="DB2143" s="0" t="str">
        <f aca="false">IF($A2143="","",IF($AE2143&amp;""&lt;&gt;設定!$C$4,"対象外",IF($AH2143=20,IF(OR($AJ2143=10,$AJ2143=11,$AJ2143=18),"①病院一般",IF($AJ2143=41,"②病院短期","対象外")),IF($AH2143=5,IF($AJ2143=30,"③特定消防","対象外"),IF(OR($AJ2143=10,$AJ2143=11,$AJ2143=74),"④一般",IF(OR($AJ2143=41,$AJ2143=47),"⑤短期","対象外"))))))</f>
        <v/>
      </c>
    </row>
    <row r="2144" customFormat="false" ht="15" hidden="false" customHeight="false" outlineLevel="0" collapsed="false">
      <c r="DB2144" s="0" t="str">
        <f aca="false">IF($A2144="","",IF($AE2144&amp;""&lt;&gt;設定!$C$4,"対象外",IF($AH2144=20,IF(OR($AJ2144=10,$AJ2144=11,$AJ2144=18),"①病院一般",IF($AJ2144=41,"②病院短期","対象外")),IF($AH2144=5,IF($AJ2144=30,"③特定消防","対象外"),IF(OR($AJ2144=10,$AJ2144=11,$AJ2144=74),"④一般",IF(OR($AJ2144=41,$AJ2144=47),"⑤短期","対象外"))))))</f>
        <v/>
      </c>
    </row>
    <row r="2145" customFormat="false" ht="15" hidden="false" customHeight="false" outlineLevel="0" collapsed="false">
      <c r="DB2145" s="0" t="str">
        <f aca="false">IF($A2145="","",IF($AE2145&amp;""&lt;&gt;設定!$C$4,"対象外",IF($AH2145=20,IF(OR($AJ2145=10,$AJ2145=11,$AJ2145=18),"①病院一般",IF($AJ2145=41,"②病院短期","対象外")),IF($AH2145=5,IF($AJ2145=30,"③特定消防","対象外"),IF(OR($AJ2145=10,$AJ2145=11,$AJ2145=74),"④一般",IF(OR($AJ2145=41,$AJ2145=47),"⑤短期","対象外"))))))</f>
        <v/>
      </c>
    </row>
    <row r="2146" customFormat="false" ht="15" hidden="false" customHeight="false" outlineLevel="0" collapsed="false">
      <c r="DB2146" s="0" t="str">
        <f aca="false">IF($A2146="","",IF($AE2146&amp;""&lt;&gt;設定!$C$4,"対象外",IF($AH2146=20,IF(OR($AJ2146=10,$AJ2146=11,$AJ2146=18),"①病院一般",IF($AJ2146=41,"②病院短期","対象外")),IF($AH2146=5,IF($AJ2146=30,"③特定消防","対象外"),IF(OR($AJ2146=10,$AJ2146=11,$AJ2146=74),"④一般",IF(OR($AJ2146=41,$AJ2146=47),"⑤短期","対象外"))))))</f>
        <v/>
      </c>
    </row>
    <row r="2147" customFormat="false" ht="15" hidden="false" customHeight="false" outlineLevel="0" collapsed="false">
      <c r="DB2147" s="0" t="str">
        <f aca="false">IF($A2147="","",IF($AE2147&amp;""&lt;&gt;設定!$C$4,"対象外",IF($AH2147=20,IF(OR($AJ2147=10,$AJ2147=11,$AJ2147=18),"①病院一般",IF($AJ2147=41,"②病院短期","対象外")),IF($AH2147=5,IF($AJ2147=30,"③特定消防","対象外"),IF(OR($AJ2147=10,$AJ2147=11,$AJ2147=74),"④一般",IF(OR($AJ2147=41,$AJ2147=47),"⑤短期","対象外"))))))</f>
        <v/>
      </c>
    </row>
    <row r="2148" customFormat="false" ht="15" hidden="false" customHeight="false" outlineLevel="0" collapsed="false">
      <c r="DB2148" s="0" t="str">
        <f aca="false">IF($A2148="","",IF($AE2148&amp;""&lt;&gt;設定!$C$4,"対象外",IF($AH2148=20,IF(OR($AJ2148=10,$AJ2148=11,$AJ2148=18),"①病院一般",IF($AJ2148=41,"②病院短期","対象外")),IF($AH2148=5,IF($AJ2148=30,"③特定消防","対象外"),IF(OR($AJ2148=10,$AJ2148=11,$AJ2148=74),"④一般",IF(OR($AJ2148=41,$AJ2148=47),"⑤短期","対象外"))))))</f>
        <v/>
      </c>
    </row>
    <row r="2149" customFormat="false" ht="15" hidden="false" customHeight="false" outlineLevel="0" collapsed="false">
      <c r="DB2149" s="0" t="str">
        <f aca="false">IF($A2149="","",IF($AE2149&amp;""&lt;&gt;設定!$C$4,"対象外",IF($AH2149=20,IF(OR($AJ2149=10,$AJ2149=11,$AJ2149=18),"①病院一般",IF($AJ2149=41,"②病院短期","対象外")),IF($AH2149=5,IF($AJ2149=30,"③特定消防","対象外"),IF(OR($AJ2149=10,$AJ2149=11,$AJ2149=74),"④一般",IF(OR($AJ2149=41,$AJ2149=47),"⑤短期","対象外"))))))</f>
        <v/>
      </c>
    </row>
    <row r="2150" customFormat="false" ht="15" hidden="false" customHeight="false" outlineLevel="0" collapsed="false">
      <c r="DB2150" s="0" t="str">
        <f aca="false">IF($A2150="","",IF($AE2150&amp;""&lt;&gt;設定!$C$4,"対象外",IF($AH2150=20,IF(OR($AJ2150=10,$AJ2150=11,$AJ2150=18),"①病院一般",IF($AJ2150=41,"②病院短期","対象外")),IF($AH2150=5,IF($AJ2150=30,"③特定消防","対象外"),IF(OR($AJ2150=10,$AJ2150=11,$AJ2150=74),"④一般",IF(OR($AJ2150=41,$AJ2150=47),"⑤短期","対象外"))))))</f>
        <v/>
      </c>
    </row>
    <row r="2151" customFormat="false" ht="15" hidden="false" customHeight="false" outlineLevel="0" collapsed="false">
      <c r="DB2151" s="0" t="str">
        <f aca="false">IF($A2151="","",IF($AE2151&amp;""&lt;&gt;設定!$C$4,"対象外",IF($AH2151=20,IF(OR($AJ2151=10,$AJ2151=11,$AJ2151=18),"①病院一般",IF($AJ2151=41,"②病院短期","対象外")),IF($AH2151=5,IF($AJ2151=30,"③特定消防","対象外"),IF(OR($AJ2151=10,$AJ2151=11,$AJ2151=74),"④一般",IF(OR($AJ2151=41,$AJ2151=47),"⑤短期","対象外"))))))</f>
        <v/>
      </c>
    </row>
    <row r="2152" customFormat="false" ht="15" hidden="false" customHeight="false" outlineLevel="0" collapsed="false">
      <c r="DB2152" s="0" t="str">
        <f aca="false">IF($A2152="","",IF($AE2152&amp;""&lt;&gt;設定!$C$4,"対象外",IF($AH2152=20,IF(OR($AJ2152=10,$AJ2152=11,$AJ2152=18),"①病院一般",IF($AJ2152=41,"②病院短期","対象外")),IF($AH2152=5,IF($AJ2152=30,"③特定消防","対象外"),IF(OR($AJ2152=10,$AJ2152=11,$AJ2152=74),"④一般",IF(OR($AJ2152=41,$AJ2152=47),"⑤短期","対象外"))))))</f>
        <v/>
      </c>
    </row>
    <row r="2153" customFormat="false" ht="15" hidden="false" customHeight="false" outlineLevel="0" collapsed="false">
      <c r="DB2153" s="0" t="str">
        <f aca="false">IF($A2153="","",IF($AE2153&amp;""&lt;&gt;設定!$C$4,"対象外",IF($AH2153=20,IF(OR($AJ2153=10,$AJ2153=11,$AJ2153=18),"①病院一般",IF($AJ2153=41,"②病院短期","対象外")),IF($AH2153=5,IF($AJ2153=30,"③特定消防","対象外"),IF(OR($AJ2153=10,$AJ2153=11,$AJ2153=74),"④一般",IF(OR($AJ2153=41,$AJ2153=47),"⑤短期","対象外"))))))</f>
        <v/>
      </c>
    </row>
    <row r="2154" customFormat="false" ht="15" hidden="false" customHeight="false" outlineLevel="0" collapsed="false">
      <c r="DB2154" s="0" t="str">
        <f aca="false">IF($A2154="","",IF($AE2154&amp;""&lt;&gt;設定!$C$4,"対象外",IF($AH2154=20,IF(OR($AJ2154=10,$AJ2154=11,$AJ2154=18),"①病院一般",IF($AJ2154=41,"②病院短期","対象外")),IF($AH2154=5,IF($AJ2154=30,"③特定消防","対象外"),IF(OR($AJ2154=10,$AJ2154=11,$AJ2154=74),"④一般",IF(OR($AJ2154=41,$AJ2154=47),"⑤短期","対象外"))))))</f>
        <v/>
      </c>
    </row>
    <row r="2155" customFormat="false" ht="15" hidden="false" customHeight="false" outlineLevel="0" collapsed="false">
      <c r="DB2155" s="0" t="str">
        <f aca="false">IF($A2155="","",IF($AE2155&amp;""&lt;&gt;設定!$C$4,"対象外",IF($AH2155=20,IF(OR($AJ2155=10,$AJ2155=11,$AJ2155=18),"①病院一般",IF($AJ2155=41,"②病院短期","対象外")),IF($AH2155=5,IF($AJ2155=30,"③特定消防","対象外"),IF(OR($AJ2155=10,$AJ2155=11,$AJ2155=74),"④一般",IF(OR($AJ2155=41,$AJ2155=47),"⑤短期","対象外"))))))</f>
        <v/>
      </c>
    </row>
    <row r="2156" customFormat="false" ht="15" hidden="false" customHeight="false" outlineLevel="0" collapsed="false">
      <c r="DB2156" s="0" t="str">
        <f aca="false">IF($A2156="","",IF($AE2156&amp;""&lt;&gt;設定!$C$4,"対象外",IF($AH2156=20,IF(OR($AJ2156=10,$AJ2156=11,$AJ2156=18),"①病院一般",IF($AJ2156=41,"②病院短期","対象外")),IF($AH2156=5,IF($AJ2156=30,"③特定消防","対象外"),IF(OR($AJ2156=10,$AJ2156=11,$AJ2156=74),"④一般",IF(OR($AJ2156=41,$AJ2156=47),"⑤短期","対象外"))))))</f>
        <v/>
      </c>
    </row>
    <row r="2157" customFormat="false" ht="15" hidden="false" customHeight="false" outlineLevel="0" collapsed="false">
      <c r="DB2157" s="0" t="str">
        <f aca="false">IF($A2157="","",IF($AE2157&amp;""&lt;&gt;設定!$C$4,"対象外",IF($AH2157=20,IF(OR($AJ2157=10,$AJ2157=11,$AJ2157=18),"①病院一般",IF($AJ2157=41,"②病院短期","対象外")),IF($AH2157=5,IF($AJ2157=30,"③特定消防","対象外"),IF(OR($AJ2157=10,$AJ2157=11,$AJ2157=74),"④一般",IF(OR($AJ2157=41,$AJ2157=47),"⑤短期","対象外"))))))</f>
        <v/>
      </c>
    </row>
    <row r="2158" customFormat="false" ht="15" hidden="false" customHeight="false" outlineLevel="0" collapsed="false">
      <c r="DB2158" s="0" t="str">
        <f aca="false">IF($A2158="","",IF($AE2158&amp;""&lt;&gt;設定!$C$4,"対象外",IF($AH2158=20,IF(OR($AJ2158=10,$AJ2158=11,$AJ2158=18),"①病院一般",IF($AJ2158=41,"②病院短期","対象外")),IF($AH2158=5,IF($AJ2158=30,"③特定消防","対象外"),IF(OR($AJ2158=10,$AJ2158=11,$AJ2158=74),"④一般",IF(OR($AJ2158=41,$AJ2158=47),"⑤短期","対象外"))))))</f>
        <v/>
      </c>
    </row>
    <row r="2159" customFormat="false" ht="15" hidden="false" customHeight="false" outlineLevel="0" collapsed="false">
      <c r="DB2159" s="0" t="str">
        <f aca="false">IF($A2159="","",IF($AE2159&amp;""&lt;&gt;設定!$C$4,"対象外",IF($AH2159=20,IF(OR($AJ2159=10,$AJ2159=11,$AJ2159=18),"①病院一般",IF($AJ2159=41,"②病院短期","対象外")),IF($AH2159=5,IF($AJ2159=30,"③特定消防","対象外"),IF(OR($AJ2159=10,$AJ2159=11,$AJ2159=74),"④一般",IF(OR($AJ2159=41,$AJ2159=47),"⑤短期","対象外"))))))</f>
        <v/>
      </c>
    </row>
    <row r="2160" customFormat="false" ht="15" hidden="false" customHeight="false" outlineLevel="0" collapsed="false">
      <c r="DB2160" s="0" t="str">
        <f aca="false">IF($A2160="","",IF($AE2160&amp;""&lt;&gt;設定!$C$4,"対象外",IF($AH2160=20,IF(OR($AJ2160=10,$AJ2160=11,$AJ2160=18),"①病院一般",IF($AJ2160=41,"②病院短期","対象外")),IF($AH2160=5,IF($AJ2160=30,"③特定消防","対象外"),IF(OR($AJ2160=10,$AJ2160=11,$AJ2160=74),"④一般",IF(OR($AJ2160=41,$AJ2160=47),"⑤短期","対象外"))))))</f>
        <v/>
      </c>
    </row>
    <row r="2161" customFormat="false" ht="15" hidden="false" customHeight="false" outlineLevel="0" collapsed="false">
      <c r="DB2161" s="0" t="str">
        <f aca="false">IF($A2161="","",IF($AE2161&amp;""&lt;&gt;設定!$C$4,"対象外",IF($AH2161=20,IF(OR($AJ2161=10,$AJ2161=11,$AJ2161=18),"①病院一般",IF($AJ2161=41,"②病院短期","対象外")),IF($AH2161=5,IF($AJ2161=30,"③特定消防","対象外"),IF(OR($AJ2161=10,$AJ2161=11,$AJ2161=74),"④一般",IF(OR($AJ2161=41,$AJ2161=47),"⑤短期","対象外"))))))</f>
        <v/>
      </c>
    </row>
    <row r="2162" customFormat="false" ht="15" hidden="false" customHeight="false" outlineLevel="0" collapsed="false">
      <c r="DB2162" s="0" t="str">
        <f aca="false">IF($A2162="","",IF($AE2162&amp;""&lt;&gt;設定!$C$4,"対象外",IF($AH2162=20,IF(OR($AJ2162=10,$AJ2162=11,$AJ2162=18),"①病院一般",IF($AJ2162=41,"②病院短期","対象外")),IF($AH2162=5,IF($AJ2162=30,"③特定消防","対象外"),IF(OR($AJ2162=10,$AJ2162=11,$AJ2162=74),"④一般",IF(OR($AJ2162=41,$AJ2162=47),"⑤短期","対象外"))))))</f>
        <v/>
      </c>
    </row>
    <row r="2163" customFormat="false" ht="15" hidden="false" customHeight="false" outlineLevel="0" collapsed="false">
      <c r="DB2163" s="0" t="str">
        <f aca="false">IF($A2163="","",IF($AE2163&amp;""&lt;&gt;設定!$C$4,"対象外",IF($AH2163=20,IF(OR($AJ2163=10,$AJ2163=11,$AJ2163=18),"①病院一般",IF($AJ2163=41,"②病院短期","対象外")),IF($AH2163=5,IF($AJ2163=30,"③特定消防","対象外"),IF(OR($AJ2163=10,$AJ2163=11,$AJ2163=74),"④一般",IF(OR($AJ2163=41,$AJ2163=47),"⑤短期","対象外"))))))</f>
        <v/>
      </c>
    </row>
    <row r="2164" customFormat="false" ht="15" hidden="false" customHeight="false" outlineLevel="0" collapsed="false">
      <c r="DB2164" s="0" t="str">
        <f aca="false">IF($A2164="","",IF($AE2164&amp;""&lt;&gt;設定!$C$4,"対象外",IF($AH2164=20,IF(OR($AJ2164=10,$AJ2164=11,$AJ2164=18),"①病院一般",IF($AJ2164=41,"②病院短期","対象外")),IF($AH2164=5,IF($AJ2164=30,"③特定消防","対象外"),IF(OR($AJ2164=10,$AJ2164=11,$AJ2164=74),"④一般",IF(OR($AJ2164=41,$AJ2164=47),"⑤短期","対象外"))))))</f>
        <v/>
      </c>
    </row>
    <row r="2165" customFormat="false" ht="15" hidden="false" customHeight="false" outlineLevel="0" collapsed="false">
      <c r="DB2165" s="0" t="str">
        <f aca="false">IF($A2165="","",IF($AE2165&amp;""&lt;&gt;設定!$C$4,"対象外",IF($AH2165=20,IF(OR($AJ2165=10,$AJ2165=11,$AJ2165=18),"①病院一般",IF($AJ2165=41,"②病院短期","対象外")),IF($AH2165=5,IF($AJ2165=30,"③特定消防","対象外"),IF(OR($AJ2165=10,$AJ2165=11,$AJ2165=74),"④一般",IF(OR($AJ2165=41,$AJ2165=47),"⑤短期","対象外"))))))</f>
        <v/>
      </c>
    </row>
    <row r="2166" customFormat="false" ht="15" hidden="false" customHeight="false" outlineLevel="0" collapsed="false">
      <c r="DB2166" s="0" t="str">
        <f aca="false">IF($A2166="","",IF($AE2166&amp;""&lt;&gt;設定!$C$4,"対象外",IF($AH2166=20,IF(OR($AJ2166=10,$AJ2166=11,$AJ2166=18),"①病院一般",IF($AJ2166=41,"②病院短期","対象外")),IF($AH2166=5,IF($AJ2166=30,"③特定消防","対象外"),IF(OR($AJ2166=10,$AJ2166=11,$AJ2166=74),"④一般",IF(OR($AJ2166=41,$AJ2166=47),"⑤短期","対象外"))))))</f>
        <v/>
      </c>
    </row>
    <row r="2167" customFormat="false" ht="15" hidden="false" customHeight="false" outlineLevel="0" collapsed="false">
      <c r="DB2167" s="0" t="str">
        <f aca="false">IF($A2167="","",IF($AE2167&amp;""&lt;&gt;設定!$C$4,"対象外",IF($AH2167=20,IF(OR($AJ2167=10,$AJ2167=11,$AJ2167=18),"①病院一般",IF($AJ2167=41,"②病院短期","対象外")),IF($AH2167=5,IF($AJ2167=30,"③特定消防","対象外"),IF(OR($AJ2167=10,$AJ2167=11,$AJ2167=74),"④一般",IF(OR($AJ2167=41,$AJ2167=47),"⑤短期","対象外"))))))</f>
        <v/>
      </c>
    </row>
    <row r="2168" customFormat="false" ht="15" hidden="false" customHeight="false" outlineLevel="0" collapsed="false">
      <c r="DB2168" s="0" t="str">
        <f aca="false">IF($A2168="","",IF($AE2168&amp;""&lt;&gt;設定!$C$4,"対象外",IF($AH2168=20,IF(OR($AJ2168=10,$AJ2168=11,$AJ2168=18),"①病院一般",IF($AJ2168=41,"②病院短期","対象外")),IF($AH2168=5,IF($AJ2168=30,"③特定消防","対象外"),IF(OR($AJ2168=10,$AJ2168=11,$AJ2168=74),"④一般",IF(OR($AJ2168=41,$AJ2168=47),"⑤短期","対象外"))))))</f>
        <v/>
      </c>
    </row>
    <row r="2169" customFormat="false" ht="15" hidden="false" customHeight="false" outlineLevel="0" collapsed="false">
      <c r="DB2169" s="0" t="str">
        <f aca="false">IF($A2169="","",IF($AE2169&amp;""&lt;&gt;設定!$C$4,"対象外",IF($AH2169=20,IF(OR($AJ2169=10,$AJ2169=11,$AJ2169=18),"①病院一般",IF($AJ2169=41,"②病院短期","対象外")),IF($AH2169=5,IF($AJ2169=30,"③特定消防","対象外"),IF(OR($AJ2169=10,$AJ2169=11,$AJ2169=74),"④一般",IF(OR($AJ2169=41,$AJ2169=47),"⑤短期","対象外"))))))</f>
        <v/>
      </c>
    </row>
    <row r="2170" customFormat="false" ht="15" hidden="false" customHeight="false" outlineLevel="0" collapsed="false">
      <c r="DB2170" s="0" t="str">
        <f aca="false">IF($A2170="","",IF($AE2170&amp;""&lt;&gt;設定!$C$4,"対象外",IF($AH2170=20,IF(OR($AJ2170=10,$AJ2170=11,$AJ2170=18),"①病院一般",IF($AJ2170=41,"②病院短期","対象外")),IF($AH2170=5,IF($AJ2170=30,"③特定消防","対象外"),IF(OR($AJ2170=10,$AJ2170=11,$AJ2170=74),"④一般",IF(OR($AJ2170=41,$AJ2170=47),"⑤短期","対象外"))))))</f>
        <v/>
      </c>
    </row>
    <row r="2171" customFormat="false" ht="15" hidden="false" customHeight="false" outlineLevel="0" collapsed="false">
      <c r="DB2171" s="0" t="str">
        <f aca="false">IF($A2171="","",IF($AE2171&amp;""&lt;&gt;設定!$C$4,"対象外",IF($AH2171=20,IF(OR($AJ2171=10,$AJ2171=11,$AJ2171=18),"①病院一般",IF($AJ2171=41,"②病院短期","対象外")),IF($AH2171=5,IF($AJ2171=30,"③特定消防","対象外"),IF(OR($AJ2171=10,$AJ2171=11,$AJ2171=74),"④一般",IF(OR($AJ2171=41,$AJ2171=47),"⑤短期","対象外"))))))</f>
        <v/>
      </c>
    </row>
    <row r="2172" customFormat="false" ht="15" hidden="false" customHeight="false" outlineLevel="0" collapsed="false">
      <c r="DB2172" s="0" t="str">
        <f aca="false">IF($A2172="","",IF($AE2172&amp;""&lt;&gt;設定!$C$4,"対象外",IF($AH2172=20,IF(OR($AJ2172=10,$AJ2172=11,$AJ2172=18),"①病院一般",IF($AJ2172=41,"②病院短期","対象外")),IF($AH2172=5,IF($AJ2172=30,"③特定消防","対象外"),IF(OR($AJ2172=10,$AJ2172=11,$AJ2172=74),"④一般",IF(OR($AJ2172=41,$AJ2172=47),"⑤短期","対象外"))))))</f>
        <v/>
      </c>
    </row>
    <row r="2173" customFormat="false" ht="15" hidden="false" customHeight="false" outlineLevel="0" collapsed="false">
      <c r="DB2173" s="0" t="str">
        <f aca="false">IF($A2173="","",IF($AE2173&amp;""&lt;&gt;設定!$C$4,"対象外",IF($AH2173=20,IF(OR($AJ2173=10,$AJ2173=11,$AJ2173=18),"①病院一般",IF($AJ2173=41,"②病院短期","対象外")),IF($AH2173=5,IF($AJ2173=30,"③特定消防","対象外"),IF(OR($AJ2173=10,$AJ2173=11,$AJ2173=74),"④一般",IF(OR($AJ2173=41,$AJ2173=47),"⑤短期","対象外"))))))</f>
        <v/>
      </c>
    </row>
    <row r="2174" customFormat="false" ht="15" hidden="false" customHeight="false" outlineLevel="0" collapsed="false">
      <c r="DB2174" s="0" t="str">
        <f aca="false">IF($A2174="","",IF($AE2174&amp;""&lt;&gt;設定!$C$4,"対象外",IF($AH2174=20,IF(OR($AJ2174=10,$AJ2174=11,$AJ2174=18),"①病院一般",IF($AJ2174=41,"②病院短期","対象外")),IF($AH2174=5,IF($AJ2174=30,"③特定消防","対象外"),IF(OR($AJ2174=10,$AJ2174=11,$AJ2174=74),"④一般",IF(OR($AJ2174=41,$AJ2174=47),"⑤短期","対象外"))))))</f>
        <v/>
      </c>
    </row>
    <row r="2175" customFormat="false" ht="15" hidden="false" customHeight="false" outlineLevel="0" collapsed="false">
      <c r="DB2175" s="0" t="str">
        <f aca="false">IF($A2175="","",IF($AE2175&amp;""&lt;&gt;設定!$C$4,"対象外",IF($AH2175=20,IF(OR($AJ2175=10,$AJ2175=11,$AJ2175=18),"①病院一般",IF($AJ2175=41,"②病院短期","対象外")),IF($AH2175=5,IF($AJ2175=30,"③特定消防","対象外"),IF(OR($AJ2175=10,$AJ2175=11,$AJ2175=74),"④一般",IF(OR($AJ2175=41,$AJ2175=47),"⑤短期","対象外"))))))</f>
        <v/>
      </c>
    </row>
    <row r="2176" customFormat="false" ht="15" hidden="false" customHeight="false" outlineLevel="0" collapsed="false">
      <c r="DB2176" s="0" t="str">
        <f aca="false">IF($A2176="","",IF($AE2176&amp;""&lt;&gt;設定!$C$4,"対象外",IF($AH2176=20,IF(OR($AJ2176=10,$AJ2176=11,$AJ2176=18),"①病院一般",IF($AJ2176=41,"②病院短期","対象外")),IF($AH2176=5,IF($AJ2176=30,"③特定消防","対象外"),IF(OR($AJ2176=10,$AJ2176=11,$AJ2176=74),"④一般",IF(OR($AJ2176=41,$AJ2176=47),"⑤短期","対象外"))))))</f>
        <v/>
      </c>
    </row>
    <row r="2177" customFormat="false" ht="15" hidden="false" customHeight="false" outlineLevel="0" collapsed="false">
      <c r="DB2177" s="0" t="str">
        <f aca="false">IF($A2177="","",IF($AE2177&amp;""&lt;&gt;設定!$C$4,"対象外",IF($AH2177=20,IF(OR($AJ2177=10,$AJ2177=11,$AJ2177=18),"①病院一般",IF($AJ2177=41,"②病院短期","対象外")),IF($AH2177=5,IF($AJ2177=30,"③特定消防","対象外"),IF(OR($AJ2177=10,$AJ2177=11,$AJ2177=74),"④一般",IF(OR($AJ2177=41,$AJ2177=47),"⑤短期","対象外"))))))</f>
        <v/>
      </c>
    </row>
    <row r="2178" customFormat="false" ht="15" hidden="false" customHeight="false" outlineLevel="0" collapsed="false">
      <c r="DB2178" s="0" t="str">
        <f aca="false">IF($A2178="","",IF($AE2178&amp;""&lt;&gt;設定!$C$4,"対象外",IF($AH2178=20,IF(OR($AJ2178=10,$AJ2178=11,$AJ2178=18),"①病院一般",IF($AJ2178=41,"②病院短期","対象外")),IF($AH2178=5,IF($AJ2178=30,"③特定消防","対象外"),IF(OR($AJ2178=10,$AJ2178=11,$AJ2178=74),"④一般",IF(OR($AJ2178=41,$AJ2178=47),"⑤短期","対象外"))))))</f>
        <v/>
      </c>
    </row>
    <row r="2179" customFormat="false" ht="15" hidden="false" customHeight="false" outlineLevel="0" collapsed="false">
      <c r="DB2179" s="0" t="str">
        <f aca="false">IF($A2179="","",IF($AE2179&amp;""&lt;&gt;設定!$C$4,"対象外",IF($AH2179=20,IF(OR($AJ2179=10,$AJ2179=11,$AJ2179=18),"①病院一般",IF($AJ2179=41,"②病院短期","対象外")),IF($AH2179=5,IF($AJ2179=30,"③特定消防","対象外"),IF(OR($AJ2179=10,$AJ2179=11,$AJ2179=74),"④一般",IF(OR($AJ2179=41,$AJ2179=47),"⑤短期","対象外"))))))</f>
        <v/>
      </c>
    </row>
    <row r="2180" customFormat="false" ht="15" hidden="false" customHeight="false" outlineLevel="0" collapsed="false">
      <c r="DB2180" s="0" t="str">
        <f aca="false">IF($A2180="","",IF($AE2180&amp;""&lt;&gt;設定!$C$4,"対象外",IF($AH2180=20,IF(OR($AJ2180=10,$AJ2180=11,$AJ2180=18),"①病院一般",IF($AJ2180=41,"②病院短期","対象外")),IF($AH2180=5,IF($AJ2180=30,"③特定消防","対象外"),IF(OR($AJ2180=10,$AJ2180=11,$AJ2180=74),"④一般",IF(OR($AJ2180=41,$AJ2180=47),"⑤短期","対象外"))))))</f>
        <v/>
      </c>
    </row>
    <row r="2181" customFormat="false" ht="15" hidden="false" customHeight="false" outlineLevel="0" collapsed="false">
      <c r="DB2181" s="0" t="str">
        <f aca="false">IF($A2181="","",IF($AE2181&amp;""&lt;&gt;設定!$C$4,"対象外",IF($AH2181=20,IF(OR($AJ2181=10,$AJ2181=11,$AJ2181=18),"①病院一般",IF($AJ2181=41,"②病院短期","対象外")),IF($AH2181=5,IF($AJ2181=30,"③特定消防","対象外"),IF(OR($AJ2181=10,$AJ2181=11,$AJ2181=74),"④一般",IF(OR($AJ2181=41,$AJ2181=47),"⑤短期","対象外"))))))</f>
        <v/>
      </c>
    </row>
    <row r="2182" customFormat="false" ht="15" hidden="false" customHeight="false" outlineLevel="0" collapsed="false">
      <c r="DB2182" s="0" t="str">
        <f aca="false">IF($A2182="","",IF($AE2182&amp;""&lt;&gt;設定!$C$4,"対象外",IF($AH2182=20,IF(OR($AJ2182=10,$AJ2182=11,$AJ2182=18),"①病院一般",IF($AJ2182=41,"②病院短期","対象外")),IF($AH2182=5,IF($AJ2182=30,"③特定消防","対象外"),IF(OR($AJ2182=10,$AJ2182=11,$AJ2182=74),"④一般",IF(OR($AJ2182=41,$AJ2182=47),"⑤短期","対象外"))))))</f>
        <v/>
      </c>
    </row>
    <row r="2183" customFormat="false" ht="15" hidden="false" customHeight="false" outlineLevel="0" collapsed="false">
      <c r="DB2183" s="0" t="str">
        <f aca="false">IF($A2183="","",IF($AE2183&amp;""&lt;&gt;設定!$C$4,"対象外",IF($AH2183=20,IF(OR($AJ2183=10,$AJ2183=11,$AJ2183=18),"①病院一般",IF($AJ2183=41,"②病院短期","対象外")),IF($AH2183=5,IF($AJ2183=30,"③特定消防","対象外"),IF(OR($AJ2183=10,$AJ2183=11,$AJ2183=74),"④一般",IF(OR($AJ2183=41,$AJ2183=47),"⑤短期","対象外"))))))</f>
        <v/>
      </c>
    </row>
    <row r="2184" customFormat="false" ht="15" hidden="false" customHeight="false" outlineLevel="0" collapsed="false">
      <c r="DB2184" s="0" t="str">
        <f aca="false">IF($A2184="","",IF($AE2184&amp;""&lt;&gt;設定!$C$4,"対象外",IF($AH2184=20,IF(OR($AJ2184=10,$AJ2184=11,$AJ2184=18),"①病院一般",IF($AJ2184=41,"②病院短期","対象外")),IF($AH2184=5,IF($AJ2184=30,"③特定消防","対象外"),IF(OR($AJ2184=10,$AJ2184=11,$AJ2184=74),"④一般",IF(OR($AJ2184=41,$AJ2184=47),"⑤短期","対象外"))))))</f>
        <v/>
      </c>
    </row>
    <row r="2185" customFormat="false" ht="15" hidden="false" customHeight="false" outlineLevel="0" collapsed="false">
      <c r="DB2185" s="0" t="str">
        <f aca="false">IF($A2185="","",IF($AE2185&amp;""&lt;&gt;設定!$C$4,"対象外",IF($AH2185=20,IF(OR($AJ2185=10,$AJ2185=11,$AJ2185=18),"①病院一般",IF($AJ2185=41,"②病院短期","対象外")),IF($AH2185=5,IF($AJ2185=30,"③特定消防","対象外"),IF(OR($AJ2185=10,$AJ2185=11,$AJ2185=74),"④一般",IF(OR($AJ2185=41,$AJ2185=47),"⑤短期","対象外"))))))</f>
        <v/>
      </c>
    </row>
    <row r="2186" customFormat="false" ht="15" hidden="false" customHeight="false" outlineLevel="0" collapsed="false">
      <c r="DB2186" s="0" t="str">
        <f aca="false">IF($A2186="","",IF($AE2186&amp;""&lt;&gt;設定!$C$4,"対象外",IF($AH2186=20,IF(OR($AJ2186=10,$AJ2186=11,$AJ2186=18),"①病院一般",IF($AJ2186=41,"②病院短期","対象外")),IF($AH2186=5,IF($AJ2186=30,"③特定消防","対象外"),IF(OR($AJ2186=10,$AJ2186=11,$AJ2186=74),"④一般",IF(OR($AJ2186=41,$AJ2186=47),"⑤短期","対象外"))))))</f>
        <v/>
      </c>
    </row>
    <row r="2187" customFormat="false" ht="15" hidden="false" customHeight="false" outlineLevel="0" collapsed="false">
      <c r="DB2187" s="0" t="str">
        <f aca="false">IF($A2187="","",IF($AE2187&amp;""&lt;&gt;設定!$C$4,"対象外",IF($AH2187=20,IF(OR($AJ2187=10,$AJ2187=11,$AJ2187=18),"①病院一般",IF($AJ2187=41,"②病院短期","対象外")),IF($AH2187=5,IF($AJ2187=30,"③特定消防","対象外"),IF(OR($AJ2187=10,$AJ2187=11,$AJ2187=74),"④一般",IF(OR($AJ2187=41,$AJ2187=47),"⑤短期","対象外"))))))</f>
        <v/>
      </c>
    </row>
    <row r="2188" customFormat="false" ht="15" hidden="false" customHeight="false" outlineLevel="0" collapsed="false">
      <c r="DB2188" s="0" t="str">
        <f aca="false">IF($A2188="","",IF($AE2188&amp;""&lt;&gt;設定!$C$4,"対象外",IF($AH2188=20,IF(OR($AJ2188=10,$AJ2188=11,$AJ2188=18),"①病院一般",IF($AJ2188=41,"②病院短期","対象外")),IF($AH2188=5,IF($AJ2188=30,"③特定消防","対象外"),IF(OR($AJ2188=10,$AJ2188=11,$AJ2188=74),"④一般",IF(OR($AJ2188=41,$AJ2188=47),"⑤短期","対象外"))))))</f>
        <v/>
      </c>
    </row>
    <row r="2189" customFormat="false" ht="15" hidden="false" customHeight="false" outlineLevel="0" collapsed="false">
      <c r="DB2189" s="0" t="str">
        <f aca="false">IF($A2189="","",IF($AE2189&amp;""&lt;&gt;設定!$C$4,"対象外",IF($AH2189=20,IF(OR($AJ2189=10,$AJ2189=11,$AJ2189=18),"①病院一般",IF($AJ2189=41,"②病院短期","対象外")),IF($AH2189=5,IF($AJ2189=30,"③特定消防","対象外"),IF(OR($AJ2189=10,$AJ2189=11,$AJ2189=74),"④一般",IF(OR($AJ2189=41,$AJ2189=47),"⑤短期","対象外"))))))</f>
        <v/>
      </c>
    </row>
    <row r="2190" customFormat="false" ht="15" hidden="false" customHeight="false" outlineLevel="0" collapsed="false">
      <c r="DB2190" s="0" t="str">
        <f aca="false">IF($A2190="","",IF($AE2190&amp;""&lt;&gt;設定!$C$4,"対象外",IF($AH2190=20,IF(OR($AJ2190=10,$AJ2190=11,$AJ2190=18),"①病院一般",IF($AJ2190=41,"②病院短期","対象外")),IF($AH2190=5,IF($AJ2190=30,"③特定消防","対象外"),IF(OR($AJ2190=10,$AJ2190=11,$AJ2190=74),"④一般",IF(OR($AJ2190=41,$AJ2190=47),"⑤短期","対象外"))))))</f>
        <v/>
      </c>
    </row>
    <row r="2191" customFormat="false" ht="15" hidden="false" customHeight="false" outlineLevel="0" collapsed="false">
      <c r="DB2191" s="0" t="str">
        <f aca="false">IF($A2191="","",IF($AE2191&amp;""&lt;&gt;設定!$C$4,"対象外",IF($AH2191=20,IF(OR($AJ2191=10,$AJ2191=11,$AJ2191=18),"①病院一般",IF($AJ2191=41,"②病院短期","対象外")),IF($AH2191=5,IF($AJ2191=30,"③特定消防","対象外"),IF(OR($AJ2191=10,$AJ2191=11,$AJ2191=74),"④一般",IF(OR($AJ2191=41,$AJ2191=47),"⑤短期","対象外"))))))</f>
        <v/>
      </c>
    </row>
    <row r="2192" customFormat="false" ht="15" hidden="false" customHeight="false" outlineLevel="0" collapsed="false">
      <c r="DB2192" s="0" t="str">
        <f aca="false">IF($A2192="","",IF($AE2192&amp;""&lt;&gt;設定!$C$4,"対象外",IF($AH2192=20,IF(OR($AJ2192=10,$AJ2192=11,$AJ2192=18),"①病院一般",IF($AJ2192=41,"②病院短期","対象外")),IF($AH2192=5,IF($AJ2192=30,"③特定消防","対象外"),IF(OR($AJ2192=10,$AJ2192=11,$AJ2192=74),"④一般",IF(OR($AJ2192=41,$AJ2192=47),"⑤短期","対象外"))))))</f>
        <v/>
      </c>
    </row>
    <row r="2193" customFormat="false" ht="15" hidden="false" customHeight="false" outlineLevel="0" collapsed="false">
      <c r="DB2193" s="0" t="str">
        <f aca="false">IF($A2193="","",IF($AE2193&amp;""&lt;&gt;設定!$C$4,"対象外",IF($AH2193=20,IF(OR($AJ2193=10,$AJ2193=11,$AJ2193=18),"①病院一般",IF($AJ2193=41,"②病院短期","対象外")),IF($AH2193=5,IF($AJ2193=30,"③特定消防","対象外"),IF(OR($AJ2193=10,$AJ2193=11,$AJ2193=74),"④一般",IF(OR($AJ2193=41,$AJ2193=47),"⑤短期","対象外"))))))</f>
        <v/>
      </c>
    </row>
    <row r="2194" customFormat="false" ht="15" hidden="false" customHeight="false" outlineLevel="0" collapsed="false">
      <c r="DB2194" s="0" t="str">
        <f aca="false">IF($A2194="","",IF($AE2194&amp;""&lt;&gt;設定!$C$4,"対象外",IF($AH2194=20,IF(OR($AJ2194=10,$AJ2194=11,$AJ2194=18),"①病院一般",IF($AJ2194=41,"②病院短期","対象外")),IF($AH2194=5,IF($AJ2194=30,"③特定消防","対象外"),IF(OR($AJ2194=10,$AJ2194=11,$AJ2194=74),"④一般",IF(OR($AJ2194=41,$AJ2194=47),"⑤短期","対象外"))))))</f>
        <v/>
      </c>
    </row>
    <row r="2195" customFormat="false" ht="15" hidden="false" customHeight="false" outlineLevel="0" collapsed="false">
      <c r="DB2195" s="0" t="str">
        <f aca="false">IF($A2195="","",IF($AE2195&amp;""&lt;&gt;設定!$C$4,"対象外",IF($AH2195=20,IF(OR($AJ2195=10,$AJ2195=11,$AJ2195=18),"①病院一般",IF($AJ2195=41,"②病院短期","対象外")),IF($AH2195=5,IF($AJ2195=30,"③特定消防","対象外"),IF(OR($AJ2195=10,$AJ2195=11,$AJ2195=74),"④一般",IF(OR($AJ2195=41,$AJ2195=47),"⑤短期","対象外"))))))</f>
        <v/>
      </c>
    </row>
    <row r="2196" customFormat="false" ht="15" hidden="false" customHeight="false" outlineLevel="0" collapsed="false">
      <c r="DB2196" s="0" t="str">
        <f aca="false">IF($A2196="","",IF($AE2196&amp;""&lt;&gt;設定!$C$4,"対象外",IF($AH2196=20,IF(OR($AJ2196=10,$AJ2196=11,$AJ2196=18),"①病院一般",IF($AJ2196=41,"②病院短期","対象外")),IF($AH2196=5,IF($AJ2196=30,"③特定消防","対象外"),IF(OR($AJ2196=10,$AJ2196=11,$AJ2196=74),"④一般",IF(OR($AJ2196=41,$AJ2196=47),"⑤短期","対象外"))))))</f>
        <v/>
      </c>
    </row>
    <row r="2197" customFormat="false" ht="15" hidden="false" customHeight="false" outlineLevel="0" collapsed="false">
      <c r="DB2197" s="0" t="str">
        <f aca="false">IF($A2197="","",IF($AE2197&amp;""&lt;&gt;設定!$C$4,"対象外",IF($AH2197=20,IF(OR($AJ2197=10,$AJ2197=11,$AJ2197=18),"①病院一般",IF($AJ2197=41,"②病院短期","対象外")),IF($AH2197=5,IF($AJ2197=30,"③特定消防","対象外"),IF(OR($AJ2197=10,$AJ2197=11,$AJ2197=74),"④一般",IF(OR($AJ2197=41,$AJ2197=47),"⑤短期","対象外"))))))</f>
        <v/>
      </c>
    </row>
    <row r="2198" customFormat="false" ht="15" hidden="false" customHeight="false" outlineLevel="0" collapsed="false">
      <c r="DB2198" s="0" t="str">
        <f aca="false">IF($A2198="","",IF($AE2198&amp;""&lt;&gt;設定!$C$4,"対象外",IF($AH2198=20,IF(OR($AJ2198=10,$AJ2198=11,$AJ2198=18),"①病院一般",IF($AJ2198=41,"②病院短期","対象外")),IF($AH2198=5,IF($AJ2198=30,"③特定消防","対象外"),IF(OR($AJ2198=10,$AJ2198=11,$AJ2198=74),"④一般",IF(OR($AJ2198=41,$AJ2198=47),"⑤短期","対象外"))))))</f>
        <v/>
      </c>
    </row>
    <row r="2199" customFormat="false" ht="15" hidden="false" customHeight="false" outlineLevel="0" collapsed="false">
      <c r="DB2199" s="0" t="str">
        <f aca="false">IF($A2199="","",IF($AE2199&amp;""&lt;&gt;設定!$C$4,"対象外",IF($AH2199=20,IF(OR($AJ2199=10,$AJ2199=11,$AJ2199=18),"①病院一般",IF($AJ2199=41,"②病院短期","対象外")),IF($AH2199=5,IF($AJ2199=30,"③特定消防","対象外"),IF(OR($AJ2199=10,$AJ2199=11,$AJ2199=74),"④一般",IF(OR($AJ2199=41,$AJ2199=47),"⑤短期","対象外"))))))</f>
        <v/>
      </c>
    </row>
    <row r="2200" customFormat="false" ht="15" hidden="false" customHeight="false" outlineLevel="0" collapsed="false">
      <c r="DB2200" s="0" t="str">
        <f aca="false">IF($A2200="","",IF($AE2200&amp;""&lt;&gt;設定!$C$4,"対象外",IF($AH2200=20,IF(OR($AJ2200=10,$AJ2200=11,$AJ2200=18),"①病院一般",IF($AJ2200=41,"②病院短期","対象外")),IF($AH2200=5,IF($AJ2200=30,"③特定消防","対象外"),IF(OR($AJ2200=10,$AJ2200=11,$AJ2200=74),"④一般",IF(OR($AJ2200=41,$AJ2200=47),"⑤短期","対象外"))))))</f>
        <v/>
      </c>
    </row>
    <row r="2201" customFormat="false" ht="15" hidden="false" customHeight="false" outlineLevel="0" collapsed="false">
      <c r="DB2201" s="0" t="str">
        <f aca="false">IF($A2201="","",IF($AE2201&amp;""&lt;&gt;設定!$C$4,"対象外",IF($AH2201=20,IF(OR($AJ2201=10,$AJ2201=11,$AJ2201=18),"①病院一般",IF($AJ2201=41,"②病院短期","対象外")),IF($AH2201=5,IF($AJ2201=30,"③特定消防","対象外"),IF(OR($AJ2201=10,$AJ2201=11,$AJ2201=74),"④一般",IF(OR($AJ2201=41,$AJ2201=47),"⑤短期","対象外"))))))</f>
        <v/>
      </c>
    </row>
    <row r="2202" customFormat="false" ht="15" hidden="false" customHeight="false" outlineLevel="0" collapsed="false">
      <c r="DB2202" s="0" t="str">
        <f aca="false">IF($A2202="","",IF($AE2202&amp;""&lt;&gt;設定!$C$4,"対象外",IF($AH2202=20,IF(OR($AJ2202=10,$AJ2202=11,$AJ2202=18),"①病院一般",IF($AJ2202=41,"②病院短期","対象外")),IF($AH2202=5,IF($AJ2202=30,"③特定消防","対象外"),IF(OR($AJ2202=10,$AJ2202=11,$AJ2202=74),"④一般",IF(OR($AJ2202=41,$AJ2202=47),"⑤短期","対象外"))))))</f>
        <v/>
      </c>
    </row>
    <row r="2203" customFormat="false" ht="15" hidden="false" customHeight="false" outlineLevel="0" collapsed="false">
      <c r="DB2203" s="0" t="str">
        <f aca="false">IF($A2203="","",IF($AE2203&amp;""&lt;&gt;設定!$C$4,"対象外",IF($AH2203=20,IF(OR($AJ2203=10,$AJ2203=11,$AJ2203=18),"①病院一般",IF($AJ2203=41,"②病院短期","対象外")),IF($AH2203=5,IF($AJ2203=30,"③特定消防","対象外"),IF(OR($AJ2203=10,$AJ2203=11,$AJ2203=74),"④一般",IF(OR($AJ2203=41,$AJ2203=47),"⑤短期","対象外"))))))</f>
        <v/>
      </c>
    </row>
    <row r="2204" customFormat="false" ht="15" hidden="false" customHeight="false" outlineLevel="0" collapsed="false">
      <c r="DB2204" s="0" t="str">
        <f aca="false">IF($A2204="","",IF($AE2204&amp;""&lt;&gt;設定!$C$4,"対象外",IF($AH2204=20,IF(OR($AJ2204=10,$AJ2204=11,$AJ2204=18),"①病院一般",IF($AJ2204=41,"②病院短期","対象外")),IF($AH2204=5,IF($AJ2204=30,"③特定消防","対象外"),IF(OR($AJ2204=10,$AJ2204=11,$AJ2204=74),"④一般",IF(OR($AJ2204=41,$AJ2204=47),"⑤短期","対象外"))))))</f>
        <v/>
      </c>
    </row>
    <row r="2205" customFormat="false" ht="15" hidden="false" customHeight="false" outlineLevel="0" collapsed="false">
      <c r="DB2205" s="0" t="str">
        <f aca="false">IF($A2205="","",IF($AE2205&amp;""&lt;&gt;設定!$C$4,"対象外",IF($AH2205=20,IF(OR($AJ2205=10,$AJ2205=11,$AJ2205=18),"①病院一般",IF($AJ2205=41,"②病院短期","対象外")),IF($AH2205=5,IF($AJ2205=30,"③特定消防","対象外"),IF(OR($AJ2205=10,$AJ2205=11,$AJ2205=74),"④一般",IF(OR($AJ2205=41,$AJ2205=47),"⑤短期","対象外"))))))</f>
        <v/>
      </c>
    </row>
    <row r="2206" customFormat="false" ht="15" hidden="false" customHeight="false" outlineLevel="0" collapsed="false">
      <c r="DB2206" s="0" t="str">
        <f aca="false">IF($A2206="","",IF($AE2206&amp;""&lt;&gt;設定!$C$4,"対象外",IF($AH2206=20,IF(OR($AJ2206=10,$AJ2206=11,$AJ2206=18),"①病院一般",IF($AJ2206=41,"②病院短期","対象外")),IF($AH2206=5,IF($AJ2206=30,"③特定消防","対象外"),IF(OR($AJ2206=10,$AJ2206=11,$AJ2206=74),"④一般",IF(OR($AJ2206=41,$AJ2206=47),"⑤短期","対象外"))))))</f>
        <v/>
      </c>
    </row>
    <row r="2207" customFormat="false" ht="15" hidden="false" customHeight="false" outlineLevel="0" collapsed="false">
      <c r="DB2207" s="0" t="str">
        <f aca="false">IF($A2207="","",IF($AE2207&amp;""&lt;&gt;設定!$C$4,"対象外",IF($AH2207=20,IF(OR($AJ2207=10,$AJ2207=11,$AJ2207=18),"①病院一般",IF($AJ2207=41,"②病院短期","対象外")),IF($AH2207=5,IF($AJ2207=30,"③特定消防","対象外"),IF(OR($AJ2207=10,$AJ2207=11,$AJ2207=74),"④一般",IF(OR($AJ2207=41,$AJ2207=47),"⑤短期","対象外"))))))</f>
        <v/>
      </c>
    </row>
    <row r="2208" customFormat="false" ht="15" hidden="false" customHeight="false" outlineLevel="0" collapsed="false">
      <c r="DB2208" s="0" t="str">
        <f aca="false">IF($A2208="","",IF($AE2208&amp;""&lt;&gt;設定!$C$4,"対象外",IF($AH2208=20,IF(OR($AJ2208=10,$AJ2208=11,$AJ2208=18),"①病院一般",IF($AJ2208=41,"②病院短期","対象外")),IF($AH2208=5,IF($AJ2208=30,"③特定消防","対象外"),IF(OR($AJ2208=10,$AJ2208=11,$AJ2208=74),"④一般",IF(OR($AJ2208=41,$AJ2208=47),"⑤短期","対象外"))))))</f>
        <v/>
      </c>
    </row>
    <row r="2209" customFormat="false" ht="15" hidden="false" customHeight="false" outlineLevel="0" collapsed="false">
      <c r="DB2209" s="0" t="str">
        <f aca="false">IF($A2209="","",IF($AE2209&amp;""&lt;&gt;設定!$C$4,"対象外",IF($AH2209=20,IF(OR($AJ2209=10,$AJ2209=11,$AJ2209=18),"①病院一般",IF($AJ2209=41,"②病院短期","対象外")),IF($AH2209=5,IF($AJ2209=30,"③特定消防","対象外"),IF(OR($AJ2209=10,$AJ2209=11,$AJ2209=74),"④一般",IF(OR($AJ2209=41,$AJ2209=47),"⑤短期","対象外"))))))</f>
        <v/>
      </c>
    </row>
    <row r="2210" customFormat="false" ht="15" hidden="false" customHeight="false" outlineLevel="0" collapsed="false">
      <c r="DB2210" s="0" t="str">
        <f aca="false">IF($A2210="","",IF($AE2210&amp;""&lt;&gt;設定!$C$4,"対象外",IF($AH2210=20,IF(OR($AJ2210=10,$AJ2210=11,$AJ2210=18),"①病院一般",IF($AJ2210=41,"②病院短期","対象外")),IF($AH2210=5,IF($AJ2210=30,"③特定消防","対象外"),IF(OR($AJ2210=10,$AJ2210=11,$AJ2210=74),"④一般",IF(OR($AJ2210=41,$AJ2210=47),"⑤短期","対象外"))))))</f>
        <v/>
      </c>
    </row>
    <row r="2211" customFormat="false" ht="15" hidden="false" customHeight="false" outlineLevel="0" collapsed="false">
      <c r="DB2211" s="0" t="str">
        <f aca="false">IF($A2211="","",IF($AE2211&amp;""&lt;&gt;設定!$C$4,"対象外",IF($AH2211=20,IF(OR($AJ2211=10,$AJ2211=11,$AJ2211=18),"①病院一般",IF($AJ2211=41,"②病院短期","対象外")),IF($AH2211=5,IF($AJ2211=30,"③特定消防","対象外"),IF(OR($AJ2211=10,$AJ2211=11,$AJ2211=74),"④一般",IF(OR($AJ2211=41,$AJ2211=47),"⑤短期","対象外"))))))</f>
        <v/>
      </c>
    </row>
    <row r="2212" customFormat="false" ht="15" hidden="false" customHeight="false" outlineLevel="0" collapsed="false">
      <c r="DB2212" s="0" t="str">
        <f aca="false">IF($A2212="","",IF($AE2212&amp;""&lt;&gt;設定!$C$4,"対象外",IF($AH2212=20,IF(OR($AJ2212=10,$AJ2212=11,$AJ2212=18),"①病院一般",IF($AJ2212=41,"②病院短期","対象外")),IF($AH2212=5,IF($AJ2212=30,"③特定消防","対象外"),IF(OR($AJ2212=10,$AJ2212=11,$AJ2212=74),"④一般",IF(OR($AJ2212=41,$AJ2212=47),"⑤短期","対象外"))))))</f>
        <v/>
      </c>
    </row>
    <row r="2213" customFormat="false" ht="15" hidden="false" customHeight="false" outlineLevel="0" collapsed="false">
      <c r="DB2213" s="0" t="str">
        <f aca="false">IF($A2213="","",IF($AE2213&amp;""&lt;&gt;設定!$C$4,"対象外",IF($AH2213=20,IF(OR($AJ2213=10,$AJ2213=11,$AJ2213=18),"①病院一般",IF($AJ2213=41,"②病院短期","対象外")),IF($AH2213=5,IF($AJ2213=30,"③特定消防","対象外"),IF(OR($AJ2213=10,$AJ2213=11,$AJ2213=74),"④一般",IF(OR($AJ2213=41,$AJ2213=47),"⑤短期","対象外"))))))</f>
        <v/>
      </c>
    </row>
    <row r="2214" customFormat="false" ht="15" hidden="false" customHeight="false" outlineLevel="0" collapsed="false">
      <c r="DB2214" s="0" t="str">
        <f aca="false">IF($A2214="","",IF($AE2214&amp;""&lt;&gt;設定!$C$4,"対象外",IF($AH2214=20,IF(OR($AJ2214=10,$AJ2214=11,$AJ2214=18),"①病院一般",IF($AJ2214=41,"②病院短期","対象外")),IF($AH2214=5,IF($AJ2214=30,"③特定消防","対象外"),IF(OR($AJ2214=10,$AJ2214=11,$AJ2214=74),"④一般",IF(OR($AJ2214=41,$AJ2214=47),"⑤短期","対象外"))))))</f>
        <v/>
      </c>
    </row>
    <row r="2215" customFormat="false" ht="15" hidden="false" customHeight="false" outlineLevel="0" collapsed="false">
      <c r="DB2215" s="0" t="str">
        <f aca="false">IF($A2215="","",IF($AE2215&amp;""&lt;&gt;設定!$C$4,"対象外",IF($AH2215=20,IF(OR($AJ2215=10,$AJ2215=11,$AJ2215=18),"①病院一般",IF($AJ2215=41,"②病院短期","対象外")),IF($AH2215=5,IF($AJ2215=30,"③特定消防","対象外"),IF(OR($AJ2215=10,$AJ2215=11,$AJ2215=74),"④一般",IF(OR($AJ2215=41,$AJ2215=47),"⑤短期","対象外"))))))</f>
        <v/>
      </c>
    </row>
    <row r="2216" customFormat="false" ht="15" hidden="false" customHeight="false" outlineLevel="0" collapsed="false">
      <c r="DB2216" s="0" t="str">
        <f aca="false">IF($A2216="","",IF($AE2216&amp;""&lt;&gt;設定!$C$4,"対象外",IF($AH2216=20,IF(OR($AJ2216=10,$AJ2216=11,$AJ2216=18),"①病院一般",IF($AJ2216=41,"②病院短期","対象外")),IF($AH2216=5,IF($AJ2216=30,"③特定消防","対象外"),IF(OR($AJ2216=10,$AJ2216=11,$AJ2216=74),"④一般",IF(OR($AJ2216=41,$AJ2216=47),"⑤短期","対象外"))))))</f>
        <v/>
      </c>
    </row>
    <row r="2217" customFormat="false" ht="15" hidden="false" customHeight="false" outlineLevel="0" collapsed="false">
      <c r="DB2217" s="0" t="str">
        <f aca="false">IF($A2217="","",IF($AE2217&amp;""&lt;&gt;設定!$C$4,"対象外",IF($AH2217=20,IF(OR($AJ2217=10,$AJ2217=11,$AJ2217=18),"①病院一般",IF($AJ2217=41,"②病院短期","対象外")),IF($AH2217=5,IF($AJ2217=30,"③特定消防","対象外"),IF(OR($AJ2217=10,$AJ2217=11,$AJ2217=74),"④一般",IF(OR($AJ2217=41,$AJ2217=47),"⑤短期","対象外"))))))</f>
        <v/>
      </c>
    </row>
    <row r="2218" customFormat="false" ht="15" hidden="false" customHeight="false" outlineLevel="0" collapsed="false">
      <c r="DB2218" s="0" t="str">
        <f aca="false">IF($A2218="","",IF($AE2218&amp;""&lt;&gt;設定!$C$4,"対象外",IF($AH2218=20,IF(OR($AJ2218=10,$AJ2218=11,$AJ2218=18),"①病院一般",IF($AJ2218=41,"②病院短期","対象外")),IF($AH2218=5,IF($AJ2218=30,"③特定消防","対象外"),IF(OR($AJ2218=10,$AJ2218=11,$AJ2218=74),"④一般",IF(OR($AJ2218=41,$AJ2218=47),"⑤短期","対象外"))))))</f>
        <v/>
      </c>
    </row>
    <row r="2219" customFormat="false" ht="15" hidden="false" customHeight="false" outlineLevel="0" collapsed="false">
      <c r="DB2219" s="0" t="str">
        <f aca="false">IF($A2219="","",IF($AE2219&amp;""&lt;&gt;設定!$C$4,"対象外",IF($AH2219=20,IF(OR($AJ2219=10,$AJ2219=11,$AJ2219=18),"①病院一般",IF($AJ2219=41,"②病院短期","対象外")),IF($AH2219=5,IF($AJ2219=30,"③特定消防","対象外"),IF(OR($AJ2219=10,$AJ2219=11,$AJ2219=74),"④一般",IF(OR($AJ2219=41,$AJ2219=47),"⑤短期","対象外"))))))</f>
        <v/>
      </c>
    </row>
    <row r="2220" customFormat="false" ht="15" hidden="false" customHeight="false" outlineLevel="0" collapsed="false">
      <c r="DB2220" s="0" t="str">
        <f aca="false">IF($A2220="","",IF($AE2220&amp;""&lt;&gt;設定!$C$4,"対象外",IF($AH2220=20,IF(OR($AJ2220=10,$AJ2220=11,$AJ2220=18),"①病院一般",IF($AJ2220=41,"②病院短期","対象外")),IF($AH2220=5,IF($AJ2220=30,"③特定消防","対象外"),IF(OR($AJ2220=10,$AJ2220=11,$AJ2220=74),"④一般",IF(OR($AJ2220=41,$AJ2220=47),"⑤短期","対象外"))))))</f>
        <v/>
      </c>
    </row>
    <row r="2221" customFormat="false" ht="15" hidden="false" customHeight="false" outlineLevel="0" collapsed="false">
      <c r="DB2221" s="0" t="str">
        <f aca="false">IF($A2221="","",IF($AE2221&amp;""&lt;&gt;設定!$C$4,"対象外",IF($AH2221=20,IF(OR($AJ2221=10,$AJ2221=11,$AJ2221=18),"①病院一般",IF($AJ2221=41,"②病院短期","対象外")),IF($AH2221=5,IF($AJ2221=30,"③特定消防","対象外"),IF(OR($AJ2221=10,$AJ2221=11,$AJ2221=74),"④一般",IF(OR($AJ2221=41,$AJ2221=47),"⑤短期","対象外"))))))</f>
        <v/>
      </c>
    </row>
    <row r="2222" customFormat="false" ht="15" hidden="false" customHeight="false" outlineLevel="0" collapsed="false">
      <c r="DB2222" s="0" t="str">
        <f aca="false">IF($A2222="","",IF($AE2222&amp;""&lt;&gt;設定!$C$4,"対象外",IF($AH2222=20,IF(OR($AJ2222=10,$AJ2222=11,$AJ2222=18),"①病院一般",IF($AJ2222=41,"②病院短期","対象外")),IF($AH2222=5,IF($AJ2222=30,"③特定消防","対象外"),IF(OR($AJ2222=10,$AJ2222=11,$AJ2222=74),"④一般",IF(OR($AJ2222=41,$AJ2222=47),"⑤短期","対象外"))))))</f>
        <v/>
      </c>
    </row>
    <row r="2223" customFormat="false" ht="15" hidden="false" customHeight="false" outlineLevel="0" collapsed="false">
      <c r="DB2223" s="0" t="str">
        <f aca="false">IF($A2223="","",IF($AE2223&amp;""&lt;&gt;設定!$C$4,"対象外",IF($AH2223=20,IF(OR($AJ2223=10,$AJ2223=11,$AJ2223=18),"①病院一般",IF($AJ2223=41,"②病院短期","対象外")),IF($AH2223=5,IF($AJ2223=30,"③特定消防","対象外"),IF(OR($AJ2223=10,$AJ2223=11,$AJ2223=74),"④一般",IF(OR($AJ2223=41,$AJ2223=47),"⑤短期","対象外"))))))</f>
        <v/>
      </c>
    </row>
    <row r="2224" customFormat="false" ht="15" hidden="false" customHeight="false" outlineLevel="0" collapsed="false">
      <c r="DB2224" s="0" t="str">
        <f aca="false">IF($A2224="","",IF($AE2224&amp;""&lt;&gt;設定!$C$4,"対象外",IF($AH2224=20,IF(OR($AJ2224=10,$AJ2224=11,$AJ2224=18),"①病院一般",IF($AJ2224=41,"②病院短期","対象外")),IF($AH2224=5,IF($AJ2224=30,"③特定消防","対象外"),IF(OR($AJ2224=10,$AJ2224=11,$AJ2224=74),"④一般",IF(OR($AJ2224=41,$AJ2224=47),"⑤短期","対象外"))))))</f>
        <v/>
      </c>
    </row>
    <row r="2225" customFormat="false" ht="15" hidden="false" customHeight="false" outlineLevel="0" collapsed="false">
      <c r="DB2225" s="0" t="str">
        <f aca="false">IF($A2225="","",IF($AE2225&amp;""&lt;&gt;設定!$C$4,"対象外",IF($AH2225=20,IF(OR($AJ2225=10,$AJ2225=11,$AJ2225=18),"①病院一般",IF($AJ2225=41,"②病院短期","対象外")),IF($AH2225=5,IF($AJ2225=30,"③特定消防","対象外"),IF(OR($AJ2225=10,$AJ2225=11,$AJ2225=74),"④一般",IF(OR($AJ2225=41,$AJ2225=47),"⑤短期","対象外"))))))</f>
        <v/>
      </c>
    </row>
    <row r="2226" customFormat="false" ht="15" hidden="false" customHeight="false" outlineLevel="0" collapsed="false">
      <c r="DB2226" s="0" t="str">
        <f aca="false">IF($A2226="","",IF($AE2226&amp;""&lt;&gt;設定!$C$4,"対象外",IF($AH2226=20,IF(OR($AJ2226=10,$AJ2226=11,$AJ2226=18),"①病院一般",IF($AJ2226=41,"②病院短期","対象外")),IF($AH2226=5,IF($AJ2226=30,"③特定消防","対象外"),IF(OR($AJ2226=10,$AJ2226=11,$AJ2226=74),"④一般",IF(OR($AJ2226=41,$AJ2226=47),"⑤短期","対象外"))))))</f>
        <v/>
      </c>
    </row>
    <row r="2227" customFormat="false" ht="15" hidden="false" customHeight="false" outlineLevel="0" collapsed="false">
      <c r="DB2227" s="0" t="str">
        <f aca="false">IF($A2227="","",IF($AE2227&amp;""&lt;&gt;設定!$C$4,"対象外",IF($AH2227=20,IF(OR($AJ2227=10,$AJ2227=11,$AJ2227=18),"①病院一般",IF($AJ2227=41,"②病院短期","対象外")),IF($AH2227=5,IF($AJ2227=30,"③特定消防","対象外"),IF(OR($AJ2227=10,$AJ2227=11,$AJ2227=74),"④一般",IF(OR($AJ2227=41,$AJ2227=47),"⑤短期","対象外"))))))</f>
        <v/>
      </c>
    </row>
    <row r="2228" customFormat="false" ht="15" hidden="false" customHeight="false" outlineLevel="0" collapsed="false">
      <c r="DB2228" s="0" t="str">
        <f aca="false">IF($A2228="","",IF($AE2228&amp;""&lt;&gt;設定!$C$4,"対象外",IF($AH2228=20,IF(OR($AJ2228=10,$AJ2228=11,$AJ2228=18),"①病院一般",IF($AJ2228=41,"②病院短期","対象外")),IF($AH2228=5,IF($AJ2228=30,"③特定消防","対象外"),IF(OR($AJ2228=10,$AJ2228=11,$AJ2228=74),"④一般",IF(OR($AJ2228=41,$AJ2228=47),"⑤短期","対象外"))))))</f>
        <v/>
      </c>
    </row>
    <row r="2229" customFormat="false" ht="15" hidden="false" customHeight="false" outlineLevel="0" collapsed="false">
      <c r="DB2229" s="0" t="str">
        <f aca="false">IF($A2229="","",IF($AE2229&amp;""&lt;&gt;設定!$C$4,"対象外",IF($AH2229=20,IF(OR($AJ2229=10,$AJ2229=11,$AJ2229=18),"①病院一般",IF($AJ2229=41,"②病院短期","対象外")),IF($AH2229=5,IF($AJ2229=30,"③特定消防","対象外"),IF(OR($AJ2229=10,$AJ2229=11,$AJ2229=74),"④一般",IF(OR($AJ2229=41,$AJ2229=47),"⑤短期","対象外"))))))</f>
        <v/>
      </c>
    </row>
    <row r="2230" customFormat="false" ht="15" hidden="false" customHeight="false" outlineLevel="0" collapsed="false">
      <c r="DB2230" s="0" t="str">
        <f aca="false">IF($A2230="","",IF($AE2230&amp;""&lt;&gt;設定!$C$4,"対象外",IF($AH2230=20,IF(OR($AJ2230=10,$AJ2230=11,$AJ2230=18),"①病院一般",IF($AJ2230=41,"②病院短期","対象外")),IF($AH2230=5,IF($AJ2230=30,"③特定消防","対象外"),IF(OR($AJ2230=10,$AJ2230=11,$AJ2230=74),"④一般",IF(OR($AJ2230=41,$AJ2230=47),"⑤短期","対象外"))))))</f>
        <v/>
      </c>
    </row>
    <row r="2231" customFormat="false" ht="15" hidden="false" customHeight="false" outlineLevel="0" collapsed="false">
      <c r="DB2231" s="0" t="str">
        <f aca="false">IF($A2231="","",IF($AE2231&amp;""&lt;&gt;設定!$C$4,"対象外",IF($AH2231=20,IF(OR($AJ2231=10,$AJ2231=11,$AJ2231=18),"①病院一般",IF($AJ2231=41,"②病院短期","対象外")),IF($AH2231=5,IF($AJ2231=30,"③特定消防","対象外"),IF(OR($AJ2231=10,$AJ2231=11,$AJ2231=74),"④一般",IF(OR($AJ2231=41,$AJ2231=47),"⑤短期","対象外"))))))</f>
        <v/>
      </c>
    </row>
    <row r="2232" customFormat="false" ht="15" hidden="false" customHeight="false" outlineLevel="0" collapsed="false">
      <c r="DB2232" s="0" t="str">
        <f aca="false">IF($A2232="","",IF($AE2232&amp;""&lt;&gt;設定!$C$4,"対象外",IF($AH2232=20,IF(OR($AJ2232=10,$AJ2232=11,$AJ2232=18),"①病院一般",IF($AJ2232=41,"②病院短期","対象外")),IF($AH2232=5,IF($AJ2232=30,"③特定消防","対象外"),IF(OR($AJ2232=10,$AJ2232=11,$AJ2232=74),"④一般",IF(OR($AJ2232=41,$AJ2232=47),"⑤短期","対象外"))))))</f>
        <v/>
      </c>
    </row>
    <row r="2233" customFormat="false" ht="15" hidden="false" customHeight="false" outlineLevel="0" collapsed="false">
      <c r="DB2233" s="0" t="str">
        <f aca="false">IF($A2233="","",IF($AE2233&amp;""&lt;&gt;設定!$C$4,"対象外",IF($AH2233=20,IF(OR($AJ2233=10,$AJ2233=11,$AJ2233=18),"①病院一般",IF($AJ2233=41,"②病院短期","対象外")),IF($AH2233=5,IF($AJ2233=30,"③特定消防","対象外"),IF(OR($AJ2233=10,$AJ2233=11,$AJ2233=74),"④一般",IF(OR($AJ2233=41,$AJ2233=47),"⑤短期","対象外"))))))</f>
        <v/>
      </c>
    </row>
    <row r="2234" customFormat="false" ht="15" hidden="false" customHeight="false" outlineLevel="0" collapsed="false">
      <c r="DB2234" s="0" t="str">
        <f aca="false">IF($A2234="","",IF($AE2234&amp;""&lt;&gt;設定!$C$4,"対象外",IF($AH2234=20,IF(OR($AJ2234=10,$AJ2234=11,$AJ2234=18),"①病院一般",IF($AJ2234=41,"②病院短期","対象外")),IF($AH2234=5,IF($AJ2234=30,"③特定消防","対象外"),IF(OR($AJ2234=10,$AJ2234=11,$AJ2234=74),"④一般",IF(OR($AJ2234=41,$AJ2234=47),"⑤短期","対象外"))))))</f>
        <v/>
      </c>
    </row>
    <row r="2235" customFormat="false" ht="15" hidden="false" customHeight="false" outlineLevel="0" collapsed="false">
      <c r="DB2235" s="0" t="str">
        <f aca="false">IF($A2235="","",IF($AE2235&amp;""&lt;&gt;設定!$C$4,"対象外",IF($AH2235=20,IF(OR($AJ2235=10,$AJ2235=11,$AJ2235=18),"①病院一般",IF($AJ2235=41,"②病院短期","対象外")),IF($AH2235=5,IF($AJ2235=30,"③特定消防","対象外"),IF(OR($AJ2235=10,$AJ2235=11,$AJ2235=74),"④一般",IF(OR($AJ2235=41,$AJ2235=47),"⑤短期","対象外"))))))</f>
        <v/>
      </c>
    </row>
    <row r="2236" customFormat="false" ht="15" hidden="false" customHeight="false" outlineLevel="0" collapsed="false">
      <c r="DB2236" s="0" t="str">
        <f aca="false">IF($A2236="","",IF($AE2236&amp;""&lt;&gt;設定!$C$4,"対象外",IF($AH2236=20,IF(OR($AJ2236=10,$AJ2236=11,$AJ2236=18),"①病院一般",IF($AJ2236=41,"②病院短期","対象外")),IF($AH2236=5,IF($AJ2236=30,"③特定消防","対象外"),IF(OR($AJ2236=10,$AJ2236=11,$AJ2236=74),"④一般",IF(OR($AJ2236=41,$AJ2236=47),"⑤短期","対象外"))))))</f>
        <v/>
      </c>
    </row>
    <row r="2237" customFormat="false" ht="15" hidden="false" customHeight="false" outlineLevel="0" collapsed="false">
      <c r="DB2237" s="0" t="str">
        <f aca="false">IF($A2237="","",IF($AE2237&amp;""&lt;&gt;設定!$C$4,"対象外",IF($AH2237=20,IF(OR($AJ2237=10,$AJ2237=11,$AJ2237=18),"①病院一般",IF($AJ2237=41,"②病院短期","対象外")),IF($AH2237=5,IF($AJ2237=30,"③特定消防","対象外"),IF(OR($AJ2237=10,$AJ2237=11,$AJ2237=74),"④一般",IF(OR($AJ2237=41,$AJ2237=47),"⑤短期","対象外"))))))</f>
        <v/>
      </c>
    </row>
    <row r="2238" customFormat="false" ht="15" hidden="false" customHeight="false" outlineLevel="0" collapsed="false">
      <c r="DB2238" s="0" t="str">
        <f aca="false">IF($A2238="","",IF($AE2238&amp;""&lt;&gt;設定!$C$4,"対象外",IF($AH2238=20,IF(OR($AJ2238=10,$AJ2238=11,$AJ2238=18),"①病院一般",IF($AJ2238=41,"②病院短期","対象外")),IF($AH2238=5,IF($AJ2238=30,"③特定消防","対象外"),IF(OR($AJ2238=10,$AJ2238=11,$AJ2238=74),"④一般",IF(OR($AJ2238=41,$AJ2238=47),"⑤短期","対象外"))))))</f>
        <v/>
      </c>
    </row>
    <row r="2239" customFormat="false" ht="15" hidden="false" customHeight="false" outlineLevel="0" collapsed="false">
      <c r="DB2239" s="0" t="str">
        <f aca="false">IF($A2239="","",IF($AE2239&amp;""&lt;&gt;設定!$C$4,"対象外",IF($AH2239=20,IF(OR($AJ2239=10,$AJ2239=11,$AJ2239=18),"①病院一般",IF($AJ2239=41,"②病院短期","対象外")),IF($AH2239=5,IF($AJ2239=30,"③特定消防","対象外"),IF(OR($AJ2239=10,$AJ2239=11,$AJ2239=74),"④一般",IF(OR($AJ2239=41,$AJ2239=47),"⑤短期","対象外"))))))</f>
        <v/>
      </c>
    </row>
    <row r="2240" customFormat="false" ht="15" hidden="false" customHeight="false" outlineLevel="0" collapsed="false">
      <c r="DB2240" s="0" t="str">
        <f aca="false">IF($A2240="","",IF($AE2240&amp;""&lt;&gt;設定!$C$4,"対象外",IF($AH2240=20,IF(OR($AJ2240=10,$AJ2240=11,$AJ2240=18),"①病院一般",IF($AJ2240=41,"②病院短期","対象外")),IF($AH2240=5,IF($AJ2240=30,"③特定消防","対象外"),IF(OR($AJ2240=10,$AJ2240=11,$AJ2240=74),"④一般",IF(OR($AJ2240=41,$AJ2240=47),"⑤短期","対象外"))))))</f>
        <v/>
      </c>
    </row>
    <row r="2241" customFormat="false" ht="15" hidden="false" customHeight="false" outlineLevel="0" collapsed="false">
      <c r="DB2241" s="0" t="str">
        <f aca="false">IF($A2241="","",IF($AE2241&amp;""&lt;&gt;設定!$C$4,"対象外",IF($AH2241=20,IF(OR($AJ2241=10,$AJ2241=11,$AJ2241=18),"①病院一般",IF($AJ2241=41,"②病院短期","対象外")),IF($AH2241=5,IF($AJ2241=30,"③特定消防","対象外"),IF(OR($AJ2241=10,$AJ2241=11,$AJ2241=74),"④一般",IF(OR($AJ2241=41,$AJ2241=47),"⑤短期","対象外"))))))</f>
        <v/>
      </c>
    </row>
    <row r="2242" customFormat="false" ht="15" hidden="false" customHeight="false" outlineLevel="0" collapsed="false">
      <c r="DB2242" s="0" t="str">
        <f aca="false">IF($A2242="","",IF($AE2242&amp;""&lt;&gt;設定!$C$4,"対象外",IF($AH2242=20,IF(OR($AJ2242=10,$AJ2242=11,$AJ2242=18),"①病院一般",IF($AJ2242=41,"②病院短期","対象外")),IF($AH2242=5,IF($AJ2242=30,"③特定消防","対象外"),IF(OR($AJ2242=10,$AJ2242=11,$AJ2242=74),"④一般",IF(OR($AJ2242=41,$AJ2242=47),"⑤短期","対象外"))))))</f>
        <v/>
      </c>
    </row>
    <row r="2243" customFormat="false" ht="15" hidden="false" customHeight="false" outlineLevel="0" collapsed="false">
      <c r="DB2243" s="0" t="str">
        <f aca="false">IF($A2243="","",IF($AE2243&amp;""&lt;&gt;設定!$C$4,"対象外",IF($AH2243=20,IF(OR($AJ2243=10,$AJ2243=11,$AJ2243=18),"①病院一般",IF($AJ2243=41,"②病院短期","対象外")),IF($AH2243=5,IF($AJ2243=30,"③特定消防","対象外"),IF(OR($AJ2243=10,$AJ2243=11,$AJ2243=74),"④一般",IF(OR($AJ2243=41,$AJ2243=47),"⑤短期","対象外"))))))</f>
        <v/>
      </c>
    </row>
    <row r="2244" customFormat="false" ht="15" hidden="false" customHeight="false" outlineLevel="0" collapsed="false">
      <c r="DB2244" s="0" t="str">
        <f aca="false">IF($A2244="","",IF($AE2244&amp;""&lt;&gt;設定!$C$4,"対象外",IF($AH2244=20,IF(OR($AJ2244=10,$AJ2244=11,$AJ2244=18),"①病院一般",IF($AJ2244=41,"②病院短期","対象外")),IF($AH2244=5,IF($AJ2244=30,"③特定消防","対象外"),IF(OR($AJ2244=10,$AJ2244=11,$AJ2244=74),"④一般",IF(OR($AJ2244=41,$AJ2244=47),"⑤短期","対象外"))))))</f>
        <v/>
      </c>
    </row>
    <row r="2245" customFormat="false" ht="15" hidden="false" customHeight="false" outlineLevel="0" collapsed="false">
      <c r="DB2245" s="0" t="str">
        <f aca="false">IF($A2245="","",IF($AE2245&amp;""&lt;&gt;設定!$C$4,"対象外",IF($AH2245=20,IF(OR($AJ2245=10,$AJ2245=11,$AJ2245=18),"①病院一般",IF($AJ2245=41,"②病院短期","対象外")),IF($AH2245=5,IF($AJ2245=30,"③特定消防","対象外"),IF(OR($AJ2245=10,$AJ2245=11,$AJ2245=74),"④一般",IF(OR($AJ2245=41,$AJ2245=47),"⑤短期","対象外"))))))</f>
        <v/>
      </c>
    </row>
    <row r="2246" customFormat="false" ht="15" hidden="false" customHeight="false" outlineLevel="0" collapsed="false">
      <c r="DB2246" s="0" t="str">
        <f aca="false">IF($A2246="","",IF($AE2246&amp;""&lt;&gt;設定!$C$4,"対象外",IF($AH2246=20,IF(OR($AJ2246=10,$AJ2246=11,$AJ2246=18),"①病院一般",IF($AJ2246=41,"②病院短期","対象外")),IF($AH2246=5,IF($AJ2246=30,"③特定消防","対象外"),IF(OR($AJ2246=10,$AJ2246=11,$AJ2246=74),"④一般",IF(OR($AJ2246=41,$AJ2246=47),"⑤短期","対象外"))))))</f>
        <v/>
      </c>
    </row>
    <row r="2247" customFormat="false" ht="15" hidden="false" customHeight="false" outlineLevel="0" collapsed="false">
      <c r="DB2247" s="0" t="str">
        <f aca="false">IF($A2247="","",IF($AE2247&amp;""&lt;&gt;設定!$C$4,"対象外",IF($AH2247=20,IF(OR($AJ2247=10,$AJ2247=11,$AJ2247=18),"①病院一般",IF($AJ2247=41,"②病院短期","対象外")),IF($AH2247=5,IF($AJ2247=30,"③特定消防","対象外"),IF(OR($AJ2247=10,$AJ2247=11,$AJ2247=74),"④一般",IF(OR($AJ2247=41,$AJ2247=47),"⑤短期","対象外"))))))</f>
        <v/>
      </c>
    </row>
    <row r="2248" customFormat="false" ht="15" hidden="false" customHeight="false" outlineLevel="0" collapsed="false">
      <c r="DB2248" s="0" t="str">
        <f aca="false">IF($A2248="","",IF($AE2248&amp;""&lt;&gt;設定!$C$4,"対象外",IF($AH2248=20,IF(OR($AJ2248=10,$AJ2248=11,$AJ2248=18),"①病院一般",IF($AJ2248=41,"②病院短期","対象外")),IF($AH2248=5,IF($AJ2248=30,"③特定消防","対象外"),IF(OR($AJ2248=10,$AJ2248=11,$AJ2248=74),"④一般",IF(OR($AJ2248=41,$AJ2248=47),"⑤短期","対象外"))))))</f>
        <v/>
      </c>
    </row>
    <row r="2249" customFormat="false" ht="15" hidden="false" customHeight="false" outlineLevel="0" collapsed="false">
      <c r="DB2249" s="0" t="str">
        <f aca="false">IF($A2249="","",IF($AE2249&amp;""&lt;&gt;設定!$C$4,"対象外",IF($AH2249=20,IF(OR($AJ2249=10,$AJ2249=11,$AJ2249=18),"①病院一般",IF($AJ2249=41,"②病院短期","対象外")),IF($AH2249=5,IF($AJ2249=30,"③特定消防","対象外"),IF(OR($AJ2249=10,$AJ2249=11,$AJ2249=74),"④一般",IF(OR($AJ2249=41,$AJ2249=47),"⑤短期","対象外"))))))</f>
        <v/>
      </c>
    </row>
    <row r="2250" customFormat="false" ht="15" hidden="false" customHeight="false" outlineLevel="0" collapsed="false">
      <c r="DB2250" s="0" t="str">
        <f aca="false">IF($A2250="","",IF($AE2250&amp;""&lt;&gt;設定!$C$4,"対象外",IF($AH2250=20,IF(OR($AJ2250=10,$AJ2250=11,$AJ2250=18),"①病院一般",IF($AJ2250=41,"②病院短期","対象外")),IF($AH2250=5,IF($AJ2250=30,"③特定消防","対象外"),IF(OR($AJ2250=10,$AJ2250=11,$AJ2250=74),"④一般",IF(OR($AJ2250=41,$AJ2250=47),"⑤短期","対象外"))))))</f>
        <v/>
      </c>
    </row>
    <row r="2251" customFormat="false" ht="15" hidden="false" customHeight="false" outlineLevel="0" collapsed="false">
      <c r="DB2251" s="0" t="str">
        <f aca="false">IF($A2251="","",IF($AE2251&amp;""&lt;&gt;設定!$C$4,"対象外",IF($AH2251=20,IF(OR($AJ2251=10,$AJ2251=11,$AJ2251=18),"①病院一般",IF($AJ2251=41,"②病院短期","対象外")),IF($AH2251=5,IF($AJ2251=30,"③特定消防","対象外"),IF(OR($AJ2251=10,$AJ2251=11,$AJ2251=74),"④一般",IF(OR($AJ2251=41,$AJ2251=47),"⑤短期","対象外"))))))</f>
        <v/>
      </c>
    </row>
    <row r="2252" customFormat="false" ht="15" hidden="false" customHeight="false" outlineLevel="0" collapsed="false">
      <c r="DB2252" s="0" t="str">
        <f aca="false">IF($A2252="","",IF($AE2252&amp;""&lt;&gt;設定!$C$4,"対象外",IF($AH2252=20,IF(OR($AJ2252=10,$AJ2252=11,$AJ2252=18),"①病院一般",IF($AJ2252=41,"②病院短期","対象外")),IF($AH2252=5,IF($AJ2252=30,"③特定消防","対象外"),IF(OR($AJ2252=10,$AJ2252=11,$AJ2252=74),"④一般",IF(OR($AJ2252=41,$AJ2252=47),"⑤短期","対象外"))))))</f>
        <v/>
      </c>
    </row>
    <row r="2253" customFormat="false" ht="15" hidden="false" customHeight="false" outlineLevel="0" collapsed="false">
      <c r="DB2253" s="0" t="str">
        <f aca="false">IF($A2253="","",IF($AE2253&amp;""&lt;&gt;設定!$C$4,"対象外",IF($AH2253=20,IF(OR($AJ2253=10,$AJ2253=11,$AJ2253=18),"①病院一般",IF($AJ2253=41,"②病院短期","対象外")),IF($AH2253=5,IF($AJ2253=30,"③特定消防","対象外"),IF(OR($AJ2253=10,$AJ2253=11,$AJ2253=74),"④一般",IF(OR($AJ2253=41,$AJ2253=47),"⑤短期","対象外"))))))</f>
        <v/>
      </c>
    </row>
    <row r="2254" customFormat="false" ht="15" hidden="false" customHeight="false" outlineLevel="0" collapsed="false">
      <c r="DB2254" s="0" t="str">
        <f aca="false">IF($A2254="","",IF($AE2254&amp;""&lt;&gt;設定!$C$4,"対象外",IF($AH2254=20,IF(OR($AJ2254=10,$AJ2254=11,$AJ2254=18),"①病院一般",IF($AJ2254=41,"②病院短期","対象外")),IF($AH2254=5,IF($AJ2254=30,"③特定消防","対象外"),IF(OR($AJ2254=10,$AJ2254=11,$AJ2254=74),"④一般",IF(OR($AJ2254=41,$AJ2254=47),"⑤短期","対象外"))))))</f>
        <v/>
      </c>
    </row>
    <row r="2255" customFormat="false" ht="15" hidden="false" customHeight="false" outlineLevel="0" collapsed="false">
      <c r="DB2255" s="0" t="str">
        <f aca="false">IF($A2255="","",IF($AE2255&amp;""&lt;&gt;設定!$C$4,"対象外",IF($AH2255=20,IF(OR($AJ2255=10,$AJ2255=11,$AJ2255=18),"①病院一般",IF($AJ2255=41,"②病院短期","対象外")),IF($AH2255=5,IF($AJ2255=30,"③特定消防","対象外"),IF(OR($AJ2255=10,$AJ2255=11,$AJ2255=74),"④一般",IF(OR($AJ2255=41,$AJ2255=47),"⑤短期","対象外"))))))</f>
        <v/>
      </c>
    </row>
    <row r="2256" customFormat="false" ht="15" hidden="false" customHeight="false" outlineLevel="0" collapsed="false">
      <c r="DB2256" s="0" t="str">
        <f aca="false">IF($A2256="","",IF($AE2256&amp;""&lt;&gt;設定!$C$4,"対象外",IF($AH2256=20,IF(OR($AJ2256=10,$AJ2256=11,$AJ2256=18),"①病院一般",IF($AJ2256=41,"②病院短期","対象外")),IF($AH2256=5,IF($AJ2256=30,"③特定消防","対象外"),IF(OR($AJ2256=10,$AJ2256=11,$AJ2256=74),"④一般",IF(OR($AJ2256=41,$AJ2256=47),"⑤短期","対象外"))))))</f>
        <v/>
      </c>
    </row>
    <row r="2257" customFormat="false" ht="15" hidden="false" customHeight="false" outlineLevel="0" collapsed="false">
      <c r="DB2257" s="0" t="str">
        <f aca="false">IF($A2257="","",IF($AE2257&amp;""&lt;&gt;設定!$C$4,"対象外",IF($AH2257=20,IF(OR($AJ2257=10,$AJ2257=11,$AJ2257=18),"①病院一般",IF($AJ2257=41,"②病院短期","対象外")),IF($AH2257=5,IF($AJ2257=30,"③特定消防","対象外"),IF(OR($AJ2257=10,$AJ2257=11,$AJ2257=74),"④一般",IF(OR($AJ2257=41,$AJ2257=47),"⑤短期","対象外"))))))</f>
        <v/>
      </c>
    </row>
    <row r="2258" customFormat="false" ht="15" hidden="false" customHeight="false" outlineLevel="0" collapsed="false">
      <c r="DB2258" s="0" t="str">
        <f aca="false">IF($A2258="","",IF($AE2258&amp;""&lt;&gt;設定!$C$4,"対象外",IF($AH2258=20,IF(OR($AJ2258=10,$AJ2258=11,$AJ2258=18),"①病院一般",IF($AJ2258=41,"②病院短期","対象外")),IF($AH2258=5,IF($AJ2258=30,"③特定消防","対象外"),IF(OR($AJ2258=10,$AJ2258=11,$AJ2258=74),"④一般",IF(OR($AJ2258=41,$AJ2258=47),"⑤短期","対象外"))))))</f>
        <v/>
      </c>
    </row>
    <row r="2259" customFormat="false" ht="15" hidden="false" customHeight="false" outlineLevel="0" collapsed="false">
      <c r="DB2259" s="0" t="str">
        <f aca="false">IF($A2259="","",IF($AE2259&amp;""&lt;&gt;設定!$C$4,"対象外",IF($AH2259=20,IF(OR($AJ2259=10,$AJ2259=11,$AJ2259=18),"①病院一般",IF($AJ2259=41,"②病院短期","対象外")),IF($AH2259=5,IF($AJ2259=30,"③特定消防","対象外"),IF(OR($AJ2259=10,$AJ2259=11,$AJ2259=74),"④一般",IF(OR($AJ2259=41,$AJ2259=47),"⑤短期","対象外"))))))</f>
        <v/>
      </c>
    </row>
    <row r="2260" customFormat="false" ht="15" hidden="false" customHeight="false" outlineLevel="0" collapsed="false">
      <c r="DB2260" s="0" t="str">
        <f aca="false">IF($A2260="","",IF($AE2260&amp;""&lt;&gt;設定!$C$4,"対象外",IF($AH2260=20,IF(OR($AJ2260=10,$AJ2260=11,$AJ2260=18),"①病院一般",IF($AJ2260=41,"②病院短期","対象外")),IF($AH2260=5,IF($AJ2260=30,"③特定消防","対象外"),IF(OR($AJ2260=10,$AJ2260=11,$AJ2260=74),"④一般",IF(OR($AJ2260=41,$AJ2260=47),"⑤短期","対象外"))))))</f>
        <v/>
      </c>
    </row>
    <row r="2261" customFormat="false" ht="15" hidden="false" customHeight="false" outlineLevel="0" collapsed="false">
      <c r="DB2261" s="0" t="str">
        <f aca="false">IF($A2261="","",IF($AE2261&amp;""&lt;&gt;設定!$C$4,"対象外",IF($AH2261=20,IF(OR($AJ2261=10,$AJ2261=11,$AJ2261=18),"①病院一般",IF($AJ2261=41,"②病院短期","対象外")),IF($AH2261=5,IF($AJ2261=30,"③特定消防","対象外"),IF(OR($AJ2261=10,$AJ2261=11,$AJ2261=74),"④一般",IF(OR($AJ2261=41,$AJ2261=47),"⑤短期","対象外"))))))</f>
        <v/>
      </c>
    </row>
    <row r="2262" customFormat="false" ht="15" hidden="false" customHeight="false" outlineLevel="0" collapsed="false">
      <c r="DB2262" s="0" t="str">
        <f aca="false">IF($A2262="","",IF($AE2262&amp;""&lt;&gt;設定!$C$4,"対象外",IF($AH2262=20,IF(OR($AJ2262=10,$AJ2262=11,$AJ2262=18),"①病院一般",IF($AJ2262=41,"②病院短期","対象外")),IF($AH2262=5,IF($AJ2262=30,"③特定消防","対象外"),IF(OR($AJ2262=10,$AJ2262=11,$AJ2262=74),"④一般",IF(OR($AJ2262=41,$AJ2262=47),"⑤短期","対象外"))))))</f>
        <v/>
      </c>
    </row>
    <row r="2263" customFormat="false" ht="15" hidden="false" customHeight="false" outlineLevel="0" collapsed="false">
      <c r="DB2263" s="0" t="str">
        <f aca="false">IF($A2263="","",IF($AE2263&amp;""&lt;&gt;設定!$C$4,"対象外",IF($AH2263=20,IF(OR($AJ2263=10,$AJ2263=11,$AJ2263=18),"①病院一般",IF($AJ2263=41,"②病院短期","対象外")),IF($AH2263=5,IF($AJ2263=30,"③特定消防","対象外"),IF(OR($AJ2263=10,$AJ2263=11,$AJ2263=74),"④一般",IF(OR($AJ2263=41,$AJ2263=47),"⑤短期","対象外"))))))</f>
        <v/>
      </c>
    </row>
    <row r="2264" customFormat="false" ht="15" hidden="false" customHeight="false" outlineLevel="0" collapsed="false">
      <c r="DB2264" s="0" t="str">
        <f aca="false">IF($A2264="","",IF($AE2264&amp;""&lt;&gt;設定!$C$4,"対象外",IF($AH2264=20,IF(OR($AJ2264=10,$AJ2264=11,$AJ2264=18),"①病院一般",IF($AJ2264=41,"②病院短期","対象外")),IF($AH2264=5,IF($AJ2264=30,"③特定消防","対象外"),IF(OR($AJ2264=10,$AJ2264=11,$AJ2264=74),"④一般",IF(OR($AJ2264=41,$AJ2264=47),"⑤短期","対象外"))))))</f>
        <v/>
      </c>
    </row>
    <row r="2265" customFormat="false" ht="15" hidden="false" customHeight="false" outlineLevel="0" collapsed="false">
      <c r="DB2265" s="0" t="str">
        <f aca="false">IF($A2265="","",IF($AE2265&amp;""&lt;&gt;設定!$C$4,"対象外",IF($AH2265=20,IF(OR($AJ2265=10,$AJ2265=11,$AJ2265=18),"①病院一般",IF($AJ2265=41,"②病院短期","対象外")),IF($AH2265=5,IF($AJ2265=30,"③特定消防","対象外"),IF(OR($AJ2265=10,$AJ2265=11,$AJ2265=74),"④一般",IF(OR($AJ2265=41,$AJ2265=47),"⑤短期","対象外"))))))</f>
        <v/>
      </c>
    </row>
    <row r="2266" customFormat="false" ht="15" hidden="false" customHeight="false" outlineLevel="0" collapsed="false">
      <c r="DB2266" s="0" t="str">
        <f aca="false">IF($A2266="","",IF($AE2266&amp;""&lt;&gt;設定!$C$4,"対象外",IF($AH2266=20,IF(OR($AJ2266=10,$AJ2266=11,$AJ2266=18),"①病院一般",IF($AJ2266=41,"②病院短期","対象外")),IF($AH2266=5,IF($AJ2266=30,"③特定消防","対象外"),IF(OR($AJ2266=10,$AJ2266=11,$AJ2266=74),"④一般",IF(OR($AJ2266=41,$AJ2266=47),"⑤短期","対象外"))))))</f>
        <v/>
      </c>
    </row>
    <row r="2267" customFormat="false" ht="15" hidden="false" customHeight="false" outlineLevel="0" collapsed="false">
      <c r="DB2267" s="0" t="str">
        <f aca="false">IF($A2267="","",IF($AE2267&amp;""&lt;&gt;設定!$C$4,"対象外",IF($AH2267=20,IF(OR($AJ2267=10,$AJ2267=11,$AJ2267=18),"①病院一般",IF($AJ2267=41,"②病院短期","対象外")),IF($AH2267=5,IF($AJ2267=30,"③特定消防","対象外"),IF(OR($AJ2267=10,$AJ2267=11,$AJ2267=74),"④一般",IF(OR($AJ2267=41,$AJ2267=47),"⑤短期","対象外"))))))</f>
        <v/>
      </c>
    </row>
    <row r="2268" customFormat="false" ht="15" hidden="false" customHeight="false" outlineLevel="0" collapsed="false">
      <c r="DB2268" s="0" t="str">
        <f aca="false">IF($A2268="","",IF($AE2268&amp;""&lt;&gt;設定!$C$4,"対象外",IF($AH2268=20,IF(OR($AJ2268=10,$AJ2268=11,$AJ2268=18),"①病院一般",IF($AJ2268=41,"②病院短期","対象外")),IF($AH2268=5,IF($AJ2268=30,"③特定消防","対象外"),IF(OR($AJ2268=10,$AJ2268=11,$AJ2268=74),"④一般",IF(OR($AJ2268=41,$AJ2268=47),"⑤短期","対象外"))))))</f>
        <v/>
      </c>
    </row>
    <row r="2269" customFormat="false" ht="15" hidden="false" customHeight="false" outlineLevel="0" collapsed="false">
      <c r="DB2269" s="0" t="str">
        <f aca="false">IF($A2269="","",IF($AE2269&amp;""&lt;&gt;設定!$C$4,"対象外",IF($AH2269=20,IF(OR($AJ2269=10,$AJ2269=11,$AJ2269=18),"①病院一般",IF($AJ2269=41,"②病院短期","対象外")),IF($AH2269=5,IF($AJ2269=30,"③特定消防","対象外"),IF(OR($AJ2269=10,$AJ2269=11,$AJ2269=74),"④一般",IF(OR($AJ2269=41,$AJ2269=47),"⑤短期","対象外"))))))</f>
        <v/>
      </c>
    </row>
    <row r="2270" customFormat="false" ht="15" hidden="false" customHeight="false" outlineLevel="0" collapsed="false">
      <c r="DB2270" s="0" t="str">
        <f aca="false">IF($A2270="","",IF($AE2270&amp;""&lt;&gt;設定!$C$4,"対象外",IF($AH2270=20,IF(OR($AJ2270=10,$AJ2270=11,$AJ2270=18),"①病院一般",IF($AJ2270=41,"②病院短期","対象外")),IF($AH2270=5,IF($AJ2270=30,"③特定消防","対象外"),IF(OR($AJ2270=10,$AJ2270=11,$AJ2270=74),"④一般",IF(OR($AJ2270=41,$AJ2270=47),"⑤短期","対象外"))))))</f>
        <v/>
      </c>
    </row>
    <row r="2271" customFormat="false" ht="15" hidden="false" customHeight="false" outlineLevel="0" collapsed="false">
      <c r="DB2271" s="0" t="str">
        <f aca="false">IF($A2271="","",IF($AE2271&amp;""&lt;&gt;設定!$C$4,"対象外",IF($AH2271=20,IF(OR($AJ2271=10,$AJ2271=11,$AJ2271=18),"①病院一般",IF($AJ2271=41,"②病院短期","対象外")),IF($AH2271=5,IF($AJ2271=30,"③特定消防","対象外"),IF(OR($AJ2271=10,$AJ2271=11,$AJ2271=74),"④一般",IF(OR($AJ2271=41,$AJ2271=47),"⑤短期","対象外"))))))</f>
        <v/>
      </c>
    </row>
    <row r="2272" customFormat="false" ht="15" hidden="false" customHeight="false" outlineLevel="0" collapsed="false">
      <c r="DB2272" s="0" t="str">
        <f aca="false">IF($A2272="","",IF($AE2272&amp;""&lt;&gt;設定!$C$4,"対象外",IF($AH2272=20,IF(OR($AJ2272=10,$AJ2272=11,$AJ2272=18),"①病院一般",IF($AJ2272=41,"②病院短期","対象外")),IF($AH2272=5,IF($AJ2272=30,"③特定消防","対象外"),IF(OR($AJ2272=10,$AJ2272=11,$AJ2272=74),"④一般",IF(OR($AJ2272=41,$AJ2272=47),"⑤短期","対象外"))))))</f>
        <v/>
      </c>
    </row>
    <row r="2273" customFormat="false" ht="15" hidden="false" customHeight="false" outlineLevel="0" collapsed="false">
      <c r="DB2273" s="0" t="str">
        <f aca="false">IF($A2273="","",IF($AE2273&amp;""&lt;&gt;設定!$C$4,"対象外",IF($AH2273=20,IF(OR($AJ2273=10,$AJ2273=11,$AJ2273=18),"①病院一般",IF($AJ2273=41,"②病院短期","対象外")),IF($AH2273=5,IF($AJ2273=30,"③特定消防","対象外"),IF(OR($AJ2273=10,$AJ2273=11,$AJ2273=74),"④一般",IF(OR($AJ2273=41,$AJ2273=47),"⑤短期","対象外"))))))</f>
        <v/>
      </c>
    </row>
    <row r="2274" customFormat="false" ht="15" hidden="false" customHeight="false" outlineLevel="0" collapsed="false">
      <c r="DB2274" s="0" t="str">
        <f aca="false">IF($A2274="","",IF($AE2274&amp;""&lt;&gt;設定!$C$4,"対象外",IF($AH2274=20,IF(OR($AJ2274=10,$AJ2274=11,$AJ2274=18),"①病院一般",IF($AJ2274=41,"②病院短期","対象外")),IF($AH2274=5,IF($AJ2274=30,"③特定消防","対象外"),IF(OR($AJ2274=10,$AJ2274=11,$AJ2274=74),"④一般",IF(OR($AJ2274=41,$AJ2274=47),"⑤短期","対象外"))))))</f>
        <v/>
      </c>
    </row>
    <row r="2275" customFormat="false" ht="15" hidden="false" customHeight="false" outlineLevel="0" collapsed="false">
      <c r="DB2275" s="0" t="str">
        <f aca="false">IF($A2275="","",IF($AE2275&amp;""&lt;&gt;設定!$C$4,"対象外",IF($AH2275=20,IF(OR($AJ2275=10,$AJ2275=11,$AJ2275=18),"①病院一般",IF($AJ2275=41,"②病院短期","対象外")),IF($AH2275=5,IF($AJ2275=30,"③特定消防","対象外"),IF(OR($AJ2275=10,$AJ2275=11,$AJ2275=74),"④一般",IF(OR($AJ2275=41,$AJ2275=47),"⑤短期","対象外"))))))</f>
        <v/>
      </c>
    </row>
    <row r="2276" customFormat="false" ht="15" hidden="false" customHeight="false" outlineLevel="0" collapsed="false">
      <c r="DB2276" s="0" t="str">
        <f aca="false">IF($A2276="","",IF($AE2276&amp;""&lt;&gt;設定!$C$4,"対象外",IF($AH2276=20,IF(OR($AJ2276=10,$AJ2276=11,$AJ2276=18),"①病院一般",IF($AJ2276=41,"②病院短期","対象外")),IF($AH2276=5,IF($AJ2276=30,"③特定消防","対象外"),IF(OR($AJ2276=10,$AJ2276=11,$AJ2276=74),"④一般",IF(OR($AJ2276=41,$AJ2276=47),"⑤短期","対象外"))))))</f>
        <v/>
      </c>
    </row>
    <row r="2277" customFormat="false" ht="15" hidden="false" customHeight="false" outlineLevel="0" collapsed="false">
      <c r="DB2277" s="0" t="str">
        <f aca="false">IF($A2277="","",IF($AE2277&amp;""&lt;&gt;設定!$C$4,"対象外",IF($AH2277=20,IF(OR($AJ2277=10,$AJ2277=11,$AJ2277=18),"①病院一般",IF($AJ2277=41,"②病院短期","対象外")),IF($AH2277=5,IF($AJ2277=30,"③特定消防","対象外"),IF(OR($AJ2277=10,$AJ2277=11,$AJ2277=74),"④一般",IF(OR($AJ2277=41,$AJ2277=47),"⑤短期","対象外"))))))</f>
        <v/>
      </c>
    </row>
    <row r="2278" customFormat="false" ht="15" hidden="false" customHeight="false" outlineLevel="0" collapsed="false">
      <c r="DB2278" s="0" t="str">
        <f aca="false">IF($A2278="","",IF($AE2278&amp;""&lt;&gt;設定!$C$4,"対象外",IF($AH2278=20,IF(OR($AJ2278=10,$AJ2278=11,$AJ2278=18),"①病院一般",IF($AJ2278=41,"②病院短期","対象外")),IF($AH2278=5,IF($AJ2278=30,"③特定消防","対象外"),IF(OR($AJ2278=10,$AJ2278=11,$AJ2278=74),"④一般",IF(OR($AJ2278=41,$AJ2278=47),"⑤短期","対象外"))))))</f>
        <v/>
      </c>
    </row>
    <row r="2279" customFormat="false" ht="15" hidden="false" customHeight="false" outlineLevel="0" collapsed="false">
      <c r="DB2279" s="0" t="str">
        <f aca="false">IF($A2279="","",IF($AE2279&amp;""&lt;&gt;設定!$C$4,"対象外",IF($AH2279=20,IF(OR($AJ2279=10,$AJ2279=11,$AJ2279=18),"①病院一般",IF($AJ2279=41,"②病院短期","対象外")),IF($AH2279=5,IF($AJ2279=30,"③特定消防","対象外"),IF(OR($AJ2279=10,$AJ2279=11,$AJ2279=74),"④一般",IF(OR($AJ2279=41,$AJ2279=47),"⑤短期","対象外"))))))</f>
        <v/>
      </c>
    </row>
    <row r="2280" customFormat="false" ht="15" hidden="false" customHeight="false" outlineLevel="0" collapsed="false">
      <c r="DB2280" s="0" t="str">
        <f aca="false">IF($A2280="","",IF($AE2280&amp;""&lt;&gt;設定!$C$4,"対象外",IF($AH2280=20,IF(OR($AJ2280=10,$AJ2280=11,$AJ2280=18),"①病院一般",IF($AJ2280=41,"②病院短期","対象外")),IF($AH2280=5,IF($AJ2280=30,"③特定消防","対象外"),IF(OR($AJ2280=10,$AJ2280=11,$AJ2280=74),"④一般",IF(OR($AJ2280=41,$AJ2280=47),"⑤短期","対象外"))))))</f>
        <v/>
      </c>
    </row>
    <row r="2281" customFormat="false" ht="15" hidden="false" customHeight="false" outlineLevel="0" collapsed="false">
      <c r="DB2281" s="0" t="str">
        <f aca="false">IF($A2281="","",IF($AE2281&amp;""&lt;&gt;設定!$C$4,"対象外",IF($AH2281=20,IF(OR($AJ2281=10,$AJ2281=11,$AJ2281=18),"①病院一般",IF($AJ2281=41,"②病院短期","対象外")),IF($AH2281=5,IF($AJ2281=30,"③特定消防","対象外"),IF(OR($AJ2281=10,$AJ2281=11,$AJ2281=74),"④一般",IF(OR($AJ2281=41,$AJ2281=47),"⑤短期","対象外"))))))</f>
        <v/>
      </c>
    </row>
    <row r="2282" customFormat="false" ht="15" hidden="false" customHeight="false" outlineLevel="0" collapsed="false">
      <c r="DB2282" s="0" t="str">
        <f aca="false">IF($A2282="","",IF($AE2282&amp;""&lt;&gt;設定!$C$4,"対象外",IF($AH2282=20,IF(OR($AJ2282=10,$AJ2282=11,$AJ2282=18),"①病院一般",IF($AJ2282=41,"②病院短期","対象外")),IF($AH2282=5,IF($AJ2282=30,"③特定消防","対象外"),IF(OR($AJ2282=10,$AJ2282=11,$AJ2282=74),"④一般",IF(OR($AJ2282=41,$AJ2282=47),"⑤短期","対象外"))))))</f>
        <v/>
      </c>
    </row>
    <row r="2283" customFormat="false" ht="15" hidden="false" customHeight="false" outlineLevel="0" collapsed="false">
      <c r="DB2283" s="0" t="str">
        <f aca="false">IF($A2283="","",IF($AE2283&amp;""&lt;&gt;設定!$C$4,"対象外",IF($AH2283=20,IF(OR($AJ2283=10,$AJ2283=11,$AJ2283=18),"①病院一般",IF($AJ2283=41,"②病院短期","対象外")),IF($AH2283=5,IF($AJ2283=30,"③特定消防","対象外"),IF(OR($AJ2283=10,$AJ2283=11,$AJ2283=74),"④一般",IF(OR($AJ2283=41,$AJ2283=47),"⑤短期","対象外"))))))</f>
        <v/>
      </c>
    </row>
    <row r="2284" customFormat="false" ht="15" hidden="false" customHeight="false" outlineLevel="0" collapsed="false">
      <c r="DB2284" s="0" t="str">
        <f aca="false">IF($A2284="","",IF($AE2284&amp;""&lt;&gt;設定!$C$4,"対象外",IF($AH2284=20,IF(OR($AJ2284=10,$AJ2284=11,$AJ2284=18),"①病院一般",IF($AJ2284=41,"②病院短期","対象外")),IF($AH2284=5,IF($AJ2284=30,"③特定消防","対象外"),IF(OR($AJ2284=10,$AJ2284=11,$AJ2284=74),"④一般",IF(OR($AJ2284=41,$AJ2284=47),"⑤短期","対象外"))))))</f>
        <v/>
      </c>
    </row>
    <row r="2285" customFormat="false" ht="15" hidden="false" customHeight="false" outlineLevel="0" collapsed="false">
      <c r="DB2285" s="0" t="str">
        <f aca="false">IF($A2285="","",IF($AE2285&amp;""&lt;&gt;設定!$C$4,"対象外",IF($AH2285=20,IF(OR($AJ2285=10,$AJ2285=11,$AJ2285=18),"①病院一般",IF($AJ2285=41,"②病院短期","対象外")),IF($AH2285=5,IF($AJ2285=30,"③特定消防","対象外"),IF(OR($AJ2285=10,$AJ2285=11,$AJ2285=74),"④一般",IF(OR($AJ2285=41,$AJ2285=47),"⑤短期","対象外"))))))</f>
        <v/>
      </c>
    </row>
    <row r="2286" customFormat="false" ht="15" hidden="false" customHeight="false" outlineLevel="0" collapsed="false">
      <c r="DB2286" s="0" t="str">
        <f aca="false">IF($A2286="","",IF($AE2286&amp;""&lt;&gt;設定!$C$4,"対象外",IF($AH2286=20,IF(OR($AJ2286=10,$AJ2286=11,$AJ2286=18),"①病院一般",IF($AJ2286=41,"②病院短期","対象外")),IF($AH2286=5,IF($AJ2286=30,"③特定消防","対象外"),IF(OR($AJ2286=10,$AJ2286=11,$AJ2286=74),"④一般",IF(OR($AJ2286=41,$AJ2286=47),"⑤短期","対象外"))))))</f>
        <v/>
      </c>
    </row>
    <row r="2287" customFormat="false" ht="15" hidden="false" customHeight="false" outlineLevel="0" collapsed="false">
      <c r="DB2287" s="0" t="str">
        <f aca="false">IF($A2287="","",IF($AE2287&amp;""&lt;&gt;設定!$C$4,"対象外",IF($AH2287=20,IF(OR($AJ2287=10,$AJ2287=11,$AJ2287=18),"①病院一般",IF($AJ2287=41,"②病院短期","対象外")),IF($AH2287=5,IF($AJ2287=30,"③特定消防","対象外"),IF(OR($AJ2287=10,$AJ2287=11,$AJ2287=74),"④一般",IF(OR($AJ2287=41,$AJ2287=47),"⑤短期","対象外"))))))</f>
        <v/>
      </c>
    </row>
    <row r="2288" customFormat="false" ht="15" hidden="false" customHeight="false" outlineLevel="0" collapsed="false">
      <c r="DB2288" s="0" t="str">
        <f aca="false">IF($A2288="","",IF($AE2288&amp;""&lt;&gt;設定!$C$4,"対象外",IF($AH2288=20,IF(OR($AJ2288=10,$AJ2288=11,$AJ2288=18),"①病院一般",IF($AJ2288=41,"②病院短期","対象外")),IF($AH2288=5,IF($AJ2288=30,"③特定消防","対象外"),IF(OR($AJ2288=10,$AJ2288=11,$AJ2288=74),"④一般",IF(OR($AJ2288=41,$AJ2288=47),"⑤短期","対象外"))))))</f>
        <v/>
      </c>
    </row>
    <row r="2289" customFormat="false" ht="15" hidden="false" customHeight="false" outlineLevel="0" collapsed="false">
      <c r="DB2289" s="0" t="str">
        <f aca="false">IF($A2289="","",IF($AE2289&amp;""&lt;&gt;設定!$C$4,"対象外",IF($AH2289=20,IF(OR($AJ2289=10,$AJ2289=11,$AJ2289=18),"①病院一般",IF($AJ2289=41,"②病院短期","対象外")),IF($AH2289=5,IF($AJ2289=30,"③特定消防","対象外"),IF(OR($AJ2289=10,$AJ2289=11,$AJ2289=74),"④一般",IF(OR($AJ2289=41,$AJ2289=47),"⑤短期","対象外"))))))</f>
        <v/>
      </c>
    </row>
    <row r="2290" customFormat="false" ht="15" hidden="false" customHeight="false" outlineLevel="0" collapsed="false">
      <c r="DB2290" s="0" t="str">
        <f aca="false">IF($A2290="","",IF($AE2290&amp;""&lt;&gt;設定!$C$4,"対象外",IF($AH2290=20,IF(OR($AJ2290=10,$AJ2290=11,$AJ2290=18),"①病院一般",IF($AJ2290=41,"②病院短期","対象外")),IF($AH2290=5,IF($AJ2290=30,"③特定消防","対象外"),IF(OR($AJ2290=10,$AJ2290=11,$AJ2290=74),"④一般",IF(OR($AJ2290=41,$AJ2290=47),"⑤短期","対象外"))))))</f>
        <v/>
      </c>
    </row>
    <row r="2291" customFormat="false" ht="15" hidden="false" customHeight="false" outlineLevel="0" collapsed="false">
      <c r="DB2291" s="0" t="str">
        <f aca="false">IF($A2291="","",IF($AE2291&amp;""&lt;&gt;設定!$C$4,"対象外",IF($AH2291=20,IF(OR($AJ2291=10,$AJ2291=11,$AJ2291=18),"①病院一般",IF($AJ2291=41,"②病院短期","対象外")),IF($AH2291=5,IF($AJ2291=30,"③特定消防","対象外"),IF(OR($AJ2291=10,$AJ2291=11,$AJ2291=74),"④一般",IF(OR($AJ2291=41,$AJ2291=47),"⑤短期","対象外"))))))</f>
        <v/>
      </c>
    </row>
    <row r="2292" customFormat="false" ht="15" hidden="false" customHeight="false" outlineLevel="0" collapsed="false">
      <c r="DB2292" s="0" t="str">
        <f aca="false">IF($A2292="","",IF($AE2292&amp;""&lt;&gt;設定!$C$4,"対象外",IF($AH2292=20,IF(OR($AJ2292=10,$AJ2292=11,$AJ2292=18),"①病院一般",IF($AJ2292=41,"②病院短期","対象外")),IF($AH2292=5,IF($AJ2292=30,"③特定消防","対象外"),IF(OR($AJ2292=10,$AJ2292=11,$AJ2292=74),"④一般",IF(OR($AJ2292=41,$AJ2292=47),"⑤短期","対象外"))))))</f>
        <v/>
      </c>
    </row>
    <row r="2293" customFormat="false" ht="15" hidden="false" customHeight="false" outlineLevel="0" collapsed="false">
      <c r="DB2293" s="0" t="str">
        <f aca="false">IF($A2293="","",IF($AE2293&amp;""&lt;&gt;設定!$C$4,"対象外",IF($AH2293=20,IF(OR($AJ2293=10,$AJ2293=11,$AJ2293=18),"①病院一般",IF($AJ2293=41,"②病院短期","対象外")),IF($AH2293=5,IF($AJ2293=30,"③特定消防","対象外"),IF(OR($AJ2293=10,$AJ2293=11,$AJ2293=74),"④一般",IF(OR($AJ2293=41,$AJ2293=47),"⑤短期","対象外"))))))</f>
        <v/>
      </c>
    </row>
    <row r="2294" customFormat="false" ht="15" hidden="false" customHeight="false" outlineLevel="0" collapsed="false">
      <c r="DB2294" s="0" t="str">
        <f aca="false">IF($A2294="","",IF($AE2294&amp;""&lt;&gt;設定!$C$4,"対象外",IF($AH2294=20,IF(OR($AJ2294=10,$AJ2294=11,$AJ2294=18),"①病院一般",IF($AJ2294=41,"②病院短期","対象外")),IF($AH2294=5,IF($AJ2294=30,"③特定消防","対象外"),IF(OR($AJ2294=10,$AJ2294=11,$AJ2294=74),"④一般",IF(OR($AJ2294=41,$AJ2294=47),"⑤短期","対象外"))))))</f>
        <v/>
      </c>
    </row>
    <row r="2295" customFormat="false" ht="15" hidden="false" customHeight="false" outlineLevel="0" collapsed="false">
      <c r="DB2295" s="0" t="str">
        <f aca="false">IF($A2295="","",IF($AE2295&amp;""&lt;&gt;設定!$C$4,"対象外",IF($AH2295=20,IF(OR($AJ2295=10,$AJ2295=11,$AJ2295=18),"①病院一般",IF($AJ2295=41,"②病院短期","対象外")),IF($AH2295=5,IF($AJ2295=30,"③特定消防","対象外"),IF(OR($AJ2295=10,$AJ2295=11,$AJ2295=74),"④一般",IF(OR($AJ2295=41,$AJ2295=47),"⑤短期","対象外"))))))</f>
        <v/>
      </c>
    </row>
    <row r="2296" customFormat="false" ht="15" hidden="false" customHeight="false" outlineLevel="0" collapsed="false">
      <c r="DB2296" s="0" t="str">
        <f aca="false">IF($A2296="","",IF($AE2296&amp;""&lt;&gt;設定!$C$4,"対象外",IF($AH2296=20,IF(OR($AJ2296=10,$AJ2296=11,$AJ2296=18),"①病院一般",IF($AJ2296=41,"②病院短期","対象外")),IF($AH2296=5,IF($AJ2296=30,"③特定消防","対象外"),IF(OR($AJ2296=10,$AJ2296=11,$AJ2296=74),"④一般",IF(OR($AJ2296=41,$AJ2296=47),"⑤短期","対象外"))))))</f>
        <v/>
      </c>
    </row>
    <row r="2297" customFormat="false" ht="15" hidden="false" customHeight="false" outlineLevel="0" collapsed="false">
      <c r="DB2297" s="0" t="str">
        <f aca="false">IF($A2297="","",IF($AE2297&amp;""&lt;&gt;設定!$C$4,"対象外",IF($AH2297=20,IF(OR($AJ2297=10,$AJ2297=11,$AJ2297=18),"①病院一般",IF($AJ2297=41,"②病院短期","対象外")),IF($AH2297=5,IF($AJ2297=30,"③特定消防","対象外"),IF(OR($AJ2297=10,$AJ2297=11,$AJ2297=74),"④一般",IF(OR($AJ2297=41,$AJ2297=47),"⑤短期","対象外"))))))</f>
        <v/>
      </c>
    </row>
    <row r="2298" customFormat="false" ht="15" hidden="false" customHeight="false" outlineLevel="0" collapsed="false">
      <c r="DB2298" s="0" t="str">
        <f aca="false">IF($A2298="","",IF($AE2298&amp;""&lt;&gt;設定!$C$4,"対象外",IF($AH2298=20,IF(OR($AJ2298=10,$AJ2298=11,$AJ2298=18),"①病院一般",IF($AJ2298=41,"②病院短期","対象外")),IF($AH2298=5,IF($AJ2298=30,"③特定消防","対象外"),IF(OR($AJ2298=10,$AJ2298=11,$AJ2298=74),"④一般",IF(OR($AJ2298=41,$AJ2298=47),"⑤短期","対象外"))))))</f>
        <v/>
      </c>
    </row>
    <row r="2299" customFormat="false" ht="15" hidden="false" customHeight="false" outlineLevel="0" collapsed="false">
      <c r="DB2299" s="0" t="str">
        <f aca="false">IF($A2299="","",IF($AE2299&amp;""&lt;&gt;設定!$C$4,"対象外",IF($AH2299=20,IF(OR($AJ2299=10,$AJ2299=11,$AJ2299=18),"①病院一般",IF($AJ2299=41,"②病院短期","対象外")),IF($AH2299=5,IF($AJ2299=30,"③特定消防","対象外"),IF(OR($AJ2299=10,$AJ2299=11,$AJ2299=74),"④一般",IF(OR($AJ2299=41,$AJ2299=47),"⑤短期","対象外"))))))</f>
        <v/>
      </c>
    </row>
    <row r="2300" customFormat="false" ht="15" hidden="false" customHeight="false" outlineLevel="0" collapsed="false">
      <c r="DB2300" s="0" t="str">
        <f aca="false">IF($A2300="","",IF($AE2300&amp;""&lt;&gt;設定!$C$4,"対象外",IF($AH2300=20,IF(OR($AJ2300=10,$AJ2300=11,$AJ2300=18),"①病院一般",IF($AJ2300=41,"②病院短期","対象外")),IF($AH2300=5,IF($AJ2300=30,"③特定消防","対象外"),IF(OR($AJ2300=10,$AJ2300=11,$AJ2300=74),"④一般",IF(OR($AJ2300=41,$AJ2300=47),"⑤短期","対象外"))))))</f>
        <v/>
      </c>
    </row>
    <row r="2301" customFormat="false" ht="15" hidden="false" customHeight="false" outlineLevel="0" collapsed="false">
      <c r="DB2301" s="0" t="str">
        <f aca="false">IF($A2301="","",IF($AE2301&amp;""&lt;&gt;設定!$C$4,"対象外",IF($AH2301=20,IF(OR($AJ2301=10,$AJ2301=11,$AJ2301=18),"①病院一般",IF($AJ2301=41,"②病院短期","対象外")),IF($AH2301=5,IF($AJ2301=30,"③特定消防","対象外"),IF(OR($AJ2301=10,$AJ2301=11,$AJ2301=74),"④一般",IF(OR($AJ2301=41,$AJ2301=47),"⑤短期","対象外"))))))</f>
        <v/>
      </c>
    </row>
    <row r="2302" customFormat="false" ht="15" hidden="false" customHeight="false" outlineLevel="0" collapsed="false">
      <c r="DB2302" s="0" t="str">
        <f aca="false">IF($A2302="","",IF($AE2302&amp;""&lt;&gt;設定!$C$4,"対象外",IF($AH2302=20,IF(OR($AJ2302=10,$AJ2302=11,$AJ2302=18),"①病院一般",IF($AJ2302=41,"②病院短期","対象外")),IF($AH2302=5,IF($AJ2302=30,"③特定消防","対象外"),IF(OR($AJ2302=10,$AJ2302=11,$AJ2302=74),"④一般",IF(OR($AJ2302=41,$AJ2302=47),"⑤短期","対象外"))))))</f>
        <v/>
      </c>
    </row>
    <row r="2303" customFormat="false" ht="15" hidden="false" customHeight="false" outlineLevel="0" collapsed="false">
      <c r="DB2303" s="0" t="str">
        <f aca="false">IF($A2303="","",IF($AE2303&amp;""&lt;&gt;設定!$C$4,"対象外",IF($AH2303=20,IF(OR($AJ2303=10,$AJ2303=11,$AJ2303=18),"①病院一般",IF($AJ2303=41,"②病院短期","対象外")),IF($AH2303=5,IF($AJ2303=30,"③特定消防","対象外"),IF(OR($AJ2303=10,$AJ2303=11,$AJ2303=74),"④一般",IF(OR($AJ2303=41,$AJ2303=47),"⑤短期","対象外"))))))</f>
        <v/>
      </c>
    </row>
    <row r="2304" customFormat="false" ht="15" hidden="false" customHeight="false" outlineLevel="0" collapsed="false">
      <c r="DB2304" s="0" t="str">
        <f aca="false">IF($A2304="","",IF($AE2304&amp;""&lt;&gt;設定!$C$4,"対象外",IF($AH2304=20,IF(OR($AJ2304=10,$AJ2304=11,$AJ2304=18),"①病院一般",IF($AJ2304=41,"②病院短期","対象外")),IF($AH2304=5,IF($AJ2304=30,"③特定消防","対象外"),IF(OR($AJ2304=10,$AJ2304=11,$AJ2304=74),"④一般",IF(OR($AJ2304=41,$AJ2304=47),"⑤短期","対象外"))))))</f>
        <v/>
      </c>
    </row>
    <row r="2305" customFormat="false" ht="15" hidden="false" customHeight="false" outlineLevel="0" collapsed="false">
      <c r="DB2305" s="0" t="str">
        <f aca="false">IF($A2305="","",IF($AE2305&amp;""&lt;&gt;設定!$C$4,"対象外",IF($AH2305=20,IF(OR($AJ2305=10,$AJ2305=11,$AJ2305=18),"①病院一般",IF($AJ2305=41,"②病院短期","対象外")),IF($AH2305=5,IF($AJ2305=30,"③特定消防","対象外"),IF(OR($AJ2305=10,$AJ2305=11,$AJ2305=74),"④一般",IF(OR($AJ2305=41,$AJ2305=47),"⑤短期","対象外"))))))</f>
        <v/>
      </c>
    </row>
    <row r="2306" customFormat="false" ht="15" hidden="false" customHeight="false" outlineLevel="0" collapsed="false">
      <c r="DB2306" s="0" t="str">
        <f aca="false">IF($A2306="","",IF($AE2306&amp;""&lt;&gt;設定!$C$4,"対象外",IF($AH2306=20,IF(OR($AJ2306=10,$AJ2306=11,$AJ2306=18),"①病院一般",IF($AJ2306=41,"②病院短期","対象外")),IF($AH2306=5,IF($AJ2306=30,"③特定消防","対象外"),IF(OR($AJ2306=10,$AJ2306=11,$AJ2306=74),"④一般",IF(OR($AJ2306=41,$AJ2306=47),"⑤短期","対象外"))))))</f>
        <v/>
      </c>
    </row>
    <row r="2307" customFormat="false" ht="15" hidden="false" customHeight="false" outlineLevel="0" collapsed="false">
      <c r="DB2307" s="0" t="str">
        <f aca="false">IF($A2307="","",IF($AE2307&amp;""&lt;&gt;設定!$C$4,"対象外",IF($AH2307=20,IF(OR($AJ2307=10,$AJ2307=11,$AJ2307=18),"①病院一般",IF($AJ2307=41,"②病院短期","対象外")),IF($AH2307=5,IF($AJ2307=30,"③特定消防","対象外"),IF(OR($AJ2307=10,$AJ2307=11,$AJ2307=74),"④一般",IF(OR($AJ2307=41,$AJ2307=47),"⑤短期","対象外"))))))</f>
        <v/>
      </c>
    </row>
    <row r="2308" customFormat="false" ht="15" hidden="false" customHeight="false" outlineLevel="0" collapsed="false">
      <c r="DB2308" s="0" t="str">
        <f aca="false">IF($A2308="","",IF($AE2308&amp;""&lt;&gt;設定!$C$4,"対象外",IF($AH2308=20,IF(OR($AJ2308=10,$AJ2308=11,$AJ2308=18),"①病院一般",IF($AJ2308=41,"②病院短期","対象外")),IF($AH2308=5,IF($AJ2308=30,"③特定消防","対象外"),IF(OR($AJ2308=10,$AJ2308=11,$AJ2308=74),"④一般",IF(OR($AJ2308=41,$AJ2308=47),"⑤短期","対象外"))))))</f>
        <v/>
      </c>
    </row>
    <row r="2309" customFormat="false" ht="15" hidden="false" customHeight="false" outlineLevel="0" collapsed="false">
      <c r="DB2309" s="0" t="str">
        <f aca="false">IF($A2309="","",IF($AE2309&amp;""&lt;&gt;設定!$C$4,"対象外",IF($AH2309=20,IF(OR($AJ2309=10,$AJ2309=11,$AJ2309=18),"①病院一般",IF($AJ2309=41,"②病院短期","対象外")),IF($AH2309=5,IF($AJ2309=30,"③特定消防","対象外"),IF(OR($AJ2309=10,$AJ2309=11,$AJ2309=74),"④一般",IF(OR($AJ2309=41,$AJ2309=47),"⑤短期","対象外"))))))</f>
        <v/>
      </c>
    </row>
    <row r="2310" customFormat="false" ht="15" hidden="false" customHeight="false" outlineLevel="0" collapsed="false">
      <c r="DB2310" s="0" t="str">
        <f aca="false">IF($A2310="","",IF($AE2310&amp;""&lt;&gt;設定!$C$4,"対象外",IF($AH2310=20,IF(OR($AJ2310=10,$AJ2310=11,$AJ2310=18),"①病院一般",IF($AJ2310=41,"②病院短期","対象外")),IF($AH2310=5,IF($AJ2310=30,"③特定消防","対象外"),IF(OR($AJ2310=10,$AJ2310=11,$AJ2310=74),"④一般",IF(OR($AJ2310=41,$AJ2310=47),"⑤短期","対象外"))))))</f>
        <v/>
      </c>
    </row>
    <row r="2311" customFormat="false" ht="15" hidden="false" customHeight="false" outlineLevel="0" collapsed="false">
      <c r="DB2311" s="0" t="str">
        <f aca="false">IF($A2311="","",IF($AE2311&amp;""&lt;&gt;設定!$C$4,"対象外",IF($AH2311=20,IF(OR($AJ2311=10,$AJ2311=11,$AJ2311=18),"①病院一般",IF($AJ2311=41,"②病院短期","対象外")),IF($AH2311=5,IF($AJ2311=30,"③特定消防","対象外"),IF(OR($AJ2311=10,$AJ2311=11,$AJ2311=74),"④一般",IF(OR($AJ2311=41,$AJ2311=47),"⑤短期","対象外"))))))</f>
        <v/>
      </c>
    </row>
    <row r="2312" customFormat="false" ht="15" hidden="false" customHeight="false" outlineLevel="0" collapsed="false">
      <c r="DB2312" s="0" t="str">
        <f aca="false">IF($A2312="","",IF($AE2312&amp;""&lt;&gt;設定!$C$4,"対象外",IF($AH2312=20,IF(OR($AJ2312=10,$AJ2312=11,$AJ2312=18),"①病院一般",IF($AJ2312=41,"②病院短期","対象外")),IF($AH2312=5,IF($AJ2312=30,"③特定消防","対象外"),IF(OR($AJ2312=10,$AJ2312=11,$AJ2312=74),"④一般",IF(OR($AJ2312=41,$AJ2312=47),"⑤短期","対象外"))))))</f>
        <v/>
      </c>
    </row>
    <row r="2313" customFormat="false" ht="15" hidden="false" customHeight="false" outlineLevel="0" collapsed="false">
      <c r="DB2313" s="0" t="str">
        <f aca="false">IF($A2313="","",IF($AE2313&amp;""&lt;&gt;設定!$C$4,"対象外",IF($AH2313=20,IF(OR($AJ2313=10,$AJ2313=11,$AJ2313=18),"①病院一般",IF($AJ2313=41,"②病院短期","対象外")),IF($AH2313=5,IF($AJ2313=30,"③特定消防","対象外"),IF(OR($AJ2313=10,$AJ2313=11,$AJ2313=74),"④一般",IF(OR($AJ2313=41,$AJ2313=47),"⑤短期","対象外"))))))</f>
        <v/>
      </c>
    </row>
    <row r="2314" customFormat="false" ht="15" hidden="false" customHeight="false" outlineLevel="0" collapsed="false">
      <c r="DB2314" s="0" t="str">
        <f aca="false">IF($A2314="","",IF($AE2314&amp;""&lt;&gt;設定!$C$4,"対象外",IF($AH2314=20,IF(OR($AJ2314=10,$AJ2314=11,$AJ2314=18),"①病院一般",IF($AJ2314=41,"②病院短期","対象外")),IF($AH2314=5,IF($AJ2314=30,"③特定消防","対象外"),IF(OR($AJ2314=10,$AJ2314=11,$AJ2314=74),"④一般",IF(OR($AJ2314=41,$AJ2314=47),"⑤短期","対象外"))))))</f>
        <v/>
      </c>
    </row>
    <row r="2315" customFormat="false" ht="15" hidden="false" customHeight="false" outlineLevel="0" collapsed="false">
      <c r="DB2315" s="0" t="str">
        <f aca="false">IF($A2315="","",IF($AE2315&amp;""&lt;&gt;設定!$C$4,"対象外",IF($AH2315=20,IF(OR($AJ2315=10,$AJ2315=11,$AJ2315=18),"①病院一般",IF($AJ2315=41,"②病院短期","対象外")),IF($AH2315=5,IF($AJ2315=30,"③特定消防","対象外"),IF(OR($AJ2315=10,$AJ2315=11,$AJ2315=74),"④一般",IF(OR($AJ2315=41,$AJ2315=47),"⑤短期","対象外"))))))</f>
        <v/>
      </c>
    </row>
    <row r="2316" customFormat="false" ht="15" hidden="false" customHeight="false" outlineLevel="0" collapsed="false">
      <c r="DB2316" s="0" t="str">
        <f aca="false">IF($A2316="","",IF($AE2316&amp;""&lt;&gt;設定!$C$4,"対象外",IF($AH2316=20,IF(OR($AJ2316=10,$AJ2316=11,$AJ2316=18),"①病院一般",IF($AJ2316=41,"②病院短期","対象外")),IF($AH2316=5,IF($AJ2316=30,"③特定消防","対象外"),IF(OR($AJ2316=10,$AJ2316=11,$AJ2316=74),"④一般",IF(OR($AJ2316=41,$AJ2316=47),"⑤短期","対象外"))))))</f>
        <v/>
      </c>
    </row>
    <row r="2317" customFormat="false" ht="15" hidden="false" customHeight="false" outlineLevel="0" collapsed="false">
      <c r="DB2317" s="0" t="str">
        <f aca="false">IF($A2317="","",IF($AE2317&amp;""&lt;&gt;設定!$C$4,"対象外",IF($AH2317=20,IF(OR($AJ2317=10,$AJ2317=11,$AJ2317=18),"①病院一般",IF($AJ2317=41,"②病院短期","対象外")),IF($AH2317=5,IF($AJ2317=30,"③特定消防","対象外"),IF(OR($AJ2317=10,$AJ2317=11,$AJ2317=74),"④一般",IF(OR($AJ2317=41,$AJ2317=47),"⑤短期","対象外"))))))</f>
        <v/>
      </c>
    </row>
    <row r="2318" customFormat="false" ht="15" hidden="false" customHeight="false" outlineLevel="0" collapsed="false">
      <c r="DB2318" s="0" t="str">
        <f aca="false">IF($A2318="","",IF($AE2318&amp;""&lt;&gt;設定!$C$4,"対象外",IF($AH2318=20,IF(OR($AJ2318=10,$AJ2318=11,$AJ2318=18),"①病院一般",IF($AJ2318=41,"②病院短期","対象外")),IF($AH2318=5,IF($AJ2318=30,"③特定消防","対象外"),IF(OR($AJ2318=10,$AJ2318=11,$AJ2318=74),"④一般",IF(OR($AJ2318=41,$AJ2318=47),"⑤短期","対象外"))))))</f>
        <v/>
      </c>
    </row>
    <row r="2319" customFormat="false" ht="15" hidden="false" customHeight="false" outlineLevel="0" collapsed="false">
      <c r="DB2319" s="0" t="str">
        <f aca="false">IF($A2319="","",IF($AE2319&amp;""&lt;&gt;設定!$C$4,"対象外",IF($AH2319=20,IF(OR($AJ2319=10,$AJ2319=11,$AJ2319=18),"①病院一般",IF($AJ2319=41,"②病院短期","対象外")),IF($AH2319=5,IF($AJ2319=30,"③特定消防","対象外"),IF(OR($AJ2319=10,$AJ2319=11,$AJ2319=74),"④一般",IF(OR($AJ2319=41,$AJ2319=47),"⑤短期","対象外"))))))</f>
        <v/>
      </c>
    </row>
    <row r="2320" customFormat="false" ht="15" hidden="false" customHeight="false" outlineLevel="0" collapsed="false">
      <c r="DB2320" s="0" t="str">
        <f aca="false">IF($A2320="","",IF($AE2320&amp;""&lt;&gt;設定!$C$4,"対象外",IF($AH2320=20,IF(OR($AJ2320=10,$AJ2320=11,$AJ2320=18),"①病院一般",IF($AJ2320=41,"②病院短期","対象外")),IF($AH2320=5,IF($AJ2320=30,"③特定消防","対象外"),IF(OR($AJ2320=10,$AJ2320=11,$AJ2320=74),"④一般",IF(OR($AJ2320=41,$AJ2320=47),"⑤短期","対象外"))))))</f>
        <v/>
      </c>
    </row>
    <row r="2321" customFormat="false" ht="15" hidden="false" customHeight="false" outlineLevel="0" collapsed="false">
      <c r="DB2321" s="0" t="str">
        <f aca="false">IF($A2321="","",IF($AE2321&amp;""&lt;&gt;設定!$C$4,"対象外",IF($AH2321=20,IF(OR($AJ2321=10,$AJ2321=11,$AJ2321=18),"①病院一般",IF($AJ2321=41,"②病院短期","対象外")),IF($AH2321=5,IF($AJ2321=30,"③特定消防","対象外"),IF(OR($AJ2321=10,$AJ2321=11,$AJ2321=74),"④一般",IF(OR($AJ2321=41,$AJ2321=47),"⑤短期","対象外"))))))</f>
        <v/>
      </c>
    </row>
    <row r="2322" customFormat="false" ht="15" hidden="false" customHeight="false" outlineLevel="0" collapsed="false">
      <c r="DB2322" s="0" t="str">
        <f aca="false">IF($A2322="","",IF($AE2322&amp;""&lt;&gt;設定!$C$4,"対象外",IF($AH2322=20,IF(OR($AJ2322=10,$AJ2322=11,$AJ2322=18),"①病院一般",IF($AJ2322=41,"②病院短期","対象外")),IF($AH2322=5,IF($AJ2322=30,"③特定消防","対象外"),IF(OR($AJ2322=10,$AJ2322=11,$AJ2322=74),"④一般",IF(OR($AJ2322=41,$AJ2322=47),"⑤短期","対象外"))))))</f>
        <v/>
      </c>
    </row>
    <row r="2323" customFormat="false" ht="15" hidden="false" customHeight="false" outlineLevel="0" collapsed="false">
      <c r="DB2323" s="0" t="str">
        <f aca="false">IF($A2323="","",IF($AE2323&amp;""&lt;&gt;設定!$C$4,"対象外",IF($AH2323=20,IF(OR($AJ2323=10,$AJ2323=11,$AJ2323=18),"①病院一般",IF($AJ2323=41,"②病院短期","対象外")),IF($AH2323=5,IF($AJ2323=30,"③特定消防","対象外"),IF(OR($AJ2323=10,$AJ2323=11,$AJ2323=74),"④一般",IF(OR($AJ2323=41,$AJ2323=47),"⑤短期","対象外"))))))</f>
        <v/>
      </c>
    </row>
    <row r="2324" customFormat="false" ht="15" hidden="false" customHeight="false" outlineLevel="0" collapsed="false">
      <c r="DB2324" s="0" t="str">
        <f aca="false">IF($A2324="","",IF($AE2324&amp;""&lt;&gt;設定!$C$4,"対象外",IF($AH2324=20,IF(OR($AJ2324=10,$AJ2324=11,$AJ2324=18),"①病院一般",IF($AJ2324=41,"②病院短期","対象外")),IF($AH2324=5,IF($AJ2324=30,"③特定消防","対象外"),IF(OR($AJ2324=10,$AJ2324=11,$AJ2324=74),"④一般",IF(OR($AJ2324=41,$AJ2324=47),"⑤短期","対象外"))))))</f>
        <v/>
      </c>
    </row>
    <row r="2325" customFormat="false" ht="15" hidden="false" customHeight="false" outlineLevel="0" collapsed="false">
      <c r="DB2325" s="0" t="str">
        <f aca="false">IF($A2325="","",IF($AE2325&amp;""&lt;&gt;設定!$C$4,"対象外",IF($AH2325=20,IF(OR($AJ2325=10,$AJ2325=11,$AJ2325=18),"①病院一般",IF($AJ2325=41,"②病院短期","対象外")),IF($AH2325=5,IF($AJ2325=30,"③特定消防","対象外"),IF(OR($AJ2325=10,$AJ2325=11,$AJ2325=74),"④一般",IF(OR($AJ2325=41,$AJ2325=47),"⑤短期","対象外"))))))</f>
        <v/>
      </c>
    </row>
    <row r="2326" customFormat="false" ht="15" hidden="false" customHeight="false" outlineLevel="0" collapsed="false">
      <c r="DB2326" s="0" t="str">
        <f aca="false">IF($A2326="","",IF($AE2326&amp;""&lt;&gt;設定!$C$4,"対象外",IF($AH2326=20,IF(OR($AJ2326=10,$AJ2326=11,$AJ2326=18),"①病院一般",IF($AJ2326=41,"②病院短期","対象外")),IF($AH2326=5,IF($AJ2326=30,"③特定消防","対象外"),IF(OR($AJ2326=10,$AJ2326=11,$AJ2326=74),"④一般",IF(OR($AJ2326=41,$AJ2326=47),"⑤短期","対象外"))))))</f>
        <v/>
      </c>
    </row>
    <row r="2327" customFormat="false" ht="15" hidden="false" customHeight="false" outlineLevel="0" collapsed="false">
      <c r="DB2327" s="0" t="str">
        <f aca="false">IF($A2327="","",IF($AE2327&amp;""&lt;&gt;設定!$C$4,"対象外",IF($AH2327=20,IF(OR($AJ2327=10,$AJ2327=11,$AJ2327=18),"①病院一般",IF($AJ2327=41,"②病院短期","対象外")),IF($AH2327=5,IF($AJ2327=30,"③特定消防","対象外"),IF(OR($AJ2327=10,$AJ2327=11,$AJ2327=74),"④一般",IF(OR($AJ2327=41,$AJ2327=47),"⑤短期","対象外"))))))</f>
        <v/>
      </c>
    </row>
    <row r="2328" customFormat="false" ht="15" hidden="false" customHeight="false" outlineLevel="0" collapsed="false">
      <c r="DB2328" s="0" t="str">
        <f aca="false">IF($A2328="","",IF($AE2328&amp;""&lt;&gt;設定!$C$4,"対象外",IF($AH2328=20,IF(OR($AJ2328=10,$AJ2328=11,$AJ2328=18),"①病院一般",IF($AJ2328=41,"②病院短期","対象外")),IF($AH2328=5,IF($AJ2328=30,"③特定消防","対象外"),IF(OR($AJ2328=10,$AJ2328=11,$AJ2328=74),"④一般",IF(OR($AJ2328=41,$AJ2328=47),"⑤短期","対象外"))))))</f>
        <v/>
      </c>
    </row>
    <row r="2329" customFormat="false" ht="15" hidden="false" customHeight="false" outlineLevel="0" collapsed="false">
      <c r="DB2329" s="0" t="str">
        <f aca="false">IF($A2329="","",IF($AE2329&amp;""&lt;&gt;設定!$C$4,"対象外",IF($AH2329=20,IF(OR($AJ2329=10,$AJ2329=11,$AJ2329=18),"①病院一般",IF($AJ2329=41,"②病院短期","対象外")),IF($AH2329=5,IF($AJ2329=30,"③特定消防","対象外"),IF(OR($AJ2329=10,$AJ2329=11,$AJ2329=74),"④一般",IF(OR($AJ2329=41,$AJ2329=47),"⑤短期","対象外"))))))</f>
        <v/>
      </c>
    </row>
    <row r="2330" customFormat="false" ht="15" hidden="false" customHeight="false" outlineLevel="0" collapsed="false">
      <c r="DB2330" s="0" t="str">
        <f aca="false">IF($A2330="","",IF($AE2330&amp;""&lt;&gt;設定!$C$4,"対象外",IF($AH2330=20,IF(OR($AJ2330=10,$AJ2330=11,$AJ2330=18),"①病院一般",IF($AJ2330=41,"②病院短期","対象外")),IF($AH2330=5,IF($AJ2330=30,"③特定消防","対象外"),IF(OR($AJ2330=10,$AJ2330=11,$AJ2330=74),"④一般",IF(OR($AJ2330=41,$AJ2330=47),"⑤短期","対象外"))))))</f>
        <v/>
      </c>
    </row>
    <row r="2331" customFormat="false" ht="15" hidden="false" customHeight="false" outlineLevel="0" collapsed="false">
      <c r="DB2331" s="0" t="str">
        <f aca="false">IF($A2331="","",IF($AE2331&amp;""&lt;&gt;設定!$C$4,"対象外",IF($AH2331=20,IF(OR($AJ2331=10,$AJ2331=11,$AJ2331=18),"①病院一般",IF($AJ2331=41,"②病院短期","対象外")),IF($AH2331=5,IF($AJ2331=30,"③特定消防","対象外"),IF(OR($AJ2331=10,$AJ2331=11,$AJ2331=74),"④一般",IF(OR($AJ2331=41,$AJ2331=47),"⑤短期","対象外"))))))</f>
        <v/>
      </c>
    </row>
    <row r="2332" customFormat="false" ht="15" hidden="false" customHeight="false" outlineLevel="0" collapsed="false">
      <c r="DB2332" s="0" t="str">
        <f aca="false">IF($A2332="","",IF($AE2332&amp;""&lt;&gt;設定!$C$4,"対象外",IF($AH2332=20,IF(OR($AJ2332=10,$AJ2332=11,$AJ2332=18),"①病院一般",IF($AJ2332=41,"②病院短期","対象外")),IF($AH2332=5,IF($AJ2332=30,"③特定消防","対象外"),IF(OR($AJ2332=10,$AJ2332=11,$AJ2332=74),"④一般",IF(OR($AJ2332=41,$AJ2332=47),"⑤短期","対象外"))))))</f>
        <v/>
      </c>
    </row>
    <row r="2333" customFormat="false" ht="15" hidden="false" customHeight="false" outlineLevel="0" collapsed="false">
      <c r="DB2333" s="0" t="str">
        <f aca="false">IF($A2333="","",IF($AE2333&amp;""&lt;&gt;設定!$C$4,"対象外",IF($AH2333=20,IF(OR($AJ2333=10,$AJ2333=11,$AJ2333=18),"①病院一般",IF($AJ2333=41,"②病院短期","対象外")),IF($AH2333=5,IF($AJ2333=30,"③特定消防","対象外"),IF(OR($AJ2333=10,$AJ2333=11,$AJ2333=74),"④一般",IF(OR($AJ2333=41,$AJ2333=47),"⑤短期","対象外"))))))</f>
        <v/>
      </c>
    </row>
    <row r="2334" customFormat="false" ht="15" hidden="false" customHeight="false" outlineLevel="0" collapsed="false">
      <c r="DB2334" s="0" t="str">
        <f aca="false">IF($A2334="","",IF($AE2334&amp;""&lt;&gt;設定!$C$4,"対象外",IF($AH2334=20,IF(OR($AJ2334=10,$AJ2334=11,$AJ2334=18),"①病院一般",IF($AJ2334=41,"②病院短期","対象外")),IF($AH2334=5,IF($AJ2334=30,"③特定消防","対象外"),IF(OR($AJ2334=10,$AJ2334=11,$AJ2334=74),"④一般",IF(OR($AJ2334=41,$AJ2334=47),"⑤短期","対象外"))))))</f>
        <v/>
      </c>
    </row>
    <row r="2335" customFormat="false" ht="15" hidden="false" customHeight="false" outlineLevel="0" collapsed="false">
      <c r="DB2335" s="0" t="str">
        <f aca="false">IF($A2335="","",IF($AE2335&amp;""&lt;&gt;設定!$C$4,"対象外",IF($AH2335=20,IF(OR($AJ2335=10,$AJ2335=11,$AJ2335=18),"①病院一般",IF($AJ2335=41,"②病院短期","対象外")),IF($AH2335=5,IF($AJ2335=30,"③特定消防","対象外"),IF(OR($AJ2335=10,$AJ2335=11,$AJ2335=74),"④一般",IF(OR($AJ2335=41,$AJ2335=47),"⑤短期","対象外"))))))</f>
        <v/>
      </c>
    </row>
    <row r="2336" customFormat="false" ht="15" hidden="false" customHeight="false" outlineLevel="0" collapsed="false">
      <c r="DB2336" s="0" t="str">
        <f aca="false">IF($A2336="","",IF($AE2336&amp;""&lt;&gt;設定!$C$4,"対象外",IF($AH2336=20,IF(OR($AJ2336=10,$AJ2336=11,$AJ2336=18),"①病院一般",IF($AJ2336=41,"②病院短期","対象外")),IF($AH2336=5,IF($AJ2336=30,"③特定消防","対象外"),IF(OR($AJ2336=10,$AJ2336=11,$AJ2336=74),"④一般",IF(OR($AJ2336=41,$AJ2336=47),"⑤短期","対象外"))))))</f>
        <v/>
      </c>
    </row>
    <row r="2337" customFormat="false" ht="15" hidden="false" customHeight="false" outlineLevel="0" collapsed="false">
      <c r="DB2337" s="0" t="str">
        <f aca="false">IF($A2337="","",IF($AE2337&amp;""&lt;&gt;設定!$C$4,"対象外",IF($AH2337=20,IF(OR($AJ2337=10,$AJ2337=11,$AJ2337=18),"①病院一般",IF($AJ2337=41,"②病院短期","対象外")),IF($AH2337=5,IF($AJ2337=30,"③特定消防","対象外"),IF(OR($AJ2337=10,$AJ2337=11,$AJ2337=74),"④一般",IF(OR($AJ2337=41,$AJ2337=47),"⑤短期","対象外"))))))</f>
        <v/>
      </c>
    </row>
    <row r="2338" customFormat="false" ht="15" hidden="false" customHeight="false" outlineLevel="0" collapsed="false">
      <c r="DB2338" s="0" t="str">
        <f aca="false">IF($A2338="","",IF($AE2338&amp;""&lt;&gt;設定!$C$4,"対象外",IF($AH2338=20,IF(OR($AJ2338=10,$AJ2338=11,$AJ2338=18),"①病院一般",IF($AJ2338=41,"②病院短期","対象外")),IF($AH2338=5,IF($AJ2338=30,"③特定消防","対象外"),IF(OR($AJ2338=10,$AJ2338=11,$AJ2338=74),"④一般",IF(OR($AJ2338=41,$AJ2338=47),"⑤短期","対象外"))))))</f>
        <v/>
      </c>
    </row>
    <row r="2339" customFormat="false" ht="15" hidden="false" customHeight="false" outlineLevel="0" collapsed="false">
      <c r="DB2339" s="0" t="str">
        <f aca="false">IF($A2339="","",IF($AE2339&amp;""&lt;&gt;設定!$C$4,"対象外",IF($AH2339=20,IF(OR($AJ2339=10,$AJ2339=11,$AJ2339=18),"①病院一般",IF($AJ2339=41,"②病院短期","対象外")),IF($AH2339=5,IF($AJ2339=30,"③特定消防","対象外"),IF(OR($AJ2339=10,$AJ2339=11,$AJ2339=74),"④一般",IF(OR($AJ2339=41,$AJ2339=47),"⑤短期","対象外"))))))</f>
        <v/>
      </c>
    </row>
    <row r="2340" customFormat="false" ht="15" hidden="false" customHeight="false" outlineLevel="0" collapsed="false">
      <c r="DB2340" s="0" t="str">
        <f aca="false">IF($A2340="","",IF($AE2340&amp;""&lt;&gt;設定!$C$4,"対象外",IF($AH2340=20,IF(OR($AJ2340=10,$AJ2340=11,$AJ2340=18),"①病院一般",IF($AJ2340=41,"②病院短期","対象外")),IF($AH2340=5,IF($AJ2340=30,"③特定消防","対象外"),IF(OR($AJ2340=10,$AJ2340=11,$AJ2340=74),"④一般",IF(OR($AJ2340=41,$AJ2340=47),"⑤短期","対象外"))))))</f>
        <v/>
      </c>
    </row>
    <row r="2341" customFormat="false" ht="15" hidden="false" customHeight="false" outlineLevel="0" collapsed="false">
      <c r="DB2341" s="0" t="str">
        <f aca="false">IF($A2341="","",IF($AE2341&amp;""&lt;&gt;設定!$C$4,"対象外",IF($AH2341=20,IF(OR($AJ2341=10,$AJ2341=11,$AJ2341=18),"①病院一般",IF($AJ2341=41,"②病院短期","対象外")),IF($AH2341=5,IF($AJ2341=30,"③特定消防","対象外"),IF(OR($AJ2341=10,$AJ2341=11,$AJ2341=74),"④一般",IF(OR($AJ2341=41,$AJ2341=47),"⑤短期","対象外"))))))</f>
        <v/>
      </c>
    </row>
    <row r="2342" customFormat="false" ht="15" hidden="false" customHeight="false" outlineLevel="0" collapsed="false">
      <c r="DB2342" s="0" t="str">
        <f aca="false">IF($A2342="","",IF($AE2342&amp;""&lt;&gt;設定!$C$4,"対象外",IF($AH2342=20,IF(OR($AJ2342=10,$AJ2342=11,$AJ2342=18),"①病院一般",IF($AJ2342=41,"②病院短期","対象外")),IF($AH2342=5,IF($AJ2342=30,"③特定消防","対象外"),IF(OR($AJ2342=10,$AJ2342=11,$AJ2342=74),"④一般",IF(OR($AJ2342=41,$AJ2342=47),"⑤短期","対象外"))))))</f>
        <v/>
      </c>
    </row>
    <row r="2343" customFormat="false" ht="15" hidden="false" customHeight="false" outlineLevel="0" collapsed="false">
      <c r="DB2343" s="0" t="str">
        <f aca="false">IF($A2343="","",IF($AE2343&amp;""&lt;&gt;設定!$C$4,"対象外",IF($AH2343=20,IF(OR($AJ2343=10,$AJ2343=11,$AJ2343=18),"①病院一般",IF($AJ2343=41,"②病院短期","対象外")),IF($AH2343=5,IF($AJ2343=30,"③特定消防","対象外"),IF(OR($AJ2343=10,$AJ2343=11,$AJ2343=74),"④一般",IF(OR($AJ2343=41,$AJ2343=47),"⑤短期","対象外"))))))</f>
        <v/>
      </c>
    </row>
    <row r="2344" customFormat="false" ht="15" hidden="false" customHeight="false" outlineLevel="0" collapsed="false">
      <c r="DB2344" s="0" t="str">
        <f aca="false">IF($A2344="","",IF($AE2344&amp;""&lt;&gt;設定!$C$4,"対象外",IF($AH2344=20,IF(OR($AJ2344=10,$AJ2344=11,$AJ2344=18),"①病院一般",IF($AJ2344=41,"②病院短期","対象外")),IF($AH2344=5,IF($AJ2344=30,"③特定消防","対象外"),IF(OR($AJ2344=10,$AJ2344=11,$AJ2344=74),"④一般",IF(OR($AJ2344=41,$AJ2344=47),"⑤短期","対象外"))))))</f>
        <v/>
      </c>
    </row>
    <row r="2345" customFormat="false" ht="15" hidden="false" customHeight="false" outlineLevel="0" collapsed="false">
      <c r="DB2345" s="0" t="str">
        <f aca="false">IF($A2345="","",IF($AE2345&amp;""&lt;&gt;設定!$C$4,"対象外",IF($AH2345=20,IF(OR($AJ2345=10,$AJ2345=11,$AJ2345=18),"①病院一般",IF($AJ2345=41,"②病院短期","対象外")),IF($AH2345=5,IF($AJ2345=30,"③特定消防","対象外"),IF(OR($AJ2345=10,$AJ2345=11,$AJ2345=74),"④一般",IF(OR($AJ2345=41,$AJ2345=47),"⑤短期","対象外"))))))</f>
        <v/>
      </c>
    </row>
    <row r="2346" customFormat="false" ht="15" hidden="false" customHeight="false" outlineLevel="0" collapsed="false">
      <c r="DB2346" s="0" t="str">
        <f aca="false">IF($A2346="","",IF($AE2346&amp;""&lt;&gt;設定!$C$4,"対象外",IF($AH2346=20,IF(OR($AJ2346=10,$AJ2346=11,$AJ2346=18),"①病院一般",IF($AJ2346=41,"②病院短期","対象外")),IF($AH2346=5,IF($AJ2346=30,"③特定消防","対象外"),IF(OR($AJ2346=10,$AJ2346=11,$AJ2346=74),"④一般",IF(OR($AJ2346=41,$AJ2346=47),"⑤短期","対象外"))))))</f>
        <v/>
      </c>
    </row>
    <row r="2347" customFormat="false" ht="15" hidden="false" customHeight="false" outlineLevel="0" collapsed="false">
      <c r="DB2347" s="0" t="str">
        <f aca="false">IF($A2347="","",IF($AE2347&amp;""&lt;&gt;設定!$C$4,"対象外",IF($AH2347=20,IF(OR($AJ2347=10,$AJ2347=11,$AJ2347=18),"①病院一般",IF($AJ2347=41,"②病院短期","対象外")),IF($AH2347=5,IF($AJ2347=30,"③特定消防","対象外"),IF(OR($AJ2347=10,$AJ2347=11,$AJ2347=74),"④一般",IF(OR($AJ2347=41,$AJ2347=47),"⑤短期","対象外"))))))</f>
        <v/>
      </c>
    </row>
    <row r="2348" customFormat="false" ht="15" hidden="false" customHeight="false" outlineLevel="0" collapsed="false">
      <c r="DB2348" s="0" t="str">
        <f aca="false">IF($A2348="","",IF($AE2348&amp;""&lt;&gt;設定!$C$4,"対象外",IF($AH2348=20,IF(OR($AJ2348=10,$AJ2348=11,$AJ2348=18),"①病院一般",IF($AJ2348=41,"②病院短期","対象外")),IF($AH2348=5,IF($AJ2348=30,"③特定消防","対象外"),IF(OR($AJ2348=10,$AJ2348=11,$AJ2348=74),"④一般",IF(OR($AJ2348=41,$AJ2348=47),"⑤短期","対象外"))))))</f>
        <v/>
      </c>
    </row>
    <row r="2349" customFormat="false" ht="15" hidden="false" customHeight="false" outlineLevel="0" collapsed="false">
      <c r="DB2349" s="0" t="str">
        <f aca="false">IF($A2349="","",IF($AE2349&amp;""&lt;&gt;設定!$C$4,"対象外",IF($AH2349=20,IF(OR($AJ2349=10,$AJ2349=11,$AJ2349=18),"①病院一般",IF($AJ2349=41,"②病院短期","対象外")),IF($AH2349=5,IF($AJ2349=30,"③特定消防","対象外"),IF(OR($AJ2349=10,$AJ2349=11,$AJ2349=74),"④一般",IF(OR($AJ2349=41,$AJ2349=47),"⑤短期","対象外"))))))</f>
        <v/>
      </c>
    </row>
    <row r="2350" customFormat="false" ht="15" hidden="false" customHeight="false" outlineLevel="0" collapsed="false">
      <c r="DB2350" s="0" t="str">
        <f aca="false">IF($A2350="","",IF($AE2350&amp;""&lt;&gt;設定!$C$4,"対象外",IF($AH2350=20,IF(OR($AJ2350=10,$AJ2350=11,$AJ2350=18),"①病院一般",IF($AJ2350=41,"②病院短期","対象外")),IF($AH2350=5,IF($AJ2350=30,"③特定消防","対象外"),IF(OR($AJ2350=10,$AJ2350=11,$AJ2350=74),"④一般",IF(OR($AJ2350=41,$AJ2350=47),"⑤短期","対象外"))))))</f>
        <v/>
      </c>
    </row>
    <row r="2351" customFormat="false" ht="15" hidden="false" customHeight="false" outlineLevel="0" collapsed="false">
      <c r="DB2351" s="0" t="str">
        <f aca="false">IF($A2351="","",IF($AE2351&amp;""&lt;&gt;設定!$C$4,"対象外",IF($AH2351=20,IF(OR($AJ2351=10,$AJ2351=11,$AJ2351=18),"①病院一般",IF($AJ2351=41,"②病院短期","対象外")),IF($AH2351=5,IF($AJ2351=30,"③特定消防","対象外"),IF(OR($AJ2351=10,$AJ2351=11,$AJ2351=74),"④一般",IF(OR($AJ2351=41,$AJ2351=47),"⑤短期","対象外"))))))</f>
        <v/>
      </c>
    </row>
    <row r="2352" customFormat="false" ht="15" hidden="false" customHeight="false" outlineLevel="0" collapsed="false">
      <c r="DB2352" s="0" t="str">
        <f aca="false">IF($A2352="","",IF($AE2352&amp;""&lt;&gt;設定!$C$4,"対象外",IF($AH2352=20,IF(OR($AJ2352=10,$AJ2352=11,$AJ2352=18),"①病院一般",IF($AJ2352=41,"②病院短期","対象外")),IF($AH2352=5,IF($AJ2352=30,"③特定消防","対象外"),IF(OR($AJ2352=10,$AJ2352=11,$AJ2352=74),"④一般",IF(OR($AJ2352=41,$AJ2352=47),"⑤短期","対象外"))))))</f>
        <v/>
      </c>
    </row>
    <row r="2353" customFormat="false" ht="15" hidden="false" customHeight="false" outlineLevel="0" collapsed="false">
      <c r="DB2353" s="0" t="str">
        <f aca="false">IF($A2353="","",IF($AE2353&amp;""&lt;&gt;設定!$C$4,"対象外",IF($AH2353=20,IF(OR($AJ2353=10,$AJ2353=11,$AJ2353=18),"①病院一般",IF($AJ2353=41,"②病院短期","対象外")),IF($AH2353=5,IF($AJ2353=30,"③特定消防","対象外"),IF(OR($AJ2353=10,$AJ2353=11,$AJ2353=74),"④一般",IF(OR($AJ2353=41,$AJ2353=47),"⑤短期","対象外"))))))</f>
        <v/>
      </c>
    </row>
    <row r="2354" customFormat="false" ht="15" hidden="false" customHeight="false" outlineLevel="0" collapsed="false">
      <c r="DB2354" s="0" t="str">
        <f aca="false">IF($A2354="","",IF($AE2354&amp;""&lt;&gt;設定!$C$4,"対象外",IF($AH2354=20,IF(OR($AJ2354=10,$AJ2354=11,$AJ2354=18),"①病院一般",IF($AJ2354=41,"②病院短期","対象外")),IF($AH2354=5,IF($AJ2354=30,"③特定消防","対象外"),IF(OR($AJ2354=10,$AJ2354=11,$AJ2354=74),"④一般",IF(OR($AJ2354=41,$AJ2354=47),"⑤短期","対象外"))))))</f>
        <v/>
      </c>
    </row>
    <row r="2355" customFormat="false" ht="15" hidden="false" customHeight="false" outlineLevel="0" collapsed="false">
      <c r="DB2355" s="0" t="str">
        <f aca="false">IF($A2355="","",IF($AE2355&amp;""&lt;&gt;設定!$C$4,"対象外",IF($AH2355=20,IF(OR($AJ2355=10,$AJ2355=11,$AJ2355=18),"①病院一般",IF($AJ2355=41,"②病院短期","対象外")),IF($AH2355=5,IF($AJ2355=30,"③特定消防","対象外"),IF(OR($AJ2355=10,$AJ2355=11,$AJ2355=74),"④一般",IF(OR($AJ2355=41,$AJ2355=47),"⑤短期","対象外"))))))</f>
        <v/>
      </c>
    </row>
    <row r="2356" customFormat="false" ht="15" hidden="false" customHeight="false" outlineLevel="0" collapsed="false">
      <c r="DB2356" s="0" t="str">
        <f aca="false">IF($A2356="","",IF($AE2356&amp;""&lt;&gt;設定!$C$4,"対象外",IF($AH2356=20,IF(OR($AJ2356=10,$AJ2356=11,$AJ2356=18),"①病院一般",IF($AJ2356=41,"②病院短期","対象外")),IF($AH2356=5,IF($AJ2356=30,"③特定消防","対象外"),IF(OR($AJ2356=10,$AJ2356=11,$AJ2356=74),"④一般",IF(OR($AJ2356=41,$AJ2356=47),"⑤短期","対象外"))))))</f>
        <v/>
      </c>
    </row>
    <row r="2357" customFormat="false" ht="15" hidden="false" customHeight="false" outlineLevel="0" collapsed="false">
      <c r="DB2357" s="0" t="str">
        <f aca="false">IF($A2357="","",IF($AE2357&amp;""&lt;&gt;設定!$C$4,"対象外",IF($AH2357=20,IF(OR($AJ2357=10,$AJ2357=11,$AJ2357=18),"①病院一般",IF($AJ2357=41,"②病院短期","対象外")),IF($AH2357=5,IF($AJ2357=30,"③特定消防","対象外"),IF(OR($AJ2357=10,$AJ2357=11,$AJ2357=74),"④一般",IF(OR($AJ2357=41,$AJ2357=47),"⑤短期","対象外"))))))</f>
        <v/>
      </c>
    </row>
    <row r="2358" customFormat="false" ht="15" hidden="false" customHeight="false" outlineLevel="0" collapsed="false">
      <c r="DB2358" s="0" t="str">
        <f aca="false">IF($A2358="","",IF($AE2358&amp;""&lt;&gt;設定!$C$4,"対象外",IF($AH2358=20,IF(OR($AJ2358=10,$AJ2358=11,$AJ2358=18),"①病院一般",IF($AJ2358=41,"②病院短期","対象外")),IF($AH2358=5,IF($AJ2358=30,"③特定消防","対象外"),IF(OR($AJ2358=10,$AJ2358=11,$AJ2358=74),"④一般",IF(OR($AJ2358=41,$AJ2358=47),"⑤短期","対象外"))))))</f>
        <v/>
      </c>
    </row>
    <row r="2359" customFormat="false" ht="15" hidden="false" customHeight="false" outlineLevel="0" collapsed="false">
      <c r="DB2359" s="0" t="str">
        <f aca="false">IF($A2359="","",IF($AE2359&amp;""&lt;&gt;設定!$C$4,"対象外",IF($AH2359=20,IF(OR($AJ2359=10,$AJ2359=11,$AJ2359=18),"①病院一般",IF($AJ2359=41,"②病院短期","対象外")),IF($AH2359=5,IF($AJ2359=30,"③特定消防","対象外"),IF(OR($AJ2359=10,$AJ2359=11,$AJ2359=74),"④一般",IF(OR($AJ2359=41,$AJ2359=47),"⑤短期","対象外"))))))</f>
        <v/>
      </c>
    </row>
    <row r="2360" customFormat="false" ht="15" hidden="false" customHeight="false" outlineLevel="0" collapsed="false">
      <c r="DB2360" s="0" t="str">
        <f aca="false">IF($A2360="","",IF($AE2360&amp;""&lt;&gt;設定!$C$4,"対象外",IF($AH2360=20,IF(OR($AJ2360=10,$AJ2360=11,$AJ2360=18),"①病院一般",IF($AJ2360=41,"②病院短期","対象外")),IF($AH2360=5,IF($AJ2360=30,"③特定消防","対象外"),IF(OR($AJ2360=10,$AJ2360=11,$AJ2360=74),"④一般",IF(OR($AJ2360=41,$AJ2360=47),"⑤短期","対象外"))))))</f>
        <v/>
      </c>
    </row>
    <row r="2361" customFormat="false" ht="15" hidden="false" customHeight="false" outlineLevel="0" collapsed="false">
      <c r="DB2361" s="0" t="str">
        <f aca="false">IF($A2361="","",IF($AE2361&amp;""&lt;&gt;設定!$C$4,"対象外",IF($AH2361=20,IF(OR($AJ2361=10,$AJ2361=11,$AJ2361=18),"①病院一般",IF($AJ2361=41,"②病院短期","対象外")),IF($AH2361=5,IF($AJ2361=30,"③特定消防","対象外"),IF(OR($AJ2361=10,$AJ2361=11,$AJ2361=74),"④一般",IF(OR($AJ2361=41,$AJ2361=47),"⑤短期","対象外"))))))</f>
        <v/>
      </c>
    </row>
    <row r="2362" customFormat="false" ht="15" hidden="false" customHeight="false" outlineLevel="0" collapsed="false">
      <c r="DB2362" s="0" t="str">
        <f aca="false">IF($A2362="","",IF($AE2362&amp;""&lt;&gt;設定!$C$4,"対象外",IF($AH2362=20,IF(OR($AJ2362=10,$AJ2362=11,$AJ2362=18),"①病院一般",IF($AJ2362=41,"②病院短期","対象外")),IF($AH2362=5,IF($AJ2362=30,"③特定消防","対象外"),IF(OR($AJ2362=10,$AJ2362=11,$AJ2362=74),"④一般",IF(OR($AJ2362=41,$AJ2362=47),"⑤短期","対象外"))))))</f>
        <v/>
      </c>
    </row>
    <row r="2363" customFormat="false" ht="15" hidden="false" customHeight="false" outlineLevel="0" collapsed="false">
      <c r="DB2363" s="0" t="str">
        <f aca="false">IF($A2363="","",IF($AE2363&amp;""&lt;&gt;設定!$C$4,"対象外",IF($AH2363=20,IF(OR($AJ2363=10,$AJ2363=11,$AJ2363=18),"①病院一般",IF($AJ2363=41,"②病院短期","対象外")),IF($AH2363=5,IF($AJ2363=30,"③特定消防","対象外"),IF(OR($AJ2363=10,$AJ2363=11,$AJ2363=74),"④一般",IF(OR($AJ2363=41,$AJ2363=47),"⑤短期","対象外"))))))</f>
        <v/>
      </c>
    </row>
    <row r="2364" customFormat="false" ht="15" hidden="false" customHeight="false" outlineLevel="0" collapsed="false">
      <c r="DB2364" s="0" t="str">
        <f aca="false">IF($A2364="","",IF($AE2364&amp;""&lt;&gt;設定!$C$4,"対象外",IF($AH2364=20,IF(OR($AJ2364=10,$AJ2364=11,$AJ2364=18),"①病院一般",IF($AJ2364=41,"②病院短期","対象外")),IF($AH2364=5,IF($AJ2364=30,"③特定消防","対象外"),IF(OR($AJ2364=10,$AJ2364=11,$AJ2364=74),"④一般",IF(OR($AJ2364=41,$AJ2364=47),"⑤短期","対象外"))))))</f>
        <v/>
      </c>
    </row>
    <row r="2365" customFormat="false" ht="15" hidden="false" customHeight="false" outlineLevel="0" collapsed="false">
      <c r="DB2365" s="0" t="str">
        <f aca="false">IF($A2365="","",IF($AE2365&amp;""&lt;&gt;設定!$C$4,"対象外",IF($AH2365=20,IF(OR($AJ2365=10,$AJ2365=11,$AJ2365=18),"①病院一般",IF($AJ2365=41,"②病院短期","対象外")),IF($AH2365=5,IF($AJ2365=30,"③特定消防","対象外"),IF(OR($AJ2365=10,$AJ2365=11,$AJ2365=74),"④一般",IF(OR($AJ2365=41,$AJ2365=47),"⑤短期","対象外"))))))</f>
        <v/>
      </c>
    </row>
    <row r="2366" customFormat="false" ht="15" hidden="false" customHeight="false" outlineLevel="0" collapsed="false">
      <c r="DB2366" s="0" t="str">
        <f aca="false">IF($A2366="","",IF($AE2366&amp;""&lt;&gt;設定!$C$4,"対象外",IF($AH2366=20,IF(OR($AJ2366=10,$AJ2366=11,$AJ2366=18),"①病院一般",IF($AJ2366=41,"②病院短期","対象外")),IF($AH2366=5,IF($AJ2366=30,"③特定消防","対象外"),IF(OR($AJ2366=10,$AJ2366=11,$AJ2366=74),"④一般",IF(OR($AJ2366=41,$AJ2366=47),"⑤短期","対象外"))))))</f>
        <v/>
      </c>
    </row>
    <row r="2367" customFormat="false" ht="15" hidden="false" customHeight="false" outlineLevel="0" collapsed="false">
      <c r="DB2367" s="0" t="str">
        <f aca="false">IF($A2367="","",IF($AE2367&amp;""&lt;&gt;設定!$C$4,"対象外",IF($AH2367=20,IF(OR($AJ2367=10,$AJ2367=11,$AJ2367=18),"①病院一般",IF($AJ2367=41,"②病院短期","対象外")),IF($AH2367=5,IF($AJ2367=30,"③特定消防","対象外"),IF(OR($AJ2367=10,$AJ2367=11,$AJ2367=74),"④一般",IF(OR($AJ2367=41,$AJ2367=47),"⑤短期","対象外"))))))</f>
        <v/>
      </c>
    </row>
    <row r="2368" customFormat="false" ht="15" hidden="false" customHeight="false" outlineLevel="0" collapsed="false">
      <c r="DB2368" s="0" t="str">
        <f aca="false">IF($A2368="","",IF($AE2368&amp;""&lt;&gt;設定!$C$4,"対象外",IF($AH2368=20,IF(OR($AJ2368=10,$AJ2368=11,$AJ2368=18),"①病院一般",IF($AJ2368=41,"②病院短期","対象外")),IF($AH2368=5,IF($AJ2368=30,"③特定消防","対象外"),IF(OR($AJ2368=10,$AJ2368=11,$AJ2368=74),"④一般",IF(OR($AJ2368=41,$AJ2368=47),"⑤短期","対象外"))))))</f>
        <v/>
      </c>
    </row>
    <row r="2369" customFormat="false" ht="15" hidden="false" customHeight="false" outlineLevel="0" collapsed="false">
      <c r="DB2369" s="0" t="str">
        <f aca="false">IF($A2369="","",IF($AE2369&amp;""&lt;&gt;設定!$C$4,"対象外",IF($AH2369=20,IF(OR($AJ2369=10,$AJ2369=11,$AJ2369=18),"①病院一般",IF($AJ2369=41,"②病院短期","対象外")),IF($AH2369=5,IF($AJ2369=30,"③特定消防","対象外"),IF(OR($AJ2369=10,$AJ2369=11,$AJ2369=74),"④一般",IF(OR($AJ2369=41,$AJ2369=47),"⑤短期","対象外"))))))</f>
        <v/>
      </c>
    </row>
    <row r="2370" customFormat="false" ht="15" hidden="false" customHeight="false" outlineLevel="0" collapsed="false">
      <c r="DB2370" s="0" t="str">
        <f aca="false">IF($A2370="","",IF($AE2370&amp;""&lt;&gt;設定!$C$4,"対象外",IF($AH2370=20,IF(OR($AJ2370=10,$AJ2370=11,$AJ2370=18),"①病院一般",IF($AJ2370=41,"②病院短期","対象外")),IF($AH2370=5,IF($AJ2370=30,"③特定消防","対象外"),IF(OR($AJ2370=10,$AJ2370=11,$AJ2370=74),"④一般",IF(OR($AJ2370=41,$AJ2370=47),"⑤短期","対象外"))))))</f>
        <v/>
      </c>
    </row>
    <row r="2371" customFormat="false" ht="15" hidden="false" customHeight="false" outlineLevel="0" collapsed="false">
      <c r="DB2371" s="0" t="str">
        <f aca="false">IF($A2371="","",IF($AE2371&amp;""&lt;&gt;設定!$C$4,"対象外",IF($AH2371=20,IF(OR($AJ2371=10,$AJ2371=11,$AJ2371=18),"①病院一般",IF($AJ2371=41,"②病院短期","対象外")),IF($AH2371=5,IF($AJ2371=30,"③特定消防","対象外"),IF(OR($AJ2371=10,$AJ2371=11,$AJ2371=74),"④一般",IF(OR($AJ2371=41,$AJ2371=47),"⑤短期","対象外"))))))</f>
        <v/>
      </c>
    </row>
    <row r="2372" customFormat="false" ht="15" hidden="false" customHeight="false" outlineLevel="0" collapsed="false">
      <c r="DB2372" s="0" t="str">
        <f aca="false">IF($A2372="","",IF($AE2372&amp;""&lt;&gt;設定!$C$4,"対象外",IF($AH2372=20,IF(OR($AJ2372=10,$AJ2372=11,$AJ2372=18),"①病院一般",IF($AJ2372=41,"②病院短期","対象外")),IF($AH2372=5,IF($AJ2372=30,"③特定消防","対象外"),IF(OR($AJ2372=10,$AJ2372=11,$AJ2372=74),"④一般",IF(OR($AJ2372=41,$AJ2372=47),"⑤短期","対象外"))))))</f>
        <v/>
      </c>
    </row>
    <row r="2373" customFormat="false" ht="15" hidden="false" customHeight="false" outlineLevel="0" collapsed="false">
      <c r="DB2373" s="0" t="str">
        <f aca="false">IF($A2373="","",IF($AE2373&amp;""&lt;&gt;設定!$C$4,"対象外",IF($AH2373=20,IF(OR($AJ2373=10,$AJ2373=11,$AJ2373=18),"①病院一般",IF($AJ2373=41,"②病院短期","対象外")),IF($AH2373=5,IF($AJ2373=30,"③特定消防","対象外"),IF(OR($AJ2373=10,$AJ2373=11,$AJ2373=74),"④一般",IF(OR($AJ2373=41,$AJ2373=47),"⑤短期","対象外"))))))</f>
        <v/>
      </c>
    </row>
    <row r="2374" customFormat="false" ht="15" hidden="false" customHeight="false" outlineLevel="0" collapsed="false">
      <c r="DB2374" s="0" t="str">
        <f aca="false">IF($A2374="","",IF($AE2374&amp;""&lt;&gt;設定!$C$4,"対象外",IF($AH2374=20,IF(OR($AJ2374=10,$AJ2374=11,$AJ2374=18),"①病院一般",IF($AJ2374=41,"②病院短期","対象外")),IF($AH2374=5,IF($AJ2374=30,"③特定消防","対象外"),IF(OR($AJ2374=10,$AJ2374=11,$AJ2374=74),"④一般",IF(OR($AJ2374=41,$AJ2374=47),"⑤短期","対象外"))))))</f>
        <v/>
      </c>
    </row>
    <row r="2375" customFormat="false" ht="15" hidden="false" customHeight="false" outlineLevel="0" collapsed="false">
      <c r="DB2375" s="0" t="str">
        <f aca="false">IF($A2375="","",IF($AE2375&amp;""&lt;&gt;設定!$C$4,"対象外",IF($AH2375=20,IF(OR($AJ2375=10,$AJ2375=11,$AJ2375=18),"①病院一般",IF($AJ2375=41,"②病院短期","対象外")),IF($AH2375=5,IF($AJ2375=30,"③特定消防","対象外"),IF(OR($AJ2375=10,$AJ2375=11,$AJ2375=74),"④一般",IF(OR($AJ2375=41,$AJ2375=47),"⑤短期","対象外"))))))</f>
        <v/>
      </c>
    </row>
    <row r="2376" customFormat="false" ht="15" hidden="false" customHeight="false" outlineLevel="0" collapsed="false">
      <c r="DB2376" s="0" t="str">
        <f aca="false">IF($A2376="","",IF($AE2376&amp;""&lt;&gt;設定!$C$4,"対象外",IF($AH2376=20,IF(OR($AJ2376=10,$AJ2376=11,$AJ2376=18),"①病院一般",IF($AJ2376=41,"②病院短期","対象外")),IF($AH2376=5,IF($AJ2376=30,"③特定消防","対象外"),IF(OR($AJ2376=10,$AJ2376=11,$AJ2376=74),"④一般",IF(OR($AJ2376=41,$AJ2376=47),"⑤短期","対象外"))))))</f>
        <v/>
      </c>
    </row>
    <row r="2377" customFormat="false" ht="15" hidden="false" customHeight="false" outlineLevel="0" collapsed="false">
      <c r="DB2377" s="0" t="str">
        <f aca="false">IF($A2377="","",IF($AE2377&amp;""&lt;&gt;設定!$C$4,"対象外",IF($AH2377=20,IF(OR($AJ2377=10,$AJ2377=11,$AJ2377=18),"①病院一般",IF($AJ2377=41,"②病院短期","対象外")),IF($AH2377=5,IF($AJ2377=30,"③特定消防","対象外"),IF(OR($AJ2377=10,$AJ2377=11,$AJ2377=74),"④一般",IF(OR($AJ2377=41,$AJ2377=47),"⑤短期","対象外"))))))</f>
        <v/>
      </c>
    </row>
    <row r="2378" customFormat="false" ht="15" hidden="false" customHeight="false" outlineLevel="0" collapsed="false">
      <c r="DB2378" s="0" t="str">
        <f aca="false">IF($A2378="","",IF($AE2378&amp;""&lt;&gt;設定!$C$4,"対象外",IF($AH2378=20,IF(OR($AJ2378=10,$AJ2378=11,$AJ2378=18),"①病院一般",IF($AJ2378=41,"②病院短期","対象外")),IF($AH2378=5,IF($AJ2378=30,"③特定消防","対象外"),IF(OR($AJ2378=10,$AJ2378=11,$AJ2378=74),"④一般",IF(OR($AJ2378=41,$AJ2378=47),"⑤短期","対象外"))))))</f>
        <v/>
      </c>
    </row>
    <row r="2379" customFormat="false" ht="15" hidden="false" customHeight="false" outlineLevel="0" collapsed="false">
      <c r="DB2379" s="0" t="str">
        <f aca="false">IF($A2379="","",IF($AE2379&amp;""&lt;&gt;設定!$C$4,"対象外",IF($AH2379=20,IF(OR($AJ2379=10,$AJ2379=11,$AJ2379=18),"①病院一般",IF($AJ2379=41,"②病院短期","対象外")),IF($AH2379=5,IF($AJ2379=30,"③特定消防","対象外"),IF(OR($AJ2379=10,$AJ2379=11,$AJ2379=74),"④一般",IF(OR($AJ2379=41,$AJ2379=47),"⑤短期","対象外"))))))</f>
        <v/>
      </c>
    </row>
    <row r="2380" customFormat="false" ht="15" hidden="false" customHeight="false" outlineLevel="0" collapsed="false">
      <c r="DB2380" s="0" t="str">
        <f aca="false">IF($A2380="","",IF($AE2380&amp;""&lt;&gt;設定!$C$4,"対象外",IF($AH2380=20,IF(OR($AJ2380=10,$AJ2380=11,$AJ2380=18),"①病院一般",IF($AJ2380=41,"②病院短期","対象外")),IF($AH2380=5,IF($AJ2380=30,"③特定消防","対象外"),IF(OR($AJ2380=10,$AJ2380=11,$AJ2380=74),"④一般",IF(OR($AJ2380=41,$AJ2380=47),"⑤短期","対象外"))))))</f>
        <v/>
      </c>
    </row>
    <row r="2381" customFormat="false" ht="15" hidden="false" customHeight="false" outlineLevel="0" collapsed="false">
      <c r="DB2381" s="0" t="str">
        <f aca="false">IF($A2381="","",IF($AE2381&amp;""&lt;&gt;設定!$C$4,"対象外",IF($AH2381=20,IF(OR($AJ2381=10,$AJ2381=11,$AJ2381=18),"①病院一般",IF($AJ2381=41,"②病院短期","対象外")),IF($AH2381=5,IF($AJ2381=30,"③特定消防","対象外"),IF(OR($AJ2381=10,$AJ2381=11,$AJ2381=74),"④一般",IF(OR($AJ2381=41,$AJ2381=47),"⑤短期","対象外"))))))</f>
        <v/>
      </c>
    </row>
    <row r="2382" customFormat="false" ht="15" hidden="false" customHeight="false" outlineLevel="0" collapsed="false">
      <c r="DB2382" s="0" t="str">
        <f aca="false">IF($A2382="","",IF($AE2382&amp;""&lt;&gt;設定!$C$4,"対象外",IF($AH2382=20,IF(OR($AJ2382=10,$AJ2382=11,$AJ2382=18),"①病院一般",IF($AJ2382=41,"②病院短期","対象外")),IF($AH2382=5,IF($AJ2382=30,"③特定消防","対象外"),IF(OR($AJ2382=10,$AJ2382=11,$AJ2382=74),"④一般",IF(OR($AJ2382=41,$AJ2382=47),"⑤短期","対象外"))))))</f>
        <v/>
      </c>
    </row>
    <row r="2383" customFormat="false" ht="15" hidden="false" customHeight="false" outlineLevel="0" collapsed="false">
      <c r="DB2383" s="0" t="str">
        <f aca="false">IF($A2383="","",IF($AE2383&amp;""&lt;&gt;設定!$C$4,"対象外",IF($AH2383=20,IF(OR($AJ2383=10,$AJ2383=11,$AJ2383=18),"①病院一般",IF($AJ2383=41,"②病院短期","対象外")),IF($AH2383=5,IF($AJ2383=30,"③特定消防","対象外"),IF(OR($AJ2383=10,$AJ2383=11,$AJ2383=74),"④一般",IF(OR($AJ2383=41,$AJ2383=47),"⑤短期","対象外"))))))</f>
        <v/>
      </c>
    </row>
    <row r="2384" customFormat="false" ht="15" hidden="false" customHeight="false" outlineLevel="0" collapsed="false">
      <c r="DB2384" s="0" t="str">
        <f aca="false">IF($A2384="","",IF($AE2384&amp;""&lt;&gt;設定!$C$4,"対象外",IF($AH2384=20,IF(OR($AJ2384=10,$AJ2384=11,$AJ2384=18),"①病院一般",IF($AJ2384=41,"②病院短期","対象外")),IF($AH2384=5,IF($AJ2384=30,"③特定消防","対象外"),IF(OR($AJ2384=10,$AJ2384=11,$AJ2384=74),"④一般",IF(OR($AJ2384=41,$AJ2384=47),"⑤短期","対象外"))))))</f>
        <v/>
      </c>
    </row>
    <row r="2385" customFormat="false" ht="15" hidden="false" customHeight="false" outlineLevel="0" collapsed="false">
      <c r="DB2385" s="0" t="str">
        <f aca="false">IF($A2385="","",IF($AE2385&amp;""&lt;&gt;設定!$C$4,"対象外",IF($AH2385=20,IF(OR($AJ2385=10,$AJ2385=11,$AJ2385=18),"①病院一般",IF($AJ2385=41,"②病院短期","対象外")),IF($AH2385=5,IF($AJ2385=30,"③特定消防","対象外"),IF(OR($AJ2385=10,$AJ2385=11,$AJ2385=74),"④一般",IF(OR($AJ2385=41,$AJ2385=47),"⑤短期","対象外"))))))</f>
        <v/>
      </c>
    </row>
    <row r="2386" customFormat="false" ht="15" hidden="false" customHeight="false" outlineLevel="0" collapsed="false">
      <c r="DB2386" s="0" t="str">
        <f aca="false">IF($A2386="","",IF($AE2386&amp;""&lt;&gt;設定!$C$4,"対象外",IF($AH2386=20,IF(OR($AJ2386=10,$AJ2386=11,$AJ2386=18),"①病院一般",IF($AJ2386=41,"②病院短期","対象外")),IF($AH2386=5,IF($AJ2386=30,"③特定消防","対象外"),IF(OR($AJ2386=10,$AJ2386=11,$AJ2386=74),"④一般",IF(OR($AJ2386=41,$AJ2386=47),"⑤短期","対象外"))))))</f>
        <v/>
      </c>
    </row>
    <row r="2387" customFormat="false" ht="15" hidden="false" customHeight="false" outlineLevel="0" collapsed="false">
      <c r="DB2387" s="0" t="str">
        <f aca="false">IF($A2387="","",IF($AE2387&amp;""&lt;&gt;設定!$C$4,"対象外",IF($AH2387=20,IF(OR($AJ2387=10,$AJ2387=11,$AJ2387=18),"①病院一般",IF($AJ2387=41,"②病院短期","対象外")),IF($AH2387=5,IF($AJ2387=30,"③特定消防","対象外"),IF(OR($AJ2387=10,$AJ2387=11,$AJ2387=74),"④一般",IF(OR($AJ2387=41,$AJ2387=47),"⑤短期","対象外"))))))</f>
        <v/>
      </c>
    </row>
    <row r="2388" customFormat="false" ht="15" hidden="false" customHeight="false" outlineLevel="0" collapsed="false">
      <c r="DB2388" s="0" t="str">
        <f aca="false">IF($A2388="","",IF($AE2388&amp;""&lt;&gt;設定!$C$4,"対象外",IF($AH2388=20,IF(OR($AJ2388=10,$AJ2388=11,$AJ2388=18),"①病院一般",IF($AJ2388=41,"②病院短期","対象外")),IF($AH2388=5,IF($AJ2388=30,"③特定消防","対象外"),IF(OR($AJ2388=10,$AJ2388=11,$AJ2388=74),"④一般",IF(OR($AJ2388=41,$AJ2388=47),"⑤短期","対象外"))))))</f>
        <v/>
      </c>
    </row>
    <row r="2389" customFormat="false" ht="15" hidden="false" customHeight="false" outlineLevel="0" collapsed="false">
      <c r="DB2389" s="0" t="str">
        <f aca="false">IF($A2389="","",IF($AE2389&amp;""&lt;&gt;設定!$C$4,"対象外",IF($AH2389=20,IF(OR($AJ2389=10,$AJ2389=11,$AJ2389=18),"①病院一般",IF($AJ2389=41,"②病院短期","対象外")),IF($AH2389=5,IF($AJ2389=30,"③特定消防","対象外"),IF(OR($AJ2389=10,$AJ2389=11,$AJ2389=74),"④一般",IF(OR($AJ2389=41,$AJ2389=47),"⑤短期","対象外"))))))</f>
        <v/>
      </c>
    </row>
    <row r="2390" customFormat="false" ht="15" hidden="false" customHeight="false" outlineLevel="0" collapsed="false">
      <c r="DB2390" s="0" t="str">
        <f aca="false">IF($A2390="","",IF($AE2390&amp;""&lt;&gt;設定!$C$4,"対象外",IF($AH2390=20,IF(OR($AJ2390=10,$AJ2390=11,$AJ2390=18),"①病院一般",IF($AJ2390=41,"②病院短期","対象外")),IF($AH2390=5,IF($AJ2390=30,"③特定消防","対象外"),IF(OR($AJ2390=10,$AJ2390=11,$AJ2390=74),"④一般",IF(OR($AJ2390=41,$AJ2390=47),"⑤短期","対象外"))))))</f>
        <v/>
      </c>
    </row>
    <row r="2391" customFormat="false" ht="15" hidden="false" customHeight="false" outlineLevel="0" collapsed="false">
      <c r="DB2391" s="0" t="str">
        <f aca="false">IF($A2391="","",IF($AE2391&amp;""&lt;&gt;設定!$C$4,"対象外",IF($AH2391=20,IF(OR($AJ2391=10,$AJ2391=11,$AJ2391=18),"①病院一般",IF($AJ2391=41,"②病院短期","対象外")),IF($AH2391=5,IF($AJ2391=30,"③特定消防","対象外"),IF(OR($AJ2391=10,$AJ2391=11,$AJ2391=74),"④一般",IF(OR($AJ2391=41,$AJ2391=47),"⑤短期","対象外"))))))</f>
        <v/>
      </c>
    </row>
    <row r="2392" customFormat="false" ht="15" hidden="false" customHeight="false" outlineLevel="0" collapsed="false">
      <c r="DB2392" s="0" t="str">
        <f aca="false">IF($A2392="","",IF($AE2392&amp;""&lt;&gt;設定!$C$4,"対象外",IF($AH2392=20,IF(OR($AJ2392=10,$AJ2392=11,$AJ2392=18),"①病院一般",IF($AJ2392=41,"②病院短期","対象外")),IF($AH2392=5,IF($AJ2392=30,"③特定消防","対象外"),IF(OR($AJ2392=10,$AJ2392=11,$AJ2392=74),"④一般",IF(OR($AJ2392=41,$AJ2392=47),"⑤短期","対象外"))))))</f>
        <v/>
      </c>
    </row>
    <row r="2393" customFormat="false" ht="15" hidden="false" customHeight="false" outlineLevel="0" collapsed="false">
      <c r="DB2393" s="0" t="str">
        <f aca="false">IF($A2393="","",IF($AE2393&amp;""&lt;&gt;設定!$C$4,"対象外",IF($AH2393=20,IF(OR($AJ2393=10,$AJ2393=11,$AJ2393=18),"①病院一般",IF($AJ2393=41,"②病院短期","対象外")),IF($AH2393=5,IF($AJ2393=30,"③特定消防","対象外"),IF(OR($AJ2393=10,$AJ2393=11,$AJ2393=74),"④一般",IF(OR($AJ2393=41,$AJ2393=47),"⑤短期","対象外"))))))</f>
        <v/>
      </c>
    </row>
    <row r="2394" customFormat="false" ht="15" hidden="false" customHeight="false" outlineLevel="0" collapsed="false">
      <c r="DB2394" s="0" t="str">
        <f aca="false">IF($A2394="","",IF($AE2394&amp;""&lt;&gt;設定!$C$4,"対象外",IF($AH2394=20,IF(OR($AJ2394=10,$AJ2394=11,$AJ2394=18),"①病院一般",IF($AJ2394=41,"②病院短期","対象外")),IF($AH2394=5,IF($AJ2394=30,"③特定消防","対象外"),IF(OR($AJ2394=10,$AJ2394=11,$AJ2394=74),"④一般",IF(OR($AJ2394=41,$AJ2394=47),"⑤短期","対象外"))))))</f>
        <v/>
      </c>
    </row>
    <row r="2395" customFormat="false" ht="15" hidden="false" customHeight="false" outlineLevel="0" collapsed="false">
      <c r="DB2395" s="0" t="str">
        <f aca="false">IF($A2395="","",IF($AE2395&amp;""&lt;&gt;設定!$C$4,"対象外",IF($AH2395=20,IF(OR($AJ2395=10,$AJ2395=11,$AJ2395=18),"①病院一般",IF($AJ2395=41,"②病院短期","対象外")),IF($AH2395=5,IF($AJ2395=30,"③特定消防","対象外"),IF(OR($AJ2395=10,$AJ2395=11,$AJ2395=74),"④一般",IF(OR($AJ2395=41,$AJ2395=47),"⑤短期","対象外"))))))</f>
        <v/>
      </c>
    </row>
    <row r="2396" customFormat="false" ht="15" hidden="false" customHeight="false" outlineLevel="0" collapsed="false">
      <c r="DB2396" s="0" t="str">
        <f aca="false">IF($A2396="","",IF($AE2396&amp;""&lt;&gt;設定!$C$4,"対象外",IF($AH2396=20,IF(OR($AJ2396=10,$AJ2396=11,$AJ2396=18),"①病院一般",IF($AJ2396=41,"②病院短期","対象外")),IF($AH2396=5,IF($AJ2396=30,"③特定消防","対象外"),IF(OR($AJ2396=10,$AJ2396=11,$AJ2396=74),"④一般",IF(OR($AJ2396=41,$AJ2396=47),"⑤短期","対象外"))))))</f>
        <v/>
      </c>
    </row>
    <row r="2397" customFormat="false" ht="15" hidden="false" customHeight="false" outlineLevel="0" collapsed="false">
      <c r="DB2397" s="0" t="str">
        <f aca="false">IF($A2397="","",IF($AE2397&amp;""&lt;&gt;設定!$C$4,"対象外",IF($AH2397=20,IF(OR($AJ2397=10,$AJ2397=11,$AJ2397=18),"①病院一般",IF($AJ2397=41,"②病院短期","対象外")),IF($AH2397=5,IF($AJ2397=30,"③特定消防","対象外"),IF(OR($AJ2397=10,$AJ2397=11,$AJ2397=74),"④一般",IF(OR($AJ2397=41,$AJ2397=47),"⑤短期","対象外"))))))</f>
        <v/>
      </c>
    </row>
    <row r="2398" customFormat="false" ht="15" hidden="false" customHeight="false" outlineLevel="0" collapsed="false">
      <c r="DB2398" s="0" t="str">
        <f aca="false">IF($A2398="","",IF($AE2398&amp;""&lt;&gt;設定!$C$4,"対象外",IF($AH2398=20,IF(OR($AJ2398=10,$AJ2398=11,$AJ2398=18),"①病院一般",IF($AJ2398=41,"②病院短期","対象外")),IF($AH2398=5,IF($AJ2398=30,"③特定消防","対象外"),IF(OR($AJ2398=10,$AJ2398=11,$AJ2398=74),"④一般",IF(OR($AJ2398=41,$AJ2398=47),"⑤短期","対象外"))))))</f>
        <v/>
      </c>
    </row>
    <row r="2399" customFormat="false" ht="15" hidden="false" customHeight="false" outlineLevel="0" collapsed="false">
      <c r="DB2399" s="0" t="str">
        <f aca="false">IF($A2399="","",IF($AE2399&amp;""&lt;&gt;設定!$C$4,"対象外",IF($AH2399=20,IF(OR($AJ2399=10,$AJ2399=11,$AJ2399=18),"①病院一般",IF($AJ2399=41,"②病院短期","対象外")),IF($AH2399=5,IF($AJ2399=30,"③特定消防","対象外"),IF(OR($AJ2399=10,$AJ2399=11,$AJ2399=74),"④一般",IF(OR($AJ2399=41,$AJ2399=47),"⑤短期","対象外"))))))</f>
        <v/>
      </c>
    </row>
    <row r="2400" customFormat="false" ht="15" hidden="false" customHeight="false" outlineLevel="0" collapsed="false">
      <c r="DB2400" s="0" t="str">
        <f aca="false">IF($A2400="","",IF($AE2400&amp;""&lt;&gt;設定!$C$4,"対象外",IF($AH2400=20,IF(OR($AJ2400=10,$AJ2400=11,$AJ2400=18),"①病院一般",IF($AJ2400=41,"②病院短期","対象外")),IF($AH2400=5,IF($AJ2400=30,"③特定消防","対象外"),IF(OR($AJ2400=10,$AJ2400=11,$AJ2400=74),"④一般",IF(OR($AJ2400=41,$AJ2400=47),"⑤短期","対象外"))))))</f>
        <v/>
      </c>
    </row>
    <row r="2401" customFormat="false" ht="15" hidden="false" customHeight="false" outlineLevel="0" collapsed="false">
      <c r="DB2401" s="0" t="str">
        <f aca="false">IF($A2401="","",IF($AE2401&amp;""&lt;&gt;設定!$C$4,"対象外",IF($AH2401=20,IF(OR($AJ2401=10,$AJ2401=11,$AJ2401=18),"①病院一般",IF($AJ2401=41,"②病院短期","対象外")),IF($AH2401=5,IF($AJ2401=30,"③特定消防","対象外"),IF(OR($AJ2401=10,$AJ2401=11,$AJ2401=74),"④一般",IF(OR($AJ2401=41,$AJ2401=47),"⑤短期","対象外"))))))</f>
        <v/>
      </c>
    </row>
    <row r="2402" customFormat="false" ht="15" hidden="false" customHeight="false" outlineLevel="0" collapsed="false">
      <c r="DB2402" s="0" t="str">
        <f aca="false">IF($A2402="","",IF($AE2402&amp;""&lt;&gt;設定!$C$4,"対象外",IF($AH2402=20,IF(OR($AJ2402=10,$AJ2402=11,$AJ2402=18),"①病院一般",IF($AJ2402=41,"②病院短期","対象外")),IF($AH2402=5,IF($AJ2402=30,"③特定消防","対象外"),IF(OR($AJ2402=10,$AJ2402=11,$AJ2402=74),"④一般",IF(OR($AJ2402=41,$AJ2402=47),"⑤短期","対象外"))))))</f>
        <v/>
      </c>
    </row>
    <row r="2403" customFormat="false" ht="15" hidden="false" customHeight="false" outlineLevel="0" collapsed="false">
      <c r="DB2403" s="0" t="str">
        <f aca="false">IF($A2403="","",IF($AE2403&amp;""&lt;&gt;設定!$C$4,"対象外",IF($AH2403=20,IF(OR($AJ2403=10,$AJ2403=11,$AJ2403=18),"①病院一般",IF($AJ2403=41,"②病院短期","対象外")),IF($AH2403=5,IF($AJ2403=30,"③特定消防","対象外"),IF(OR($AJ2403=10,$AJ2403=11,$AJ2403=74),"④一般",IF(OR($AJ2403=41,$AJ2403=47),"⑤短期","対象外"))))))</f>
        <v/>
      </c>
    </row>
    <row r="2404" customFormat="false" ht="15" hidden="false" customHeight="false" outlineLevel="0" collapsed="false">
      <c r="DB2404" s="0" t="str">
        <f aca="false">IF($A2404="","",IF($AE2404&amp;""&lt;&gt;設定!$C$4,"対象外",IF($AH2404=20,IF(OR($AJ2404=10,$AJ2404=11,$AJ2404=18),"①病院一般",IF($AJ2404=41,"②病院短期","対象外")),IF($AH2404=5,IF($AJ2404=30,"③特定消防","対象外"),IF(OR($AJ2404=10,$AJ2404=11,$AJ2404=74),"④一般",IF(OR($AJ2404=41,$AJ2404=47),"⑤短期","対象外"))))))</f>
        <v/>
      </c>
    </row>
    <row r="2405" customFormat="false" ht="15" hidden="false" customHeight="false" outlineLevel="0" collapsed="false">
      <c r="DB2405" s="0" t="str">
        <f aca="false">IF($A2405="","",IF($AE2405&amp;""&lt;&gt;設定!$C$4,"対象外",IF($AH2405=20,IF(OR($AJ2405=10,$AJ2405=11,$AJ2405=18),"①病院一般",IF($AJ2405=41,"②病院短期","対象外")),IF($AH2405=5,IF($AJ2405=30,"③特定消防","対象外"),IF(OR($AJ2405=10,$AJ2405=11,$AJ2405=74),"④一般",IF(OR($AJ2405=41,$AJ2405=47),"⑤短期","対象外"))))))</f>
        <v/>
      </c>
    </row>
    <row r="2406" customFormat="false" ht="15" hidden="false" customHeight="false" outlineLevel="0" collapsed="false">
      <c r="DB2406" s="0" t="str">
        <f aca="false">IF($A2406="","",IF($AE2406&amp;""&lt;&gt;設定!$C$4,"対象外",IF($AH2406=20,IF(OR($AJ2406=10,$AJ2406=11,$AJ2406=18),"①病院一般",IF($AJ2406=41,"②病院短期","対象外")),IF($AH2406=5,IF($AJ2406=30,"③特定消防","対象外"),IF(OR($AJ2406=10,$AJ2406=11,$AJ2406=74),"④一般",IF(OR($AJ2406=41,$AJ2406=47),"⑤短期","対象外"))))))</f>
        <v/>
      </c>
    </row>
    <row r="2407" customFormat="false" ht="15" hidden="false" customHeight="false" outlineLevel="0" collapsed="false">
      <c r="DB2407" s="0" t="str">
        <f aca="false">IF($A2407="","",IF($AE2407&amp;""&lt;&gt;設定!$C$4,"対象外",IF($AH2407=20,IF(OR($AJ2407=10,$AJ2407=11,$AJ2407=18),"①病院一般",IF($AJ2407=41,"②病院短期","対象外")),IF($AH2407=5,IF($AJ2407=30,"③特定消防","対象外"),IF(OR($AJ2407=10,$AJ2407=11,$AJ2407=74),"④一般",IF(OR($AJ2407=41,$AJ2407=47),"⑤短期","対象外"))))))</f>
        <v/>
      </c>
    </row>
    <row r="2408" customFormat="false" ht="15" hidden="false" customHeight="false" outlineLevel="0" collapsed="false">
      <c r="DB2408" s="0" t="str">
        <f aca="false">IF($A2408="","",IF($AE2408&amp;""&lt;&gt;設定!$C$4,"対象外",IF($AH2408=20,IF(OR($AJ2408=10,$AJ2408=11,$AJ2408=18),"①病院一般",IF($AJ2408=41,"②病院短期","対象外")),IF($AH2408=5,IF($AJ2408=30,"③特定消防","対象外"),IF(OR($AJ2408=10,$AJ2408=11,$AJ2408=74),"④一般",IF(OR($AJ2408=41,$AJ2408=47),"⑤短期","対象外"))))))</f>
        <v/>
      </c>
    </row>
    <row r="2409" customFormat="false" ht="15" hidden="false" customHeight="false" outlineLevel="0" collapsed="false">
      <c r="DB2409" s="0" t="str">
        <f aca="false">IF($A2409="","",IF($AE2409&amp;""&lt;&gt;設定!$C$4,"対象外",IF($AH2409=20,IF(OR($AJ2409=10,$AJ2409=11,$AJ2409=18),"①病院一般",IF($AJ2409=41,"②病院短期","対象外")),IF($AH2409=5,IF($AJ2409=30,"③特定消防","対象外"),IF(OR($AJ2409=10,$AJ2409=11,$AJ2409=74),"④一般",IF(OR($AJ2409=41,$AJ2409=47),"⑤短期","対象外"))))))</f>
        <v/>
      </c>
    </row>
    <row r="2410" customFormat="false" ht="15" hidden="false" customHeight="false" outlineLevel="0" collapsed="false">
      <c r="DB2410" s="0" t="str">
        <f aca="false">IF($A2410="","",IF($AE2410&amp;""&lt;&gt;設定!$C$4,"対象外",IF($AH2410=20,IF(OR($AJ2410=10,$AJ2410=11,$AJ2410=18),"①病院一般",IF($AJ2410=41,"②病院短期","対象外")),IF($AH2410=5,IF($AJ2410=30,"③特定消防","対象外"),IF(OR($AJ2410=10,$AJ2410=11,$AJ2410=74),"④一般",IF(OR($AJ2410=41,$AJ2410=47),"⑤短期","対象外"))))))</f>
        <v/>
      </c>
    </row>
    <row r="2411" customFormat="false" ht="15" hidden="false" customHeight="false" outlineLevel="0" collapsed="false">
      <c r="DB2411" s="0" t="str">
        <f aca="false">IF($A2411="","",IF($AE2411&amp;""&lt;&gt;設定!$C$4,"対象外",IF($AH2411=20,IF(OR($AJ2411=10,$AJ2411=11,$AJ2411=18),"①病院一般",IF($AJ2411=41,"②病院短期","対象外")),IF($AH2411=5,IF($AJ2411=30,"③特定消防","対象外"),IF(OR($AJ2411=10,$AJ2411=11,$AJ2411=74),"④一般",IF(OR($AJ2411=41,$AJ2411=47),"⑤短期","対象外"))))))</f>
        <v/>
      </c>
    </row>
    <row r="2412" customFormat="false" ht="15" hidden="false" customHeight="false" outlineLevel="0" collapsed="false">
      <c r="DB2412" s="0" t="str">
        <f aca="false">IF($A2412="","",IF($AE2412&amp;""&lt;&gt;設定!$C$4,"対象外",IF($AH2412=20,IF(OR($AJ2412=10,$AJ2412=11,$AJ2412=18),"①病院一般",IF($AJ2412=41,"②病院短期","対象外")),IF($AH2412=5,IF($AJ2412=30,"③特定消防","対象外"),IF(OR($AJ2412=10,$AJ2412=11,$AJ2412=74),"④一般",IF(OR($AJ2412=41,$AJ2412=47),"⑤短期","対象外"))))))</f>
        <v/>
      </c>
    </row>
    <row r="2413" customFormat="false" ht="15" hidden="false" customHeight="false" outlineLevel="0" collapsed="false">
      <c r="DB2413" s="0" t="str">
        <f aca="false">IF($A2413="","",IF($AE2413&amp;""&lt;&gt;設定!$C$4,"対象外",IF($AH2413=20,IF(OR($AJ2413=10,$AJ2413=11,$AJ2413=18),"①病院一般",IF($AJ2413=41,"②病院短期","対象外")),IF($AH2413=5,IF($AJ2413=30,"③特定消防","対象外"),IF(OR($AJ2413=10,$AJ2413=11,$AJ2413=74),"④一般",IF(OR($AJ2413=41,$AJ2413=47),"⑤短期","対象外"))))))</f>
        <v/>
      </c>
    </row>
    <row r="2414" customFormat="false" ht="15" hidden="false" customHeight="false" outlineLevel="0" collapsed="false">
      <c r="DB2414" s="0" t="str">
        <f aca="false">IF($A2414="","",IF($AE2414&amp;""&lt;&gt;設定!$C$4,"対象外",IF($AH2414=20,IF(OR($AJ2414=10,$AJ2414=11,$AJ2414=18),"①病院一般",IF($AJ2414=41,"②病院短期","対象外")),IF($AH2414=5,IF($AJ2414=30,"③特定消防","対象外"),IF(OR($AJ2414=10,$AJ2414=11,$AJ2414=74),"④一般",IF(OR($AJ2414=41,$AJ2414=47),"⑤短期","対象外"))))))</f>
        <v/>
      </c>
    </row>
    <row r="2415" customFormat="false" ht="15" hidden="false" customHeight="false" outlineLevel="0" collapsed="false">
      <c r="DB2415" s="0" t="str">
        <f aca="false">IF($A2415="","",IF($AE2415&amp;""&lt;&gt;設定!$C$4,"対象外",IF($AH2415=20,IF(OR($AJ2415=10,$AJ2415=11,$AJ2415=18),"①病院一般",IF($AJ2415=41,"②病院短期","対象外")),IF($AH2415=5,IF($AJ2415=30,"③特定消防","対象外"),IF(OR($AJ2415=10,$AJ2415=11,$AJ2415=74),"④一般",IF(OR($AJ2415=41,$AJ2415=47),"⑤短期","対象外"))))))</f>
        <v/>
      </c>
    </row>
    <row r="2416" customFormat="false" ht="15" hidden="false" customHeight="false" outlineLevel="0" collapsed="false">
      <c r="DB2416" s="0" t="str">
        <f aca="false">IF($A2416="","",IF($AE2416&amp;""&lt;&gt;設定!$C$4,"対象外",IF($AH2416=20,IF(OR($AJ2416=10,$AJ2416=11,$AJ2416=18),"①病院一般",IF($AJ2416=41,"②病院短期","対象外")),IF($AH2416=5,IF($AJ2416=30,"③特定消防","対象外"),IF(OR($AJ2416=10,$AJ2416=11,$AJ2416=74),"④一般",IF(OR($AJ2416=41,$AJ2416=47),"⑤短期","対象外"))))))</f>
        <v/>
      </c>
    </row>
    <row r="2417" customFormat="false" ht="15" hidden="false" customHeight="false" outlineLevel="0" collapsed="false">
      <c r="DB2417" s="0" t="str">
        <f aca="false">IF($A2417="","",IF($AE2417&amp;""&lt;&gt;設定!$C$4,"対象外",IF($AH2417=20,IF(OR($AJ2417=10,$AJ2417=11,$AJ2417=18),"①病院一般",IF($AJ2417=41,"②病院短期","対象外")),IF($AH2417=5,IF($AJ2417=30,"③特定消防","対象外"),IF(OR($AJ2417=10,$AJ2417=11,$AJ2417=74),"④一般",IF(OR($AJ2417=41,$AJ2417=47),"⑤短期","対象外"))))))</f>
        <v/>
      </c>
    </row>
    <row r="2418" customFormat="false" ht="15" hidden="false" customHeight="false" outlineLevel="0" collapsed="false">
      <c r="DB2418" s="0" t="str">
        <f aca="false">IF($A2418="","",IF($AE2418&amp;""&lt;&gt;設定!$C$4,"対象外",IF($AH2418=20,IF(OR($AJ2418=10,$AJ2418=11,$AJ2418=18),"①病院一般",IF($AJ2418=41,"②病院短期","対象外")),IF($AH2418=5,IF($AJ2418=30,"③特定消防","対象外"),IF(OR($AJ2418=10,$AJ2418=11,$AJ2418=74),"④一般",IF(OR($AJ2418=41,$AJ2418=47),"⑤短期","対象外"))))))</f>
        <v/>
      </c>
    </row>
    <row r="2419" customFormat="false" ht="15" hidden="false" customHeight="false" outlineLevel="0" collapsed="false">
      <c r="DB2419" s="0" t="str">
        <f aca="false">IF($A2419="","",IF($AE2419&amp;""&lt;&gt;設定!$C$4,"対象外",IF($AH2419=20,IF(OR($AJ2419=10,$AJ2419=11,$AJ2419=18),"①病院一般",IF($AJ2419=41,"②病院短期","対象外")),IF($AH2419=5,IF($AJ2419=30,"③特定消防","対象外"),IF(OR($AJ2419=10,$AJ2419=11,$AJ2419=74),"④一般",IF(OR($AJ2419=41,$AJ2419=47),"⑤短期","対象外"))))))</f>
        <v/>
      </c>
    </row>
    <row r="2420" customFormat="false" ht="15" hidden="false" customHeight="false" outlineLevel="0" collapsed="false">
      <c r="DB2420" s="0" t="str">
        <f aca="false">IF($A2420="","",IF($AE2420&amp;""&lt;&gt;設定!$C$4,"対象外",IF($AH2420=20,IF(OR($AJ2420=10,$AJ2420=11,$AJ2420=18),"①病院一般",IF($AJ2420=41,"②病院短期","対象外")),IF($AH2420=5,IF($AJ2420=30,"③特定消防","対象外"),IF(OR($AJ2420=10,$AJ2420=11,$AJ2420=74),"④一般",IF(OR($AJ2420=41,$AJ2420=47),"⑤短期","対象外"))))))</f>
        <v/>
      </c>
    </row>
    <row r="2421" customFormat="false" ht="15" hidden="false" customHeight="false" outlineLevel="0" collapsed="false">
      <c r="DB2421" s="0" t="str">
        <f aca="false">IF($A2421="","",IF($AE2421&amp;""&lt;&gt;設定!$C$4,"対象外",IF($AH2421=20,IF(OR($AJ2421=10,$AJ2421=11,$AJ2421=18),"①病院一般",IF($AJ2421=41,"②病院短期","対象外")),IF($AH2421=5,IF($AJ2421=30,"③特定消防","対象外"),IF(OR($AJ2421=10,$AJ2421=11,$AJ2421=74),"④一般",IF(OR($AJ2421=41,$AJ2421=47),"⑤短期","対象外"))))))</f>
        <v/>
      </c>
    </row>
    <row r="2422" customFormat="false" ht="15" hidden="false" customHeight="false" outlineLevel="0" collapsed="false">
      <c r="DB2422" s="0" t="str">
        <f aca="false">IF($A2422="","",IF($AE2422&amp;""&lt;&gt;設定!$C$4,"対象外",IF($AH2422=20,IF(OR($AJ2422=10,$AJ2422=11,$AJ2422=18),"①病院一般",IF($AJ2422=41,"②病院短期","対象外")),IF($AH2422=5,IF($AJ2422=30,"③特定消防","対象外"),IF(OR($AJ2422=10,$AJ2422=11,$AJ2422=74),"④一般",IF(OR($AJ2422=41,$AJ2422=47),"⑤短期","対象外"))))))</f>
        <v/>
      </c>
    </row>
    <row r="2423" customFormat="false" ht="15" hidden="false" customHeight="false" outlineLevel="0" collapsed="false">
      <c r="DB2423" s="0" t="str">
        <f aca="false">IF($A2423="","",IF($AE2423&amp;""&lt;&gt;設定!$C$4,"対象外",IF($AH2423=20,IF(OR($AJ2423=10,$AJ2423=11,$AJ2423=18),"①病院一般",IF($AJ2423=41,"②病院短期","対象外")),IF($AH2423=5,IF($AJ2423=30,"③特定消防","対象外"),IF(OR($AJ2423=10,$AJ2423=11,$AJ2423=74),"④一般",IF(OR($AJ2423=41,$AJ2423=47),"⑤短期","対象外"))))))</f>
        <v/>
      </c>
    </row>
    <row r="2424" customFormat="false" ht="15" hidden="false" customHeight="false" outlineLevel="0" collapsed="false">
      <c r="DB2424" s="0" t="str">
        <f aca="false">IF($A2424="","",IF($AE2424&amp;""&lt;&gt;設定!$C$4,"対象外",IF($AH2424=20,IF(OR($AJ2424=10,$AJ2424=11,$AJ2424=18),"①病院一般",IF($AJ2424=41,"②病院短期","対象外")),IF($AH2424=5,IF($AJ2424=30,"③特定消防","対象外"),IF(OR($AJ2424=10,$AJ2424=11,$AJ2424=74),"④一般",IF(OR($AJ2424=41,$AJ2424=47),"⑤短期","対象外"))))))</f>
        <v/>
      </c>
    </row>
    <row r="2425" customFormat="false" ht="15" hidden="false" customHeight="false" outlineLevel="0" collapsed="false">
      <c r="DB2425" s="0" t="str">
        <f aca="false">IF($A2425="","",IF($AE2425&amp;""&lt;&gt;設定!$C$4,"対象外",IF($AH2425=20,IF(OR($AJ2425=10,$AJ2425=11,$AJ2425=18),"①病院一般",IF($AJ2425=41,"②病院短期","対象外")),IF($AH2425=5,IF($AJ2425=30,"③特定消防","対象外"),IF(OR($AJ2425=10,$AJ2425=11,$AJ2425=74),"④一般",IF(OR($AJ2425=41,$AJ2425=47),"⑤短期","対象外"))))))</f>
        <v/>
      </c>
    </row>
    <row r="2426" customFormat="false" ht="15" hidden="false" customHeight="false" outlineLevel="0" collapsed="false">
      <c r="DB2426" s="0" t="str">
        <f aca="false">IF($A2426="","",IF($AE2426&amp;""&lt;&gt;設定!$C$4,"対象外",IF($AH2426=20,IF(OR($AJ2426=10,$AJ2426=11,$AJ2426=18),"①病院一般",IF($AJ2426=41,"②病院短期","対象外")),IF($AH2426=5,IF($AJ2426=30,"③特定消防","対象外"),IF(OR($AJ2426=10,$AJ2426=11,$AJ2426=74),"④一般",IF(OR($AJ2426=41,$AJ2426=47),"⑤短期","対象外"))))))</f>
        <v/>
      </c>
    </row>
    <row r="2427" customFormat="false" ht="15" hidden="false" customHeight="false" outlineLevel="0" collapsed="false">
      <c r="DB2427" s="0" t="str">
        <f aca="false">IF($A2427="","",IF($AE2427&amp;""&lt;&gt;設定!$C$4,"対象外",IF($AH2427=20,IF(OR($AJ2427=10,$AJ2427=11,$AJ2427=18),"①病院一般",IF($AJ2427=41,"②病院短期","対象外")),IF($AH2427=5,IF($AJ2427=30,"③特定消防","対象外"),IF(OR($AJ2427=10,$AJ2427=11,$AJ2427=74),"④一般",IF(OR($AJ2427=41,$AJ2427=47),"⑤短期","対象外"))))))</f>
        <v/>
      </c>
    </row>
    <row r="2428" customFormat="false" ht="15" hidden="false" customHeight="false" outlineLevel="0" collapsed="false">
      <c r="DB2428" s="0" t="str">
        <f aca="false">IF($A2428="","",IF($AE2428&amp;""&lt;&gt;設定!$C$4,"対象外",IF($AH2428=20,IF(OR($AJ2428=10,$AJ2428=11,$AJ2428=18),"①病院一般",IF($AJ2428=41,"②病院短期","対象外")),IF($AH2428=5,IF($AJ2428=30,"③特定消防","対象外"),IF(OR($AJ2428=10,$AJ2428=11,$AJ2428=74),"④一般",IF(OR($AJ2428=41,$AJ2428=47),"⑤短期","対象外"))))))</f>
        <v/>
      </c>
    </row>
    <row r="2429" customFormat="false" ht="15" hidden="false" customHeight="false" outlineLevel="0" collapsed="false">
      <c r="DB2429" s="0" t="str">
        <f aca="false">IF($A2429="","",IF($AE2429&amp;""&lt;&gt;設定!$C$4,"対象外",IF($AH2429=20,IF(OR($AJ2429=10,$AJ2429=11,$AJ2429=18),"①病院一般",IF($AJ2429=41,"②病院短期","対象外")),IF($AH2429=5,IF($AJ2429=30,"③特定消防","対象外"),IF(OR($AJ2429=10,$AJ2429=11,$AJ2429=74),"④一般",IF(OR($AJ2429=41,$AJ2429=47),"⑤短期","対象外"))))))</f>
        <v/>
      </c>
    </row>
    <row r="2430" customFormat="false" ht="15" hidden="false" customHeight="false" outlineLevel="0" collapsed="false">
      <c r="DB2430" s="0" t="str">
        <f aca="false">IF($A2430="","",IF($AE2430&amp;""&lt;&gt;設定!$C$4,"対象外",IF($AH2430=20,IF(OR($AJ2430=10,$AJ2430=11,$AJ2430=18),"①病院一般",IF($AJ2430=41,"②病院短期","対象外")),IF($AH2430=5,IF($AJ2430=30,"③特定消防","対象外"),IF(OR($AJ2430=10,$AJ2430=11,$AJ2430=74),"④一般",IF(OR($AJ2430=41,$AJ2430=47),"⑤短期","対象外"))))))</f>
        <v/>
      </c>
    </row>
    <row r="2431" customFormat="false" ht="15" hidden="false" customHeight="false" outlineLevel="0" collapsed="false">
      <c r="DB2431" s="0" t="str">
        <f aca="false">IF($A2431="","",IF($AE2431&amp;""&lt;&gt;設定!$C$4,"対象外",IF($AH2431=20,IF(OR($AJ2431=10,$AJ2431=11,$AJ2431=18),"①病院一般",IF($AJ2431=41,"②病院短期","対象外")),IF($AH2431=5,IF($AJ2431=30,"③特定消防","対象外"),IF(OR($AJ2431=10,$AJ2431=11,$AJ2431=74),"④一般",IF(OR($AJ2431=41,$AJ2431=47),"⑤短期","対象外"))))))</f>
        <v/>
      </c>
    </row>
    <row r="2432" customFormat="false" ht="15" hidden="false" customHeight="false" outlineLevel="0" collapsed="false">
      <c r="DB2432" s="0" t="str">
        <f aca="false">IF($A2432="","",IF($AE2432&amp;""&lt;&gt;設定!$C$4,"対象外",IF($AH2432=20,IF(OR($AJ2432=10,$AJ2432=11,$AJ2432=18),"①病院一般",IF($AJ2432=41,"②病院短期","対象外")),IF($AH2432=5,IF($AJ2432=30,"③特定消防","対象外"),IF(OR($AJ2432=10,$AJ2432=11,$AJ2432=74),"④一般",IF(OR($AJ2432=41,$AJ2432=47),"⑤短期","対象外"))))))</f>
        <v/>
      </c>
    </row>
    <row r="2433" customFormat="false" ht="15" hidden="false" customHeight="false" outlineLevel="0" collapsed="false">
      <c r="DB2433" s="0" t="str">
        <f aca="false">IF($A2433="","",IF($AE2433&amp;""&lt;&gt;設定!$C$4,"対象外",IF($AH2433=20,IF(OR($AJ2433=10,$AJ2433=11,$AJ2433=18),"①病院一般",IF($AJ2433=41,"②病院短期","対象外")),IF($AH2433=5,IF($AJ2433=30,"③特定消防","対象外"),IF(OR($AJ2433=10,$AJ2433=11,$AJ2433=74),"④一般",IF(OR($AJ2433=41,$AJ2433=47),"⑤短期","対象外"))))))</f>
        <v/>
      </c>
    </row>
    <row r="2434" customFormat="false" ht="15" hidden="false" customHeight="false" outlineLevel="0" collapsed="false">
      <c r="DB2434" s="0" t="str">
        <f aca="false">IF($A2434="","",IF($AE2434&amp;""&lt;&gt;設定!$C$4,"対象外",IF($AH2434=20,IF(OR($AJ2434=10,$AJ2434=11,$AJ2434=18),"①病院一般",IF($AJ2434=41,"②病院短期","対象外")),IF($AH2434=5,IF($AJ2434=30,"③特定消防","対象外"),IF(OR($AJ2434=10,$AJ2434=11,$AJ2434=74),"④一般",IF(OR($AJ2434=41,$AJ2434=47),"⑤短期","対象外"))))))</f>
        <v/>
      </c>
    </row>
    <row r="2435" customFormat="false" ht="15" hidden="false" customHeight="false" outlineLevel="0" collapsed="false">
      <c r="DB2435" s="0" t="str">
        <f aca="false">IF($A2435="","",IF($AE2435&amp;""&lt;&gt;設定!$C$4,"対象外",IF($AH2435=20,IF(OR($AJ2435=10,$AJ2435=11,$AJ2435=18),"①病院一般",IF($AJ2435=41,"②病院短期","対象外")),IF($AH2435=5,IF($AJ2435=30,"③特定消防","対象外"),IF(OR($AJ2435=10,$AJ2435=11,$AJ2435=74),"④一般",IF(OR($AJ2435=41,$AJ2435=47),"⑤短期","対象外"))))))</f>
        <v/>
      </c>
    </row>
    <row r="2436" customFormat="false" ht="15" hidden="false" customHeight="false" outlineLevel="0" collapsed="false">
      <c r="DB2436" s="0" t="str">
        <f aca="false">IF($A2436="","",IF($AE2436&amp;""&lt;&gt;設定!$C$4,"対象外",IF($AH2436=20,IF(OR($AJ2436=10,$AJ2436=11,$AJ2436=18),"①病院一般",IF($AJ2436=41,"②病院短期","対象外")),IF($AH2436=5,IF($AJ2436=30,"③特定消防","対象外"),IF(OR($AJ2436=10,$AJ2436=11,$AJ2436=74),"④一般",IF(OR($AJ2436=41,$AJ2436=47),"⑤短期","対象外"))))))</f>
        <v/>
      </c>
    </row>
    <row r="2437" customFormat="false" ht="15" hidden="false" customHeight="false" outlineLevel="0" collapsed="false">
      <c r="DB2437" s="0" t="str">
        <f aca="false">IF($A2437="","",IF($AE2437&amp;""&lt;&gt;設定!$C$4,"対象外",IF($AH2437=20,IF(OR($AJ2437=10,$AJ2437=11,$AJ2437=18),"①病院一般",IF($AJ2437=41,"②病院短期","対象外")),IF($AH2437=5,IF($AJ2437=30,"③特定消防","対象外"),IF(OR($AJ2437=10,$AJ2437=11,$AJ2437=74),"④一般",IF(OR($AJ2437=41,$AJ2437=47),"⑤短期","対象外"))))))</f>
        <v/>
      </c>
    </row>
    <row r="2438" customFormat="false" ht="15" hidden="false" customHeight="false" outlineLevel="0" collapsed="false">
      <c r="DB2438" s="0" t="str">
        <f aca="false">IF($A2438="","",IF($AE2438&amp;""&lt;&gt;設定!$C$4,"対象外",IF($AH2438=20,IF(OR($AJ2438=10,$AJ2438=11,$AJ2438=18),"①病院一般",IF($AJ2438=41,"②病院短期","対象外")),IF($AH2438=5,IF($AJ2438=30,"③特定消防","対象外"),IF(OR($AJ2438=10,$AJ2438=11,$AJ2438=74),"④一般",IF(OR($AJ2438=41,$AJ2438=47),"⑤短期","対象外"))))))</f>
        <v/>
      </c>
    </row>
    <row r="2439" customFormat="false" ht="15" hidden="false" customHeight="false" outlineLevel="0" collapsed="false">
      <c r="DB2439" s="0" t="str">
        <f aca="false">IF($A2439="","",IF($AE2439&amp;""&lt;&gt;設定!$C$4,"対象外",IF($AH2439=20,IF(OR($AJ2439=10,$AJ2439=11,$AJ2439=18),"①病院一般",IF($AJ2439=41,"②病院短期","対象外")),IF($AH2439=5,IF($AJ2439=30,"③特定消防","対象外"),IF(OR($AJ2439=10,$AJ2439=11,$AJ2439=74),"④一般",IF(OR($AJ2439=41,$AJ2439=47),"⑤短期","対象外"))))))</f>
        <v/>
      </c>
    </row>
    <row r="2440" customFormat="false" ht="15" hidden="false" customHeight="false" outlineLevel="0" collapsed="false">
      <c r="DB2440" s="0" t="str">
        <f aca="false">IF($A2440="","",IF($AE2440&amp;""&lt;&gt;設定!$C$4,"対象外",IF($AH2440=20,IF(OR($AJ2440=10,$AJ2440=11,$AJ2440=18),"①病院一般",IF($AJ2440=41,"②病院短期","対象外")),IF($AH2440=5,IF($AJ2440=30,"③特定消防","対象外"),IF(OR($AJ2440=10,$AJ2440=11,$AJ2440=74),"④一般",IF(OR($AJ2440=41,$AJ2440=47),"⑤短期","対象外"))))))</f>
        <v/>
      </c>
    </row>
    <row r="2441" customFormat="false" ht="15" hidden="false" customHeight="false" outlineLevel="0" collapsed="false">
      <c r="DB2441" s="0" t="str">
        <f aca="false">IF($A2441="","",IF($AE2441&amp;""&lt;&gt;設定!$C$4,"対象外",IF($AH2441=20,IF(OR($AJ2441=10,$AJ2441=11,$AJ2441=18),"①病院一般",IF($AJ2441=41,"②病院短期","対象外")),IF($AH2441=5,IF($AJ2441=30,"③特定消防","対象外"),IF(OR($AJ2441=10,$AJ2441=11,$AJ2441=74),"④一般",IF(OR($AJ2441=41,$AJ2441=47),"⑤短期","対象外"))))))</f>
        <v/>
      </c>
    </row>
    <row r="2442" customFormat="false" ht="15" hidden="false" customHeight="false" outlineLevel="0" collapsed="false">
      <c r="DB2442" s="0" t="str">
        <f aca="false">IF($A2442="","",IF($AE2442&amp;""&lt;&gt;設定!$C$4,"対象外",IF($AH2442=20,IF(OR($AJ2442=10,$AJ2442=11,$AJ2442=18),"①病院一般",IF($AJ2442=41,"②病院短期","対象外")),IF($AH2442=5,IF($AJ2442=30,"③特定消防","対象外"),IF(OR($AJ2442=10,$AJ2442=11,$AJ2442=74),"④一般",IF(OR($AJ2442=41,$AJ2442=47),"⑤短期","対象外"))))))</f>
        <v/>
      </c>
    </row>
    <row r="2443" customFormat="false" ht="15" hidden="false" customHeight="false" outlineLevel="0" collapsed="false">
      <c r="DB2443" s="0" t="str">
        <f aca="false">IF($A2443="","",IF($AE2443&amp;""&lt;&gt;設定!$C$4,"対象外",IF($AH2443=20,IF(OR($AJ2443=10,$AJ2443=11,$AJ2443=18),"①病院一般",IF($AJ2443=41,"②病院短期","対象外")),IF($AH2443=5,IF($AJ2443=30,"③特定消防","対象外"),IF(OR($AJ2443=10,$AJ2443=11,$AJ2443=74),"④一般",IF(OR($AJ2443=41,$AJ2443=47),"⑤短期","対象外"))))))</f>
        <v/>
      </c>
    </row>
    <row r="2444" customFormat="false" ht="15" hidden="false" customHeight="false" outlineLevel="0" collapsed="false">
      <c r="DB2444" s="0" t="str">
        <f aca="false">IF($A2444="","",IF($AE2444&amp;""&lt;&gt;設定!$C$4,"対象外",IF($AH2444=20,IF(OR($AJ2444=10,$AJ2444=11,$AJ2444=18),"①病院一般",IF($AJ2444=41,"②病院短期","対象外")),IF($AH2444=5,IF($AJ2444=30,"③特定消防","対象外"),IF(OR($AJ2444=10,$AJ2444=11,$AJ2444=74),"④一般",IF(OR($AJ2444=41,$AJ2444=47),"⑤短期","対象外"))))))</f>
        <v/>
      </c>
    </row>
    <row r="2445" customFormat="false" ht="15" hidden="false" customHeight="false" outlineLevel="0" collapsed="false">
      <c r="DB2445" s="0" t="str">
        <f aca="false">IF($A2445="","",IF($AE2445&amp;""&lt;&gt;設定!$C$4,"対象外",IF($AH2445=20,IF(OR($AJ2445=10,$AJ2445=11,$AJ2445=18),"①病院一般",IF($AJ2445=41,"②病院短期","対象外")),IF($AH2445=5,IF($AJ2445=30,"③特定消防","対象外"),IF(OR($AJ2445=10,$AJ2445=11,$AJ2445=74),"④一般",IF(OR($AJ2445=41,$AJ2445=47),"⑤短期","対象外"))))))</f>
        <v/>
      </c>
    </row>
    <row r="2446" customFormat="false" ht="15" hidden="false" customHeight="false" outlineLevel="0" collapsed="false">
      <c r="DB2446" s="0" t="str">
        <f aca="false">IF($A2446="","",IF($AE2446&amp;""&lt;&gt;設定!$C$4,"対象外",IF($AH2446=20,IF(OR($AJ2446=10,$AJ2446=11,$AJ2446=18),"①病院一般",IF($AJ2446=41,"②病院短期","対象外")),IF($AH2446=5,IF($AJ2446=30,"③特定消防","対象外"),IF(OR($AJ2446=10,$AJ2446=11,$AJ2446=74),"④一般",IF(OR($AJ2446=41,$AJ2446=47),"⑤短期","対象外"))))))</f>
        <v/>
      </c>
    </row>
    <row r="2447" customFormat="false" ht="15" hidden="false" customHeight="false" outlineLevel="0" collapsed="false">
      <c r="DB2447" s="0" t="str">
        <f aca="false">IF($A2447="","",IF($AE2447&amp;""&lt;&gt;設定!$C$4,"対象外",IF($AH2447=20,IF(OR($AJ2447=10,$AJ2447=11,$AJ2447=18),"①病院一般",IF($AJ2447=41,"②病院短期","対象外")),IF($AH2447=5,IF($AJ2447=30,"③特定消防","対象外"),IF(OR($AJ2447=10,$AJ2447=11,$AJ2447=74),"④一般",IF(OR($AJ2447=41,$AJ2447=47),"⑤短期","対象外"))))))</f>
        <v/>
      </c>
    </row>
    <row r="2448" customFormat="false" ht="15" hidden="false" customHeight="false" outlineLevel="0" collapsed="false">
      <c r="DB2448" s="0" t="str">
        <f aca="false">IF($A2448="","",IF($AE2448&amp;""&lt;&gt;設定!$C$4,"対象外",IF($AH2448=20,IF(OR($AJ2448=10,$AJ2448=11,$AJ2448=18),"①病院一般",IF($AJ2448=41,"②病院短期","対象外")),IF($AH2448=5,IF($AJ2448=30,"③特定消防","対象外"),IF(OR($AJ2448=10,$AJ2448=11,$AJ2448=74),"④一般",IF(OR($AJ2448=41,$AJ2448=47),"⑤短期","対象外"))))))</f>
        <v/>
      </c>
    </row>
    <row r="2449" customFormat="false" ht="15" hidden="false" customHeight="false" outlineLevel="0" collapsed="false">
      <c r="DB2449" s="0" t="str">
        <f aca="false">IF($A2449="","",IF($AE2449&amp;""&lt;&gt;設定!$C$4,"対象外",IF($AH2449=20,IF(OR($AJ2449=10,$AJ2449=11,$AJ2449=18),"①病院一般",IF($AJ2449=41,"②病院短期","対象外")),IF($AH2449=5,IF($AJ2449=30,"③特定消防","対象外"),IF(OR($AJ2449=10,$AJ2449=11,$AJ2449=74),"④一般",IF(OR($AJ2449=41,$AJ2449=47),"⑤短期","対象外"))))))</f>
        <v/>
      </c>
    </row>
    <row r="2450" customFormat="false" ht="15" hidden="false" customHeight="false" outlineLevel="0" collapsed="false">
      <c r="DB2450" s="0" t="str">
        <f aca="false">IF($A2450="","",IF($AE2450&amp;""&lt;&gt;設定!$C$4,"対象外",IF($AH2450=20,IF(OR($AJ2450=10,$AJ2450=11,$AJ2450=18),"①病院一般",IF($AJ2450=41,"②病院短期","対象外")),IF($AH2450=5,IF($AJ2450=30,"③特定消防","対象外"),IF(OR($AJ2450=10,$AJ2450=11,$AJ2450=74),"④一般",IF(OR($AJ2450=41,$AJ2450=47),"⑤短期","対象外"))))))</f>
        <v/>
      </c>
    </row>
    <row r="2451" customFormat="false" ht="15" hidden="false" customHeight="false" outlineLevel="0" collapsed="false">
      <c r="DB2451" s="0" t="str">
        <f aca="false">IF($A2451="","",IF($AE2451&amp;""&lt;&gt;設定!$C$4,"対象外",IF($AH2451=20,IF(OR($AJ2451=10,$AJ2451=11,$AJ2451=18),"①病院一般",IF($AJ2451=41,"②病院短期","対象外")),IF($AH2451=5,IF($AJ2451=30,"③特定消防","対象外"),IF(OR($AJ2451=10,$AJ2451=11,$AJ2451=74),"④一般",IF(OR($AJ2451=41,$AJ2451=47),"⑤短期","対象外"))))))</f>
        <v/>
      </c>
    </row>
    <row r="2452" customFormat="false" ht="15" hidden="false" customHeight="false" outlineLevel="0" collapsed="false">
      <c r="DB2452" s="0" t="str">
        <f aca="false">IF($A2452="","",IF($AE2452&amp;""&lt;&gt;設定!$C$4,"対象外",IF($AH2452=20,IF(OR($AJ2452=10,$AJ2452=11,$AJ2452=18),"①病院一般",IF($AJ2452=41,"②病院短期","対象外")),IF($AH2452=5,IF($AJ2452=30,"③特定消防","対象外"),IF(OR($AJ2452=10,$AJ2452=11,$AJ2452=74),"④一般",IF(OR($AJ2452=41,$AJ2452=47),"⑤短期","対象外"))))))</f>
        <v/>
      </c>
    </row>
    <row r="2453" customFormat="false" ht="15" hidden="false" customHeight="false" outlineLevel="0" collapsed="false">
      <c r="DB2453" s="0" t="str">
        <f aca="false">IF($A2453="","",IF($AE2453&amp;""&lt;&gt;設定!$C$4,"対象外",IF($AH2453=20,IF(OR($AJ2453=10,$AJ2453=11,$AJ2453=18),"①病院一般",IF($AJ2453=41,"②病院短期","対象外")),IF($AH2453=5,IF($AJ2453=30,"③特定消防","対象外"),IF(OR($AJ2453=10,$AJ2453=11,$AJ2453=74),"④一般",IF(OR($AJ2453=41,$AJ2453=47),"⑤短期","対象外"))))))</f>
        <v/>
      </c>
    </row>
    <row r="2454" customFormat="false" ht="15" hidden="false" customHeight="false" outlineLevel="0" collapsed="false">
      <c r="DB2454" s="0" t="str">
        <f aca="false">IF($A2454="","",IF($AE2454&amp;""&lt;&gt;設定!$C$4,"対象外",IF($AH2454=20,IF(OR($AJ2454=10,$AJ2454=11,$AJ2454=18),"①病院一般",IF($AJ2454=41,"②病院短期","対象外")),IF($AH2454=5,IF($AJ2454=30,"③特定消防","対象外"),IF(OR($AJ2454=10,$AJ2454=11,$AJ2454=74),"④一般",IF(OR($AJ2454=41,$AJ2454=47),"⑤短期","対象外"))))))</f>
        <v/>
      </c>
    </row>
    <row r="2455" customFormat="false" ht="15" hidden="false" customHeight="false" outlineLevel="0" collapsed="false">
      <c r="DB2455" s="0" t="str">
        <f aca="false">IF($A2455="","",IF($AE2455&amp;""&lt;&gt;設定!$C$4,"対象外",IF($AH2455=20,IF(OR($AJ2455=10,$AJ2455=11,$AJ2455=18),"①病院一般",IF($AJ2455=41,"②病院短期","対象外")),IF($AH2455=5,IF($AJ2455=30,"③特定消防","対象外"),IF(OR($AJ2455=10,$AJ2455=11,$AJ2455=74),"④一般",IF(OR($AJ2455=41,$AJ2455=47),"⑤短期","対象外"))))))</f>
        <v/>
      </c>
    </row>
    <row r="2456" customFormat="false" ht="15" hidden="false" customHeight="false" outlineLevel="0" collapsed="false">
      <c r="DB2456" s="0" t="str">
        <f aca="false">IF($A2456="","",IF($AE2456&amp;""&lt;&gt;設定!$C$4,"対象外",IF($AH2456=20,IF(OR($AJ2456=10,$AJ2456=11,$AJ2456=18),"①病院一般",IF($AJ2456=41,"②病院短期","対象外")),IF($AH2456=5,IF($AJ2456=30,"③特定消防","対象外"),IF(OR($AJ2456=10,$AJ2456=11,$AJ2456=74),"④一般",IF(OR($AJ2456=41,$AJ2456=47),"⑤短期","対象外"))))))</f>
        <v/>
      </c>
    </row>
    <row r="2457" customFormat="false" ht="15" hidden="false" customHeight="false" outlineLevel="0" collapsed="false">
      <c r="DB2457" s="0" t="str">
        <f aca="false">IF($A2457="","",IF($AE2457&amp;""&lt;&gt;設定!$C$4,"対象外",IF($AH2457=20,IF(OR($AJ2457=10,$AJ2457=11,$AJ2457=18),"①病院一般",IF($AJ2457=41,"②病院短期","対象外")),IF($AH2457=5,IF($AJ2457=30,"③特定消防","対象外"),IF(OR($AJ2457=10,$AJ2457=11,$AJ2457=74),"④一般",IF(OR($AJ2457=41,$AJ2457=47),"⑤短期","対象外"))))))</f>
        <v/>
      </c>
    </row>
    <row r="2458" customFormat="false" ht="15" hidden="false" customHeight="false" outlineLevel="0" collapsed="false">
      <c r="DB2458" s="0" t="str">
        <f aca="false">IF($A2458="","",IF($AE2458&amp;""&lt;&gt;設定!$C$4,"対象外",IF($AH2458=20,IF(OR($AJ2458=10,$AJ2458=11,$AJ2458=18),"①病院一般",IF($AJ2458=41,"②病院短期","対象外")),IF($AH2458=5,IF($AJ2458=30,"③特定消防","対象外"),IF(OR($AJ2458=10,$AJ2458=11,$AJ2458=74),"④一般",IF(OR($AJ2458=41,$AJ2458=47),"⑤短期","対象外"))))))</f>
        <v/>
      </c>
    </row>
    <row r="2459" customFormat="false" ht="15" hidden="false" customHeight="false" outlineLevel="0" collapsed="false">
      <c r="DB2459" s="0" t="str">
        <f aca="false">IF($A2459="","",IF($AE2459&amp;""&lt;&gt;設定!$C$4,"対象外",IF($AH2459=20,IF(OR($AJ2459=10,$AJ2459=11,$AJ2459=18),"①病院一般",IF($AJ2459=41,"②病院短期","対象外")),IF($AH2459=5,IF($AJ2459=30,"③特定消防","対象外"),IF(OR($AJ2459=10,$AJ2459=11,$AJ2459=74),"④一般",IF(OR($AJ2459=41,$AJ2459=47),"⑤短期","対象外"))))))</f>
        <v/>
      </c>
    </row>
    <row r="2460" customFormat="false" ht="15" hidden="false" customHeight="false" outlineLevel="0" collapsed="false">
      <c r="DB2460" s="0" t="str">
        <f aca="false">IF($A2460="","",IF($AE2460&amp;""&lt;&gt;設定!$C$4,"対象外",IF($AH2460=20,IF(OR($AJ2460=10,$AJ2460=11,$AJ2460=18),"①病院一般",IF($AJ2460=41,"②病院短期","対象外")),IF($AH2460=5,IF($AJ2460=30,"③特定消防","対象外"),IF(OR($AJ2460=10,$AJ2460=11,$AJ2460=74),"④一般",IF(OR($AJ2460=41,$AJ2460=47),"⑤短期","対象外"))))))</f>
        <v/>
      </c>
    </row>
    <row r="2461" customFormat="false" ht="15" hidden="false" customHeight="false" outlineLevel="0" collapsed="false">
      <c r="DB2461" s="0" t="str">
        <f aca="false">IF($A2461="","",IF($AE2461&amp;""&lt;&gt;設定!$C$4,"対象外",IF($AH2461=20,IF(OR($AJ2461=10,$AJ2461=11,$AJ2461=18),"①病院一般",IF($AJ2461=41,"②病院短期","対象外")),IF($AH2461=5,IF($AJ2461=30,"③特定消防","対象外"),IF(OR($AJ2461=10,$AJ2461=11,$AJ2461=74),"④一般",IF(OR($AJ2461=41,$AJ2461=47),"⑤短期","対象外"))))))</f>
        <v/>
      </c>
    </row>
    <row r="2462" customFormat="false" ht="15" hidden="false" customHeight="false" outlineLevel="0" collapsed="false">
      <c r="DB2462" s="0" t="str">
        <f aca="false">IF($A2462="","",IF($AE2462&amp;""&lt;&gt;設定!$C$4,"対象外",IF($AH2462=20,IF(OR($AJ2462=10,$AJ2462=11,$AJ2462=18),"①病院一般",IF($AJ2462=41,"②病院短期","対象外")),IF($AH2462=5,IF($AJ2462=30,"③特定消防","対象外"),IF(OR($AJ2462=10,$AJ2462=11,$AJ2462=74),"④一般",IF(OR($AJ2462=41,$AJ2462=47),"⑤短期","対象外"))))))</f>
        <v/>
      </c>
    </row>
    <row r="2463" customFormat="false" ht="15" hidden="false" customHeight="false" outlineLevel="0" collapsed="false">
      <c r="DB2463" s="0" t="str">
        <f aca="false">IF($A2463="","",IF($AE2463&amp;""&lt;&gt;設定!$C$4,"対象外",IF($AH2463=20,IF(OR($AJ2463=10,$AJ2463=11,$AJ2463=18),"①病院一般",IF($AJ2463=41,"②病院短期","対象外")),IF($AH2463=5,IF($AJ2463=30,"③特定消防","対象外"),IF(OR($AJ2463=10,$AJ2463=11,$AJ2463=74),"④一般",IF(OR($AJ2463=41,$AJ2463=47),"⑤短期","対象外"))))))</f>
        <v/>
      </c>
    </row>
    <row r="2464" customFormat="false" ht="15" hidden="false" customHeight="false" outlineLevel="0" collapsed="false">
      <c r="DB2464" s="0" t="str">
        <f aca="false">IF($A2464="","",IF($AE2464&amp;""&lt;&gt;設定!$C$4,"対象外",IF($AH2464=20,IF(OR($AJ2464=10,$AJ2464=11,$AJ2464=18),"①病院一般",IF($AJ2464=41,"②病院短期","対象外")),IF($AH2464=5,IF($AJ2464=30,"③特定消防","対象外"),IF(OR($AJ2464=10,$AJ2464=11,$AJ2464=74),"④一般",IF(OR($AJ2464=41,$AJ2464=47),"⑤短期","対象外"))))))</f>
        <v/>
      </c>
    </row>
    <row r="2465" customFormat="false" ht="15" hidden="false" customHeight="false" outlineLevel="0" collapsed="false">
      <c r="DB2465" s="0" t="str">
        <f aca="false">IF($A2465="","",IF($AE2465&amp;""&lt;&gt;設定!$C$4,"対象外",IF($AH2465=20,IF(OR($AJ2465=10,$AJ2465=11,$AJ2465=18),"①病院一般",IF($AJ2465=41,"②病院短期","対象外")),IF($AH2465=5,IF($AJ2465=30,"③特定消防","対象外"),IF(OR($AJ2465=10,$AJ2465=11,$AJ2465=74),"④一般",IF(OR($AJ2465=41,$AJ2465=47),"⑤短期","対象外"))))))</f>
        <v/>
      </c>
    </row>
    <row r="2466" customFormat="false" ht="15" hidden="false" customHeight="false" outlineLevel="0" collapsed="false">
      <c r="DB2466" s="0" t="str">
        <f aca="false">IF($A2466="","",IF($AE2466&amp;""&lt;&gt;設定!$C$4,"対象外",IF($AH2466=20,IF(OR($AJ2466=10,$AJ2466=11,$AJ2466=18),"①病院一般",IF($AJ2466=41,"②病院短期","対象外")),IF($AH2466=5,IF($AJ2466=30,"③特定消防","対象外"),IF(OR($AJ2466=10,$AJ2466=11,$AJ2466=74),"④一般",IF(OR($AJ2466=41,$AJ2466=47),"⑤短期","対象外"))))))</f>
        <v/>
      </c>
    </row>
    <row r="2467" customFormat="false" ht="15" hidden="false" customHeight="false" outlineLevel="0" collapsed="false">
      <c r="DB2467" s="0" t="str">
        <f aca="false">IF($A2467="","",IF($AE2467&amp;""&lt;&gt;設定!$C$4,"対象外",IF($AH2467=20,IF(OR($AJ2467=10,$AJ2467=11,$AJ2467=18),"①病院一般",IF($AJ2467=41,"②病院短期","対象外")),IF($AH2467=5,IF($AJ2467=30,"③特定消防","対象外"),IF(OR($AJ2467=10,$AJ2467=11,$AJ2467=74),"④一般",IF(OR($AJ2467=41,$AJ2467=47),"⑤短期","対象外"))))))</f>
        <v/>
      </c>
    </row>
    <row r="2468" customFormat="false" ht="15" hidden="false" customHeight="false" outlineLevel="0" collapsed="false">
      <c r="DB2468" s="0" t="str">
        <f aca="false">IF($A2468="","",IF($AE2468&amp;""&lt;&gt;設定!$C$4,"対象外",IF($AH2468=20,IF(OR($AJ2468=10,$AJ2468=11,$AJ2468=18),"①病院一般",IF($AJ2468=41,"②病院短期","対象外")),IF($AH2468=5,IF($AJ2468=30,"③特定消防","対象外"),IF(OR($AJ2468=10,$AJ2468=11,$AJ2468=74),"④一般",IF(OR($AJ2468=41,$AJ2468=47),"⑤短期","対象外"))))))</f>
        <v/>
      </c>
    </row>
    <row r="2469" customFormat="false" ht="15" hidden="false" customHeight="false" outlineLevel="0" collapsed="false">
      <c r="DB2469" s="0" t="str">
        <f aca="false">IF($A2469="","",IF($AE2469&amp;""&lt;&gt;設定!$C$4,"対象外",IF($AH2469=20,IF(OR($AJ2469=10,$AJ2469=11,$AJ2469=18),"①病院一般",IF($AJ2469=41,"②病院短期","対象外")),IF($AH2469=5,IF($AJ2469=30,"③特定消防","対象外"),IF(OR($AJ2469=10,$AJ2469=11,$AJ2469=74),"④一般",IF(OR($AJ2469=41,$AJ2469=47),"⑤短期","対象外"))))))</f>
        <v/>
      </c>
    </row>
    <row r="2470" customFormat="false" ht="15" hidden="false" customHeight="false" outlineLevel="0" collapsed="false">
      <c r="DB2470" s="0" t="str">
        <f aca="false">IF($A2470="","",IF($AE2470&amp;""&lt;&gt;設定!$C$4,"対象外",IF($AH2470=20,IF(OR($AJ2470=10,$AJ2470=11,$AJ2470=18),"①病院一般",IF($AJ2470=41,"②病院短期","対象外")),IF($AH2470=5,IF($AJ2470=30,"③特定消防","対象外"),IF(OR($AJ2470=10,$AJ2470=11,$AJ2470=74),"④一般",IF(OR($AJ2470=41,$AJ2470=47),"⑤短期","対象外"))))))</f>
        <v/>
      </c>
    </row>
    <row r="2471" customFormat="false" ht="15" hidden="false" customHeight="false" outlineLevel="0" collapsed="false">
      <c r="DB2471" s="0" t="str">
        <f aca="false">IF($A2471="","",IF($AE2471&amp;""&lt;&gt;設定!$C$4,"対象外",IF($AH2471=20,IF(OR($AJ2471=10,$AJ2471=11,$AJ2471=18),"①病院一般",IF($AJ2471=41,"②病院短期","対象外")),IF($AH2471=5,IF($AJ2471=30,"③特定消防","対象外"),IF(OR($AJ2471=10,$AJ2471=11,$AJ2471=74),"④一般",IF(OR($AJ2471=41,$AJ2471=47),"⑤短期","対象外"))))))</f>
        <v/>
      </c>
    </row>
    <row r="2472" customFormat="false" ht="15" hidden="false" customHeight="false" outlineLevel="0" collapsed="false">
      <c r="DB2472" s="0" t="str">
        <f aca="false">IF($A2472="","",IF($AE2472&amp;""&lt;&gt;設定!$C$4,"対象外",IF($AH2472=20,IF(OR($AJ2472=10,$AJ2472=11,$AJ2472=18),"①病院一般",IF($AJ2472=41,"②病院短期","対象外")),IF($AH2472=5,IF($AJ2472=30,"③特定消防","対象外"),IF(OR($AJ2472=10,$AJ2472=11,$AJ2472=74),"④一般",IF(OR($AJ2472=41,$AJ2472=47),"⑤短期","対象外"))))))</f>
        <v/>
      </c>
    </row>
    <row r="2473" customFormat="false" ht="15" hidden="false" customHeight="false" outlineLevel="0" collapsed="false">
      <c r="DB2473" s="0" t="str">
        <f aca="false">IF($A2473="","",IF($AE2473&amp;""&lt;&gt;設定!$C$4,"対象外",IF($AH2473=20,IF(OR($AJ2473=10,$AJ2473=11,$AJ2473=18),"①病院一般",IF($AJ2473=41,"②病院短期","対象外")),IF($AH2473=5,IF($AJ2473=30,"③特定消防","対象外"),IF(OR($AJ2473=10,$AJ2473=11,$AJ2473=74),"④一般",IF(OR($AJ2473=41,$AJ2473=47),"⑤短期","対象外"))))))</f>
        <v/>
      </c>
    </row>
    <row r="2474" customFormat="false" ht="15" hidden="false" customHeight="false" outlineLevel="0" collapsed="false">
      <c r="DB2474" s="0" t="str">
        <f aca="false">IF($A2474="","",IF($AE2474&amp;""&lt;&gt;設定!$C$4,"対象外",IF($AH2474=20,IF(OR($AJ2474=10,$AJ2474=11,$AJ2474=18),"①病院一般",IF($AJ2474=41,"②病院短期","対象外")),IF($AH2474=5,IF($AJ2474=30,"③特定消防","対象外"),IF(OR($AJ2474=10,$AJ2474=11,$AJ2474=74),"④一般",IF(OR($AJ2474=41,$AJ2474=47),"⑤短期","対象外"))))))</f>
        <v/>
      </c>
    </row>
    <row r="2475" customFormat="false" ht="15" hidden="false" customHeight="false" outlineLevel="0" collapsed="false">
      <c r="DB2475" s="0" t="str">
        <f aca="false">IF($A2475="","",IF($AE2475&amp;""&lt;&gt;設定!$C$4,"対象外",IF($AH2475=20,IF(OR($AJ2475=10,$AJ2475=11,$AJ2475=18),"①病院一般",IF($AJ2475=41,"②病院短期","対象外")),IF($AH2475=5,IF($AJ2475=30,"③特定消防","対象外"),IF(OR($AJ2475=10,$AJ2475=11,$AJ2475=74),"④一般",IF(OR($AJ2475=41,$AJ2475=47),"⑤短期","対象外"))))))</f>
        <v/>
      </c>
    </row>
    <row r="2476" customFormat="false" ht="15" hidden="false" customHeight="false" outlineLevel="0" collapsed="false">
      <c r="DB2476" s="0" t="str">
        <f aca="false">IF($A2476="","",IF($AE2476&amp;""&lt;&gt;設定!$C$4,"対象外",IF($AH2476=20,IF(OR($AJ2476=10,$AJ2476=11,$AJ2476=18),"①病院一般",IF($AJ2476=41,"②病院短期","対象外")),IF($AH2476=5,IF($AJ2476=30,"③特定消防","対象外"),IF(OR($AJ2476=10,$AJ2476=11,$AJ2476=74),"④一般",IF(OR($AJ2476=41,$AJ2476=47),"⑤短期","対象外"))))))</f>
        <v/>
      </c>
    </row>
    <row r="2477" customFormat="false" ht="15" hidden="false" customHeight="false" outlineLevel="0" collapsed="false">
      <c r="DB2477" s="0" t="str">
        <f aca="false">IF($A2477="","",IF($AE2477&amp;""&lt;&gt;設定!$C$4,"対象外",IF($AH2477=20,IF(OR($AJ2477=10,$AJ2477=11,$AJ2477=18),"①病院一般",IF($AJ2477=41,"②病院短期","対象外")),IF($AH2477=5,IF($AJ2477=30,"③特定消防","対象外"),IF(OR($AJ2477=10,$AJ2477=11,$AJ2477=74),"④一般",IF(OR($AJ2477=41,$AJ2477=47),"⑤短期","対象外"))))))</f>
        <v/>
      </c>
    </row>
    <row r="2478" customFormat="false" ht="15" hidden="false" customHeight="false" outlineLevel="0" collapsed="false">
      <c r="DB2478" s="0" t="str">
        <f aca="false">IF($A2478="","",IF($AE2478&amp;""&lt;&gt;設定!$C$4,"対象外",IF($AH2478=20,IF(OR($AJ2478=10,$AJ2478=11,$AJ2478=18),"①病院一般",IF($AJ2478=41,"②病院短期","対象外")),IF($AH2478=5,IF($AJ2478=30,"③特定消防","対象外"),IF(OR($AJ2478=10,$AJ2478=11,$AJ2478=74),"④一般",IF(OR($AJ2478=41,$AJ2478=47),"⑤短期","対象外"))))))</f>
        <v/>
      </c>
    </row>
    <row r="2479" customFormat="false" ht="15" hidden="false" customHeight="false" outlineLevel="0" collapsed="false">
      <c r="DB2479" s="0" t="str">
        <f aca="false">IF($A2479="","",IF($AE2479&amp;""&lt;&gt;設定!$C$4,"対象外",IF($AH2479=20,IF(OR($AJ2479=10,$AJ2479=11,$AJ2479=18),"①病院一般",IF($AJ2479=41,"②病院短期","対象外")),IF($AH2479=5,IF($AJ2479=30,"③特定消防","対象外"),IF(OR($AJ2479=10,$AJ2479=11,$AJ2479=74),"④一般",IF(OR($AJ2479=41,$AJ2479=47),"⑤短期","対象外"))))))</f>
        <v/>
      </c>
    </row>
    <row r="2480" customFormat="false" ht="15" hidden="false" customHeight="false" outlineLevel="0" collapsed="false">
      <c r="DB2480" s="0" t="str">
        <f aca="false">IF($A2480="","",IF($AE2480&amp;""&lt;&gt;設定!$C$4,"対象外",IF($AH2480=20,IF(OR($AJ2480=10,$AJ2480=11,$AJ2480=18),"①病院一般",IF($AJ2480=41,"②病院短期","対象外")),IF($AH2480=5,IF($AJ2480=30,"③特定消防","対象外"),IF(OR($AJ2480=10,$AJ2480=11,$AJ2480=74),"④一般",IF(OR($AJ2480=41,$AJ2480=47),"⑤短期","対象外"))))))</f>
        <v/>
      </c>
    </row>
    <row r="2481" customFormat="false" ht="15" hidden="false" customHeight="false" outlineLevel="0" collapsed="false">
      <c r="DB2481" s="0" t="str">
        <f aca="false">IF($A2481="","",IF($AE2481&amp;""&lt;&gt;設定!$C$4,"対象外",IF($AH2481=20,IF(OR($AJ2481=10,$AJ2481=11,$AJ2481=18),"①病院一般",IF($AJ2481=41,"②病院短期","対象外")),IF($AH2481=5,IF($AJ2481=30,"③特定消防","対象外"),IF(OR($AJ2481=10,$AJ2481=11,$AJ2481=74),"④一般",IF(OR($AJ2481=41,$AJ2481=47),"⑤短期","対象外"))))))</f>
        <v/>
      </c>
    </row>
    <row r="2482" customFormat="false" ht="15" hidden="false" customHeight="false" outlineLevel="0" collapsed="false">
      <c r="DB2482" s="0" t="str">
        <f aca="false">IF($A2482="","",IF($AE2482&amp;""&lt;&gt;設定!$C$4,"対象外",IF($AH2482=20,IF(OR($AJ2482=10,$AJ2482=11,$AJ2482=18),"①病院一般",IF($AJ2482=41,"②病院短期","対象外")),IF($AH2482=5,IF($AJ2482=30,"③特定消防","対象外"),IF(OR($AJ2482=10,$AJ2482=11,$AJ2482=74),"④一般",IF(OR($AJ2482=41,$AJ2482=47),"⑤短期","対象外"))))))</f>
        <v/>
      </c>
    </row>
    <row r="2483" customFormat="false" ht="15" hidden="false" customHeight="false" outlineLevel="0" collapsed="false">
      <c r="DB2483" s="0" t="str">
        <f aca="false">IF($A2483="","",IF($AE2483&amp;""&lt;&gt;設定!$C$4,"対象外",IF($AH2483=20,IF(OR($AJ2483=10,$AJ2483=11,$AJ2483=18),"①病院一般",IF($AJ2483=41,"②病院短期","対象外")),IF($AH2483=5,IF($AJ2483=30,"③特定消防","対象外"),IF(OR($AJ2483=10,$AJ2483=11,$AJ2483=74),"④一般",IF(OR($AJ2483=41,$AJ2483=47),"⑤短期","対象外"))))))</f>
        <v/>
      </c>
    </row>
    <row r="2484" customFormat="false" ht="15" hidden="false" customHeight="false" outlineLevel="0" collapsed="false">
      <c r="DB2484" s="0" t="str">
        <f aca="false">IF($A2484="","",IF($AE2484&amp;""&lt;&gt;設定!$C$4,"対象外",IF($AH2484=20,IF(OR($AJ2484=10,$AJ2484=11,$AJ2484=18),"①病院一般",IF($AJ2484=41,"②病院短期","対象外")),IF($AH2484=5,IF($AJ2484=30,"③特定消防","対象外"),IF(OR($AJ2484=10,$AJ2484=11,$AJ2484=74),"④一般",IF(OR($AJ2484=41,$AJ2484=47),"⑤短期","対象外"))))))</f>
        <v/>
      </c>
    </row>
    <row r="2485" customFormat="false" ht="15" hidden="false" customHeight="false" outlineLevel="0" collapsed="false">
      <c r="DB2485" s="0" t="str">
        <f aca="false">IF($A2485="","",IF($AE2485&amp;""&lt;&gt;設定!$C$4,"対象外",IF($AH2485=20,IF(OR($AJ2485=10,$AJ2485=11,$AJ2485=18),"①病院一般",IF($AJ2485=41,"②病院短期","対象外")),IF($AH2485=5,IF($AJ2485=30,"③特定消防","対象外"),IF(OR($AJ2485=10,$AJ2485=11,$AJ2485=74),"④一般",IF(OR($AJ2485=41,$AJ2485=47),"⑤短期","対象外"))))))</f>
        <v/>
      </c>
    </row>
    <row r="2486" customFormat="false" ht="15" hidden="false" customHeight="false" outlineLevel="0" collapsed="false">
      <c r="DB2486" s="0" t="str">
        <f aca="false">IF($A2486="","",IF($AE2486&amp;""&lt;&gt;設定!$C$4,"対象外",IF($AH2486=20,IF(OR($AJ2486=10,$AJ2486=11,$AJ2486=18),"①病院一般",IF($AJ2486=41,"②病院短期","対象外")),IF($AH2486=5,IF($AJ2486=30,"③特定消防","対象外"),IF(OR($AJ2486=10,$AJ2486=11,$AJ2486=74),"④一般",IF(OR($AJ2486=41,$AJ2486=47),"⑤短期","対象外"))))))</f>
        <v/>
      </c>
    </row>
    <row r="2487" customFormat="false" ht="15" hidden="false" customHeight="false" outlineLevel="0" collapsed="false">
      <c r="DB2487" s="0" t="str">
        <f aca="false">IF($A2487="","",IF($AE2487&amp;""&lt;&gt;設定!$C$4,"対象外",IF($AH2487=20,IF(OR($AJ2487=10,$AJ2487=11,$AJ2487=18),"①病院一般",IF($AJ2487=41,"②病院短期","対象外")),IF($AH2487=5,IF($AJ2487=30,"③特定消防","対象外"),IF(OR($AJ2487=10,$AJ2487=11,$AJ2487=74),"④一般",IF(OR($AJ2487=41,$AJ2487=47),"⑤短期","対象外"))))))</f>
        <v/>
      </c>
    </row>
    <row r="2488" customFormat="false" ht="15" hidden="false" customHeight="false" outlineLevel="0" collapsed="false">
      <c r="DB2488" s="0" t="str">
        <f aca="false">IF($A2488="","",IF($AE2488&amp;""&lt;&gt;設定!$C$4,"対象外",IF($AH2488=20,IF(OR($AJ2488=10,$AJ2488=11,$AJ2488=18),"①病院一般",IF($AJ2488=41,"②病院短期","対象外")),IF($AH2488=5,IF($AJ2488=30,"③特定消防","対象外"),IF(OR($AJ2488=10,$AJ2488=11,$AJ2488=74),"④一般",IF(OR($AJ2488=41,$AJ2488=47),"⑤短期","対象外"))))))</f>
        <v/>
      </c>
    </row>
    <row r="2489" customFormat="false" ht="15" hidden="false" customHeight="false" outlineLevel="0" collapsed="false">
      <c r="DB2489" s="0" t="str">
        <f aca="false">IF($A2489="","",IF($AE2489&amp;""&lt;&gt;設定!$C$4,"対象外",IF($AH2489=20,IF(OR($AJ2489=10,$AJ2489=11,$AJ2489=18),"①病院一般",IF($AJ2489=41,"②病院短期","対象外")),IF($AH2489=5,IF($AJ2489=30,"③特定消防","対象外"),IF(OR($AJ2489=10,$AJ2489=11,$AJ2489=74),"④一般",IF(OR($AJ2489=41,$AJ2489=47),"⑤短期","対象外"))))))</f>
        <v/>
      </c>
    </row>
    <row r="2490" customFormat="false" ht="15" hidden="false" customHeight="false" outlineLevel="0" collapsed="false">
      <c r="DB2490" s="0" t="str">
        <f aca="false">IF($A2490="","",IF($AE2490&amp;""&lt;&gt;設定!$C$4,"対象外",IF($AH2490=20,IF(OR($AJ2490=10,$AJ2490=11,$AJ2490=18),"①病院一般",IF($AJ2490=41,"②病院短期","対象外")),IF($AH2490=5,IF($AJ2490=30,"③特定消防","対象外"),IF(OR($AJ2490=10,$AJ2490=11,$AJ2490=74),"④一般",IF(OR($AJ2490=41,$AJ2490=47),"⑤短期","対象外"))))))</f>
        <v/>
      </c>
    </row>
    <row r="2491" customFormat="false" ht="15" hidden="false" customHeight="false" outlineLevel="0" collapsed="false">
      <c r="DB2491" s="0" t="str">
        <f aca="false">IF($A2491="","",IF($AE2491&amp;""&lt;&gt;設定!$C$4,"対象外",IF($AH2491=20,IF(OR($AJ2491=10,$AJ2491=11,$AJ2491=18),"①病院一般",IF($AJ2491=41,"②病院短期","対象外")),IF($AH2491=5,IF($AJ2491=30,"③特定消防","対象外"),IF(OR($AJ2491=10,$AJ2491=11,$AJ2491=74),"④一般",IF(OR($AJ2491=41,$AJ2491=47),"⑤短期","対象外"))))))</f>
        <v/>
      </c>
    </row>
    <row r="2492" customFormat="false" ht="15" hidden="false" customHeight="false" outlineLevel="0" collapsed="false">
      <c r="DB2492" s="0" t="str">
        <f aca="false">IF($A2492="","",IF($AE2492&amp;""&lt;&gt;設定!$C$4,"対象外",IF($AH2492=20,IF(OR($AJ2492=10,$AJ2492=11,$AJ2492=18),"①病院一般",IF($AJ2492=41,"②病院短期","対象外")),IF($AH2492=5,IF($AJ2492=30,"③特定消防","対象外"),IF(OR($AJ2492=10,$AJ2492=11,$AJ2492=74),"④一般",IF(OR($AJ2492=41,$AJ2492=47),"⑤短期","対象外"))))))</f>
        <v/>
      </c>
    </row>
    <row r="2493" customFormat="false" ht="15" hidden="false" customHeight="false" outlineLevel="0" collapsed="false">
      <c r="DB2493" s="0" t="str">
        <f aca="false">IF($A2493="","",IF($AE2493&amp;""&lt;&gt;設定!$C$4,"対象外",IF($AH2493=20,IF(OR($AJ2493=10,$AJ2493=11,$AJ2493=18),"①病院一般",IF($AJ2493=41,"②病院短期","対象外")),IF($AH2493=5,IF($AJ2493=30,"③特定消防","対象外"),IF(OR($AJ2493=10,$AJ2493=11,$AJ2493=74),"④一般",IF(OR($AJ2493=41,$AJ2493=47),"⑤短期","対象外"))))))</f>
        <v/>
      </c>
    </row>
    <row r="2494" customFormat="false" ht="15" hidden="false" customHeight="false" outlineLevel="0" collapsed="false">
      <c r="DB2494" s="0" t="str">
        <f aca="false">IF($A2494="","",IF($AE2494&amp;""&lt;&gt;設定!$C$4,"対象外",IF($AH2494=20,IF(OR($AJ2494=10,$AJ2494=11,$AJ2494=18),"①病院一般",IF($AJ2494=41,"②病院短期","対象外")),IF($AH2494=5,IF($AJ2494=30,"③特定消防","対象外"),IF(OR($AJ2494=10,$AJ2494=11,$AJ2494=74),"④一般",IF(OR($AJ2494=41,$AJ2494=47),"⑤短期","対象外"))))))</f>
        <v/>
      </c>
    </row>
    <row r="2495" customFormat="false" ht="15" hidden="false" customHeight="false" outlineLevel="0" collapsed="false">
      <c r="DB2495" s="0" t="str">
        <f aca="false">IF($A2495="","",IF($AE2495&amp;""&lt;&gt;設定!$C$4,"対象外",IF($AH2495=20,IF(OR($AJ2495=10,$AJ2495=11,$AJ2495=18),"①病院一般",IF($AJ2495=41,"②病院短期","対象外")),IF($AH2495=5,IF($AJ2495=30,"③特定消防","対象外"),IF(OR($AJ2495=10,$AJ2495=11,$AJ2495=74),"④一般",IF(OR($AJ2495=41,$AJ2495=47),"⑤短期","対象外"))))))</f>
        <v/>
      </c>
    </row>
    <row r="2496" customFormat="false" ht="15" hidden="false" customHeight="false" outlineLevel="0" collapsed="false">
      <c r="DB2496" s="0" t="str">
        <f aca="false">IF($A2496="","",IF($AE2496&amp;""&lt;&gt;設定!$C$4,"対象外",IF($AH2496=20,IF(OR($AJ2496=10,$AJ2496=11,$AJ2496=18),"①病院一般",IF($AJ2496=41,"②病院短期","対象外")),IF($AH2496=5,IF($AJ2496=30,"③特定消防","対象外"),IF(OR($AJ2496=10,$AJ2496=11,$AJ2496=74),"④一般",IF(OR($AJ2496=41,$AJ2496=47),"⑤短期","対象外"))))))</f>
        <v/>
      </c>
    </row>
    <row r="2497" customFormat="false" ht="15" hidden="false" customHeight="false" outlineLevel="0" collapsed="false">
      <c r="DB2497" s="0" t="str">
        <f aca="false">IF($A2497="","",IF($AE2497&amp;""&lt;&gt;設定!$C$4,"対象外",IF($AH2497=20,IF(OR($AJ2497=10,$AJ2497=11,$AJ2497=18),"①病院一般",IF($AJ2497=41,"②病院短期","対象外")),IF($AH2497=5,IF($AJ2497=30,"③特定消防","対象外"),IF(OR($AJ2497=10,$AJ2497=11,$AJ2497=74),"④一般",IF(OR($AJ2497=41,$AJ2497=47),"⑤短期","対象外"))))))</f>
        <v/>
      </c>
    </row>
    <row r="2498" customFormat="false" ht="15" hidden="false" customHeight="false" outlineLevel="0" collapsed="false">
      <c r="DB2498" s="0" t="str">
        <f aca="false">IF($A2498="","",IF($AE2498&amp;""&lt;&gt;設定!$C$4,"対象外",IF($AH2498=20,IF(OR($AJ2498=10,$AJ2498=11,$AJ2498=18),"①病院一般",IF($AJ2498=41,"②病院短期","対象外")),IF($AH2498=5,IF($AJ2498=30,"③特定消防","対象外"),IF(OR($AJ2498=10,$AJ2498=11,$AJ2498=74),"④一般",IF(OR($AJ2498=41,$AJ2498=47),"⑤短期","対象外"))))))</f>
        <v/>
      </c>
    </row>
    <row r="2499" customFormat="false" ht="15" hidden="false" customHeight="false" outlineLevel="0" collapsed="false">
      <c r="DB2499" s="0" t="str">
        <f aca="false">IF($A2499="","",IF($AE2499&amp;""&lt;&gt;設定!$C$4,"対象外",IF($AH2499=20,IF(OR($AJ2499=10,$AJ2499=11,$AJ2499=18),"①病院一般",IF($AJ2499=41,"②病院短期","対象外")),IF($AH2499=5,IF($AJ2499=30,"③特定消防","対象外"),IF(OR($AJ2499=10,$AJ2499=11,$AJ2499=74),"④一般",IF(OR($AJ2499=41,$AJ2499=47),"⑤短期","対象外"))))))</f>
        <v/>
      </c>
    </row>
    <row r="2500" customFormat="false" ht="15" hidden="false" customHeight="false" outlineLevel="0" collapsed="false">
      <c r="DB2500" s="0" t="str">
        <f aca="false">IF($A2500="","",IF($AE2500&amp;""&lt;&gt;設定!$C$4,"対象外",IF($AH2500=20,IF(OR($AJ2500=10,$AJ2500=11,$AJ2500=18),"①病院一般",IF($AJ2500=41,"②病院短期","対象外")),IF($AH2500=5,IF($AJ2500=30,"③特定消防","対象外"),IF(OR($AJ2500=10,$AJ2500=11,$AJ2500=74),"④一般",IF(OR($AJ2500=41,$AJ2500=47),"⑤短期","対象外"))))))</f>
        <v/>
      </c>
    </row>
    <row r="2501" customFormat="false" ht="15" hidden="false" customHeight="false" outlineLevel="0" collapsed="false">
      <c r="DB2501" s="0" t="str">
        <f aca="false">IF($A2501="","",IF($AE2501&amp;""&lt;&gt;設定!$C$4,"対象外",IF($AH2501=20,IF(OR($AJ2501=10,$AJ2501=11,$AJ2501=18),"①病院一般",IF($AJ2501=41,"②病院短期","対象外")),IF($AH2501=5,IF($AJ2501=30,"③特定消防","対象外"),IF(OR($AJ2501=10,$AJ2501=11,$AJ2501=74),"④一般",IF(OR($AJ2501=41,$AJ2501=47),"⑤短期","対象外"))))))</f>
        <v/>
      </c>
    </row>
    <row r="2502" customFormat="false" ht="15" hidden="false" customHeight="false" outlineLevel="0" collapsed="false">
      <c r="DB2502" s="0" t="str">
        <f aca="false">IF($A2502="","",IF($AE2502&amp;""&lt;&gt;設定!$C$4,"対象外",IF($AH2502=20,IF(OR($AJ2502=10,$AJ2502=11,$AJ2502=18),"①病院一般",IF($AJ2502=41,"②病院短期","対象外")),IF($AH2502=5,IF($AJ2502=30,"③特定消防","対象外"),IF(OR($AJ2502=10,$AJ2502=11,$AJ2502=74),"④一般",IF(OR($AJ2502=41,$AJ2502=47),"⑤短期","対象外"))))))</f>
        <v/>
      </c>
    </row>
    <row r="2503" customFormat="false" ht="15" hidden="false" customHeight="false" outlineLevel="0" collapsed="false">
      <c r="DB2503" s="0" t="str">
        <f aca="false">IF($A2503="","",IF($AE2503&amp;""&lt;&gt;設定!$C$4,"対象外",IF($AH2503=20,IF(OR($AJ2503=10,$AJ2503=11,$AJ2503=18),"①病院一般",IF($AJ2503=41,"②病院短期","対象外")),IF($AH2503=5,IF($AJ2503=30,"③特定消防","対象外"),IF(OR($AJ2503=10,$AJ2503=11,$AJ2503=74),"④一般",IF(OR($AJ2503=41,$AJ2503=47),"⑤短期","対象外"))))))</f>
        <v/>
      </c>
    </row>
    <row r="2504" customFormat="false" ht="15" hidden="false" customHeight="false" outlineLevel="0" collapsed="false">
      <c r="DB2504" s="0" t="str">
        <f aca="false">IF($A2504="","",IF($AE2504&amp;""&lt;&gt;設定!$C$4,"対象外",IF($AH2504=20,IF(OR($AJ2504=10,$AJ2504=11,$AJ2504=18),"①病院一般",IF($AJ2504=41,"②病院短期","対象外")),IF($AH2504=5,IF($AJ2504=30,"③特定消防","対象外"),IF(OR($AJ2504=10,$AJ2504=11,$AJ2504=74),"④一般",IF(OR($AJ2504=41,$AJ2504=47),"⑤短期","対象外"))))))</f>
        <v/>
      </c>
    </row>
    <row r="2505" customFormat="false" ht="15" hidden="false" customHeight="false" outlineLevel="0" collapsed="false">
      <c r="DB2505" s="0" t="str">
        <f aca="false">IF($A2505="","",IF($AE2505&amp;""&lt;&gt;設定!$C$4,"対象外",IF($AH2505=20,IF(OR($AJ2505=10,$AJ2505=11,$AJ2505=18),"①病院一般",IF($AJ2505=41,"②病院短期","対象外")),IF($AH2505=5,IF($AJ2505=30,"③特定消防","対象外"),IF(OR($AJ2505=10,$AJ2505=11,$AJ2505=74),"④一般",IF(OR($AJ2505=41,$AJ2505=47),"⑤短期","対象外"))))))</f>
        <v/>
      </c>
    </row>
    <row r="2506" customFormat="false" ht="15" hidden="false" customHeight="false" outlineLevel="0" collapsed="false">
      <c r="DB2506" s="0" t="str">
        <f aca="false">IF($A2506="","",IF($AE2506&amp;""&lt;&gt;設定!$C$4,"対象外",IF($AH2506=20,IF(OR($AJ2506=10,$AJ2506=11,$AJ2506=18),"①病院一般",IF($AJ2506=41,"②病院短期","対象外")),IF($AH2506=5,IF($AJ2506=30,"③特定消防","対象外"),IF(OR($AJ2506=10,$AJ2506=11,$AJ2506=74),"④一般",IF(OR($AJ2506=41,$AJ2506=47),"⑤短期","対象外"))))))</f>
        <v/>
      </c>
    </row>
    <row r="2507" customFormat="false" ht="15" hidden="false" customHeight="false" outlineLevel="0" collapsed="false">
      <c r="DB2507" s="0" t="str">
        <f aca="false">IF($A2507="","",IF($AE2507&amp;""&lt;&gt;設定!$C$4,"対象外",IF($AH2507=20,IF(OR($AJ2507=10,$AJ2507=11,$AJ2507=18),"①病院一般",IF($AJ2507=41,"②病院短期","対象外")),IF($AH2507=5,IF($AJ2507=30,"③特定消防","対象外"),IF(OR($AJ2507=10,$AJ2507=11,$AJ2507=74),"④一般",IF(OR($AJ2507=41,$AJ2507=47),"⑤短期","対象外"))))))</f>
        <v/>
      </c>
    </row>
    <row r="2508" customFormat="false" ht="15" hidden="false" customHeight="false" outlineLevel="0" collapsed="false">
      <c r="DB2508" s="0" t="str">
        <f aca="false">IF($A2508="","",IF($AE2508&amp;""&lt;&gt;設定!$C$4,"対象外",IF($AH2508=20,IF(OR($AJ2508=10,$AJ2508=11,$AJ2508=18),"①病院一般",IF($AJ2508=41,"②病院短期","対象外")),IF($AH2508=5,IF($AJ2508=30,"③特定消防","対象外"),IF(OR($AJ2508=10,$AJ2508=11,$AJ2508=74),"④一般",IF(OR($AJ2508=41,$AJ2508=47),"⑤短期","対象外"))))))</f>
        <v/>
      </c>
    </row>
    <row r="2509" customFormat="false" ht="15" hidden="false" customHeight="false" outlineLevel="0" collapsed="false">
      <c r="DB2509" s="0" t="str">
        <f aca="false">IF($A2509="","",IF($AE2509&amp;""&lt;&gt;設定!$C$4,"対象外",IF($AH2509=20,IF(OR($AJ2509=10,$AJ2509=11,$AJ2509=18),"①病院一般",IF($AJ2509=41,"②病院短期","対象外")),IF($AH2509=5,IF($AJ2509=30,"③特定消防","対象外"),IF(OR($AJ2509=10,$AJ2509=11,$AJ2509=74),"④一般",IF(OR($AJ2509=41,$AJ2509=47),"⑤短期","対象外"))))))</f>
        <v/>
      </c>
    </row>
    <row r="2510" customFormat="false" ht="15" hidden="false" customHeight="false" outlineLevel="0" collapsed="false">
      <c r="DB2510" s="0" t="str">
        <f aca="false">IF($A2510="","",IF($AE2510&amp;""&lt;&gt;設定!$C$4,"対象外",IF($AH2510=20,IF(OR($AJ2510=10,$AJ2510=11,$AJ2510=18),"①病院一般",IF($AJ2510=41,"②病院短期","対象外")),IF($AH2510=5,IF($AJ2510=30,"③特定消防","対象外"),IF(OR($AJ2510=10,$AJ2510=11,$AJ2510=74),"④一般",IF(OR($AJ2510=41,$AJ2510=47),"⑤短期","対象外"))))))</f>
        <v/>
      </c>
    </row>
    <row r="2511" customFormat="false" ht="15" hidden="false" customHeight="false" outlineLevel="0" collapsed="false">
      <c r="DB2511" s="0" t="str">
        <f aca="false">IF($A2511="","",IF($AE2511&amp;""&lt;&gt;設定!$C$4,"対象外",IF($AH2511=20,IF(OR($AJ2511=10,$AJ2511=11,$AJ2511=18),"①病院一般",IF($AJ2511=41,"②病院短期","対象外")),IF($AH2511=5,IF($AJ2511=30,"③特定消防","対象外"),IF(OR($AJ2511=10,$AJ2511=11,$AJ2511=74),"④一般",IF(OR($AJ2511=41,$AJ2511=47),"⑤短期","対象外"))))))</f>
        <v/>
      </c>
    </row>
    <row r="2512" customFormat="false" ht="15" hidden="false" customHeight="false" outlineLevel="0" collapsed="false">
      <c r="DB2512" s="0" t="str">
        <f aca="false">IF($A2512="","",IF($AE2512&amp;""&lt;&gt;設定!$C$4,"対象外",IF($AH2512=20,IF(OR($AJ2512=10,$AJ2512=11,$AJ2512=18),"①病院一般",IF($AJ2512=41,"②病院短期","対象外")),IF($AH2512=5,IF($AJ2512=30,"③特定消防","対象外"),IF(OR($AJ2512=10,$AJ2512=11,$AJ2512=74),"④一般",IF(OR($AJ2512=41,$AJ2512=47),"⑤短期","対象外"))))))</f>
        <v/>
      </c>
    </row>
    <row r="2513" customFormat="false" ht="15" hidden="false" customHeight="false" outlineLevel="0" collapsed="false">
      <c r="DB2513" s="0" t="str">
        <f aca="false">IF($A2513="","",IF($AE2513&amp;""&lt;&gt;設定!$C$4,"対象外",IF($AH2513=20,IF(OR($AJ2513=10,$AJ2513=11,$AJ2513=18),"①病院一般",IF($AJ2513=41,"②病院短期","対象外")),IF($AH2513=5,IF($AJ2513=30,"③特定消防","対象外"),IF(OR($AJ2513=10,$AJ2513=11,$AJ2513=74),"④一般",IF(OR($AJ2513=41,$AJ2513=47),"⑤短期","対象外"))))))</f>
        <v/>
      </c>
    </row>
    <row r="2514" customFormat="false" ht="15" hidden="false" customHeight="false" outlineLevel="0" collapsed="false">
      <c r="DB2514" s="0" t="str">
        <f aca="false">IF($A2514="","",IF($AE2514&amp;""&lt;&gt;設定!$C$4,"対象外",IF($AH2514=20,IF(OR($AJ2514=10,$AJ2514=11,$AJ2514=18),"①病院一般",IF($AJ2514=41,"②病院短期","対象外")),IF($AH2514=5,IF($AJ2514=30,"③特定消防","対象外"),IF(OR($AJ2514=10,$AJ2514=11,$AJ2514=74),"④一般",IF(OR($AJ2514=41,$AJ2514=47),"⑤短期","対象外"))))))</f>
        <v/>
      </c>
    </row>
    <row r="2515" customFormat="false" ht="15" hidden="false" customHeight="false" outlineLevel="0" collapsed="false">
      <c r="DB2515" s="0" t="str">
        <f aca="false">IF($A2515="","",IF($AE2515&amp;""&lt;&gt;設定!$C$4,"対象外",IF($AH2515=20,IF(OR($AJ2515=10,$AJ2515=11,$AJ2515=18),"①病院一般",IF($AJ2515=41,"②病院短期","対象外")),IF($AH2515=5,IF($AJ2515=30,"③特定消防","対象外"),IF(OR($AJ2515=10,$AJ2515=11,$AJ2515=74),"④一般",IF(OR($AJ2515=41,$AJ2515=47),"⑤短期","対象外"))))))</f>
        <v/>
      </c>
    </row>
    <row r="2516" customFormat="false" ht="15" hidden="false" customHeight="false" outlineLevel="0" collapsed="false">
      <c r="DB2516" s="0" t="str">
        <f aca="false">IF($A2516="","",IF($AE2516&amp;""&lt;&gt;設定!$C$4,"対象外",IF($AH2516=20,IF(OR($AJ2516=10,$AJ2516=11,$AJ2516=18),"①病院一般",IF($AJ2516=41,"②病院短期","対象外")),IF($AH2516=5,IF($AJ2516=30,"③特定消防","対象外"),IF(OR($AJ2516=10,$AJ2516=11,$AJ2516=74),"④一般",IF(OR($AJ2516=41,$AJ2516=47),"⑤短期","対象外"))))))</f>
        <v/>
      </c>
    </row>
    <row r="2517" customFormat="false" ht="15" hidden="false" customHeight="false" outlineLevel="0" collapsed="false">
      <c r="DB2517" s="0" t="str">
        <f aca="false">IF($A2517="","",IF($AE2517&amp;""&lt;&gt;設定!$C$4,"対象外",IF($AH2517=20,IF(OR($AJ2517=10,$AJ2517=11,$AJ2517=18),"①病院一般",IF($AJ2517=41,"②病院短期","対象外")),IF($AH2517=5,IF($AJ2517=30,"③特定消防","対象外"),IF(OR($AJ2517=10,$AJ2517=11,$AJ2517=74),"④一般",IF(OR($AJ2517=41,$AJ2517=47),"⑤短期","対象外"))))))</f>
        <v/>
      </c>
    </row>
    <row r="2518" customFormat="false" ht="15" hidden="false" customHeight="false" outlineLevel="0" collapsed="false">
      <c r="DB2518" s="0" t="str">
        <f aca="false">IF($A2518="","",IF($AE2518&amp;""&lt;&gt;設定!$C$4,"対象外",IF($AH2518=20,IF(OR($AJ2518=10,$AJ2518=11,$AJ2518=18),"①病院一般",IF($AJ2518=41,"②病院短期","対象外")),IF($AH2518=5,IF($AJ2518=30,"③特定消防","対象外"),IF(OR($AJ2518=10,$AJ2518=11,$AJ2518=74),"④一般",IF(OR($AJ2518=41,$AJ2518=47),"⑤短期","対象外"))))))</f>
        <v/>
      </c>
    </row>
    <row r="2519" customFormat="false" ht="15" hidden="false" customHeight="false" outlineLevel="0" collapsed="false">
      <c r="DB2519" s="0" t="str">
        <f aca="false">IF($A2519="","",IF($AE2519&amp;""&lt;&gt;設定!$C$4,"対象外",IF($AH2519=20,IF(OR($AJ2519=10,$AJ2519=11,$AJ2519=18),"①病院一般",IF($AJ2519=41,"②病院短期","対象外")),IF($AH2519=5,IF($AJ2519=30,"③特定消防","対象外"),IF(OR($AJ2519=10,$AJ2519=11,$AJ2519=74),"④一般",IF(OR($AJ2519=41,$AJ2519=47),"⑤短期","対象外"))))))</f>
        <v/>
      </c>
    </row>
    <row r="2520" customFormat="false" ht="15" hidden="false" customHeight="false" outlineLevel="0" collapsed="false">
      <c r="DB2520" s="0" t="str">
        <f aca="false">IF($A2520="","",IF($AE2520&amp;""&lt;&gt;設定!$C$4,"対象外",IF($AH2520=20,IF(OR($AJ2520=10,$AJ2520=11,$AJ2520=18),"①病院一般",IF($AJ2520=41,"②病院短期","対象外")),IF($AH2520=5,IF($AJ2520=30,"③特定消防","対象外"),IF(OR($AJ2520=10,$AJ2520=11,$AJ2520=74),"④一般",IF(OR($AJ2520=41,$AJ2520=47),"⑤短期","対象外"))))))</f>
        <v/>
      </c>
    </row>
    <row r="2521" customFormat="false" ht="15" hidden="false" customHeight="false" outlineLevel="0" collapsed="false">
      <c r="DB2521" s="0" t="str">
        <f aca="false">IF($A2521="","",IF($AE2521&amp;""&lt;&gt;設定!$C$4,"対象外",IF($AH2521=20,IF(OR($AJ2521=10,$AJ2521=11,$AJ2521=18),"①病院一般",IF($AJ2521=41,"②病院短期","対象外")),IF($AH2521=5,IF($AJ2521=30,"③特定消防","対象外"),IF(OR($AJ2521=10,$AJ2521=11,$AJ2521=74),"④一般",IF(OR($AJ2521=41,$AJ2521=47),"⑤短期","対象外"))))))</f>
        <v/>
      </c>
    </row>
    <row r="2522" customFormat="false" ht="15" hidden="false" customHeight="false" outlineLevel="0" collapsed="false">
      <c r="DB2522" s="0" t="str">
        <f aca="false">IF($A2522="","",IF($AE2522&amp;""&lt;&gt;設定!$C$4,"対象外",IF($AH2522=20,IF(OR($AJ2522=10,$AJ2522=11,$AJ2522=18),"①病院一般",IF($AJ2522=41,"②病院短期","対象外")),IF($AH2522=5,IF($AJ2522=30,"③特定消防","対象外"),IF(OR($AJ2522=10,$AJ2522=11,$AJ2522=74),"④一般",IF(OR($AJ2522=41,$AJ2522=47),"⑤短期","対象外"))))))</f>
        <v/>
      </c>
    </row>
    <row r="2523" customFormat="false" ht="15" hidden="false" customHeight="false" outlineLevel="0" collapsed="false">
      <c r="DB2523" s="0" t="str">
        <f aca="false">IF($A2523="","",IF($AE2523&amp;""&lt;&gt;設定!$C$4,"対象外",IF($AH2523=20,IF(OR($AJ2523=10,$AJ2523=11,$AJ2523=18),"①病院一般",IF($AJ2523=41,"②病院短期","対象外")),IF($AH2523=5,IF($AJ2523=30,"③特定消防","対象外"),IF(OR($AJ2523=10,$AJ2523=11,$AJ2523=74),"④一般",IF(OR($AJ2523=41,$AJ2523=47),"⑤短期","対象外"))))))</f>
        <v/>
      </c>
    </row>
    <row r="2524" customFormat="false" ht="15" hidden="false" customHeight="false" outlineLevel="0" collapsed="false">
      <c r="DB2524" s="0" t="str">
        <f aca="false">IF($A2524="","",IF($AE2524&amp;""&lt;&gt;設定!$C$4,"対象外",IF($AH2524=20,IF(OR($AJ2524=10,$AJ2524=11,$AJ2524=18),"①病院一般",IF($AJ2524=41,"②病院短期","対象外")),IF($AH2524=5,IF($AJ2524=30,"③特定消防","対象外"),IF(OR($AJ2524=10,$AJ2524=11,$AJ2524=74),"④一般",IF(OR($AJ2524=41,$AJ2524=47),"⑤短期","対象外"))))))</f>
        <v/>
      </c>
    </row>
    <row r="2525" customFormat="false" ht="15" hidden="false" customHeight="false" outlineLevel="0" collapsed="false">
      <c r="DB2525" s="0" t="str">
        <f aca="false">IF($A2525="","",IF($AE2525&amp;""&lt;&gt;設定!$C$4,"対象外",IF($AH2525=20,IF(OR($AJ2525=10,$AJ2525=11,$AJ2525=18),"①病院一般",IF($AJ2525=41,"②病院短期","対象外")),IF($AH2525=5,IF($AJ2525=30,"③特定消防","対象外"),IF(OR($AJ2525=10,$AJ2525=11,$AJ2525=74),"④一般",IF(OR($AJ2525=41,$AJ2525=47),"⑤短期","対象外"))))))</f>
        <v/>
      </c>
    </row>
    <row r="2526" customFormat="false" ht="15" hidden="false" customHeight="false" outlineLevel="0" collapsed="false">
      <c r="DB2526" s="0" t="str">
        <f aca="false">IF($A2526="","",IF($AE2526&amp;""&lt;&gt;設定!$C$4,"対象外",IF($AH2526=20,IF(OR($AJ2526=10,$AJ2526=11,$AJ2526=18),"①病院一般",IF($AJ2526=41,"②病院短期","対象外")),IF($AH2526=5,IF($AJ2526=30,"③特定消防","対象外"),IF(OR($AJ2526=10,$AJ2526=11,$AJ2526=74),"④一般",IF(OR($AJ2526=41,$AJ2526=47),"⑤短期","対象外"))))))</f>
        <v/>
      </c>
    </row>
    <row r="2527" customFormat="false" ht="15" hidden="false" customHeight="false" outlineLevel="0" collapsed="false">
      <c r="DB2527" s="0" t="str">
        <f aca="false">IF($A2527="","",IF($AE2527&amp;""&lt;&gt;設定!$C$4,"対象外",IF($AH2527=20,IF(OR($AJ2527=10,$AJ2527=11,$AJ2527=18),"①病院一般",IF($AJ2527=41,"②病院短期","対象外")),IF($AH2527=5,IF($AJ2527=30,"③特定消防","対象外"),IF(OR($AJ2527=10,$AJ2527=11,$AJ2527=74),"④一般",IF(OR($AJ2527=41,$AJ2527=47),"⑤短期","対象外"))))))</f>
        <v/>
      </c>
    </row>
    <row r="2528" customFormat="false" ht="15" hidden="false" customHeight="false" outlineLevel="0" collapsed="false">
      <c r="DB2528" s="0" t="str">
        <f aca="false">IF($A2528="","",IF($AE2528&amp;""&lt;&gt;設定!$C$4,"対象外",IF($AH2528=20,IF(OR($AJ2528=10,$AJ2528=11,$AJ2528=18),"①病院一般",IF($AJ2528=41,"②病院短期","対象外")),IF($AH2528=5,IF($AJ2528=30,"③特定消防","対象外"),IF(OR($AJ2528=10,$AJ2528=11,$AJ2528=74),"④一般",IF(OR($AJ2528=41,$AJ2528=47),"⑤短期","対象外"))))))</f>
        <v/>
      </c>
    </row>
    <row r="2529" customFormat="false" ht="15" hidden="false" customHeight="false" outlineLevel="0" collapsed="false">
      <c r="DB2529" s="0" t="str">
        <f aca="false">IF($A2529="","",IF($AE2529&amp;""&lt;&gt;設定!$C$4,"対象外",IF($AH2529=20,IF(OR($AJ2529=10,$AJ2529=11,$AJ2529=18),"①病院一般",IF($AJ2529=41,"②病院短期","対象外")),IF($AH2529=5,IF($AJ2529=30,"③特定消防","対象外"),IF(OR($AJ2529=10,$AJ2529=11,$AJ2529=74),"④一般",IF(OR($AJ2529=41,$AJ2529=47),"⑤短期","対象外"))))))</f>
        <v/>
      </c>
    </row>
    <row r="2530" customFormat="false" ht="15" hidden="false" customHeight="false" outlineLevel="0" collapsed="false">
      <c r="DB2530" s="0" t="str">
        <f aca="false">IF($A2530="","",IF($AE2530&amp;""&lt;&gt;設定!$C$4,"対象外",IF($AH2530=20,IF(OR($AJ2530=10,$AJ2530=11,$AJ2530=18),"①病院一般",IF($AJ2530=41,"②病院短期","対象外")),IF($AH2530=5,IF($AJ2530=30,"③特定消防","対象外"),IF(OR($AJ2530=10,$AJ2530=11,$AJ2530=74),"④一般",IF(OR($AJ2530=41,$AJ2530=47),"⑤短期","対象外"))))))</f>
        <v/>
      </c>
    </row>
    <row r="2531" customFormat="false" ht="15" hidden="false" customHeight="false" outlineLevel="0" collapsed="false">
      <c r="DB2531" s="0" t="str">
        <f aca="false">IF($A2531="","",IF($AE2531&amp;""&lt;&gt;設定!$C$4,"対象外",IF($AH2531=20,IF(OR($AJ2531=10,$AJ2531=11,$AJ2531=18),"①病院一般",IF($AJ2531=41,"②病院短期","対象外")),IF($AH2531=5,IF($AJ2531=30,"③特定消防","対象外"),IF(OR($AJ2531=10,$AJ2531=11,$AJ2531=74),"④一般",IF(OR($AJ2531=41,$AJ2531=47),"⑤短期","対象外"))))))</f>
        <v/>
      </c>
    </row>
    <row r="2532" customFormat="false" ht="15" hidden="false" customHeight="false" outlineLevel="0" collapsed="false">
      <c r="DB2532" s="0" t="str">
        <f aca="false">IF($A2532="","",IF($AE2532&amp;""&lt;&gt;設定!$C$4,"対象外",IF($AH2532=20,IF(OR($AJ2532=10,$AJ2532=11,$AJ2532=18),"①病院一般",IF($AJ2532=41,"②病院短期","対象外")),IF($AH2532=5,IF($AJ2532=30,"③特定消防","対象外"),IF(OR($AJ2532=10,$AJ2532=11,$AJ2532=74),"④一般",IF(OR($AJ2532=41,$AJ2532=47),"⑤短期","対象外"))))))</f>
        <v/>
      </c>
    </row>
    <row r="2533" customFormat="false" ht="15" hidden="false" customHeight="false" outlineLevel="0" collapsed="false">
      <c r="DB2533" s="0" t="str">
        <f aca="false">IF($A2533="","",IF($AE2533&amp;""&lt;&gt;設定!$C$4,"対象外",IF($AH2533=20,IF(OR($AJ2533=10,$AJ2533=11,$AJ2533=18),"①病院一般",IF($AJ2533=41,"②病院短期","対象外")),IF($AH2533=5,IF($AJ2533=30,"③特定消防","対象外"),IF(OR($AJ2533=10,$AJ2533=11,$AJ2533=74),"④一般",IF(OR($AJ2533=41,$AJ2533=47),"⑤短期","対象外"))))))</f>
        <v/>
      </c>
    </row>
    <row r="2534" customFormat="false" ht="15" hidden="false" customHeight="false" outlineLevel="0" collapsed="false">
      <c r="DB2534" s="0" t="str">
        <f aca="false">IF($A2534="","",IF($AE2534&amp;""&lt;&gt;設定!$C$4,"対象外",IF($AH2534=20,IF(OR($AJ2534=10,$AJ2534=11,$AJ2534=18),"①病院一般",IF($AJ2534=41,"②病院短期","対象外")),IF($AH2534=5,IF($AJ2534=30,"③特定消防","対象外"),IF(OR($AJ2534=10,$AJ2534=11,$AJ2534=74),"④一般",IF(OR($AJ2534=41,$AJ2534=47),"⑤短期","対象外"))))))</f>
        <v/>
      </c>
    </row>
    <row r="2535" customFormat="false" ht="15" hidden="false" customHeight="false" outlineLevel="0" collapsed="false">
      <c r="DB2535" s="0" t="str">
        <f aca="false">IF($A2535="","",IF($AE2535&amp;""&lt;&gt;設定!$C$4,"対象外",IF($AH2535=20,IF(OR($AJ2535=10,$AJ2535=11,$AJ2535=18),"①病院一般",IF($AJ2535=41,"②病院短期","対象外")),IF($AH2535=5,IF($AJ2535=30,"③特定消防","対象外"),IF(OR($AJ2535=10,$AJ2535=11,$AJ2535=74),"④一般",IF(OR($AJ2535=41,$AJ2535=47),"⑤短期","対象外"))))))</f>
        <v/>
      </c>
    </row>
    <row r="2536" customFormat="false" ht="15" hidden="false" customHeight="false" outlineLevel="0" collapsed="false">
      <c r="DB2536" s="0" t="str">
        <f aca="false">IF($A2536="","",IF($AE2536&amp;""&lt;&gt;設定!$C$4,"対象外",IF($AH2536=20,IF(OR($AJ2536=10,$AJ2536=11,$AJ2536=18),"①病院一般",IF($AJ2536=41,"②病院短期","対象外")),IF($AH2536=5,IF($AJ2536=30,"③特定消防","対象外"),IF(OR($AJ2536=10,$AJ2536=11,$AJ2536=74),"④一般",IF(OR($AJ2536=41,$AJ2536=47),"⑤短期","対象外"))))))</f>
        <v/>
      </c>
    </row>
    <row r="2537" customFormat="false" ht="15" hidden="false" customHeight="false" outlineLevel="0" collapsed="false">
      <c r="DB2537" s="0" t="str">
        <f aca="false">IF($A2537="","",IF($AE2537&amp;""&lt;&gt;設定!$C$4,"対象外",IF($AH2537=20,IF(OR($AJ2537=10,$AJ2537=11,$AJ2537=18),"①病院一般",IF($AJ2537=41,"②病院短期","対象外")),IF($AH2537=5,IF($AJ2537=30,"③特定消防","対象外"),IF(OR($AJ2537=10,$AJ2537=11,$AJ2537=74),"④一般",IF(OR($AJ2537=41,$AJ2537=47),"⑤短期","対象外"))))))</f>
        <v/>
      </c>
    </row>
    <row r="2538" customFormat="false" ht="15" hidden="false" customHeight="false" outlineLevel="0" collapsed="false">
      <c r="DB2538" s="0" t="str">
        <f aca="false">IF($A2538="","",IF($AE2538&amp;""&lt;&gt;設定!$C$4,"対象外",IF($AH2538=20,IF(OR($AJ2538=10,$AJ2538=11,$AJ2538=18),"①病院一般",IF($AJ2538=41,"②病院短期","対象外")),IF($AH2538=5,IF($AJ2538=30,"③特定消防","対象外"),IF(OR($AJ2538=10,$AJ2538=11,$AJ2538=74),"④一般",IF(OR($AJ2538=41,$AJ2538=47),"⑤短期","対象外"))))))</f>
        <v/>
      </c>
    </row>
    <row r="2539" customFormat="false" ht="15" hidden="false" customHeight="false" outlineLevel="0" collapsed="false">
      <c r="DB2539" s="0" t="str">
        <f aca="false">IF($A2539="","",IF($AE2539&amp;""&lt;&gt;設定!$C$4,"対象外",IF($AH2539=20,IF(OR($AJ2539=10,$AJ2539=11,$AJ2539=18),"①病院一般",IF($AJ2539=41,"②病院短期","対象外")),IF($AH2539=5,IF($AJ2539=30,"③特定消防","対象外"),IF(OR($AJ2539=10,$AJ2539=11,$AJ2539=74),"④一般",IF(OR($AJ2539=41,$AJ2539=47),"⑤短期","対象外"))))))</f>
        <v/>
      </c>
    </row>
    <row r="2540" customFormat="false" ht="15" hidden="false" customHeight="false" outlineLevel="0" collapsed="false">
      <c r="DB2540" s="0" t="str">
        <f aca="false">IF($A2540="","",IF($AE2540&amp;""&lt;&gt;設定!$C$4,"対象外",IF($AH2540=20,IF(OR($AJ2540=10,$AJ2540=11,$AJ2540=18),"①病院一般",IF($AJ2540=41,"②病院短期","対象外")),IF($AH2540=5,IF($AJ2540=30,"③特定消防","対象外"),IF(OR($AJ2540=10,$AJ2540=11,$AJ2540=74),"④一般",IF(OR($AJ2540=41,$AJ2540=47),"⑤短期","対象外"))))))</f>
        <v/>
      </c>
    </row>
    <row r="2541" customFormat="false" ht="15" hidden="false" customHeight="false" outlineLevel="0" collapsed="false">
      <c r="DB2541" s="0" t="str">
        <f aca="false">IF($A2541="","",IF($AE2541&amp;""&lt;&gt;設定!$C$4,"対象外",IF($AH2541=20,IF(OR($AJ2541=10,$AJ2541=11,$AJ2541=18),"①病院一般",IF($AJ2541=41,"②病院短期","対象外")),IF($AH2541=5,IF($AJ2541=30,"③特定消防","対象外"),IF(OR($AJ2541=10,$AJ2541=11,$AJ2541=74),"④一般",IF(OR($AJ2541=41,$AJ2541=47),"⑤短期","対象外"))))))</f>
        <v/>
      </c>
    </row>
    <row r="2542" customFormat="false" ht="15" hidden="false" customHeight="false" outlineLevel="0" collapsed="false">
      <c r="DB2542" s="0" t="str">
        <f aca="false">IF($A2542="","",IF($AE2542&amp;""&lt;&gt;設定!$C$4,"対象外",IF($AH2542=20,IF(OR($AJ2542=10,$AJ2542=11,$AJ2542=18),"①病院一般",IF($AJ2542=41,"②病院短期","対象外")),IF($AH2542=5,IF($AJ2542=30,"③特定消防","対象外"),IF(OR($AJ2542=10,$AJ2542=11,$AJ2542=74),"④一般",IF(OR($AJ2542=41,$AJ2542=47),"⑤短期","対象外"))))))</f>
        <v/>
      </c>
    </row>
    <row r="2543" customFormat="false" ht="15" hidden="false" customHeight="false" outlineLevel="0" collapsed="false">
      <c r="DB2543" s="0" t="str">
        <f aca="false">IF($A2543="","",IF($AE2543&amp;""&lt;&gt;設定!$C$4,"対象外",IF($AH2543=20,IF(OR($AJ2543=10,$AJ2543=11,$AJ2543=18),"①病院一般",IF($AJ2543=41,"②病院短期","対象外")),IF($AH2543=5,IF($AJ2543=30,"③特定消防","対象外"),IF(OR($AJ2543=10,$AJ2543=11,$AJ2543=74),"④一般",IF(OR($AJ2543=41,$AJ2543=47),"⑤短期","対象外"))))))</f>
        <v/>
      </c>
    </row>
    <row r="2544" customFormat="false" ht="15" hidden="false" customHeight="false" outlineLevel="0" collapsed="false">
      <c r="DB2544" s="0" t="str">
        <f aca="false">IF($A2544="","",IF($AE2544&amp;""&lt;&gt;設定!$C$4,"対象外",IF($AH2544=20,IF(OR($AJ2544=10,$AJ2544=11,$AJ2544=18),"①病院一般",IF($AJ2544=41,"②病院短期","対象外")),IF($AH2544=5,IF($AJ2544=30,"③特定消防","対象外"),IF(OR($AJ2544=10,$AJ2544=11,$AJ2544=74),"④一般",IF(OR($AJ2544=41,$AJ2544=47),"⑤短期","対象外"))))))</f>
        <v/>
      </c>
    </row>
    <row r="2545" customFormat="false" ht="15" hidden="false" customHeight="false" outlineLevel="0" collapsed="false">
      <c r="DB2545" s="0" t="str">
        <f aca="false">IF($A2545="","",IF($AE2545&amp;""&lt;&gt;設定!$C$4,"対象外",IF($AH2545=20,IF(OR($AJ2545=10,$AJ2545=11,$AJ2545=18),"①病院一般",IF($AJ2545=41,"②病院短期","対象外")),IF($AH2545=5,IF($AJ2545=30,"③特定消防","対象外"),IF(OR($AJ2545=10,$AJ2545=11,$AJ2545=74),"④一般",IF(OR($AJ2545=41,$AJ2545=47),"⑤短期","対象外"))))))</f>
        <v/>
      </c>
    </row>
    <row r="2546" customFormat="false" ht="15" hidden="false" customHeight="false" outlineLevel="0" collapsed="false">
      <c r="DB2546" s="0" t="str">
        <f aca="false">IF($A2546="","",IF($AE2546&amp;""&lt;&gt;設定!$C$4,"対象外",IF($AH2546=20,IF(OR($AJ2546=10,$AJ2546=11,$AJ2546=18),"①病院一般",IF($AJ2546=41,"②病院短期","対象外")),IF($AH2546=5,IF($AJ2546=30,"③特定消防","対象外"),IF(OR($AJ2546=10,$AJ2546=11,$AJ2546=74),"④一般",IF(OR($AJ2546=41,$AJ2546=47),"⑤短期","対象外"))))))</f>
        <v/>
      </c>
    </row>
    <row r="2547" customFormat="false" ht="15" hidden="false" customHeight="false" outlineLevel="0" collapsed="false">
      <c r="DB2547" s="0" t="str">
        <f aca="false">IF($A2547="","",IF($AE2547&amp;""&lt;&gt;設定!$C$4,"対象外",IF($AH2547=20,IF(OR($AJ2547=10,$AJ2547=11,$AJ2547=18),"①病院一般",IF($AJ2547=41,"②病院短期","対象外")),IF($AH2547=5,IF($AJ2547=30,"③特定消防","対象外"),IF(OR($AJ2547=10,$AJ2547=11,$AJ2547=74),"④一般",IF(OR($AJ2547=41,$AJ2547=47),"⑤短期","対象外"))))))</f>
        <v/>
      </c>
    </row>
    <row r="2548" customFormat="false" ht="15" hidden="false" customHeight="false" outlineLevel="0" collapsed="false">
      <c r="DB2548" s="0" t="str">
        <f aca="false">IF($A2548="","",IF($AE2548&amp;""&lt;&gt;設定!$C$4,"対象外",IF($AH2548=20,IF(OR($AJ2548=10,$AJ2548=11,$AJ2548=18),"①病院一般",IF($AJ2548=41,"②病院短期","対象外")),IF($AH2548=5,IF($AJ2548=30,"③特定消防","対象外"),IF(OR($AJ2548=10,$AJ2548=11,$AJ2548=74),"④一般",IF(OR($AJ2548=41,$AJ2548=47),"⑤短期","対象外"))))))</f>
        <v/>
      </c>
    </row>
    <row r="2549" customFormat="false" ht="15" hidden="false" customHeight="false" outlineLevel="0" collapsed="false">
      <c r="DB2549" s="0" t="str">
        <f aca="false">IF($A2549="","",IF($AE2549&amp;""&lt;&gt;設定!$C$4,"対象外",IF($AH2549=20,IF(OR($AJ2549=10,$AJ2549=11,$AJ2549=18),"①病院一般",IF($AJ2549=41,"②病院短期","対象外")),IF($AH2549=5,IF($AJ2549=30,"③特定消防","対象外"),IF(OR($AJ2549=10,$AJ2549=11,$AJ2549=74),"④一般",IF(OR($AJ2549=41,$AJ2549=47),"⑤短期","対象外"))))))</f>
        <v/>
      </c>
    </row>
    <row r="2550" customFormat="false" ht="15" hidden="false" customHeight="false" outlineLevel="0" collapsed="false">
      <c r="DB2550" s="0" t="str">
        <f aca="false">IF($A2550="","",IF($AE2550&amp;""&lt;&gt;設定!$C$4,"対象外",IF($AH2550=20,IF(OR($AJ2550=10,$AJ2550=11,$AJ2550=18),"①病院一般",IF($AJ2550=41,"②病院短期","対象外")),IF($AH2550=5,IF($AJ2550=30,"③特定消防","対象外"),IF(OR($AJ2550=10,$AJ2550=11,$AJ2550=74),"④一般",IF(OR($AJ2550=41,$AJ2550=47),"⑤短期","対象外"))))))</f>
        <v/>
      </c>
    </row>
    <row r="2551" customFormat="false" ht="15" hidden="false" customHeight="false" outlineLevel="0" collapsed="false">
      <c r="DB2551" s="0" t="str">
        <f aca="false">IF($A2551="","",IF($AE2551&amp;""&lt;&gt;設定!$C$4,"対象外",IF($AH2551=20,IF(OR($AJ2551=10,$AJ2551=11,$AJ2551=18),"①病院一般",IF($AJ2551=41,"②病院短期","対象外")),IF($AH2551=5,IF($AJ2551=30,"③特定消防","対象外"),IF(OR($AJ2551=10,$AJ2551=11,$AJ2551=74),"④一般",IF(OR($AJ2551=41,$AJ2551=47),"⑤短期","対象外"))))))</f>
        <v/>
      </c>
    </row>
    <row r="2552" customFormat="false" ht="15" hidden="false" customHeight="false" outlineLevel="0" collapsed="false">
      <c r="DB2552" s="0" t="str">
        <f aca="false">IF($A2552="","",IF($AE2552&amp;""&lt;&gt;設定!$C$4,"対象外",IF($AH2552=20,IF(OR($AJ2552=10,$AJ2552=11,$AJ2552=18),"①病院一般",IF($AJ2552=41,"②病院短期","対象外")),IF($AH2552=5,IF($AJ2552=30,"③特定消防","対象外"),IF(OR($AJ2552=10,$AJ2552=11,$AJ2552=74),"④一般",IF(OR($AJ2552=41,$AJ2552=47),"⑤短期","対象外"))))))</f>
        <v/>
      </c>
    </row>
    <row r="2553" customFormat="false" ht="15" hidden="false" customHeight="false" outlineLevel="0" collapsed="false">
      <c r="DB2553" s="0" t="str">
        <f aca="false">IF($A2553="","",IF($AE2553&amp;""&lt;&gt;設定!$C$4,"対象外",IF($AH2553=20,IF(OR($AJ2553=10,$AJ2553=11,$AJ2553=18),"①病院一般",IF($AJ2553=41,"②病院短期","対象外")),IF($AH2553=5,IF($AJ2553=30,"③特定消防","対象外"),IF(OR($AJ2553=10,$AJ2553=11,$AJ2553=74),"④一般",IF(OR($AJ2553=41,$AJ2553=47),"⑤短期","対象外"))))))</f>
        <v/>
      </c>
    </row>
    <row r="2554" customFormat="false" ht="15" hidden="false" customHeight="false" outlineLevel="0" collapsed="false">
      <c r="DB2554" s="0" t="str">
        <f aca="false">IF($A2554="","",IF($AE2554&amp;""&lt;&gt;設定!$C$4,"対象外",IF($AH2554=20,IF(OR($AJ2554=10,$AJ2554=11,$AJ2554=18),"①病院一般",IF($AJ2554=41,"②病院短期","対象外")),IF($AH2554=5,IF($AJ2554=30,"③特定消防","対象外"),IF(OR($AJ2554=10,$AJ2554=11,$AJ2554=74),"④一般",IF(OR($AJ2554=41,$AJ2554=47),"⑤短期","対象外"))))))</f>
        <v/>
      </c>
    </row>
    <row r="2555" customFormat="false" ht="15" hidden="false" customHeight="false" outlineLevel="0" collapsed="false">
      <c r="DB2555" s="0" t="str">
        <f aca="false">IF($A2555="","",IF($AE2555&amp;""&lt;&gt;設定!$C$4,"対象外",IF($AH2555=20,IF(OR($AJ2555=10,$AJ2555=11,$AJ2555=18),"①病院一般",IF($AJ2555=41,"②病院短期","対象外")),IF($AH2555=5,IF($AJ2555=30,"③特定消防","対象外"),IF(OR($AJ2555=10,$AJ2555=11,$AJ2555=74),"④一般",IF(OR($AJ2555=41,$AJ2555=47),"⑤短期","対象外"))))))</f>
        <v/>
      </c>
    </row>
    <row r="2556" customFormat="false" ht="15" hidden="false" customHeight="false" outlineLevel="0" collapsed="false">
      <c r="DB2556" s="0" t="str">
        <f aca="false">IF($A2556="","",IF($AE2556&amp;""&lt;&gt;設定!$C$4,"対象外",IF($AH2556=20,IF(OR($AJ2556=10,$AJ2556=11,$AJ2556=18),"①病院一般",IF($AJ2556=41,"②病院短期","対象外")),IF($AH2556=5,IF($AJ2556=30,"③特定消防","対象外"),IF(OR($AJ2556=10,$AJ2556=11,$AJ2556=74),"④一般",IF(OR($AJ2556=41,$AJ2556=47),"⑤短期","対象外"))))))</f>
        <v/>
      </c>
    </row>
    <row r="2557" customFormat="false" ht="15" hidden="false" customHeight="false" outlineLevel="0" collapsed="false">
      <c r="DB2557" s="0" t="str">
        <f aca="false">IF($A2557="","",IF($AE2557&amp;""&lt;&gt;設定!$C$4,"対象外",IF($AH2557=20,IF(OR($AJ2557=10,$AJ2557=11,$AJ2557=18),"①病院一般",IF($AJ2557=41,"②病院短期","対象外")),IF($AH2557=5,IF($AJ2557=30,"③特定消防","対象外"),IF(OR($AJ2557=10,$AJ2557=11,$AJ2557=74),"④一般",IF(OR($AJ2557=41,$AJ2557=47),"⑤短期","対象外"))))))</f>
        <v/>
      </c>
    </row>
    <row r="2558" customFormat="false" ht="15" hidden="false" customHeight="false" outlineLevel="0" collapsed="false">
      <c r="DB2558" s="0" t="str">
        <f aca="false">IF($A2558="","",IF($AE2558&amp;""&lt;&gt;設定!$C$4,"対象外",IF($AH2558=20,IF(OR($AJ2558=10,$AJ2558=11,$AJ2558=18),"①病院一般",IF($AJ2558=41,"②病院短期","対象外")),IF($AH2558=5,IF($AJ2558=30,"③特定消防","対象外"),IF(OR($AJ2558=10,$AJ2558=11,$AJ2558=74),"④一般",IF(OR($AJ2558=41,$AJ2558=47),"⑤短期","対象外"))))))</f>
        <v/>
      </c>
    </row>
    <row r="2559" customFormat="false" ht="15" hidden="false" customHeight="false" outlineLevel="0" collapsed="false">
      <c r="DB2559" s="0" t="str">
        <f aca="false">IF($A2559="","",IF($AE2559&amp;""&lt;&gt;設定!$C$4,"対象外",IF($AH2559=20,IF(OR($AJ2559=10,$AJ2559=11,$AJ2559=18),"①病院一般",IF($AJ2559=41,"②病院短期","対象外")),IF($AH2559=5,IF($AJ2559=30,"③特定消防","対象外"),IF(OR($AJ2559=10,$AJ2559=11,$AJ2559=74),"④一般",IF(OR($AJ2559=41,$AJ2559=47),"⑤短期","対象外"))))))</f>
        <v/>
      </c>
    </row>
    <row r="2560" customFormat="false" ht="15" hidden="false" customHeight="false" outlineLevel="0" collapsed="false">
      <c r="DB2560" s="0" t="str">
        <f aca="false">IF($A2560="","",IF($AE2560&amp;""&lt;&gt;設定!$C$4,"対象外",IF($AH2560=20,IF(OR($AJ2560=10,$AJ2560=11,$AJ2560=18),"①病院一般",IF($AJ2560=41,"②病院短期","対象外")),IF($AH2560=5,IF($AJ2560=30,"③特定消防","対象外"),IF(OR($AJ2560=10,$AJ2560=11,$AJ2560=74),"④一般",IF(OR($AJ2560=41,$AJ2560=47),"⑤短期","対象外"))))))</f>
        <v/>
      </c>
    </row>
    <row r="2561" customFormat="false" ht="15" hidden="false" customHeight="false" outlineLevel="0" collapsed="false">
      <c r="DB2561" s="0" t="str">
        <f aca="false">IF($A2561="","",IF($AE2561&amp;""&lt;&gt;設定!$C$4,"対象外",IF($AH2561=20,IF(OR($AJ2561=10,$AJ2561=11,$AJ2561=18),"①病院一般",IF($AJ2561=41,"②病院短期","対象外")),IF($AH2561=5,IF($AJ2561=30,"③特定消防","対象外"),IF(OR($AJ2561=10,$AJ2561=11,$AJ2561=74),"④一般",IF(OR($AJ2561=41,$AJ2561=47),"⑤短期","対象外"))))))</f>
        <v/>
      </c>
    </row>
    <row r="2562" customFormat="false" ht="15" hidden="false" customHeight="false" outlineLevel="0" collapsed="false">
      <c r="DB2562" s="0" t="str">
        <f aca="false">IF($A2562="","",IF($AE2562&amp;""&lt;&gt;設定!$C$4,"対象外",IF($AH2562=20,IF(OR($AJ2562=10,$AJ2562=11,$AJ2562=18),"①病院一般",IF($AJ2562=41,"②病院短期","対象外")),IF($AH2562=5,IF($AJ2562=30,"③特定消防","対象外"),IF(OR($AJ2562=10,$AJ2562=11,$AJ2562=74),"④一般",IF(OR($AJ2562=41,$AJ2562=47),"⑤短期","対象外"))))))</f>
        <v/>
      </c>
    </row>
    <row r="2563" customFormat="false" ht="15" hidden="false" customHeight="false" outlineLevel="0" collapsed="false">
      <c r="DB2563" s="0" t="str">
        <f aca="false">IF($A2563="","",IF($AE2563&amp;""&lt;&gt;設定!$C$4,"対象外",IF($AH2563=20,IF(OR($AJ2563=10,$AJ2563=11,$AJ2563=18),"①病院一般",IF($AJ2563=41,"②病院短期","対象外")),IF($AH2563=5,IF($AJ2563=30,"③特定消防","対象外"),IF(OR($AJ2563=10,$AJ2563=11,$AJ2563=74),"④一般",IF(OR($AJ2563=41,$AJ2563=47),"⑤短期","対象外"))))))</f>
        <v/>
      </c>
    </row>
    <row r="2564" customFormat="false" ht="15" hidden="false" customHeight="false" outlineLevel="0" collapsed="false">
      <c r="DB2564" s="0" t="str">
        <f aca="false">IF($A2564="","",IF($AE2564&amp;""&lt;&gt;設定!$C$4,"対象外",IF($AH2564=20,IF(OR($AJ2564=10,$AJ2564=11,$AJ2564=18),"①病院一般",IF($AJ2564=41,"②病院短期","対象外")),IF($AH2564=5,IF($AJ2564=30,"③特定消防","対象外"),IF(OR($AJ2564=10,$AJ2564=11,$AJ2564=74),"④一般",IF(OR($AJ2564=41,$AJ2564=47),"⑤短期","対象外"))))))</f>
        <v/>
      </c>
    </row>
    <row r="2565" customFormat="false" ht="15" hidden="false" customHeight="false" outlineLevel="0" collapsed="false">
      <c r="DB2565" s="0" t="str">
        <f aca="false">IF($A2565="","",IF($AE2565&amp;""&lt;&gt;設定!$C$4,"対象外",IF($AH2565=20,IF(OR($AJ2565=10,$AJ2565=11,$AJ2565=18),"①病院一般",IF($AJ2565=41,"②病院短期","対象外")),IF($AH2565=5,IF($AJ2565=30,"③特定消防","対象外"),IF(OR($AJ2565=10,$AJ2565=11,$AJ2565=74),"④一般",IF(OR($AJ2565=41,$AJ2565=47),"⑤短期","対象外"))))))</f>
        <v/>
      </c>
    </row>
    <row r="2566" customFormat="false" ht="15" hidden="false" customHeight="false" outlineLevel="0" collapsed="false">
      <c r="DB2566" s="0" t="str">
        <f aca="false">IF($A2566="","",IF($AE2566&amp;""&lt;&gt;設定!$C$4,"対象外",IF($AH2566=20,IF(OR($AJ2566=10,$AJ2566=11,$AJ2566=18),"①病院一般",IF($AJ2566=41,"②病院短期","対象外")),IF($AH2566=5,IF($AJ2566=30,"③特定消防","対象外"),IF(OR($AJ2566=10,$AJ2566=11,$AJ2566=74),"④一般",IF(OR($AJ2566=41,$AJ2566=47),"⑤短期","対象外"))))))</f>
        <v/>
      </c>
    </row>
    <row r="2567" customFormat="false" ht="15" hidden="false" customHeight="false" outlineLevel="0" collapsed="false">
      <c r="DB2567" s="0" t="str">
        <f aca="false">IF($A2567="","",IF($AE2567&amp;""&lt;&gt;設定!$C$4,"対象外",IF($AH2567=20,IF(OR($AJ2567=10,$AJ2567=11,$AJ2567=18),"①病院一般",IF($AJ2567=41,"②病院短期","対象外")),IF($AH2567=5,IF($AJ2567=30,"③特定消防","対象外"),IF(OR($AJ2567=10,$AJ2567=11,$AJ2567=74),"④一般",IF(OR($AJ2567=41,$AJ2567=47),"⑤短期","対象外"))))))</f>
        <v/>
      </c>
    </row>
    <row r="2568" customFormat="false" ht="15" hidden="false" customHeight="false" outlineLevel="0" collapsed="false">
      <c r="DB2568" s="0" t="str">
        <f aca="false">IF($A2568="","",IF($AE2568&amp;""&lt;&gt;設定!$C$4,"対象外",IF($AH2568=20,IF(OR($AJ2568=10,$AJ2568=11,$AJ2568=18),"①病院一般",IF($AJ2568=41,"②病院短期","対象外")),IF($AH2568=5,IF($AJ2568=30,"③特定消防","対象外"),IF(OR($AJ2568=10,$AJ2568=11,$AJ2568=74),"④一般",IF(OR($AJ2568=41,$AJ2568=47),"⑤短期","対象外"))))))</f>
        <v/>
      </c>
    </row>
    <row r="2569" customFormat="false" ht="15" hidden="false" customHeight="false" outlineLevel="0" collapsed="false">
      <c r="DB2569" s="0" t="str">
        <f aca="false">IF($A2569="","",IF($AE2569&amp;""&lt;&gt;設定!$C$4,"対象外",IF($AH2569=20,IF(OR($AJ2569=10,$AJ2569=11,$AJ2569=18),"①病院一般",IF($AJ2569=41,"②病院短期","対象外")),IF($AH2569=5,IF($AJ2569=30,"③特定消防","対象外"),IF(OR($AJ2569=10,$AJ2569=11,$AJ2569=74),"④一般",IF(OR($AJ2569=41,$AJ2569=47),"⑤短期","対象外"))))))</f>
        <v/>
      </c>
    </row>
    <row r="2570" customFormat="false" ht="15" hidden="false" customHeight="false" outlineLevel="0" collapsed="false">
      <c r="DB2570" s="0" t="str">
        <f aca="false">IF($A2570="","",IF($AE2570&amp;""&lt;&gt;設定!$C$4,"対象外",IF($AH2570=20,IF(OR($AJ2570=10,$AJ2570=11,$AJ2570=18),"①病院一般",IF($AJ2570=41,"②病院短期","対象外")),IF($AH2570=5,IF($AJ2570=30,"③特定消防","対象外"),IF(OR($AJ2570=10,$AJ2570=11,$AJ2570=74),"④一般",IF(OR($AJ2570=41,$AJ2570=47),"⑤短期","対象外"))))))</f>
        <v/>
      </c>
    </row>
    <row r="2571" customFormat="false" ht="15" hidden="false" customHeight="false" outlineLevel="0" collapsed="false">
      <c r="DB2571" s="0" t="str">
        <f aca="false">IF($A2571="","",IF($AE2571&amp;""&lt;&gt;設定!$C$4,"対象外",IF($AH2571=20,IF(OR($AJ2571=10,$AJ2571=11,$AJ2571=18),"①病院一般",IF($AJ2571=41,"②病院短期","対象外")),IF($AH2571=5,IF($AJ2571=30,"③特定消防","対象外"),IF(OR($AJ2571=10,$AJ2571=11,$AJ2571=74),"④一般",IF(OR($AJ2571=41,$AJ2571=47),"⑤短期","対象外"))))))</f>
        <v/>
      </c>
    </row>
    <row r="2572" customFormat="false" ht="15" hidden="false" customHeight="false" outlineLevel="0" collapsed="false">
      <c r="DB2572" s="0" t="str">
        <f aca="false">IF($A2572="","",IF($AE2572&amp;""&lt;&gt;設定!$C$4,"対象外",IF($AH2572=20,IF(OR($AJ2572=10,$AJ2572=11,$AJ2572=18),"①病院一般",IF($AJ2572=41,"②病院短期","対象外")),IF($AH2572=5,IF($AJ2572=30,"③特定消防","対象外"),IF(OR($AJ2572=10,$AJ2572=11,$AJ2572=74),"④一般",IF(OR($AJ2572=41,$AJ2572=47),"⑤短期","対象外"))))))</f>
        <v/>
      </c>
    </row>
    <row r="2573" customFormat="false" ht="15" hidden="false" customHeight="false" outlineLevel="0" collapsed="false">
      <c r="DB2573" s="0" t="str">
        <f aca="false">IF($A2573="","",IF($AE2573&amp;""&lt;&gt;設定!$C$4,"対象外",IF($AH2573=20,IF(OR($AJ2573=10,$AJ2573=11,$AJ2573=18),"①病院一般",IF($AJ2573=41,"②病院短期","対象外")),IF($AH2573=5,IF($AJ2573=30,"③特定消防","対象外"),IF(OR($AJ2573=10,$AJ2573=11,$AJ2573=74),"④一般",IF(OR($AJ2573=41,$AJ2573=47),"⑤短期","対象外"))))))</f>
        <v/>
      </c>
    </row>
    <row r="2574" customFormat="false" ht="15" hidden="false" customHeight="false" outlineLevel="0" collapsed="false">
      <c r="DB2574" s="0" t="str">
        <f aca="false">IF($A2574="","",IF($AE2574&amp;""&lt;&gt;設定!$C$4,"対象外",IF($AH2574=20,IF(OR($AJ2574=10,$AJ2574=11,$AJ2574=18),"①病院一般",IF($AJ2574=41,"②病院短期","対象外")),IF($AH2574=5,IF($AJ2574=30,"③特定消防","対象外"),IF(OR($AJ2574=10,$AJ2574=11,$AJ2574=74),"④一般",IF(OR($AJ2574=41,$AJ2574=47),"⑤短期","対象外"))))))</f>
        <v/>
      </c>
    </row>
    <row r="2575" customFormat="false" ht="15" hidden="false" customHeight="false" outlineLevel="0" collapsed="false">
      <c r="DB2575" s="0" t="str">
        <f aca="false">IF($A2575="","",IF($AE2575&amp;""&lt;&gt;設定!$C$4,"対象外",IF($AH2575=20,IF(OR($AJ2575=10,$AJ2575=11,$AJ2575=18),"①病院一般",IF($AJ2575=41,"②病院短期","対象外")),IF($AH2575=5,IF($AJ2575=30,"③特定消防","対象外"),IF(OR($AJ2575=10,$AJ2575=11,$AJ2575=74),"④一般",IF(OR($AJ2575=41,$AJ2575=47),"⑤短期","対象外"))))))</f>
        <v/>
      </c>
    </row>
    <row r="2576" customFormat="false" ht="15" hidden="false" customHeight="false" outlineLevel="0" collapsed="false">
      <c r="DB2576" s="0" t="str">
        <f aca="false">IF($A2576="","",IF($AE2576&amp;""&lt;&gt;設定!$C$4,"対象外",IF($AH2576=20,IF(OR($AJ2576=10,$AJ2576=11,$AJ2576=18),"①病院一般",IF($AJ2576=41,"②病院短期","対象外")),IF($AH2576=5,IF($AJ2576=30,"③特定消防","対象外"),IF(OR($AJ2576=10,$AJ2576=11,$AJ2576=74),"④一般",IF(OR($AJ2576=41,$AJ2576=47),"⑤短期","対象外"))))))</f>
        <v/>
      </c>
    </row>
    <row r="2577" customFormat="false" ht="15" hidden="false" customHeight="false" outlineLevel="0" collapsed="false">
      <c r="DB2577" s="0" t="str">
        <f aca="false">IF($A2577="","",IF($AE2577&amp;""&lt;&gt;設定!$C$4,"対象外",IF($AH2577=20,IF(OR($AJ2577=10,$AJ2577=11,$AJ2577=18),"①病院一般",IF($AJ2577=41,"②病院短期","対象外")),IF($AH2577=5,IF($AJ2577=30,"③特定消防","対象外"),IF(OR($AJ2577=10,$AJ2577=11,$AJ2577=74),"④一般",IF(OR($AJ2577=41,$AJ2577=47),"⑤短期","対象外"))))))</f>
        <v/>
      </c>
    </row>
    <row r="2578" customFormat="false" ht="15" hidden="false" customHeight="false" outlineLevel="0" collapsed="false">
      <c r="DB2578" s="0" t="str">
        <f aca="false">IF($A2578="","",IF($AE2578&amp;""&lt;&gt;設定!$C$4,"対象外",IF($AH2578=20,IF(OR($AJ2578=10,$AJ2578=11,$AJ2578=18),"①病院一般",IF($AJ2578=41,"②病院短期","対象外")),IF($AH2578=5,IF($AJ2578=30,"③特定消防","対象外"),IF(OR($AJ2578=10,$AJ2578=11,$AJ2578=74),"④一般",IF(OR($AJ2578=41,$AJ2578=47),"⑤短期","対象外"))))))</f>
        <v/>
      </c>
    </row>
    <row r="2579" customFormat="false" ht="15" hidden="false" customHeight="false" outlineLevel="0" collapsed="false">
      <c r="DB2579" s="0" t="str">
        <f aca="false">IF($A2579="","",IF($AE2579&amp;""&lt;&gt;設定!$C$4,"対象外",IF($AH2579=20,IF(OR($AJ2579=10,$AJ2579=11,$AJ2579=18),"①病院一般",IF($AJ2579=41,"②病院短期","対象外")),IF($AH2579=5,IF($AJ2579=30,"③特定消防","対象外"),IF(OR($AJ2579=10,$AJ2579=11,$AJ2579=74),"④一般",IF(OR($AJ2579=41,$AJ2579=47),"⑤短期","対象外"))))))</f>
        <v/>
      </c>
    </row>
    <row r="2580" customFormat="false" ht="15" hidden="false" customHeight="false" outlineLevel="0" collapsed="false">
      <c r="DB2580" s="0" t="str">
        <f aca="false">IF($A2580="","",IF($AE2580&amp;""&lt;&gt;設定!$C$4,"対象外",IF($AH2580=20,IF(OR($AJ2580=10,$AJ2580=11,$AJ2580=18),"①病院一般",IF($AJ2580=41,"②病院短期","対象外")),IF($AH2580=5,IF($AJ2580=30,"③特定消防","対象外"),IF(OR($AJ2580=10,$AJ2580=11,$AJ2580=74),"④一般",IF(OR($AJ2580=41,$AJ2580=47),"⑤短期","対象外"))))))</f>
        <v/>
      </c>
    </row>
    <row r="2581" customFormat="false" ht="15" hidden="false" customHeight="false" outlineLevel="0" collapsed="false">
      <c r="DB2581" s="0" t="str">
        <f aca="false">IF($A2581="","",IF($AE2581&amp;""&lt;&gt;設定!$C$4,"対象外",IF($AH2581=20,IF(OR($AJ2581=10,$AJ2581=11,$AJ2581=18),"①病院一般",IF($AJ2581=41,"②病院短期","対象外")),IF($AH2581=5,IF($AJ2581=30,"③特定消防","対象外"),IF(OR($AJ2581=10,$AJ2581=11,$AJ2581=74),"④一般",IF(OR($AJ2581=41,$AJ2581=47),"⑤短期","対象外"))))))</f>
        <v/>
      </c>
    </row>
    <row r="2582" customFormat="false" ht="15" hidden="false" customHeight="false" outlineLevel="0" collapsed="false">
      <c r="DB2582" s="0" t="str">
        <f aca="false">IF($A2582="","",IF($AE2582&amp;""&lt;&gt;設定!$C$4,"対象外",IF($AH2582=20,IF(OR($AJ2582=10,$AJ2582=11,$AJ2582=18),"①病院一般",IF($AJ2582=41,"②病院短期","対象外")),IF($AH2582=5,IF($AJ2582=30,"③特定消防","対象外"),IF(OR($AJ2582=10,$AJ2582=11,$AJ2582=74),"④一般",IF(OR($AJ2582=41,$AJ2582=47),"⑤短期","対象外"))))))</f>
        <v/>
      </c>
    </row>
    <row r="2583" customFormat="false" ht="15" hidden="false" customHeight="false" outlineLevel="0" collapsed="false">
      <c r="DB2583" s="0" t="str">
        <f aca="false">IF($A2583="","",IF($AE2583&amp;""&lt;&gt;設定!$C$4,"対象外",IF($AH2583=20,IF(OR($AJ2583=10,$AJ2583=11,$AJ2583=18),"①病院一般",IF($AJ2583=41,"②病院短期","対象外")),IF($AH2583=5,IF($AJ2583=30,"③特定消防","対象外"),IF(OR($AJ2583=10,$AJ2583=11,$AJ2583=74),"④一般",IF(OR($AJ2583=41,$AJ2583=47),"⑤短期","対象外"))))))</f>
        <v/>
      </c>
    </row>
    <row r="2584" customFormat="false" ht="15" hidden="false" customHeight="false" outlineLevel="0" collapsed="false">
      <c r="DB2584" s="0" t="str">
        <f aca="false">IF($A2584="","",IF($AE2584&amp;""&lt;&gt;設定!$C$4,"対象外",IF($AH2584=20,IF(OR($AJ2584=10,$AJ2584=11,$AJ2584=18),"①病院一般",IF($AJ2584=41,"②病院短期","対象外")),IF($AH2584=5,IF($AJ2584=30,"③特定消防","対象外"),IF(OR($AJ2584=10,$AJ2584=11,$AJ2584=74),"④一般",IF(OR($AJ2584=41,$AJ2584=47),"⑤短期","対象外"))))))</f>
        <v/>
      </c>
    </row>
    <row r="2585" customFormat="false" ht="15" hidden="false" customHeight="false" outlineLevel="0" collapsed="false">
      <c r="DB2585" s="0" t="str">
        <f aca="false">IF($A2585="","",IF($AE2585&amp;""&lt;&gt;設定!$C$4,"対象外",IF($AH2585=20,IF(OR($AJ2585=10,$AJ2585=11,$AJ2585=18),"①病院一般",IF($AJ2585=41,"②病院短期","対象外")),IF($AH2585=5,IF($AJ2585=30,"③特定消防","対象外"),IF(OR($AJ2585=10,$AJ2585=11,$AJ2585=74),"④一般",IF(OR($AJ2585=41,$AJ2585=47),"⑤短期","対象外"))))))</f>
        <v/>
      </c>
    </row>
    <row r="2586" customFormat="false" ht="15" hidden="false" customHeight="false" outlineLevel="0" collapsed="false">
      <c r="DB2586" s="0" t="str">
        <f aca="false">IF($A2586="","",IF($AE2586&amp;""&lt;&gt;設定!$C$4,"対象外",IF($AH2586=20,IF(OR($AJ2586=10,$AJ2586=11,$AJ2586=18),"①病院一般",IF($AJ2586=41,"②病院短期","対象外")),IF($AH2586=5,IF($AJ2586=30,"③特定消防","対象外"),IF(OR($AJ2586=10,$AJ2586=11,$AJ2586=74),"④一般",IF(OR($AJ2586=41,$AJ2586=47),"⑤短期","対象外"))))))</f>
        <v/>
      </c>
    </row>
    <row r="2587" customFormat="false" ht="15" hidden="false" customHeight="false" outlineLevel="0" collapsed="false">
      <c r="DB2587" s="0" t="str">
        <f aca="false">IF($A2587="","",IF($AE2587&amp;""&lt;&gt;設定!$C$4,"対象外",IF($AH2587=20,IF(OR($AJ2587=10,$AJ2587=11,$AJ2587=18),"①病院一般",IF($AJ2587=41,"②病院短期","対象外")),IF($AH2587=5,IF($AJ2587=30,"③特定消防","対象外"),IF(OR($AJ2587=10,$AJ2587=11,$AJ2587=74),"④一般",IF(OR($AJ2587=41,$AJ2587=47),"⑤短期","対象外"))))))</f>
        <v/>
      </c>
    </row>
    <row r="2588" customFormat="false" ht="15" hidden="false" customHeight="false" outlineLevel="0" collapsed="false">
      <c r="DB2588" s="0" t="str">
        <f aca="false">IF($A2588="","",IF($AE2588&amp;""&lt;&gt;設定!$C$4,"対象外",IF($AH2588=20,IF(OR($AJ2588=10,$AJ2588=11,$AJ2588=18),"①病院一般",IF($AJ2588=41,"②病院短期","対象外")),IF($AH2588=5,IF($AJ2588=30,"③特定消防","対象外"),IF(OR($AJ2588=10,$AJ2588=11,$AJ2588=74),"④一般",IF(OR($AJ2588=41,$AJ2588=47),"⑤短期","対象外"))))))</f>
        <v/>
      </c>
    </row>
    <row r="2589" customFormat="false" ht="15" hidden="false" customHeight="false" outlineLevel="0" collapsed="false">
      <c r="DB2589" s="0" t="str">
        <f aca="false">IF($A2589="","",IF($AE2589&amp;""&lt;&gt;設定!$C$4,"対象外",IF($AH2589=20,IF(OR($AJ2589=10,$AJ2589=11,$AJ2589=18),"①病院一般",IF($AJ2589=41,"②病院短期","対象外")),IF($AH2589=5,IF($AJ2589=30,"③特定消防","対象外"),IF(OR($AJ2589=10,$AJ2589=11,$AJ2589=74),"④一般",IF(OR($AJ2589=41,$AJ2589=47),"⑤短期","対象外"))))))</f>
        <v/>
      </c>
    </row>
    <row r="2590" customFormat="false" ht="15" hidden="false" customHeight="false" outlineLevel="0" collapsed="false">
      <c r="DB2590" s="0" t="str">
        <f aca="false">IF($A2590="","",IF($AE2590&amp;""&lt;&gt;設定!$C$4,"対象外",IF($AH2590=20,IF(OR($AJ2590=10,$AJ2590=11,$AJ2590=18),"①病院一般",IF($AJ2590=41,"②病院短期","対象外")),IF($AH2590=5,IF($AJ2590=30,"③特定消防","対象外"),IF(OR($AJ2590=10,$AJ2590=11,$AJ2590=74),"④一般",IF(OR($AJ2590=41,$AJ2590=47),"⑤短期","対象外"))))))</f>
        <v/>
      </c>
    </row>
    <row r="2591" customFormat="false" ht="15" hidden="false" customHeight="false" outlineLevel="0" collapsed="false">
      <c r="DB2591" s="0" t="str">
        <f aca="false">IF($A2591="","",IF($AE2591&amp;""&lt;&gt;設定!$C$4,"対象外",IF($AH2591=20,IF(OR($AJ2591=10,$AJ2591=11,$AJ2591=18),"①病院一般",IF($AJ2591=41,"②病院短期","対象外")),IF($AH2591=5,IF($AJ2591=30,"③特定消防","対象外"),IF(OR($AJ2591=10,$AJ2591=11,$AJ2591=74),"④一般",IF(OR($AJ2591=41,$AJ2591=47),"⑤短期","対象外"))))))</f>
        <v/>
      </c>
    </row>
    <row r="2592" customFormat="false" ht="15" hidden="false" customHeight="false" outlineLevel="0" collapsed="false">
      <c r="DB2592" s="0" t="str">
        <f aca="false">IF($A2592="","",IF($AE2592&amp;""&lt;&gt;設定!$C$4,"対象外",IF($AH2592=20,IF(OR($AJ2592=10,$AJ2592=11,$AJ2592=18),"①病院一般",IF($AJ2592=41,"②病院短期","対象外")),IF($AH2592=5,IF($AJ2592=30,"③特定消防","対象外"),IF(OR($AJ2592=10,$AJ2592=11,$AJ2592=74),"④一般",IF(OR($AJ2592=41,$AJ2592=47),"⑤短期","対象外"))))))</f>
        <v/>
      </c>
    </row>
    <row r="2593" customFormat="false" ht="15" hidden="false" customHeight="false" outlineLevel="0" collapsed="false">
      <c r="DB2593" s="0" t="str">
        <f aca="false">IF($A2593="","",IF($AE2593&amp;""&lt;&gt;設定!$C$4,"対象外",IF($AH2593=20,IF(OR($AJ2593=10,$AJ2593=11,$AJ2593=18),"①病院一般",IF($AJ2593=41,"②病院短期","対象外")),IF($AH2593=5,IF($AJ2593=30,"③特定消防","対象外"),IF(OR($AJ2593=10,$AJ2593=11,$AJ2593=74),"④一般",IF(OR($AJ2593=41,$AJ2593=47),"⑤短期","対象外"))))))</f>
        <v/>
      </c>
    </row>
    <row r="2594" customFormat="false" ht="15" hidden="false" customHeight="false" outlineLevel="0" collapsed="false">
      <c r="DB2594" s="0" t="str">
        <f aca="false">IF($A2594="","",IF($AE2594&amp;""&lt;&gt;設定!$C$4,"対象外",IF($AH2594=20,IF(OR($AJ2594=10,$AJ2594=11,$AJ2594=18),"①病院一般",IF($AJ2594=41,"②病院短期","対象外")),IF($AH2594=5,IF($AJ2594=30,"③特定消防","対象外"),IF(OR($AJ2594=10,$AJ2594=11,$AJ2594=74),"④一般",IF(OR($AJ2594=41,$AJ2594=47),"⑤短期","対象外"))))))</f>
        <v/>
      </c>
    </row>
    <row r="2595" customFormat="false" ht="15" hidden="false" customHeight="false" outlineLevel="0" collapsed="false">
      <c r="DB2595" s="0" t="str">
        <f aca="false">IF($A2595="","",IF($AE2595&amp;""&lt;&gt;設定!$C$4,"対象外",IF($AH2595=20,IF(OR($AJ2595=10,$AJ2595=11,$AJ2595=18),"①病院一般",IF($AJ2595=41,"②病院短期","対象外")),IF($AH2595=5,IF($AJ2595=30,"③特定消防","対象外"),IF(OR($AJ2595=10,$AJ2595=11,$AJ2595=74),"④一般",IF(OR($AJ2595=41,$AJ2595=47),"⑤短期","対象外"))))))</f>
        <v/>
      </c>
    </row>
    <row r="2596" customFormat="false" ht="15" hidden="false" customHeight="false" outlineLevel="0" collapsed="false">
      <c r="DB2596" s="0" t="str">
        <f aca="false">IF($A2596="","",IF($AE2596&amp;""&lt;&gt;設定!$C$4,"対象外",IF($AH2596=20,IF(OR($AJ2596=10,$AJ2596=11,$AJ2596=18),"①病院一般",IF($AJ2596=41,"②病院短期","対象外")),IF($AH2596=5,IF($AJ2596=30,"③特定消防","対象外"),IF(OR($AJ2596=10,$AJ2596=11,$AJ2596=74),"④一般",IF(OR($AJ2596=41,$AJ2596=47),"⑤短期","対象外"))))))</f>
        <v/>
      </c>
    </row>
    <row r="2597" customFormat="false" ht="15" hidden="false" customHeight="false" outlineLevel="0" collapsed="false">
      <c r="DB2597" s="0" t="str">
        <f aca="false">IF($A2597="","",IF($AE2597&amp;""&lt;&gt;設定!$C$4,"対象外",IF($AH2597=20,IF(OR($AJ2597=10,$AJ2597=11,$AJ2597=18),"①病院一般",IF($AJ2597=41,"②病院短期","対象外")),IF($AH2597=5,IF($AJ2597=30,"③特定消防","対象外"),IF(OR($AJ2597=10,$AJ2597=11,$AJ2597=74),"④一般",IF(OR($AJ2597=41,$AJ2597=47),"⑤短期","対象外"))))))</f>
        <v/>
      </c>
    </row>
    <row r="2598" customFormat="false" ht="15" hidden="false" customHeight="false" outlineLevel="0" collapsed="false">
      <c r="DB2598" s="0" t="str">
        <f aca="false">IF($A2598="","",IF($AE2598&amp;""&lt;&gt;設定!$C$4,"対象外",IF($AH2598=20,IF(OR($AJ2598=10,$AJ2598=11,$AJ2598=18),"①病院一般",IF($AJ2598=41,"②病院短期","対象外")),IF($AH2598=5,IF($AJ2598=30,"③特定消防","対象外"),IF(OR($AJ2598=10,$AJ2598=11,$AJ2598=74),"④一般",IF(OR($AJ2598=41,$AJ2598=47),"⑤短期","対象外"))))))</f>
        <v/>
      </c>
    </row>
    <row r="2599" customFormat="false" ht="15" hidden="false" customHeight="false" outlineLevel="0" collapsed="false">
      <c r="DB2599" s="0" t="str">
        <f aca="false">IF($A2599="","",IF($AE2599&amp;""&lt;&gt;設定!$C$4,"対象外",IF($AH2599=20,IF(OR($AJ2599=10,$AJ2599=11,$AJ2599=18),"①病院一般",IF($AJ2599=41,"②病院短期","対象外")),IF($AH2599=5,IF($AJ2599=30,"③特定消防","対象外"),IF(OR($AJ2599=10,$AJ2599=11,$AJ2599=74),"④一般",IF(OR($AJ2599=41,$AJ2599=47),"⑤短期","対象外"))))))</f>
        <v/>
      </c>
    </row>
    <row r="2600" customFormat="false" ht="15" hidden="false" customHeight="false" outlineLevel="0" collapsed="false">
      <c r="DB2600" s="0" t="str">
        <f aca="false">IF($A2600="","",IF($AE2600&amp;""&lt;&gt;設定!$C$4,"対象外",IF($AH2600=20,IF(OR($AJ2600=10,$AJ2600=11,$AJ2600=18),"①病院一般",IF($AJ2600=41,"②病院短期","対象外")),IF($AH2600=5,IF($AJ2600=30,"③特定消防","対象外"),IF(OR($AJ2600=10,$AJ2600=11,$AJ2600=74),"④一般",IF(OR($AJ2600=41,$AJ2600=47),"⑤短期","対象外"))))))</f>
        <v/>
      </c>
    </row>
    <row r="2601" customFormat="false" ht="15" hidden="false" customHeight="false" outlineLevel="0" collapsed="false">
      <c r="DB2601" s="0" t="str">
        <f aca="false">IF($A2601="","",IF($AE2601&amp;""&lt;&gt;設定!$C$4,"対象外",IF($AH2601=20,IF(OR($AJ2601=10,$AJ2601=11,$AJ2601=18),"①病院一般",IF($AJ2601=41,"②病院短期","対象外")),IF($AH2601=5,IF($AJ2601=30,"③特定消防","対象外"),IF(OR($AJ2601=10,$AJ2601=11,$AJ2601=74),"④一般",IF(OR($AJ2601=41,$AJ2601=47),"⑤短期","対象外"))))))</f>
        <v/>
      </c>
    </row>
    <row r="2602" customFormat="false" ht="15" hidden="false" customHeight="false" outlineLevel="0" collapsed="false">
      <c r="DB2602" s="0" t="str">
        <f aca="false">IF($A2602="","",IF($AE2602&amp;""&lt;&gt;設定!$C$4,"対象外",IF($AH2602=20,IF(OR($AJ2602=10,$AJ2602=11,$AJ2602=18),"①病院一般",IF($AJ2602=41,"②病院短期","対象外")),IF($AH2602=5,IF($AJ2602=30,"③特定消防","対象外"),IF(OR($AJ2602=10,$AJ2602=11,$AJ2602=74),"④一般",IF(OR($AJ2602=41,$AJ2602=47),"⑤短期","対象外"))))))</f>
        <v/>
      </c>
    </row>
    <row r="2603" customFormat="false" ht="15" hidden="false" customHeight="false" outlineLevel="0" collapsed="false">
      <c r="DB2603" s="0" t="str">
        <f aca="false">IF($A2603="","",IF($AE2603&amp;""&lt;&gt;設定!$C$4,"対象外",IF($AH2603=20,IF(OR($AJ2603=10,$AJ2603=11,$AJ2603=18),"①病院一般",IF($AJ2603=41,"②病院短期","対象外")),IF($AH2603=5,IF($AJ2603=30,"③特定消防","対象外"),IF(OR($AJ2603=10,$AJ2603=11,$AJ2603=74),"④一般",IF(OR($AJ2603=41,$AJ2603=47),"⑤短期","対象外"))))))</f>
        <v/>
      </c>
    </row>
    <row r="2604" customFormat="false" ht="15" hidden="false" customHeight="false" outlineLevel="0" collapsed="false">
      <c r="DB2604" s="0" t="str">
        <f aca="false">IF($A2604="","",IF($AE2604&amp;""&lt;&gt;設定!$C$4,"対象外",IF($AH2604=20,IF(OR($AJ2604=10,$AJ2604=11,$AJ2604=18),"①病院一般",IF($AJ2604=41,"②病院短期","対象外")),IF($AH2604=5,IF($AJ2604=30,"③特定消防","対象外"),IF(OR($AJ2604=10,$AJ2604=11,$AJ2604=74),"④一般",IF(OR($AJ2604=41,$AJ2604=47),"⑤短期","対象外"))))))</f>
        <v/>
      </c>
    </row>
    <row r="2605" customFormat="false" ht="15" hidden="false" customHeight="false" outlineLevel="0" collapsed="false">
      <c r="DB2605" s="0" t="str">
        <f aca="false">IF($A2605="","",IF($AE2605&amp;""&lt;&gt;設定!$C$4,"対象外",IF($AH2605=20,IF(OR($AJ2605=10,$AJ2605=11,$AJ2605=18),"①病院一般",IF($AJ2605=41,"②病院短期","対象外")),IF($AH2605=5,IF($AJ2605=30,"③特定消防","対象外"),IF(OR($AJ2605=10,$AJ2605=11,$AJ2605=74),"④一般",IF(OR($AJ2605=41,$AJ2605=47),"⑤短期","対象外"))))))</f>
        <v/>
      </c>
    </row>
    <row r="2606" customFormat="false" ht="15" hidden="false" customHeight="false" outlineLevel="0" collapsed="false">
      <c r="DB2606" s="0" t="str">
        <f aca="false">IF($A2606="","",IF($AE2606&amp;""&lt;&gt;設定!$C$4,"対象外",IF($AH2606=20,IF(OR($AJ2606=10,$AJ2606=11,$AJ2606=18),"①病院一般",IF($AJ2606=41,"②病院短期","対象外")),IF($AH2606=5,IF($AJ2606=30,"③特定消防","対象外"),IF(OR($AJ2606=10,$AJ2606=11,$AJ2606=74),"④一般",IF(OR($AJ2606=41,$AJ2606=47),"⑤短期","対象外"))))))</f>
        <v/>
      </c>
    </row>
    <row r="2607" customFormat="false" ht="15" hidden="false" customHeight="false" outlineLevel="0" collapsed="false">
      <c r="DB2607" s="0" t="str">
        <f aca="false">IF($A2607="","",IF($AE2607&amp;""&lt;&gt;設定!$C$4,"対象外",IF($AH2607=20,IF(OR($AJ2607=10,$AJ2607=11,$AJ2607=18),"①病院一般",IF($AJ2607=41,"②病院短期","対象外")),IF($AH2607=5,IF($AJ2607=30,"③特定消防","対象外"),IF(OR($AJ2607=10,$AJ2607=11,$AJ2607=74),"④一般",IF(OR($AJ2607=41,$AJ2607=47),"⑤短期","対象外"))))))</f>
        <v/>
      </c>
    </row>
    <row r="2608" customFormat="false" ht="15" hidden="false" customHeight="false" outlineLevel="0" collapsed="false">
      <c r="DB2608" s="0" t="str">
        <f aca="false">IF($A2608="","",IF($AE2608&amp;""&lt;&gt;設定!$C$4,"対象外",IF($AH2608=20,IF(OR($AJ2608=10,$AJ2608=11,$AJ2608=18),"①病院一般",IF($AJ2608=41,"②病院短期","対象外")),IF($AH2608=5,IF($AJ2608=30,"③特定消防","対象外"),IF(OR($AJ2608=10,$AJ2608=11,$AJ2608=74),"④一般",IF(OR($AJ2608=41,$AJ2608=47),"⑤短期","対象外"))))))</f>
        <v/>
      </c>
    </row>
    <row r="2609" customFormat="false" ht="15" hidden="false" customHeight="false" outlineLevel="0" collapsed="false">
      <c r="DB2609" s="0" t="str">
        <f aca="false">IF($A2609="","",IF($AE2609&amp;""&lt;&gt;設定!$C$4,"対象外",IF($AH2609=20,IF(OR($AJ2609=10,$AJ2609=11,$AJ2609=18),"①病院一般",IF($AJ2609=41,"②病院短期","対象外")),IF($AH2609=5,IF($AJ2609=30,"③特定消防","対象外"),IF(OR($AJ2609=10,$AJ2609=11,$AJ2609=74),"④一般",IF(OR($AJ2609=41,$AJ2609=47),"⑤短期","対象外"))))))</f>
        <v/>
      </c>
    </row>
    <row r="2610" customFormat="false" ht="15" hidden="false" customHeight="false" outlineLevel="0" collapsed="false">
      <c r="DB2610" s="0" t="str">
        <f aca="false">IF($A2610="","",IF($AE2610&amp;""&lt;&gt;設定!$C$4,"対象外",IF($AH2610=20,IF(OR($AJ2610=10,$AJ2610=11,$AJ2610=18),"①病院一般",IF($AJ2610=41,"②病院短期","対象外")),IF($AH2610=5,IF($AJ2610=30,"③特定消防","対象外"),IF(OR($AJ2610=10,$AJ2610=11,$AJ2610=74),"④一般",IF(OR($AJ2610=41,$AJ2610=47),"⑤短期","対象外"))))))</f>
        <v/>
      </c>
    </row>
    <row r="2611" customFormat="false" ht="15" hidden="false" customHeight="false" outlineLevel="0" collapsed="false">
      <c r="DB2611" s="0" t="str">
        <f aca="false">IF($A2611="","",IF($AE2611&amp;""&lt;&gt;設定!$C$4,"対象外",IF($AH2611=20,IF(OR($AJ2611=10,$AJ2611=11,$AJ2611=18),"①病院一般",IF($AJ2611=41,"②病院短期","対象外")),IF($AH2611=5,IF($AJ2611=30,"③特定消防","対象外"),IF(OR($AJ2611=10,$AJ2611=11,$AJ2611=74),"④一般",IF(OR($AJ2611=41,$AJ2611=47),"⑤短期","対象外"))))))</f>
        <v/>
      </c>
    </row>
    <row r="2612" customFormat="false" ht="15" hidden="false" customHeight="false" outlineLevel="0" collapsed="false">
      <c r="DB2612" s="0" t="str">
        <f aca="false">IF($A2612="","",IF($AE2612&amp;""&lt;&gt;設定!$C$4,"対象外",IF($AH2612=20,IF(OR($AJ2612=10,$AJ2612=11,$AJ2612=18),"①病院一般",IF($AJ2612=41,"②病院短期","対象外")),IF($AH2612=5,IF($AJ2612=30,"③特定消防","対象外"),IF(OR($AJ2612=10,$AJ2612=11,$AJ2612=74),"④一般",IF(OR($AJ2612=41,$AJ2612=47),"⑤短期","対象外"))))))</f>
        <v/>
      </c>
    </row>
    <row r="2613" customFormat="false" ht="15" hidden="false" customHeight="false" outlineLevel="0" collapsed="false">
      <c r="DB2613" s="0" t="str">
        <f aca="false">IF($A2613="","",IF($AE2613&amp;""&lt;&gt;設定!$C$4,"対象外",IF($AH2613=20,IF(OR($AJ2613=10,$AJ2613=11,$AJ2613=18),"①病院一般",IF($AJ2613=41,"②病院短期","対象外")),IF($AH2613=5,IF($AJ2613=30,"③特定消防","対象外"),IF(OR($AJ2613=10,$AJ2613=11,$AJ2613=74),"④一般",IF(OR($AJ2613=41,$AJ2613=47),"⑤短期","対象外"))))))</f>
        <v/>
      </c>
    </row>
    <row r="2614" customFormat="false" ht="15" hidden="false" customHeight="false" outlineLevel="0" collapsed="false">
      <c r="DB2614" s="0" t="str">
        <f aca="false">IF($A2614="","",IF($AE2614&amp;""&lt;&gt;設定!$C$4,"対象外",IF($AH2614=20,IF(OR($AJ2614=10,$AJ2614=11,$AJ2614=18),"①病院一般",IF($AJ2614=41,"②病院短期","対象外")),IF($AH2614=5,IF($AJ2614=30,"③特定消防","対象外"),IF(OR($AJ2614=10,$AJ2614=11,$AJ2614=74),"④一般",IF(OR($AJ2614=41,$AJ2614=47),"⑤短期","対象外"))))))</f>
        <v/>
      </c>
    </row>
    <row r="2615" customFormat="false" ht="15" hidden="false" customHeight="false" outlineLevel="0" collapsed="false">
      <c r="DB2615" s="0" t="str">
        <f aca="false">IF($A2615="","",IF($AE2615&amp;""&lt;&gt;設定!$C$4,"対象外",IF($AH2615=20,IF(OR($AJ2615=10,$AJ2615=11,$AJ2615=18),"①病院一般",IF($AJ2615=41,"②病院短期","対象外")),IF($AH2615=5,IF($AJ2615=30,"③特定消防","対象外"),IF(OR($AJ2615=10,$AJ2615=11,$AJ2615=74),"④一般",IF(OR($AJ2615=41,$AJ2615=47),"⑤短期","対象外"))))))</f>
        <v/>
      </c>
    </row>
    <row r="2616" customFormat="false" ht="15" hidden="false" customHeight="false" outlineLevel="0" collapsed="false">
      <c r="DB2616" s="0" t="str">
        <f aca="false">IF($A2616="","",IF($AE2616&amp;""&lt;&gt;設定!$C$4,"対象外",IF($AH2616=20,IF(OR($AJ2616=10,$AJ2616=11,$AJ2616=18),"①病院一般",IF($AJ2616=41,"②病院短期","対象外")),IF($AH2616=5,IF($AJ2616=30,"③特定消防","対象外"),IF(OR($AJ2616=10,$AJ2616=11,$AJ2616=74),"④一般",IF(OR($AJ2616=41,$AJ2616=47),"⑤短期","対象外"))))))</f>
        <v/>
      </c>
    </row>
    <row r="2617" customFormat="false" ht="15" hidden="false" customHeight="false" outlineLevel="0" collapsed="false">
      <c r="DB2617" s="0" t="str">
        <f aca="false">IF($A2617="","",IF($AE2617&amp;""&lt;&gt;設定!$C$4,"対象外",IF($AH2617=20,IF(OR($AJ2617=10,$AJ2617=11,$AJ2617=18),"①病院一般",IF($AJ2617=41,"②病院短期","対象外")),IF($AH2617=5,IF($AJ2617=30,"③特定消防","対象外"),IF(OR($AJ2617=10,$AJ2617=11,$AJ2617=74),"④一般",IF(OR($AJ2617=41,$AJ2617=47),"⑤短期","対象外"))))))</f>
        <v/>
      </c>
    </row>
    <row r="2618" customFormat="false" ht="15" hidden="false" customHeight="false" outlineLevel="0" collapsed="false">
      <c r="DB2618" s="0" t="str">
        <f aca="false">IF($A2618="","",IF($AE2618&amp;""&lt;&gt;設定!$C$4,"対象外",IF($AH2618=20,IF(OR($AJ2618=10,$AJ2618=11,$AJ2618=18),"①病院一般",IF($AJ2618=41,"②病院短期","対象外")),IF($AH2618=5,IF($AJ2618=30,"③特定消防","対象外"),IF(OR($AJ2618=10,$AJ2618=11,$AJ2618=74),"④一般",IF(OR($AJ2618=41,$AJ2618=47),"⑤短期","対象外"))))))</f>
        <v/>
      </c>
    </row>
    <row r="2619" customFormat="false" ht="15" hidden="false" customHeight="false" outlineLevel="0" collapsed="false">
      <c r="DB2619" s="0" t="str">
        <f aca="false">IF($A2619="","",IF($AE2619&amp;""&lt;&gt;設定!$C$4,"対象外",IF($AH2619=20,IF(OR($AJ2619=10,$AJ2619=11,$AJ2619=18),"①病院一般",IF($AJ2619=41,"②病院短期","対象外")),IF($AH2619=5,IF($AJ2619=30,"③特定消防","対象外"),IF(OR($AJ2619=10,$AJ2619=11,$AJ2619=74),"④一般",IF(OR($AJ2619=41,$AJ2619=47),"⑤短期","対象外"))))))</f>
        <v/>
      </c>
    </row>
    <row r="2620" customFormat="false" ht="15" hidden="false" customHeight="false" outlineLevel="0" collapsed="false">
      <c r="DB2620" s="0" t="str">
        <f aca="false">IF($A2620="","",IF($AE2620&amp;""&lt;&gt;設定!$C$4,"対象外",IF($AH2620=20,IF(OR($AJ2620=10,$AJ2620=11,$AJ2620=18),"①病院一般",IF($AJ2620=41,"②病院短期","対象外")),IF($AH2620=5,IF($AJ2620=30,"③特定消防","対象外"),IF(OR($AJ2620=10,$AJ2620=11,$AJ2620=74),"④一般",IF(OR($AJ2620=41,$AJ2620=47),"⑤短期","対象外"))))))</f>
        <v/>
      </c>
    </row>
    <row r="2621" customFormat="false" ht="15" hidden="false" customHeight="false" outlineLevel="0" collapsed="false">
      <c r="DB2621" s="0" t="str">
        <f aca="false">IF($A2621="","",IF($AE2621&amp;""&lt;&gt;設定!$C$4,"対象外",IF($AH2621=20,IF(OR($AJ2621=10,$AJ2621=11,$AJ2621=18),"①病院一般",IF($AJ2621=41,"②病院短期","対象外")),IF($AH2621=5,IF($AJ2621=30,"③特定消防","対象外"),IF(OR($AJ2621=10,$AJ2621=11,$AJ2621=74),"④一般",IF(OR($AJ2621=41,$AJ2621=47),"⑤短期","対象外"))))))</f>
        <v/>
      </c>
    </row>
    <row r="2622" customFormat="false" ht="15" hidden="false" customHeight="false" outlineLevel="0" collapsed="false">
      <c r="DB2622" s="0" t="str">
        <f aca="false">IF($A2622="","",IF($AE2622&amp;""&lt;&gt;設定!$C$4,"対象外",IF($AH2622=20,IF(OR($AJ2622=10,$AJ2622=11,$AJ2622=18),"①病院一般",IF($AJ2622=41,"②病院短期","対象外")),IF($AH2622=5,IF($AJ2622=30,"③特定消防","対象外"),IF(OR($AJ2622=10,$AJ2622=11,$AJ2622=74),"④一般",IF(OR($AJ2622=41,$AJ2622=47),"⑤短期","対象外"))))))</f>
        <v/>
      </c>
    </row>
    <row r="2623" customFormat="false" ht="15" hidden="false" customHeight="false" outlineLevel="0" collapsed="false">
      <c r="DB2623" s="0" t="str">
        <f aca="false">IF($A2623="","",IF($AE2623&amp;""&lt;&gt;設定!$C$4,"対象外",IF($AH2623=20,IF(OR($AJ2623=10,$AJ2623=11,$AJ2623=18),"①病院一般",IF($AJ2623=41,"②病院短期","対象外")),IF($AH2623=5,IF($AJ2623=30,"③特定消防","対象外"),IF(OR($AJ2623=10,$AJ2623=11,$AJ2623=74),"④一般",IF(OR($AJ2623=41,$AJ2623=47),"⑤短期","対象外"))))))</f>
        <v/>
      </c>
    </row>
    <row r="2624" customFormat="false" ht="15" hidden="false" customHeight="false" outlineLevel="0" collapsed="false">
      <c r="DB2624" s="0" t="str">
        <f aca="false">IF($A2624="","",IF($AE2624&amp;""&lt;&gt;設定!$C$4,"対象外",IF($AH2624=20,IF(OR($AJ2624=10,$AJ2624=11,$AJ2624=18),"①病院一般",IF($AJ2624=41,"②病院短期","対象外")),IF($AH2624=5,IF($AJ2624=30,"③特定消防","対象外"),IF(OR($AJ2624=10,$AJ2624=11,$AJ2624=74),"④一般",IF(OR($AJ2624=41,$AJ2624=47),"⑤短期","対象外"))))))</f>
        <v/>
      </c>
    </row>
    <row r="2625" customFormat="false" ht="15" hidden="false" customHeight="false" outlineLevel="0" collapsed="false">
      <c r="DB2625" s="0" t="str">
        <f aca="false">IF($A2625="","",IF($AE2625&amp;""&lt;&gt;設定!$C$4,"対象外",IF($AH2625=20,IF(OR($AJ2625=10,$AJ2625=11,$AJ2625=18),"①病院一般",IF($AJ2625=41,"②病院短期","対象外")),IF($AH2625=5,IF($AJ2625=30,"③特定消防","対象外"),IF(OR($AJ2625=10,$AJ2625=11,$AJ2625=74),"④一般",IF(OR($AJ2625=41,$AJ2625=47),"⑤短期","対象外"))))))</f>
        <v/>
      </c>
    </row>
    <row r="2626" customFormat="false" ht="15" hidden="false" customHeight="false" outlineLevel="0" collapsed="false">
      <c r="DB2626" s="0" t="str">
        <f aca="false">IF($A2626="","",IF($AE2626&amp;""&lt;&gt;設定!$C$4,"対象外",IF($AH2626=20,IF(OR($AJ2626=10,$AJ2626=11,$AJ2626=18),"①病院一般",IF($AJ2626=41,"②病院短期","対象外")),IF($AH2626=5,IF($AJ2626=30,"③特定消防","対象外"),IF(OR($AJ2626=10,$AJ2626=11,$AJ2626=74),"④一般",IF(OR($AJ2626=41,$AJ2626=47),"⑤短期","対象外"))))))</f>
        <v/>
      </c>
    </row>
    <row r="2627" customFormat="false" ht="15" hidden="false" customHeight="false" outlineLevel="0" collapsed="false">
      <c r="DB2627" s="0" t="str">
        <f aca="false">IF($A2627="","",IF($AE2627&amp;""&lt;&gt;設定!$C$4,"対象外",IF($AH2627=20,IF(OR($AJ2627=10,$AJ2627=11,$AJ2627=18),"①病院一般",IF($AJ2627=41,"②病院短期","対象外")),IF($AH2627=5,IF($AJ2627=30,"③特定消防","対象外"),IF(OR($AJ2627=10,$AJ2627=11,$AJ2627=74),"④一般",IF(OR($AJ2627=41,$AJ2627=47),"⑤短期","対象外"))))))</f>
        <v/>
      </c>
    </row>
    <row r="2628" customFormat="false" ht="15" hidden="false" customHeight="false" outlineLevel="0" collapsed="false">
      <c r="DB2628" s="0" t="str">
        <f aca="false">IF($A2628="","",IF($AE2628&amp;""&lt;&gt;設定!$C$4,"対象外",IF($AH2628=20,IF(OR($AJ2628=10,$AJ2628=11,$AJ2628=18),"①病院一般",IF($AJ2628=41,"②病院短期","対象外")),IF($AH2628=5,IF($AJ2628=30,"③特定消防","対象外"),IF(OR($AJ2628=10,$AJ2628=11,$AJ2628=74),"④一般",IF(OR($AJ2628=41,$AJ2628=47),"⑤短期","対象外"))))))</f>
        <v/>
      </c>
    </row>
    <row r="2629" customFormat="false" ht="15" hidden="false" customHeight="false" outlineLevel="0" collapsed="false">
      <c r="DB2629" s="0" t="str">
        <f aca="false">IF($A2629="","",IF($AE2629&amp;""&lt;&gt;設定!$C$4,"対象外",IF($AH2629=20,IF(OR($AJ2629=10,$AJ2629=11,$AJ2629=18),"①病院一般",IF($AJ2629=41,"②病院短期","対象外")),IF($AH2629=5,IF($AJ2629=30,"③特定消防","対象外"),IF(OR($AJ2629=10,$AJ2629=11,$AJ2629=74),"④一般",IF(OR($AJ2629=41,$AJ2629=47),"⑤短期","対象外"))))))</f>
        <v/>
      </c>
    </row>
    <row r="2630" customFormat="false" ht="15" hidden="false" customHeight="false" outlineLevel="0" collapsed="false">
      <c r="DB2630" s="0" t="str">
        <f aca="false">IF($A2630="","",IF($AE2630&amp;""&lt;&gt;設定!$C$4,"対象外",IF($AH2630=20,IF(OR($AJ2630=10,$AJ2630=11,$AJ2630=18),"①病院一般",IF($AJ2630=41,"②病院短期","対象外")),IF($AH2630=5,IF($AJ2630=30,"③特定消防","対象外"),IF(OR($AJ2630=10,$AJ2630=11,$AJ2630=74),"④一般",IF(OR($AJ2630=41,$AJ2630=47),"⑤短期","対象外"))))))</f>
        <v/>
      </c>
    </row>
    <row r="2631" customFormat="false" ht="15" hidden="false" customHeight="false" outlineLevel="0" collapsed="false">
      <c r="DB2631" s="0" t="str">
        <f aca="false">IF($A2631="","",IF($AE2631&amp;""&lt;&gt;設定!$C$4,"対象外",IF($AH2631=20,IF(OR($AJ2631=10,$AJ2631=11,$AJ2631=18),"①病院一般",IF($AJ2631=41,"②病院短期","対象外")),IF($AH2631=5,IF($AJ2631=30,"③特定消防","対象外"),IF(OR($AJ2631=10,$AJ2631=11,$AJ2631=74),"④一般",IF(OR($AJ2631=41,$AJ2631=47),"⑤短期","対象外"))))))</f>
        <v/>
      </c>
    </row>
    <row r="2632" customFormat="false" ht="15" hidden="false" customHeight="false" outlineLevel="0" collapsed="false">
      <c r="DB2632" s="0" t="str">
        <f aca="false">IF($A2632="","",IF($AE2632&amp;""&lt;&gt;設定!$C$4,"対象外",IF($AH2632=20,IF(OR($AJ2632=10,$AJ2632=11,$AJ2632=18),"①病院一般",IF($AJ2632=41,"②病院短期","対象外")),IF($AH2632=5,IF($AJ2632=30,"③特定消防","対象外"),IF(OR($AJ2632=10,$AJ2632=11,$AJ2632=74),"④一般",IF(OR($AJ2632=41,$AJ2632=47),"⑤短期","対象外"))))))</f>
        <v/>
      </c>
    </row>
    <row r="2633" customFormat="false" ht="15" hidden="false" customHeight="false" outlineLevel="0" collapsed="false">
      <c r="DB2633" s="0" t="str">
        <f aca="false">IF($A2633="","",IF($AE2633&amp;""&lt;&gt;設定!$C$4,"対象外",IF($AH2633=20,IF(OR($AJ2633=10,$AJ2633=11,$AJ2633=18),"①病院一般",IF($AJ2633=41,"②病院短期","対象外")),IF($AH2633=5,IF($AJ2633=30,"③特定消防","対象外"),IF(OR($AJ2633=10,$AJ2633=11,$AJ2633=74),"④一般",IF(OR($AJ2633=41,$AJ2633=47),"⑤短期","対象外"))))))</f>
        <v/>
      </c>
    </row>
    <row r="2634" customFormat="false" ht="15" hidden="false" customHeight="false" outlineLevel="0" collapsed="false">
      <c r="DB2634" s="0" t="str">
        <f aca="false">IF($A2634="","",IF($AE2634&amp;""&lt;&gt;設定!$C$4,"対象外",IF($AH2634=20,IF(OR($AJ2634=10,$AJ2634=11,$AJ2634=18),"①病院一般",IF($AJ2634=41,"②病院短期","対象外")),IF($AH2634=5,IF($AJ2634=30,"③特定消防","対象外"),IF(OR($AJ2634=10,$AJ2634=11,$AJ2634=74),"④一般",IF(OR($AJ2634=41,$AJ2634=47),"⑤短期","対象外"))))))</f>
        <v/>
      </c>
    </row>
    <row r="2635" customFormat="false" ht="15" hidden="false" customHeight="false" outlineLevel="0" collapsed="false">
      <c r="DB2635" s="0" t="str">
        <f aca="false">IF($A2635="","",IF($AE2635&amp;""&lt;&gt;設定!$C$4,"対象外",IF($AH2635=20,IF(OR($AJ2635=10,$AJ2635=11,$AJ2635=18),"①病院一般",IF($AJ2635=41,"②病院短期","対象外")),IF($AH2635=5,IF($AJ2635=30,"③特定消防","対象外"),IF(OR($AJ2635=10,$AJ2635=11,$AJ2635=74),"④一般",IF(OR($AJ2635=41,$AJ2635=47),"⑤短期","対象外"))))))</f>
        <v/>
      </c>
    </row>
    <row r="2636" customFormat="false" ht="15" hidden="false" customHeight="false" outlineLevel="0" collapsed="false">
      <c r="DB2636" s="0" t="str">
        <f aca="false">IF($A2636="","",IF($AE2636&amp;""&lt;&gt;設定!$C$4,"対象外",IF($AH2636=20,IF(OR($AJ2636=10,$AJ2636=11,$AJ2636=18),"①病院一般",IF($AJ2636=41,"②病院短期","対象外")),IF($AH2636=5,IF($AJ2636=30,"③特定消防","対象外"),IF(OR($AJ2636=10,$AJ2636=11,$AJ2636=74),"④一般",IF(OR($AJ2636=41,$AJ2636=47),"⑤短期","対象外"))))))</f>
        <v/>
      </c>
    </row>
    <row r="2637" customFormat="false" ht="15" hidden="false" customHeight="false" outlineLevel="0" collapsed="false">
      <c r="DB2637" s="0" t="str">
        <f aca="false">IF($A2637="","",IF($AE2637&amp;""&lt;&gt;設定!$C$4,"対象外",IF($AH2637=20,IF(OR($AJ2637=10,$AJ2637=11,$AJ2637=18),"①病院一般",IF($AJ2637=41,"②病院短期","対象外")),IF($AH2637=5,IF($AJ2637=30,"③特定消防","対象外"),IF(OR($AJ2637=10,$AJ2637=11,$AJ2637=74),"④一般",IF(OR($AJ2637=41,$AJ2637=47),"⑤短期","対象外"))))))</f>
        <v/>
      </c>
    </row>
    <row r="2638" customFormat="false" ht="15" hidden="false" customHeight="false" outlineLevel="0" collapsed="false">
      <c r="DB2638" s="0" t="str">
        <f aca="false">IF($A2638="","",IF($AE2638&amp;""&lt;&gt;設定!$C$4,"対象外",IF($AH2638=20,IF(OR($AJ2638=10,$AJ2638=11,$AJ2638=18),"①病院一般",IF($AJ2638=41,"②病院短期","対象外")),IF($AH2638=5,IF($AJ2638=30,"③特定消防","対象外"),IF(OR($AJ2638=10,$AJ2638=11,$AJ2638=74),"④一般",IF(OR($AJ2638=41,$AJ2638=47),"⑤短期","対象外"))))))</f>
        <v/>
      </c>
    </row>
    <row r="2639" customFormat="false" ht="15" hidden="false" customHeight="false" outlineLevel="0" collapsed="false">
      <c r="DB2639" s="0" t="str">
        <f aca="false">IF($A2639="","",IF($AE2639&amp;""&lt;&gt;設定!$C$4,"対象外",IF($AH2639=20,IF(OR($AJ2639=10,$AJ2639=11,$AJ2639=18),"①病院一般",IF($AJ2639=41,"②病院短期","対象外")),IF($AH2639=5,IF($AJ2639=30,"③特定消防","対象外"),IF(OR($AJ2639=10,$AJ2639=11,$AJ2639=74),"④一般",IF(OR($AJ2639=41,$AJ2639=47),"⑤短期","対象外"))))))</f>
        <v/>
      </c>
    </row>
    <row r="2640" customFormat="false" ht="15" hidden="false" customHeight="false" outlineLevel="0" collapsed="false">
      <c r="DB2640" s="0" t="str">
        <f aca="false">IF($A2640="","",IF($AE2640&amp;""&lt;&gt;設定!$C$4,"対象外",IF($AH2640=20,IF(OR($AJ2640=10,$AJ2640=11,$AJ2640=18),"①病院一般",IF($AJ2640=41,"②病院短期","対象外")),IF($AH2640=5,IF($AJ2640=30,"③特定消防","対象外"),IF(OR($AJ2640=10,$AJ2640=11,$AJ2640=74),"④一般",IF(OR($AJ2640=41,$AJ2640=47),"⑤短期","対象外"))))))</f>
        <v/>
      </c>
    </row>
    <row r="2641" customFormat="false" ht="15" hidden="false" customHeight="false" outlineLevel="0" collapsed="false">
      <c r="DB2641" s="0" t="str">
        <f aca="false">IF($A2641="","",IF($AE2641&amp;""&lt;&gt;設定!$C$4,"対象外",IF($AH2641=20,IF(OR($AJ2641=10,$AJ2641=11,$AJ2641=18),"①病院一般",IF($AJ2641=41,"②病院短期","対象外")),IF($AH2641=5,IF($AJ2641=30,"③特定消防","対象外"),IF(OR($AJ2641=10,$AJ2641=11,$AJ2641=74),"④一般",IF(OR($AJ2641=41,$AJ2641=47),"⑤短期","対象外"))))))</f>
        <v/>
      </c>
    </row>
    <row r="2642" customFormat="false" ht="15" hidden="false" customHeight="false" outlineLevel="0" collapsed="false">
      <c r="DB2642" s="0" t="str">
        <f aca="false">IF($A2642="","",IF($AE2642&amp;""&lt;&gt;設定!$C$4,"対象外",IF($AH2642=20,IF(OR($AJ2642=10,$AJ2642=11,$AJ2642=18),"①病院一般",IF($AJ2642=41,"②病院短期","対象外")),IF($AH2642=5,IF($AJ2642=30,"③特定消防","対象外"),IF(OR($AJ2642=10,$AJ2642=11,$AJ2642=74),"④一般",IF(OR($AJ2642=41,$AJ2642=47),"⑤短期","対象外"))))))</f>
        <v/>
      </c>
    </row>
    <row r="2643" customFormat="false" ht="15" hidden="false" customHeight="false" outlineLevel="0" collapsed="false">
      <c r="DB2643" s="0" t="str">
        <f aca="false">IF($A2643="","",IF($AE2643&amp;""&lt;&gt;設定!$C$4,"対象外",IF($AH2643=20,IF(OR($AJ2643=10,$AJ2643=11,$AJ2643=18),"①病院一般",IF($AJ2643=41,"②病院短期","対象外")),IF($AH2643=5,IF($AJ2643=30,"③特定消防","対象外"),IF(OR($AJ2643=10,$AJ2643=11,$AJ2643=74),"④一般",IF(OR($AJ2643=41,$AJ2643=47),"⑤短期","対象外"))))))</f>
        <v/>
      </c>
    </row>
    <row r="2644" customFormat="false" ht="15" hidden="false" customHeight="false" outlineLevel="0" collapsed="false">
      <c r="DB2644" s="0" t="str">
        <f aca="false">IF($A2644="","",IF($AE2644&amp;""&lt;&gt;設定!$C$4,"対象外",IF($AH2644=20,IF(OR($AJ2644=10,$AJ2644=11,$AJ2644=18),"①病院一般",IF($AJ2644=41,"②病院短期","対象外")),IF($AH2644=5,IF($AJ2644=30,"③特定消防","対象外"),IF(OR($AJ2644=10,$AJ2644=11,$AJ2644=74),"④一般",IF(OR($AJ2644=41,$AJ2644=47),"⑤短期","対象外"))))))</f>
        <v/>
      </c>
    </row>
    <row r="2645" customFormat="false" ht="15" hidden="false" customHeight="false" outlineLevel="0" collapsed="false">
      <c r="DB2645" s="0" t="str">
        <f aca="false">IF($A2645="","",IF($AE2645&amp;""&lt;&gt;設定!$C$4,"対象外",IF($AH2645=20,IF(OR($AJ2645=10,$AJ2645=11,$AJ2645=18),"①病院一般",IF($AJ2645=41,"②病院短期","対象外")),IF($AH2645=5,IF($AJ2645=30,"③特定消防","対象外"),IF(OR($AJ2645=10,$AJ2645=11,$AJ2645=74),"④一般",IF(OR($AJ2645=41,$AJ2645=47),"⑤短期","対象外"))))))</f>
        <v/>
      </c>
    </row>
    <row r="2646" customFormat="false" ht="15" hidden="false" customHeight="false" outlineLevel="0" collapsed="false">
      <c r="DB2646" s="0" t="str">
        <f aca="false">IF($A2646="","",IF($AE2646&amp;""&lt;&gt;設定!$C$4,"対象外",IF($AH2646=20,IF(OR($AJ2646=10,$AJ2646=11,$AJ2646=18),"①病院一般",IF($AJ2646=41,"②病院短期","対象外")),IF($AH2646=5,IF($AJ2646=30,"③特定消防","対象外"),IF(OR($AJ2646=10,$AJ2646=11,$AJ2646=74),"④一般",IF(OR($AJ2646=41,$AJ2646=47),"⑤短期","対象外"))))))</f>
        <v/>
      </c>
    </row>
    <row r="2647" customFormat="false" ht="15" hidden="false" customHeight="false" outlineLevel="0" collapsed="false">
      <c r="DB2647" s="0" t="str">
        <f aca="false">IF($A2647="","",IF($AE2647&amp;""&lt;&gt;設定!$C$4,"対象外",IF($AH2647=20,IF(OR($AJ2647=10,$AJ2647=11,$AJ2647=18),"①病院一般",IF($AJ2647=41,"②病院短期","対象外")),IF($AH2647=5,IF($AJ2647=30,"③特定消防","対象外"),IF(OR($AJ2647=10,$AJ2647=11,$AJ2647=74),"④一般",IF(OR($AJ2647=41,$AJ2647=47),"⑤短期","対象外"))))))</f>
        <v/>
      </c>
    </row>
    <row r="2648" customFormat="false" ht="15" hidden="false" customHeight="false" outlineLevel="0" collapsed="false">
      <c r="DB2648" s="0" t="str">
        <f aca="false">IF($A2648="","",IF($AE2648&amp;""&lt;&gt;設定!$C$4,"対象外",IF($AH2648=20,IF(OR($AJ2648=10,$AJ2648=11,$AJ2648=18),"①病院一般",IF($AJ2648=41,"②病院短期","対象外")),IF($AH2648=5,IF($AJ2648=30,"③特定消防","対象外"),IF(OR($AJ2648=10,$AJ2648=11,$AJ2648=74),"④一般",IF(OR($AJ2648=41,$AJ2648=47),"⑤短期","対象外"))))))</f>
        <v/>
      </c>
    </row>
    <row r="2649" customFormat="false" ht="15" hidden="false" customHeight="false" outlineLevel="0" collapsed="false">
      <c r="DB2649" s="0" t="str">
        <f aca="false">IF($A2649="","",IF($AE2649&amp;""&lt;&gt;設定!$C$4,"対象外",IF($AH2649=20,IF(OR($AJ2649=10,$AJ2649=11,$AJ2649=18),"①病院一般",IF($AJ2649=41,"②病院短期","対象外")),IF($AH2649=5,IF($AJ2649=30,"③特定消防","対象外"),IF(OR($AJ2649=10,$AJ2649=11,$AJ2649=74),"④一般",IF(OR($AJ2649=41,$AJ2649=47),"⑤短期","対象外"))))))</f>
        <v/>
      </c>
    </row>
    <row r="2650" customFormat="false" ht="15" hidden="false" customHeight="false" outlineLevel="0" collapsed="false">
      <c r="DB2650" s="0" t="str">
        <f aca="false">IF($A2650="","",IF($AE2650&amp;""&lt;&gt;設定!$C$4,"対象外",IF($AH2650=20,IF(OR($AJ2650=10,$AJ2650=11,$AJ2650=18),"①病院一般",IF($AJ2650=41,"②病院短期","対象外")),IF($AH2650=5,IF($AJ2650=30,"③特定消防","対象外"),IF(OR($AJ2650=10,$AJ2650=11,$AJ2650=74),"④一般",IF(OR($AJ2650=41,$AJ2650=47),"⑤短期","対象外"))))))</f>
        <v/>
      </c>
    </row>
    <row r="2651" customFormat="false" ht="15" hidden="false" customHeight="false" outlineLevel="0" collapsed="false">
      <c r="DB2651" s="0" t="str">
        <f aca="false">IF($A2651="","",IF($AE2651&amp;""&lt;&gt;設定!$C$4,"対象外",IF($AH2651=20,IF(OR($AJ2651=10,$AJ2651=11,$AJ2651=18),"①病院一般",IF($AJ2651=41,"②病院短期","対象外")),IF($AH2651=5,IF($AJ2651=30,"③特定消防","対象外"),IF(OR($AJ2651=10,$AJ2651=11,$AJ2651=74),"④一般",IF(OR($AJ2651=41,$AJ2651=47),"⑤短期","対象外"))))))</f>
        <v/>
      </c>
    </row>
    <row r="2652" customFormat="false" ht="15" hidden="false" customHeight="false" outlineLevel="0" collapsed="false">
      <c r="DB2652" s="0" t="str">
        <f aca="false">IF($A2652="","",IF($AE2652&amp;""&lt;&gt;設定!$C$4,"対象外",IF($AH2652=20,IF(OR($AJ2652=10,$AJ2652=11,$AJ2652=18),"①病院一般",IF($AJ2652=41,"②病院短期","対象外")),IF($AH2652=5,IF($AJ2652=30,"③特定消防","対象外"),IF(OR($AJ2652=10,$AJ2652=11,$AJ2652=74),"④一般",IF(OR($AJ2652=41,$AJ2652=47),"⑤短期","対象外"))))))</f>
        <v/>
      </c>
    </row>
    <row r="2653" customFormat="false" ht="15" hidden="false" customHeight="false" outlineLevel="0" collapsed="false">
      <c r="DB2653" s="0" t="str">
        <f aca="false">IF($A2653="","",IF($AE2653&amp;""&lt;&gt;設定!$C$4,"対象外",IF($AH2653=20,IF(OR($AJ2653=10,$AJ2653=11,$AJ2653=18),"①病院一般",IF($AJ2653=41,"②病院短期","対象外")),IF($AH2653=5,IF($AJ2653=30,"③特定消防","対象外"),IF(OR($AJ2653=10,$AJ2653=11,$AJ2653=74),"④一般",IF(OR($AJ2653=41,$AJ2653=47),"⑤短期","対象外"))))))</f>
        <v/>
      </c>
    </row>
    <row r="2654" customFormat="false" ht="15" hidden="false" customHeight="false" outlineLevel="0" collapsed="false">
      <c r="DB2654" s="0" t="str">
        <f aca="false">IF($A2654="","",IF($AE2654&amp;""&lt;&gt;設定!$C$4,"対象外",IF($AH2654=20,IF(OR($AJ2654=10,$AJ2654=11,$AJ2654=18),"①病院一般",IF($AJ2654=41,"②病院短期","対象外")),IF($AH2654=5,IF($AJ2654=30,"③特定消防","対象外"),IF(OR($AJ2654=10,$AJ2654=11,$AJ2654=74),"④一般",IF(OR($AJ2654=41,$AJ2654=47),"⑤短期","対象外"))))))</f>
        <v/>
      </c>
    </row>
    <row r="2655" customFormat="false" ht="15" hidden="false" customHeight="false" outlineLevel="0" collapsed="false">
      <c r="DB2655" s="0" t="str">
        <f aca="false">IF($A2655="","",IF($AE2655&amp;""&lt;&gt;設定!$C$4,"対象外",IF($AH2655=20,IF(OR($AJ2655=10,$AJ2655=11,$AJ2655=18),"①病院一般",IF($AJ2655=41,"②病院短期","対象外")),IF($AH2655=5,IF($AJ2655=30,"③特定消防","対象外"),IF(OR($AJ2655=10,$AJ2655=11,$AJ2655=74),"④一般",IF(OR($AJ2655=41,$AJ2655=47),"⑤短期","対象外"))))))</f>
        <v/>
      </c>
    </row>
    <row r="2656" customFormat="false" ht="15" hidden="false" customHeight="false" outlineLevel="0" collapsed="false">
      <c r="DB2656" s="0" t="str">
        <f aca="false">IF($A2656="","",IF($AE2656&amp;""&lt;&gt;設定!$C$4,"対象外",IF($AH2656=20,IF(OR($AJ2656=10,$AJ2656=11,$AJ2656=18),"①病院一般",IF($AJ2656=41,"②病院短期","対象外")),IF($AH2656=5,IF($AJ2656=30,"③特定消防","対象外"),IF(OR($AJ2656=10,$AJ2656=11,$AJ2656=74),"④一般",IF(OR($AJ2656=41,$AJ2656=47),"⑤短期","対象外"))))))</f>
        <v/>
      </c>
    </row>
    <row r="2657" customFormat="false" ht="15" hidden="false" customHeight="false" outlineLevel="0" collapsed="false">
      <c r="DB2657" s="0" t="str">
        <f aca="false">IF($A2657="","",IF($AE2657&amp;""&lt;&gt;設定!$C$4,"対象外",IF($AH2657=20,IF(OR($AJ2657=10,$AJ2657=11,$AJ2657=18),"①病院一般",IF($AJ2657=41,"②病院短期","対象外")),IF($AH2657=5,IF($AJ2657=30,"③特定消防","対象外"),IF(OR($AJ2657=10,$AJ2657=11,$AJ2657=74),"④一般",IF(OR($AJ2657=41,$AJ2657=47),"⑤短期","対象外"))))))</f>
        <v/>
      </c>
    </row>
    <row r="2658" customFormat="false" ht="15" hidden="false" customHeight="false" outlineLevel="0" collapsed="false">
      <c r="DB2658" s="0" t="str">
        <f aca="false">IF($A2658="","",IF($AE2658&amp;""&lt;&gt;設定!$C$4,"対象外",IF($AH2658=20,IF(OR($AJ2658=10,$AJ2658=11,$AJ2658=18),"①病院一般",IF($AJ2658=41,"②病院短期","対象外")),IF($AH2658=5,IF($AJ2658=30,"③特定消防","対象外"),IF(OR($AJ2658=10,$AJ2658=11,$AJ2658=74),"④一般",IF(OR($AJ2658=41,$AJ2658=47),"⑤短期","対象外"))))))</f>
        <v/>
      </c>
    </row>
    <row r="2659" customFormat="false" ht="15" hidden="false" customHeight="false" outlineLevel="0" collapsed="false">
      <c r="DB2659" s="0" t="str">
        <f aca="false">IF($A2659="","",IF($AE2659&amp;""&lt;&gt;設定!$C$4,"対象外",IF($AH2659=20,IF(OR($AJ2659=10,$AJ2659=11,$AJ2659=18),"①病院一般",IF($AJ2659=41,"②病院短期","対象外")),IF($AH2659=5,IF($AJ2659=30,"③特定消防","対象外"),IF(OR($AJ2659=10,$AJ2659=11,$AJ2659=74),"④一般",IF(OR($AJ2659=41,$AJ2659=47),"⑤短期","対象外"))))))</f>
        <v/>
      </c>
    </row>
    <row r="2660" customFormat="false" ht="15" hidden="false" customHeight="false" outlineLevel="0" collapsed="false">
      <c r="DB2660" s="0" t="str">
        <f aca="false">IF($A2660="","",IF($AE2660&amp;""&lt;&gt;設定!$C$4,"対象外",IF($AH2660=20,IF(OR($AJ2660=10,$AJ2660=11,$AJ2660=18),"①病院一般",IF($AJ2660=41,"②病院短期","対象外")),IF($AH2660=5,IF($AJ2660=30,"③特定消防","対象外"),IF(OR($AJ2660=10,$AJ2660=11,$AJ2660=74),"④一般",IF(OR($AJ2660=41,$AJ2660=47),"⑤短期","対象外"))))))</f>
        <v/>
      </c>
    </row>
    <row r="2661" customFormat="false" ht="15" hidden="false" customHeight="false" outlineLevel="0" collapsed="false">
      <c r="DB2661" s="0" t="str">
        <f aca="false">IF($A2661="","",IF($AE2661&amp;""&lt;&gt;設定!$C$4,"対象外",IF($AH2661=20,IF(OR($AJ2661=10,$AJ2661=11,$AJ2661=18),"①病院一般",IF($AJ2661=41,"②病院短期","対象外")),IF($AH2661=5,IF($AJ2661=30,"③特定消防","対象外"),IF(OR($AJ2661=10,$AJ2661=11,$AJ2661=74),"④一般",IF(OR($AJ2661=41,$AJ2661=47),"⑤短期","対象外"))))))</f>
        <v/>
      </c>
    </row>
    <row r="2662" customFormat="false" ht="15" hidden="false" customHeight="false" outlineLevel="0" collapsed="false">
      <c r="DB2662" s="0" t="str">
        <f aca="false">IF($A2662="","",IF($AE2662&amp;""&lt;&gt;設定!$C$4,"対象外",IF($AH2662=20,IF(OR($AJ2662=10,$AJ2662=11,$AJ2662=18),"①病院一般",IF($AJ2662=41,"②病院短期","対象外")),IF($AH2662=5,IF($AJ2662=30,"③特定消防","対象外"),IF(OR($AJ2662=10,$AJ2662=11,$AJ2662=74),"④一般",IF(OR($AJ2662=41,$AJ2662=47),"⑤短期","対象外"))))))</f>
        <v/>
      </c>
    </row>
    <row r="2663" customFormat="false" ht="15" hidden="false" customHeight="false" outlineLevel="0" collapsed="false">
      <c r="DB2663" s="0" t="str">
        <f aca="false">IF($A2663="","",IF($AE2663&amp;""&lt;&gt;設定!$C$4,"対象外",IF($AH2663=20,IF(OR($AJ2663=10,$AJ2663=11,$AJ2663=18),"①病院一般",IF($AJ2663=41,"②病院短期","対象外")),IF($AH2663=5,IF($AJ2663=30,"③特定消防","対象外"),IF(OR($AJ2663=10,$AJ2663=11,$AJ2663=74),"④一般",IF(OR($AJ2663=41,$AJ2663=47),"⑤短期","対象外"))))))</f>
        <v/>
      </c>
    </row>
    <row r="2664" customFormat="false" ht="15" hidden="false" customHeight="false" outlineLevel="0" collapsed="false">
      <c r="DB2664" s="0" t="str">
        <f aca="false">IF($A2664="","",IF($AE2664&amp;""&lt;&gt;設定!$C$4,"対象外",IF($AH2664=20,IF(OR($AJ2664=10,$AJ2664=11,$AJ2664=18),"①病院一般",IF($AJ2664=41,"②病院短期","対象外")),IF($AH2664=5,IF($AJ2664=30,"③特定消防","対象外"),IF(OR($AJ2664=10,$AJ2664=11,$AJ2664=74),"④一般",IF(OR($AJ2664=41,$AJ2664=47),"⑤短期","対象外"))))))</f>
        <v/>
      </c>
    </row>
    <row r="2665" customFormat="false" ht="15" hidden="false" customHeight="false" outlineLevel="0" collapsed="false">
      <c r="DB2665" s="0" t="str">
        <f aca="false">IF($A2665="","",IF($AE2665&amp;""&lt;&gt;設定!$C$4,"対象外",IF($AH2665=20,IF(OR($AJ2665=10,$AJ2665=11,$AJ2665=18),"①病院一般",IF($AJ2665=41,"②病院短期","対象外")),IF($AH2665=5,IF($AJ2665=30,"③特定消防","対象外"),IF(OR($AJ2665=10,$AJ2665=11,$AJ2665=74),"④一般",IF(OR($AJ2665=41,$AJ2665=47),"⑤短期","対象外"))))))</f>
        <v/>
      </c>
    </row>
    <row r="2666" customFormat="false" ht="15" hidden="false" customHeight="false" outlineLevel="0" collapsed="false">
      <c r="DB2666" s="0" t="str">
        <f aca="false">IF($A2666="","",IF($AE2666&amp;""&lt;&gt;設定!$C$4,"対象外",IF($AH2666=20,IF(OR($AJ2666=10,$AJ2666=11,$AJ2666=18),"①病院一般",IF($AJ2666=41,"②病院短期","対象外")),IF($AH2666=5,IF($AJ2666=30,"③特定消防","対象外"),IF(OR($AJ2666=10,$AJ2666=11,$AJ2666=74),"④一般",IF(OR($AJ2666=41,$AJ2666=47),"⑤短期","対象外"))))))</f>
        <v/>
      </c>
    </row>
    <row r="2667" customFormat="false" ht="15" hidden="false" customHeight="false" outlineLevel="0" collapsed="false">
      <c r="DB2667" s="0" t="str">
        <f aca="false">IF($A2667="","",IF($AE2667&amp;""&lt;&gt;設定!$C$4,"対象外",IF($AH2667=20,IF(OR($AJ2667=10,$AJ2667=11,$AJ2667=18),"①病院一般",IF($AJ2667=41,"②病院短期","対象外")),IF($AH2667=5,IF($AJ2667=30,"③特定消防","対象外"),IF(OR($AJ2667=10,$AJ2667=11,$AJ2667=74),"④一般",IF(OR($AJ2667=41,$AJ2667=47),"⑤短期","対象外"))))))</f>
        <v/>
      </c>
    </row>
    <row r="2668" customFormat="false" ht="15" hidden="false" customHeight="false" outlineLevel="0" collapsed="false">
      <c r="DB2668" s="0" t="str">
        <f aca="false">IF($A2668="","",IF($AE2668&amp;""&lt;&gt;設定!$C$4,"対象外",IF($AH2668=20,IF(OR($AJ2668=10,$AJ2668=11,$AJ2668=18),"①病院一般",IF($AJ2668=41,"②病院短期","対象外")),IF($AH2668=5,IF($AJ2668=30,"③特定消防","対象外"),IF(OR($AJ2668=10,$AJ2668=11,$AJ2668=74),"④一般",IF(OR($AJ2668=41,$AJ2668=47),"⑤短期","対象外"))))))</f>
        <v/>
      </c>
    </row>
    <row r="2669" customFormat="false" ht="15" hidden="false" customHeight="false" outlineLevel="0" collapsed="false">
      <c r="DB2669" s="0" t="str">
        <f aca="false">IF($A2669="","",IF($AE2669&amp;""&lt;&gt;設定!$C$4,"対象外",IF($AH2669=20,IF(OR($AJ2669=10,$AJ2669=11,$AJ2669=18),"①病院一般",IF($AJ2669=41,"②病院短期","対象外")),IF($AH2669=5,IF($AJ2669=30,"③特定消防","対象外"),IF(OR($AJ2669=10,$AJ2669=11,$AJ2669=74),"④一般",IF(OR($AJ2669=41,$AJ2669=47),"⑤短期","対象外"))))))</f>
        <v/>
      </c>
    </row>
    <row r="2670" customFormat="false" ht="15" hidden="false" customHeight="false" outlineLevel="0" collapsed="false">
      <c r="DB2670" s="0" t="str">
        <f aca="false">IF($A2670="","",IF($AE2670&amp;""&lt;&gt;設定!$C$4,"対象外",IF($AH2670=20,IF(OR($AJ2670=10,$AJ2670=11,$AJ2670=18),"①病院一般",IF($AJ2670=41,"②病院短期","対象外")),IF($AH2670=5,IF($AJ2670=30,"③特定消防","対象外"),IF(OR($AJ2670=10,$AJ2670=11,$AJ2670=74),"④一般",IF(OR($AJ2670=41,$AJ2670=47),"⑤短期","対象外"))))))</f>
        <v/>
      </c>
    </row>
    <row r="2671" customFormat="false" ht="15" hidden="false" customHeight="false" outlineLevel="0" collapsed="false">
      <c r="DB2671" s="0" t="str">
        <f aca="false">IF($A2671="","",IF($AE2671&amp;""&lt;&gt;設定!$C$4,"対象外",IF($AH2671=20,IF(OR($AJ2671=10,$AJ2671=11,$AJ2671=18),"①病院一般",IF($AJ2671=41,"②病院短期","対象外")),IF($AH2671=5,IF($AJ2671=30,"③特定消防","対象外"),IF(OR($AJ2671=10,$AJ2671=11,$AJ2671=74),"④一般",IF(OR($AJ2671=41,$AJ2671=47),"⑤短期","対象外"))))))</f>
        <v/>
      </c>
    </row>
    <row r="2672" customFormat="false" ht="15" hidden="false" customHeight="false" outlineLevel="0" collapsed="false">
      <c r="DB2672" s="0" t="str">
        <f aca="false">IF($A2672="","",IF($AE2672&amp;""&lt;&gt;設定!$C$4,"対象外",IF($AH2672=20,IF(OR($AJ2672=10,$AJ2672=11,$AJ2672=18),"①病院一般",IF($AJ2672=41,"②病院短期","対象外")),IF($AH2672=5,IF($AJ2672=30,"③特定消防","対象外"),IF(OR($AJ2672=10,$AJ2672=11,$AJ2672=74),"④一般",IF(OR($AJ2672=41,$AJ2672=47),"⑤短期","対象外"))))))</f>
        <v/>
      </c>
    </row>
    <row r="2673" customFormat="false" ht="15" hidden="false" customHeight="false" outlineLevel="0" collapsed="false">
      <c r="DB2673" s="0" t="str">
        <f aca="false">IF($A2673="","",IF($AE2673&amp;""&lt;&gt;設定!$C$4,"対象外",IF($AH2673=20,IF(OR($AJ2673=10,$AJ2673=11,$AJ2673=18),"①病院一般",IF($AJ2673=41,"②病院短期","対象外")),IF($AH2673=5,IF($AJ2673=30,"③特定消防","対象外"),IF(OR($AJ2673=10,$AJ2673=11,$AJ2673=74),"④一般",IF(OR($AJ2673=41,$AJ2673=47),"⑤短期","対象外"))))))</f>
        <v/>
      </c>
    </row>
    <row r="2674" customFormat="false" ht="15" hidden="false" customHeight="false" outlineLevel="0" collapsed="false">
      <c r="DB2674" s="0" t="str">
        <f aca="false">IF($A2674="","",IF($AE2674&amp;""&lt;&gt;設定!$C$4,"対象外",IF($AH2674=20,IF(OR($AJ2674=10,$AJ2674=11,$AJ2674=18),"①病院一般",IF($AJ2674=41,"②病院短期","対象外")),IF($AH2674=5,IF($AJ2674=30,"③特定消防","対象外"),IF(OR($AJ2674=10,$AJ2674=11,$AJ2674=74),"④一般",IF(OR($AJ2674=41,$AJ2674=47),"⑤短期","対象外"))))))</f>
        <v/>
      </c>
    </row>
    <row r="2675" customFormat="false" ht="15" hidden="false" customHeight="false" outlineLevel="0" collapsed="false">
      <c r="DB2675" s="0" t="str">
        <f aca="false">IF($A2675="","",IF($AE2675&amp;""&lt;&gt;設定!$C$4,"対象外",IF($AH2675=20,IF(OR($AJ2675=10,$AJ2675=11,$AJ2675=18),"①病院一般",IF($AJ2675=41,"②病院短期","対象外")),IF($AH2675=5,IF($AJ2675=30,"③特定消防","対象外"),IF(OR($AJ2675=10,$AJ2675=11,$AJ2675=74),"④一般",IF(OR($AJ2675=41,$AJ2675=47),"⑤短期","対象外"))))))</f>
        <v/>
      </c>
    </row>
    <row r="2676" customFormat="false" ht="15" hidden="false" customHeight="false" outlineLevel="0" collapsed="false">
      <c r="DB2676" s="0" t="str">
        <f aca="false">IF($A2676="","",IF($AE2676&amp;""&lt;&gt;設定!$C$4,"対象外",IF($AH2676=20,IF(OR($AJ2676=10,$AJ2676=11,$AJ2676=18),"①病院一般",IF($AJ2676=41,"②病院短期","対象外")),IF($AH2676=5,IF($AJ2676=30,"③特定消防","対象外"),IF(OR($AJ2676=10,$AJ2676=11,$AJ2676=74),"④一般",IF(OR($AJ2676=41,$AJ2676=47),"⑤短期","対象外"))))))</f>
        <v/>
      </c>
    </row>
    <row r="2677" customFormat="false" ht="15" hidden="false" customHeight="false" outlineLevel="0" collapsed="false">
      <c r="DB2677" s="0" t="str">
        <f aca="false">IF($A2677="","",IF($AE2677&amp;""&lt;&gt;設定!$C$4,"対象外",IF($AH2677=20,IF(OR($AJ2677=10,$AJ2677=11,$AJ2677=18),"①病院一般",IF($AJ2677=41,"②病院短期","対象外")),IF($AH2677=5,IF($AJ2677=30,"③特定消防","対象外"),IF(OR($AJ2677=10,$AJ2677=11,$AJ2677=74),"④一般",IF(OR($AJ2677=41,$AJ2677=47),"⑤短期","対象外"))))))</f>
        <v/>
      </c>
    </row>
    <row r="2678" customFormat="false" ht="15" hidden="false" customHeight="false" outlineLevel="0" collapsed="false">
      <c r="DB2678" s="0" t="str">
        <f aca="false">IF($A2678="","",IF($AE2678&amp;""&lt;&gt;設定!$C$4,"対象外",IF($AH2678=20,IF(OR($AJ2678=10,$AJ2678=11,$AJ2678=18),"①病院一般",IF($AJ2678=41,"②病院短期","対象外")),IF($AH2678=5,IF($AJ2678=30,"③特定消防","対象外"),IF(OR($AJ2678=10,$AJ2678=11,$AJ2678=74),"④一般",IF(OR($AJ2678=41,$AJ2678=47),"⑤短期","対象外"))))))</f>
        <v/>
      </c>
    </row>
    <row r="2679" customFormat="false" ht="15" hidden="false" customHeight="false" outlineLevel="0" collapsed="false">
      <c r="DB2679" s="0" t="str">
        <f aca="false">IF($A2679="","",IF($AE2679&amp;""&lt;&gt;設定!$C$4,"対象外",IF($AH2679=20,IF(OR($AJ2679=10,$AJ2679=11,$AJ2679=18),"①病院一般",IF($AJ2679=41,"②病院短期","対象外")),IF($AH2679=5,IF($AJ2679=30,"③特定消防","対象外"),IF(OR($AJ2679=10,$AJ2679=11,$AJ2679=74),"④一般",IF(OR($AJ2679=41,$AJ2679=47),"⑤短期","対象外"))))))</f>
        <v/>
      </c>
    </row>
    <row r="2680" customFormat="false" ht="15" hidden="false" customHeight="false" outlineLevel="0" collapsed="false">
      <c r="DB2680" s="0" t="str">
        <f aca="false">IF($A2680="","",IF($AE2680&amp;""&lt;&gt;設定!$C$4,"対象外",IF($AH2680=20,IF(OR($AJ2680=10,$AJ2680=11,$AJ2680=18),"①病院一般",IF($AJ2680=41,"②病院短期","対象外")),IF($AH2680=5,IF($AJ2680=30,"③特定消防","対象外"),IF(OR($AJ2680=10,$AJ2680=11,$AJ2680=74),"④一般",IF(OR($AJ2680=41,$AJ2680=47),"⑤短期","対象外"))))))</f>
        <v/>
      </c>
    </row>
    <row r="2681" customFormat="false" ht="15" hidden="false" customHeight="false" outlineLevel="0" collapsed="false">
      <c r="DB2681" s="0" t="str">
        <f aca="false">IF($A2681="","",IF($AE2681&amp;""&lt;&gt;設定!$C$4,"対象外",IF($AH2681=20,IF(OR($AJ2681=10,$AJ2681=11,$AJ2681=18),"①病院一般",IF($AJ2681=41,"②病院短期","対象外")),IF($AH2681=5,IF($AJ2681=30,"③特定消防","対象外"),IF(OR($AJ2681=10,$AJ2681=11,$AJ2681=74),"④一般",IF(OR($AJ2681=41,$AJ2681=47),"⑤短期","対象外"))))))</f>
        <v/>
      </c>
    </row>
    <row r="2682" customFormat="false" ht="15" hidden="false" customHeight="false" outlineLevel="0" collapsed="false">
      <c r="DB2682" s="0" t="str">
        <f aca="false">IF($A2682="","",IF($AE2682&amp;""&lt;&gt;設定!$C$4,"対象外",IF($AH2682=20,IF(OR($AJ2682=10,$AJ2682=11,$AJ2682=18),"①病院一般",IF($AJ2682=41,"②病院短期","対象外")),IF($AH2682=5,IF($AJ2682=30,"③特定消防","対象外"),IF(OR($AJ2682=10,$AJ2682=11,$AJ2682=74),"④一般",IF(OR($AJ2682=41,$AJ2682=47),"⑤短期","対象外"))))))</f>
        <v/>
      </c>
    </row>
    <row r="2683" customFormat="false" ht="15" hidden="false" customHeight="false" outlineLevel="0" collapsed="false">
      <c r="DB2683" s="0" t="str">
        <f aca="false">IF($A2683="","",IF($AE2683&amp;""&lt;&gt;設定!$C$4,"対象外",IF($AH2683=20,IF(OR($AJ2683=10,$AJ2683=11,$AJ2683=18),"①病院一般",IF($AJ2683=41,"②病院短期","対象外")),IF($AH2683=5,IF($AJ2683=30,"③特定消防","対象外"),IF(OR($AJ2683=10,$AJ2683=11,$AJ2683=74),"④一般",IF(OR($AJ2683=41,$AJ2683=47),"⑤短期","対象外"))))))</f>
        <v/>
      </c>
    </row>
    <row r="2684" customFormat="false" ht="15" hidden="false" customHeight="false" outlineLevel="0" collapsed="false">
      <c r="DB2684" s="0" t="str">
        <f aca="false">IF($A2684="","",IF($AE2684&amp;""&lt;&gt;設定!$C$4,"対象外",IF($AH2684=20,IF(OR($AJ2684=10,$AJ2684=11,$AJ2684=18),"①病院一般",IF($AJ2684=41,"②病院短期","対象外")),IF($AH2684=5,IF($AJ2684=30,"③特定消防","対象外"),IF(OR($AJ2684=10,$AJ2684=11,$AJ2684=74),"④一般",IF(OR($AJ2684=41,$AJ2684=47),"⑤短期","対象外"))))))</f>
        <v/>
      </c>
    </row>
    <row r="2685" customFormat="false" ht="15" hidden="false" customHeight="false" outlineLevel="0" collapsed="false">
      <c r="DB2685" s="0" t="str">
        <f aca="false">IF($A2685="","",IF($AE2685&amp;""&lt;&gt;設定!$C$4,"対象外",IF($AH2685=20,IF(OR($AJ2685=10,$AJ2685=11,$AJ2685=18),"①病院一般",IF($AJ2685=41,"②病院短期","対象外")),IF($AH2685=5,IF($AJ2685=30,"③特定消防","対象外"),IF(OR($AJ2685=10,$AJ2685=11,$AJ2685=74),"④一般",IF(OR($AJ2685=41,$AJ2685=47),"⑤短期","対象外"))))))</f>
        <v/>
      </c>
    </row>
    <row r="2686" customFormat="false" ht="15" hidden="false" customHeight="false" outlineLevel="0" collapsed="false">
      <c r="DB2686" s="0" t="str">
        <f aca="false">IF($A2686="","",IF($AE2686&amp;""&lt;&gt;設定!$C$4,"対象外",IF($AH2686=20,IF(OR($AJ2686=10,$AJ2686=11,$AJ2686=18),"①病院一般",IF($AJ2686=41,"②病院短期","対象外")),IF($AH2686=5,IF($AJ2686=30,"③特定消防","対象外"),IF(OR($AJ2686=10,$AJ2686=11,$AJ2686=74),"④一般",IF(OR($AJ2686=41,$AJ2686=47),"⑤短期","対象外"))))))</f>
        <v/>
      </c>
    </row>
    <row r="2687" customFormat="false" ht="15" hidden="false" customHeight="false" outlineLevel="0" collapsed="false">
      <c r="DB2687" s="0" t="str">
        <f aca="false">IF($A2687="","",IF($AE2687&amp;""&lt;&gt;設定!$C$4,"対象外",IF($AH2687=20,IF(OR($AJ2687=10,$AJ2687=11,$AJ2687=18),"①病院一般",IF($AJ2687=41,"②病院短期","対象外")),IF($AH2687=5,IF($AJ2687=30,"③特定消防","対象外"),IF(OR($AJ2687=10,$AJ2687=11,$AJ2687=74),"④一般",IF(OR($AJ2687=41,$AJ2687=47),"⑤短期","対象外"))))))</f>
        <v/>
      </c>
    </row>
    <row r="2688" customFormat="false" ht="15" hidden="false" customHeight="false" outlineLevel="0" collapsed="false">
      <c r="DB2688" s="0" t="str">
        <f aca="false">IF($A2688="","",IF($AE2688&amp;""&lt;&gt;設定!$C$4,"対象外",IF($AH2688=20,IF(OR($AJ2688=10,$AJ2688=11,$AJ2688=18),"①病院一般",IF($AJ2688=41,"②病院短期","対象外")),IF($AH2688=5,IF($AJ2688=30,"③特定消防","対象外"),IF(OR($AJ2688=10,$AJ2688=11,$AJ2688=74),"④一般",IF(OR($AJ2688=41,$AJ2688=47),"⑤短期","対象外"))))))</f>
        <v/>
      </c>
    </row>
    <row r="2689" customFormat="false" ht="15" hidden="false" customHeight="false" outlineLevel="0" collapsed="false">
      <c r="DB2689" s="0" t="str">
        <f aca="false">IF($A2689="","",IF($AE2689&amp;""&lt;&gt;設定!$C$4,"対象外",IF($AH2689=20,IF(OR($AJ2689=10,$AJ2689=11,$AJ2689=18),"①病院一般",IF($AJ2689=41,"②病院短期","対象外")),IF($AH2689=5,IF($AJ2689=30,"③特定消防","対象外"),IF(OR($AJ2689=10,$AJ2689=11,$AJ2689=74),"④一般",IF(OR($AJ2689=41,$AJ2689=47),"⑤短期","対象外"))))))</f>
        <v/>
      </c>
    </row>
    <row r="2690" customFormat="false" ht="15" hidden="false" customHeight="false" outlineLevel="0" collapsed="false">
      <c r="DB2690" s="0" t="str">
        <f aca="false">IF($A2690="","",IF($AE2690&amp;""&lt;&gt;設定!$C$4,"対象外",IF($AH2690=20,IF(OR($AJ2690=10,$AJ2690=11,$AJ2690=18),"①病院一般",IF($AJ2690=41,"②病院短期","対象外")),IF($AH2690=5,IF($AJ2690=30,"③特定消防","対象外"),IF(OR($AJ2690=10,$AJ2690=11,$AJ2690=74),"④一般",IF(OR($AJ2690=41,$AJ2690=47),"⑤短期","対象外"))))))</f>
        <v/>
      </c>
    </row>
    <row r="2691" customFormat="false" ht="15" hidden="false" customHeight="false" outlineLevel="0" collapsed="false">
      <c r="DB2691" s="0" t="str">
        <f aca="false">IF($A2691="","",IF($AE2691&amp;""&lt;&gt;設定!$C$4,"対象外",IF($AH2691=20,IF(OR($AJ2691=10,$AJ2691=11,$AJ2691=18),"①病院一般",IF($AJ2691=41,"②病院短期","対象外")),IF($AH2691=5,IF($AJ2691=30,"③特定消防","対象外"),IF(OR($AJ2691=10,$AJ2691=11,$AJ2691=74),"④一般",IF(OR($AJ2691=41,$AJ2691=47),"⑤短期","対象外"))))))</f>
        <v/>
      </c>
    </row>
    <row r="2692" customFormat="false" ht="15" hidden="false" customHeight="false" outlineLevel="0" collapsed="false">
      <c r="DB2692" s="0" t="str">
        <f aca="false">IF($A2692="","",IF($AE2692&amp;""&lt;&gt;設定!$C$4,"対象外",IF($AH2692=20,IF(OR($AJ2692=10,$AJ2692=11,$AJ2692=18),"①病院一般",IF($AJ2692=41,"②病院短期","対象外")),IF($AH2692=5,IF($AJ2692=30,"③特定消防","対象外"),IF(OR($AJ2692=10,$AJ2692=11,$AJ2692=74),"④一般",IF(OR($AJ2692=41,$AJ2692=47),"⑤短期","対象外"))))))</f>
        <v/>
      </c>
    </row>
    <row r="2693" customFormat="false" ht="15" hidden="false" customHeight="false" outlineLevel="0" collapsed="false">
      <c r="DB2693" s="0" t="str">
        <f aca="false">IF($A2693="","",IF($AE2693&amp;""&lt;&gt;設定!$C$4,"対象外",IF($AH2693=20,IF(OR($AJ2693=10,$AJ2693=11,$AJ2693=18),"①病院一般",IF($AJ2693=41,"②病院短期","対象外")),IF($AH2693=5,IF($AJ2693=30,"③特定消防","対象外"),IF(OR($AJ2693=10,$AJ2693=11,$AJ2693=74),"④一般",IF(OR($AJ2693=41,$AJ2693=47),"⑤短期","対象外"))))))</f>
        <v/>
      </c>
    </row>
    <row r="2694" customFormat="false" ht="15" hidden="false" customHeight="false" outlineLevel="0" collapsed="false">
      <c r="DB2694" s="0" t="str">
        <f aca="false">IF($A2694="","",IF($AE2694&amp;""&lt;&gt;設定!$C$4,"対象外",IF($AH2694=20,IF(OR($AJ2694=10,$AJ2694=11,$AJ2694=18),"①病院一般",IF($AJ2694=41,"②病院短期","対象外")),IF($AH2694=5,IF($AJ2694=30,"③特定消防","対象外"),IF(OR($AJ2694=10,$AJ2694=11,$AJ2694=74),"④一般",IF(OR($AJ2694=41,$AJ2694=47),"⑤短期","対象外"))))))</f>
        <v/>
      </c>
    </row>
    <row r="2695" customFormat="false" ht="15" hidden="false" customHeight="false" outlineLevel="0" collapsed="false">
      <c r="DB2695" s="0" t="str">
        <f aca="false">IF($A2695="","",IF($AE2695&amp;""&lt;&gt;設定!$C$4,"対象外",IF($AH2695=20,IF(OR($AJ2695=10,$AJ2695=11,$AJ2695=18),"①病院一般",IF($AJ2695=41,"②病院短期","対象外")),IF($AH2695=5,IF($AJ2695=30,"③特定消防","対象外"),IF(OR($AJ2695=10,$AJ2695=11,$AJ2695=74),"④一般",IF(OR($AJ2695=41,$AJ2695=47),"⑤短期","対象外"))))))</f>
        <v/>
      </c>
    </row>
    <row r="2696" customFormat="false" ht="15" hidden="false" customHeight="false" outlineLevel="0" collapsed="false">
      <c r="DB2696" s="0" t="str">
        <f aca="false">IF($A2696="","",IF($AE2696&amp;""&lt;&gt;設定!$C$4,"対象外",IF($AH2696=20,IF(OR($AJ2696=10,$AJ2696=11,$AJ2696=18),"①病院一般",IF($AJ2696=41,"②病院短期","対象外")),IF($AH2696=5,IF($AJ2696=30,"③特定消防","対象外"),IF(OR($AJ2696=10,$AJ2696=11,$AJ2696=74),"④一般",IF(OR($AJ2696=41,$AJ2696=47),"⑤短期","対象外"))))))</f>
        <v/>
      </c>
    </row>
    <row r="2697" customFormat="false" ht="15" hidden="false" customHeight="false" outlineLevel="0" collapsed="false">
      <c r="DB2697" s="0" t="str">
        <f aca="false">IF($A2697="","",IF($AE2697&amp;""&lt;&gt;設定!$C$4,"対象外",IF($AH2697=20,IF(OR($AJ2697=10,$AJ2697=11,$AJ2697=18),"①病院一般",IF($AJ2697=41,"②病院短期","対象外")),IF($AH2697=5,IF($AJ2697=30,"③特定消防","対象外"),IF(OR($AJ2697=10,$AJ2697=11,$AJ2697=74),"④一般",IF(OR($AJ2697=41,$AJ2697=47),"⑤短期","対象外"))))))</f>
        <v/>
      </c>
    </row>
    <row r="2698" customFormat="false" ht="15" hidden="false" customHeight="false" outlineLevel="0" collapsed="false">
      <c r="DB2698" s="0" t="str">
        <f aca="false">IF($A2698="","",IF($AE2698&amp;""&lt;&gt;設定!$C$4,"対象外",IF($AH2698=20,IF(OR($AJ2698=10,$AJ2698=11,$AJ2698=18),"①病院一般",IF($AJ2698=41,"②病院短期","対象外")),IF($AH2698=5,IF($AJ2698=30,"③特定消防","対象外"),IF(OR($AJ2698=10,$AJ2698=11,$AJ2698=74),"④一般",IF(OR($AJ2698=41,$AJ2698=47),"⑤短期","対象外"))))))</f>
        <v/>
      </c>
    </row>
    <row r="2699" customFormat="false" ht="15" hidden="false" customHeight="false" outlineLevel="0" collapsed="false">
      <c r="DB2699" s="0" t="str">
        <f aca="false">IF($A2699="","",IF($AE2699&amp;""&lt;&gt;設定!$C$4,"対象外",IF($AH2699=20,IF(OR($AJ2699=10,$AJ2699=11,$AJ2699=18),"①病院一般",IF($AJ2699=41,"②病院短期","対象外")),IF($AH2699=5,IF($AJ2699=30,"③特定消防","対象外"),IF(OR($AJ2699=10,$AJ2699=11,$AJ2699=74),"④一般",IF(OR($AJ2699=41,$AJ2699=47),"⑤短期","対象外"))))))</f>
        <v/>
      </c>
    </row>
    <row r="2700" customFormat="false" ht="15" hidden="false" customHeight="false" outlineLevel="0" collapsed="false">
      <c r="DB2700" s="0" t="str">
        <f aca="false">IF($A2700="","",IF($AE2700&amp;""&lt;&gt;設定!$C$4,"対象外",IF($AH2700=20,IF(OR($AJ2700=10,$AJ2700=11,$AJ2700=18),"①病院一般",IF($AJ2700=41,"②病院短期","対象外")),IF($AH2700=5,IF($AJ2700=30,"③特定消防","対象外"),IF(OR($AJ2700=10,$AJ2700=11,$AJ2700=74),"④一般",IF(OR($AJ2700=41,$AJ2700=47),"⑤短期","対象外"))))))</f>
        <v/>
      </c>
    </row>
    <row r="2701" customFormat="false" ht="15" hidden="false" customHeight="false" outlineLevel="0" collapsed="false">
      <c r="DB2701" s="0" t="str">
        <f aca="false">IF($A2701="","",IF($AE2701&amp;""&lt;&gt;設定!$C$4,"対象外",IF($AH2701=20,IF(OR($AJ2701=10,$AJ2701=11,$AJ2701=18),"①病院一般",IF($AJ2701=41,"②病院短期","対象外")),IF($AH2701=5,IF($AJ2701=30,"③特定消防","対象外"),IF(OR($AJ2701=10,$AJ2701=11,$AJ2701=74),"④一般",IF(OR($AJ2701=41,$AJ2701=47),"⑤短期","対象外"))))))</f>
        <v/>
      </c>
    </row>
    <row r="2702" customFormat="false" ht="15" hidden="false" customHeight="false" outlineLevel="0" collapsed="false">
      <c r="DB2702" s="0" t="str">
        <f aca="false">IF($A2702="","",IF($AE2702&amp;""&lt;&gt;設定!$C$4,"対象外",IF($AH2702=20,IF(OR($AJ2702=10,$AJ2702=11,$AJ2702=18),"①病院一般",IF($AJ2702=41,"②病院短期","対象外")),IF($AH2702=5,IF($AJ2702=30,"③特定消防","対象外"),IF(OR($AJ2702=10,$AJ2702=11,$AJ2702=74),"④一般",IF(OR($AJ2702=41,$AJ2702=47),"⑤短期","対象外"))))))</f>
        <v/>
      </c>
    </row>
    <row r="2703" customFormat="false" ht="15" hidden="false" customHeight="false" outlineLevel="0" collapsed="false">
      <c r="DB2703" s="0" t="str">
        <f aca="false">IF($A2703="","",IF($AE2703&amp;""&lt;&gt;設定!$C$4,"対象外",IF($AH2703=20,IF(OR($AJ2703=10,$AJ2703=11,$AJ2703=18),"①病院一般",IF($AJ2703=41,"②病院短期","対象外")),IF($AH2703=5,IF($AJ2703=30,"③特定消防","対象外"),IF(OR($AJ2703=10,$AJ2703=11,$AJ2703=74),"④一般",IF(OR($AJ2703=41,$AJ2703=47),"⑤短期","対象外"))))))</f>
        <v/>
      </c>
    </row>
    <row r="2704" customFormat="false" ht="15" hidden="false" customHeight="false" outlineLevel="0" collapsed="false">
      <c r="DB2704" s="0" t="str">
        <f aca="false">IF($A2704="","",IF($AE2704&amp;""&lt;&gt;設定!$C$4,"対象外",IF($AH2704=20,IF(OR($AJ2704=10,$AJ2704=11,$AJ2704=18),"①病院一般",IF($AJ2704=41,"②病院短期","対象外")),IF($AH2704=5,IF($AJ2704=30,"③特定消防","対象外"),IF(OR($AJ2704=10,$AJ2704=11,$AJ2704=74),"④一般",IF(OR($AJ2704=41,$AJ2704=47),"⑤短期","対象外"))))))</f>
        <v/>
      </c>
    </row>
    <row r="2705" customFormat="false" ht="15" hidden="false" customHeight="false" outlineLevel="0" collapsed="false">
      <c r="DB2705" s="0" t="str">
        <f aca="false">IF($A2705="","",IF($AE2705&amp;""&lt;&gt;設定!$C$4,"対象外",IF($AH2705=20,IF(OR($AJ2705=10,$AJ2705=11,$AJ2705=18),"①病院一般",IF($AJ2705=41,"②病院短期","対象外")),IF($AH2705=5,IF($AJ2705=30,"③特定消防","対象外"),IF(OR($AJ2705=10,$AJ2705=11,$AJ2705=74),"④一般",IF(OR($AJ2705=41,$AJ2705=47),"⑤短期","対象外"))))))</f>
        <v/>
      </c>
    </row>
    <row r="2706" customFormat="false" ht="15" hidden="false" customHeight="false" outlineLevel="0" collapsed="false">
      <c r="DB2706" s="0" t="str">
        <f aca="false">IF($A2706="","",IF($AE2706&amp;""&lt;&gt;設定!$C$4,"対象外",IF($AH2706=20,IF(OR($AJ2706=10,$AJ2706=11,$AJ2706=18),"①病院一般",IF($AJ2706=41,"②病院短期","対象外")),IF($AH2706=5,IF($AJ2706=30,"③特定消防","対象外"),IF(OR($AJ2706=10,$AJ2706=11,$AJ2706=74),"④一般",IF(OR($AJ2706=41,$AJ2706=47),"⑤短期","対象外"))))))</f>
        <v/>
      </c>
    </row>
    <row r="2707" customFormat="false" ht="15" hidden="false" customHeight="false" outlineLevel="0" collapsed="false">
      <c r="DB2707" s="0" t="str">
        <f aca="false">IF($A2707="","",IF($AE2707&amp;""&lt;&gt;設定!$C$4,"対象外",IF($AH2707=20,IF(OR($AJ2707=10,$AJ2707=11,$AJ2707=18),"①病院一般",IF($AJ2707=41,"②病院短期","対象外")),IF($AH2707=5,IF($AJ2707=30,"③特定消防","対象外"),IF(OR($AJ2707=10,$AJ2707=11,$AJ2707=74),"④一般",IF(OR($AJ2707=41,$AJ2707=47),"⑤短期","対象外"))))))</f>
        <v/>
      </c>
    </row>
    <row r="2708" customFormat="false" ht="15" hidden="false" customHeight="false" outlineLevel="0" collapsed="false">
      <c r="DB2708" s="0" t="str">
        <f aca="false">IF($A2708="","",IF($AE2708&amp;""&lt;&gt;設定!$C$4,"対象外",IF($AH2708=20,IF(OR($AJ2708=10,$AJ2708=11,$AJ2708=18),"①病院一般",IF($AJ2708=41,"②病院短期","対象外")),IF($AH2708=5,IF($AJ2708=30,"③特定消防","対象外"),IF(OR($AJ2708=10,$AJ2708=11,$AJ2708=74),"④一般",IF(OR($AJ2708=41,$AJ2708=47),"⑤短期","対象外"))))))</f>
        <v/>
      </c>
    </row>
    <row r="2709" customFormat="false" ht="15" hidden="false" customHeight="false" outlineLevel="0" collapsed="false">
      <c r="DB2709" s="0" t="str">
        <f aca="false">IF($A2709="","",IF($AE2709&amp;""&lt;&gt;設定!$C$4,"対象外",IF($AH2709=20,IF(OR($AJ2709=10,$AJ2709=11,$AJ2709=18),"①病院一般",IF($AJ2709=41,"②病院短期","対象外")),IF($AH2709=5,IF($AJ2709=30,"③特定消防","対象外"),IF(OR($AJ2709=10,$AJ2709=11,$AJ2709=74),"④一般",IF(OR($AJ2709=41,$AJ2709=47),"⑤短期","対象外"))))))</f>
        <v/>
      </c>
    </row>
    <row r="2710" customFormat="false" ht="15" hidden="false" customHeight="false" outlineLevel="0" collapsed="false">
      <c r="DB2710" s="0" t="str">
        <f aca="false">IF($A2710="","",IF($AE2710&amp;""&lt;&gt;設定!$C$4,"対象外",IF($AH2710=20,IF(OR($AJ2710=10,$AJ2710=11,$AJ2710=18),"①病院一般",IF($AJ2710=41,"②病院短期","対象外")),IF($AH2710=5,IF($AJ2710=30,"③特定消防","対象外"),IF(OR($AJ2710=10,$AJ2710=11,$AJ2710=74),"④一般",IF(OR($AJ2710=41,$AJ2710=47),"⑤短期","対象外"))))))</f>
        <v/>
      </c>
    </row>
    <row r="2711" customFormat="false" ht="15" hidden="false" customHeight="false" outlineLevel="0" collapsed="false">
      <c r="DB2711" s="0" t="str">
        <f aca="false">IF($A2711="","",IF($AE2711&amp;""&lt;&gt;設定!$C$4,"対象外",IF($AH2711=20,IF(OR($AJ2711=10,$AJ2711=11,$AJ2711=18),"①病院一般",IF($AJ2711=41,"②病院短期","対象外")),IF($AH2711=5,IF($AJ2711=30,"③特定消防","対象外"),IF(OR($AJ2711=10,$AJ2711=11,$AJ2711=74),"④一般",IF(OR($AJ2711=41,$AJ2711=47),"⑤短期","対象外"))))))</f>
        <v/>
      </c>
    </row>
    <row r="2712" customFormat="false" ht="15" hidden="false" customHeight="false" outlineLevel="0" collapsed="false">
      <c r="DB2712" s="0" t="str">
        <f aca="false">IF($A2712="","",IF($AE2712&amp;""&lt;&gt;設定!$C$4,"対象外",IF($AH2712=20,IF(OR($AJ2712=10,$AJ2712=11,$AJ2712=18),"①病院一般",IF($AJ2712=41,"②病院短期","対象外")),IF($AH2712=5,IF($AJ2712=30,"③特定消防","対象外"),IF(OR($AJ2712=10,$AJ2712=11,$AJ2712=74),"④一般",IF(OR($AJ2712=41,$AJ2712=47),"⑤短期","対象外"))))))</f>
        <v/>
      </c>
    </row>
    <row r="2713" customFormat="false" ht="15" hidden="false" customHeight="false" outlineLevel="0" collapsed="false">
      <c r="DB2713" s="0" t="str">
        <f aca="false">IF($A2713="","",IF($AE2713&amp;""&lt;&gt;設定!$C$4,"対象外",IF($AH2713=20,IF(OR($AJ2713=10,$AJ2713=11,$AJ2713=18),"①病院一般",IF($AJ2713=41,"②病院短期","対象外")),IF($AH2713=5,IF($AJ2713=30,"③特定消防","対象外"),IF(OR($AJ2713=10,$AJ2713=11,$AJ2713=74),"④一般",IF(OR($AJ2713=41,$AJ2713=47),"⑤短期","対象外"))))))</f>
        <v/>
      </c>
    </row>
    <row r="2714" customFormat="false" ht="15" hidden="false" customHeight="false" outlineLevel="0" collapsed="false">
      <c r="DB2714" s="0" t="str">
        <f aca="false">IF($A2714="","",IF($AE2714&amp;""&lt;&gt;設定!$C$4,"対象外",IF($AH2714=20,IF(OR($AJ2714=10,$AJ2714=11,$AJ2714=18),"①病院一般",IF($AJ2714=41,"②病院短期","対象外")),IF($AH2714=5,IF($AJ2714=30,"③特定消防","対象外"),IF(OR($AJ2714=10,$AJ2714=11,$AJ2714=74),"④一般",IF(OR($AJ2714=41,$AJ2714=47),"⑤短期","対象外"))))))</f>
        <v/>
      </c>
    </row>
    <row r="2715" customFormat="false" ht="15" hidden="false" customHeight="false" outlineLevel="0" collapsed="false">
      <c r="DB2715" s="0" t="str">
        <f aca="false">IF($A2715="","",IF($AE2715&amp;""&lt;&gt;設定!$C$4,"対象外",IF($AH2715=20,IF(OR($AJ2715=10,$AJ2715=11,$AJ2715=18),"①病院一般",IF($AJ2715=41,"②病院短期","対象外")),IF($AH2715=5,IF($AJ2715=30,"③特定消防","対象外"),IF(OR($AJ2715=10,$AJ2715=11,$AJ2715=74),"④一般",IF(OR($AJ2715=41,$AJ2715=47),"⑤短期","対象外"))))))</f>
        <v/>
      </c>
    </row>
    <row r="2716" customFormat="false" ht="15" hidden="false" customHeight="false" outlineLevel="0" collapsed="false">
      <c r="DB2716" s="0" t="str">
        <f aca="false">IF($A2716="","",IF($AE2716&amp;""&lt;&gt;設定!$C$4,"対象外",IF($AH2716=20,IF(OR($AJ2716=10,$AJ2716=11,$AJ2716=18),"①病院一般",IF($AJ2716=41,"②病院短期","対象外")),IF($AH2716=5,IF($AJ2716=30,"③特定消防","対象外"),IF(OR($AJ2716=10,$AJ2716=11,$AJ2716=74),"④一般",IF(OR($AJ2716=41,$AJ2716=47),"⑤短期","対象外"))))))</f>
        <v/>
      </c>
    </row>
    <row r="2717" customFormat="false" ht="15" hidden="false" customHeight="false" outlineLevel="0" collapsed="false">
      <c r="DB2717" s="0" t="str">
        <f aca="false">IF($A2717="","",IF($AE2717&amp;""&lt;&gt;設定!$C$4,"対象外",IF($AH2717=20,IF(OR($AJ2717=10,$AJ2717=11,$AJ2717=18),"①病院一般",IF($AJ2717=41,"②病院短期","対象外")),IF($AH2717=5,IF($AJ2717=30,"③特定消防","対象外"),IF(OR($AJ2717=10,$AJ2717=11,$AJ2717=74),"④一般",IF(OR($AJ2717=41,$AJ2717=47),"⑤短期","対象外"))))))</f>
        <v/>
      </c>
    </row>
    <row r="2718" customFormat="false" ht="15" hidden="false" customHeight="false" outlineLevel="0" collapsed="false">
      <c r="DB2718" s="0" t="str">
        <f aca="false">IF($A2718="","",IF($AE2718&amp;""&lt;&gt;設定!$C$4,"対象外",IF($AH2718=20,IF(OR($AJ2718=10,$AJ2718=11,$AJ2718=18),"①病院一般",IF($AJ2718=41,"②病院短期","対象外")),IF($AH2718=5,IF($AJ2718=30,"③特定消防","対象外"),IF(OR($AJ2718=10,$AJ2718=11,$AJ2718=74),"④一般",IF(OR($AJ2718=41,$AJ2718=47),"⑤短期","対象外"))))))</f>
        <v/>
      </c>
    </row>
    <row r="2719" customFormat="false" ht="15" hidden="false" customHeight="false" outlineLevel="0" collapsed="false">
      <c r="DB2719" s="0" t="str">
        <f aca="false">IF($A2719="","",IF($AE2719&amp;""&lt;&gt;設定!$C$4,"対象外",IF($AH2719=20,IF(OR($AJ2719=10,$AJ2719=11,$AJ2719=18),"①病院一般",IF($AJ2719=41,"②病院短期","対象外")),IF($AH2719=5,IF($AJ2719=30,"③特定消防","対象外"),IF(OR($AJ2719=10,$AJ2719=11,$AJ2719=74),"④一般",IF(OR($AJ2719=41,$AJ2719=47),"⑤短期","対象外"))))))</f>
        <v/>
      </c>
    </row>
    <row r="2720" customFormat="false" ht="15" hidden="false" customHeight="false" outlineLevel="0" collapsed="false">
      <c r="DB2720" s="0" t="str">
        <f aca="false">IF($A2720="","",IF($AE2720&amp;""&lt;&gt;設定!$C$4,"対象外",IF($AH2720=20,IF(OR($AJ2720=10,$AJ2720=11,$AJ2720=18),"①病院一般",IF($AJ2720=41,"②病院短期","対象外")),IF($AH2720=5,IF($AJ2720=30,"③特定消防","対象外"),IF(OR($AJ2720=10,$AJ2720=11,$AJ2720=74),"④一般",IF(OR($AJ2720=41,$AJ2720=47),"⑤短期","対象外"))))))</f>
        <v/>
      </c>
    </row>
    <row r="2721" customFormat="false" ht="15" hidden="false" customHeight="false" outlineLevel="0" collapsed="false">
      <c r="DB2721" s="0" t="str">
        <f aca="false">IF($A2721="","",IF($AE2721&amp;""&lt;&gt;設定!$C$4,"対象外",IF($AH2721=20,IF(OR($AJ2721=10,$AJ2721=11,$AJ2721=18),"①病院一般",IF($AJ2721=41,"②病院短期","対象外")),IF($AH2721=5,IF($AJ2721=30,"③特定消防","対象外"),IF(OR($AJ2721=10,$AJ2721=11,$AJ2721=74),"④一般",IF(OR($AJ2721=41,$AJ2721=47),"⑤短期","対象外"))))))</f>
        <v/>
      </c>
    </row>
    <row r="2722" customFormat="false" ht="15" hidden="false" customHeight="false" outlineLevel="0" collapsed="false">
      <c r="DB2722" s="0" t="str">
        <f aca="false">IF($A2722="","",IF($AE2722&amp;""&lt;&gt;設定!$C$4,"対象外",IF($AH2722=20,IF(OR($AJ2722=10,$AJ2722=11,$AJ2722=18),"①病院一般",IF($AJ2722=41,"②病院短期","対象外")),IF($AH2722=5,IF($AJ2722=30,"③特定消防","対象外"),IF(OR($AJ2722=10,$AJ2722=11,$AJ2722=74),"④一般",IF(OR($AJ2722=41,$AJ2722=47),"⑤短期","対象外"))))))</f>
        <v/>
      </c>
    </row>
    <row r="2723" customFormat="false" ht="15" hidden="false" customHeight="false" outlineLevel="0" collapsed="false">
      <c r="DB2723" s="0" t="str">
        <f aca="false">IF($A2723="","",IF($AE2723&amp;""&lt;&gt;設定!$C$4,"対象外",IF($AH2723=20,IF(OR($AJ2723=10,$AJ2723=11,$AJ2723=18),"①病院一般",IF($AJ2723=41,"②病院短期","対象外")),IF($AH2723=5,IF($AJ2723=30,"③特定消防","対象外"),IF(OR($AJ2723=10,$AJ2723=11,$AJ2723=74),"④一般",IF(OR($AJ2723=41,$AJ2723=47),"⑤短期","対象外"))))))</f>
        <v/>
      </c>
    </row>
    <row r="2724" customFormat="false" ht="15" hidden="false" customHeight="false" outlineLevel="0" collapsed="false">
      <c r="DB2724" s="0" t="str">
        <f aca="false">IF($A2724="","",IF($AE2724&amp;""&lt;&gt;設定!$C$4,"対象外",IF($AH2724=20,IF(OR($AJ2724=10,$AJ2724=11,$AJ2724=18),"①病院一般",IF($AJ2724=41,"②病院短期","対象外")),IF($AH2724=5,IF($AJ2724=30,"③特定消防","対象外"),IF(OR($AJ2724=10,$AJ2724=11,$AJ2724=74),"④一般",IF(OR($AJ2724=41,$AJ2724=47),"⑤短期","対象外"))))))</f>
        <v/>
      </c>
    </row>
    <row r="2725" customFormat="false" ht="15" hidden="false" customHeight="false" outlineLevel="0" collapsed="false">
      <c r="DB2725" s="0" t="str">
        <f aca="false">IF($A2725="","",IF($AE2725&amp;""&lt;&gt;設定!$C$4,"対象外",IF($AH2725=20,IF(OR($AJ2725=10,$AJ2725=11,$AJ2725=18),"①病院一般",IF($AJ2725=41,"②病院短期","対象外")),IF($AH2725=5,IF($AJ2725=30,"③特定消防","対象外"),IF(OR($AJ2725=10,$AJ2725=11,$AJ2725=74),"④一般",IF(OR($AJ2725=41,$AJ2725=47),"⑤短期","対象外"))))))</f>
        <v/>
      </c>
    </row>
    <row r="2726" customFormat="false" ht="15" hidden="false" customHeight="false" outlineLevel="0" collapsed="false">
      <c r="DB2726" s="0" t="str">
        <f aca="false">IF($A2726="","",IF($AE2726&amp;""&lt;&gt;設定!$C$4,"対象外",IF($AH2726=20,IF(OR($AJ2726=10,$AJ2726=11,$AJ2726=18),"①病院一般",IF($AJ2726=41,"②病院短期","対象外")),IF($AH2726=5,IF($AJ2726=30,"③特定消防","対象外"),IF(OR($AJ2726=10,$AJ2726=11,$AJ2726=74),"④一般",IF(OR($AJ2726=41,$AJ2726=47),"⑤短期","対象外"))))))</f>
        <v/>
      </c>
    </row>
    <row r="2727" customFormat="false" ht="15" hidden="false" customHeight="false" outlineLevel="0" collapsed="false">
      <c r="DB2727" s="0" t="str">
        <f aca="false">IF($A2727="","",IF($AE2727&amp;""&lt;&gt;設定!$C$4,"対象外",IF($AH2727=20,IF(OR($AJ2727=10,$AJ2727=11,$AJ2727=18),"①病院一般",IF($AJ2727=41,"②病院短期","対象外")),IF($AH2727=5,IF($AJ2727=30,"③特定消防","対象外"),IF(OR($AJ2727=10,$AJ2727=11,$AJ2727=74),"④一般",IF(OR($AJ2727=41,$AJ2727=47),"⑤短期","対象外"))))))</f>
        <v/>
      </c>
    </row>
    <row r="2728" customFormat="false" ht="15" hidden="false" customHeight="false" outlineLevel="0" collapsed="false">
      <c r="DB2728" s="0" t="str">
        <f aca="false">IF($A2728="","",IF($AE2728&amp;""&lt;&gt;設定!$C$4,"対象外",IF($AH2728=20,IF(OR($AJ2728=10,$AJ2728=11,$AJ2728=18),"①病院一般",IF($AJ2728=41,"②病院短期","対象外")),IF($AH2728=5,IF($AJ2728=30,"③特定消防","対象外"),IF(OR($AJ2728=10,$AJ2728=11,$AJ2728=74),"④一般",IF(OR($AJ2728=41,$AJ2728=47),"⑤短期","対象外"))))))</f>
        <v/>
      </c>
    </row>
    <row r="2729" customFormat="false" ht="15" hidden="false" customHeight="false" outlineLevel="0" collapsed="false">
      <c r="DB2729" s="0" t="str">
        <f aca="false">IF($A2729="","",IF($AE2729&amp;""&lt;&gt;設定!$C$4,"対象外",IF($AH2729=20,IF(OR($AJ2729=10,$AJ2729=11,$AJ2729=18),"①病院一般",IF($AJ2729=41,"②病院短期","対象外")),IF($AH2729=5,IF($AJ2729=30,"③特定消防","対象外"),IF(OR($AJ2729=10,$AJ2729=11,$AJ2729=74),"④一般",IF(OR($AJ2729=41,$AJ2729=47),"⑤短期","対象外"))))))</f>
        <v/>
      </c>
    </row>
    <row r="2730" customFormat="false" ht="15" hidden="false" customHeight="false" outlineLevel="0" collapsed="false">
      <c r="DB2730" s="0" t="str">
        <f aca="false">IF($A2730="","",IF($AE2730&amp;""&lt;&gt;設定!$C$4,"対象外",IF($AH2730=20,IF(OR($AJ2730=10,$AJ2730=11,$AJ2730=18),"①病院一般",IF($AJ2730=41,"②病院短期","対象外")),IF($AH2730=5,IF($AJ2730=30,"③特定消防","対象外"),IF(OR($AJ2730=10,$AJ2730=11,$AJ2730=74),"④一般",IF(OR($AJ2730=41,$AJ2730=47),"⑤短期","対象外"))))))</f>
        <v/>
      </c>
    </row>
    <row r="2731" customFormat="false" ht="15" hidden="false" customHeight="false" outlineLevel="0" collapsed="false">
      <c r="DB2731" s="0" t="str">
        <f aca="false">IF($A2731="","",IF($AE2731&amp;""&lt;&gt;設定!$C$4,"対象外",IF($AH2731=20,IF(OR($AJ2731=10,$AJ2731=11,$AJ2731=18),"①病院一般",IF($AJ2731=41,"②病院短期","対象外")),IF($AH2731=5,IF($AJ2731=30,"③特定消防","対象外"),IF(OR($AJ2731=10,$AJ2731=11,$AJ2731=74),"④一般",IF(OR($AJ2731=41,$AJ2731=47),"⑤短期","対象外"))))))</f>
        <v/>
      </c>
    </row>
    <row r="2732" customFormat="false" ht="15" hidden="false" customHeight="false" outlineLevel="0" collapsed="false">
      <c r="DB2732" s="0" t="str">
        <f aca="false">IF($A2732="","",IF($AE2732&amp;""&lt;&gt;設定!$C$4,"対象外",IF($AH2732=20,IF(OR($AJ2732=10,$AJ2732=11,$AJ2732=18),"①病院一般",IF($AJ2732=41,"②病院短期","対象外")),IF($AH2732=5,IF($AJ2732=30,"③特定消防","対象外"),IF(OR($AJ2732=10,$AJ2732=11,$AJ2732=74),"④一般",IF(OR($AJ2732=41,$AJ2732=47),"⑤短期","対象外"))))))</f>
        <v/>
      </c>
    </row>
    <row r="2733" customFormat="false" ht="15" hidden="false" customHeight="false" outlineLevel="0" collapsed="false">
      <c r="DB2733" s="0" t="str">
        <f aca="false">IF($A2733="","",IF($AE2733&amp;""&lt;&gt;設定!$C$4,"対象外",IF($AH2733=20,IF(OR($AJ2733=10,$AJ2733=11,$AJ2733=18),"①病院一般",IF($AJ2733=41,"②病院短期","対象外")),IF($AH2733=5,IF($AJ2733=30,"③特定消防","対象外"),IF(OR($AJ2733=10,$AJ2733=11,$AJ2733=74),"④一般",IF(OR($AJ2733=41,$AJ2733=47),"⑤短期","対象外"))))))</f>
        <v/>
      </c>
    </row>
    <row r="2734" customFormat="false" ht="15" hidden="false" customHeight="false" outlineLevel="0" collapsed="false">
      <c r="DB2734" s="0" t="str">
        <f aca="false">IF($A2734="","",IF($AE2734&amp;""&lt;&gt;設定!$C$4,"対象外",IF($AH2734=20,IF(OR($AJ2734=10,$AJ2734=11,$AJ2734=18),"①病院一般",IF($AJ2734=41,"②病院短期","対象外")),IF($AH2734=5,IF($AJ2734=30,"③特定消防","対象外"),IF(OR($AJ2734=10,$AJ2734=11,$AJ2734=74),"④一般",IF(OR($AJ2734=41,$AJ2734=47),"⑤短期","対象外"))))))</f>
        <v/>
      </c>
    </row>
    <row r="2735" customFormat="false" ht="15" hidden="false" customHeight="false" outlineLevel="0" collapsed="false">
      <c r="DB2735" s="0" t="str">
        <f aca="false">IF($A2735="","",IF($AE2735&amp;""&lt;&gt;設定!$C$4,"対象外",IF($AH2735=20,IF(OR($AJ2735=10,$AJ2735=11,$AJ2735=18),"①病院一般",IF($AJ2735=41,"②病院短期","対象外")),IF($AH2735=5,IF($AJ2735=30,"③特定消防","対象外"),IF(OR($AJ2735=10,$AJ2735=11,$AJ2735=74),"④一般",IF(OR($AJ2735=41,$AJ2735=47),"⑤短期","対象外"))))))</f>
        <v/>
      </c>
    </row>
    <row r="2736" customFormat="false" ht="15" hidden="false" customHeight="false" outlineLevel="0" collapsed="false">
      <c r="DB2736" s="0" t="str">
        <f aca="false">IF($A2736="","",IF($AE2736&amp;""&lt;&gt;設定!$C$4,"対象外",IF($AH2736=20,IF(OR($AJ2736=10,$AJ2736=11,$AJ2736=18),"①病院一般",IF($AJ2736=41,"②病院短期","対象外")),IF($AH2736=5,IF($AJ2736=30,"③特定消防","対象外"),IF(OR($AJ2736=10,$AJ2736=11,$AJ2736=74),"④一般",IF(OR($AJ2736=41,$AJ2736=47),"⑤短期","対象外"))))))</f>
        <v/>
      </c>
    </row>
    <row r="2737" customFormat="false" ht="15" hidden="false" customHeight="false" outlineLevel="0" collapsed="false">
      <c r="DB2737" s="0" t="str">
        <f aca="false">IF($A2737="","",IF($AE2737&amp;""&lt;&gt;設定!$C$4,"対象外",IF($AH2737=20,IF(OR($AJ2737=10,$AJ2737=11,$AJ2737=18),"①病院一般",IF($AJ2737=41,"②病院短期","対象外")),IF($AH2737=5,IF($AJ2737=30,"③特定消防","対象外"),IF(OR($AJ2737=10,$AJ2737=11,$AJ2737=74),"④一般",IF(OR($AJ2737=41,$AJ2737=47),"⑤短期","対象外"))))))</f>
        <v/>
      </c>
    </row>
    <row r="2738" customFormat="false" ht="15" hidden="false" customHeight="false" outlineLevel="0" collapsed="false">
      <c r="DB2738" s="0" t="str">
        <f aca="false">IF($A2738="","",IF($AE2738&amp;""&lt;&gt;設定!$C$4,"対象外",IF($AH2738=20,IF(OR($AJ2738=10,$AJ2738=11,$AJ2738=18),"①病院一般",IF($AJ2738=41,"②病院短期","対象外")),IF($AH2738=5,IF($AJ2738=30,"③特定消防","対象外"),IF(OR($AJ2738=10,$AJ2738=11,$AJ2738=74),"④一般",IF(OR($AJ2738=41,$AJ2738=47),"⑤短期","対象外"))))))</f>
        <v/>
      </c>
    </row>
    <row r="2739" customFormat="false" ht="15" hidden="false" customHeight="false" outlineLevel="0" collapsed="false">
      <c r="DB2739" s="0" t="str">
        <f aca="false">IF($A2739="","",IF($AE2739&amp;""&lt;&gt;設定!$C$4,"対象外",IF($AH2739=20,IF(OR($AJ2739=10,$AJ2739=11,$AJ2739=18),"①病院一般",IF($AJ2739=41,"②病院短期","対象外")),IF($AH2739=5,IF($AJ2739=30,"③特定消防","対象外"),IF(OR($AJ2739=10,$AJ2739=11,$AJ2739=74),"④一般",IF(OR($AJ2739=41,$AJ2739=47),"⑤短期","対象外"))))))</f>
        <v/>
      </c>
    </row>
    <row r="2740" customFormat="false" ht="15" hidden="false" customHeight="false" outlineLevel="0" collapsed="false">
      <c r="DB2740" s="0" t="str">
        <f aca="false">IF($A2740="","",IF($AE2740&amp;""&lt;&gt;設定!$C$4,"対象外",IF($AH2740=20,IF(OR($AJ2740=10,$AJ2740=11,$AJ2740=18),"①病院一般",IF($AJ2740=41,"②病院短期","対象外")),IF($AH2740=5,IF($AJ2740=30,"③特定消防","対象外"),IF(OR($AJ2740=10,$AJ2740=11,$AJ2740=74),"④一般",IF(OR($AJ2740=41,$AJ2740=47),"⑤短期","対象外"))))))</f>
        <v/>
      </c>
    </row>
    <row r="2741" customFormat="false" ht="15" hidden="false" customHeight="false" outlineLevel="0" collapsed="false">
      <c r="DB2741" s="0" t="str">
        <f aca="false">IF($A2741="","",IF($AE2741&amp;""&lt;&gt;設定!$C$4,"対象外",IF($AH2741=20,IF(OR($AJ2741=10,$AJ2741=11,$AJ2741=18),"①病院一般",IF($AJ2741=41,"②病院短期","対象外")),IF($AH2741=5,IF($AJ2741=30,"③特定消防","対象外"),IF(OR($AJ2741=10,$AJ2741=11,$AJ2741=74),"④一般",IF(OR($AJ2741=41,$AJ2741=47),"⑤短期","対象外"))))))</f>
        <v/>
      </c>
    </row>
    <row r="2742" customFormat="false" ht="15" hidden="false" customHeight="false" outlineLevel="0" collapsed="false">
      <c r="DB2742" s="0" t="str">
        <f aca="false">IF($A2742="","",IF($AE2742&amp;""&lt;&gt;設定!$C$4,"対象外",IF($AH2742=20,IF(OR($AJ2742=10,$AJ2742=11,$AJ2742=18),"①病院一般",IF($AJ2742=41,"②病院短期","対象外")),IF($AH2742=5,IF($AJ2742=30,"③特定消防","対象外"),IF(OR($AJ2742=10,$AJ2742=11,$AJ2742=74),"④一般",IF(OR($AJ2742=41,$AJ2742=47),"⑤短期","対象外"))))))</f>
        <v/>
      </c>
    </row>
    <row r="2743" customFormat="false" ht="15" hidden="false" customHeight="false" outlineLevel="0" collapsed="false">
      <c r="DB2743" s="0" t="str">
        <f aca="false">IF($A2743="","",IF($AE2743&amp;""&lt;&gt;設定!$C$4,"対象外",IF($AH2743=20,IF(OR($AJ2743=10,$AJ2743=11,$AJ2743=18),"①病院一般",IF($AJ2743=41,"②病院短期","対象外")),IF($AH2743=5,IF($AJ2743=30,"③特定消防","対象外"),IF(OR($AJ2743=10,$AJ2743=11,$AJ2743=74),"④一般",IF(OR($AJ2743=41,$AJ2743=47),"⑤短期","対象外"))))))</f>
        <v/>
      </c>
    </row>
    <row r="2744" customFormat="false" ht="15" hidden="false" customHeight="false" outlineLevel="0" collapsed="false">
      <c r="DB2744" s="0" t="str">
        <f aca="false">IF($A2744="","",IF($AE2744&amp;""&lt;&gt;設定!$C$4,"対象外",IF($AH2744=20,IF(OR($AJ2744=10,$AJ2744=11,$AJ2744=18),"①病院一般",IF($AJ2744=41,"②病院短期","対象外")),IF($AH2744=5,IF($AJ2744=30,"③特定消防","対象外"),IF(OR($AJ2744=10,$AJ2744=11,$AJ2744=74),"④一般",IF(OR($AJ2744=41,$AJ2744=47),"⑤短期","対象外"))))))</f>
        <v/>
      </c>
    </row>
    <row r="2745" customFormat="false" ht="15" hidden="false" customHeight="false" outlineLevel="0" collapsed="false">
      <c r="DB2745" s="0" t="str">
        <f aca="false">IF($A2745="","",IF($AE2745&amp;""&lt;&gt;設定!$C$4,"対象外",IF($AH2745=20,IF(OR($AJ2745=10,$AJ2745=11,$AJ2745=18),"①病院一般",IF($AJ2745=41,"②病院短期","対象外")),IF($AH2745=5,IF($AJ2745=30,"③特定消防","対象外"),IF(OR($AJ2745=10,$AJ2745=11,$AJ2745=74),"④一般",IF(OR($AJ2745=41,$AJ2745=47),"⑤短期","対象外"))))))</f>
        <v/>
      </c>
    </row>
    <row r="2746" customFormat="false" ht="15" hidden="false" customHeight="false" outlineLevel="0" collapsed="false">
      <c r="DB2746" s="0" t="str">
        <f aca="false">IF($A2746="","",IF($AE2746&amp;""&lt;&gt;設定!$C$4,"対象外",IF($AH2746=20,IF(OR($AJ2746=10,$AJ2746=11,$AJ2746=18),"①病院一般",IF($AJ2746=41,"②病院短期","対象外")),IF($AH2746=5,IF($AJ2746=30,"③特定消防","対象外"),IF(OR($AJ2746=10,$AJ2746=11,$AJ2746=74),"④一般",IF(OR($AJ2746=41,$AJ2746=47),"⑤短期","対象外"))))))</f>
        <v/>
      </c>
    </row>
    <row r="2747" customFormat="false" ht="15" hidden="false" customHeight="false" outlineLevel="0" collapsed="false">
      <c r="DB2747" s="0" t="str">
        <f aca="false">IF($A2747="","",IF($AE2747&amp;""&lt;&gt;設定!$C$4,"対象外",IF($AH2747=20,IF(OR($AJ2747=10,$AJ2747=11,$AJ2747=18),"①病院一般",IF($AJ2747=41,"②病院短期","対象外")),IF($AH2747=5,IF($AJ2747=30,"③特定消防","対象外"),IF(OR($AJ2747=10,$AJ2747=11,$AJ2747=74),"④一般",IF(OR($AJ2747=41,$AJ2747=47),"⑤短期","対象外"))))))</f>
        <v/>
      </c>
    </row>
    <row r="2748" customFormat="false" ht="15" hidden="false" customHeight="false" outlineLevel="0" collapsed="false">
      <c r="DB2748" s="0" t="str">
        <f aca="false">IF($A2748="","",IF($AE2748&amp;""&lt;&gt;設定!$C$4,"対象外",IF($AH2748=20,IF(OR($AJ2748=10,$AJ2748=11,$AJ2748=18),"①病院一般",IF($AJ2748=41,"②病院短期","対象外")),IF($AH2748=5,IF($AJ2748=30,"③特定消防","対象外"),IF(OR($AJ2748=10,$AJ2748=11,$AJ2748=74),"④一般",IF(OR($AJ2748=41,$AJ2748=47),"⑤短期","対象外"))))))</f>
        <v/>
      </c>
    </row>
    <row r="2749" customFormat="false" ht="15" hidden="false" customHeight="false" outlineLevel="0" collapsed="false">
      <c r="DB2749" s="0" t="str">
        <f aca="false">IF($A2749="","",IF($AE2749&amp;""&lt;&gt;設定!$C$4,"対象外",IF($AH2749=20,IF(OR($AJ2749=10,$AJ2749=11,$AJ2749=18),"①病院一般",IF($AJ2749=41,"②病院短期","対象外")),IF($AH2749=5,IF($AJ2749=30,"③特定消防","対象外"),IF(OR($AJ2749=10,$AJ2749=11,$AJ2749=74),"④一般",IF(OR($AJ2749=41,$AJ2749=47),"⑤短期","対象外"))))))</f>
        <v/>
      </c>
    </row>
    <row r="2750" customFormat="false" ht="15" hidden="false" customHeight="false" outlineLevel="0" collapsed="false">
      <c r="DB2750" s="0" t="str">
        <f aca="false">IF($A2750="","",IF($AE2750&amp;""&lt;&gt;設定!$C$4,"対象外",IF($AH2750=20,IF(OR($AJ2750=10,$AJ2750=11,$AJ2750=18),"①病院一般",IF($AJ2750=41,"②病院短期","対象外")),IF($AH2750=5,IF($AJ2750=30,"③特定消防","対象外"),IF(OR($AJ2750=10,$AJ2750=11,$AJ2750=74),"④一般",IF(OR($AJ2750=41,$AJ2750=47),"⑤短期","対象外"))))))</f>
        <v/>
      </c>
    </row>
    <row r="2751" customFormat="false" ht="15" hidden="false" customHeight="false" outlineLevel="0" collapsed="false">
      <c r="DB2751" s="0" t="str">
        <f aca="false">IF($A2751="","",IF($AE2751&amp;""&lt;&gt;設定!$C$4,"対象外",IF($AH2751=20,IF(OR($AJ2751=10,$AJ2751=11,$AJ2751=18),"①病院一般",IF($AJ2751=41,"②病院短期","対象外")),IF($AH2751=5,IF($AJ2751=30,"③特定消防","対象外"),IF(OR($AJ2751=10,$AJ2751=11,$AJ2751=74),"④一般",IF(OR($AJ2751=41,$AJ2751=47),"⑤短期","対象外"))))))</f>
        <v/>
      </c>
    </row>
    <row r="2752" customFormat="false" ht="15" hidden="false" customHeight="false" outlineLevel="0" collapsed="false">
      <c r="DB2752" s="0" t="str">
        <f aca="false">IF($A2752="","",IF($AE2752&amp;""&lt;&gt;設定!$C$4,"対象外",IF($AH2752=20,IF(OR($AJ2752=10,$AJ2752=11,$AJ2752=18),"①病院一般",IF($AJ2752=41,"②病院短期","対象外")),IF($AH2752=5,IF($AJ2752=30,"③特定消防","対象外"),IF(OR($AJ2752=10,$AJ2752=11,$AJ2752=74),"④一般",IF(OR($AJ2752=41,$AJ2752=47),"⑤短期","対象外"))))))</f>
        <v/>
      </c>
    </row>
    <row r="2753" customFormat="false" ht="15" hidden="false" customHeight="false" outlineLevel="0" collapsed="false">
      <c r="DB2753" s="0" t="str">
        <f aca="false">IF($A2753="","",IF($AE2753&amp;""&lt;&gt;設定!$C$4,"対象外",IF($AH2753=20,IF(OR($AJ2753=10,$AJ2753=11,$AJ2753=18),"①病院一般",IF($AJ2753=41,"②病院短期","対象外")),IF($AH2753=5,IF($AJ2753=30,"③特定消防","対象外"),IF(OR($AJ2753=10,$AJ2753=11,$AJ2753=74),"④一般",IF(OR($AJ2753=41,$AJ2753=47),"⑤短期","対象外"))))))</f>
        <v/>
      </c>
    </row>
    <row r="2754" customFormat="false" ht="15" hidden="false" customHeight="false" outlineLevel="0" collapsed="false">
      <c r="DB2754" s="0" t="str">
        <f aca="false">IF($A2754="","",IF($AE2754&amp;""&lt;&gt;設定!$C$4,"対象外",IF($AH2754=20,IF(OR($AJ2754=10,$AJ2754=11,$AJ2754=18),"①病院一般",IF($AJ2754=41,"②病院短期","対象外")),IF($AH2754=5,IF($AJ2754=30,"③特定消防","対象外"),IF(OR($AJ2754=10,$AJ2754=11,$AJ2754=74),"④一般",IF(OR($AJ2754=41,$AJ2754=47),"⑤短期","対象外"))))))</f>
        <v/>
      </c>
    </row>
    <row r="2755" customFormat="false" ht="15" hidden="false" customHeight="false" outlineLevel="0" collapsed="false">
      <c r="DB2755" s="0" t="str">
        <f aca="false">IF($A2755="","",IF($AE2755&amp;""&lt;&gt;設定!$C$4,"対象外",IF($AH2755=20,IF(OR($AJ2755=10,$AJ2755=11,$AJ2755=18),"①病院一般",IF($AJ2755=41,"②病院短期","対象外")),IF($AH2755=5,IF($AJ2755=30,"③特定消防","対象外"),IF(OR($AJ2755=10,$AJ2755=11,$AJ2755=74),"④一般",IF(OR($AJ2755=41,$AJ2755=47),"⑤短期","対象外"))))))</f>
        <v/>
      </c>
    </row>
    <row r="2756" customFormat="false" ht="15" hidden="false" customHeight="false" outlineLevel="0" collapsed="false">
      <c r="DB2756" s="0" t="str">
        <f aca="false">IF($A2756="","",IF($AE2756&amp;""&lt;&gt;設定!$C$4,"対象外",IF($AH2756=20,IF(OR($AJ2756=10,$AJ2756=11,$AJ2756=18),"①病院一般",IF($AJ2756=41,"②病院短期","対象外")),IF($AH2756=5,IF($AJ2756=30,"③特定消防","対象外"),IF(OR($AJ2756=10,$AJ2756=11,$AJ2756=74),"④一般",IF(OR($AJ2756=41,$AJ2756=47),"⑤短期","対象外"))))))</f>
        <v/>
      </c>
    </row>
    <row r="2757" customFormat="false" ht="15" hidden="false" customHeight="false" outlineLevel="0" collapsed="false">
      <c r="DB2757" s="0" t="str">
        <f aca="false">IF($A2757="","",IF($AE2757&amp;""&lt;&gt;設定!$C$4,"対象外",IF($AH2757=20,IF(OR($AJ2757=10,$AJ2757=11,$AJ2757=18),"①病院一般",IF($AJ2757=41,"②病院短期","対象外")),IF($AH2757=5,IF($AJ2757=30,"③特定消防","対象外"),IF(OR($AJ2757=10,$AJ2757=11,$AJ2757=74),"④一般",IF(OR($AJ2757=41,$AJ2757=47),"⑤短期","対象外"))))))</f>
        <v/>
      </c>
    </row>
    <row r="2758" customFormat="false" ht="15" hidden="false" customHeight="false" outlineLevel="0" collapsed="false">
      <c r="DB2758" s="0" t="str">
        <f aca="false">IF($A2758="","",IF($AE2758&amp;""&lt;&gt;設定!$C$4,"対象外",IF($AH2758=20,IF(OR($AJ2758=10,$AJ2758=11,$AJ2758=18),"①病院一般",IF($AJ2758=41,"②病院短期","対象外")),IF($AH2758=5,IF($AJ2758=30,"③特定消防","対象外"),IF(OR($AJ2758=10,$AJ2758=11,$AJ2758=74),"④一般",IF(OR($AJ2758=41,$AJ2758=47),"⑤短期","対象外"))))))</f>
        <v/>
      </c>
    </row>
    <row r="2759" customFormat="false" ht="15" hidden="false" customHeight="false" outlineLevel="0" collapsed="false">
      <c r="DB2759" s="0" t="str">
        <f aca="false">IF($A2759="","",IF($AE2759&amp;""&lt;&gt;設定!$C$4,"対象外",IF($AH2759=20,IF(OR($AJ2759=10,$AJ2759=11,$AJ2759=18),"①病院一般",IF($AJ2759=41,"②病院短期","対象外")),IF($AH2759=5,IF($AJ2759=30,"③特定消防","対象外"),IF(OR($AJ2759=10,$AJ2759=11,$AJ2759=74),"④一般",IF(OR($AJ2759=41,$AJ2759=47),"⑤短期","対象外"))))))</f>
        <v/>
      </c>
    </row>
    <row r="2760" customFormat="false" ht="15" hidden="false" customHeight="false" outlineLevel="0" collapsed="false">
      <c r="DB2760" s="0" t="str">
        <f aca="false">IF($A2760="","",IF($AE2760&amp;""&lt;&gt;設定!$C$4,"対象外",IF($AH2760=20,IF(OR($AJ2760=10,$AJ2760=11,$AJ2760=18),"①病院一般",IF($AJ2760=41,"②病院短期","対象外")),IF($AH2760=5,IF($AJ2760=30,"③特定消防","対象外"),IF(OR($AJ2760=10,$AJ2760=11,$AJ2760=74),"④一般",IF(OR($AJ2760=41,$AJ2760=47),"⑤短期","対象外"))))))</f>
        <v/>
      </c>
    </row>
    <row r="2761" customFormat="false" ht="15" hidden="false" customHeight="false" outlineLevel="0" collapsed="false">
      <c r="DB2761" s="0" t="str">
        <f aca="false">IF($A2761="","",IF($AE2761&amp;""&lt;&gt;設定!$C$4,"対象外",IF($AH2761=20,IF(OR($AJ2761=10,$AJ2761=11,$AJ2761=18),"①病院一般",IF($AJ2761=41,"②病院短期","対象外")),IF($AH2761=5,IF($AJ2761=30,"③特定消防","対象外"),IF(OR($AJ2761=10,$AJ2761=11,$AJ2761=74),"④一般",IF(OR($AJ2761=41,$AJ2761=47),"⑤短期","対象外"))))))</f>
        <v/>
      </c>
    </row>
    <row r="2762" customFormat="false" ht="15" hidden="false" customHeight="false" outlineLevel="0" collapsed="false">
      <c r="DB2762" s="0" t="str">
        <f aca="false">IF($A2762="","",IF($AE2762&amp;""&lt;&gt;設定!$C$4,"対象外",IF($AH2762=20,IF(OR($AJ2762=10,$AJ2762=11,$AJ2762=18),"①病院一般",IF($AJ2762=41,"②病院短期","対象外")),IF($AH2762=5,IF($AJ2762=30,"③特定消防","対象外"),IF(OR($AJ2762=10,$AJ2762=11,$AJ2762=74),"④一般",IF(OR($AJ2762=41,$AJ2762=47),"⑤短期","対象外"))))))</f>
        <v/>
      </c>
    </row>
    <row r="2763" customFormat="false" ht="15" hidden="false" customHeight="false" outlineLevel="0" collapsed="false">
      <c r="DB2763" s="0" t="str">
        <f aca="false">IF($A2763="","",IF($AE2763&amp;""&lt;&gt;設定!$C$4,"対象外",IF($AH2763=20,IF(OR($AJ2763=10,$AJ2763=11,$AJ2763=18),"①病院一般",IF($AJ2763=41,"②病院短期","対象外")),IF($AH2763=5,IF($AJ2763=30,"③特定消防","対象外"),IF(OR($AJ2763=10,$AJ2763=11,$AJ2763=74),"④一般",IF(OR($AJ2763=41,$AJ2763=47),"⑤短期","対象外"))))))</f>
        <v/>
      </c>
    </row>
    <row r="2764" customFormat="false" ht="15" hidden="false" customHeight="false" outlineLevel="0" collapsed="false">
      <c r="DB2764" s="0" t="str">
        <f aca="false">IF($A2764="","",IF($AE2764&amp;""&lt;&gt;設定!$C$4,"対象外",IF($AH2764=20,IF(OR($AJ2764=10,$AJ2764=11,$AJ2764=18),"①病院一般",IF($AJ2764=41,"②病院短期","対象外")),IF($AH2764=5,IF($AJ2764=30,"③特定消防","対象外"),IF(OR($AJ2764=10,$AJ2764=11,$AJ2764=74),"④一般",IF(OR($AJ2764=41,$AJ2764=47),"⑤短期","対象外"))))))</f>
        <v/>
      </c>
    </row>
    <row r="2765" customFormat="false" ht="15" hidden="false" customHeight="false" outlineLevel="0" collapsed="false">
      <c r="DB2765" s="0" t="str">
        <f aca="false">IF($A2765="","",IF($AE2765&amp;""&lt;&gt;設定!$C$4,"対象外",IF($AH2765=20,IF(OR($AJ2765=10,$AJ2765=11,$AJ2765=18),"①病院一般",IF($AJ2765=41,"②病院短期","対象外")),IF($AH2765=5,IF($AJ2765=30,"③特定消防","対象外"),IF(OR($AJ2765=10,$AJ2765=11,$AJ2765=74),"④一般",IF(OR($AJ2765=41,$AJ2765=47),"⑤短期","対象外"))))))</f>
        <v/>
      </c>
    </row>
    <row r="2766" customFormat="false" ht="15" hidden="false" customHeight="false" outlineLevel="0" collapsed="false">
      <c r="DB2766" s="0" t="str">
        <f aca="false">IF($A2766="","",IF($AE2766&amp;""&lt;&gt;設定!$C$4,"対象外",IF($AH2766=20,IF(OR($AJ2766=10,$AJ2766=11,$AJ2766=18),"①病院一般",IF($AJ2766=41,"②病院短期","対象外")),IF($AH2766=5,IF($AJ2766=30,"③特定消防","対象外"),IF(OR($AJ2766=10,$AJ2766=11,$AJ2766=74),"④一般",IF(OR($AJ2766=41,$AJ2766=47),"⑤短期","対象外"))))))</f>
        <v/>
      </c>
    </row>
    <row r="2767" customFormat="false" ht="15" hidden="false" customHeight="false" outlineLevel="0" collapsed="false">
      <c r="DB2767" s="0" t="str">
        <f aca="false">IF($A2767="","",IF($AE2767&amp;""&lt;&gt;設定!$C$4,"対象外",IF($AH2767=20,IF(OR($AJ2767=10,$AJ2767=11,$AJ2767=18),"①病院一般",IF($AJ2767=41,"②病院短期","対象外")),IF($AH2767=5,IF($AJ2767=30,"③特定消防","対象外"),IF(OR($AJ2767=10,$AJ2767=11,$AJ2767=74),"④一般",IF(OR($AJ2767=41,$AJ2767=47),"⑤短期","対象外"))))))</f>
        <v/>
      </c>
    </row>
    <row r="2768" customFormat="false" ht="15" hidden="false" customHeight="false" outlineLevel="0" collapsed="false">
      <c r="DB2768" s="0" t="str">
        <f aca="false">IF($A2768="","",IF($AE2768&amp;""&lt;&gt;設定!$C$4,"対象外",IF($AH2768=20,IF(OR($AJ2768=10,$AJ2768=11,$AJ2768=18),"①病院一般",IF($AJ2768=41,"②病院短期","対象外")),IF($AH2768=5,IF($AJ2768=30,"③特定消防","対象外"),IF(OR($AJ2768=10,$AJ2768=11,$AJ2768=74),"④一般",IF(OR($AJ2768=41,$AJ2768=47),"⑤短期","対象外"))))))</f>
        <v/>
      </c>
    </row>
    <row r="2769" customFormat="false" ht="15" hidden="false" customHeight="false" outlineLevel="0" collapsed="false">
      <c r="DB2769" s="0" t="str">
        <f aca="false">IF($A2769="","",IF($AE2769&amp;""&lt;&gt;設定!$C$4,"対象外",IF($AH2769=20,IF(OR($AJ2769=10,$AJ2769=11,$AJ2769=18),"①病院一般",IF($AJ2769=41,"②病院短期","対象外")),IF($AH2769=5,IF($AJ2769=30,"③特定消防","対象外"),IF(OR($AJ2769=10,$AJ2769=11,$AJ2769=74),"④一般",IF(OR($AJ2769=41,$AJ2769=47),"⑤短期","対象外"))))))</f>
        <v/>
      </c>
    </row>
    <row r="2770" customFormat="false" ht="15" hidden="false" customHeight="false" outlineLevel="0" collapsed="false">
      <c r="DB2770" s="0" t="str">
        <f aca="false">IF($A2770="","",IF($AE2770&amp;""&lt;&gt;設定!$C$4,"対象外",IF($AH2770=20,IF(OR($AJ2770=10,$AJ2770=11,$AJ2770=18),"①病院一般",IF($AJ2770=41,"②病院短期","対象外")),IF($AH2770=5,IF($AJ2770=30,"③特定消防","対象外"),IF(OR($AJ2770=10,$AJ2770=11,$AJ2770=74),"④一般",IF(OR($AJ2770=41,$AJ2770=47),"⑤短期","対象外"))))))</f>
        <v/>
      </c>
    </row>
    <row r="2771" customFormat="false" ht="15" hidden="false" customHeight="false" outlineLevel="0" collapsed="false">
      <c r="DB2771" s="0" t="str">
        <f aca="false">IF($A2771="","",IF($AE2771&amp;""&lt;&gt;設定!$C$4,"対象外",IF($AH2771=20,IF(OR($AJ2771=10,$AJ2771=11,$AJ2771=18),"①病院一般",IF($AJ2771=41,"②病院短期","対象外")),IF($AH2771=5,IF($AJ2771=30,"③特定消防","対象外"),IF(OR($AJ2771=10,$AJ2771=11,$AJ2771=74),"④一般",IF(OR($AJ2771=41,$AJ2771=47),"⑤短期","対象外"))))))</f>
        <v/>
      </c>
    </row>
    <row r="2772" customFormat="false" ht="15" hidden="false" customHeight="false" outlineLevel="0" collapsed="false">
      <c r="DB2772" s="0" t="str">
        <f aca="false">IF($A2772="","",IF($AE2772&amp;""&lt;&gt;設定!$C$4,"対象外",IF($AH2772=20,IF(OR($AJ2772=10,$AJ2772=11,$AJ2772=18),"①病院一般",IF($AJ2772=41,"②病院短期","対象外")),IF($AH2772=5,IF($AJ2772=30,"③特定消防","対象外"),IF(OR($AJ2772=10,$AJ2772=11,$AJ2772=74),"④一般",IF(OR($AJ2772=41,$AJ2772=47),"⑤短期","対象外"))))))</f>
        <v/>
      </c>
    </row>
    <row r="2773" customFormat="false" ht="15" hidden="false" customHeight="false" outlineLevel="0" collapsed="false">
      <c r="DB2773" s="0" t="str">
        <f aca="false">IF($A2773="","",IF($AE2773&amp;""&lt;&gt;設定!$C$4,"対象外",IF($AH2773=20,IF(OR($AJ2773=10,$AJ2773=11,$AJ2773=18),"①病院一般",IF($AJ2773=41,"②病院短期","対象外")),IF($AH2773=5,IF($AJ2773=30,"③特定消防","対象外"),IF(OR($AJ2773=10,$AJ2773=11,$AJ2773=74),"④一般",IF(OR($AJ2773=41,$AJ2773=47),"⑤短期","対象外"))))))</f>
        <v/>
      </c>
    </row>
    <row r="2774" customFormat="false" ht="15" hidden="false" customHeight="false" outlineLevel="0" collapsed="false">
      <c r="DB2774" s="0" t="str">
        <f aca="false">IF($A2774="","",IF($AE2774&amp;""&lt;&gt;設定!$C$4,"対象外",IF($AH2774=20,IF(OR($AJ2774=10,$AJ2774=11,$AJ2774=18),"①病院一般",IF($AJ2774=41,"②病院短期","対象外")),IF($AH2774=5,IF($AJ2774=30,"③特定消防","対象外"),IF(OR($AJ2774=10,$AJ2774=11,$AJ2774=74),"④一般",IF(OR($AJ2774=41,$AJ2774=47),"⑤短期","対象外"))))))</f>
        <v/>
      </c>
    </row>
    <row r="2775" customFormat="false" ht="15" hidden="false" customHeight="false" outlineLevel="0" collapsed="false">
      <c r="DB2775" s="0" t="str">
        <f aca="false">IF($A2775="","",IF($AE2775&amp;""&lt;&gt;設定!$C$4,"対象外",IF($AH2775=20,IF(OR($AJ2775=10,$AJ2775=11,$AJ2775=18),"①病院一般",IF($AJ2775=41,"②病院短期","対象外")),IF($AH2775=5,IF($AJ2775=30,"③特定消防","対象外"),IF(OR($AJ2775=10,$AJ2775=11,$AJ2775=74),"④一般",IF(OR($AJ2775=41,$AJ2775=47),"⑤短期","対象外"))))))</f>
        <v/>
      </c>
    </row>
    <row r="2776" customFormat="false" ht="15" hidden="false" customHeight="false" outlineLevel="0" collapsed="false">
      <c r="DB2776" s="0" t="str">
        <f aca="false">IF($A2776="","",IF($AE2776&amp;""&lt;&gt;設定!$C$4,"対象外",IF($AH2776=20,IF(OR($AJ2776=10,$AJ2776=11,$AJ2776=18),"①病院一般",IF($AJ2776=41,"②病院短期","対象外")),IF($AH2776=5,IF($AJ2776=30,"③特定消防","対象外"),IF(OR($AJ2776=10,$AJ2776=11,$AJ2776=74),"④一般",IF(OR($AJ2776=41,$AJ2776=47),"⑤短期","対象外"))))))</f>
        <v/>
      </c>
    </row>
    <row r="2777" customFormat="false" ht="15" hidden="false" customHeight="false" outlineLevel="0" collapsed="false">
      <c r="DB2777" s="0" t="str">
        <f aca="false">IF($A2777="","",IF($AE2777&amp;""&lt;&gt;設定!$C$4,"対象外",IF($AH2777=20,IF(OR($AJ2777=10,$AJ2777=11,$AJ2777=18),"①病院一般",IF($AJ2777=41,"②病院短期","対象外")),IF($AH2777=5,IF($AJ2777=30,"③特定消防","対象外"),IF(OR($AJ2777=10,$AJ2777=11,$AJ2777=74),"④一般",IF(OR($AJ2777=41,$AJ2777=47),"⑤短期","対象外"))))))</f>
        <v/>
      </c>
    </row>
    <row r="2778" customFormat="false" ht="15" hidden="false" customHeight="false" outlineLevel="0" collapsed="false">
      <c r="DB2778" s="0" t="str">
        <f aca="false">IF($A2778="","",IF($AE2778&amp;""&lt;&gt;設定!$C$4,"対象外",IF($AH2778=20,IF(OR($AJ2778=10,$AJ2778=11,$AJ2778=18),"①病院一般",IF($AJ2778=41,"②病院短期","対象外")),IF($AH2778=5,IF($AJ2778=30,"③特定消防","対象外"),IF(OR($AJ2778=10,$AJ2778=11,$AJ2778=74),"④一般",IF(OR($AJ2778=41,$AJ2778=47),"⑤短期","対象外"))))))</f>
        <v/>
      </c>
    </row>
    <row r="2779" customFormat="false" ht="15" hidden="false" customHeight="false" outlineLevel="0" collapsed="false">
      <c r="DB2779" s="0" t="str">
        <f aca="false">IF($A2779="","",IF($AE2779&amp;""&lt;&gt;設定!$C$4,"対象外",IF($AH2779=20,IF(OR($AJ2779=10,$AJ2779=11,$AJ2779=18),"①病院一般",IF($AJ2779=41,"②病院短期","対象外")),IF($AH2779=5,IF($AJ2779=30,"③特定消防","対象外"),IF(OR($AJ2779=10,$AJ2779=11,$AJ2779=74),"④一般",IF(OR($AJ2779=41,$AJ2779=47),"⑤短期","対象外"))))))</f>
        <v/>
      </c>
    </row>
    <row r="2780" customFormat="false" ht="15" hidden="false" customHeight="false" outlineLevel="0" collapsed="false">
      <c r="DB2780" s="0" t="str">
        <f aca="false">IF($A2780="","",IF($AE2780&amp;""&lt;&gt;設定!$C$4,"対象外",IF($AH2780=20,IF(OR($AJ2780=10,$AJ2780=11,$AJ2780=18),"①病院一般",IF($AJ2780=41,"②病院短期","対象外")),IF($AH2780=5,IF($AJ2780=30,"③特定消防","対象外"),IF(OR($AJ2780=10,$AJ2780=11,$AJ2780=74),"④一般",IF(OR($AJ2780=41,$AJ2780=47),"⑤短期","対象外"))))))</f>
        <v/>
      </c>
    </row>
    <row r="2781" customFormat="false" ht="15" hidden="false" customHeight="false" outlineLevel="0" collapsed="false">
      <c r="DB2781" s="0" t="str">
        <f aca="false">IF($A2781="","",IF($AE2781&amp;""&lt;&gt;設定!$C$4,"対象外",IF($AH2781=20,IF(OR($AJ2781=10,$AJ2781=11,$AJ2781=18),"①病院一般",IF($AJ2781=41,"②病院短期","対象外")),IF($AH2781=5,IF($AJ2781=30,"③特定消防","対象外"),IF(OR($AJ2781=10,$AJ2781=11,$AJ2781=74),"④一般",IF(OR($AJ2781=41,$AJ2781=47),"⑤短期","対象外"))))))</f>
        <v/>
      </c>
    </row>
    <row r="2782" customFormat="false" ht="15" hidden="false" customHeight="false" outlineLevel="0" collapsed="false">
      <c r="DB2782" s="0" t="str">
        <f aca="false">IF($A2782="","",IF($AE2782&amp;""&lt;&gt;設定!$C$4,"対象外",IF($AH2782=20,IF(OR($AJ2782=10,$AJ2782=11,$AJ2782=18),"①病院一般",IF($AJ2782=41,"②病院短期","対象外")),IF($AH2782=5,IF($AJ2782=30,"③特定消防","対象外"),IF(OR($AJ2782=10,$AJ2782=11,$AJ2782=74),"④一般",IF(OR($AJ2782=41,$AJ2782=47),"⑤短期","対象外"))))))</f>
        <v/>
      </c>
    </row>
    <row r="2783" customFormat="false" ht="15" hidden="false" customHeight="false" outlineLevel="0" collapsed="false">
      <c r="DB2783" s="0" t="str">
        <f aca="false">IF($A2783="","",IF($AE2783&amp;""&lt;&gt;設定!$C$4,"対象外",IF($AH2783=20,IF(OR($AJ2783=10,$AJ2783=11,$AJ2783=18),"①病院一般",IF($AJ2783=41,"②病院短期","対象外")),IF($AH2783=5,IF($AJ2783=30,"③特定消防","対象外"),IF(OR($AJ2783=10,$AJ2783=11,$AJ2783=74),"④一般",IF(OR($AJ2783=41,$AJ2783=47),"⑤短期","対象外"))))))</f>
        <v/>
      </c>
    </row>
    <row r="2784" customFormat="false" ht="15" hidden="false" customHeight="false" outlineLevel="0" collapsed="false">
      <c r="DB2784" s="0" t="str">
        <f aca="false">IF($A2784="","",IF($AE2784&amp;""&lt;&gt;設定!$C$4,"対象外",IF($AH2784=20,IF(OR($AJ2784=10,$AJ2784=11,$AJ2784=18),"①病院一般",IF($AJ2784=41,"②病院短期","対象外")),IF($AH2784=5,IF($AJ2784=30,"③特定消防","対象外"),IF(OR($AJ2784=10,$AJ2784=11,$AJ2784=74),"④一般",IF(OR($AJ2784=41,$AJ2784=47),"⑤短期","対象外"))))))</f>
        <v/>
      </c>
    </row>
    <row r="2785" customFormat="false" ht="15" hidden="false" customHeight="false" outlineLevel="0" collapsed="false">
      <c r="DB2785" s="0" t="str">
        <f aca="false">IF($A2785="","",IF($AE2785&amp;""&lt;&gt;設定!$C$4,"対象外",IF($AH2785=20,IF(OR($AJ2785=10,$AJ2785=11,$AJ2785=18),"①病院一般",IF($AJ2785=41,"②病院短期","対象外")),IF($AH2785=5,IF($AJ2785=30,"③特定消防","対象外"),IF(OR($AJ2785=10,$AJ2785=11,$AJ2785=74),"④一般",IF(OR($AJ2785=41,$AJ2785=47),"⑤短期","対象外"))))))</f>
        <v/>
      </c>
    </row>
    <row r="2786" customFormat="false" ht="15" hidden="false" customHeight="false" outlineLevel="0" collapsed="false">
      <c r="DB2786" s="0" t="str">
        <f aca="false">IF($A2786="","",IF($AE2786&amp;""&lt;&gt;設定!$C$4,"対象外",IF($AH2786=20,IF(OR($AJ2786=10,$AJ2786=11,$AJ2786=18),"①病院一般",IF($AJ2786=41,"②病院短期","対象外")),IF($AH2786=5,IF($AJ2786=30,"③特定消防","対象外"),IF(OR($AJ2786=10,$AJ2786=11,$AJ2786=74),"④一般",IF(OR($AJ2786=41,$AJ2786=47),"⑤短期","対象外"))))))</f>
        <v/>
      </c>
    </row>
    <row r="2787" customFormat="false" ht="15" hidden="false" customHeight="false" outlineLevel="0" collapsed="false">
      <c r="DB2787" s="0" t="str">
        <f aca="false">IF($A2787="","",IF($AE2787&amp;""&lt;&gt;設定!$C$4,"対象外",IF($AH2787=20,IF(OR($AJ2787=10,$AJ2787=11,$AJ2787=18),"①病院一般",IF($AJ2787=41,"②病院短期","対象外")),IF($AH2787=5,IF($AJ2787=30,"③特定消防","対象外"),IF(OR($AJ2787=10,$AJ2787=11,$AJ2787=74),"④一般",IF(OR($AJ2787=41,$AJ2787=47),"⑤短期","対象外"))))))</f>
        <v/>
      </c>
    </row>
    <row r="2788" customFormat="false" ht="15" hidden="false" customHeight="false" outlineLevel="0" collapsed="false">
      <c r="DB2788" s="0" t="str">
        <f aca="false">IF($A2788="","",IF($AE2788&amp;""&lt;&gt;設定!$C$4,"対象外",IF($AH2788=20,IF(OR($AJ2788=10,$AJ2788=11,$AJ2788=18),"①病院一般",IF($AJ2788=41,"②病院短期","対象外")),IF($AH2788=5,IF($AJ2788=30,"③特定消防","対象外"),IF(OR($AJ2788=10,$AJ2788=11,$AJ2788=74),"④一般",IF(OR($AJ2788=41,$AJ2788=47),"⑤短期","対象外"))))))</f>
        <v/>
      </c>
    </row>
    <row r="2789" customFormat="false" ht="15" hidden="false" customHeight="false" outlineLevel="0" collapsed="false">
      <c r="DB2789" s="0" t="str">
        <f aca="false">IF($A2789="","",IF($AE2789&amp;""&lt;&gt;設定!$C$4,"対象外",IF($AH2789=20,IF(OR($AJ2789=10,$AJ2789=11,$AJ2789=18),"①病院一般",IF($AJ2789=41,"②病院短期","対象外")),IF($AH2789=5,IF($AJ2789=30,"③特定消防","対象外"),IF(OR($AJ2789=10,$AJ2789=11,$AJ2789=74),"④一般",IF(OR($AJ2789=41,$AJ2789=47),"⑤短期","対象外"))))))</f>
        <v/>
      </c>
    </row>
    <row r="2790" customFormat="false" ht="15" hidden="false" customHeight="false" outlineLevel="0" collapsed="false">
      <c r="DB2790" s="0" t="str">
        <f aca="false">IF($A2790="","",IF($AE2790&amp;""&lt;&gt;設定!$C$4,"対象外",IF($AH2790=20,IF(OR($AJ2790=10,$AJ2790=11,$AJ2790=18),"①病院一般",IF($AJ2790=41,"②病院短期","対象外")),IF($AH2790=5,IF($AJ2790=30,"③特定消防","対象外"),IF(OR($AJ2790=10,$AJ2790=11,$AJ2790=74),"④一般",IF(OR($AJ2790=41,$AJ2790=47),"⑤短期","対象外"))))))</f>
        <v/>
      </c>
    </row>
    <row r="2791" customFormat="false" ht="15" hidden="false" customHeight="false" outlineLevel="0" collapsed="false">
      <c r="DB2791" s="0" t="str">
        <f aca="false">IF($A2791="","",IF($AE2791&amp;""&lt;&gt;設定!$C$4,"対象外",IF($AH2791=20,IF(OR($AJ2791=10,$AJ2791=11,$AJ2791=18),"①病院一般",IF($AJ2791=41,"②病院短期","対象外")),IF($AH2791=5,IF($AJ2791=30,"③特定消防","対象外"),IF(OR($AJ2791=10,$AJ2791=11,$AJ2791=74),"④一般",IF(OR($AJ2791=41,$AJ2791=47),"⑤短期","対象外"))))))</f>
        <v/>
      </c>
    </row>
    <row r="2792" customFormat="false" ht="15" hidden="false" customHeight="false" outlineLevel="0" collapsed="false">
      <c r="DB2792" s="0" t="str">
        <f aca="false">IF($A2792="","",IF($AE2792&amp;""&lt;&gt;設定!$C$4,"対象外",IF($AH2792=20,IF(OR($AJ2792=10,$AJ2792=11,$AJ2792=18),"①病院一般",IF($AJ2792=41,"②病院短期","対象外")),IF($AH2792=5,IF($AJ2792=30,"③特定消防","対象外"),IF(OR($AJ2792=10,$AJ2792=11,$AJ2792=74),"④一般",IF(OR($AJ2792=41,$AJ2792=47),"⑤短期","対象外"))))))</f>
        <v/>
      </c>
    </row>
    <row r="2793" customFormat="false" ht="15" hidden="false" customHeight="false" outlineLevel="0" collapsed="false">
      <c r="DB2793" s="0" t="str">
        <f aca="false">IF($A2793="","",IF($AE2793&amp;""&lt;&gt;設定!$C$4,"対象外",IF($AH2793=20,IF(OR($AJ2793=10,$AJ2793=11,$AJ2793=18),"①病院一般",IF($AJ2793=41,"②病院短期","対象外")),IF($AH2793=5,IF($AJ2793=30,"③特定消防","対象外"),IF(OR($AJ2793=10,$AJ2793=11,$AJ2793=74),"④一般",IF(OR($AJ2793=41,$AJ2793=47),"⑤短期","対象外"))))))</f>
        <v/>
      </c>
    </row>
    <row r="2794" customFormat="false" ht="15" hidden="false" customHeight="false" outlineLevel="0" collapsed="false">
      <c r="DB2794" s="0" t="str">
        <f aca="false">IF($A2794="","",IF($AE2794&amp;""&lt;&gt;設定!$C$4,"対象外",IF($AH2794=20,IF(OR($AJ2794=10,$AJ2794=11,$AJ2794=18),"①病院一般",IF($AJ2794=41,"②病院短期","対象外")),IF($AH2794=5,IF($AJ2794=30,"③特定消防","対象外"),IF(OR($AJ2794=10,$AJ2794=11,$AJ2794=74),"④一般",IF(OR($AJ2794=41,$AJ2794=47),"⑤短期","対象外"))))))</f>
        <v/>
      </c>
    </row>
    <row r="2795" customFormat="false" ht="15" hidden="false" customHeight="false" outlineLevel="0" collapsed="false">
      <c r="DB2795" s="0" t="str">
        <f aca="false">IF($A2795="","",IF($AE2795&amp;""&lt;&gt;設定!$C$4,"対象外",IF($AH2795=20,IF(OR($AJ2795=10,$AJ2795=11,$AJ2795=18),"①病院一般",IF($AJ2795=41,"②病院短期","対象外")),IF($AH2795=5,IF($AJ2795=30,"③特定消防","対象外"),IF(OR($AJ2795=10,$AJ2795=11,$AJ2795=74),"④一般",IF(OR($AJ2795=41,$AJ2795=47),"⑤短期","対象外"))))))</f>
        <v/>
      </c>
    </row>
    <row r="2796" customFormat="false" ht="15" hidden="false" customHeight="false" outlineLevel="0" collapsed="false">
      <c r="DB2796" s="0" t="str">
        <f aca="false">IF($A2796="","",IF($AE2796&amp;""&lt;&gt;設定!$C$4,"対象外",IF($AH2796=20,IF(OR($AJ2796=10,$AJ2796=11,$AJ2796=18),"①病院一般",IF($AJ2796=41,"②病院短期","対象外")),IF($AH2796=5,IF($AJ2796=30,"③特定消防","対象外"),IF(OR($AJ2796=10,$AJ2796=11,$AJ2796=74),"④一般",IF(OR($AJ2796=41,$AJ2796=47),"⑤短期","対象外"))))))</f>
        <v/>
      </c>
    </row>
    <row r="2797" customFormat="false" ht="15" hidden="false" customHeight="false" outlineLevel="0" collapsed="false">
      <c r="DB2797" s="0" t="str">
        <f aca="false">IF($A2797="","",IF($AE2797&amp;""&lt;&gt;設定!$C$4,"対象外",IF($AH2797=20,IF(OR($AJ2797=10,$AJ2797=11,$AJ2797=18),"①病院一般",IF($AJ2797=41,"②病院短期","対象外")),IF($AH2797=5,IF($AJ2797=30,"③特定消防","対象外"),IF(OR($AJ2797=10,$AJ2797=11,$AJ2797=74),"④一般",IF(OR($AJ2797=41,$AJ2797=47),"⑤短期","対象外"))))))</f>
        <v/>
      </c>
    </row>
    <row r="2798" customFormat="false" ht="15" hidden="false" customHeight="false" outlineLevel="0" collapsed="false">
      <c r="DB2798" s="0" t="str">
        <f aca="false">IF($A2798="","",IF($AE2798&amp;""&lt;&gt;設定!$C$4,"対象外",IF($AH2798=20,IF(OR($AJ2798=10,$AJ2798=11,$AJ2798=18),"①病院一般",IF($AJ2798=41,"②病院短期","対象外")),IF($AH2798=5,IF($AJ2798=30,"③特定消防","対象外"),IF(OR($AJ2798=10,$AJ2798=11,$AJ2798=74),"④一般",IF(OR($AJ2798=41,$AJ2798=47),"⑤短期","対象外"))))))</f>
        <v/>
      </c>
    </row>
    <row r="2799" customFormat="false" ht="15" hidden="false" customHeight="false" outlineLevel="0" collapsed="false">
      <c r="DB2799" s="0" t="str">
        <f aca="false">IF($A2799="","",IF($AE2799&amp;""&lt;&gt;設定!$C$4,"対象外",IF($AH2799=20,IF(OR($AJ2799=10,$AJ2799=11,$AJ2799=18),"①病院一般",IF($AJ2799=41,"②病院短期","対象外")),IF($AH2799=5,IF($AJ2799=30,"③特定消防","対象外"),IF(OR($AJ2799=10,$AJ2799=11,$AJ2799=74),"④一般",IF(OR($AJ2799=41,$AJ2799=47),"⑤短期","対象外"))))))</f>
        <v/>
      </c>
    </row>
    <row r="2800" customFormat="false" ht="15" hidden="false" customHeight="false" outlineLevel="0" collapsed="false">
      <c r="DB2800" s="0" t="str">
        <f aca="false">IF($A2800="","",IF($AE2800&amp;""&lt;&gt;設定!$C$4,"対象外",IF($AH2800=20,IF(OR($AJ2800=10,$AJ2800=11,$AJ2800=18),"①病院一般",IF($AJ2800=41,"②病院短期","対象外")),IF($AH2800=5,IF($AJ2800=30,"③特定消防","対象外"),IF(OR($AJ2800=10,$AJ2800=11,$AJ2800=74),"④一般",IF(OR($AJ2800=41,$AJ2800=47),"⑤短期","対象外"))))))</f>
        <v/>
      </c>
    </row>
    <row r="2801" customFormat="false" ht="15" hidden="false" customHeight="false" outlineLevel="0" collapsed="false">
      <c r="DB2801" s="0" t="str">
        <f aca="false">IF($A2801="","",IF($AE2801&amp;""&lt;&gt;設定!$C$4,"対象外",IF($AH2801=20,IF(OR($AJ2801=10,$AJ2801=11,$AJ2801=18),"①病院一般",IF($AJ2801=41,"②病院短期","対象外")),IF($AH2801=5,IF($AJ2801=30,"③特定消防","対象外"),IF(OR($AJ2801=10,$AJ2801=11,$AJ2801=74),"④一般",IF(OR($AJ2801=41,$AJ2801=47),"⑤短期","対象外"))))))</f>
        <v/>
      </c>
    </row>
    <row r="2802" customFormat="false" ht="15" hidden="false" customHeight="false" outlineLevel="0" collapsed="false">
      <c r="DB2802" s="0" t="str">
        <f aca="false">IF($A2802="","",IF($AE2802&amp;""&lt;&gt;設定!$C$4,"対象外",IF($AH2802=20,IF(OR($AJ2802=10,$AJ2802=11,$AJ2802=18),"①病院一般",IF($AJ2802=41,"②病院短期","対象外")),IF($AH2802=5,IF($AJ2802=30,"③特定消防","対象外"),IF(OR($AJ2802=10,$AJ2802=11,$AJ2802=74),"④一般",IF(OR($AJ2802=41,$AJ2802=47),"⑤短期","対象外"))))))</f>
        <v/>
      </c>
    </row>
    <row r="2803" customFormat="false" ht="15" hidden="false" customHeight="false" outlineLevel="0" collapsed="false">
      <c r="DB2803" s="0" t="str">
        <f aca="false">IF($A2803="","",IF($AE2803&amp;""&lt;&gt;設定!$C$4,"対象外",IF($AH2803=20,IF(OR($AJ2803=10,$AJ2803=11,$AJ2803=18),"①病院一般",IF($AJ2803=41,"②病院短期","対象外")),IF($AH2803=5,IF($AJ2803=30,"③特定消防","対象外"),IF(OR($AJ2803=10,$AJ2803=11,$AJ2803=74),"④一般",IF(OR($AJ2803=41,$AJ2803=47),"⑤短期","対象外"))))))</f>
        <v/>
      </c>
    </row>
    <row r="2804" customFormat="false" ht="15" hidden="false" customHeight="false" outlineLevel="0" collapsed="false">
      <c r="DB2804" s="0" t="str">
        <f aca="false">IF($A2804="","",IF($AE2804&amp;""&lt;&gt;設定!$C$4,"対象外",IF($AH2804=20,IF(OR($AJ2804=10,$AJ2804=11,$AJ2804=18),"①病院一般",IF($AJ2804=41,"②病院短期","対象外")),IF($AH2804=5,IF($AJ2804=30,"③特定消防","対象外"),IF(OR($AJ2804=10,$AJ2804=11,$AJ2804=74),"④一般",IF(OR($AJ2804=41,$AJ2804=47),"⑤短期","対象外"))))))</f>
        <v/>
      </c>
    </row>
    <row r="2805" customFormat="false" ht="15" hidden="false" customHeight="false" outlineLevel="0" collapsed="false">
      <c r="DB2805" s="0" t="str">
        <f aca="false">IF($A2805="","",IF($AE2805&amp;""&lt;&gt;設定!$C$4,"対象外",IF($AH2805=20,IF(OR($AJ2805=10,$AJ2805=11,$AJ2805=18),"①病院一般",IF($AJ2805=41,"②病院短期","対象外")),IF($AH2805=5,IF($AJ2805=30,"③特定消防","対象外"),IF(OR($AJ2805=10,$AJ2805=11,$AJ2805=74),"④一般",IF(OR($AJ2805=41,$AJ2805=47),"⑤短期","対象外"))))))</f>
        <v/>
      </c>
    </row>
    <row r="2806" customFormat="false" ht="15" hidden="false" customHeight="false" outlineLevel="0" collapsed="false">
      <c r="DB2806" s="0" t="str">
        <f aca="false">IF($A2806="","",IF($AE2806&amp;""&lt;&gt;設定!$C$4,"対象外",IF($AH2806=20,IF(OR($AJ2806=10,$AJ2806=11,$AJ2806=18),"①病院一般",IF($AJ2806=41,"②病院短期","対象外")),IF($AH2806=5,IF($AJ2806=30,"③特定消防","対象外"),IF(OR($AJ2806=10,$AJ2806=11,$AJ2806=74),"④一般",IF(OR($AJ2806=41,$AJ2806=47),"⑤短期","対象外"))))))</f>
        <v/>
      </c>
    </row>
    <row r="2807" customFormat="false" ht="15" hidden="false" customHeight="false" outlineLevel="0" collapsed="false">
      <c r="DB2807" s="0" t="str">
        <f aca="false">IF($A2807="","",IF($AE2807&amp;""&lt;&gt;設定!$C$4,"対象外",IF($AH2807=20,IF(OR($AJ2807=10,$AJ2807=11,$AJ2807=18),"①病院一般",IF($AJ2807=41,"②病院短期","対象外")),IF($AH2807=5,IF($AJ2807=30,"③特定消防","対象外"),IF(OR($AJ2807=10,$AJ2807=11,$AJ2807=74),"④一般",IF(OR($AJ2807=41,$AJ2807=47),"⑤短期","対象外"))))))</f>
        <v/>
      </c>
    </row>
    <row r="2808" customFormat="false" ht="15" hidden="false" customHeight="false" outlineLevel="0" collapsed="false">
      <c r="DB2808" s="0" t="str">
        <f aca="false">IF($A2808="","",IF($AE2808&amp;""&lt;&gt;設定!$C$4,"対象外",IF($AH2808=20,IF(OR($AJ2808=10,$AJ2808=11,$AJ2808=18),"①病院一般",IF($AJ2808=41,"②病院短期","対象外")),IF($AH2808=5,IF($AJ2808=30,"③特定消防","対象外"),IF(OR($AJ2808=10,$AJ2808=11,$AJ2808=74),"④一般",IF(OR($AJ2808=41,$AJ2808=47),"⑤短期","対象外"))))))</f>
        <v/>
      </c>
    </row>
    <row r="2809" customFormat="false" ht="15" hidden="false" customHeight="false" outlineLevel="0" collapsed="false">
      <c r="DB2809" s="0" t="str">
        <f aca="false">IF($A2809="","",IF($AE2809&amp;""&lt;&gt;設定!$C$4,"対象外",IF($AH2809=20,IF(OR($AJ2809=10,$AJ2809=11,$AJ2809=18),"①病院一般",IF($AJ2809=41,"②病院短期","対象外")),IF($AH2809=5,IF($AJ2809=30,"③特定消防","対象外"),IF(OR($AJ2809=10,$AJ2809=11,$AJ2809=74),"④一般",IF(OR($AJ2809=41,$AJ2809=47),"⑤短期","対象外"))))))</f>
        <v/>
      </c>
    </row>
    <row r="2810" customFormat="false" ht="15" hidden="false" customHeight="false" outlineLevel="0" collapsed="false">
      <c r="DB2810" s="0" t="str">
        <f aca="false">IF($A2810="","",IF($AE2810&amp;""&lt;&gt;設定!$C$4,"対象外",IF($AH2810=20,IF(OR($AJ2810=10,$AJ2810=11,$AJ2810=18),"①病院一般",IF($AJ2810=41,"②病院短期","対象外")),IF($AH2810=5,IF($AJ2810=30,"③特定消防","対象外"),IF(OR($AJ2810=10,$AJ2810=11,$AJ2810=74),"④一般",IF(OR($AJ2810=41,$AJ2810=47),"⑤短期","対象外"))))))</f>
        <v/>
      </c>
    </row>
    <row r="2811" customFormat="false" ht="15" hidden="false" customHeight="false" outlineLevel="0" collapsed="false">
      <c r="DB2811" s="0" t="str">
        <f aca="false">IF($A2811="","",IF($AE2811&amp;""&lt;&gt;設定!$C$4,"対象外",IF($AH2811=20,IF(OR($AJ2811=10,$AJ2811=11,$AJ2811=18),"①病院一般",IF($AJ2811=41,"②病院短期","対象外")),IF($AH2811=5,IF($AJ2811=30,"③特定消防","対象外"),IF(OR($AJ2811=10,$AJ2811=11,$AJ2811=74),"④一般",IF(OR($AJ2811=41,$AJ2811=47),"⑤短期","対象外"))))))</f>
        <v/>
      </c>
    </row>
    <row r="2812" customFormat="false" ht="15" hidden="false" customHeight="false" outlineLevel="0" collapsed="false">
      <c r="DB2812" s="0" t="str">
        <f aca="false">IF($A2812="","",IF($AE2812&amp;""&lt;&gt;設定!$C$4,"対象外",IF($AH2812=20,IF(OR($AJ2812=10,$AJ2812=11,$AJ2812=18),"①病院一般",IF($AJ2812=41,"②病院短期","対象外")),IF($AH2812=5,IF($AJ2812=30,"③特定消防","対象外"),IF(OR($AJ2812=10,$AJ2812=11,$AJ2812=74),"④一般",IF(OR($AJ2812=41,$AJ2812=47),"⑤短期","対象外"))))))</f>
        <v/>
      </c>
    </row>
    <row r="2813" customFormat="false" ht="15" hidden="false" customHeight="false" outlineLevel="0" collapsed="false">
      <c r="DB2813" s="0" t="str">
        <f aca="false">IF($A2813="","",IF($AE2813&amp;""&lt;&gt;設定!$C$4,"対象外",IF($AH2813=20,IF(OR($AJ2813=10,$AJ2813=11,$AJ2813=18),"①病院一般",IF($AJ2813=41,"②病院短期","対象外")),IF($AH2813=5,IF($AJ2813=30,"③特定消防","対象外"),IF(OR($AJ2813=10,$AJ2813=11,$AJ2813=74),"④一般",IF(OR($AJ2813=41,$AJ2813=47),"⑤短期","対象外"))))))</f>
        <v/>
      </c>
    </row>
    <row r="2814" customFormat="false" ht="15" hidden="false" customHeight="false" outlineLevel="0" collapsed="false">
      <c r="DB2814" s="0" t="str">
        <f aca="false">IF($A2814="","",IF($AE2814&amp;""&lt;&gt;設定!$C$4,"対象外",IF($AH2814=20,IF(OR($AJ2814=10,$AJ2814=11,$AJ2814=18),"①病院一般",IF($AJ2814=41,"②病院短期","対象外")),IF($AH2814=5,IF($AJ2814=30,"③特定消防","対象外"),IF(OR($AJ2814=10,$AJ2814=11,$AJ2814=74),"④一般",IF(OR($AJ2814=41,$AJ2814=47),"⑤短期","対象外"))))))</f>
        <v/>
      </c>
    </row>
    <row r="2815" customFormat="false" ht="15" hidden="false" customHeight="false" outlineLevel="0" collapsed="false">
      <c r="DB2815" s="0" t="str">
        <f aca="false">IF($A2815="","",IF($AE2815&amp;""&lt;&gt;設定!$C$4,"対象外",IF($AH2815=20,IF(OR($AJ2815=10,$AJ2815=11,$AJ2815=18),"①病院一般",IF($AJ2815=41,"②病院短期","対象外")),IF($AH2815=5,IF($AJ2815=30,"③特定消防","対象外"),IF(OR($AJ2815=10,$AJ2815=11,$AJ2815=74),"④一般",IF(OR($AJ2815=41,$AJ2815=47),"⑤短期","対象外"))))))</f>
        <v/>
      </c>
    </row>
    <row r="2816" customFormat="false" ht="15" hidden="false" customHeight="false" outlineLevel="0" collapsed="false">
      <c r="DB2816" s="0" t="str">
        <f aca="false">IF($A2816="","",IF($AE2816&amp;""&lt;&gt;設定!$C$4,"対象外",IF($AH2816=20,IF(OR($AJ2816=10,$AJ2816=11,$AJ2816=18),"①病院一般",IF($AJ2816=41,"②病院短期","対象外")),IF($AH2816=5,IF($AJ2816=30,"③特定消防","対象外"),IF(OR($AJ2816=10,$AJ2816=11,$AJ2816=74),"④一般",IF(OR($AJ2816=41,$AJ2816=47),"⑤短期","対象外"))))))</f>
        <v/>
      </c>
    </row>
    <row r="2817" customFormat="false" ht="15" hidden="false" customHeight="false" outlineLevel="0" collapsed="false">
      <c r="DB2817" s="0" t="str">
        <f aca="false">IF($A2817="","",IF($AE2817&amp;""&lt;&gt;設定!$C$4,"対象外",IF($AH2817=20,IF(OR($AJ2817=10,$AJ2817=11,$AJ2817=18),"①病院一般",IF($AJ2817=41,"②病院短期","対象外")),IF($AH2817=5,IF($AJ2817=30,"③特定消防","対象外"),IF(OR($AJ2817=10,$AJ2817=11,$AJ2817=74),"④一般",IF(OR($AJ2817=41,$AJ2817=47),"⑤短期","対象外"))))))</f>
        <v/>
      </c>
    </row>
    <row r="2818" customFormat="false" ht="15" hidden="false" customHeight="false" outlineLevel="0" collapsed="false">
      <c r="DB2818" s="0" t="str">
        <f aca="false">IF($A2818="","",IF($AE2818&amp;""&lt;&gt;設定!$C$4,"対象外",IF($AH2818=20,IF(OR($AJ2818=10,$AJ2818=11,$AJ2818=18),"①病院一般",IF($AJ2818=41,"②病院短期","対象外")),IF($AH2818=5,IF($AJ2818=30,"③特定消防","対象外"),IF(OR($AJ2818=10,$AJ2818=11,$AJ2818=74),"④一般",IF(OR($AJ2818=41,$AJ2818=47),"⑤短期","対象外"))))))</f>
        <v/>
      </c>
    </row>
    <row r="2819" customFormat="false" ht="15" hidden="false" customHeight="false" outlineLevel="0" collapsed="false">
      <c r="DB2819" s="0" t="str">
        <f aca="false">IF($A2819="","",IF($AE2819&amp;""&lt;&gt;設定!$C$4,"対象外",IF($AH2819=20,IF(OR($AJ2819=10,$AJ2819=11,$AJ2819=18),"①病院一般",IF($AJ2819=41,"②病院短期","対象外")),IF($AH2819=5,IF($AJ2819=30,"③特定消防","対象外"),IF(OR($AJ2819=10,$AJ2819=11,$AJ2819=74),"④一般",IF(OR($AJ2819=41,$AJ2819=47),"⑤短期","対象外"))))))</f>
        <v/>
      </c>
    </row>
    <row r="2820" customFormat="false" ht="15" hidden="false" customHeight="false" outlineLevel="0" collapsed="false">
      <c r="DB2820" s="0" t="str">
        <f aca="false">IF($A2820="","",IF($AE2820&amp;""&lt;&gt;設定!$C$4,"対象外",IF($AH2820=20,IF(OR($AJ2820=10,$AJ2820=11,$AJ2820=18),"①病院一般",IF($AJ2820=41,"②病院短期","対象外")),IF($AH2820=5,IF($AJ2820=30,"③特定消防","対象外"),IF(OR($AJ2820=10,$AJ2820=11,$AJ2820=74),"④一般",IF(OR($AJ2820=41,$AJ2820=47),"⑤短期","対象外"))))))</f>
        <v/>
      </c>
    </row>
    <row r="2821" customFormat="false" ht="15" hidden="false" customHeight="false" outlineLevel="0" collapsed="false">
      <c r="DB2821" s="0" t="str">
        <f aca="false">IF($A2821="","",IF($AE2821&amp;""&lt;&gt;設定!$C$4,"対象外",IF($AH2821=20,IF(OR($AJ2821=10,$AJ2821=11,$AJ2821=18),"①病院一般",IF($AJ2821=41,"②病院短期","対象外")),IF($AH2821=5,IF($AJ2821=30,"③特定消防","対象外"),IF(OR($AJ2821=10,$AJ2821=11,$AJ2821=74),"④一般",IF(OR($AJ2821=41,$AJ2821=47),"⑤短期","対象外"))))))</f>
        <v/>
      </c>
    </row>
    <row r="2822" customFormat="false" ht="15" hidden="false" customHeight="false" outlineLevel="0" collapsed="false">
      <c r="DB2822" s="0" t="str">
        <f aca="false">IF($A2822="","",IF($AE2822&amp;""&lt;&gt;設定!$C$4,"対象外",IF($AH2822=20,IF(OR($AJ2822=10,$AJ2822=11,$AJ2822=18),"①病院一般",IF($AJ2822=41,"②病院短期","対象外")),IF($AH2822=5,IF($AJ2822=30,"③特定消防","対象外"),IF(OR($AJ2822=10,$AJ2822=11,$AJ2822=74),"④一般",IF(OR($AJ2822=41,$AJ2822=47),"⑤短期","対象外"))))))</f>
        <v/>
      </c>
    </row>
    <row r="2823" customFormat="false" ht="15" hidden="false" customHeight="false" outlineLevel="0" collapsed="false">
      <c r="DB2823" s="0" t="str">
        <f aca="false">IF($A2823="","",IF($AE2823&amp;""&lt;&gt;設定!$C$4,"対象外",IF($AH2823=20,IF(OR($AJ2823=10,$AJ2823=11,$AJ2823=18),"①病院一般",IF($AJ2823=41,"②病院短期","対象外")),IF($AH2823=5,IF($AJ2823=30,"③特定消防","対象外"),IF(OR($AJ2823=10,$AJ2823=11,$AJ2823=74),"④一般",IF(OR($AJ2823=41,$AJ2823=47),"⑤短期","対象外"))))))</f>
        <v/>
      </c>
    </row>
    <row r="2824" customFormat="false" ht="15" hidden="false" customHeight="false" outlineLevel="0" collapsed="false">
      <c r="DB2824" s="0" t="str">
        <f aca="false">IF($A2824="","",IF($AE2824&amp;""&lt;&gt;設定!$C$4,"対象外",IF($AH2824=20,IF(OR($AJ2824=10,$AJ2824=11,$AJ2824=18),"①病院一般",IF($AJ2824=41,"②病院短期","対象外")),IF($AH2824=5,IF($AJ2824=30,"③特定消防","対象外"),IF(OR($AJ2824=10,$AJ2824=11,$AJ2824=74),"④一般",IF(OR($AJ2824=41,$AJ2824=47),"⑤短期","対象外"))))))</f>
        <v/>
      </c>
    </row>
    <row r="2825" customFormat="false" ht="15" hidden="false" customHeight="false" outlineLevel="0" collapsed="false">
      <c r="DB2825" s="0" t="str">
        <f aca="false">IF($A2825="","",IF($AE2825&amp;""&lt;&gt;設定!$C$4,"対象外",IF($AH2825=20,IF(OR($AJ2825=10,$AJ2825=11,$AJ2825=18),"①病院一般",IF($AJ2825=41,"②病院短期","対象外")),IF($AH2825=5,IF($AJ2825=30,"③特定消防","対象外"),IF(OR($AJ2825=10,$AJ2825=11,$AJ2825=74),"④一般",IF(OR($AJ2825=41,$AJ2825=47),"⑤短期","対象外"))))))</f>
        <v/>
      </c>
    </row>
    <row r="2826" customFormat="false" ht="15" hidden="false" customHeight="false" outlineLevel="0" collapsed="false">
      <c r="DB2826" s="0" t="str">
        <f aca="false">IF($A2826="","",IF($AE2826&amp;""&lt;&gt;設定!$C$4,"対象外",IF($AH2826=20,IF(OR($AJ2826=10,$AJ2826=11,$AJ2826=18),"①病院一般",IF($AJ2826=41,"②病院短期","対象外")),IF($AH2826=5,IF($AJ2826=30,"③特定消防","対象外"),IF(OR($AJ2826=10,$AJ2826=11,$AJ2826=74),"④一般",IF(OR($AJ2826=41,$AJ2826=47),"⑤短期","対象外"))))))</f>
        <v/>
      </c>
    </row>
    <row r="2827" customFormat="false" ht="15" hidden="false" customHeight="false" outlineLevel="0" collapsed="false">
      <c r="DB2827" s="0" t="str">
        <f aca="false">IF($A2827="","",IF($AE2827&amp;""&lt;&gt;設定!$C$4,"対象外",IF($AH2827=20,IF(OR($AJ2827=10,$AJ2827=11,$AJ2827=18),"①病院一般",IF($AJ2827=41,"②病院短期","対象外")),IF($AH2827=5,IF($AJ2827=30,"③特定消防","対象外"),IF(OR($AJ2827=10,$AJ2827=11,$AJ2827=74),"④一般",IF(OR($AJ2827=41,$AJ2827=47),"⑤短期","対象外"))))))</f>
        <v/>
      </c>
    </row>
    <row r="2828" customFormat="false" ht="15" hidden="false" customHeight="false" outlineLevel="0" collapsed="false">
      <c r="DB2828" s="0" t="str">
        <f aca="false">IF($A2828="","",IF($AE2828&amp;""&lt;&gt;設定!$C$4,"対象外",IF($AH2828=20,IF(OR($AJ2828=10,$AJ2828=11,$AJ2828=18),"①病院一般",IF($AJ2828=41,"②病院短期","対象外")),IF($AH2828=5,IF($AJ2828=30,"③特定消防","対象外"),IF(OR($AJ2828=10,$AJ2828=11,$AJ2828=74),"④一般",IF(OR($AJ2828=41,$AJ2828=47),"⑤短期","対象外"))))))</f>
        <v/>
      </c>
    </row>
    <row r="2829" customFormat="false" ht="15" hidden="false" customHeight="false" outlineLevel="0" collapsed="false">
      <c r="DB2829" s="0" t="str">
        <f aca="false">IF($A2829="","",IF($AE2829&amp;""&lt;&gt;設定!$C$4,"対象外",IF($AH2829=20,IF(OR($AJ2829=10,$AJ2829=11,$AJ2829=18),"①病院一般",IF($AJ2829=41,"②病院短期","対象外")),IF($AH2829=5,IF($AJ2829=30,"③特定消防","対象外"),IF(OR($AJ2829=10,$AJ2829=11,$AJ2829=74),"④一般",IF(OR($AJ2829=41,$AJ2829=47),"⑤短期","対象外"))))))</f>
        <v/>
      </c>
    </row>
    <row r="2830" customFormat="false" ht="15" hidden="false" customHeight="false" outlineLevel="0" collapsed="false">
      <c r="DB2830" s="0" t="str">
        <f aca="false">IF($A2830="","",IF($AE2830&amp;""&lt;&gt;設定!$C$4,"対象外",IF($AH2830=20,IF(OR($AJ2830=10,$AJ2830=11,$AJ2830=18),"①病院一般",IF($AJ2830=41,"②病院短期","対象外")),IF($AH2830=5,IF($AJ2830=30,"③特定消防","対象外"),IF(OR($AJ2830=10,$AJ2830=11,$AJ2830=74),"④一般",IF(OR($AJ2830=41,$AJ2830=47),"⑤短期","対象外"))))))</f>
        <v/>
      </c>
    </row>
    <row r="2831" customFormat="false" ht="15" hidden="false" customHeight="false" outlineLevel="0" collapsed="false">
      <c r="DB2831" s="0" t="str">
        <f aca="false">IF($A2831="","",IF($AE2831&amp;""&lt;&gt;設定!$C$4,"対象外",IF($AH2831=20,IF(OR($AJ2831=10,$AJ2831=11,$AJ2831=18),"①病院一般",IF($AJ2831=41,"②病院短期","対象外")),IF($AH2831=5,IF($AJ2831=30,"③特定消防","対象外"),IF(OR($AJ2831=10,$AJ2831=11,$AJ2831=74),"④一般",IF(OR($AJ2831=41,$AJ2831=47),"⑤短期","対象外"))))))</f>
        <v/>
      </c>
    </row>
    <row r="2832" customFormat="false" ht="15" hidden="false" customHeight="false" outlineLevel="0" collapsed="false">
      <c r="DB2832" s="0" t="str">
        <f aca="false">IF($A2832="","",IF($AE2832&amp;""&lt;&gt;設定!$C$4,"対象外",IF($AH2832=20,IF(OR($AJ2832=10,$AJ2832=11,$AJ2832=18),"①病院一般",IF($AJ2832=41,"②病院短期","対象外")),IF($AH2832=5,IF($AJ2832=30,"③特定消防","対象外"),IF(OR($AJ2832=10,$AJ2832=11,$AJ2832=74),"④一般",IF(OR($AJ2832=41,$AJ2832=47),"⑤短期","対象外"))))))</f>
        <v/>
      </c>
    </row>
    <row r="2833" customFormat="false" ht="15" hidden="false" customHeight="false" outlineLevel="0" collapsed="false">
      <c r="DB2833" s="0" t="str">
        <f aca="false">IF($A2833="","",IF($AE2833&amp;""&lt;&gt;設定!$C$4,"対象外",IF($AH2833=20,IF(OR($AJ2833=10,$AJ2833=11,$AJ2833=18),"①病院一般",IF($AJ2833=41,"②病院短期","対象外")),IF($AH2833=5,IF($AJ2833=30,"③特定消防","対象外"),IF(OR($AJ2833=10,$AJ2833=11,$AJ2833=74),"④一般",IF(OR($AJ2833=41,$AJ2833=47),"⑤短期","対象外"))))))</f>
        <v/>
      </c>
    </row>
    <row r="2834" customFormat="false" ht="15" hidden="false" customHeight="false" outlineLevel="0" collapsed="false">
      <c r="DB2834" s="0" t="str">
        <f aca="false">IF($A2834="","",IF($AE2834&amp;""&lt;&gt;設定!$C$4,"対象外",IF($AH2834=20,IF(OR($AJ2834=10,$AJ2834=11,$AJ2834=18),"①病院一般",IF($AJ2834=41,"②病院短期","対象外")),IF($AH2834=5,IF($AJ2834=30,"③特定消防","対象外"),IF(OR($AJ2834=10,$AJ2834=11,$AJ2834=74),"④一般",IF(OR($AJ2834=41,$AJ2834=47),"⑤短期","対象外"))))))</f>
        <v/>
      </c>
    </row>
    <row r="2835" customFormat="false" ht="15" hidden="false" customHeight="false" outlineLevel="0" collapsed="false">
      <c r="DB2835" s="0" t="str">
        <f aca="false">IF($A2835="","",IF($AE2835&amp;""&lt;&gt;設定!$C$4,"対象外",IF($AH2835=20,IF(OR($AJ2835=10,$AJ2835=11,$AJ2835=18),"①病院一般",IF($AJ2835=41,"②病院短期","対象外")),IF($AH2835=5,IF($AJ2835=30,"③特定消防","対象外"),IF(OR($AJ2835=10,$AJ2835=11,$AJ2835=74),"④一般",IF(OR($AJ2835=41,$AJ2835=47),"⑤短期","対象外"))))))</f>
        <v/>
      </c>
    </row>
    <row r="2836" customFormat="false" ht="15" hidden="false" customHeight="false" outlineLevel="0" collapsed="false">
      <c r="DB2836" s="0" t="str">
        <f aca="false">IF($A2836="","",IF($AE2836&amp;""&lt;&gt;設定!$C$4,"対象外",IF($AH2836=20,IF(OR($AJ2836=10,$AJ2836=11,$AJ2836=18),"①病院一般",IF($AJ2836=41,"②病院短期","対象外")),IF($AH2836=5,IF($AJ2836=30,"③特定消防","対象外"),IF(OR($AJ2836=10,$AJ2836=11,$AJ2836=74),"④一般",IF(OR($AJ2836=41,$AJ2836=47),"⑤短期","対象外"))))))</f>
        <v/>
      </c>
    </row>
    <row r="2837" customFormat="false" ht="15" hidden="false" customHeight="false" outlineLevel="0" collapsed="false">
      <c r="DB2837" s="0" t="str">
        <f aca="false">IF($A2837="","",IF($AE2837&amp;""&lt;&gt;設定!$C$4,"対象外",IF($AH2837=20,IF(OR($AJ2837=10,$AJ2837=11,$AJ2837=18),"①病院一般",IF($AJ2837=41,"②病院短期","対象外")),IF($AH2837=5,IF($AJ2837=30,"③特定消防","対象外"),IF(OR($AJ2837=10,$AJ2837=11,$AJ2837=74),"④一般",IF(OR($AJ2837=41,$AJ2837=47),"⑤短期","対象外"))))))</f>
        <v/>
      </c>
    </row>
    <row r="2838" customFormat="false" ht="15" hidden="false" customHeight="false" outlineLevel="0" collapsed="false">
      <c r="DB2838" s="0" t="str">
        <f aca="false">IF($A2838="","",IF($AE2838&amp;""&lt;&gt;設定!$C$4,"対象外",IF($AH2838=20,IF(OR($AJ2838=10,$AJ2838=11,$AJ2838=18),"①病院一般",IF($AJ2838=41,"②病院短期","対象外")),IF($AH2838=5,IF($AJ2838=30,"③特定消防","対象外"),IF(OR($AJ2838=10,$AJ2838=11,$AJ2838=74),"④一般",IF(OR($AJ2838=41,$AJ2838=47),"⑤短期","対象外"))))))</f>
        <v/>
      </c>
    </row>
    <row r="2839" customFormat="false" ht="15" hidden="false" customHeight="false" outlineLevel="0" collapsed="false">
      <c r="DB2839" s="0" t="str">
        <f aca="false">IF($A2839="","",IF($AE2839&amp;""&lt;&gt;設定!$C$4,"対象外",IF($AH2839=20,IF(OR($AJ2839=10,$AJ2839=11,$AJ2839=18),"①病院一般",IF($AJ2839=41,"②病院短期","対象外")),IF($AH2839=5,IF($AJ2839=30,"③特定消防","対象外"),IF(OR($AJ2839=10,$AJ2839=11,$AJ2839=74),"④一般",IF(OR($AJ2839=41,$AJ2839=47),"⑤短期","対象外"))))))</f>
        <v/>
      </c>
    </row>
    <row r="2840" customFormat="false" ht="15" hidden="false" customHeight="false" outlineLevel="0" collapsed="false">
      <c r="DB2840" s="0" t="str">
        <f aca="false">IF($A2840="","",IF($AE2840&amp;""&lt;&gt;設定!$C$4,"対象外",IF($AH2840=20,IF(OR($AJ2840=10,$AJ2840=11,$AJ2840=18),"①病院一般",IF($AJ2840=41,"②病院短期","対象外")),IF($AH2840=5,IF($AJ2840=30,"③特定消防","対象外"),IF(OR($AJ2840=10,$AJ2840=11,$AJ2840=74),"④一般",IF(OR($AJ2840=41,$AJ2840=47),"⑤短期","対象外"))))))</f>
        <v/>
      </c>
    </row>
    <row r="2841" customFormat="false" ht="15" hidden="false" customHeight="false" outlineLevel="0" collapsed="false">
      <c r="DB2841" s="0" t="str">
        <f aca="false">IF($A2841="","",IF($AE2841&amp;""&lt;&gt;設定!$C$4,"対象外",IF($AH2841=20,IF(OR($AJ2841=10,$AJ2841=11,$AJ2841=18),"①病院一般",IF($AJ2841=41,"②病院短期","対象外")),IF($AH2841=5,IF($AJ2841=30,"③特定消防","対象外"),IF(OR($AJ2841=10,$AJ2841=11,$AJ2841=74),"④一般",IF(OR($AJ2841=41,$AJ2841=47),"⑤短期","対象外"))))))</f>
        <v/>
      </c>
    </row>
    <row r="2842" customFormat="false" ht="15" hidden="false" customHeight="false" outlineLevel="0" collapsed="false">
      <c r="DB2842" s="0" t="str">
        <f aca="false">IF($A2842="","",IF($AE2842&amp;""&lt;&gt;設定!$C$4,"対象外",IF($AH2842=20,IF(OR($AJ2842=10,$AJ2842=11,$AJ2842=18),"①病院一般",IF($AJ2842=41,"②病院短期","対象外")),IF($AH2842=5,IF($AJ2842=30,"③特定消防","対象外"),IF(OR($AJ2842=10,$AJ2842=11,$AJ2842=74),"④一般",IF(OR($AJ2842=41,$AJ2842=47),"⑤短期","対象外"))))))</f>
        <v/>
      </c>
    </row>
    <row r="2843" customFormat="false" ht="15" hidden="false" customHeight="false" outlineLevel="0" collapsed="false">
      <c r="DB2843" s="0" t="str">
        <f aca="false">IF($A2843="","",IF($AE2843&amp;""&lt;&gt;設定!$C$4,"対象外",IF($AH2843=20,IF(OR($AJ2843=10,$AJ2843=11,$AJ2843=18),"①病院一般",IF($AJ2843=41,"②病院短期","対象外")),IF($AH2843=5,IF($AJ2843=30,"③特定消防","対象外"),IF(OR($AJ2843=10,$AJ2843=11,$AJ2843=74),"④一般",IF(OR($AJ2843=41,$AJ2843=47),"⑤短期","対象外"))))))</f>
        <v/>
      </c>
    </row>
    <row r="2844" customFormat="false" ht="15" hidden="false" customHeight="false" outlineLevel="0" collapsed="false">
      <c r="DB2844" s="0" t="str">
        <f aca="false">IF($A2844="","",IF($AE2844&amp;""&lt;&gt;設定!$C$4,"対象外",IF($AH2844=20,IF(OR($AJ2844=10,$AJ2844=11,$AJ2844=18),"①病院一般",IF($AJ2844=41,"②病院短期","対象外")),IF($AH2844=5,IF($AJ2844=30,"③特定消防","対象外"),IF(OR($AJ2844=10,$AJ2844=11,$AJ2844=74),"④一般",IF(OR($AJ2844=41,$AJ2844=47),"⑤短期","対象外"))))))</f>
        <v/>
      </c>
    </row>
    <row r="2845" customFormat="false" ht="15" hidden="false" customHeight="false" outlineLevel="0" collapsed="false">
      <c r="DB2845" s="0" t="str">
        <f aca="false">IF($A2845="","",IF($AE2845&amp;""&lt;&gt;設定!$C$4,"対象外",IF($AH2845=20,IF(OR($AJ2845=10,$AJ2845=11,$AJ2845=18),"①病院一般",IF($AJ2845=41,"②病院短期","対象外")),IF($AH2845=5,IF($AJ2845=30,"③特定消防","対象外"),IF(OR($AJ2845=10,$AJ2845=11,$AJ2845=74),"④一般",IF(OR($AJ2845=41,$AJ2845=47),"⑤短期","対象外"))))))</f>
        <v/>
      </c>
    </row>
    <row r="2846" customFormat="false" ht="15" hidden="false" customHeight="false" outlineLevel="0" collapsed="false">
      <c r="DB2846" s="0" t="str">
        <f aca="false">IF($A2846="","",IF($AE2846&amp;""&lt;&gt;設定!$C$4,"対象外",IF($AH2846=20,IF(OR($AJ2846=10,$AJ2846=11,$AJ2846=18),"①病院一般",IF($AJ2846=41,"②病院短期","対象外")),IF($AH2846=5,IF($AJ2846=30,"③特定消防","対象外"),IF(OR($AJ2846=10,$AJ2846=11,$AJ2846=74),"④一般",IF(OR($AJ2846=41,$AJ2846=47),"⑤短期","対象外"))))))</f>
        <v/>
      </c>
    </row>
    <row r="2847" customFormat="false" ht="15" hidden="false" customHeight="false" outlineLevel="0" collapsed="false">
      <c r="DB2847" s="0" t="str">
        <f aca="false">IF($A2847="","",IF($AE2847&amp;""&lt;&gt;設定!$C$4,"対象外",IF($AH2847=20,IF(OR($AJ2847=10,$AJ2847=11,$AJ2847=18),"①病院一般",IF($AJ2847=41,"②病院短期","対象外")),IF($AH2847=5,IF($AJ2847=30,"③特定消防","対象外"),IF(OR($AJ2847=10,$AJ2847=11,$AJ2847=74),"④一般",IF(OR($AJ2847=41,$AJ2847=47),"⑤短期","対象外"))))))</f>
        <v/>
      </c>
    </row>
    <row r="2848" customFormat="false" ht="15" hidden="false" customHeight="false" outlineLevel="0" collapsed="false">
      <c r="DB2848" s="0" t="str">
        <f aca="false">IF($A2848="","",IF($AE2848&amp;""&lt;&gt;設定!$C$4,"対象外",IF($AH2848=20,IF(OR($AJ2848=10,$AJ2848=11,$AJ2848=18),"①病院一般",IF($AJ2848=41,"②病院短期","対象外")),IF($AH2848=5,IF($AJ2848=30,"③特定消防","対象外"),IF(OR($AJ2848=10,$AJ2848=11,$AJ2848=74),"④一般",IF(OR($AJ2848=41,$AJ2848=47),"⑤短期","対象外"))))))</f>
        <v/>
      </c>
    </row>
    <row r="2849" customFormat="false" ht="15" hidden="false" customHeight="false" outlineLevel="0" collapsed="false">
      <c r="DB2849" s="0" t="str">
        <f aca="false">IF($A2849="","",IF($AE2849&amp;""&lt;&gt;設定!$C$4,"対象外",IF($AH2849=20,IF(OR($AJ2849=10,$AJ2849=11,$AJ2849=18),"①病院一般",IF($AJ2849=41,"②病院短期","対象外")),IF($AH2849=5,IF($AJ2849=30,"③特定消防","対象外"),IF(OR($AJ2849=10,$AJ2849=11,$AJ2849=74),"④一般",IF(OR($AJ2849=41,$AJ2849=47),"⑤短期","対象外"))))))</f>
        <v/>
      </c>
    </row>
    <row r="2850" customFormat="false" ht="15" hidden="false" customHeight="false" outlineLevel="0" collapsed="false">
      <c r="DB2850" s="0" t="str">
        <f aca="false">IF($A2850="","",IF($AE2850&amp;""&lt;&gt;設定!$C$4,"対象外",IF($AH2850=20,IF(OR($AJ2850=10,$AJ2850=11,$AJ2850=18),"①病院一般",IF($AJ2850=41,"②病院短期","対象外")),IF($AH2850=5,IF($AJ2850=30,"③特定消防","対象外"),IF(OR($AJ2850=10,$AJ2850=11,$AJ2850=74),"④一般",IF(OR($AJ2850=41,$AJ2850=47),"⑤短期","対象外"))))))</f>
        <v/>
      </c>
    </row>
    <row r="2851" customFormat="false" ht="15" hidden="false" customHeight="false" outlineLevel="0" collapsed="false">
      <c r="DB2851" s="0" t="str">
        <f aca="false">IF($A2851="","",IF($AE2851&amp;""&lt;&gt;設定!$C$4,"対象外",IF($AH2851=20,IF(OR($AJ2851=10,$AJ2851=11,$AJ2851=18),"①病院一般",IF($AJ2851=41,"②病院短期","対象外")),IF($AH2851=5,IF($AJ2851=30,"③特定消防","対象外"),IF(OR($AJ2851=10,$AJ2851=11,$AJ2851=74),"④一般",IF(OR($AJ2851=41,$AJ2851=47),"⑤短期","対象外"))))))</f>
        <v/>
      </c>
    </row>
    <row r="2852" customFormat="false" ht="15" hidden="false" customHeight="false" outlineLevel="0" collapsed="false">
      <c r="DB2852" s="0" t="str">
        <f aca="false">IF($A2852="","",IF($AE2852&amp;""&lt;&gt;設定!$C$4,"対象外",IF($AH2852=20,IF(OR($AJ2852=10,$AJ2852=11,$AJ2852=18),"①病院一般",IF($AJ2852=41,"②病院短期","対象外")),IF($AH2852=5,IF($AJ2852=30,"③特定消防","対象外"),IF(OR($AJ2852=10,$AJ2852=11,$AJ2852=74),"④一般",IF(OR($AJ2852=41,$AJ2852=47),"⑤短期","対象外"))))))</f>
        <v/>
      </c>
    </row>
    <row r="2853" customFormat="false" ht="15" hidden="false" customHeight="false" outlineLevel="0" collapsed="false">
      <c r="DB2853" s="0" t="str">
        <f aca="false">IF($A2853="","",IF($AE2853&amp;""&lt;&gt;設定!$C$4,"対象外",IF($AH2853=20,IF(OR($AJ2853=10,$AJ2853=11,$AJ2853=18),"①病院一般",IF($AJ2853=41,"②病院短期","対象外")),IF($AH2853=5,IF($AJ2853=30,"③特定消防","対象外"),IF(OR($AJ2853=10,$AJ2853=11,$AJ2853=74),"④一般",IF(OR($AJ2853=41,$AJ2853=47),"⑤短期","対象外"))))))</f>
        <v/>
      </c>
    </row>
    <row r="2854" customFormat="false" ht="15" hidden="false" customHeight="false" outlineLevel="0" collapsed="false">
      <c r="DB2854" s="0" t="str">
        <f aca="false">IF($A2854="","",IF($AE2854&amp;""&lt;&gt;設定!$C$4,"対象外",IF($AH2854=20,IF(OR($AJ2854=10,$AJ2854=11,$AJ2854=18),"①病院一般",IF($AJ2854=41,"②病院短期","対象外")),IF($AH2854=5,IF($AJ2854=30,"③特定消防","対象外"),IF(OR($AJ2854=10,$AJ2854=11,$AJ2854=74),"④一般",IF(OR($AJ2854=41,$AJ2854=47),"⑤短期","対象外"))))))</f>
        <v/>
      </c>
    </row>
    <row r="2855" customFormat="false" ht="15" hidden="false" customHeight="false" outlineLevel="0" collapsed="false">
      <c r="DB2855" s="0" t="str">
        <f aca="false">IF($A2855="","",IF($AE2855&amp;""&lt;&gt;設定!$C$4,"対象外",IF($AH2855=20,IF(OR($AJ2855=10,$AJ2855=11,$AJ2855=18),"①病院一般",IF($AJ2855=41,"②病院短期","対象外")),IF($AH2855=5,IF($AJ2855=30,"③特定消防","対象外"),IF(OR($AJ2855=10,$AJ2855=11,$AJ2855=74),"④一般",IF(OR($AJ2855=41,$AJ2855=47),"⑤短期","対象外"))))))</f>
        <v/>
      </c>
    </row>
    <row r="2856" customFormat="false" ht="15" hidden="false" customHeight="false" outlineLevel="0" collapsed="false">
      <c r="DB2856" s="0" t="str">
        <f aca="false">IF($A2856="","",IF($AE2856&amp;""&lt;&gt;設定!$C$4,"対象外",IF($AH2856=20,IF(OR($AJ2856=10,$AJ2856=11,$AJ2856=18),"①病院一般",IF($AJ2856=41,"②病院短期","対象外")),IF($AH2856=5,IF($AJ2856=30,"③特定消防","対象外"),IF(OR($AJ2856=10,$AJ2856=11,$AJ2856=74),"④一般",IF(OR($AJ2856=41,$AJ2856=47),"⑤短期","対象外"))))))</f>
        <v/>
      </c>
    </row>
    <row r="2857" customFormat="false" ht="15" hidden="false" customHeight="false" outlineLevel="0" collapsed="false">
      <c r="DB2857" s="0" t="str">
        <f aca="false">IF($A2857="","",IF($AE2857&amp;""&lt;&gt;設定!$C$4,"対象外",IF($AH2857=20,IF(OR($AJ2857=10,$AJ2857=11,$AJ2857=18),"①病院一般",IF($AJ2857=41,"②病院短期","対象外")),IF($AH2857=5,IF($AJ2857=30,"③特定消防","対象外"),IF(OR($AJ2857=10,$AJ2857=11,$AJ2857=74),"④一般",IF(OR($AJ2857=41,$AJ2857=47),"⑤短期","対象外"))))))</f>
        <v/>
      </c>
    </row>
    <row r="2858" customFormat="false" ht="15" hidden="false" customHeight="false" outlineLevel="0" collapsed="false">
      <c r="DB2858" s="0" t="str">
        <f aca="false">IF($A2858="","",IF($AE2858&amp;""&lt;&gt;設定!$C$4,"対象外",IF($AH2858=20,IF(OR($AJ2858=10,$AJ2858=11,$AJ2858=18),"①病院一般",IF($AJ2858=41,"②病院短期","対象外")),IF($AH2858=5,IF($AJ2858=30,"③特定消防","対象外"),IF(OR($AJ2858=10,$AJ2858=11,$AJ2858=74),"④一般",IF(OR($AJ2858=41,$AJ2858=47),"⑤短期","対象外"))))))</f>
        <v/>
      </c>
    </row>
    <row r="2859" customFormat="false" ht="15" hidden="false" customHeight="false" outlineLevel="0" collapsed="false">
      <c r="DB2859" s="0" t="str">
        <f aca="false">IF($A2859="","",IF($AE2859&amp;""&lt;&gt;設定!$C$4,"対象外",IF($AH2859=20,IF(OR($AJ2859=10,$AJ2859=11,$AJ2859=18),"①病院一般",IF($AJ2859=41,"②病院短期","対象外")),IF($AH2859=5,IF($AJ2859=30,"③特定消防","対象外"),IF(OR($AJ2859=10,$AJ2859=11,$AJ2859=74),"④一般",IF(OR($AJ2859=41,$AJ2859=47),"⑤短期","対象外"))))))</f>
        <v/>
      </c>
    </row>
    <row r="2860" customFormat="false" ht="15" hidden="false" customHeight="false" outlineLevel="0" collapsed="false">
      <c r="DB2860" s="0" t="str">
        <f aca="false">IF($A2860="","",IF($AE2860&amp;""&lt;&gt;設定!$C$4,"対象外",IF($AH2860=20,IF(OR($AJ2860=10,$AJ2860=11,$AJ2860=18),"①病院一般",IF($AJ2860=41,"②病院短期","対象外")),IF($AH2860=5,IF($AJ2860=30,"③特定消防","対象外"),IF(OR($AJ2860=10,$AJ2860=11,$AJ2860=74),"④一般",IF(OR($AJ2860=41,$AJ2860=47),"⑤短期","対象外"))))))</f>
        <v/>
      </c>
    </row>
    <row r="2861" customFormat="false" ht="15" hidden="false" customHeight="false" outlineLevel="0" collapsed="false">
      <c r="DB2861" s="0" t="str">
        <f aca="false">IF($A2861="","",IF($AE2861&amp;""&lt;&gt;設定!$C$4,"対象外",IF($AH2861=20,IF(OR($AJ2861=10,$AJ2861=11,$AJ2861=18),"①病院一般",IF($AJ2861=41,"②病院短期","対象外")),IF($AH2861=5,IF($AJ2861=30,"③特定消防","対象外"),IF(OR($AJ2861=10,$AJ2861=11,$AJ2861=74),"④一般",IF(OR($AJ2861=41,$AJ2861=47),"⑤短期","対象外"))))))</f>
        <v/>
      </c>
    </row>
    <row r="2862" customFormat="false" ht="15" hidden="false" customHeight="false" outlineLevel="0" collapsed="false">
      <c r="DB2862" s="0" t="str">
        <f aca="false">IF($A2862="","",IF($AE2862&amp;""&lt;&gt;設定!$C$4,"対象外",IF($AH2862=20,IF(OR($AJ2862=10,$AJ2862=11,$AJ2862=18),"①病院一般",IF($AJ2862=41,"②病院短期","対象外")),IF($AH2862=5,IF($AJ2862=30,"③特定消防","対象外"),IF(OR($AJ2862=10,$AJ2862=11,$AJ2862=74),"④一般",IF(OR($AJ2862=41,$AJ2862=47),"⑤短期","対象外"))))))</f>
        <v/>
      </c>
    </row>
    <row r="2863" customFormat="false" ht="15" hidden="false" customHeight="false" outlineLevel="0" collapsed="false">
      <c r="DB2863" s="0" t="str">
        <f aca="false">IF($A2863="","",IF($AE2863&amp;""&lt;&gt;設定!$C$4,"対象外",IF($AH2863=20,IF(OR($AJ2863=10,$AJ2863=11,$AJ2863=18),"①病院一般",IF($AJ2863=41,"②病院短期","対象外")),IF($AH2863=5,IF($AJ2863=30,"③特定消防","対象外"),IF(OR($AJ2863=10,$AJ2863=11,$AJ2863=74),"④一般",IF(OR($AJ2863=41,$AJ2863=47),"⑤短期","対象外"))))))</f>
        <v/>
      </c>
    </row>
    <row r="2864" customFormat="false" ht="15" hidden="false" customHeight="false" outlineLevel="0" collapsed="false">
      <c r="DB2864" s="0" t="str">
        <f aca="false">IF($A2864="","",IF($AE2864&amp;""&lt;&gt;設定!$C$4,"対象外",IF($AH2864=20,IF(OR($AJ2864=10,$AJ2864=11,$AJ2864=18),"①病院一般",IF($AJ2864=41,"②病院短期","対象外")),IF($AH2864=5,IF($AJ2864=30,"③特定消防","対象外"),IF(OR($AJ2864=10,$AJ2864=11,$AJ2864=74),"④一般",IF(OR($AJ2864=41,$AJ2864=47),"⑤短期","対象外"))))))</f>
        <v/>
      </c>
    </row>
    <row r="2865" customFormat="false" ht="15" hidden="false" customHeight="false" outlineLevel="0" collapsed="false">
      <c r="DB2865" s="0" t="str">
        <f aca="false">IF($A2865="","",IF($AE2865&amp;""&lt;&gt;設定!$C$4,"対象外",IF($AH2865=20,IF(OR($AJ2865=10,$AJ2865=11,$AJ2865=18),"①病院一般",IF($AJ2865=41,"②病院短期","対象外")),IF($AH2865=5,IF($AJ2865=30,"③特定消防","対象外"),IF(OR($AJ2865=10,$AJ2865=11,$AJ2865=74),"④一般",IF(OR($AJ2865=41,$AJ2865=47),"⑤短期","対象外"))))))</f>
        <v/>
      </c>
    </row>
    <row r="2866" customFormat="false" ht="15" hidden="false" customHeight="false" outlineLevel="0" collapsed="false">
      <c r="DB2866" s="0" t="str">
        <f aca="false">IF($A2866="","",IF($AE2866&amp;""&lt;&gt;設定!$C$4,"対象外",IF($AH2866=20,IF(OR($AJ2866=10,$AJ2866=11,$AJ2866=18),"①病院一般",IF($AJ2866=41,"②病院短期","対象外")),IF($AH2866=5,IF($AJ2866=30,"③特定消防","対象外"),IF(OR($AJ2866=10,$AJ2866=11,$AJ2866=74),"④一般",IF(OR($AJ2866=41,$AJ2866=47),"⑤短期","対象外"))))))</f>
        <v/>
      </c>
    </row>
    <row r="2867" customFormat="false" ht="15" hidden="false" customHeight="false" outlineLevel="0" collapsed="false">
      <c r="DB2867" s="0" t="str">
        <f aca="false">IF($A2867="","",IF($AE2867&amp;""&lt;&gt;設定!$C$4,"対象外",IF($AH2867=20,IF(OR($AJ2867=10,$AJ2867=11,$AJ2867=18),"①病院一般",IF($AJ2867=41,"②病院短期","対象外")),IF($AH2867=5,IF($AJ2867=30,"③特定消防","対象外"),IF(OR($AJ2867=10,$AJ2867=11,$AJ2867=74),"④一般",IF(OR($AJ2867=41,$AJ2867=47),"⑤短期","対象外"))))))</f>
        <v/>
      </c>
    </row>
    <row r="2868" customFormat="false" ht="15" hidden="false" customHeight="false" outlineLevel="0" collapsed="false">
      <c r="DB2868" s="0" t="str">
        <f aca="false">IF($A2868="","",IF($AE2868&amp;""&lt;&gt;設定!$C$4,"対象外",IF($AH2868=20,IF(OR($AJ2868=10,$AJ2868=11,$AJ2868=18),"①病院一般",IF($AJ2868=41,"②病院短期","対象外")),IF($AH2868=5,IF($AJ2868=30,"③特定消防","対象外"),IF(OR($AJ2868=10,$AJ2868=11,$AJ2868=74),"④一般",IF(OR($AJ2868=41,$AJ2868=47),"⑤短期","対象外"))))))</f>
        <v/>
      </c>
    </row>
    <row r="2869" customFormat="false" ht="15" hidden="false" customHeight="false" outlineLevel="0" collapsed="false">
      <c r="DB2869" s="0" t="str">
        <f aca="false">IF($A2869="","",IF($AE2869&amp;""&lt;&gt;設定!$C$4,"対象外",IF($AH2869=20,IF(OR($AJ2869=10,$AJ2869=11,$AJ2869=18),"①病院一般",IF($AJ2869=41,"②病院短期","対象外")),IF($AH2869=5,IF($AJ2869=30,"③特定消防","対象外"),IF(OR($AJ2869=10,$AJ2869=11,$AJ2869=74),"④一般",IF(OR($AJ2869=41,$AJ2869=47),"⑤短期","対象外"))))))</f>
        <v/>
      </c>
    </row>
    <row r="2870" customFormat="false" ht="15" hidden="false" customHeight="false" outlineLevel="0" collapsed="false">
      <c r="DB2870" s="0" t="str">
        <f aca="false">IF($A2870="","",IF($AE2870&amp;""&lt;&gt;設定!$C$4,"対象外",IF($AH2870=20,IF(OR($AJ2870=10,$AJ2870=11,$AJ2870=18),"①病院一般",IF($AJ2870=41,"②病院短期","対象外")),IF($AH2870=5,IF($AJ2870=30,"③特定消防","対象外"),IF(OR($AJ2870=10,$AJ2870=11,$AJ2870=74),"④一般",IF(OR($AJ2870=41,$AJ2870=47),"⑤短期","対象外"))))))</f>
        <v/>
      </c>
    </row>
    <row r="2871" customFormat="false" ht="15" hidden="false" customHeight="false" outlineLevel="0" collapsed="false">
      <c r="DB2871" s="0" t="str">
        <f aca="false">IF($A2871="","",IF($AE2871&amp;""&lt;&gt;設定!$C$4,"対象外",IF($AH2871=20,IF(OR($AJ2871=10,$AJ2871=11,$AJ2871=18),"①病院一般",IF($AJ2871=41,"②病院短期","対象外")),IF($AH2871=5,IF($AJ2871=30,"③特定消防","対象外"),IF(OR($AJ2871=10,$AJ2871=11,$AJ2871=74),"④一般",IF(OR($AJ2871=41,$AJ2871=47),"⑤短期","対象外"))))))</f>
        <v/>
      </c>
    </row>
    <row r="2872" customFormat="false" ht="15" hidden="false" customHeight="false" outlineLevel="0" collapsed="false">
      <c r="DB2872" s="0" t="str">
        <f aca="false">IF($A2872="","",IF($AE2872&amp;""&lt;&gt;設定!$C$4,"対象外",IF($AH2872=20,IF(OR($AJ2872=10,$AJ2872=11,$AJ2872=18),"①病院一般",IF($AJ2872=41,"②病院短期","対象外")),IF($AH2872=5,IF($AJ2872=30,"③特定消防","対象外"),IF(OR($AJ2872=10,$AJ2872=11,$AJ2872=74),"④一般",IF(OR($AJ2872=41,$AJ2872=47),"⑤短期","対象外"))))))</f>
        <v/>
      </c>
    </row>
    <row r="2873" customFormat="false" ht="15" hidden="false" customHeight="false" outlineLevel="0" collapsed="false">
      <c r="DB2873" s="0" t="str">
        <f aca="false">IF($A2873="","",IF($AE2873&amp;""&lt;&gt;設定!$C$4,"対象外",IF($AH2873=20,IF(OR($AJ2873=10,$AJ2873=11,$AJ2873=18),"①病院一般",IF($AJ2873=41,"②病院短期","対象外")),IF($AH2873=5,IF($AJ2873=30,"③特定消防","対象外"),IF(OR($AJ2873=10,$AJ2873=11,$AJ2873=74),"④一般",IF(OR($AJ2873=41,$AJ2873=47),"⑤短期","対象外"))))))</f>
        <v/>
      </c>
    </row>
    <row r="2874" customFormat="false" ht="15" hidden="false" customHeight="false" outlineLevel="0" collapsed="false">
      <c r="DB2874" s="0" t="str">
        <f aca="false">IF($A2874="","",IF($AE2874&amp;""&lt;&gt;設定!$C$4,"対象外",IF($AH2874=20,IF(OR($AJ2874=10,$AJ2874=11,$AJ2874=18),"①病院一般",IF($AJ2874=41,"②病院短期","対象外")),IF($AH2874=5,IF($AJ2874=30,"③特定消防","対象外"),IF(OR($AJ2874=10,$AJ2874=11,$AJ2874=74),"④一般",IF(OR($AJ2874=41,$AJ2874=47),"⑤短期","対象外"))))))</f>
        <v/>
      </c>
    </row>
    <row r="2875" customFormat="false" ht="15" hidden="false" customHeight="false" outlineLevel="0" collapsed="false">
      <c r="DB2875" s="0" t="str">
        <f aca="false">IF($A2875="","",IF($AE2875&amp;""&lt;&gt;設定!$C$4,"対象外",IF($AH2875=20,IF(OR($AJ2875=10,$AJ2875=11,$AJ2875=18),"①病院一般",IF($AJ2875=41,"②病院短期","対象外")),IF($AH2875=5,IF($AJ2875=30,"③特定消防","対象外"),IF(OR($AJ2875=10,$AJ2875=11,$AJ2875=74),"④一般",IF(OR($AJ2875=41,$AJ2875=47),"⑤短期","対象外"))))))</f>
        <v/>
      </c>
    </row>
    <row r="2876" customFormat="false" ht="15" hidden="false" customHeight="false" outlineLevel="0" collapsed="false">
      <c r="DB2876" s="0" t="str">
        <f aca="false">IF($A2876="","",IF($AE2876&amp;""&lt;&gt;設定!$C$4,"対象外",IF($AH2876=20,IF(OR($AJ2876=10,$AJ2876=11,$AJ2876=18),"①病院一般",IF($AJ2876=41,"②病院短期","対象外")),IF($AH2876=5,IF($AJ2876=30,"③特定消防","対象外"),IF(OR($AJ2876=10,$AJ2876=11,$AJ2876=74),"④一般",IF(OR($AJ2876=41,$AJ2876=47),"⑤短期","対象外"))))))</f>
        <v/>
      </c>
    </row>
    <row r="2877" customFormat="false" ht="15" hidden="false" customHeight="false" outlineLevel="0" collapsed="false">
      <c r="DB2877" s="0" t="str">
        <f aca="false">IF($A2877="","",IF($AE2877&amp;""&lt;&gt;設定!$C$4,"対象外",IF($AH2877=20,IF(OR($AJ2877=10,$AJ2877=11,$AJ2877=18),"①病院一般",IF($AJ2877=41,"②病院短期","対象外")),IF($AH2877=5,IF($AJ2877=30,"③特定消防","対象外"),IF(OR($AJ2877=10,$AJ2877=11,$AJ2877=74),"④一般",IF(OR($AJ2877=41,$AJ2877=47),"⑤短期","対象外"))))))</f>
        <v/>
      </c>
    </row>
    <row r="2878" customFormat="false" ht="15" hidden="false" customHeight="false" outlineLevel="0" collapsed="false">
      <c r="DB2878" s="0" t="str">
        <f aca="false">IF($A2878="","",IF($AE2878&amp;""&lt;&gt;設定!$C$4,"対象外",IF($AH2878=20,IF(OR($AJ2878=10,$AJ2878=11,$AJ2878=18),"①病院一般",IF($AJ2878=41,"②病院短期","対象外")),IF($AH2878=5,IF($AJ2878=30,"③特定消防","対象外"),IF(OR($AJ2878=10,$AJ2878=11,$AJ2878=74),"④一般",IF(OR($AJ2878=41,$AJ2878=47),"⑤短期","対象外"))))))</f>
        <v/>
      </c>
    </row>
    <row r="2879" customFormat="false" ht="15" hidden="false" customHeight="false" outlineLevel="0" collapsed="false">
      <c r="DB2879" s="0" t="str">
        <f aca="false">IF($A2879="","",IF($AE2879&amp;""&lt;&gt;設定!$C$4,"対象外",IF($AH2879=20,IF(OR($AJ2879=10,$AJ2879=11,$AJ2879=18),"①病院一般",IF($AJ2879=41,"②病院短期","対象外")),IF($AH2879=5,IF($AJ2879=30,"③特定消防","対象外"),IF(OR($AJ2879=10,$AJ2879=11,$AJ2879=74),"④一般",IF(OR($AJ2879=41,$AJ2879=47),"⑤短期","対象外"))))))</f>
        <v/>
      </c>
    </row>
    <row r="2880" customFormat="false" ht="15" hidden="false" customHeight="false" outlineLevel="0" collapsed="false">
      <c r="DB2880" s="0" t="str">
        <f aca="false">IF($A2880="","",IF($AE2880&amp;""&lt;&gt;設定!$C$4,"対象外",IF($AH2880=20,IF(OR($AJ2880=10,$AJ2880=11,$AJ2880=18),"①病院一般",IF($AJ2880=41,"②病院短期","対象外")),IF($AH2880=5,IF($AJ2880=30,"③特定消防","対象外"),IF(OR($AJ2880=10,$AJ2880=11,$AJ2880=74),"④一般",IF(OR($AJ2880=41,$AJ2880=47),"⑤短期","対象外"))))))</f>
        <v/>
      </c>
    </row>
    <row r="2881" customFormat="false" ht="15" hidden="false" customHeight="false" outlineLevel="0" collapsed="false">
      <c r="DB2881" s="0" t="str">
        <f aca="false">IF($A2881="","",IF($AE2881&amp;""&lt;&gt;設定!$C$4,"対象外",IF($AH2881=20,IF(OR($AJ2881=10,$AJ2881=11,$AJ2881=18),"①病院一般",IF($AJ2881=41,"②病院短期","対象外")),IF($AH2881=5,IF($AJ2881=30,"③特定消防","対象外"),IF(OR($AJ2881=10,$AJ2881=11,$AJ2881=74),"④一般",IF(OR($AJ2881=41,$AJ2881=47),"⑤短期","対象外"))))))</f>
        <v/>
      </c>
    </row>
    <row r="2882" customFormat="false" ht="15" hidden="false" customHeight="false" outlineLevel="0" collapsed="false">
      <c r="DB2882" s="0" t="str">
        <f aca="false">IF($A2882="","",IF($AE2882&amp;""&lt;&gt;設定!$C$4,"対象外",IF($AH2882=20,IF(OR($AJ2882=10,$AJ2882=11,$AJ2882=18),"①病院一般",IF($AJ2882=41,"②病院短期","対象外")),IF($AH2882=5,IF($AJ2882=30,"③特定消防","対象外"),IF(OR($AJ2882=10,$AJ2882=11,$AJ2882=74),"④一般",IF(OR($AJ2882=41,$AJ2882=47),"⑤短期","対象外"))))))</f>
        <v/>
      </c>
    </row>
    <row r="2883" customFormat="false" ht="15" hidden="false" customHeight="false" outlineLevel="0" collapsed="false">
      <c r="DB2883" s="0" t="str">
        <f aca="false">IF($A2883="","",IF($AE2883&amp;""&lt;&gt;設定!$C$4,"対象外",IF($AH2883=20,IF(OR($AJ2883=10,$AJ2883=11,$AJ2883=18),"①病院一般",IF($AJ2883=41,"②病院短期","対象外")),IF($AH2883=5,IF($AJ2883=30,"③特定消防","対象外"),IF(OR($AJ2883=10,$AJ2883=11,$AJ2883=74),"④一般",IF(OR($AJ2883=41,$AJ2883=47),"⑤短期","対象外"))))))</f>
        <v/>
      </c>
    </row>
    <row r="2884" customFormat="false" ht="15" hidden="false" customHeight="false" outlineLevel="0" collapsed="false">
      <c r="DB2884" s="0" t="str">
        <f aca="false">IF($A2884="","",IF($AE2884&amp;""&lt;&gt;設定!$C$4,"対象外",IF($AH2884=20,IF(OR($AJ2884=10,$AJ2884=11,$AJ2884=18),"①病院一般",IF($AJ2884=41,"②病院短期","対象外")),IF($AH2884=5,IF($AJ2884=30,"③特定消防","対象外"),IF(OR($AJ2884=10,$AJ2884=11,$AJ2884=74),"④一般",IF(OR($AJ2884=41,$AJ2884=47),"⑤短期","対象外"))))))</f>
        <v/>
      </c>
    </row>
    <row r="2885" customFormat="false" ht="15" hidden="false" customHeight="false" outlineLevel="0" collapsed="false">
      <c r="DB2885" s="0" t="str">
        <f aca="false">IF($A2885="","",IF($AE2885&amp;""&lt;&gt;設定!$C$4,"対象外",IF($AH2885=20,IF(OR($AJ2885=10,$AJ2885=11,$AJ2885=18),"①病院一般",IF($AJ2885=41,"②病院短期","対象外")),IF($AH2885=5,IF($AJ2885=30,"③特定消防","対象外"),IF(OR($AJ2885=10,$AJ2885=11,$AJ2885=74),"④一般",IF(OR($AJ2885=41,$AJ2885=47),"⑤短期","対象外"))))))</f>
        <v/>
      </c>
    </row>
    <row r="2886" customFormat="false" ht="15" hidden="false" customHeight="false" outlineLevel="0" collapsed="false">
      <c r="DB2886" s="0" t="str">
        <f aca="false">IF($A2886="","",IF($AE2886&amp;""&lt;&gt;設定!$C$4,"対象外",IF($AH2886=20,IF(OR($AJ2886=10,$AJ2886=11,$AJ2886=18),"①病院一般",IF($AJ2886=41,"②病院短期","対象外")),IF($AH2886=5,IF($AJ2886=30,"③特定消防","対象外"),IF(OR($AJ2886=10,$AJ2886=11,$AJ2886=74),"④一般",IF(OR($AJ2886=41,$AJ2886=47),"⑤短期","対象外"))))))</f>
        <v/>
      </c>
    </row>
    <row r="2887" customFormat="false" ht="15" hidden="false" customHeight="false" outlineLevel="0" collapsed="false">
      <c r="DB2887" s="0" t="str">
        <f aca="false">IF($A2887="","",IF($AE2887&amp;""&lt;&gt;設定!$C$4,"対象外",IF($AH2887=20,IF(OR($AJ2887=10,$AJ2887=11,$AJ2887=18),"①病院一般",IF($AJ2887=41,"②病院短期","対象外")),IF($AH2887=5,IF($AJ2887=30,"③特定消防","対象外"),IF(OR($AJ2887=10,$AJ2887=11,$AJ2887=74),"④一般",IF(OR($AJ2887=41,$AJ2887=47),"⑤短期","対象外"))))))</f>
        <v/>
      </c>
    </row>
    <row r="2888" customFormat="false" ht="15" hidden="false" customHeight="false" outlineLevel="0" collapsed="false">
      <c r="DB2888" s="0" t="str">
        <f aca="false">IF($A2888="","",IF($AE2888&amp;""&lt;&gt;設定!$C$4,"対象外",IF($AH2888=20,IF(OR($AJ2888=10,$AJ2888=11,$AJ2888=18),"①病院一般",IF($AJ2888=41,"②病院短期","対象外")),IF($AH2888=5,IF($AJ2888=30,"③特定消防","対象外"),IF(OR($AJ2888=10,$AJ2888=11,$AJ2888=74),"④一般",IF(OR($AJ2888=41,$AJ2888=47),"⑤短期","対象外"))))))</f>
        <v/>
      </c>
    </row>
    <row r="2889" customFormat="false" ht="15" hidden="false" customHeight="false" outlineLevel="0" collapsed="false">
      <c r="DB2889" s="0" t="str">
        <f aca="false">IF($A2889="","",IF($AE2889&amp;""&lt;&gt;設定!$C$4,"対象外",IF($AH2889=20,IF(OR($AJ2889=10,$AJ2889=11,$AJ2889=18),"①病院一般",IF($AJ2889=41,"②病院短期","対象外")),IF($AH2889=5,IF($AJ2889=30,"③特定消防","対象外"),IF(OR($AJ2889=10,$AJ2889=11,$AJ2889=74),"④一般",IF(OR($AJ2889=41,$AJ2889=47),"⑤短期","対象外"))))))</f>
        <v/>
      </c>
    </row>
    <row r="2890" customFormat="false" ht="15" hidden="false" customHeight="false" outlineLevel="0" collapsed="false">
      <c r="DB2890" s="0" t="str">
        <f aca="false">IF($A2890="","",IF($AE2890&amp;""&lt;&gt;設定!$C$4,"対象外",IF($AH2890=20,IF(OR($AJ2890=10,$AJ2890=11,$AJ2890=18),"①病院一般",IF($AJ2890=41,"②病院短期","対象外")),IF($AH2890=5,IF($AJ2890=30,"③特定消防","対象外"),IF(OR($AJ2890=10,$AJ2890=11,$AJ2890=74),"④一般",IF(OR($AJ2890=41,$AJ2890=47),"⑤短期","対象外"))))))</f>
        <v/>
      </c>
    </row>
    <row r="2891" customFormat="false" ht="15" hidden="false" customHeight="false" outlineLevel="0" collapsed="false">
      <c r="DB2891" s="0" t="str">
        <f aca="false">IF($A2891="","",IF($AE2891&amp;""&lt;&gt;設定!$C$4,"対象外",IF($AH2891=20,IF(OR($AJ2891=10,$AJ2891=11,$AJ2891=18),"①病院一般",IF($AJ2891=41,"②病院短期","対象外")),IF($AH2891=5,IF($AJ2891=30,"③特定消防","対象外"),IF(OR($AJ2891=10,$AJ2891=11,$AJ2891=74),"④一般",IF(OR($AJ2891=41,$AJ2891=47),"⑤短期","対象外"))))))</f>
        <v/>
      </c>
    </row>
    <row r="2892" customFormat="false" ht="15" hidden="false" customHeight="false" outlineLevel="0" collapsed="false">
      <c r="DB2892" s="0" t="str">
        <f aca="false">IF($A2892="","",IF($AE2892&amp;""&lt;&gt;設定!$C$4,"対象外",IF($AH2892=20,IF(OR($AJ2892=10,$AJ2892=11,$AJ2892=18),"①病院一般",IF($AJ2892=41,"②病院短期","対象外")),IF($AH2892=5,IF($AJ2892=30,"③特定消防","対象外"),IF(OR($AJ2892=10,$AJ2892=11,$AJ2892=74),"④一般",IF(OR($AJ2892=41,$AJ2892=47),"⑤短期","対象外"))))))</f>
        <v/>
      </c>
    </row>
    <row r="2893" customFormat="false" ht="15" hidden="false" customHeight="false" outlineLevel="0" collapsed="false">
      <c r="DB2893" s="0" t="str">
        <f aca="false">IF($A2893="","",IF($AE2893&amp;""&lt;&gt;設定!$C$4,"対象外",IF($AH2893=20,IF(OR($AJ2893=10,$AJ2893=11,$AJ2893=18),"①病院一般",IF($AJ2893=41,"②病院短期","対象外")),IF($AH2893=5,IF($AJ2893=30,"③特定消防","対象外"),IF(OR($AJ2893=10,$AJ2893=11,$AJ2893=74),"④一般",IF(OR($AJ2893=41,$AJ2893=47),"⑤短期","対象外"))))))</f>
        <v/>
      </c>
    </row>
    <row r="2894" customFormat="false" ht="15" hidden="false" customHeight="false" outlineLevel="0" collapsed="false">
      <c r="DB2894" s="0" t="str">
        <f aca="false">IF($A2894="","",IF($AE2894&amp;""&lt;&gt;設定!$C$4,"対象外",IF($AH2894=20,IF(OR($AJ2894=10,$AJ2894=11,$AJ2894=18),"①病院一般",IF($AJ2894=41,"②病院短期","対象外")),IF($AH2894=5,IF($AJ2894=30,"③特定消防","対象外"),IF(OR($AJ2894=10,$AJ2894=11,$AJ2894=74),"④一般",IF(OR($AJ2894=41,$AJ2894=47),"⑤短期","対象外"))))))</f>
        <v/>
      </c>
    </row>
    <row r="2895" customFormat="false" ht="15" hidden="false" customHeight="false" outlineLevel="0" collapsed="false">
      <c r="DB2895" s="0" t="str">
        <f aca="false">IF($A2895="","",IF($AE2895&amp;""&lt;&gt;設定!$C$4,"対象外",IF($AH2895=20,IF(OR($AJ2895=10,$AJ2895=11,$AJ2895=18),"①病院一般",IF($AJ2895=41,"②病院短期","対象外")),IF($AH2895=5,IF($AJ2895=30,"③特定消防","対象外"),IF(OR($AJ2895=10,$AJ2895=11,$AJ2895=74),"④一般",IF(OR($AJ2895=41,$AJ2895=47),"⑤短期","対象外"))))))</f>
        <v/>
      </c>
    </row>
    <row r="2896" customFormat="false" ht="15" hidden="false" customHeight="false" outlineLevel="0" collapsed="false">
      <c r="DB2896" s="0" t="str">
        <f aca="false">IF($A2896="","",IF($AE2896&amp;""&lt;&gt;設定!$C$4,"対象外",IF($AH2896=20,IF(OR($AJ2896=10,$AJ2896=11,$AJ2896=18),"①病院一般",IF($AJ2896=41,"②病院短期","対象外")),IF($AH2896=5,IF($AJ2896=30,"③特定消防","対象外"),IF(OR($AJ2896=10,$AJ2896=11,$AJ2896=74),"④一般",IF(OR($AJ2896=41,$AJ2896=47),"⑤短期","対象外"))))))</f>
        <v/>
      </c>
    </row>
    <row r="2897" customFormat="false" ht="15" hidden="false" customHeight="false" outlineLevel="0" collapsed="false">
      <c r="DB2897" s="0" t="str">
        <f aca="false">IF($A2897="","",IF($AE2897&amp;""&lt;&gt;設定!$C$4,"対象外",IF($AH2897=20,IF(OR($AJ2897=10,$AJ2897=11,$AJ2897=18),"①病院一般",IF($AJ2897=41,"②病院短期","対象外")),IF($AH2897=5,IF($AJ2897=30,"③特定消防","対象外"),IF(OR($AJ2897=10,$AJ2897=11,$AJ2897=74),"④一般",IF(OR($AJ2897=41,$AJ2897=47),"⑤短期","対象外"))))))</f>
        <v/>
      </c>
    </row>
    <row r="2898" customFormat="false" ht="15" hidden="false" customHeight="false" outlineLevel="0" collapsed="false">
      <c r="DB2898" s="0" t="str">
        <f aca="false">IF($A2898="","",IF($AE2898&amp;""&lt;&gt;設定!$C$4,"対象外",IF($AH2898=20,IF(OR($AJ2898=10,$AJ2898=11,$AJ2898=18),"①病院一般",IF($AJ2898=41,"②病院短期","対象外")),IF($AH2898=5,IF($AJ2898=30,"③特定消防","対象外"),IF(OR($AJ2898=10,$AJ2898=11,$AJ2898=74),"④一般",IF(OR($AJ2898=41,$AJ2898=47),"⑤短期","対象外"))))))</f>
        <v/>
      </c>
    </row>
    <row r="2899" customFormat="false" ht="15" hidden="false" customHeight="false" outlineLevel="0" collapsed="false">
      <c r="DB2899" s="0" t="str">
        <f aca="false">IF($A2899="","",IF($AE2899&amp;""&lt;&gt;設定!$C$4,"対象外",IF($AH2899=20,IF(OR($AJ2899=10,$AJ2899=11,$AJ2899=18),"①病院一般",IF($AJ2899=41,"②病院短期","対象外")),IF($AH2899=5,IF($AJ2899=30,"③特定消防","対象外"),IF(OR($AJ2899=10,$AJ2899=11,$AJ2899=74),"④一般",IF(OR($AJ2899=41,$AJ2899=47),"⑤短期","対象外"))))))</f>
        <v/>
      </c>
    </row>
    <row r="2900" customFormat="false" ht="15" hidden="false" customHeight="false" outlineLevel="0" collapsed="false">
      <c r="DB2900" s="0" t="str">
        <f aca="false">IF($A2900="","",IF($AE2900&amp;""&lt;&gt;設定!$C$4,"対象外",IF($AH2900=20,IF(OR($AJ2900=10,$AJ2900=11,$AJ2900=18),"①病院一般",IF($AJ2900=41,"②病院短期","対象外")),IF($AH2900=5,IF($AJ2900=30,"③特定消防","対象外"),IF(OR($AJ2900=10,$AJ2900=11,$AJ2900=74),"④一般",IF(OR($AJ2900=41,$AJ2900=47),"⑤短期","対象外"))))))</f>
        <v/>
      </c>
    </row>
    <row r="2901" customFormat="false" ht="15" hidden="false" customHeight="false" outlineLevel="0" collapsed="false">
      <c r="DB2901" s="0" t="str">
        <f aca="false">IF($A2901="","",IF($AE2901&amp;""&lt;&gt;設定!$C$4,"対象外",IF($AH2901=20,IF(OR($AJ2901=10,$AJ2901=11,$AJ2901=18),"①病院一般",IF($AJ2901=41,"②病院短期","対象外")),IF($AH2901=5,IF($AJ2901=30,"③特定消防","対象外"),IF(OR($AJ2901=10,$AJ2901=11,$AJ2901=74),"④一般",IF(OR($AJ2901=41,$AJ2901=47),"⑤短期","対象外"))))))</f>
        <v/>
      </c>
    </row>
    <row r="2902" customFormat="false" ht="15" hidden="false" customHeight="false" outlineLevel="0" collapsed="false">
      <c r="DB2902" s="0" t="str">
        <f aca="false">IF($A2902="","",IF($AE2902&amp;""&lt;&gt;設定!$C$4,"対象外",IF($AH2902=20,IF(OR($AJ2902=10,$AJ2902=11,$AJ2902=18),"①病院一般",IF($AJ2902=41,"②病院短期","対象外")),IF($AH2902=5,IF($AJ2902=30,"③特定消防","対象外"),IF(OR($AJ2902=10,$AJ2902=11,$AJ2902=74),"④一般",IF(OR($AJ2902=41,$AJ2902=47),"⑤短期","対象外"))))))</f>
        <v/>
      </c>
    </row>
    <row r="2903" customFormat="false" ht="15" hidden="false" customHeight="false" outlineLevel="0" collapsed="false">
      <c r="DB2903" s="0" t="str">
        <f aca="false">IF($A2903="","",IF($AE2903&amp;""&lt;&gt;設定!$C$4,"対象外",IF($AH2903=20,IF(OR($AJ2903=10,$AJ2903=11,$AJ2903=18),"①病院一般",IF($AJ2903=41,"②病院短期","対象外")),IF($AH2903=5,IF($AJ2903=30,"③特定消防","対象外"),IF(OR($AJ2903=10,$AJ2903=11,$AJ2903=74),"④一般",IF(OR($AJ2903=41,$AJ2903=47),"⑤短期","対象外"))))))</f>
        <v/>
      </c>
    </row>
    <row r="2904" customFormat="false" ht="15" hidden="false" customHeight="false" outlineLevel="0" collapsed="false">
      <c r="DB2904" s="0" t="str">
        <f aca="false">IF($A2904="","",IF($AE2904&amp;""&lt;&gt;設定!$C$4,"対象外",IF($AH2904=20,IF(OR($AJ2904=10,$AJ2904=11,$AJ2904=18),"①病院一般",IF($AJ2904=41,"②病院短期","対象外")),IF($AH2904=5,IF($AJ2904=30,"③特定消防","対象外"),IF(OR($AJ2904=10,$AJ2904=11,$AJ2904=74),"④一般",IF(OR($AJ2904=41,$AJ2904=47),"⑤短期","対象外"))))))</f>
        <v/>
      </c>
    </row>
    <row r="2905" customFormat="false" ht="15" hidden="false" customHeight="false" outlineLevel="0" collapsed="false">
      <c r="DB2905" s="0" t="str">
        <f aca="false">IF($A2905="","",IF($AE2905&amp;""&lt;&gt;設定!$C$4,"対象外",IF($AH2905=20,IF(OR($AJ2905=10,$AJ2905=11,$AJ2905=18),"①病院一般",IF($AJ2905=41,"②病院短期","対象外")),IF($AH2905=5,IF($AJ2905=30,"③特定消防","対象外"),IF(OR($AJ2905=10,$AJ2905=11,$AJ2905=74),"④一般",IF(OR($AJ2905=41,$AJ2905=47),"⑤短期","対象外"))))))</f>
        <v/>
      </c>
    </row>
    <row r="2906" customFormat="false" ht="15" hidden="false" customHeight="false" outlineLevel="0" collapsed="false">
      <c r="DB2906" s="0" t="str">
        <f aca="false">IF($A2906="","",IF($AE2906&amp;""&lt;&gt;設定!$C$4,"対象外",IF($AH2906=20,IF(OR($AJ2906=10,$AJ2906=11,$AJ2906=18),"①病院一般",IF($AJ2906=41,"②病院短期","対象外")),IF($AH2906=5,IF($AJ2906=30,"③特定消防","対象外"),IF(OR($AJ2906=10,$AJ2906=11,$AJ2906=74),"④一般",IF(OR($AJ2906=41,$AJ2906=47),"⑤短期","対象外"))))))</f>
        <v/>
      </c>
    </row>
    <row r="2907" customFormat="false" ht="15" hidden="false" customHeight="false" outlineLevel="0" collapsed="false">
      <c r="DB2907" s="0" t="str">
        <f aca="false">IF($A2907="","",IF($AE2907&amp;""&lt;&gt;設定!$C$4,"対象外",IF($AH2907=20,IF(OR($AJ2907=10,$AJ2907=11,$AJ2907=18),"①病院一般",IF($AJ2907=41,"②病院短期","対象外")),IF($AH2907=5,IF($AJ2907=30,"③特定消防","対象外"),IF(OR($AJ2907=10,$AJ2907=11,$AJ2907=74),"④一般",IF(OR($AJ2907=41,$AJ2907=47),"⑤短期","対象外"))))))</f>
        <v/>
      </c>
    </row>
    <row r="2908" customFormat="false" ht="15" hidden="false" customHeight="false" outlineLevel="0" collapsed="false">
      <c r="DB2908" s="0" t="str">
        <f aca="false">IF($A2908="","",IF($AE2908&amp;""&lt;&gt;設定!$C$4,"対象外",IF($AH2908=20,IF(OR($AJ2908=10,$AJ2908=11,$AJ2908=18),"①病院一般",IF($AJ2908=41,"②病院短期","対象外")),IF($AH2908=5,IF($AJ2908=30,"③特定消防","対象外"),IF(OR($AJ2908=10,$AJ2908=11,$AJ2908=74),"④一般",IF(OR($AJ2908=41,$AJ2908=47),"⑤短期","対象外"))))))</f>
        <v/>
      </c>
    </row>
    <row r="2909" customFormat="false" ht="15" hidden="false" customHeight="false" outlineLevel="0" collapsed="false">
      <c r="DB2909" s="0" t="str">
        <f aca="false">IF($A2909="","",IF($AE2909&amp;""&lt;&gt;設定!$C$4,"対象外",IF($AH2909=20,IF(OR($AJ2909=10,$AJ2909=11,$AJ2909=18),"①病院一般",IF($AJ2909=41,"②病院短期","対象外")),IF($AH2909=5,IF($AJ2909=30,"③特定消防","対象外"),IF(OR($AJ2909=10,$AJ2909=11,$AJ2909=74),"④一般",IF(OR($AJ2909=41,$AJ2909=47),"⑤短期","対象外"))))))</f>
        <v/>
      </c>
    </row>
    <row r="2910" customFormat="false" ht="15" hidden="false" customHeight="false" outlineLevel="0" collapsed="false">
      <c r="DB2910" s="0" t="str">
        <f aca="false">IF($A2910="","",IF($AE2910&amp;""&lt;&gt;設定!$C$4,"対象外",IF($AH2910=20,IF(OR($AJ2910=10,$AJ2910=11,$AJ2910=18),"①病院一般",IF($AJ2910=41,"②病院短期","対象外")),IF($AH2910=5,IF($AJ2910=30,"③特定消防","対象外"),IF(OR($AJ2910=10,$AJ2910=11,$AJ2910=74),"④一般",IF(OR($AJ2910=41,$AJ2910=47),"⑤短期","対象外"))))))</f>
        <v/>
      </c>
    </row>
    <row r="2911" customFormat="false" ht="15" hidden="false" customHeight="false" outlineLevel="0" collapsed="false">
      <c r="DB2911" s="0" t="str">
        <f aca="false">IF($A2911="","",IF($AE2911&amp;""&lt;&gt;設定!$C$4,"対象外",IF($AH2911=20,IF(OR($AJ2911=10,$AJ2911=11,$AJ2911=18),"①病院一般",IF($AJ2911=41,"②病院短期","対象外")),IF($AH2911=5,IF($AJ2911=30,"③特定消防","対象外"),IF(OR($AJ2911=10,$AJ2911=11,$AJ2911=74),"④一般",IF(OR($AJ2911=41,$AJ2911=47),"⑤短期","対象外"))))))</f>
        <v/>
      </c>
    </row>
    <row r="2912" customFormat="false" ht="15" hidden="false" customHeight="false" outlineLevel="0" collapsed="false">
      <c r="DB2912" s="0" t="str">
        <f aca="false">IF($A2912="","",IF($AE2912&amp;""&lt;&gt;設定!$C$4,"対象外",IF($AH2912=20,IF(OR($AJ2912=10,$AJ2912=11,$AJ2912=18),"①病院一般",IF($AJ2912=41,"②病院短期","対象外")),IF($AH2912=5,IF($AJ2912=30,"③特定消防","対象外"),IF(OR($AJ2912=10,$AJ2912=11,$AJ2912=74),"④一般",IF(OR($AJ2912=41,$AJ2912=47),"⑤短期","対象外"))))))</f>
        <v/>
      </c>
    </row>
    <row r="2913" customFormat="false" ht="15" hidden="false" customHeight="false" outlineLevel="0" collapsed="false">
      <c r="DB2913" s="0" t="str">
        <f aca="false">IF($A2913="","",IF($AE2913&amp;""&lt;&gt;設定!$C$4,"対象外",IF($AH2913=20,IF(OR($AJ2913=10,$AJ2913=11,$AJ2913=18),"①病院一般",IF($AJ2913=41,"②病院短期","対象外")),IF($AH2913=5,IF($AJ2913=30,"③特定消防","対象外"),IF(OR($AJ2913=10,$AJ2913=11,$AJ2913=74),"④一般",IF(OR($AJ2913=41,$AJ2913=47),"⑤短期","対象外"))))))</f>
        <v/>
      </c>
    </row>
    <row r="2914" customFormat="false" ht="15" hidden="false" customHeight="false" outlineLevel="0" collapsed="false">
      <c r="DB2914" s="0" t="str">
        <f aca="false">IF($A2914="","",IF($AE2914&amp;""&lt;&gt;設定!$C$4,"対象外",IF($AH2914=20,IF(OR($AJ2914=10,$AJ2914=11,$AJ2914=18),"①病院一般",IF($AJ2914=41,"②病院短期","対象外")),IF($AH2914=5,IF($AJ2914=30,"③特定消防","対象外"),IF(OR($AJ2914=10,$AJ2914=11,$AJ2914=74),"④一般",IF(OR($AJ2914=41,$AJ2914=47),"⑤短期","対象外"))))))</f>
        <v/>
      </c>
    </row>
    <row r="2915" customFormat="false" ht="15" hidden="false" customHeight="false" outlineLevel="0" collapsed="false">
      <c r="DB2915" s="0" t="str">
        <f aca="false">IF($A2915="","",IF($AE2915&amp;""&lt;&gt;設定!$C$4,"対象外",IF($AH2915=20,IF(OR($AJ2915=10,$AJ2915=11,$AJ2915=18),"①病院一般",IF($AJ2915=41,"②病院短期","対象外")),IF($AH2915=5,IF($AJ2915=30,"③特定消防","対象外"),IF(OR($AJ2915=10,$AJ2915=11,$AJ2915=74),"④一般",IF(OR($AJ2915=41,$AJ2915=47),"⑤短期","対象外"))))))</f>
        <v/>
      </c>
    </row>
    <row r="2916" customFormat="false" ht="15" hidden="false" customHeight="false" outlineLevel="0" collapsed="false">
      <c r="DB2916" s="0" t="str">
        <f aca="false">IF($A2916="","",IF($AE2916&amp;""&lt;&gt;設定!$C$4,"対象外",IF($AH2916=20,IF(OR($AJ2916=10,$AJ2916=11,$AJ2916=18),"①病院一般",IF($AJ2916=41,"②病院短期","対象外")),IF($AH2916=5,IF($AJ2916=30,"③特定消防","対象外"),IF(OR($AJ2916=10,$AJ2916=11,$AJ2916=74),"④一般",IF(OR($AJ2916=41,$AJ2916=47),"⑤短期","対象外"))))))</f>
        <v/>
      </c>
    </row>
    <row r="2917" customFormat="false" ht="15" hidden="false" customHeight="false" outlineLevel="0" collapsed="false">
      <c r="DB2917" s="0" t="str">
        <f aca="false">IF($A2917="","",IF($AE2917&amp;""&lt;&gt;設定!$C$4,"対象外",IF($AH2917=20,IF(OR($AJ2917=10,$AJ2917=11,$AJ2917=18),"①病院一般",IF($AJ2917=41,"②病院短期","対象外")),IF($AH2917=5,IF($AJ2917=30,"③特定消防","対象外"),IF(OR($AJ2917=10,$AJ2917=11,$AJ2917=74),"④一般",IF(OR($AJ2917=41,$AJ2917=47),"⑤短期","対象外"))))))</f>
        <v/>
      </c>
    </row>
    <row r="2918" customFormat="false" ht="15" hidden="false" customHeight="false" outlineLevel="0" collapsed="false">
      <c r="DB2918" s="0" t="str">
        <f aca="false">IF($A2918="","",IF($AE2918&amp;""&lt;&gt;設定!$C$4,"対象外",IF($AH2918=20,IF(OR($AJ2918=10,$AJ2918=11,$AJ2918=18),"①病院一般",IF($AJ2918=41,"②病院短期","対象外")),IF($AH2918=5,IF($AJ2918=30,"③特定消防","対象外"),IF(OR($AJ2918=10,$AJ2918=11,$AJ2918=74),"④一般",IF(OR($AJ2918=41,$AJ2918=47),"⑤短期","対象外"))))))</f>
        <v/>
      </c>
    </row>
    <row r="2919" customFormat="false" ht="15" hidden="false" customHeight="false" outlineLevel="0" collapsed="false">
      <c r="DB2919" s="0" t="str">
        <f aca="false">IF($A2919="","",IF($AE2919&amp;""&lt;&gt;設定!$C$4,"対象外",IF($AH2919=20,IF(OR($AJ2919=10,$AJ2919=11,$AJ2919=18),"①病院一般",IF($AJ2919=41,"②病院短期","対象外")),IF($AH2919=5,IF($AJ2919=30,"③特定消防","対象外"),IF(OR($AJ2919=10,$AJ2919=11,$AJ2919=74),"④一般",IF(OR($AJ2919=41,$AJ2919=47),"⑤短期","対象外"))))))</f>
        <v/>
      </c>
    </row>
    <row r="2920" customFormat="false" ht="15" hidden="false" customHeight="false" outlineLevel="0" collapsed="false">
      <c r="DB2920" s="0" t="str">
        <f aca="false">IF($A2920="","",IF($AE2920&amp;""&lt;&gt;設定!$C$4,"対象外",IF($AH2920=20,IF(OR($AJ2920=10,$AJ2920=11,$AJ2920=18),"①病院一般",IF($AJ2920=41,"②病院短期","対象外")),IF($AH2920=5,IF($AJ2920=30,"③特定消防","対象外"),IF(OR($AJ2920=10,$AJ2920=11,$AJ2920=74),"④一般",IF(OR($AJ2920=41,$AJ2920=47),"⑤短期","対象外"))))))</f>
        <v/>
      </c>
    </row>
    <row r="2921" customFormat="false" ht="15" hidden="false" customHeight="false" outlineLevel="0" collapsed="false">
      <c r="DB2921" s="0" t="str">
        <f aca="false">IF($A2921="","",IF($AE2921&amp;""&lt;&gt;設定!$C$4,"対象外",IF($AH2921=20,IF(OR($AJ2921=10,$AJ2921=11,$AJ2921=18),"①病院一般",IF($AJ2921=41,"②病院短期","対象外")),IF($AH2921=5,IF($AJ2921=30,"③特定消防","対象外"),IF(OR($AJ2921=10,$AJ2921=11,$AJ2921=74),"④一般",IF(OR($AJ2921=41,$AJ2921=47),"⑤短期","対象外"))))))</f>
        <v/>
      </c>
    </row>
    <row r="2922" customFormat="false" ht="15" hidden="false" customHeight="false" outlineLevel="0" collapsed="false">
      <c r="DB2922" s="0" t="str">
        <f aca="false">IF($A2922="","",IF($AE2922&amp;""&lt;&gt;設定!$C$4,"対象外",IF($AH2922=20,IF(OR($AJ2922=10,$AJ2922=11,$AJ2922=18),"①病院一般",IF($AJ2922=41,"②病院短期","対象外")),IF($AH2922=5,IF($AJ2922=30,"③特定消防","対象外"),IF(OR($AJ2922=10,$AJ2922=11,$AJ2922=74),"④一般",IF(OR($AJ2922=41,$AJ2922=47),"⑤短期","対象外"))))))</f>
        <v/>
      </c>
    </row>
    <row r="2923" customFormat="false" ht="15" hidden="false" customHeight="false" outlineLevel="0" collapsed="false">
      <c r="DB2923" s="0" t="str">
        <f aca="false">IF($A2923="","",IF($AE2923&amp;""&lt;&gt;設定!$C$4,"対象外",IF($AH2923=20,IF(OR($AJ2923=10,$AJ2923=11,$AJ2923=18),"①病院一般",IF($AJ2923=41,"②病院短期","対象外")),IF($AH2923=5,IF($AJ2923=30,"③特定消防","対象外"),IF(OR($AJ2923=10,$AJ2923=11,$AJ2923=74),"④一般",IF(OR($AJ2923=41,$AJ2923=47),"⑤短期","対象外"))))))</f>
        <v/>
      </c>
    </row>
    <row r="2924" customFormat="false" ht="15" hidden="false" customHeight="false" outlineLevel="0" collapsed="false">
      <c r="DB2924" s="0" t="str">
        <f aca="false">IF($A2924="","",IF($AE2924&amp;""&lt;&gt;設定!$C$4,"対象外",IF($AH2924=20,IF(OR($AJ2924=10,$AJ2924=11,$AJ2924=18),"①病院一般",IF($AJ2924=41,"②病院短期","対象外")),IF($AH2924=5,IF($AJ2924=30,"③特定消防","対象外"),IF(OR($AJ2924=10,$AJ2924=11,$AJ2924=74),"④一般",IF(OR($AJ2924=41,$AJ2924=47),"⑤短期","対象外"))))))</f>
        <v/>
      </c>
    </row>
    <row r="2925" customFormat="false" ht="15" hidden="false" customHeight="false" outlineLevel="0" collapsed="false">
      <c r="DB2925" s="0" t="str">
        <f aca="false">IF($A2925="","",IF($AE2925&amp;""&lt;&gt;設定!$C$4,"対象外",IF($AH2925=20,IF(OR($AJ2925=10,$AJ2925=11,$AJ2925=18),"①病院一般",IF($AJ2925=41,"②病院短期","対象外")),IF($AH2925=5,IF($AJ2925=30,"③特定消防","対象外"),IF(OR($AJ2925=10,$AJ2925=11,$AJ2925=74),"④一般",IF(OR($AJ2925=41,$AJ2925=47),"⑤短期","対象外"))))))</f>
        <v/>
      </c>
    </row>
    <row r="2926" customFormat="false" ht="15" hidden="false" customHeight="false" outlineLevel="0" collapsed="false">
      <c r="DB2926" s="0" t="str">
        <f aca="false">IF($A2926="","",IF($AE2926&amp;""&lt;&gt;設定!$C$4,"対象外",IF($AH2926=20,IF(OR($AJ2926=10,$AJ2926=11,$AJ2926=18),"①病院一般",IF($AJ2926=41,"②病院短期","対象外")),IF($AH2926=5,IF($AJ2926=30,"③特定消防","対象外"),IF(OR($AJ2926=10,$AJ2926=11,$AJ2926=74),"④一般",IF(OR($AJ2926=41,$AJ2926=47),"⑤短期","対象外"))))))</f>
        <v/>
      </c>
    </row>
    <row r="2927" customFormat="false" ht="15" hidden="false" customHeight="false" outlineLevel="0" collapsed="false">
      <c r="DB2927" s="0" t="str">
        <f aca="false">IF($A2927="","",IF($AE2927&amp;""&lt;&gt;設定!$C$4,"対象外",IF($AH2927=20,IF(OR($AJ2927=10,$AJ2927=11,$AJ2927=18),"①病院一般",IF($AJ2927=41,"②病院短期","対象外")),IF($AH2927=5,IF($AJ2927=30,"③特定消防","対象外"),IF(OR($AJ2927=10,$AJ2927=11,$AJ2927=74),"④一般",IF(OR($AJ2927=41,$AJ2927=47),"⑤短期","対象外"))))))</f>
        <v/>
      </c>
    </row>
    <row r="2928" customFormat="false" ht="15" hidden="false" customHeight="false" outlineLevel="0" collapsed="false">
      <c r="DB2928" s="0" t="str">
        <f aca="false">IF($A2928="","",IF($AE2928&amp;""&lt;&gt;設定!$C$4,"対象外",IF($AH2928=20,IF(OR($AJ2928=10,$AJ2928=11,$AJ2928=18),"①病院一般",IF($AJ2928=41,"②病院短期","対象外")),IF($AH2928=5,IF($AJ2928=30,"③特定消防","対象外"),IF(OR($AJ2928=10,$AJ2928=11,$AJ2928=74),"④一般",IF(OR($AJ2928=41,$AJ2928=47),"⑤短期","対象外"))))))</f>
        <v/>
      </c>
    </row>
    <row r="2929" customFormat="false" ht="15" hidden="false" customHeight="false" outlineLevel="0" collapsed="false">
      <c r="DB2929" s="0" t="str">
        <f aca="false">IF($A2929="","",IF($AE2929&amp;""&lt;&gt;設定!$C$4,"対象外",IF($AH2929=20,IF(OR($AJ2929=10,$AJ2929=11,$AJ2929=18),"①病院一般",IF($AJ2929=41,"②病院短期","対象外")),IF($AH2929=5,IF($AJ2929=30,"③特定消防","対象外"),IF(OR($AJ2929=10,$AJ2929=11,$AJ2929=74),"④一般",IF(OR($AJ2929=41,$AJ2929=47),"⑤短期","対象外"))))))</f>
        <v/>
      </c>
    </row>
    <row r="2930" customFormat="false" ht="15" hidden="false" customHeight="false" outlineLevel="0" collapsed="false">
      <c r="DB2930" s="0" t="str">
        <f aca="false">IF($A2930="","",IF($AE2930&amp;""&lt;&gt;設定!$C$4,"対象外",IF($AH2930=20,IF(OR($AJ2930=10,$AJ2930=11,$AJ2930=18),"①病院一般",IF($AJ2930=41,"②病院短期","対象外")),IF($AH2930=5,IF($AJ2930=30,"③特定消防","対象外"),IF(OR($AJ2930=10,$AJ2930=11,$AJ2930=74),"④一般",IF(OR($AJ2930=41,$AJ2930=47),"⑤短期","対象外"))))))</f>
        <v/>
      </c>
    </row>
    <row r="2931" customFormat="false" ht="15" hidden="false" customHeight="false" outlineLevel="0" collapsed="false">
      <c r="DB2931" s="0" t="str">
        <f aca="false">IF($A2931="","",IF($AE2931&amp;""&lt;&gt;設定!$C$4,"対象外",IF($AH2931=20,IF(OR($AJ2931=10,$AJ2931=11,$AJ2931=18),"①病院一般",IF($AJ2931=41,"②病院短期","対象外")),IF($AH2931=5,IF($AJ2931=30,"③特定消防","対象外"),IF(OR($AJ2931=10,$AJ2931=11,$AJ2931=74),"④一般",IF(OR($AJ2931=41,$AJ2931=47),"⑤短期","対象外"))))))</f>
        <v/>
      </c>
    </row>
    <row r="2932" customFormat="false" ht="15" hidden="false" customHeight="false" outlineLevel="0" collapsed="false">
      <c r="DB2932" s="0" t="str">
        <f aca="false">IF($A2932="","",IF($AE2932&amp;""&lt;&gt;設定!$C$4,"対象外",IF($AH2932=20,IF(OR($AJ2932=10,$AJ2932=11,$AJ2932=18),"①病院一般",IF($AJ2932=41,"②病院短期","対象外")),IF($AH2932=5,IF($AJ2932=30,"③特定消防","対象外"),IF(OR($AJ2932=10,$AJ2932=11,$AJ2932=74),"④一般",IF(OR($AJ2932=41,$AJ2932=47),"⑤短期","対象外"))))))</f>
        <v/>
      </c>
    </row>
    <row r="2933" customFormat="false" ht="15" hidden="false" customHeight="false" outlineLevel="0" collapsed="false">
      <c r="DB2933" s="0" t="str">
        <f aca="false">IF($A2933="","",IF($AE2933&amp;""&lt;&gt;設定!$C$4,"対象外",IF($AH2933=20,IF(OR($AJ2933=10,$AJ2933=11,$AJ2933=18),"①病院一般",IF($AJ2933=41,"②病院短期","対象外")),IF($AH2933=5,IF($AJ2933=30,"③特定消防","対象外"),IF(OR($AJ2933=10,$AJ2933=11,$AJ2933=74),"④一般",IF(OR($AJ2933=41,$AJ2933=47),"⑤短期","対象外"))))))</f>
        <v/>
      </c>
    </row>
    <row r="2934" customFormat="false" ht="15" hidden="false" customHeight="false" outlineLevel="0" collapsed="false">
      <c r="DB2934" s="0" t="str">
        <f aca="false">IF($A2934="","",IF($AE2934&amp;""&lt;&gt;設定!$C$4,"対象外",IF($AH2934=20,IF(OR($AJ2934=10,$AJ2934=11,$AJ2934=18),"①病院一般",IF($AJ2934=41,"②病院短期","対象外")),IF($AH2934=5,IF($AJ2934=30,"③特定消防","対象外"),IF(OR($AJ2934=10,$AJ2934=11,$AJ2934=74),"④一般",IF(OR($AJ2934=41,$AJ2934=47),"⑤短期","対象外"))))))</f>
        <v/>
      </c>
    </row>
    <row r="2935" customFormat="false" ht="15" hidden="false" customHeight="false" outlineLevel="0" collapsed="false">
      <c r="DB2935" s="0" t="str">
        <f aca="false">IF($A2935="","",IF($AE2935&amp;""&lt;&gt;設定!$C$4,"対象外",IF($AH2935=20,IF(OR($AJ2935=10,$AJ2935=11,$AJ2935=18),"①病院一般",IF($AJ2935=41,"②病院短期","対象外")),IF($AH2935=5,IF($AJ2935=30,"③特定消防","対象外"),IF(OR($AJ2935=10,$AJ2935=11,$AJ2935=74),"④一般",IF(OR($AJ2935=41,$AJ2935=47),"⑤短期","対象外"))))))</f>
        <v/>
      </c>
    </row>
    <row r="2936" customFormat="false" ht="15" hidden="false" customHeight="false" outlineLevel="0" collapsed="false">
      <c r="DB2936" s="0" t="str">
        <f aca="false">IF($A2936="","",IF($AE2936&amp;""&lt;&gt;設定!$C$4,"対象外",IF($AH2936=20,IF(OR($AJ2936=10,$AJ2936=11,$AJ2936=18),"①病院一般",IF($AJ2936=41,"②病院短期","対象外")),IF($AH2936=5,IF($AJ2936=30,"③特定消防","対象外"),IF(OR($AJ2936=10,$AJ2936=11,$AJ2936=74),"④一般",IF(OR($AJ2936=41,$AJ2936=47),"⑤短期","対象外"))))))</f>
        <v/>
      </c>
    </row>
    <row r="2937" customFormat="false" ht="15" hidden="false" customHeight="false" outlineLevel="0" collapsed="false">
      <c r="DB2937" s="0" t="str">
        <f aca="false">IF($A2937="","",IF($AE2937&amp;""&lt;&gt;設定!$C$4,"対象外",IF($AH2937=20,IF(OR($AJ2937=10,$AJ2937=11,$AJ2937=18),"①病院一般",IF($AJ2937=41,"②病院短期","対象外")),IF($AH2937=5,IF($AJ2937=30,"③特定消防","対象外"),IF(OR($AJ2937=10,$AJ2937=11,$AJ2937=74),"④一般",IF(OR($AJ2937=41,$AJ2937=47),"⑤短期","対象外"))))))</f>
        <v/>
      </c>
    </row>
    <row r="2938" customFormat="false" ht="15" hidden="false" customHeight="false" outlineLevel="0" collapsed="false">
      <c r="DB2938" s="0" t="str">
        <f aca="false">IF($A2938="","",IF($AE2938&amp;""&lt;&gt;設定!$C$4,"対象外",IF($AH2938=20,IF(OR($AJ2938=10,$AJ2938=11,$AJ2938=18),"①病院一般",IF($AJ2938=41,"②病院短期","対象外")),IF($AH2938=5,IF($AJ2938=30,"③特定消防","対象外"),IF(OR($AJ2938=10,$AJ2938=11,$AJ2938=74),"④一般",IF(OR($AJ2938=41,$AJ2938=47),"⑤短期","対象外"))))))</f>
        <v/>
      </c>
    </row>
    <row r="2939" customFormat="false" ht="15" hidden="false" customHeight="false" outlineLevel="0" collapsed="false">
      <c r="DB2939" s="0" t="str">
        <f aca="false">IF($A2939="","",IF($AE2939&amp;""&lt;&gt;設定!$C$4,"対象外",IF($AH2939=20,IF(OR($AJ2939=10,$AJ2939=11,$AJ2939=18),"①病院一般",IF($AJ2939=41,"②病院短期","対象外")),IF($AH2939=5,IF($AJ2939=30,"③特定消防","対象外"),IF(OR($AJ2939=10,$AJ2939=11,$AJ2939=74),"④一般",IF(OR($AJ2939=41,$AJ2939=47),"⑤短期","対象外"))))))</f>
        <v/>
      </c>
    </row>
    <row r="2940" customFormat="false" ht="15" hidden="false" customHeight="false" outlineLevel="0" collapsed="false">
      <c r="DB2940" s="0" t="str">
        <f aca="false">IF($A2940="","",IF($AE2940&amp;""&lt;&gt;設定!$C$4,"対象外",IF($AH2940=20,IF(OR($AJ2940=10,$AJ2940=11,$AJ2940=18),"①病院一般",IF($AJ2940=41,"②病院短期","対象外")),IF($AH2940=5,IF($AJ2940=30,"③特定消防","対象外"),IF(OR($AJ2940=10,$AJ2940=11,$AJ2940=74),"④一般",IF(OR($AJ2940=41,$AJ2940=47),"⑤短期","対象外"))))))</f>
        <v/>
      </c>
    </row>
    <row r="2941" customFormat="false" ht="15" hidden="false" customHeight="false" outlineLevel="0" collapsed="false">
      <c r="DB2941" s="0" t="str">
        <f aca="false">IF($A2941="","",IF($AE2941&amp;""&lt;&gt;設定!$C$4,"対象外",IF($AH2941=20,IF(OR($AJ2941=10,$AJ2941=11,$AJ2941=18),"①病院一般",IF($AJ2941=41,"②病院短期","対象外")),IF($AH2941=5,IF($AJ2941=30,"③特定消防","対象外"),IF(OR($AJ2941=10,$AJ2941=11,$AJ2941=74),"④一般",IF(OR($AJ2941=41,$AJ2941=47),"⑤短期","対象外"))))))</f>
        <v/>
      </c>
    </row>
    <row r="2942" customFormat="false" ht="15" hidden="false" customHeight="false" outlineLevel="0" collapsed="false">
      <c r="DB2942" s="0" t="str">
        <f aca="false">IF($A2942="","",IF($AE2942&amp;""&lt;&gt;設定!$C$4,"対象外",IF($AH2942=20,IF(OR($AJ2942=10,$AJ2942=11,$AJ2942=18),"①病院一般",IF($AJ2942=41,"②病院短期","対象外")),IF($AH2942=5,IF($AJ2942=30,"③特定消防","対象外"),IF(OR($AJ2942=10,$AJ2942=11,$AJ2942=74),"④一般",IF(OR($AJ2942=41,$AJ2942=47),"⑤短期","対象外"))))))</f>
        <v/>
      </c>
    </row>
    <row r="2943" customFormat="false" ht="15" hidden="false" customHeight="false" outlineLevel="0" collapsed="false">
      <c r="DB2943" s="0" t="str">
        <f aca="false">IF($A2943="","",IF($AE2943&amp;""&lt;&gt;設定!$C$4,"対象外",IF($AH2943=20,IF(OR($AJ2943=10,$AJ2943=11,$AJ2943=18),"①病院一般",IF($AJ2943=41,"②病院短期","対象外")),IF($AH2943=5,IF($AJ2943=30,"③特定消防","対象外"),IF(OR($AJ2943=10,$AJ2943=11,$AJ2943=74),"④一般",IF(OR($AJ2943=41,$AJ2943=47),"⑤短期","対象外"))))))</f>
        <v/>
      </c>
    </row>
    <row r="2944" customFormat="false" ht="15" hidden="false" customHeight="false" outlineLevel="0" collapsed="false">
      <c r="DB2944" s="0" t="str">
        <f aca="false">IF($A2944="","",IF($AE2944&amp;""&lt;&gt;設定!$C$4,"対象外",IF($AH2944=20,IF(OR($AJ2944=10,$AJ2944=11,$AJ2944=18),"①病院一般",IF($AJ2944=41,"②病院短期","対象外")),IF($AH2944=5,IF($AJ2944=30,"③特定消防","対象外"),IF(OR($AJ2944=10,$AJ2944=11,$AJ2944=74),"④一般",IF(OR($AJ2944=41,$AJ2944=47),"⑤短期","対象外"))))))</f>
        <v/>
      </c>
    </row>
    <row r="2945" customFormat="false" ht="15" hidden="false" customHeight="false" outlineLevel="0" collapsed="false">
      <c r="DB2945" s="0" t="str">
        <f aca="false">IF($A2945="","",IF($AE2945&amp;""&lt;&gt;設定!$C$4,"対象外",IF($AH2945=20,IF(OR($AJ2945=10,$AJ2945=11,$AJ2945=18),"①病院一般",IF($AJ2945=41,"②病院短期","対象外")),IF($AH2945=5,IF($AJ2945=30,"③特定消防","対象外"),IF(OR($AJ2945=10,$AJ2945=11,$AJ2945=74),"④一般",IF(OR($AJ2945=41,$AJ2945=47),"⑤短期","対象外"))))))</f>
        <v/>
      </c>
    </row>
    <row r="2946" customFormat="false" ht="15" hidden="false" customHeight="false" outlineLevel="0" collapsed="false">
      <c r="DB2946" s="0" t="str">
        <f aca="false">IF($A2946="","",IF($AE2946&amp;""&lt;&gt;設定!$C$4,"対象外",IF($AH2946=20,IF(OR($AJ2946=10,$AJ2946=11,$AJ2946=18),"①病院一般",IF($AJ2946=41,"②病院短期","対象外")),IF($AH2946=5,IF($AJ2946=30,"③特定消防","対象外"),IF(OR($AJ2946=10,$AJ2946=11,$AJ2946=74),"④一般",IF(OR($AJ2946=41,$AJ2946=47),"⑤短期","対象外"))))))</f>
        <v/>
      </c>
    </row>
    <row r="2947" customFormat="false" ht="15" hidden="false" customHeight="false" outlineLevel="0" collapsed="false">
      <c r="DB2947" s="0" t="str">
        <f aca="false">IF($A2947="","",IF($AE2947&amp;""&lt;&gt;設定!$C$4,"対象外",IF($AH2947=20,IF(OR($AJ2947=10,$AJ2947=11,$AJ2947=18),"①病院一般",IF($AJ2947=41,"②病院短期","対象外")),IF($AH2947=5,IF($AJ2947=30,"③特定消防","対象外"),IF(OR($AJ2947=10,$AJ2947=11,$AJ2947=74),"④一般",IF(OR($AJ2947=41,$AJ2947=47),"⑤短期","対象外"))))))</f>
        <v/>
      </c>
    </row>
    <row r="2948" customFormat="false" ht="15" hidden="false" customHeight="false" outlineLevel="0" collapsed="false">
      <c r="DB2948" s="0" t="str">
        <f aca="false">IF($A2948="","",IF($AE2948&amp;""&lt;&gt;設定!$C$4,"対象外",IF($AH2948=20,IF(OR($AJ2948=10,$AJ2948=11,$AJ2948=18),"①病院一般",IF($AJ2948=41,"②病院短期","対象外")),IF($AH2948=5,IF($AJ2948=30,"③特定消防","対象外"),IF(OR($AJ2948=10,$AJ2948=11,$AJ2948=74),"④一般",IF(OR($AJ2948=41,$AJ2948=47),"⑤短期","対象外"))))))</f>
        <v/>
      </c>
    </row>
    <row r="2949" customFormat="false" ht="15" hidden="false" customHeight="false" outlineLevel="0" collapsed="false">
      <c r="DB2949" s="0" t="str">
        <f aca="false">IF($A2949="","",IF($AE2949&amp;""&lt;&gt;設定!$C$4,"対象外",IF($AH2949=20,IF(OR($AJ2949=10,$AJ2949=11,$AJ2949=18),"①病院一般",IF($AJ2949=41,"②病院短期","対象外")),IF($AH2949=5,IF($AJ2949=30,"③特定消防","対象外"),IF(OR($AJ2949=10,$AJ2949=11,$AJ2949=74),"④一般",IF(OR($AJ2949=41,$AJ2949=47),"⑤短期","対象外"))))))</f>
        <v/>
      </c>
    </row>
    <row r="2950" customFormat="false" ht="15" hidden="false" customHeight="false" outlineLevel="0" collapsed="false">
      <c r="DB2950" s="0" t="str">
        <f aca="false">IF($A2950="","",IF($AE2950&amp;""&lt;&gt;設定!$C$4,"対象外",IF($AH2950=20,IF(OR($AJ2950=10,$AJ2950=11,$AJ2950=18),"①病院一般",IF($AJ2950=41,"②病院短期","対象外")),IF($AH2950=5,IF($AJ2950=30,"③特定消防","対象外"),IF(OR($AJ2950=10,$AJ2950=11,$AJ2950=74),"④一般",IF(OR($AJ2950=41,$AJ2950=47),"⑤短期","対象外"))))))</f>
        <v/>
      </c>
    </row>
    <row r="2951" customFormat="false" ht="15" hidden="false" customHeight="false" outlineLevel="0" collapsed="false">
      <c r="DB2951" s="0" t="str">
        <f aca="false">IF($A2951="","",IF($AE2951&amp;""&lt;&gt;設定!$C$4,"対象外",IF($AH2951=20,IF(OR($AJ2951=10,$AJ2951=11,$AJ2951=18),"①病院一般",IF($AJ2951=41,"②病院短期","対象外")),IF($AH2951=5,IF($AJ2951=30,"③特定消防","対象外"),IF(OR($AJ2951=10,$AJ2951=11,$AJ2951=74),"④一般",IF(OR($AJ2951=41,$AJ2951=47),"⑤短期","対象外"))))))</f>
        <v/>
      </c>
    </row>
    <row r="2952" customFormat="false" ht="15" hidden="false" customHeight="false" outlineLevel="0" collapsed="false">
      <c r="DB2952" s="0" t="str">
        <f aca="false">IF($A2952="","",IF($AE2952&amp;""&lt;&gt;設定!$C$4,"対象外",IF($AH2952=20,IF(OR($AJ2952=10,$AJ2952=11,$AJ2952=18),"①病院一般",IF($AJ2952=41,"②病院短期","対象外")),IF($AH2952=5,IF($AJ2952=30,"③特定消防","対象外"),IF(OR($AJ2952=10,$AJ2952=11,$AJ2952=74),"④一般",IF(OR($AJ2952=41,$AJ2952=47),"⑤短期","対象外"))))))</f>
        <v/>
      </c>
    </row>
    <row r="2953" customFormat="false" ht="15" hidden="false" customHeight="false" outlineLevel="0" collapsed="false">
      <c r="DB2953" s="0" t="str">
        <f aca="false">IF($A2953="","",IF($AE2953&amp;""&lt;&gt;設定!$C$4,"対象外",IF($AH2953=20,IF(OR($AJ2953=10,$AJ2953=11,$AJ2953=18),"①病院一般",IF($AJ2953=41,"②病院短期","対象外")),IF($AH2953=5,IF($AJ2953=30,"③特定消防","対象外"),IF(OR($AJ2953=10,$AJ2953=11,$AJ2953=74),"④一般",IF(OR($AJ2953=41,$AJ2953=47),"⑤短期","対象外"))))))</f>
        <v/>
      </c>
    </row>
    <row r="2954" customFormat="false" ht="15" hidden="false" customHeight="false" outlineLevel="0" collapsed="false">
      <c r="DB2954" s="0" t="str">
        <f aca="false">IF($A2954="","",IF($AE2954&amp;""&lt;&gt;設定!$C$4,"対象外",IF($AH2954=20,IF(OR($AJ2954=10,$AJ2954=11,$AJ2954=18),"①病院一般",IF($AJ2954=41,"②病院短期","対象外")),IF($AH2954=5,IF($AJ2954=30,"③特定消防","対象外"),IF(OR($AJ2954=10,$AJ2954=11,$AJ2954=74),"④一般",IF(OR($AJ2954=41,$AJ2954=47),"⑤短期","対象外"))))))</f>
        <v/>
      </c>
    </row>
    <row r="2955" customFormat="false" ht="15" hidden="false" customHeight="false" outlineLevel="0" collapsed="false">
      <c r="DB2955" s="0" t="str">
        <f aca="false">IF($A2955="","",IF($AE2955&amp;""&lt;&gt;設定!$C$4,"対象外",IF($AH2955=20,IF(OR($AJ2955=10,$AJ2955=11,$AJ2955=18),"①病院一般",IF($AJ2955=41,"②病院短期","対象外")),IF($AH2955=5,IF($AJ2955=30,"③特定消防","対象外"),IF(OR($AJ2955=10,$AJ2955=11,$AJ2955=74),"④一般",IF(OR($AJ2955=41,$AJ2955=47),"⑤短期","対象外"))))))</f>
        <v/>
      </c>
    </row>
    <row r="2956" customFormat="false" ht="15" hidden="false" customHeight="false" outlineLevel="0" collapsed="false">
      <c r="DB2956" s="0" t="str">
        <f aca="false">IF($A2956="","",IF($AE2956&amp;""&lt;&gt;設定!$C$4,"対象外",IF($AH2956=20,IF(OR($AJ2956=10,$AJ2956=11,$AJ2956=18),"①病院一般",IF($AJ2956=41,"②病院短期","対象外")),IF($AH2956=5,IF($AJ2956=30,"③特定消防","対象外"),IF(OR($AJ2956=10,$AJ2956=11,$AJ2956=74),"④一般",IF(OR($AJ2956=41,$AJ2956=47),"⑤短期","対象外"))))))</f>
        <v/>
      </c>
    </row>
    <row r="2957" customFormat="false" ht="15" hidden="false" customHeight="false" outlineLevel="0" collapsed="false">
      <c r="DB2957" s="0" t="str">
        <f aca="false">IF($A2957="","",IF($AE2957&amp;""&lt;&gt;設定!$C$4,"対象外",IF($AH2957=20,IF(OR($AJ2957=10,$AJ2957=11,$AJ2957=18),"①病院一般",IF($AJ2957=41,"②病院短期","対象外")),IF($AH2957=5,IF($AJ2957=30,"③特定消防","対象外"),IF(OR($AJ2957=10,$AJ2957=11,$AJ2957=74),"④一般",IF(OR($AJ2957=41,$AJ2957=47),"⑤短期","対象外"))))))</f>
        <v/>
      </c>
    </row>
    <row r="2958" customFormat="false" ht="15" hidden="false" customHeight="false" outlineLevel="0" collapsed="false">
      <c r="DB2958" s="0" t="str">
        <f aca="false">IF($A2958="","",IF($AE2958&amp;""&lt;&gt;設定!$C$4,"対象外",IF($AH2958=20,IF(OR($AJ2958=10,$AJ2958=11,$AJ2958=18),"①病院一般",IF($AJ2958=41,"②病院短期","対象外")),IF($AH2958=5,IF($AJ2958=30,"③特定消防","対象外"),IF(OR($AJ2958=10,$AJ2958=11,$AJ2958=74),"④一般",IF(OR($AJ2958=41,$AJ2958=47),"⑤短期","対象外"))))))</f>
        <v/>
      </c>
    </row>
    <row r="2959" customFormat="false" ht="15" hidden="false" customHeight="false" outlineLevel="0" collapsed="false">
      <c r="DB2959" s="0" t="str">
        <f aca="false">IF($A2959="","",IF($AE2959&amp;""&lt;&gt;設定!$C$4,"対象外",IF($AH2959=20,IF(OR($AJ2959=10,$AJ2959=11,$AJ2959=18),"①病院一般",IF($AJ2959=41,"②病院短期","対象外")),IF($AH2959=5,IF($AJ2959=30,"③特定消防","対象外"),IF(OR($AJ2959=10,$AJ2959=11,$AJ2959=74),"④一般",IF(OR($AJ2959=41,$AJ2959=47),"⑤短期","対象外"))))))</f>
        <v/>
      </c>
    </row>
    <row r="2960" customFormat="false" ht="15" hidden="false" customHeight="false" outlineLevel="0" collapsed="false">
      <c r="DB2960" s="0" t="str">
        <f aca="false">IF($A2960="","",IF($AE2960&amp;""&lt;&gt;設定!$C$4,"対象外",IF($AH2960=20,IF(OR($AJ2960=10,$AJ2960=11,$AJ2960=18),"①病院一般",IF($AJ2960=41,"②病院短期","対象外")),IF($AH2960=5,IF($AJ2960=30,"③特定消防","対象外"),IF(OR($AJ2960=10,$AJ2960=11,$AJ2960=74),"④一般",IF(OR($AJ2960=41,$AJ2960=47),"⑤短期","対象外"))))))</f>
        <v/>
      </c>
    </row>
    <row r="2961" customFormat="false" ht="15" hidden="false" customHeight="false" outlineLevel="0" collapsed="false">
      <c r="DB2961" s="0" t="str">
        <f aca="false">IF($A2961="","",IF($AE2961&amp;""&lt;&gt;設定!$C$4,"対象外",IF($AH2961=20,IF(OR($AJ2961=10,$AJ2961=11,$AJ2961=18),"①病院一般",IF($AJ2961=41,"②病院短期","対象外")),IF($AH2961=5,IF($AJ2961=30,"③特定消防","対象外"),IF(OR($AJ2961=10,$AJ2961=11,$AJ2961=74),"④一般",IF(OR($AJ2961=41,$AJ2961=47),"⑤短期","対象外"))))))</f>
        <v/>
      </c>
    </row>
    <row r="2962" customFormat="false" ht="15" hidden="false" customHeight="false" outlineLevel="0" collapsed="false">
      <c r="DB2962" s="0" t="str">
        <f aca="false">IF($A2962="","",IF($AE2962&amp;""&lt;&gt;設定!$C$4,"対象外",IF($AH2962=20,IF(OR($AJ2962=10,$AJ2962=11,$AJ2962=18),"①病院一般",IF($AJ2962=41,"②病院短期","対象外")),IF($AH2962=5,IF($AJ2962=30,"③特定消防","対象外"),IF(OR($AJ2962=10,$AJ2962=11,$AJ2962=74),"④一般",IF(OR($AJ2962=41,$AJ2962=47),"⑤短期","対象外"))))))</f>
        <v/>
      </c>
    </row>
    <row r="2963" customFormat="false" ht="15" hidden="false" customHeight="false" outlineLevel="0" collapsed="false">
      <c r="DB2963" s="0" t="str">
        <f aca="false">IF($A2963="","",IF($AE2963&amp;""&lt;&gt;設定!$C$4,"対象外",IF($AH2963=20,IF(OR($AJ2963=10,$AJ2963=11,$AJ2963=18),"①病院一般",IF($AJ2963=41,"②病院短期","対象外")),IF($AH2963=5,IF($AJ2963=30,"③特定消防","対象外"),IF(OR($AJ2963=10,$AJ2963=11,$AJ2963=74),"④一般",IF(OR($AJ2963=41,$AJ2963=47),"⑤短期","対象外"))))))</f>
        <v/>
      </c>
    </row>
    <row r="2964" customFormat="false" ht="15" hidden="false" customHeight="false" outlineLevel="0" collapsed="false">
      <c r="DB2964" s="0" t="str">
        <f aca="false">IF($A2964="","",IF($AE2964&amp;""&lt;&gt;設定!$C$4,"対象外",IF($AH2964=20,IF(OR($AJ2964=10,$AJ2964=11,$AJ2964=18),"①病院一般",IF($AJ2964=41,"②病院短期","対象外")),IF($AH2964=5,IF($AJ2964=30,"③特定消防","対象外"),IF(OR($AJ2964=10,$AJ2964=11,$AJ2964=74),"④一般",IF(OR($AJ2964=41,$AJ2964=47),"⑤短期","対象外"))))))</f>
        <v/>
      </c>
    </row>
    <row r="2965" customFormat="false" ht="15" hidden="false" customHeight="false" outlineLevel="0" collapsed="false">
      <c r="DB2965" s="0" t="str">
        <f aca="false">IF($A2965="","",IF($AE2965&amp;""&lt;&gt;設定!$C$4,"対象外",IF($AH2965=20,IF(OR($AJ2965=10,$AJ2965=11,$AJ2965=18),"①病院一般",IF($AJ2965=41,"②病院短期","対象外")),IF($AH2965=5,IF($AJ2965=30,"③特定消防","対象外"),IF(OR($AJ2965=10,$AJ2965=11,$AJ2965=74),"④一般",IF(OR($AJ2965=41,$AJ2965=47),"⑤短期","対象外"))))))</f>
        <v/>
      </c>
    </row>
    <row r="2966" customFormat="false" ht="15" hidden="false" customHeight="false" outlineLevel="0" collapsed="false">
      <c r="DB2966" s="0" t="str">
        <f aca="false">IF($A2966="","",IF($AE2966&amp;""&lt;&gt;設定!$C$4,"対象外",IF($AH2966=20,IF(OR($AJ2966=10,$AJ2966=11,$AJ2966=18),"①病院一般",IF($AJ2966=41,"②病院短期","対象外")),IF($AH2966=5,IF($AJ2966=30,"③特定消防","対象外"),IF(OR($AJ2966=10,$AJ2966=11,$AJ2966=74),"④一般",IF(OR($AJ2966=41,$AJ2966=47),"⑤短期","対象外"))))))</f>
        <v/>
      </c>
    </row>
    <row r="2967" customFormat="false" ht="15" hidden="false" customHeight="false" outlineLevel="0" collapsed="false">
      <c r="DB2967" s="0" t="str">
        <f aca="false">IF($A2967="","",IF($AE2967&amp;""&lt;&gt;設定!$C$4,"対象外",IF($AH2967=20,IF(OR($AJ2967=10,$AJ2967=11,$AJ2967=18),"①病院一般",IF($AJ2967=41,"②病院短期","対象外")),IF($AH2967=5,IF($AJ2967=30,"③特定消防","対象外"),IF(OR($AJ2967=10,$AJ2967=11,$AJ2967=74),"④一般",IF(OR($AJ2967=41,$AJ2967=47),"⑤短期","対象外"))))))</f>
        <v/>
      </c>
    </row>
    <row r="2968" customFormat="false" ht="15" hidden="false" customHeight="false" outlineLevel="0" collapsed="false">
      <c r="DB2968" s="0" t="str">
        <f aca="false">IF($A2968="","",IF($AE2968&amp;""&lt;&gt;設定!$C$4,"対象外",IF($AH2968=20,IF(OR($AJ2968=10,$AJ2968=11,$AJ2968=18),"①病院一般",IF($AJ2968=41,"②病院短期","対象外")),IF($AH2968=5,IF($AJ2968=30,"③特定消防","対象外"),IF(OR($AJ2968=10,$AJ2968=11,$AJ2968=74),"④一般",IF(OR($AJ2968=41,$AJ2968=47),"⑤短期","対象外"))))))</f>
        <v/>
      </c>
    </row>
    <row r="2969" customFormat="false" ht="15" hidden="false" customHeight="false" outlineLevel="0" collapsed="false">
      <c r="DB2969" s="0" t="str">
        <f aca="false">IF($A2969="","",IF($AE2969&amp;""&lt;&gt;設定!$C$4,"対象外",IF($AH2969=20,IF(OR($AJ2969=10,$AJ2969=11,$AJ2969=18),"①病院一般",IF($AJ2969=41,"②病院短期","対象外")),IF($AH2969=5,IF($AJ2969=30,"③特定消防","対象外"),IF(OR($AJ2969=10,$AJ2969=11,$AJ2969=74),"④一般",IF(OR($AJ2969=41,$AJ2969=47),"⑤短期","対象外"))))))</f>
        <v/>
      </c>
    </row>
    <row r="2970" customFormat="false" ht="15" hidden="false" customHeight="false" outlineLevel="0" collapsed="false">
      <c r="DB2970" s="0" t="str">
        <f aca="false">IF($A2970="","",IF($AE2970&amp;""&lt;&gt;設定!$C$4,"対象外",IF($AH2970=20,IF(OR($AJ2970=10,$AJ2970=11,$AJ2970=18),"①病院一般",IF($AJ2970=41,"②病院短期","対象外")),IF($AH2970=5,IF($AJ2970=30,"③特定消防","対象外"),IF(OR($AJ2970=10,$AJ2970=11,$AJ2970=74),"④一般",IF(OR($AJ2970=41,$AJ2970=47),"⑤短期","対象外"))))))</f>
        <v/>
      </c>
    </row>
    <row r="2971" customFormat="false" ht="15" hidden="false" customHeight="false" outlineLevel="0" collapsed="false">
      <c r="DB2971" s="0" t="str">
        <f aca="false">IF($A2971="","",IF($AE2971&amp;""&lt;&gt;設定!$C$4,"対象外",IF($AH2971=20,IF(OR($AJ2971=10,$AJ2971=11,$AJ2971=18),"①病院一般",IF($AJ2971=41,"②病院短期","対象外")),IF($AH2971=5,IF($AJ2971=30,"③特定消防","対象外"),IF(OR($AJ2971=10,$AJ2971=11,$AJ2971=74),"④一般",IF(OR($AJ2971=41,$AJ2971=47),"⑤短期","対象外"))))))</f>
        <v/>
      </c>
    </row>
    <row r="2972" customFormat="false" ht="15" hidden="false" customHeight="false" outlineLevel="0" collapsed="false">
      <c r="DB2972" s="0" t="str">
        <f aca="false">IF($A2972="","",IF($AE2972&amp;""&lt;&gt;設定!$C$4,"対象外",IF($AH2972=20,IF(OR($AJ2972=10,$AJ2972=11,$AJ2972=18),"①病院一般",IF($AJ2972=41,"②病院短期","対象外")),IF($AH2972=5,IF($AJ2972=30,"③特定消防","対象外"),IF(OR($AJ2972=10,$AJ2972=11,$AJ2972=74),"④一般",IF(OR($AJ2972=41,$AJ2972=47),"⑤短期","対象外"))))))</f>
        <v/>
      </c>
    </row>
    <row r="2973" customFormat="false" ht="15" hidden="false" customHeight="false" outlineLevel="0" collapsed="false">
      <c r="DB2973" s="0" t="str">
        <f aca="false">IF($A2973="","",IF($AE2973&amp;""&lt;&gt;設定!$C$4,"対象外",IF($AH2973=20,IF(OR($AJ2973=10,$AJ2973=11,$AJ2973=18),"①病院一般",IF($AJ2973=41,"②病院短期","対象外")),IF($AH2973=5,IF($AJ2973=30,"③特定消防","対象外"),IF(OR($AJ2973=10,$AJ2973=11,$AJ2973=74),"④一般",IF(OR($AJ2973=41,$AJ2973=47),"⑤短期","対象外"))))))</f>
        <v/>
      </c>
    </row>
    <row r="2974" customFormat="false" ht="15" hidden="false" customHeight="false" outlineLevel="0" collapsed="false">
      <c r="DB2974" s="0" t="str">
        <f aca="false">IF($A2974="","",IF($AE2974&amp;""&lt;&gt;設定!$C$4,"対象外",IF($AH2974=20,IF(OR($AJ2974=10,$AJ2974=11,$AJ2974=18),"①病院一般",IF($AJ2974=41,"②病院短期","対象外")),IF($AH2974=5,IF($AJ2974=30,"③特定消防","対象外"),IF(OR($AJ2974=10,$AJ2974=11,$AJ2974=74),"④一般",IF(OR($AJ2974=41,$AJ2974=47),"⑤短期","対象外"))))))</f>
        <v/>
      </c>
    </row>
    <row r="2975" customFormat="false" ht="15" hidden="false" customHeight="false" outlineLevel="0" collapsed="false">
      <c r="DB2975" s="0" t="str">
        <f aca="false">IF($A2975="","",IF($AE2975&amp;""&lt;&gt;設定!$C$4,"対象外",IF($AH2975=20,IF(OR($AJ2975=10,$AJ2975=11,$AJ2975=18),"①病院一般",IF($AJ2975=41,"②病院短期","対象外")),IF($AH2975=5,IF($AJ2975=30,"③特定消防","対象外"),IF(OR($AJ2975=10,$AJ2975=11,$AJ2975=74),"④一般",IF(OR($AJ2975=41,$AJ2975=47),"⑤短期","対象外"))))))</f>
        <v/>
      </c>
    </row>
    <row r="2976" customFormat="false" ht="15" hidden="false" customHeight="false" outlineLevel="0" collapsed="false">
      <c r="DB2976" s="0" t="str">
        <f aca="false">IF($A2976="","",IF($AE2976&amp;""&lt;&gt;設定!$C$4,"対象外",IF($AH2976=20,IF(OR($AJ2976=10,$AJ2976=11,$AJ2976=18),"①病院一般",IF($AJ2976=41,"②病院短期","対象外")),IF($AH2976=5,IF($AJ2976=30,"③特定消防","対象外"),IF(OR($AJ2976=10,$AJ2976=11,$AJ2976=74),"④一般",IF(OR($AJ2976=41,$AJ2976=47),"⑤短期","対象外"))))))</f>
        <v/>
      </c>
    </row>
    <row r="2977" customFormat="false" ht="15" hidden="false" customHeight="false" outlineLevel="0" collapsed="false">
      <c r="DB2977" s="0" t="str">
        <f aca="false">IF($A2977="","",IF($AE2977&amp;""&lt;&gt;設定!$C$4,"対象外",IF($AH2977=20,IF(OR($AJ2977=10,$AJ2977=11,$AJ2977=18),"①病院一般",IF($AJ2977=41,"②病院短期","対象外")),IF($AH2977=5,IF($AJ2977=30,"③特定消防","対象外"),IF(OR($AJ2977=10,$AJ2977=11,$AJ2977=74),"④一般",IF(OR($AJ2977=41,$AJ2977=47),"⑤短期","対象外"))))))</f>
        <v/>
      </c>
    </row>
    <row r="2978" customFormat="false" ht="15" hidden="false" customHeight="false" outlineLevel="0" collapsed="false">
      <c r="DB2978" s="0" t="str">
        <f aca="false">IF($A2978="","",IF($AE2978&amp;""&lt;&gt;設定!$C$4,"対象外",IF($AH2978=20,IF(OR($AJ2978=10,$AJ2978=11,$AJ2978=18),"①病院一般",IF($AJ2978=41,"②病院短期","対象外")),IF($AH2978=5,IF($AJ2978=30,"③特定消防","対象外"),IF(OR($AJ2978=10,$AJ2978=11,$AJ2978=74),"④一般",IF(OR($AJ2978=41,$AJ2978=47),"⑤短期","対象外"))))))</f>
        <v/>
      </c>
    </row>
    <row r="2979" customFormat="false" ht="15" hidden="false" customHeight="false" outlineLevel="0" collapsed="false">
      <c r="DB2979" s="0" t="str">
        <f aca="false">IF($A2979="","",IF($AE2979&amp;""&lt;&gt;設定!$C$4,"対象外",IF($AH2979=20,IF(OR($AJ2979=10,$AJ2979=11,$AJ2979=18),"①病院一般",IF($AJ2979=41,"②病院短期","対象外")),IF($AH2979=5,IF($AJ2979=30,"③特定消防","対象外"),IF(OR($AJ2979=10,$AJ2979=11,$AJ2979=74),"④一般",IF(OR($AJ2979=41,$AJ2979=47),"⑤短期","対象外"))))))</f>
        <v/>
      </c>
    </row>
    <row r="2980" customFormat="false" ht="15" hidden="false" customHeight="false" outlineLevel="0" collapsed="false">
      <c r="DB2980" s="0" t="str">
        <f aca="false">IF($A2980="","",IF($AE2980&amp;""&lt;&gt;設定!$C$4,"対象外",IF($AH2980=20,IF(OR($AJ2980=10,$AJ2980=11,$AJ2980=18),"①病院一般",IF($AJ2980=41,"②病院短期","対象外")),IF($AH2980=5,IF($AJ2980=30,"③特定消防","対象外"),IF(OR($AJ2980=10,$AJ2980=11,$AJ2980=74),"④一般",IF(OR($AJ2980=41,$AJ2980=47),"⑤短期","対象外"))))))</f>
        <v/>
      </c>
    </row>
    <row r="2981" customFormat="false" ht="15" hidden="false" customHeight="false" outlineLevel="0" collapsed="false">
      <c r="DB2981" s="0" t="str">
        <f aca="false">IF($A2981="","",IF($AE2981&amp;""&lt;&gt;設定!$C$4,"対象外",IF($AH2981=20,IF(OR($AJ2981=10,$AJ2981=11,$AJ2981=18),"①病院一般",IF($AJ2981=41,"②病院短期","対象外")),IF($AH2981=5,IF($AJ2981=30,"③特定消防","対象外"),IF(OR($AJ2981=10,$AJ2981=11,$AJ2981=74),"④一般",IF(OR($AJ2981=41,$AJ2981=47),"⑤短期","対象外"))))))</f>
        <v/>
      </c>
    </row>
    <row r="2982" customFormat="false" ht="15" hidden="false" customHeight="false" outlineLevel="0" collapsed="false">
      <c r="DB2982" s="0" t="str">
        <f aca="false">IF($A2982="","",IF($AE2982&amp;""&lt;&gt;設定!$C$4,"対象外",IF($AH2982=20,IF(OR($AJ2982=10,$AJ2982=11,$AJ2982=18),"①病院一般",IF($AJ2982=41,"②病院短期","対象外")),IF($AH2982=5,IF($AJ2982=30,"③特定消防","対象外"),IF(OR($AJ2982=10,$AJ2982=11,$AJ2982=74),"④一般",IF(OR($AJ2982=41,$AJ2982=47),"⑤短期","対象外"))))))</f>
        <v/>
      </c>
    </row>
    <row r="2983" customFormat="false" ht="15" hidden="false" customHeight="false" outlineLevel="0" collapsed="false">
      <c r="DB2983" s="0" t="str">
        <f aca="false">IF($A2983="","",IF($AE2983&amp;""&lt;&gt;設定!$C$4,"対象外",IF($AH2983=20,IF(OR($AJ2983=10,$AJ2983=11,$AJ2983=18),"①病院一般",IF($AJ2983=41,"②病院短期","対象外")),IF($AH2983=5,IF($AJ2983=30,"③特定消防","対象外"),IF(OR($AJ2983=10,$AJ2983=11,$AJ2983=74),"④一般",IF(OR($AJ2983=41,$AJ2983=47),"⑤短期","対象外"))))))</f>
        <v/>
      </c>
    </row>
    <row r="2984" customFormat="false" ht="15" hidden="false" customHeight="false" outlineLevel="0" collapsed="false">
      <c r="DB2984" s="0" t="str">
        <f aca="false">IF($A2984="","",IF($AE2984&amp;""&lt;&gt;設定!$C$4,"対象外",IF($AH2984=20,IF(OR($AJ2984=10,$AJ2984=11,$AJ2984=18),"①病院一般",IF($AJ2984=41,"②病院短期","対象外")),IF($AH2984=5,IF($AJ2984=30,"③特定消防","対象外"),IF(OR($AJ2984=10,$AJ2984=11,$AJ2984=74),"④一般",IF(OR($AJ2984=41,$AJ2984=47),"⑤短期","対象外"))))))</f>
        <v/>
      </c>
    </row>
    <row r="2985" customFormat="false" ht="15" hidden="false" customHeight="false" outlineLevel="0" collapsed="false">
      <c r="DB2985" s="0" t="str">
        <f aca="false">IF($A2985="","",IF($AE2985&amp;""&lt;&gt;設定!$C$4,"対象外",IF($AH2985=20,IF(OR($AJ2985=10,$AJ2985=11,$AJ2985=18),"①病院一般",IF($AJ2985=41,"②病院短期","対象外")),IF($AH2985=5,IF($AJ2985=30,"③特定消防","対象外"),IF(OR($AJ2985=10,$AJ2985=11,$AJ2985=74),"④一般",IF(OR($AJ2985=41,$AJ2985=47),"⑤短期","対象外"))))))</f>
        <v/>
      </c>
    </row>
    <row r="2986" customFormat="false" ht="15" hidden="false" customHeight="false" outlineLevel="0" collapsed="false">
      <c r="DB2986" s="0" t="str">
        <f aca="false">IF($A2986="","",IF($AE2986&amp;""&lt;&gt;設定!$C$4,"対象外",IF($AH2986=20,IF(OR($AJ2986=10,$AJ2986=11,$AJ2986=18),"①病院一般",IF($AJ2986=41,"②病院短期","対象外")),IF($AH2986=5,IF($AJ2986=30,"③特定消防","対象外"),IF(OR($AJ2986=10,$AJ2986=11,$AJ2986=74),"④一般",IF(OR($AJ2986=41,$AJ2986=47),"⑤短期","対象外"))))))</f>
        <v/>
      </c>
    </row>
    <row r="2987" customFormat="false" ht="15" hidden="false" customHeight="false" outlineLevel="0" collapsed="false">
      <c r="DB2987" s="0" t="str">
        <f aca="false">IF($A2987="","",IF($AE2987&amp;""&lt;&gt;設定!$C$4,"対象外",IF($AH2987=20,IF(OR($AJ2987=10,$AJ2987=11,$AJ2987=18),"①病院一般",IF($AJ2987=41,"②病院短期","対象外")),IF($AH2987=5,IF($AJ2987=30,"③特定消防","対象外"),IF(OR($AJ2987=10,$AJ2987=11,$AJ2987=74),"④一般",IF(OR($AJ2987=41,$AJ2987=47),"⑤短期","対象外"))))))</f>
        <v/>
      </c>
    </row>
    <row r="2988" customFormat="false" ht="15" hidden="false" customHeight="false" outlineLevel="0" collapsed="false">
      <c r="DB2988" s="0" t="str">
        <f aca="false">IF($A2988="","",IF($AE2988&amp;""&lt;&gt;設定!$C$4,"対象外",IF($AH2988=20,IF(OR($AJ2988=10,$AJ2988=11,$AJ2988=18),"①病院一般",IF($AJ2988=41,"②病院短期","対象外")),IF($AH2988=5,IF($AJ2988=30,"③特定消防","対象外"),IF(OR($AJ2988=10,$AJ2988=11,$AJ2988=74),"④一般",IF(OR($AJ2988=41,$AJ2988=47),"⑤短期","対象外"))))))</f>
        <v/>
      </c>
    </row>
    <row r="2989" customFormat="false" ht="15" hidden="false" customHeight="false" outlineLevel="0" collapsed="false">
      <c r="DB2989" s="0" t="str">
        <f aca="false">IF($A2989="","",IF($AE2989&amp;""&lt;&gt;設定!$C$4,"対象外",IF($AH2989=20,IF(OR($AJ2989=10,$AJ2989=11,$AJ2989=18),"①病院一般",IF($AJ2989=41,"②病院短期","対象外")),IF($AH2989=5,IF($AJ2989=30,"③特定消防","対象外"),IF(OR($AJ2989=10,$AJ2989=11,$AJ2989=74),"④一般",IF(OR($AJ2989=41,$AJ2989=47),"⑤短期","対象外"))))))</f>
        <v/>
      </c>
    </row>
    <row r="2990" customFormat="false" ht="15" hidden="false" customHeight="false" outlineLevel="0" collapsed="false">
      <c r="DB2990" s="0" t="str">
        <f aca="false">IF($A2990="","",IF($AE2990&amp;""&lt;&gt;設定!$C$4,"対象外",IF($AH2990=20,IF(OR($AJ2990=10,$AJ2990=11,$AJ2990=18),"①病院一般",IF($AJ2990=41,"②病院短期","対象外")),IF($AH2990=5,IF($AJ2990=30,"③特定消防","対象外"),IF(OR($AJ2990=10,$AJ2990=11,$AJ2990=74),"④一般",IF(OR($AJ2990=41,$AJ2990=47),"⑤短期","対象外"))))))</f>
        <v/>
      </c>
    </row>
    <row r="2991" customFormat="false" ht="15" hidden="false" customHeight="false" outlineLevel="0" collapsed="false">
      <c r="DB2991" s="0" t="str">
        <f aca="false">IF($A2991="","",IF($AE2991&amp;""&lt;&gt;設定!$C$4,"対象外",IF($AH2991=20,IF(OR($AJ2991=10,$AJ2991=11,$AJ2991=18),"①病院一般",IF($AJ2991=41,"②病院短期","対象外")),IF($AH2991=5,IF($AJ2991=30,"③特定消防","対象外"),IF(OR($AJ2991=10,$AJ2991=11,$AJ2991=74),"④一般",IF(OR($AJ2991=41,$AJ2991=47),"⑤短期","対象外"))))))</f>
        <v/>
      </c>
    </row>
    <row r="2992" customFormat="false" ht="15" hidden="false" customHeight="false" outlineLevel="0" collapsed="false">
      <c r="DB2992" s="0" t="str">
        <f aca="false">IF($A2992="","",IF($AE2992&amp;""&lt;&gt;設定!$C$4,"対象外",IF($AH2992=20,IF(OR($AJ2992=10,$AJ2992=11,$AJ2992=18),"①病院一般",IF($AJ2992=41,"②病院短期","対象外")),IF($AH2992=5,IF($AJ2992=30,"③特定消防","対象外"),IF(OR($AJ2992=10,$AJ2992=11,$AJ2992=74),"④一般",IF(OR($AJ2992=41,$AJ2992=47),"⑤短期","対象外"))))))</f>
        <v/>
      </c>
    </row>
    <row r="2993" customFormat="false" ht="15" hidden="false" customHeight="false" outlineLevel="0" collapsed="false">
      <c r="DB2993" s="0" t="str">
        <f aca="false">IF($A2993="","",IF($AE2993&amp;""&lt;&gt;設定!$C$4,"対象外",IF($AH2993=20,IF(OR($AJ2993=10,$AJ2993=11,$AJ2993=18),"①病院一般",IF($AJ2993=41,"②病院短期","対象外")),IF($AH2993=5,IF($AJ2993=30,"③特定消防","対象外"),IF(OR($AJ2993=10,$AJ2993=11,$AJ2993=74),"④一般",IF(OR($AJ2993=41,$AJ2993=47),"⑤短期","対象外"))))))</f>
        <v/>
      </c>
    </row>
    <row r="2994" customFormat="false" ht="15" hidden="false" customHeight="false" outlineLevel="0" collapsed="false">
      <c r="DB2994" s="0" t="str">
        <f aca="false">IF($A2994="","",IF($AE2994&amp;""&lt;&gt;設定!$C$4,"対象外",IF($AH2994=20,IF(OR($AJ2994=10,$AJ2994=11,$AJ2994=18),"①病院一般",IF($AJ2994=41,"②病院短期","対象外")),IF($AH2994=5,IF($AJ2994=30,"③特定消防","対象外"),IF(OR($AJ2994=10,$AJ2994=11,$AJ2994=74),"④一般",IF(OR($AJ2994=41,$AJ2994=47),"⑤短期","対象外"))))))</f>
        <v/>
      </c>
    </row>
    <row r="2995" customFormat="false" ht="15" hidden="false" customHeight="false" outlineLevel="0" collapsed="false">
      <c r="DB2995" s="0" t="str">
        <f aca="false">IF($A2995="","",IF($AE2995&amp;""&lt;&gt;設定!$C$4,"対象外",IF($AH2995=20,IF(OR($AJ2995=10,$AJ2995=11,$AJ2995=18),"①病院一般",IF($AJ2995=41,"②病院短期","対象外")),IF($AH2995=5,IF($AJ2995=30,"③特定消防","対象外"),IF(OR($AJ2995=10,$AJ2995=11,$AJ2995=74),"④一般",IF(OR($AJ2995=41,$AJ2995=47),"⑤短期","対象外"))))))</f>
        <v/>
      </c>
    </row>
    <row r="2996" customFormat="false" ht="15" hidden="false" customHeight="false" outlineLevel="0" collapsed="false">
      <c r="DB2996" s="0" t="str">
        <f aca="false">IF($A2996="","",IF($AE2996&amp;""&lt;&gt;設定!$C$4,"対象外",IF($AH2996=20,IF(OR($AJ2996=10,$AJ2996=11,$AJ2996=18),"①病院一般",IF($AJ2996=41,"②病院短期","対象外")),IF($AH2996=5,IF($AJ2996=30,"③特定消防","対象外"),IF(OR($AJ2996=10,$AJ2996=11,$AJ2996=74),"④一般",IF(OR($AJ2996=41,$AJ2996=47),"⑤短期","対象外"))))))</f>
        <v/>
      </c>
    </row>
    <row r="2997" customFormat="false" ht="15" hidden="false" customHeight="false" outlineLevel="0" collapsed="false">
      <c r="DB2997" s="0" t="str">
        <f aca="false">IF($A2997="","",IF($AE2997&amp;""&lt;&gt;設定!$C$4,"対象外",IF($AH2997=20,IF(OR($AJ2997=10,$AJ2997=11,$AJ2997=18),"①病院一般",IF($AJ2997=41,"②病院短期","対象外")),IF($AH2997=5,IF($AJ2997=30,"③特定消防","対象外"),IF(OR($AJ2997=10,$AJ2997=11,$AJ2997=74),"④一般",IF(OR($AJ2997=41,$AJ2997=47),"⑤短期","対象外"))))))</f>
        <v/>
      </c>
    </row>
    <row r="2998" customFormat="false" ht="15" hidden="false" customHeight="false" outlineLevel="0" collapsed="false">
      <c r="DB2998" s="0" t="str">
        <f aca="false">IF($A2998="","",IF($AE2998&amp;""&lt;&gt;設定!$C$4,"対象外",IF($AH2998=20,IF(OR($AJ2998=10,$AJ2998=11,$AJ2998=18),"①病院一般",IF($AJ2998=41,"②病院短期","対象外")),IF($AH2998=5,IF($AJ2998=30,"③特定消防","対象外"),IF(OR($AJ2998=10,$AJ2998=11,$AJ2998=74),"④一般",IF(OR($AJ2998=41,$AJ2998=47),"⑤短期","対象外"))))))</f>
        <v/>
      </c>
    </row>
    <row r="2999" customFormat="false" ht="15" hidden="false" customHeight="false" outlineLevel="0" collapsed="false">
      <c r="DB2999" s="0" t="str">
        <f aca="false">IF($A2999="","",IF($AE2999&amp;""&lt;&gt;設定!$C$4,"対象外",IF($AH2999=20,IF(OR($AJ2999=10,$AJ2999=11,$AJ2999=18),"①病院一般",IF($AJ2999=41,"②病院短期","対象外")),IF($AH2999=5,IF($AJ2999=30,"③特定消防","対象外"),IF(OR($AJ2999=10,$AJ2999=11,$AJ2999=74),"④一般",IF(OR($AJ2999=41,$AJ2999=47),"⑤短期","対象外"))))))</f>
        <v/>
      </c>
    </row>
    <row r="3000" customFormat="false" ht="15" hidden="false" customHeight="false" outlineLevel="0" collapsed="false">
      <c r="DB3000" s="0" t="str">
        <f aca="false">IF($A3000="","",IF($AE3000&amp;""&lt;&gt;設定!$C$4,"対象外",IF($AH3000=20,IF(OR($AJ3000=10,$AJ3000=11,$AJ3000=18),"①病院一般",IF($AJ3000=41,"②病院短期","対象外")),IF($AH3000=5,IF($AJ3000=30,"③特定消防","対象外"),IF(OR($AJ3000=10,$AJ3000=11,$AJ3000=74),"④一般",IF(OR($AJ3000=41,$AJ3000=47),"⑤短期","対象外"))))))</f>
        <v/>
      </c>
    </row>
    <row r="3001" customFormat="false" ht="15" hidden="false" customHeight="false" outlineLevel="0" collapsed="false">
      <c r="DB3001" s="0" t="str">
        <f aca="false">IF($A3001="","",IF($AE3001&amp;""&lt;&gt;設定!$C$4,"対象外",IF($AH3001=20,IF(OR($AJ3001=10,$AJ3001=11,$AJ3001=18),"①病院一般",IF($AJ3001=41,"②病院短期","対象外")),IF($AH3001=5,IF($AJ3001=30,"③特定消防","対象外"),IF(OR($AJ3001=10,$AJ3001=11,$AJ3001=74),"④一般",IF(OR($AJ3001=41,$AJ3001=47),"⑤短期","対象外"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6" min="106" style="0" width="24"/>
  </cols>
  <sheetData>
    <row r="1" customFormat="false" ht="15" hidden="false" customHeight="false" outlineLevel="0" collapsed="false">
      <c r="A1" s="0" t="s">
        <v>190</v>
      </c>
      <c r="B1" s="0" t="s">
        <v>191</v>
      </c>
      <c r="C1" s="0" t="s">
        <v>192</v>
      </c>
      <c r="D1" s="0" t="s">
        <v>193</v>
      </c>
      <c r="G1" s="0" t="s">
        <v>194</v>
      </c>
      <c r="H1" s="0" t="s">
        <v>195</v>
      </c>
      <c r="I1" s="0" t="s">
        <v>196</v>
      </c>
      <c r="J1" s="0" t="s">
        <v>197</v>
      </c>
      <c r="K1" s="0" t="s">
        <v>198</v>
      </c>
      <c r="L1" s="0" t="s">
        <v>199</v>
      </c>
      <c r="M1" s="0" t="s">
        <v>200</v>
      </c>
      <c r="N1" s="0" t="s">
        <v>201</v>
      </c>
      <c r="O1" s="0" t="s">
        <v>202</v>
      </c>
      <c r="P1" s="0" t="s">
        <v>203</v>
      </c>
      <c r="Q1" s="0" t="s">
        <v>204</v>
      </c>
      <c r="R1" s="0" t="s">
        <v>205</v>
      </c>
      <c r="S1" s="0" t="s">
        <v>206</v>
      </c>
      <c r="T1" s="0" t="s">
        <v>207</v>
      </c>
      <c r="U1" s="0" t="s">
        <v>208</v>
      </c>
      <c r="V1" s="0" t="s">
        <v>209</v>
      </c>
      <c r="W1" s="0" t="s">
        <v>210</v>
      </c>
      <c r="X1" s="0" t="s">
        <v>211</v>
      </c>
      <c r="Y1" s="0" t="s">
        <v>212</v>
      </c>
      <c r="Z1" s="0" t="s">
        <v>213</v>
      </c>
      <c r="AA1" s="0" t="s">
        <v>214</v>
      </c>
      <c r="AB1" s="0" t="s">
        <v>215</v>
      </c>
      <c r="AC1" s="0" t="s">
        <v>216</v>
      </c>
      <c r="AD1" s="0" t="s">
        <v>217</v>
      </c>
      <c r="AE1" s="0" t="s">
        <v>218</v>
      </c>
      <c r="AF1" s="0" t="s">
        <v>219</v>
      </c>
      <c r="AG1" s="0" t="s">
        <v>220</v>
      </c>
      <c r="AH1" s="0" t="s">
        <v>221</v>
      </c>
      <c r="AI1" s="0" t="s">
        <v>222</v>
      </c>
      <c r="AJ1" s="0" t="s">
        <v>223</v>
      </c>
      <c r="AK1" s="0" t="s">
        <v>224</v>
      </c>
      <c r="AL1" s="0" t="s">
        <v>225</v>
      </c>
      <c r="AM1" s="0" t="s">
        <v>226</v>
      </c>
      <c r="AN1" s="0" t="s">
        <v>227</v>
      </c>
      <c r="AO1" s="0" t="s">
        <v>228</v>
      </c>
      <c r="AP1" s="0" t="s">
        <v>229</v>
      </c>
      <c r="AQ1" s="0" t="s">
        <v>230</v>
      </c>
      <c r="AR1" s="0" t="s">
        <v>231</v>
      </c>
      <c r="AS1" s="0" t="s">
        <v>232</v>
      </c>
      <c r="AT1" s="0" t="s">
        <v>233</v>
      </c>
      <c r="AU1" s="0" t="s">
        <v>234</v>
      </c>
      <c r="AV1" s="0" t="s">
        <v>235</v>
      </c>
      <c r="AW1" s="0" t="s">
        <v>236</v>
      </c>
      <c r="AX1" s="0" t="s">
        <v>237</v>
      </c>
      <c r="AY1" s="0" t="s">
        <v>238</v>
      </c>
      <c r="AZ1" s="0" t="s">
        <v>239</v>
      </c>
      <c r="BA1" s="0" t="s">
        <v>240</v>
      </c>
      <c r="BB1" s="0" t="s">
        <v>241</v>
      </c>
      <c r="BC1" s="0" t="s">
        <v>242</v>
      </c>
      <c r="BD1" s="0" t="s">
        <v>243</v>
      </c>
      <c r="BE1" s="0" t="s">
        <v>244</v>
      </c>
      <c r="BF1" s="0" t="s">
        <v>245</v>
      </c>
      <c r="BG1" s="0" t="s">
        <v>246</v>
      </c>
      <c r="BH1" s="0" t="s">
        <v>247</v>
      </c>
      <c r="BI1" s="0" t="s">
        <v>248</v>
      </c>
      <c r="BJ1" s="0" t="s">
        <v>249</v>
      </c>
      <c r="BK1" s="0" t="s">
        <v>250</v>
      </c>
      <c r="BL1" s="0" t="s">
        <v>251</v>
      </c>
      <c r="BM1" s="0" t="s">
        <v>252</v>
      </c>
      <c r="BN1" s="0" t="s">
        <v>253</v>
      </c>
      <c r="BO1" s="0" t="s">
        <v>254</v>
      </c>
      <c r="BP1" s="0" t="s">
        <v>255</v>
      </c>
      <c r="BQ1" s="0" t="s">
        <v>256</v>
      </c>
      <c r="BR1" s="0" t="s">
        <v>257</v>
      </c>
      <c r="BS1" s="0" t="s">
        <v>258</v>
      </c>
      <c r="BT1" s="0" t="s">
        <v>259</v>
      </c>
      <c r="BU1" s="0" t="s">
        <v>260</v>
      </c>
      <c r="BV1" s="0" t="s">
        <v>261</v>
      </c>
      <c r="BW1" s="0" t="s">
        <v>262</v>
      </c>
      <c r="BX1" s="0" t="s">
        <v>263</v>
      </c>
      <c r="BY1" s="0" t="s">
        <v>264</v>
      </c>
      <c r="BZ1" s="0" t="s">
        <v>265</v>
      </c>
      <c r="CA1" s="0" t="s">
        <v>266</v>
      </c>
      <c r="CB1" s="0" t="s">
        <v>267</v>
      </c>
      <c r="CC1" s="0" t="s">
        <v>268</v>
      </c>
      <c r="CD1" s="0" t="s">
        <v>269</v>
      </c>
      <c r="CE1" s="0" t="s">
        <v>270</v>
      </c>
      <c r="CF1" s="0" t="s">
        <v>271</v>
      </c>
      <c r="CG1" s="0" t="s">
        <v>272</v>
      </c>
      <c r="CH1" s="0" t="s">
        <v>273</v>
      </c>
      <c r="CI1" s="0" t="s">
        <v>274</v>
      </c>
      <c r="CJ1" s="0" t="s">
        <v>275</v>
      </c>
      <c r="CK1" s="0" t="s">
        <v>276</v>
      </c>
      <c r="CL1" s="0" t="s">
        <v>277</v>
      </c>
      <c r="CM1" s="0" t="s">
        <v>278</v>
      </c>
      <c r="CN1" s="0" t="s">
        <v>279</v>
      </c>
      <c r="CO1" s="0" t="s">
        <v>280</v>
      </c>
      <c r="CP1" s="0" t="s">
        <v>281</v>
      </c>
      <c r="CQ1" s="0" t="s">
        <v>282</v>
      </c>
      <c r="CR1" s="0" t="s">
        <v>283</v>
      </c>
      <c r="CS1" s="0" t="s">
        <v>284</v>
      </c>
      <c r="CT1" s="0" t="s">
        <v>285</v>
      </c>
      <c r="CU1" s="0" t="s">
        <v>286</v>
      </c>
      <c r="CV1" s="0" t="s">
        <v>287</v>
      </c>
      <c r="CW1" s="0" t="s">
        <v>288</v>
      </c>
      <c r="CX1" s="0" t="s">
        <v>289</v>
      </c>
      <c r="CY1" s="0" t="s">
        <v>290</v>
      </c>
      <c r="CZ1" s="0" t="s">
        <v>291</v>
      </c>
      <c r="DB1" s="6" t="s">
        <v>292</v>
      </c>
      <c r="DC1" s="6" t="s">
        <v>293</v>
      </c>
    </row>
    <row r="2" customFormat="false" ht="15" hidden="false" customHeight="false" outlineLevel="0" collapsed="false">
      <c r="A2" s="0" t="n">
        <v>21</v>
      </c>
      <c r="AA2" s="0" t="n">
        <v>21</v>
      </c>
      <c r="AB2" s="0" t="s">
        <v>390</v>
      </c>
      <c r="AD2" s="0" t="n">
        <v>0</v>
      </c>
      <c r="AE2" s="0" t="s">
        <v>295</v>
      </c>
      <c r="AH2" s="0" t="n">
        <v>5</v>
      </c>
      <c r="AJ2" s="0" t="n">
        <v>30</v>
      </c>
      <c r="AP2" s="0" t="n">
        <v>530000</v>
      </c>
      <c r="DB2" s="0" t="str">
        <f aca="false">IF($A2="","",IF(AND($A2=21,$AE2&amp;""="00000000"),IF($AH2=20,"病院",IF($AH2=5,"消防","市長")),"対象外"))</f>
        <v>消防</v>
      </c>
    </row>
    <row r="3" customFormat="false" ht="15" hidden="false" customHeight="false" outlineLevel="0" collapsed="false">
      <c r="A3" s="0" t="n">
        <v>21</v>
      </c>
      <c r="AA3" s="0" t="n">
        <v>21</v>
      </c>
      <c r="AB3" s="0" t="s">
        <v>390</v>
      </c>
      <c r="AD3" s="0" t="n">
        <v>0</v>
      </c>
      <c r="AE3" s="0" t="s">
        <v>295</v>
      </c>
      <c r="AH3" s="0" t="n">
        <v>1</v>
      </c>
      <c r="AJ3" s="0" t="n">
        <v>10</v>
      </c>
      <c r="AP3" s="0" t="n">
        <v>500000</v>
      </c>
      <c r="DB3" s="0" t="str">
        <f aca="false">IF($A3="","",IF(AND($A3=21,$AE3&amp;""="00000000"),IF($AH3=20,"病院",IF($AH3=5,"消防","市長")),"対象外"))</f>
        <v>市長</v>
      </c>
    </row>
    <row r="4" customFormat="false" ht="15" hidden="false" customHeight="false" outlineLevel="0" collapsed="false">
      <c r="A4" s="0" t="n">
        <v>21</v>
      </c>
      <c r="AA4" s="0" t="n">
        <v>21</v>
      </c>
      <c r="AB4" s="0" t="s">
        <v>413</v>
      </c>
      <c r="AD4" s="0" t="n">
        <v>0</v>
      </c>
      <c r="AE4" s="0" t="s">
        <v>295</v>
      </c>
      <c r="AH4" s="0" t="n">
        <v>1</v>
      </c>
      <c r="AJ4" s="0" t="n">
        <v>10</v>
      </c>
      <c r="AP4" s="0" t="n">
        <v>560000</v>
      </c>
      <c r="DB4" s="0" t="str">
        <f aca="false">IF($A4="","",IF(AND($A4=21,$AE4&amp;""="00000000"),IF($AH4=20,"病院",IF($AH4=5,"消防","市長")),"対象外"))</f>
        <v>市長</v>
      </c>
    </row>
    <row r="5" customFormat="false" ht="15" hidden="false" customHeight="false" outlineLevel="0" collapsed="false">
      <c r="A5" s="0" t="n">
        <v>21</v>
      </c>
      <c r="AA5" s="0" t="n">
        <v>21</v>
      </c>
      <c r="AB5" s="0" t="s">
        <v>413</v>
      </c>
      <c r="AD5" s="0" t="n">
        <v>0</v>
      </c>
      <c r="AE5" s="0" t="s">
        <v>295</v>
      </c>
      <c r="AH5" s="0" t="n">
        <v>1</v>
      </c>
      <c r="AJ5" s="0" t="n">
        <v>10</v>
      </c>
      <c r="AP5" s="0" t="n">
        <v>650000</v>
      </c>
      <c r="DB5" s="0" t="str">
        <f aca="false">IF($A5="","",IF(AND($A5=21,$AE5&amp;""="00000000"),IF($AH5=20,"病院",IF($AH5=5,"消防","市長")),"対象外"))</f>
        <v>市長</v>
      </c>
    </row>
    <row r="6" customFormat="false" ht="15" hidden="false" customHeight="false" outlineLevel="0" collapsed="false">
      <c r="A6" s="0" t="n">
        <v>21</v>
      </c>
      <c r="AA6" s="0" t="n">
        <v>21</v>
      </c>
      <c r="AB6" s="0" t="s">
        <v>390</v>
      </c>
      <c r="AD6" s="0" t="n">
        <v>0</v>
      </c>
      <c r="AE6" s="0" t="s">
        <v>295</v>
      </c>
      <c r="AH6" s="0" t="n">
        <v>5</v>
      </c>
      <c r="AJ6" s="0" t="n">
        <v>30</v>
      </c>
      <c r="AP6" s="0" t="n">
        <v>560000</v>
      </c>
      <c r="DB6" s="0" t="str">
        <f aca="false">IF($A6="","",IF(AND($A6=21,$AE6&amp;""="00000000"),IF($AH6=20,"病院",IF($AH6=5,"消防","市長")),"対象外"))</f>
        <v>消防</v>
      </c>
    </row>
    <row r="7" customFormat="false" ht="15" hidden="false" customHeight="false" outlineLevel="0" collapsed="false">
      <c r="A7" s="0" t="n">
        <v>21</v>
      </c>
      <c r="AA7" s="0" t="n">
        <v>21</v>
      </c>
      <c r="AB7" s="0" t="s">
        <v>415</v>
      </c>
      <c r="AD7" s="0" t="n">
        <v>0</v>
      </c>
      <c r="AE7" s="0" t="s">
        <v>295</v>
      </c>
      <c r="AH7" s="0" t="n">
        <v>1</v>
      </c>
      <c r="AJ7" s="0" t="n">
        <v>10</v>
      </c>
      <c r="AP7" s="0" t="n">
        <v>560000</v>
      </c>
      <c r="DB7" s="0" t="str">
        <f aca="false">IF($A7="","",IF(AND($A7=21,$AE7&amp;""="00000000"),IF($AH7=20,"病院",IF($AH7=5,"消防","市長")),"対象外"))</f>
        <v>市長</v>
      </c>
    </row>
    <row r="8" customFormat="false" ht="15" hidden="false" customHeight="false" outlineLevel="0" collapsed="false">
      <c r="A8" s="0" t="n">
        <v>21</v>
      </c>
      <c r="AA8" s="0" t="n">
        <v>21</v>
      </c>
      <c r="AB8" s="0" t="s">
        <v>415</v>
      </c>
      <c r="AD8" s="0" t="n">
        <v>0</v>
      </c>
      <c r="AE8" s="0" t="s">
        <v>295</v>
      </c>
      <c r="AH8" s="0" t="n">
        <v>5</v>
      </c>
      <c r="AJ8" s="0" t="n">
        <v>30</v>
      </c>
      <c r="AP8" s="0" t="n">
        <v>470000</v>
      </c>
      <c r="DB8" s="0" t="str">
        <f aca="false">IF($A8="","",IF(AND($A8=21,$AE8&amp;""="00000000"),IF($AH8=20,"病院",IF($AH8=5,"消防","市長")),"対象外"))</f>
        <v>消防</v>
      </c>
    </row>
    <row r="9" customFormat="false" ht="15" hidden="false" customHeight="false" outlineLevel="0" collapsed="false">
      <c r="A9" s="0" t="n">
        <v>31</v>
      </c>
      <c r="AA9" s="0" t="n">
        <v>21</v>
      </c>
      <c r="AB9" s="0" t="s">
        <v>496</v>
      </c>
      <c r="AD9" s="0" t="n">
        <v>0</v>
      </c>
      <c r="AE9" s="0" t="s">
        <v>295</v>
      </c>
      <c r="AH9" s="0" t="n">
        <v>11</v>
      </c>
      <c r="AJ9" s="0" t="n">
        <v>41</v>
      </c>
      <c r="AP9" s="0" t="n">
        <v>190000</v>
      </c>
      <c r="DB9" s="0" t="str">
        <f aca="false">IF($A9="","",IF(AND($A9=21,$AE9&amp;""="00000000"),IF($AH9=20,"病院",IF($AH9=5,"消防","市長")),"対象外"))</f>
        <v>対象外</v>
      </c>
    </row>
    <row r="10" customFormat="false" ht="15" hidden="false" customHeight="false" outlineLevel="0" collapsed="false">
      <c r="A10" s="0" t="n">
        <v>21</v>
      </c>
      <c r="AA10" s="0" t="n">
        <v>21</v>
      </c>
      <c r="AB10" s="0" t="s">
        <v>413</v>
      </c>
      <c r="AD10" s="0" t="n">
        <v>0</v>
      </c>
      <c r="AE10" s="0" t="s">
        <v>295</v>
      </c>
      <c r="AH10" s="0" t="n">
        <v>1</v>
      </c>
      <c r="AJ10" s="0" t="n">
        <v>10</v>
      </c>
      <c r="AP10" s="0" t="n">
        <v>500000</v>
      </c>
      <c r="DB10" s="0" t="str">
        <f aca="false">IF($A10="","",IF(AND($A10=21,$AE10&amp;""="00000000"),IF($AH10=20,"病院",IF($AH10=5,"消防","市長")),"対象外"))</f>
        <v>市長</v>
      </c>
    </row>
    <row r="11" customFormat="false" ht="15" hidden="false" customHeight="false" outlineLevel="0" collapsed="false">
      <c r="A11" s="0" t="n">
        <v>21</v>
      </c>
      <c r="AA11" s="0" t="n">
        <v>21</v>
      </c>
      <c r="AB11" s="0" t="s">
        <v>417</v>
      </c>
      <c r="AD11" s="0" t="n">
        <v>0</v>
      </c>
      <c r="AE11" s="0" t="s">
        <v>295</v>
      </c>
      <c r="AH11" s="0" t="n">
        <v>47</v>
      </c>
      <c r="AJ11" s="0" t="n">
        <v>74</v>
      </c>
      <c r="AP11" s="0" t="n">
        <v>560000</v>
      </c>
      <c r="DB11" s="0" t="str">
        <f aca="false">IF($A11="","",IF(AND($A11=21,$AE11&amp;""="00000000"),IF($AH11=20,"病院",IF($AH11=5,"消防","市長")),"対象外"))</f>
        <v>市長</v>
      </c>
    </row>
    <row r="12" customFormat="false" ht="15" hidden="false" customHeight="false" outlineLevel="0" collapsed="false">
      <c r="A12" s="0" t="n">
        <v>21</v>
      </c>
      <c r="AA12" s="0" t="n">
        <v>21</v>
      </c>
      <c r="AB12" s="0" t="s">
        <v>390</v>
      </c>
      <c r="AD12" s="0" t="n">
        <v>0</v>
      </c>
      <c r="AE12" s="0" t="s">
        <v>295</v>
      </c>
      <c r="AH12" s="0" t="n">
        <v>5</v>
      </c>
      <c r="AJ12" s="0" t="n">
        <v>30</v>
      </c>
      <c r="AP12" s="0" t="n">
        <v>530000</v>
      </c>
      <c r="DB12" s="0" t="str">
        <f aca="false">IF($A12="","",IF(AND($A12=21,$AE12&amp;""="00000000"),IF($AH12=20,"病院",IF($AH12=5,"消防","市長")),"対象外"))</f>
        <v>消防</v>
      </c>
    </row>
    <row r="13" customFormat="false" ht="15" hidden="false" customHeight="false" outlineLevel="0" collapsed="false">
      <c r="A13" s="0" t="n">
        <v>21</v>
      </c>
      <c r="AA13" s="0" t="n">
        <v>21</v>
      </c>
      <c r="AB13" s="0" t="s">
        <v>390</v>
      </c>
      <c r="AD13" s="0" t="n">
        <v>0</v>
      </c>
      <c r="AE13" s="0" t="s">
        <v>295</v>
      </c>
      <c r="AH13" s="0" t="n">
        <v>4</v>
      </c>
      <c r="AJ13" s="0" t="n">
        <v>10</v>
      </c>
      <c r="AP13" s="0" t="n">
        <v>470000</v>
      </c>
      <c r="DB13" s="0" t="str">
        <f aca="false">IF($A13="","",IF(AND($A13=21,$AE13&amp;""="00000000"),IF($AH13=20,"病院",IF($AH13=5,"消防","市長")),"対象外"))</f>
        <v>市長</v>
      </c>
    </row>
    <row r="14" customFormat="false" ht="15" hidden="false" customHeight="false" outlineLevel="0" collapsed="false">
      <c r="A14" s="0" t="n">
        <v>21</v>
      </c>
      <c r="AA14" s="0" t="n">
        <v>21</v>
      </c>
      <c r="AB14" s="0" t="s">
        <v>413</v>
      </c>
      <c r="AD14" s="0" t="n">
        <v>0</v>
      </c>
      <c r="AE14" s="0" t="s">
        <v>295</v>
      </c>
      <c r="AH14" s="0" t="n">
        <v>47</v>
      </c>
      <c r="AJ14" s="0" t="n">
        <v>74</v>
      </c>
      <c r="AP14" s="0" t="n">
        <v>500000</v>
      </c>
      <c r="DB14" s="0" t="str">
        <f aca="false">IF($A14="","",IF(AND($A14=21,$AE14&amp;""="00000000"),IF($AH14=20,"病院",IF($AH14=5,"消防","市長")),"対象外"))</f>
        <v>市長</v>
      </c>
    </row>
    <row r="15" customFormat="false" ht="15" hidden="false" customHeight="false" outlineLevel="0" collapsed="false">
      <c r="A15" s="0" t="n">
        <v>21</v>
      </c>
      <c r="AA15" s="0" t="n">
        <v>21</v>
      </c>
      <c r="AB15" s="0" t="s">
        <v>413</v>
      </c>
      <c r="AD15" s="0" t="n">
        <v>0</v>
      </c>
      <c r="AE15" s="0" t="s">
        <v>295</v>
      </c>
      <c r="AH15" s="0" t="n">
        <v>1</v>
      </c>
      <c r="AJ15" s="0" t="n">
        <v>10</v>
      </c>
      <c r="AP15" s="0" t="n">
        <v>530000</v>
      </c>
      <c r="DB15" s="0" t="str">
        <f aca="false">IF($A15="","",IF(AND($A15=21,$AE15&amp;""="00000000"),IF($AH15=20,"病院",IF($AH15=5,"消防","市長")),"対象外"))</f>
        <v>市長</v>
      </c>
    </row>
    <row r="16" customFormat="false" ht="15" hidden="false" customHeight="false" outlineLevel="0" collapsed="false">
      <c r="A16" s="0" t="n">
        <v>21</v>
      </c>
      <c r="AA16" s="0" t="n">
        <v>21</v>
      </c>
      <c r="AB16" s="0" t="s">
        <v>429</v>
      </c>
      <c r="AD16" s="0" t="n">
        <v>0</v>
      </c>
      <c r="AE16" s="0" t="s">
        <v>295</v>
      </c>
      <c r="AH16" s="0" t="n">
        <v>3</v>
      </c>
      <c r="AJ16" s="0" t="n">
        <v>10</v>
      </c>
      <c r="AP16" s="0" t="n">
        <v>560000</v>
      </c>
      <c r="DB16" s="0" t="str">
        <f aca="false">IF($A16="","",IF(AND($A16=21,$AE16&amp;""="00000000"),IF($AH16=20,"病院",IF($AH16=5,"消防","市長")),"対象外"))</f>
        <v>市長</v>
      </c>
    </row>
    <row r="17" customFormat="false" ht="15" hidden="false" customHeight="false" outlineLevel="0" collapsed="false">
      <c r="A17" s="0" t="n">
        <v>21</v>
      </c>
      <c r="AA17" s="0" t="n">
        <v>21</v>
      </c>
      <c r="AB17" s="0" t="s">
        <v>390</v>
      </c>
      <c r="AD17" s="0" t="n">
        <v>0</v>
      </c>
      <c r="AE17" s="0" t="s">
        <v>295</v>
      </c>
      <c r="AH17" s="0" t="n">
        <v>4</v>
      </c>
      <c r="AJ17" s="0" t="n">
        <v>10</v>
      </c>
      <c r="AP17" s="0" t="n">
        <v>590000</v>
      </c>
      <c r="DB17" s="0" t="str">
        <f aca="false">IF($A17="","",IF(AND($A17=21,$AE17&amp;""="00000000"),IF($AH17=20,"病院",IF($AH17=5,"消防","市長")),"対象外"))</f>
        <v>市長</v>
      </c>
    </row>
    <row r="18" customFormat="false" ht="15" hidden="false" customHeight="false" outlineLevel="0" collapsed="false">
      <c r="A18" s="0" t="n">
        <v>21</v>
      </c>
      <c r="AA18" s="0" t="n">
        <v>21</v>
      </c>
      <c r="AB18" s="0" t="s">
        <v>413</v>
      </c>
      <c r="AD18" s="0" t="n">
        <v>0</v>
      </c>
      <c r="AE18" s="0" t="s">
        <v>295</v>
      </c>
      <c r="AH18" s="0" t="n">
        <v>11</v>
      </c>
      <c r="AJ18" s="0" t="n">
        <v>10</v>
      </c>
      <c r="AP18" s="0" t="n">
        <v>470000</v>
      </c>
      <c r="DB18" s="0" t="str">
        <f aca="false">IF($A18="","",IF(AND($A18=21,$AE18&amp;""="00000000"),IF($AH18=20,"病院",IF($AH18=5,"消防","市長")),"対象外"))</f>
        <v>市長</v>
      </c>
    </row>
    <row r="19" customFormat="false" ht="15" hidden="false" customHeight="false" outlineLevel="0" collapsed="false">
      <c r="A19" s="0" t="n">
        <v>21</v>
      </c>
      <c r="AA19" s="0" t="n">
        <v>21</v>
      </c>
      <c r="AB19" s="0" t="s">
        <v>422</v>
      </c>
      <c r="AD19" s="0" t="n">
        <v>0</v>
      </c>
      <c r="AE19" s="0" t="s">
        <v>295</v>
      </c>
      <c r="AH19" s="0" t="n">
        <v>3</v>
      </c>
      <c r="AJ19" s="0" t="n">
        <v>10</v>
      </c>
      <c r="AP19" s="0" t="n">
        <v>560000</v>
      </c>
      <c r="DB19" s="0" t="str">
        <f aca="false">IF($A19="","",IF(AND($A19=21,$AE19&amp;""="00000000"),IF($AH19=20,"病院",IF($AH19=5,"消防","市長")),"対象外"))</f>
        <v>市長</v>
      </c>
    </row>
    <row r="20" customFormat="false" ht="15" hidden="false" customHeight="false" outlineLevel="0" collapsed="false">
      <c r="A20" s="0" t="n">
        <v>21</v>
      </c>
      <c r="AA20" s="0" t="n">
        <v>21</v>
      </c>
      <c r="AB20" s="0" t="s">
        <v>415</v>
      </c>
      <c r="AD20" s="0" t="n">
        <v>0</v>
      </c>
      <c r="AE20" s="0" t="s">
        <v>295</v>
      </c>
      <c r="AH20" s="0" t="n">
        <v>1</v>
      </c>
      <c r="AJ20" s="0" t="n">
        <v>10</v>
      </c>
      <c r="AP20" s="0" t="n">
        <v>650000</v>
      </c>
      <c r="DB20" s="0" t="str">
        <f aca="false">IF($A20="","",IF(AND($A20=21,$AE20&amp;""="00000000"),IF($AH20=20,"病院",IF($AH20=5,"消防","市長")),"対象外"))</f>
        <v>市長</v>
      </c>
    </row>
    <row r="21" customFormat="false" ht="15" hidden="false" customHeight="false" outlineLevel="0" collapsed="false">
      <c r="A21" s="0" t="n">
        <v>21</v>
      </c>
      <c r="AA21" s="0" t="n">
        <v>21</v>
      </c>
      <c r="AB21" s="0" t="s">
        <v>390</v>
      </c>
      <c r="AD21" s="0" t="n">
        <v>0</v>
      </c>
      <c r="AE21" s="0" t="s">
        <v>295</v>
      </c>
      <c r="AH21" s="0" t="n">
        <v>4</v>
      </c>
      <c r="AJ21" s="0" t="n">
        <v>10</v>
      </c>
      <c r="AP21" s="0" t="n">
        <v>530000</v>
      </c>
      <c r="DB21" s="0" t="str">
        <f aca="false">IF($A21="","",IF(AND($A21=21,$AE21&amp;""="00000000"),IF($AH21=20,"病院",IF($AH21=5,"消防","市長")),"対象外"))</f>
        <v>市長</v>
      </c>
    </row>
    <row r="22" customFormat="false" ht="15" hidden="false" customHeight="false" outlineLevel="0" collapsed="false">
      <c r="A22" s="0" t="n">
        <v>21</v>
      </c>
      <c r="AA22" s="0" t="n">
        <v>21</v>
      </c>
      <c r="AB22" s="0" t="s">
        <v>415</v>
      </c>
      <c r="AD22" s="0" t="n">
        <v>0</v>
      </c>
      <c r="AE22" s="0" t="s">
        <v>295</v>
      </c>
      <c r="AH22" s="0" t="n">
        <v>1</v>
      </c>
      <c r="AJ22" s="0" t="n">
        <v>10</v>
      </c>
      <c r="AP22" s="0" t="n">
        <v>620000</v>
      </c>
      <c r="DB22" s="0" t="str">
        <f aca="false">IF($A22="","",IF(AND($A22=21,$AE22&amp;""="00000000"),IF($AH22=20,"病院",IF($AH22=5,"消防","市長")),"対象外"))</f>
        <v>市長</v>
      </c>
    </row>
    <row r="23" customFormat="false" ht="15" hidden="false" customHeight="false" outlineLevel="0" collapsed="false">
      <c r="A23" s="0" t="n">
        <v>21</v>
      </c>
      <c r="AA23" s="0" t="n">
        <v>21</v>
      </c>
      <c r="AB23" s="0" t="s">
        <v>413</v>
      </c>
      <c r="AD23" s="0" t="n">
        <v>0</v>
      </c>
      <c r="AE23" s="0" t="s">
        <v>295</v>
      </c>
      <c r="AH23" s="0" t="n">
        <v>1</v>
      </c>
      <c r="AJ23" s="0" t="n">
        <v>10</v>
      </c>
      <c r="AP23" s="0" t="n">
        <v>650000</v>
      </c>
      <c r="DB23" s="0" t="str">
        <f aca="false">IF($A23="","",IF(AND($A23=21,$AE23&amp;""="00000000"),IF($AH23=20,"病院",IF($AH23=5,"消防","市長")),"対象外"))</f>
        <v>市長</v>
      </c>
    </row>
    <row r="24" customFormat="false" ht="15" hidden="false" customHeight="false" outlineLevel="0" collapsed="false">
      <c r="A24" s="0" t="n">
        <v>21</v>
      </c>
      <c r="AA24" s="0" t="n">
        <v>21</v>
      </c>
      <c r="AB24" s="0" t="s">
        <v>413</v>
      </c>
      <c r="AD24" s="0" t="n">
        <v>0</v>
      </c>
      <c r="AE24" s="0" t="s">
        <v>295</v>
      </c>
      <c r="AH24" s="0" t="n">
        <v>1</v>
      </c>
      <c r="AJ24" s="0" t="n">
        <v>10</v>
      </c>
      <c r="AP24" s="0" t="n">
        <v>590000</v>
      </c>
      <c r="DB24" s="0" t="str">
        <f aca="false">IF($A24="","",IF(AND($A24=21,$AE24&amp;""="00000000"),IF($AH24=20,"病院",IF($AH24=5,"消防","市長")),"対象外"))</f>
        <v>市長</v>
      </c>
    </row>
    <row r="25" customFormat="false" ht="15" hidden="false" customHeight="false" outlineLevel="0" collapsed="false">
      <c r="A25" s="0" t="n">
        <v>21</v>
      </c>
      <c r="AA25" s="0" t="n">
        <v>21</v>
      </c>
      <c r="AB25" s="0" t="s">
        <v>413</v>
      </c>
      <c r="AD25" s="0" t="n">
        <v>0</v>
      </c>
      <c r="AE25" s="0" t="s">
        <v>295</v>
      </c>
      <c r="AH25" s="0" t="n">
        <v>1</v>
      </c>
      <c r="AJ25" s="0" t="n">
        <v>10</v>
      </c>
      <c r="AP25" s="0" t="n">
        <v>650000</v>
      </c>
      <c r="DB25" s="0" t="str">
        <f aca="false">IF($A25="","",IF(AND($A25=21,$AE25&amp;""="00000000"),IF($AH25=20,"病院",IF($AH25=5,"消防","市長")),"対象外"))</f>
        <v>市長</v>
      </c>
    </row>
    <row r="26" customFormat="false" ht="15" hidden="false" customHeight="false" outlineLevel="0" collapsed="false">
      <c r="A26" s="0" t="n">
        <v>31</v>
      </c>
      <c r="AA26" s="0" t="n">
        <v>21</v>
      </c>
      <c r="AB26" s="0" t="s">
        <v>96</v>
      </c>
      <c r="AD26" s="0" t="n">
        <v>0</v>
      </c>
      <c r="AE26" s="0" t="s">
        <v>295</v>
      </c>
      <c r="AH26" s="0" t="n">
        <v>11</v>
      </c>
      <c r="AJ26" s="0" t="n">
        <v>41</v>
      </c>
      <c r="AP26" s="0" t="n">
        <v>180000</v>
      </c>
      <c r="DB26" s="0" t="str">
        <f aca="false">IF($A26="","",IF(AND($A26=21,$AE26&amp;""="00000000"),IF($AH26=20,"病院",IF($AH26=5,"消防","市長")),"対象外"))</f>
        <v>対象外</v>
      </c>
    </row>
    <row r="27" customFormat="false" ht="15" hidden="false" customHeight="false" outlineLevel="0" collapsed="false">
      <c r="A27" s="0" t="n">
        <v>21</v>
      </c>
      <c r="AA27" s="0" t="n">
        <v>21</v>
      </c>
      <c r="AB27" s="0" t="s">
        <v>415</v>
      </c>
      <c r="AD27" s="0" t="n">
        <v>0</v>
      </c>
      <c r="AE27" s="0" t="s">
        <v>295</v>
      </c>
      <c r="AH27" s="0" t="n">
        <v>1</v>
      </c>
      <c r="AJ27" s="0" t="n">
        <v>10</v>
      </c>
      <c r="AP27" s="0" t="n">
        <v>560000</v>
      </c>
      <c r="DB27" s="0" t="str">
        <f aca="false">IF($A27="","",IF(AND($A27=21,$AE27&amp;""="00000000"),IF($AH27=20,"病院",IF($AH27=5,"消防","市長")),"対象外"))</f>
        <v>市長</v>
      </c>
    </row>
    <row r="28" customFormat="false" ht="15" hidden="false" customHeight="false" outlineLevel="0" collapsed="false">
      <c r="A28" s="0" t="n">
        <v>21</v>
      </c>
      <c r="AA28" s="0" t="n">
        <v>21</v>
      </c>
      <c r="AB28" s="0" t="s">
        <v>413</v>
      </c>
      <c r="AD28" s="0" t="n">
        <v>0</v>
      </c>
      <c r="AE28" s="0" t="s">
        <v>295</v>
      </c>
      <c r="AH28" s="0" t="n">
        <v>11</v>
      </c>
      <c r="AJ28" s="0" t="n">
        <v>10</v>
      </c>
      <c r="AP28" s="0" t="n">
        <v>440000</v>
      </c>
      <c r="DB28" s="0" t="str">
        <f aca="false">IF($A28="","",IF(AND($A28=21,$AE28&amp;""="00000000"),IF($AH28=20,"病院",IF($AH28=5,"消防","市長")),"対象外"))</f>
        <v>市長</v>
      </c>
    </row>
    <row r="29" customFormat="false" ht="15" hidden="false" customHeight="false" outlineLevel="0" collapsed="false">
      <c r="A29" s="0" t="n">
        <v>21</v>
      </c>
      <c r="AA29" s="0" t="n">
        <v>21</v>
      </c>
      <c r="AB29" s="0" t="s">
        <v>390</v>
      </c>
      <c r="AD29" s="0" t="n">
        <v>0</v>
      </c>
      <c r="AE29" s="0" t="s">
        <v>295</v>
      </c>
      <c r="AH29" s="0" t="n">
        <v>1</v>
      </c>
      <c r="AJ29" s="0" t="n">
        <v>10</v>
      </c>
      <c r="AP29" s="0" t="n">
        <v>530000</v>
      </c>
      <c r="DB29" s="0" t="str">
        <f aca="false">IF($A29="","",IF(AND($A29=21,$AE29&amp;""="00000000"),IF($AH29=20,"病院",IF($AH29=5,"消防","市長")),"対象外"))</f>
        <v>市長</v>
      </c>
    </row>
    <row r="30" customFormat="false" ht="15" hidden="false" customHeight="false" outlineLevel="0" collapsed="false">
      <c r="A30" s="0" t="n">
        <v>21</v>
      </c>
      <c r="AA30" s="0" t="n">
        <v>21</v>
      </c>
      <c r="AB30" s="0" t="s">
        <v>415</v>
      </c>
      <c r="AD30" s="0" t="n">
        <v>0</v>
      </c>
      <c r="AE30" s="0" t="s">
        <v>295</v>
      </c>
      <c r="AH30" s="0" t="n">
        <v>4</v>
      </c>
      <c r="AJ30" s="0" t="n">
        <v>10</v>
      </c>
      <c r="AP30" s="0" t="n">
        <v>500000</v>
      </c>
      <c r="DB30" s="0" t="str">
        <f aca="false">IF($A30="","",IF(AND($A30=21,$AE30&amp;""="00000000"),IF($AH30=20,"病院",IF($AH30=5,"消防","市長")),"対象外"))</f>
        <v>市長</v>
      </c>
    </row>
    <row r="31" customFormat="false" ht="15" hidden="false" customHeight="false" outlineLevel="0" collapsed="false">
      <c r="A31" s="0" t="n">
        <v>21</v>
      </c>
      <c r="AA31" s="0" t="n">
        <v>21</v>
      </c>
      <c r="AB31" s="0" t="s">
        <v>415</v>
      </c>
      <c r="AD31" s="0" t="n">
        <v>0</v>
      </c>
      <c r="AE31" s="0" t="s">
        <v>295</v>
      </c>
      <c r="AH31" s="0" t="n">
        <v>1</v>
      </c>
      <c r="AJ31" s="0" t="n">
        <v>10</v>
      </c>
      <c r="AP31" s="0" t="n">
        <v>620000</v>
      </c>
      <c r="DB31" s="0" t="str">
        <f aca="false">IF($A31="","",IF(AND($A31=21,$AE31&amp;""="00000000"),IF($AH31=20,"病院",IF($AH31=5,"消防","市長")),"対象外"))</f>
        <v>市長</v>
      </c>
    </row>
    <row r="32" customFormat="false" ht="15" hidden="false" customHeight="false" outlineLevel="0" collapsed="false">
      <c r="A32" s="0" t="n">
        <v>31</v>
      </c>
      <c r="AA32" s="0" t="n">
        <v>21</v>
      </c>
      <c r="AB32" s="0" t="s">
        <v>96</v>
      </c>
      <c r="AD32" s="0" t="n">
        <v>0</v>
      </c>
      <c r="AE32" s="0" t="s">
        <v>295</v>
      </c>
      <c r="AH32" s="0" t="n">
        <v>1</v>
      </c>
      <c r="AJ32" s="0" t="n">
        <v>41</v>
      </c>
      <c r="AP32" s="0" t="n">
        <v>200000</v>
      </c>
      <c r="DB32" s="0" t="str">
        <f aca="false">IF($A32="","",IF(AND($A32=21,$AE32&amp;""="00000000"),IF($AH32=20,"病院",IF($AH32=5,"消防","市長")),"対象外"))</f>
        <v>対象外</v>
      </c>
    </row>
    <row r="33" customFormat="false" ht="15" hidden="false" customHeight="false" outlineLevel="0" collapsed="false">
      <c r="A33" s="0" t="n">
        <v>21</v>
      </c>
      <c r="AA33" s="0" t="n">
        <v>24</v>
      </c>
      <c r="AB33" s="0" t="s">
        <v>478</v>
      </c>
      <c r="AD33" s="0" t="n">
        <v>0</v>
      </c>
      <c r="AE33" s="0" t="s">
        <v>295</v>
      </c>
      <c r="AH33" s="0" t="n">
        <v>1</v>
      </c>
      <c r="AJ33" s="0" t="n">
        <v>10</v>
      </c>
      <c r="AP33" s="0" t="n">
        <v>590000</v>
      </c>
      <c r="DB33" s="0" t="str">
        <f aca="false">IF($A33="","",IF(AND($A33=21,$AE33&amp;""="00000000"),IF($AH33=20,"病院",IF($AH33=5,"消防","市長")),"対象外"))</f>
        <v>市長</v>
      </c>
    </row>
    <row r="34" customFormat="false" ht="15" hidden="false" customHeight="false" outlineLevel="0" collapsed="false">
      <c r="A34" s="0" t="n">
        <v>21</v>
      </c>
      <c r="AA34" s="0" t="n">
        <v>21</v>
      </c>
      <c r="AB34" s="0" t="s">
        <v>400</v>
      </c>
      <c r="AD34" s="0" t="n">
        <v>0</v>
      </c>
      <c r="AE34" s="0" t="s">
        <v>295</v>
      </c>
      <c r="AH34" s="0" t="n">
        <v>20</v>
      </c>
      <c r="AJ34" s="0" t="n">
        <v>10</v>
      </c>
      <c r="AP34" s="0" t="n">
        <v>1210000</v>
      </c>
      <c r="DB34" s="0" t="str">
        <f aca="false">IF($A34="","",IF(AND($A34=21,$AE34&amp;""="00000000"),IF($AH34=20,"病院",IF($AH34=5,"消防","市長")),"対象外"))</f>
        <v>病院</v>
      </c>
    </row>
    <row r="35" customFormat="false" ht="15" hidden="false" customHeight="false" outlineLevel="0" collapsed="false">
      <c r="A35" s="0" t="n">
        <v>21</v>
      </c>
      <c r="AA35" s="0" t="n">
        <v>21</v>
      </c>
      <c r="AB35" s="0" t="s">
        <v>404</v>
      </c>
      <c r="AD35" s="0" t="n">
        <v>0</v>
      </c>
      <c r="AE35" s="0" t="s">
        <v>295</v>
      </c>
      <c r="AH35" s="0" t="n">
        <v>4</v>
      </c>
      <c r="AJ35" s="0" t="n">
        <v>10</v>
      </c>
      <c r="AP35" s="0" t="n">
        <v>530000</v>
      </c>
      <c r="DB35" s="0" t="str">
        <f aca="false">IF($A35="","",IF(AND($A35=21,$AE35&amp;""="00000000"),IF($AH35=20,"病院",IF($AH35=5,"消防","市長")),"対象外"))</f>
        <v>市長</v>
      </c>
    </row>
    <row r="36" customFormat="false" ht="15" hidden="false" customHeight="false" outlineLevel="0" collapsed="false">
      <c r="A36" s="0" t="n">
        <v>21</v>
      </c>
      <c r="AA36" s="0" t="n">
        <v>21</v>
      </c>
      <c r="AB36" s="0" t="s">
        <v>417</v>
      </c>
      <c r="AD36" s="0" t="n">
        <v>0</v>
      </c>
      <c r="AE36" s="0" t="s">
        <v>295</v>
      </c>
      <c r="AH36" s="0" t="n">
        <v>1</v>
      </c>
      <c r="AJ36" s="0" t="n">
        <v>10</v>
      </c>
      <c r="AP36" s="0" t="n">
        <v>590000</v>
      </c>
      <c r="DB36" s="0" t="str">
        <f aca="false">IF($A36="","",IF(AND($A36=21,$AE36&amp;""="00000000"),IF($AH36=20,"病院",IF($AH36=5,"消防","市長")),"対象外"))</f>
        <v>市長</v>
      </c>
    </row>
    <row r="37" customFormat="false" ht="15" hidden="false" customHeight="false" outlineLevel="0" collapsed="false">
      <c r="A37" s="0" t="n">
        <v>21</v>
      </c>
      <c r="AA37" s="0" t="n">
        <v>21</v>
      </c>
      <c r="AB37" s="0" t="s">
        <v>427</v>
      </c>
      <c r="AD37" s="0" t="n">
        <v>0</v>
      </c>
      <c r="AE37" s="0" t="s">
        <v>295</v>
      </c>
      <c r="AH37" s="0" t="n">
        <v>3</v>
      </c>
      <c r="AJ37" s="0" t="n">
        <v>10</v>
      </c>
      <c r="AP37" s="0" t="n">
        <v>590000</v>
      </c>
      <c r="DB37" s="0" t="str">
        <f aca="false">IF($A37="","",IF(AND($A37=21,$AE37&amp;""="00000000"),IF($AH37=20,"病院",IF($AH37=5,"消防","市長")),"対象外"))</f>
        <v>市長</v>
      </c>
    </row>
    <row r="38" customFormat="false" ht="15" hidden="false" customHeight="false" outlineLevel="0" collapsed="false">
      <c r="A38" s="0" t="n">
        <v>21</v>
      </c>
      <c r="AA38" s="0" t="n">
        <v>21</v>
      </c>
      <c r="AB38" s="0" t="s">
        <v>415</v>
      </c>
      <c r="AD38" s="0" t="n">
        <v>0</v>
      </c>
      <c r="AE38" s="0" t="s">
        <v>295</v>
      </c>
      <c r="AH38" s="0" t="n">
        <v>12</v>
      </c>
      <c r="AJ38" s="0" t="n">
        <v>10</v>
      </c>
      <c r="AP38" s="0" t="n">
        <v>620000</v>
      </c>
      <c r="DB38" s="0" t="str">
        <f aca="false">IF($A38="","",IF(AND($A38=21,$AE38&amp;""="00000000"),IF($AH38=20,"病院",IF($AH38=5,"消防","市長")),"対象外"))</f>
        <v>市長</v>
      </c>
    </row>
    <row r="39" customFormat="false" ht="15" hidden="false" customHeight="false" outlineLevel="0" collapsed="false">
      <c r="A39" s="0" t="n">
        <v>31</v>
      </c>
      <c r="AA39" s="0" t="n">
        <v>21</v>
      </c>
      <c r="AB39" s="0" t="s">
        <v>496</v>
      </c>
      <c r="AD39" s="0" t="n">
        <v>0</v>
      </c>
      <c r="AE39" s="0" t="s">
        <v>295</v>
      </c>
      <c r="AH39" s="0" t="n">
        <v>11</v>
      </c>
      <c r="AJ39" s="0" t="n">
        <v>41</v>
      </c>
      <c r="AP39" s="0" t="n">
        <v>180000</v>
      </c>
      <c r="DB39" s="0" t="str">
        <f aca="false">IF($A39="","",IF(AND($A39=21,$AE39&amp;""="00000000"),IF($AH39=20,"病院",IF($AH39=5,"消防","市長")),"対象外"))</f>
        <v>対象外</v>
      </c>
    </row>
    <row r="40" customFormat="false" ht="15" hidden="false" customHeight="false" outlineLevel="0" collapsed="false">
      <c r="A40" s="0" t="n">
        <v>21</v>
      </c>
      <c r="AA40" s="0" t="n">
        <v>21</v>
      </c>
      <c r="AB40" s="0" t="s">
        <v>413</v>
      </c>
      <c r="AD40" s="0" t="n">
        <v>0</v>
      </c>
      <c r="AE40" s="0" t="s">
        <v>295</v>
      </c>
      <c r="AH40" s="0" t="n">
        <v>5</v>
      </c>
      <c r="AJ40" s="0" t="n">
        <v>10</v>
      </c>
      <c r="AP40" s="0" t="n">
        <v>590000</v>
      </c>
      <c r="DB40" s="0" t="str">
        <f aca="false">IF($A40="","",IF(AND($A40=21,$AE40&amp;""="00000000"),IF($AH40=20,"病院",IF($AH40=5,"消防","市長")),"対象外"))</f>
        <v>消防</v>
      </c>
    </row>
    <row r="41" customFormat="false" ht="15" hidden="false" customHeight="false" outlineLevel="0" collapsed="false">
      <c r="A41" s="0" t="n">
        <v>31</v>
      </c>
      <c r="AA41" s="0" t="n">
        <v>21</v>
      </c>
      <c r="AB41" s="0" t="s">
        <v>96</v>
      </c>
      <c r="AD41" s="0" t="n">
        <v>0</v>
      </c>
      <c r="AE41" s="0" t="s">
        <v>295</v>
      </c>
      <c r="AH41" s="0" t="n">
        <v>11</v>
      </c>
      <c r="AJ41" s="0" t="n">
        <v>41</v>
      </c>
      <c r="AP41" s="0" t="n">
        <v>180000</v>
      </c>
      <c r="DB41" s="0" t="str">
        <f aca="false">IF($A41="","",IF(AND($A41=21,$AE41&amp;""="00000000"),IF($AH41=20,"病院",IF($AH41=5,"消防","市長")),"対象外"))</f>
        <v>対象外</v>
      </c>
    </row>
    <row r="42" customFormat="false" ht="15" hidden="false" customHeight="false" outlineLevel="0" collapsed="false">
      <c r="A42" s="0" t="n">
        <v>21</v>
      </c>
      <c r="AA42" s="0" t="n">
        <v>21</v>
      </c>
      <c r="AB42" s="0" t="s">
        <v>404</v>
      </c>
      <c r="AD42" s="0" t="n">
        <v>0</v>
      </c>
      <c r="AE42" s="0" t="s">
        <v>295</v>
      </c>
      <c r="AH42" s="0" t="n">
        <v>5</v>
      </c>
      <c r="AJ42" s="0" t="n">
        <v>10</v>
      </c>
      <c r="AP42" s="0" t="n">
        <v>650000</v>
      </c>
      <c r="DB42" s="0" t="str">
        <f aca="false">IF($A42="","",IF(AND($A42=21,$AE42&amp;""="00000000"),IF($AH42=20,"病院",IF($AH42=5,"消防","市長")),"対象外"))</f>
        <v>消防</v>
      </c>
    </row>
    <row r="43" customFormat="false" ht="15" hidden="false" customHeight="false" outlineLevel="0" collapsed="false">
      <c r="A43" s="0" t="n">
        <v>21</v>
      </c>
      <c r="AA43" s="0" t="n">
        <v>21</v>
      </c>
      <c r="AB43" s="0" t="s">
        <v>415</v>
      </c>
      <c r="AD43" s="0" t="n">
        <v>0</v>
      </c>
      <c r="AE43" s="0" t="s">
        <v>295</v>
      </c>
      <c r="AH43" s="0" t="n">
        <v>1</v>
      </c>
      <c r="AJ43" s="0" t="n">
        <v>10</v>
      </c>
      <c r="AP43" s="0" t="n">
        <v>750000</v>
      </c>
      <c r="DB43" s="0" t="str">
        <f aca="false">IF($A43="","",IF(AND($A43=21,$AE43&amp;""="00000000"),IF($AH43=20,"病院",IF($AH43=5,"消防","市長")),"対象外"))</f>
        <v>市長</v>
      </c>
    </row>
    <row r="44" customFormat="false" ht="15" hidden="false" customHeight="false" outlineLevel="0" collapsed="false">
      <c r="A44" s="0" t="n">
        <v>21</v>
      </c>
      <c r="AA44" s="0" t="n">
        <v>21</v>
      </c>
      <c r="AB44" s="0" t="s">
        <v>422</v>
      </c>
      <c r="AD44" s="0" t="n">
        <v>0</v>
      </c>
      <c r="AE44" s="0" t="s">
        <v>295</v>
      </c>
      <c r="AH44" s="0" t="n">
        <v>1</v>
      </c>
      <c r="AJ44" s="0" t="n">
        <v>10</v>
      </c>
      <c r="AP44" s="0" t="n">
        <v>440000</v>
      </c>
      <c r="DB44" s="0" t="str">
        <f aca="false">IF($A44="","",IF(AND($A44=21,$AE44&amp;""="00000000"),IF($AH44=20,"病院",IF($AH44=5,"消防","市長")),"対象外"))</f>
        <v>市長</v>
      </c>
    </row>
    <row r="45" customFormat="false" ht="15" hidden="false" customHeight="false" outlineLevel="0" collapsed="false">
      <c r="A45" s="0" t="n">
        <v>21</v>
      </c>
      <c r="AA45" s="0" t="n">
        <v>21</v>
      </c>
      <c r="AB45" s="0" t="s">
        <v>417</v>
      </c>
      <c r="AD45" s="0" t="n">
        <v>0</v>
      </c>
      <c r="AE45" s="0" t="s">
        <v>295</v>
      </c>
      <c r="AH45" s="0" t="n">
        <v>1</v>
      </c>
      <c r="AJ45" s="0" t="n">
        <v>10</v>
      </c>
      <c r="AP45" s="0" t="n">
        <v>590000</v>
      </c>
      <c r="DB45" s="0" t="str">
        <f aca="false">IF($A45="","",IF(AND($A45=21,$AE45&amp;""="00000000"),IF($AH45=20,"病院",IF($AH45=5,"消防","市長")),"対象外"))</f>
        <v>市長</v>
      </c>
    </row>
    <row r="46" customFormat="false" ht="15" hidden="false" customHeight="false" outlineLevel="0" collapsed="false">
      <c r="A46" s="0" t="n">
        <v>21</v>
      </c>
      <c r="AA46" s="0" t="n">
        <v>21</v>
      </c>
      <c r="AB46" s="0" t="s">
        <v>417</v>
      </c>
      <c r="AD46" s="0" t="n">
        <v>0</v>
      </c>
      <c r="AE46" s="0" t="s">
        <v>295</v>
      </c>
      <c r="AH46" s="0" t="n">
        <v>1</v>
      </c>
      <c r="AJ46" s="0" t="n">
        <v>10</v>
      </c>
      <c r="AP46" s="0" t="n">
        <v>560000</v>
      </c>
      <c r="DB46" s="0" t="str">
        <f aca="false">IF($A46="","",IF(AND($A46=21,$AE46&amp;""="00000000"),IF($AH46=20,"病院",IF($AH46=5,"消防","市長")),"対象外"))</f>
        <v>市長</v>
      </c>
    </row>
    <row r="47" customFormat="false" ht="15" hidden="false" customHeight="false" outlineLevel="0" collapsed="false">
      <c r="A47" s="0" t="n">
        <v>21</v>
      </c>
      <c r="AA47" s="0" t="n">
        <v>21</v>
      </c>
      <c r="AB47" s="0" t="s">
        <v>390</v>
      </c>
      <c r="AD47" s="0" t="n">
        <v>0</v>
      </c>
      <c r="AE47" s="0" t="s">
        <v>295</v>
      </c>
      <c r="AH47" s="0" t="n">
        <v>1</v>
      </c>
      <c r="AJ47" s="0" t="n">
        <v>10</v>
      </c>
      <c r="AP47" s="0" t="n">
        <v>590000</v>
      </c>
      <c r="DB47" s="0" t="str">
        <f aca="false">IF($A47="","",IF(AND($A47=21,$AE47&amp;""="00000000"),IF($AH47=20,"病院",IF($AH47=5,"消防","市長")),"対象外"))</f>
        <v>市長</v>
      </c>
    </row>
    <row r="48" customFormat="false" ht="15" hidden="false" customHeight="false" outlineLevel="0" collapsed="false">
      <c r="A48" s="0" t="n">
        <v>21</v>
      </c>
      <c r="AA48" s="0" t="n">
        <v>21</v>
      </c>
      <c r="AB48" s="0" t="s">
        <v>413</v>
      </c>
      <c r="AD48" s="0" t="n">
        <v>0</v>
      </c>
      <c r="AE48" s="0" t="s">
        <v>295</v>
      </c>
      <c r="AH48" s="0" t="n">
        <v>1</v>
      </c>
      <c r="AJ48" s="0" t="n">
        <v>10</v>
      </c>
      <c r="AP48" s="0" t="n">
        <v>500000</v>
      </c>
      <c r="DB48" s="0" t="str">
        <f aca="false">IF($A48="","",IF(AND($A48=21,$AE48&amp;""="00000000"),IF($AH48=20,"病院",IF($AH48=5,"消防","市長")),"対象外"))</f>
        <v>市長</v>
      </c>
    </row>
    <row r="49" customFormat="false" ht="15" hidden="false" customHeight="false" outlineLevel="0" collapsed="false">
      <c r="A49" s="0" t="n">
        <v>21</v>
      </c>
      <c r="AA49" s="0" t="n">
        <v>21</v>
      </c>
      <c r="AB49" s="0" t="s">
        <v>476</v>
      </c>
      <c r="AD49" s="0" t="n">
        <v>0</v>
      </c>
      <c r="AE49" s="0" t="s">
        <v>295</v>
      </c>
      <c r="AH49" s="0" t="n">
        <v>1</v>
      </c>
      <c r="AJ49" s="0" t="n">
        <v>10</v>
      </c>
      <c r="AP49" s="0" t="n">
        <v>590000</v>
      </c>
      <c r="DB49" s="0" t="str">
        <f aca="false">IF($A49="","",IF(AND($A49=21,$AE49&amp;""="00000000"),IF($AH49=20,"病院",IF($AH49=5,"消防","市長")),"対象外"))</f>
        <v>市長</v>
      </c>
    </row>
    <row r="50" customFormat="false" ht="15" hidden="false" customHeight="false" outlineLevel="0" collapsed="false">
      <c r="A50" s="0" t="n">
        <v>21</v>
      </c>
      <c r="AA50" s="0" t="n">
        <v>21</v>
      </c>
      <c r="AB50" s="0" t="s">
        <v>415</v>
      </c>
      <c r="AD50" s="0" t="n">
        <v>0</v>
      </c>
      <c r="AE50" s="0" t="s">
        <v>295</v>
      </c>
      <c r="AH50" s="0" t="n">
        <v>1</v>
      </c>
      <c r="AJ50" s="0" t="n">
        <v>10</v>
      </c>
      <c r="AP50" s="0" t="n">
        <v>470000</v>
      </c>
      <c r="DB50" s="0" t="str">
        <f aca="false">IF($A50="","",IF(AND($A50=21,$AE50&amp;""="00000000"),IF($AH50=20,"病院",IF($AH50=5,"消防","市長")),"対象外"))</f>
        <v>市長</v>
      </c>
    </row>
    <row r="51" customFormat="false" ht="15" hidden="false" customHeight="false" outlineLevel="0" collapsed="false">
      <c r="A51" s="0" t="n">
        <v>21</v>
      </c>
      <c r="AA51" s="0" t="n">
        <v>21</v>
      </c>
      <c r="AB51" s="0" t="s">
        <v>415</v>
      </c>
      <c r="AD51" s="0" t="n">
        <v>0</v>
      </c>
      <c r="AE51" s="0" t="s">
        <v>295</v>
      </c>
      <c r="AH51" s="0" t="n">
        <v>1</v>
      </c>
      <c r="AJ51" s="0" t="n">
        <v>10</v>
      </c>
      <c r="AP51" s="0" t="n">
        <v>440000</v>
      </c>
      <c r="DB51" s="0" t="str">
        <f aca="false">IF($A51="","",IF(AND($A51=21,$AE51&amp;""="00000000"),IF($AH51=20,"病院",IF($AH51=5,"消防","市長")),"対象外"))</f>
        <v>市長</v>
      </c>
    </row>
    <row r="52" customFormat="false" ht="15" hidden="false" customHeight="false" outlineLevel="0" collapsed="false">
      <c r="A52" s="0" t="n">
        <v>21</v>
      </c>
      <c r="AA52" s="0" t="n">
        <v>21</v>
      </c>
      <c r="AB52" s="0" t="s">
        <v>390</v>
      </c>
      <c r="AD52" s="0" t="n">
        <v>0</v>
      </c>
      <c r="AE52" s="0" t="s">
        <v>295</v>
      </c>
      <c r="AH52" s="0" t="n">
        <v>1</v>
      </c>
      <c r="AJ52" s="0" t="n">
        <v>10</v>
      </c>
      <c r="AP52" s="0" t="n">
        <v>470000</v>
      </c>
      <c r="DB52" s="0" t="str">
        <f aca="false">IF($A52="","",IF(AND($A52=21,$AE52&amp;""="00000000"),IF($AH52=20,"病院",IF($AH52=5,"消防","市長")),"対象外"))</f>
        <v>市長</v>
      </c>
    </row>
    <row r="53" customFormat="false" ht="15" hidden="false" customHeight="false" outlineLevel="0" collapsed="false">
      <c r="A53" s="0" t="n">
        <v>21</v>
      </c>
      <c r="AA53" s="0" t="n">
        <v>21</v>
      </c>
      <c r="AB53" s="0" t="s">
        <v>417</v>
      </c>
      <c r="AD53" s="0" t="n">
        <v>0</v>
      </c>
      <c r="AE53" s="0" t="s">
        <v>295</v>
      </c>
      <c r="AH53" s="0" t="n">
        <v>1</v>
      </c>
      <c r="AJ53" s="0" t="n">
        <v>10</v>
      </c>
      <c r="AP53" s="0" t="n">
        <v>590000</v>
      </c>
      <c r="DB53" s="0" t="str">
        <f aca="false">IF($A53="","",IF(AND($A53=21,$AE53&amp;""="00000000"),IF($AH53=20,"病院",IF($AH53=5,"消防","市長")),"対象外"))</f>
        <v>市長</v>
      </c>
    </row>
    <row r="54" customFormat="false" ht="15" hidden="false" customHeight="false" outlineLevel="0" collapsed="false">
      <c r="A54" s="0" t="n">
        <v>21</v>
      </c>
      <c r="AA54" s="0" t="n">
        <v>21</v>
      </c>
      <c r="AB54" s="0" t="s">
        <v>390</v>
      </c>
      <c r="AD54" s="0" t="n">
        <v>0</v>
      </c>
      <c r="AE54" s="0" t="s">
        <v>295</v>
      </c>
      <c r="AH54" s="0" t="n">
        <v>1</v>
      </c>
      <c r="AJ54" s="0" t="n">
        <v>10</v>
      </c>
      <c r="AP54" s="0" t="n">
        <v>590000</v>
      </c>
      <c r="DB54" s="0" t="str">
        <f aca="false">IF($A54="","",IF(AND($A54=21,$AE54&amp;""="00000000"),IF($AH54=20,"病院",IF($AH54=5,"消防","市長")),"対象外"))</f>
        <v>市長</v>
      </c>
    </row>
    <row r="55" customFormat="false" ht="15" hidden="false" customHeight="false" outlineLevel="0" collapsed="false">
      <c r="A55" s="0" t="n">
        <v>21</v>
      </c>
      <c r="AA55" s="0" t="n">
        <v>21</v>
      </c>
      <c r="AB55" s="0" t="s">
        <v>413</v>
      </c>
      <c r="AD55" s="0" t="n">
        <v>0</v>
      </c>
      <c r="AE55" s="0" t="s">
        <v>295</v>
      </c>
      <c r="AH55" s="0" t="n">
        <v>1</v>
      </c>
      <c r="AJ55" s="0" t="n">
        <v>10</v>
      </c>
      <c r="AP55" s="0" t="n">
        <v>560000</v>
      </c>
      <c r="DB55" s="0" t="str">
        <f aca="false">IF($A55="","",IF(AND($A55=21,$AE55&amp;""="00000000"),IF($AH55=20,"病院",IF($AH55=5,"消防","市長")),"対象外"))</f>
        <v>市長</v>
      </c>
    </row>
    <row r="56" customFormat="false" ht="15" hidden="false" customHeight="false" outlineLevel="0" collapsed="false">
      <c r="A56" s="0" t="n">
        <v>21</v>
      </c>
      <c r="AA56" s="0" t="n">
        <v>21</v>
      </c>
      <c r="AB56" s="0" t="s">
        <v>415</v>
      </c>
      <c r="AD56" s="0" t="n">
        <v>0</v>
      </c>
      <c r="AE56" s="0" t="s">
        <v>295</v>
      </c>
      <c r="AH56" s="0" t="n">
        <v>1</v>
      </c>
      <c r="AJ56" s="0" t="n">
        <v>10</v>
      </c>
      <c r="AP56" s="0" t="n">
        <v>560000</v>
      </c>
      <c r="DB56" s="0" t="str">
        <f aca="false">IF($A56="","",IF(AND($A56=21,$AE56&amp;""="00000000"),IF($AH56=20,"病院",IF($AH56=5,"消防","市長")),"対象外"))</f>
        <v>市長</v>
      </c>
    </row>
    <row r="57" customFormat="false" ht="15" hidden="false" customHeight="false" outlineLevel="0" collapsed="false">
      <c r="A57" s="0" t="n">
        <v>21</v>
      </c>
      <c r="AA57" s="0" t="n">
        <v>21</v>
      </c>
      <c r="AB57" s="0" t="s">
        <v>600</v>
      </c>
      <c r="AD57" s="0" t="n">
        <v>0</v>
      </c>
      <c r="AE57" s="0" t="s">
        <v>295</v>
      </c>
      <c r="AH57" s="0" t="n">
        <v>20</v>
      </c>
      <c r="AJ57" s="0" t="n">
        <v>10</v>
      </c>
      <c r="AP57" s="0" t="n">
        <v>1090000</v>
      </c>
      <c r="DB57" s="0" t="str">
        <f aca="false">IF($A57="","",IF(AND($A57=21,$AE57&amp;""="00000000"),IF($AH57=20,"病院",IF($AH57=5,"消防","市長")),"対象外"))</f>
        <v>病院</v>
      </c>
    </row>
    <row r="58" customFormat="false" ht="15" hidden="false" customHeight="false" outlineLevel="0" collapsed="false">
      <c r="A58" s="0" t="n">
        <v>21</v>
      </c>
      <c r="AA58" s="0" t="n">
        <v>21</v>
      </c>
      <c r="AB58" s="0" t="s">
        <v>441</v>
      </c>
      <c r="AD58" s="0" t="n">
        <v>0</v>
      </c>
      <c r="AE58" s="0" t="s">
        <v>295</v>
      </c>
      <c r="AH58" s="0" t="n">
        <v>20</v>
      </c>
      <c r="AJ58" s="0" t="n">
        <v>10</v>
      </c>
      <c r="AP58" s="0" t="n">
        <v>1150000</v>
      </c>
      <c r="DB58" s="0" t="str">
        <f aca="false">IF($A58="","",IF(AND($A58=21,$AE58&amp;""="00000000"),IF($AH58=20,"病院",IF($AH58=5,"消防","市長")),"対象外"))</f>
        <v>病院</v>
      </c>
    </row>
    <row r="59" customFormat="false" ht="15" hidden="false" customHeight="false" outlineLevel="0" collapsed="false">
      <c r="A59" s="0" t="n">
        <v>21</v>
      </c>
      <c r="AA59" s="0" t="n">
        <v>21</v>
      </c>
      <c r="AB59" s="0" t="s">
        <v>441</v>
      </c>
      <c r="AD59" s="0" t="n">
        <v>0</v>
      </c>
      <c r="AE59" s="0" t="s">
        <v>295</v>
      </c>
      <c r="AH59" s="0" t="n">
        <v>20</v>
      </c>
      <c r="AJ59" s="0" t="n">
        <v>10</v>
      </c>
      <c r="AP59" s="0" t="n">
        <v>1270000</v>
      </c>
      <c r="DB59" s="0" t="str">
        <f aca="false">IF($A59="","",IF(AND($A59=21,$AE59&amp;""="00000000"),IF($AH59=20,"病院",IF($AH59=5,"消防","市長")),"対象外"))</f>
        <v>病院</v>
      </c>
    </row>
    <row r="60" customFormat="false" ht="15" hidden="false" customHeight="false" outlineLevel="0" collapsed="false">
      <c r="A60" s="0" t="n">
        <v>31</v>
      </c>
      <c r="AA60" s="0" t="n">
        <v>21</v>
      </c>
      <c r="AB60" s="0" t="s">
        <v>601</v>
      </c>
      <c r="AD60" s="0" t="n">
        <v>0</v>
      </c>
      <c r="AE60" s="0" t="s">
        <v>295</v>
      </c>
      <c r="AH60" s="0" t="n">
        <v>20</v>
      </c>
      <c r="AJ60" s="0" t="n">
        <v>41</v>
      </c>
      <c r="AP60" s="0" t="n">
        <v>190000</v>
      </c>
      <c r="DB60" s="0" t="str">
        <f aca="false">IF($A60="","",IF(AND($A60=21,$AE60&amp;""="00000000"),IF($AH60=20,"病院",IF($AH60=5,"消防","市長")),"対象外"))</f>
        <v>対象外</v>
      </c>
    </row>
    <row r="61" customFormat="false" ht="15" hidden="false" customHeight="false" outlineLevel="0" collapsed="false">
      <c r="A61" s="0" t="n">
        <v>21</v>
      </c>
      <c r="AA61" s="0" t="n">
        <v>21</v>
      </c>
      <c r="AB61" s="0" t="s">
        <v>404</v>
      </c>
      <c r="AD61" s="0" t="n">
        <v>0</v>
      </c>
      <c r="AE61" s="0" t="s">
        <v>295</v>
      </c>
      <c r="AH61" s="0" t="n">
        <v>4</v>
      </c>
      <c r="AJ61" s="0" t="n">
        <v>10</v>
      </c>
      <c r="AP61" s="0" t="n">
        <v>500000</v>
      </c>
      <c r="DB61" s="0" t="str">
        <f aca="false">IF($A61="","",IF(AND($A61=21,$AE61&amp;""="00000000"),IF($AH61=20,"病院",IF($AH61=5,"消防","市長")),"対象外"))</f>
        <v>市長</v>
      </c>
    </row>
    <row r="62" customFormat="false" ht="15" hidden="false" customHeight="false" outlineLevel="0" collapsed="false">
      <c r="A62" s="0" t="n">
        <v>21</v>
      </c>
      <c r="AA62" s="0" t="n">
        <v>21</v>
      </c>
      <c r="AB62" s="0" t="s">
        <v>442</v>
      </c>
      <c r="AD62" s="0" t="n">
        <v>0</v>
      </c>
      <c r="AE62" s="0" t="s">
        <v>295</v>
      </c>
      <c r="AH62" s="0" t="n">
        <v>20</v>
      </c>
      <c r="AJ62" s="0" t="n">
        <v>10</v>
      </c>
      <c r="AP62" s="0" t="n">
        <v>1150000</v>
      </c>
      <c r="DB62" s="0" t="str">
        <f aca="false">IF($A62="","",IF(AND($A62=21,$AE62&amp;""="00000000"),IF($AH62=20,"病院",IF($AH62=5,"消防","市長")),"対象外"))</f>
        <v>病院</v>
      </c>
    </row>
    <row r="63" customFormat="false" ht="15" hidden="false" customHeight="false" outlineLevel="0" collapsed="false">
      <c r="A63" s="0" t="n">
        <v>21</v>
      </c>
      <c r="AA63" s="0" t="n">
        <v>21</v>
      </c>
      <c r="AB63" s="0" t="s">
        <v>417</v>
      </c>
      <c r="AD63" s="0" t="n">
        <v>0</v>
      </c>
      <c r="AE63" s="0" t="s">
        <v>295</v>
      </c>
      <c r="AH63" s="0" t="n">
        <v>1</v>
      </c>
      <c r="AJ63" s="0" t="n">
        <v>10</v>
      </c>
      <c r="AP63" s="0" t="n">
        <v>650000</v>
      </c>
      <c r="DB63" s="0" t="str">
        <f aca="false">IF($A63="","",IF(AND($A63=21,$AE63&amp;""="00000000"),IF($AH63=20,"病院",IF($AH63=5,"消防","市長")),"対象外"))</f>
        <v>市長</v>
      </c>
    </row>
    <row r="64" customFormat="false" ht="15" hidden="false" customHeight="false" outlineLevel="0" collapsed="false">
      <c r="A64" s="0" t="n">
        <v>21</v>
      </c>
      <c r="AA64" s="0" t="n">
        <v>21</v>
      </c>
      <c r="AB64" s="0" t="s">
        <v>602</v>
      </c>
      <c r="AD64" s="0" t="n">
        <v>0</v>
      </c>
      <c r="AE64" s="0" t="s">
        <v>295</v>
      </c>
      <c r="AH64" s="0" t="n">
        <v>1</v>
      </c>
      <c r="AJ64" s="0" t="n">
        <v>10</v>
      </c>
      <c r="AP64" s="0" t="n">
        <v>500000</v>
      </c>
      <c r="DB64" s="0" t="str">
        <f aca="false">IF($A64="","",IF(AND($A64=21,$AE64&amp;""="00000000"),IF($AH64=20,"病院",IF($AH64=5,"消防","市長")),"対象外"))</f>
        <v>市長</v>
      </c>
    </row>
    <row r="65" customFormat="false" ht="15" hidden="false" customHeight="false" outlineLevel="0" collapsed="false">
      <c r="A65" s="0" t="n">
        <v>21</v>
      </c>
      <c r="AA65" s="0" t="n">
        <v>21</v>
      </c>
      <c r="AB65" s="0" t="s">
        <v>415</v>
      </c>
      <c r="AD65" s="0" t="n">
        <v>0</v>
      </c>
      <c r="AE65" s="0" t="s">
        <v>295</v>
      </c>
      <c r="AH65" s="0" t="n">
        <v>1</v>
      </c>
      <c r="AJ65" s="0" t="n">
        <v>10</v>
      </c>
      <c r="AP65" s="0" t="n">
        <v>530000</v>
      </c>
      <c r="DB65" s="0" t="str">
        <f aca="false">IF($A65="","",IF(AND($A65=21,$AE65&amp;""="00000000"),IF($AH65=20,"病院",IF($AH65=5,"消防","市長")),"対象外"))</f>
        <v>市長</v>
      </c>
    </row>
    <row r="66" customFormat="false" ht="15" hidden="false" customHeight="false" outlineLevel="0" collapsed="false">
      <c r="A66" s="0" t="n">
        <v>31</v>
      </c>
      <c r="AA66" s="0" t="n">
        <v>21</v>
      </c>
      <c r="AB66" s="0" t="s">
        <v>494</v>
      </c>
      <c r="AD66" s="0" t="n">
        <v>0</v>
      </c>
      <c r="AE66" s="0" t="s">
        <v>295</v>
      </c>
      <c r="AH66" s="0" t="n">
        <v>11</v>
      </c>
      <c r="AJ66" s="0" t="n">
        <v>41</v>
      </c>
      <c r="AP66" s="0" t="n">
        <v>180000</v>
      </c>
      <c r="DB66" s="0" t="str">
        <f aca="false">IF($A66="","",IF(AND($A66=21,$AE66&amp;""="00000000"),IF($AH66=20,"病院",IF($AH66=5,"消防","市長")),"対象外"))</f>
        <v>対象外</v>
      </c>
    </row>
    <row r="67" customFormat="false" ht="15" hidden="false" customHeight="false" outlineLevel="0" collapsed="false">
      <c r="A67" s="0" t="n">
        <v>21</v>
      </c>
      <c r="AA67" s="0" t="n">
        <v>21</v>
      </c>
      <c r="AB67" s="0" t="s">
        <v>433</v>
      </c>
      <c r="AD67" s="0" t="n">
        <v>0</v>
      </c>
      <c r="AE67" s="0" t="s">
        <v>295</v>
      </c>
      <c r="AH67" s="0" t="n">
        <v>1</v>
      </c>
      <c r="AJ67" s="0" t="n">
        <v>10</v>
      </c>
      <c r="AP67" s="0" t="n">
        <v>500000</v>
      </c>
      <c r="DB67" s="0" t="str">
        <f aca="false">IF($A67="","",IF(AND($A67=21,$AE67&amp;""="00000000"),IF($AH67=20,"病院",IF($AH67=5,"消防","市長")),"対象外"))</f>
        <v>市長</v>
      </c>
    </row>
    <row r="68" customFormat="false" ht="15" hidden="false" customHeight="false" outlineLevel="0" collapsed="false">
      <c r="A68" s="0" t="n">
        <v>21</v>
      </c>
      <c r="AA68" s="0" t="n">
        <v>21</v>
      </c>
      <c r="AB68" s="0" t="s">
        <v>431</v>
      </c>
      <c r="AD68" s="0" t="n">
        <v>0</v>
      </c>
      <c r="AE68" s="0" t="s">
        <v>295</v>
      </c>
      <c r="AH68" s="0" t="n">
        <v>11</v>
      </c>
      <c r="AJ68" s="0" t="n">
        <v>10</v>
      </c>
      <c r="AP68" s="0" t="n">
        <v>500000</v>
      </c>
      <c r="DB68" s="0" t="str">
        <f aca="false">IF($A68="","",IF(AND($A68=21,$AE68&amp;""="00000000"),IF($AH68=20,"病院",IF($AH68=5,"消防","市長")),"対象外"))</f>
        <v>市長</v>
      </c>
    </row>
    <row r="69" customFormat="false" ht="15" hidden="false" customHeight="false" outlineLevel="0" collapsed="false">
      <c r="A69" s="0" t="n">
        <v>21</v>
      </c>
      <c r="AA69" s="0" t="n">
        <v>21</v>
      </c>
      <c r="AB69" s="0" t="s">
        <v>390</v>
      </c>
      <c r="AD69" s="0" t="n">
        <v>0</v>
      </c>
      <c r="AE69" s="0" t="s">
        <v>295</v>
      </c>
      <c r="AH69" s="0" t="n">
        <v>1</v>
      </c>
      <c r="AJ69" s="0" t="n">
        <v>10</v>
      </c>
      <c r="AP69" s="0" t="n">
        <v>560000</v>
      </c>
      <c r="DB69" s="0" t="str">
        <f aca="false">IF($A69="","",IF(AND($A69=21,$AE69&amp;""="00000000"),IF($AH69=20,"病院",IF($AH69=5,"消防","市長")),"対象外"))</f>
        <v>市長</v>
      </c>
    </row>
    <row r="70" customFormat="false" ht="15" hidden="false" customHeight="false" outlineLevel="0" collapsed="false">
      <c r="A70" s="0" t="n">
        <v>21</v>
      </c>
      <c r="AA70" s="0" t="n">
        <v>21</v>
      </c>
      <c r="AB70" s="0" t="s">
        <v>603</v>
      </c>
      <c r="AD70" s="0" t="n">
        <v>0</v>
      </c>
      <c r="AE70" s="0" t="s">
        <v>295</v>
      </c>
      <c r="AH70" s="0" t="n">
        <v>3</v>
      </c>
      <c r="AJ70" s="0" t="n">
        <v>10</v>
      </c>
      <c r="AP70" s="0" t="n">
        <v>680000</v>
      </c>
      <c r="DB70" s="0" t="str">
        <f aca="false">IF($A70="","",IF(AND($A70=21,$AE70&amp;""="00000000"),IF($AH70=20,"病院",IF($AH70=5,"消防","市長")),"対象外"))</f>
        <v>市長</v>
      </c>
    </row>
    <row r="71" customFormat="false" ht="15" hidden="false" customHeight="false" outlineLevel="0" collapsed="false">
      <c r="A71" s="0" t="n">
        <v>21</v>
      </c>
      <c r="AA71" s="0" t="n">
        <v>21</v>
      </c>
      <c r="AB71" s="0" t="s">
        <v>415</v>
      </c>
      <c r="AD71" s="0" t="n">
        <v>0</v>
      </c>
      <c r="AE71" s="0" t="s">
        <v>295</v>
      </c>
      <c r="AH71" s="0" t="n">
        <v>1</v>
      </c>
      <c r="AJ71" s="0" t="n">
        <v>10</v>
      </c>
      <c r="AP71" s="0" t="n">
        <v>560000</v>
      </c>
      <c r="DB71" s="0" t="str">
        <f aca="false">IF($A71="","",IF(AND($A71=21,$AE71&amp;""="00000000"),IF($AH71=20,"病院",IF($AH71=5,"消防","市長")),"対象外"))</f>
        <v>市長</v>
      </c>
    </row>
    <row r="72" customFormat="false" ht="15" hidden="false" customHeight="false" outlineLevel="0" collapsed="false">
      <c r="A72" s="0" t="n">
        <v>21</v>
      </c>
      <c r="AA72" s="0" t="n">
        <v>21</v>
      </c>
      <c r="AB72" s="0" t="s">
        <v>424</v>
      </c>
      <c r="AD72" s="0" t="n">
        <v>0</v>
      </c>
      <c r="AE72" s="0" t="s">
        <v>295</v>
      </c>
      <c r="AH72" s="0" t="n">
        <v>1</v>
      </c>
      <c r="AJ72" s="0" t="n">
        <v>10</v>
      </c>
      <c r="AP72" s="0" t="n">
        <v>530000</v>
      </c>
      <c r="DB72" s="0" t="str">
        <f aca="false">IF($A72="","",IF(AND($A72=21,$AE72&amp;""="00000000"),IF($AH72=20,"病院",IF($AH72=5,"消防","市長")),"対象外"))</f>
        <v>市長</v>
      </c>
    </row>
    <row r="73" customFormat="false" ht="15" hidden="false" customHeight="false" outlineLevel="0" collapsed="false">
      <c r="A73" s="0" t="n">
        <v>21</v>
      </c>
      <c r="AA73" s="0" t="n">
        <v>21</v>
      </c>
      <c r="AB73" s="0" t="s">
        <v>413</v>
      </c>
      <c r="AD73" s="0" t="n">
        <v>0</v>
      </c>
      <c r="AE73" s="0" t="s">
        <v>295</v>
      </c>
      <c r="AH73" s="0" t="n">
        <v>1</v>
      </c>
      <c r="AJ73" s="0" t="n">
        <v>10</v>
      </c>
      <c r="AP73" s="0" t="n">
        <v>710000</v>
      </c>
      <c r="DB73" s="0" t="str">
        <f aca="false">IF($A73="","",IF(AND($A73=21,$AE73&amp;""="00000000"),IF($AH73=20,"病院",IF($AH73=5,"消防","市長")),"対象外"))</f>
        <v>市長</v>
      </c>
    </row>
    <row r="74" customFormat="false" ht="15" hidden="false" customHeight="false" outlineLevel="0" collapsed="false">
      <c r="A74" s="0" t="n">
        <v>21</v>
      </c>
      <c r="AA74" s="0" t="n">
        <v>21</v>
      </c>
      <c r="AB74" s="0" t="s">
        <v>390</v>
      </c>
      <c r="AD74" s="0" t="n">
        <v>0</v>
      </c>
      <c r="AE74" s="0" t="s">
        <v>295</v>
      </c>
      <c r="AH74" s="0" t="n">
        <v>11</v>
      </c>
      <c r="AJ74" s="0" t="n">
        <v>10</v>
      </c>
      <c r="AP74" s="0" t="n">
        <v>680000</v>
      </c>
      <c r="DB74" s="0" t="str">
        <f aca="false">IF($A74="","",IF(AND($A74=21,$AE74&amp;""="00000000"),IF($AH74=20,"病院",IF($AH74=5,"消防","市長")),"対象外"))</f>
        <v>市長</v>
      </c>
    </row>
    <row r="75" customFormat="false" ht="15" hidden="false" customHeight="false" outlineLevel="0" collapsed="false">
      <c r="A75" s="0" t="n">
        <v>21</v>
      </c>
      <c r="AA75" s="0" t="n">
        <v>21</v>
      </c>
      <c r="AB75" s="0" t="s">
        <v>466</v>
      </c>
      <c r="AD75" s="0" t="n">
        <v>0</v>
      </c>
      <c r="AE75" s="0" t="s">
        <v>295</v>
      </c>
      <c r="AH75" s="0" t="n">
        <v>11</v>
      </c>
      <c r="AJ75" s="0" t="n">
        <v>10</v>
      </c>
      <c r="AP75" s="0" t="n">
        <v>410000</v>
      </c>
      <c r="DB75" s="0" t="str">
        <f aca="false">IF($A75="","",IF(AND($A75=21,$AE75&amp;""="00000000"),IF($AH75=20,"病院",IF($AH75=5,"消防","市長")),"対象外"))</f>
        <v>市長</v>
      </c>
    </row>
    <row r="76" customFormat="false" ht="15" hidden="false" customHeight="false" outlineLevel="0" collapsed="false">
      <c r="A76" s="0" t="n">
        <v>21</v>
      </c>
      <c r="AA76" s="0" t="n">
        <v>21</v>
      </c>
      <c r="AB76" s="0" t="s">
        <v>415</v>
      </c>
      <c r="AD76" s="0" t="n">
        <v>0</v>
      </c>
      <c r="AE76" s="0" t="s">
        <v>295</v>
      </c>
      <c r="AH76" s="0" t="n">
        <v>1</v>
      </c>
      <c r="AJ76" s="0" t="n">
        <v>10</v>
      </c>
      <c r="AP76" s="0" t="n">
        <v>680000</v>
      </c>
      <c r="DB76" s="0" t="str">
        <f aca="false">IF($A76="","",IF(AND($A76=21,$AE76&amp;""="00000000"),IF($AH76=20,"病院",IF($AH76=5,"消防","市長")),"対象外"))</f>
        <v>市長</v>
      </c>
    </row>
    <row r="77" customFormat="false" ht="15" hidden="false" customHeight="false" outlineLevel="0" collapsed="false">
      <c r="A77" s="0" t="n">
        <v>21</v>
      </c>
      <c r="AA77" s="0" t="n">
        <v>21</v>
      </c>
      <c r="AB77" s="0" t="s">
        <v>438</v>
      </c>
      <c r="AD77" s="0" t="n">
        <v>0</v>
      </c>
      <c r="AE77" s="0" t="s">
        <v>295</v>
      </c>
      <c r="AH77" s="0" t="n">
        <v>20</v>
      </c>
      <c r="AJ77" s="0" t="n">
        <v>10</v>
      </c>
      <c r="AP77" s="0" t="n">
        <v>1030000</v>
      </c>
      <c r="DB77" s="0" t="str">
        <f aca="false">IF($A77="","",IF(AND($A77=21,$AE77&amp;""="00000000"),IF($AH77=20,"病院",IF($AH77=5,"消防","市長")),"対象外"))</f>
        <v>病院</v>
      </c>
    </row>
    <row r="78" customFormat="false" ht="15" hidden="false" customHeight="false" outlineLevel="0" collapsed="false">
      <c r="A78" s="0" t="n">
        <v>21</v>
      </c>
      <c r="AA78" s="0" t="n">
        <v>21</v>
      </c>
      <c r="AB78" s="0" t="s">
        <v>394</v>
      </c>
      <c r="AD78" s="0" t="n">
        <v>0</v>
      </c>
      <c r="AE78" s="0" t="s">
        <v>295</v>
      </c>
      <c r="AH78" s="0" t="n">
        <v>4</v>
      </c>
      <c r="AJ78" s="0" t="n">
        <v>10</v>
      </c>
      <c r="AP78" s="0" t="n">
        <v>470000</v>
      </c>
      <c r="DB78" s="0" t="str">
        <f aca="false">IF($A78="","",IF(AND($A78=21,$AE78&amp;""="00000000"),IF($AH78=20,"病院",IF($AH78=5,"消防","市長")),"対象外"))</f>
        <v>市長</v>
      </c>
    </row>
    <row r="79" customFormat="false" ht="15" hidden="false" customHeight="false" outlineLevel="0" collapsed="false">
      <c r="A79" s="0" t="n">
        <v>21</v>
      </c>
      <c r="AA79" s="0" t="n">
        <v>21</v>
      </c>
      <c r="AB79" s="0" t="s">
        <v>413</v>
      </c>
      <c r="AD79" s="0" t="n">
        <v>0</v>
      </c>
      <c r="AE79" s="0" t="s">
        <v>295</v>
      </c>
      <c r="AH79" s="0" t="n">
        <v>1</v>
      </c>
      <c r="AJ79" s="0" t="n">
        <v>10</v>
      </c>
      <c r="AP79" s="0" t="n">
        <v>750000</v>
      </c>
      <c r="DB79" s="0" t="str">
        <f aca="false">IF($A79="","",IF(AND($A79=21,$AE79&amp;""="00000000"),IF($AH79=20,"病院",IF($AH79=5,"消防","市長")),"対象外"))</f>
        <v>市長</v>
      </c>
    </row>
    <row r="80" customFormat="false" ht="15" hidden="false" customHeight="false" outlineLevel="0" collapsed="false">
      <c r="A80" s="0" t="n">
        <v>21</v>
      </c>
      <c r="AA80" s="0" t="n">
        <v>21</v>
      </c>
      <c r="AB80" s="0" t="s">
        <v>96</v>
      </c>
      <c r="AD80" s="0" t="n">
        <v>0</v>
      </c>
      <c r="AE80" s="0" t="s">
        <v>295</v>
      </c>
      <c r="AH80" s="0" t="n">
        <v>20</v>
      </c>
      <c r="AJ80" s="0" t="n">
        <v>10</v>
      </c>
      <c r="AP80" s="0" t="n">
        <v>260000</v>
      </c>
      <c r="DB80" s="0" t="str">
        <f aca="false">IF($A80="","",IF(AND($A80=21,$AE80&amp;""="00000000"),IF($AH80=20,"病院",IF($AH80=5,"消防","市長")),"対象外"))</f>
        <v>病院</v>
      </c>
    </row>
    <row r="81" customFormat="false" ht="15" hidden="false" customHeight="false" outlineLevel="0" collapsed="false">
      <c r="A81" s="0" t="n">
        <v>21</v>
      </c>
      <c r="AA81" s="0" t="n">
        <v>21</v>
      </c>
      <c r="AB81" s="0" t="s">
        <v>390</v>
      </c>
      <c r="AD81" s="0" t="n">
        <v>0</v>
      </c>
      <c r="AE81" s="0" t="s">
        <v>295</v>
      </c>
      <c r="AH81" s="0" t="n">
        <v>1</v>
      </c>
      <c r="AJ81" s="0" t="n">
        <v>10</v>
      </c>
      <c r="AP81" s="0" t="n">
        <v>620000</v>
      </c>
      <c r="DB81" s="0" t="str">
        <f aca="false">IF($A81="","",IF(AND($A81=21,$AE81&amp;""="00000000"),IF($AH81=20,"病院",IF($AH81=5,"消防","市長")),"対象外"))</f>
        <v>市長</v>
      </c>
    </row>
    <row r="82" customFormat="false" ht="15" hidden="false" customHeight="false" outlineLevel="0" collapsed="false">
      <c r="A82" s="0" t="n">
        <v>21</v>
      </c>
      <c r="AA82" s="0" t="n">
        <v>21</v>
      </c>
      <c r="AB82" s="0" t="s">
        <v>604</v>
      </c>
      <c r="AD82" s="0" t="n">
        <v>0</v>
      </c>
      <c r="AE82" s="0" t="s">
        <v>295</v>
      </c>
      <c r="AH82" s="0" t="n">
        <v>20</v>
      </c>
      <c r="AJ82" s="0" t="n">
        <v>10</v>
      </c>
      <c r="AP82" s="0" t="n">
        <v>530000</v>
      </c>
      <c r="DB82" s="0" t="str">
        <f aca="false">IF($A82="","",IF(AND($A82=21,$AE82&amp;""="00000000"),IF($AH82=20,"病院",IF($AH82=5,"消防","市長")),"対象外"))</f>
        <v>病院</v>
      </c>
    </row>
    <row r="83" customFormat="false" ht="15" hidden="false" customHeight="false" outlineLevel="0" collapsed="false">
      <c r="A83" s="0" t="n">
        <v>21</v>
      </c>
      <c r="AA83" s="0" t="n">
        <v>21</v>
      </c>
      <c r="AB83" s="0" t="s">
        <v>404</v>
      </c>
      <c r="AD83" s="0" t="n">
        <v>0</v>
      </c>
      <c r="AE83" s="0" t="s">
        <v>295</v>
      </c>
      <c r="AH83" s="0" t="n">
        <v>4</v>
      </c>
      <c r="AJ83" s="0" t="n">
        <v>10</v>
      </c>
      <c r="AP83" s="0" t="n">
        <v>500000</v>
      </c>
      <c r="DB83" s="0" t="str">
        <f aca="false">IF($A83="","",IF(AND($A83=21,$AE83&amp;""="00000000"),IF($AH83=20,"病院",IF($AH83=5,"消防","市長")),"対象外"))</f>
        <v>市長</v>
      </c>
    </row>
    <row r="84" customFormat="false" ht="15" hidden="false" customHeight="false" outlineLevel="0" collapsed="false">
      <c r="A84" s="0" t="n">
        <v>21</v>
      </c>
      <c r="AA84" s="0" t="n">
        <v>21</v>
      </c>
      <c r="AB84" s="0" t="s">
        <v>431</v>
      </c>
      <c r="AD84" s="0" t="n">
        <v>0</v>
      </c>
      <c r="AE84" s="0" t="s">
        <v>295</v>
      </c>
      <c r="AH84" s="0" t="n">
        <v>1</v>
      </c>
      <c r="AJ84" s="0" t="n">
        <v>10</v>
      </c>
      <c r="AP84" s="0" t="n">
        <v>470000</v>
      </c>
      <c r="DB84" s="0" t="str">
        <f aca="false">IF($A84="","",IF(AND($A84=21,$AE84&amp;""="00000000"),IF($AH84=20,"病院",IF($AH84=5,"消防","市長")),"対象外"))</f>
        <v>市長</v>
      </c>
    </row>
    <row r="85" customFormat="false" ht="15" hidden="false" customHeight="false" outlineLevel="0" collapsed="false">
      <c r="A85" s="0" t="n">
        <v>21</v>
      </c>
      <c r="AA85" s="0" t="n">
        <v>21</v>
      </c>
      <c r="AB85" s="0" t="s">
        <v>390</v>
      </c>
      <c r="AD85" s="0" t="n">
        <v>0</v>
      </c>
      <c r="AE85" s="0" t="s">
        <v>295</v>
      </c>
      <c r="AH85" s="0" t="n">
        <v>1</v>
      </c>
      <c r="AJ85" s="0" t="n">
        <v>10</v>
      </c>
      <c r="AP85" s="0" t="n">
        <v>590000</v>
      </c>
      <c r="DB85" s="0" t="str">
        <f aca="false">IF($A85="","",IF(AND($A85=21,$AE85&amp;""="00000000"),IF($AH85=20,"病院",IF($AH85=5,"消防","市長")),"対象外"))</f>
        <v>市長</v>
      </c>
    </row>
    <row r="86" customFormat="false" ht="15" hidden="false" customHeight="false" outlineLevel="0" collapsed="false">
      <c r="A86" s="0" t="n">
        <v>21</v>
      </c>
      <c r="AA86" s="0" t="n">
        <v>21</v>
      </c>
      <c r="AB86" s="0" t="s">
        <v>390</v>
      </c>
      <c r="AD86" s="0" t="n">
        <v>0</v>
      </c>
      <c r="AE86" s="0" t="s">
        <v>295</v>
      </c>
      <c r="AH86" s="0" t="n">
        <v>4</v>
      </c>
      <c r="AJ86" s="0" t="n">
        <v>10</v>
      </c>
      <c r="AP86" s="0" t="n">
        <v>560000</v>
      </c>
      <c r="DB86" s="0" t="str">
        <f aca="false">IF($A86="","",IF(AND($A86=21,$AE86&amp;""="00000000"),IF($AH86=20,"病院",IF($AH86=5,"消防","市長")),"対象外"))</f>
        <v>市長</v>
      </c>
    </row>
    <row r="87" customFormat="false" ht="15" hidden="false" customHeight="false" outlineLevel="0" collapsed="false">
      <c r="A87" s="0" t="n">
        <v>21</v>
      </c>
      <c r="AA87" s="0" t="n">
        <v>21</v>
      </c>
      <c r="AB87" s="0" t="s">
        <v>450</v>
      </c>
      <c r="AD87" s="0" t="n">
        <v>0</v>
      </c>
      <c r="AE87" s="0" t="s">
        <v>295</v>
      </c>
      <c r="AH87" s="0" t="n">
        <v>11</v>
      </c>
      <c r="AJ87" s="0" t="n">
        <v>10</v>
      </c>
      <c r="AP87" s="0" t="n">
        <v>500000</v>
      </c>
      <c r="DB87" s="0" t="str">
        <f aca="false">IF($A87="","",IF(AND($A87=21,$AE87&amp;""="00000000"),IF($AH87=20,"病院",IF($AH87=5,"消防","市長")),"対象外"))</f>
        <v>市長</v>
      </c>
    </row>
    <row r="88" customFormat="false" ht="15" hidden="false" customHeight="false" outlineLevel="0" collapsed="false">
      <c r="A88" s="0" t="n">
        <v>21</v>
      </c>
      <c r="AA88" s="0" t="n">
        <v>21</v>
      </c>
      <c r="AB88" s="0" t="s">
        <v>427</v>
      </c>
      <c r="AD88" s="0" t="n">
        <v>0</v>
      </c>
      <c r="AE88" s="0" t="s">
        <v>295</v>
      </c>
      <c r="AH88" s="0" t="n">
        <v>1</v>
      </c>
      <c r="AJ88" s="0" t="n">
        <v>10</v>
      </c>
      <c r="AP88" s="0" t="n">
        <v>620000</v>
      </c>
      <c r="DB88" s="0" t="str">
        <f aca="false">IF($A88="","",IF(AND($A88=21,$AE88&amp;""="00000000"),IF($AH88=20,"病院",IF($AH88=5,"消防","市長")),"対象外"))</f>
        <v>市長</v>
      </c>
    </row>
    <row r="89" customFormat="false" ht="15" hidden="false" customHeight="false" outlineLevel="0" collapsed="false">
      <c r="A89" s="0" t="n">
        <v>21</v>
      </c>
      <c r="AA89" s="0" t="n">
        <v>21</v>
      </c>
      <c r="AB89" s="0" t="s">
        <v>478</v>
      </c>
      <c r="AD89" s="0" t="n">
        <v>0</v>
      </c>
      <c r="AE89" s="0" t="s">
        <v>295</v>
      </c>
      <c r="AH89" s="0" t="n">
        <v>20</v>
      </c>
      <c r="AJ89" s="0" t="n">
        <v>10</v>
      </c>
      <c r="AP89" s="0" t="n">
        <v>1030000</v>
      </c>
      <c r="DB89" s="0" t="str">
        <f aca="false">IF($A89="","",IF(AND($A89=21,$AE89&amp;""="00000000"),IF($AH89=20,"病院",IF($AH89=5,"消防","市長")),"対象外"))</f>
        <v>病院</v>
      </c>
    </row>
    <row r="90" customFormat="false" ht="15" hidden="false" customHeight="false" outlineLevel="0" collapsed="false">
      <c r="A90" s="0" t="n">
        <v>31</v>
      </c>
      <c r="AA90" s="0" t="n">
        <v>21</v>
      </c>
      <c r="AB90" s="0" t="s">
        <v>496</v>
      </c>
      <c r="AD90" s="0" t="n">
        <v>0</v>
      </c>
      <c r="AE90" s="0" t="s">
        <v>295</v>
      </c>
      <c r="AH90" s="0" t="n">
        <v>20</v>
      </c>
      <c r="AJ90" s="0" t="n">
        <v>41</v>
      </c>
      <c r="AP90" s="0" t="n">
        <v>190000</v>
      </c>
      <c r="DB90" s="0" t="str">
        <f aca="false">IF($A90="","",IF(AND($A90=21,$AE90&amp;""="00000000"),IF($AH90=20,"病院",IF($AH90=5,"消防","市長")),"対象外"))</f>
        <v>対象外</v>
      </c>
    </row>
    <row r="91" customFormat="false" ht="15" hidden="false" customHeight="false" outlineLevel="0" collapsed="false">
      <c r="A91" s="0" t="n">
        <v>21</v>
      </c>
      <c r="AA91" s="0" t="n">
        <v>21</v>
      </c>
      <c r="AB91" s="0" t="s">
        <v>415</v>
      </c>
      <c r="AD91" s="0" t="n">
        <v>0</v>
      </c>
      <c r="AE91" s="0" t="s">
        <v>295</v>
      </c>
      <c r="AH91" s="0" t="n">
        <v>1</v>
      </c>
      <c r="AJ91" s="0" t="n">
        <v>10</v>
      </c>
      <c r="AP91" s="0" t="n">
        <v>650000</v>
      </c>
      <c r="DB91" s="0" t="str">
        <f aca="false">IF($A91="","",IF(AND($A91=21,$AE91&amp;""="00000000"),IF($AH91=20,"病院",IF($AH91=5,"消防","市長")),"対象外"))</f>
        <v>市長</v>
      </c>
    </row>
    <row r="92" customFormat="false" ht="15" hidden="false" customHeight="false" outlineLevel="0" collapsed="false">
      <c r="A92" s="0" t="n">
        <v>21</v>
      </c>
      <c r="AA92" s="0" t="n">
        <v>21</v>
      </c>
      <c r="AB92" s="0" t="s">
        <v>413</v>
      </c>
      <c r="AD92" s="0" t="n">
        <v>0</v>
      </c>
      <c r="AE92" s="0" t="s">
        <v>295</v>
      </c>
      <c r="AH92" s="0" t="n">
        <v>5</v>
      </c>
      <c r="AJ92" s="0" t="n">
        <v>10</v>
      </c>
      <c r="AP92" s="0" t="n">
        <v>650000</v>
      </c>
      <c r="DB92" s="0" t="str">
        <f aca="false">IF($A92="","",IF(AND($A92=21,$AE92&amp;""="00000000"),IF($AH92=20,"病院",IF($AH92=5,"消防","市長")),"対象外"))</f>
        <v>消防</v>
      </c>
    </row>
    <row r="93" customFormat="false" ht="15" hidden="false" customHeight="false" outlineLevel="0" collapsed="false">
      <c r="A93" s="0" t="n">
        <v>21</v>
      </c>
      <c r="AA93" s="0" t="n">
        <v>21</v>
      </c>
      <c r="AB93" s="0" t="s">
        <v>413</v>
      </c>
      <c r="AD93" s="0" t="n">
        <v>0</v>
      </c>
      <c r="AE93" s="0" t="s">
        <v>295</v>
      </c>
      <c r="AH93" s="0" t="n">
        <v>1</v>
      </c>
      <c r="AJ93" s="0" t="n">
        <v>10</v>
      </c>
      <c r="AP93" s="0" t="n">
        <v>500000</v>
      </c>
      <c r="DB93" s="0" t="str">
        <f aca="false">IF($A93="","",IF(AND($A93=21,$AE93&amp;""="00000000"),IF($AH93=20,"病院",IF($AH93=5,"消防","市長")),"対象外"))</f>
        <v>市長</v>
      </c>
    </row>
    <row r="94" customFormat="false" ht="15" hidden="false" customHeight="false" outlineLevel="0" collapsed="false">
      <c r="A94" s="0" t="n">
        <v>21</v>
      </c>
      <c r="AA94" s="0" t="n">
        <v>21</v>
      </c>
      <c r="AB94" s="0" t="s">
        <v>413</v>
      </c>
      <c r="AD94" s="0" t="n">
        <v>0</v>
      </c>
      <c r="AE94" s="0" t="s">
        <v>295</v>
      </c>
      <c r="AH94" s="0" t="n">
        <v>1</v>
      </c>
      <c r="AJ94" s="0" t="n">
        <v>10</v>
      </c>
      <c r="AP94" s="0" t="n">
        <v>620000</v>
      </c>
      <c r="DB94" s="0" t="str">
        <f aca="false">IF($A94="","",IF(AND($A94=21,$AE94&amp;""="00000000"),IF($AH94=20,"病院",IF($AH94=5,"消防","市長")),"対象外"))</f>
        <v>市長</v>
      </c>
    </row>
    <row r="95" customFormat="false" ht="15" hidden="false" customHeight="false" outlineLevel="0" collapsed="false">
      <c r="A95" s="0" t="n">
        <v>21</v>
      </c>
      <c r="AA95" s="0" t="n">
        <v>21</v>
      </c>
      <c r="AB95" s="0" t="s">
        <v>413</v>
      </c>
      <c r="AD95" s="0" t="n">
        <v>0</v>
      </c>
      <c r="AE95" s="0" t="s">
        <v>295</v>
      </c>
      <c r="AH95" s="0" t="n">
        <v>5</v>
      </c>
      <c r="AJ95" s="0" t="n">
        <v>30</v>
      </c>
      <c r="AP95" s="0" t="n">
        <v>560000</v>
      </c>
      <c r="DB95" s="0" t="str">
        <f aca="false">IF($A95="","",IF(AND($A95=21,$AE95&amp;""="00000000"),IF($AH95=20,"病院",IF($AH95=5,"消防","市長")),"対象外"))</f>
        <v>消防</v>
      </c>
    </row>
    <row r="96" customFormat="false" ht="15" hidden="false" customHeight="false" outlineLevel="0" collapsed="false">
      <c r="A96" s="0" t="n">
        <v>21</v>
      </c>
      <c r="AA96" s="0" t="n">
        <v>21</v>
      </c>
      <c r="AB96" s="0" t="s">
        <v>413</v>
      </c>
      <c r="AD96" s="0" t="n">
        <v>0</v>
      </c>
      <c r="AE96" s="0" t="s">
        <v>295</v>
      </c>
      <c r="AH96" s="0" t="n">
        <v>1</v>
      </c>
      <c r="AJ96" s="0" t="n">
        <v>10</v>
      </c>
      <c r="AP96" s="0" t="n">
        <v>710000</v>
      </c>
      <c r="DB96" s="0" t="str">
        <f aca="false">IF($A96="","",IF(AND($A96=21,$AE96&amp;""="00000000"),IF($AH96=20,"病院",IF($AH96=5,"消防","市長")),"対象外"))</f>
        <v>市長</v>
      </c>
    </row>
    <row r="97" customFormat="false" ht="15" hidden="false" customHeight="false" outlineLevel="0" collapsed="false">
      <c r="A97" s="0" t="n">
        <v>21</v>
      </c>
      <c r="AA97" s="0" t="n">
        <v>21</v>
      </c>
      <c r="AB97" s="0" t="s">
        <v>427</v>
      </c>
      <c r="AD97" s="0" t="n">
        <v>0</v>
      </c>
      <c r="AE97" s="0" t="s">
        <v>295</v>
      </c>
      <c r="AH97" s="0" t="n">
        <v>1</v>
      </c>
      <c r="AJ97" s="0" t="n">
        <v>10</v>
      </c>
      <c r="AP97" s="0" t="n">
        <v>530000</v>
      </c>
      <c r="DB97" s="0" t="str">
        <f aca="false">IF($A97="","",IF(AND($A97=21,$AE97&amp;""="00000000"),IF($AH97=20,"病院",IF($AH97=5,"消防","市長")),"対象外"))</f>
        <v>市長</v>
      </c>
    </row>
    <row r="98" customFormat="false" ht="15" hidden="false" customHeight="false" outlineLevel="0" collapsed="false">
      <c r="A98" s="0" t="n">
        <v>21</v>
      </c>
      <c r="AA98" s="0" t="n">
        <v>21</v>
      </c>
      <c r="AB98" s="0" t="s">
        <v>409</v>
      </c>
      <c r="AD98" s="0" t="n">
        <v>0</v>
      </c>
      <c r="AE98" s="0" t="s">
        <v>295</v>
      </c>
      <c r="AH98" s="0" t="n">
        <v>1</v>
      </c>
      <c r="AJ98" s="0" t="n">
        <v>10</v>
      </c>
      <c r="AP98" s="0" t="n">
        <v>500000</v>
      </c>
      <c r="DB98" s="0" t="str">
        <f aca="false">IF($A98="","",IF(AND($A98=21,$AE98&amp;""="00000000"),IF($AH98=20,"病院",IF($AH98=5,"消防","市長")),"対象外"))</f>
        <v>市長</v>
      </c>
    </row>
    <row r="99" customFormat="false" ht="15" hidden="false" customHeight="false" outlineLevel="0" collapsed="false">
      <c r="A99" s="0" t="n">
        <v>21</v>
      </c>
      <c r="AA99" s="0" t="n">
        <v>21</v>
      </c>
      <c r="AB99" s="0" t="s">
        <v>452</v>
      </c>
      <c r="AD99" s="0" t="n">
        <v>0</v>
      </c>
      <c r="AE99" s="0" t="s">
        <v>295</v>
      </c>
      <c r="AH99" s="0" t="n">
        <v>11</v>
      </c>
      <c r="AJ99" s="0" t="n">
        <v>10</v>
      </c>
      <c r="AP99" s="0" t="n">
        <v>530000</v>
      </c>
      <c r="DB99" s="0" t="str">
        <f aca="false">IF($A99="","",IF(AND($A99=21,$AE99&amp;""="00000000"),IF($AH99=20,"病院",IF($AH99=5,"消防","市長")),"対象外"))</f>
        <v>市長</v>
      </c>
    </row>
    <row r="100" customFormat="false" ht="15" hidden="false" customHeight="false" outlineLevel="0" collapsed="false">
      <c r="A100" s="0" t="n">
        <v>21</v>
      </c>
      <c r="AA100" s="0" t="n">
        <v>21</v>
      </c>
      <c r="AB100" s="0" t="s">
        <v>394</v>
      </c>
      <c r="AD100" s="0" t="n">
        <v>0</v>
      </c>
      <c r="AE100" s="0" t="s">
        <v>295</v>
      </c>
      <c r="AH100" s="0" t="n">
        <v>11</v>
      </c>
      <c r="AJ100" s="0" t="n">
        <v>10</v>
      </c>
      <c r="AP100" s="0" t="n">
        <v>500000</v>
      </c>
      <c r="DB100" s="0" t="str">
        <f aca="false">IF($A100="","",IF(AND($A100=21,$AE100&amp;""="00000000"),IF($AH100=20,"病院",IF($AH100=5,"消防","市長")),"対象外"))</f>
        <v>市長</v>
      </c>
    </row>
    <row r="101" customFormat="false" ht="15" hidden="false" customHeight="false" outlineLevel="0" collapsed="false">
      <c r="A101" s="0" t="n">
        <v>21</v>
      </c>
      <c r="AA101" s="0" t="n">
        <v>21</v>
      </c>
      <c r="AB101" s="0" t="s">
        <v>417</v>
      </c>
      <c r="AD101" s="0" t="n">
        <v>0</v>
      </c>
      <c r="AE101" s="0" t="s">
        <v>295</v>
      </c>
      <c r="AH101" s="0" t="n">
        <v>1</v>
      </c>
      <c r="AJ101" s="0" t="n">
        <v>10</v>
      </c>
      <c r="AP101" s="0" t="n">
        <v>590000</v>
      </c>
      <c r="DB101" s="0" t="str">
        <f aca="false">IF($A101="","",IF(AND($A101=21,$AE101&amp;""="00000000"),IF($AH101=20,"病院",IF($AH101=5,"消防","市長")),"対象外"))</f>
        <v>市長</v>
      </c>
    </row>
    <row r="102" customFormat="false" ht="15" hidden="false" customHeight="false" outlineLevel="0" collapsed="false">
      <c r="A102" s="0" t="n">
        <v>21</v>
      </c>
      <c r="AA102" s="0" t="n">
        <v>21</v>
      </c>
      <c r="AB102" s="0" t="s">
        <v>390</v>
      </c>
      <c r="AD102" s="0" t="n">
        <v>0</v>
      </c>
      <c r="AE102" s="0" t="s">
        <v>295</v>
      </c>
      <c r="AH102" s="0" t="n">
        <v>1</v>
      </c>
      <c r="AJ102" s="0" t="n">
        <v>10</v>
      </c>
      <c r="AP102" s="0" t="n">
        <v>560000</v>
      </c>
      <c r="DB102" s="0" t="str">
        <f aca="false">IF($A102="","",IF(AND($A102=21,$AE102&amp;""="00000000"),IF($AH102=20,"病院",IF($AH102=5,"消防","市長")),"対象外"))</f>
        <v>市長</v>
      </c>
    </row>
    <row r="103" customFormat="false" ht="15" hidden="false" customHeight="false" outlineLevel="0" collapsed="false">
      <c r="A103" s="0" t="n">
        <v>21</v>
      </c>
      <c r="AA103" s="0" t="n">
        <v>21</v>
      </c>
      <c r="AB103" s="0" t="s">
        <v>422</v>
      </c>
      <c r="AD103" s="0" t="n">
        <v>0</v>
      </c>
      <c r="AE103" s="0" t="s">
        <v>295</v>
      </c>
      <c r="AH103" s="0" t="n">
        <v>3</v>
      </c>
      <c r="AJ103" s="0" t="n">
        <v>10</v>
      </c>
      <c r="AP103" s="0" t="n">
        <v>590000</v>
      </c>
      <c r="DB103" s="0" t="str">
        <f aca="false">IF($A103="","",IF(AND($A103=21,$AE103&amp;""="00000000"),IF($AH103=20,"病院",IF($AH103=5,"消防","市長")),"対象外"))</f>
        <v>市長</v>
      </c>
    </row>
    <row r="104" customFormat="false" ht="15" hidden="false" customHeight="false" outlineLevel="0" collapsed="false">
      <c r="A104" s="0" t="n">
        <v>21</v>
      </c>
      <c r="AA104" s="0" t="n">
        <v>21</v>
      </c>
      <c r="AB104" s="0" t="s">
        <v>390</v>
      </c>
      <c r="AD104" s="0" t="n">
        <v>0</v>
      </c>
      <c r="AE104" s="0" t="s">
        <v>295</v>
      </c>
      <c r="AH104" s="0" t="n">
        <v>4</v>
      </c>
      <c r="AJ104" s="0" t="n">
        <v>10</v>
      </c>
      <c r="AP104" s="0" t="n">
        <v>380000</v>
      </c>
      <c r="DB104" s="0" t="str">
        <f aca="false">IF($A104="","",IF(AND($A104=21,$AE104&amp;""="00000000"),IF($AH104=20,"病院",IF($AH104=5,"消防","市長")),"対象外"))</f>
        <v>市長</v>
      </c>
    </row>
    <row r="105" customFormat="false" ht="15" hidden="false" customHeight="false" outlineLevel="0" collapsed="false">
      <c r="A105" s="0" t="n">
        <v>21</v>
      </c>
      <c r="AA105" s="0" t="n">
        <v>21</v>
      </c>
      <c r="AB105" s="0" t="s">
        <v>390</v>
      </c>
      <c r="AD105" s="0" t="n">
        <v>0</v>
      </c>
      <c r="AE105" s="0" t="s">
        <v>295</v>
      </c>
      <c r="AH105" s="0" t="n">
        <v>11</v>
      </c>
      <c r="AJ105" s="0" t="n">
        <v>10</v>
      </c>
      <c r="AP105" s="0" t="n">
        <v>470000</v>
      </c>
      <c r="DB105" s="0" t="str">
        <f aca="false">IF($A105="","",IF(AND($A105=21,$AE105&amp;""="00000000"),IF($AH105=20,"病院",IF($AH105=5,"消防","市長")),"対象外"))</f>
        <v>市長</v>
      </c>
    </row>
    <row r="106" customFormat="false" ht="15" hidden="false" customHeight="false" outlineLevel="0" collapsed="false">
      <c r="A106" s="0" t="n">
        <v>21</v>
      </c>
      <c r="AA106" s="0" t="n">
        <v>21</v>
      </c>
      <c r="AB106" s="0" t="s">
        <v>415</v>
      </c>
      <c r="AD106" s="0" t="n">
        <v>0</v>
      </c>
      <c r="AE106" s="0" t="s">
        <v>295</v>
      </c>
      <c r="AH106" s="0" t="n">
        <v>11</v>
      </c>
      <c r="AJ106" s="0" t="n">
        <v>10</v>
      </c>
      <c r="AP106" s="0" t="n">
        <v>620000</v>
      </c>
      <c r="DB106" s="0" t="str">
        <f aca="false">IF($A106="","",IF(AND($A106=21,$AE106&amp;""="00000000"),IF($AH106=20,"病院",IF($AH106=5,"消防","市長")),"対象外"))</f>
        <v>市長</v>
      </c>
    </row>
    <row r="107" customFormat="false" ht="15" hidden="false" customHeight="false" outlineLevel="0" collapsed="false">
      <c r="A107" s="0" t="n">
        <v>21</v>
      </c>
      <c r="AA107" s="0" t="n">
        <v>21</v>
      </c>
      <c r="AB107" s="0" t="s">
        <v>413</v>
      </c>
      <c r="AD107" s="0" t="n">
        <v>0</v>
      </c>
      <c r="AE107" s="0" t="s">
        <v>295</v>
      </c>
      <c r="AH107" s="0" t="n">
        <v>1</v>
      </c>
      <c r="AJ107" s="0" t="n">
        <v>10</v>
      </c>
      <c r="AP107" s="0" t="n">
        <v>650000</v>
      </c>
      <c r="DB107" s="0" t="str">
        <f aca="false">IF($A107="","",IF(AND($A107=21,$AE107&amp;""="00000000"),IF($AH107=20,"病院",IF($AH107=5,"消防","市長")),"対象外"))</f>
        <v>市長</v>
      </c>
    </row>
    <row r="108" customFormat="false" ht="15" hidden="false" customHeight="false" outlineLevel="0" collapsed="false">
      <c r="A108" s="0" t="n">
        <v>21</v>
      </c>
      <c r="AA108" s="0" t="n">
        <v>21</v>
      </c>
      <c r="AB108" s="0" t="s">
        <v>390</v>
      </c>
      <c r="AD108" s="0" t="n">
        <v>0</v>
      </c>
      <c r="AE108" s="0" t="s">
        <v>295</v>
      </c>
      <c r="AH108" s="0" t="n">
        <v>4</v>
      </c>
      <c r="AJ108" s="0" t="n">
        <v>10</v>
      </c>
      <c r="AP108" s="0" t="n">
        <v>590000</v>
      </c>
      <c r="DB108" s="0" t="str">
        <f aca="false">IF($A108="","",IF(AND($A108=21,$AE108&amp;""="00000000"),IF($AH108=20,"病院",IF($AH108=5,"消防","市長")),"対象外"))</f>
        <v>市長</v>
      </c>
    </row>
    <row r="109" customFormat="false" ht="15" hidden="false" customHeight="false" outlineLevel="0" collapsed="false">
      <c r="A109" s="0" t="n">
        <v>21</v>
      </c>
      <c r="AA109" s="0" t="n">
        <v>21</v>
      </c>
      <c r="AB109" s="0" t="s">
        <v>415</v>
      </c>
      <c r="AD109" s="0" t="n">
        <v>0</v>
      </c>
      <c r="AE109" s="0" t="s">
        <v>295</v>
      </c>
      <c r="AH109" s="0" t="n">
        <v>1</v>
      </c>
      <c r="AJ109" s="0" t="n">
        <v>10</v>
      </c>
      <c r="AP109" s="0" t="n">
        <v>710000</v>
      </c>
      <c r="DB109" s="0" t="str">
        <f aca="false">IF($A109="","",IF(AND($A109=21,$AE109&amp;""="00000000"),IF($AH109=20,"病院",IF($AH109=5,"消防","市長")),"対象外"))</f>
        <v>市長</v>
      </c>
    </row>
    <row r="110" customFormat="false" ht="15" hidden="false" customHeight="false" outlineLevel="0" collapsed="false">
      <c r="A110" s="0" t="n">
        <v>21</v>
      </c>
      <c r="AA110" s="0" t="n">
        <v>21</v>
      </c>
      <c r="AB110" s="0" t="s">
        <v>431</v>
      </c>
      <c r="AD110" s="0" t="n">
        <v>0</v>
      </c>
      <c r="AE110" s="0" t="s">
        <v>295</v>
      </c>
      <c r="AH110" s="0" t="n">
        <v>11</v>
      </c>
      <c r="AJ110" s="0" t="n">
        <v>10</v>
      </c>
      <c r="AP110" s="0" t="n">
        <v>440000</v>
      </c>
      <c r="DB110" s="0" t="str">
        <f aca="false">IF($A110="","",IF(AND($A110=21,$AE110&amp;""="00000000"),IF($AH110=20,"病院",IF($AH110=5,"消防","市長")),"対象外"))</f>
        <v>市長</v>
      </c>
    </row>
    <row r="111" customFormat="false" ht="15" hidden="false" customHeight="false" outlineLevel="0" collapsed="false">
      <c r="A111" s="0" t="n">
        <v>21</v>
      </c>
      <c r="AA111" s="0" t="n">
        <v>21</v>
      </c>
      <c r="AB111" s="0" t="s">
        <v>415</v>
      </c>
      <c r="AD111" s="0" t="n">
        <v>0</v>
      </c>
      <c r="AE111" s="0" t="s">
        <v>295</v>
      </c>
      <c r="AH111" s="0" t="n">
        <v>3</v>
      </c>
      <c r="AJ111" s="0" t="n">
        <v>10</v>
      </c>
      <c r="AP111" s="0" t="n">
        <v>530000</v>
      </c>
      <c r="DB111" s="0" t="str">
        <f aca="false">IF($A111="","",IF(AND($A111=21,$AE111&amp;""="00000000"),IF($AH111=20,"病院",IF($AH111=5,"消防","市長")),"対象外"))</f>
        <v>市長</v>
      </c>
    </row>
    <row r="112" customFormat="false" ht="15" hidden="false" customHeight="false" outlineLevel="0" collapsed="false">
      <c r="A112" s="0" t="n">
        <v>21</v>
      </c>
      <c r="AA112" s="0" t="n">
        <v>21</v>
      </c>
      <c r="AB112" s="0" t="s">
        <v>450</v>
      </c>
      <c r="AD112" s="0" t="n">
        <v>0</v>
      </c>
      <c r="AE112" s="0" t="s">
        <v>295</v>
      </c>
      <c r="AH112" s="0" t="n">
        <v>1</v>
      </c>
      <c r="AJ112" s="0" t="n">
        <v>10</v>
      </c>
      <c r="AP112" s="0" t="n">
        <v>560000</v>
      </c>
      <c r="DB112" s="0" t="str">
        <f aca="false">IF($A112="","",IF(AND($A112=21,$AE112&amp;""="00000000"),IF($AH112=20,"病院",IF($AH112=5,"消防","市長")),"対象外"))</f>
        <v>市長</v>
      </c>
    </row>
    <row r="113" customFormat="false" ht="15" hidden="false" customHeight="false" outlineLevel="0" collapsed="false">
      <c r="A113" s="0" t="n">
        <v>21</v>
      </c>
      <c r="AA113" s="0" t="n">
        <v>21</v>
      </c>
      <c r="AB113" s="0" t="s">
        <v>427</v>
      </c>
      <c r="AD113" s="0" t="n">
        <v>0</v>
      </c>
      <c r="AE113" s="0" t="s">
        <v>295</v>
      </c>
      <c r="AH113" s="0" t="n">
        <v>4</v>
      </c>
      <c r="AJ113" s="0" t="n">
        <v>10</v>
      </c>
      <c r="AP113" s="0" t="n">
        <v>500000</v>
      </c>
      <c r="DB113" s="0" t="str">
        <f aca="false">IF($A113="","",IF(AND($A113=21,$AE113&amp;""="00000000"),IF($AH113=20,"病院",IF($AH113=5,"消防","市長")),"対象外"))</f>
        <v>市長</v>
      </c>
    </row>
    <row r="114" customFormat="false" ht="15" hidden="false" customHeight="false" outlineLevel="0" collapsed="false">
      <c r="A114" s="0" t="n">
        <v>21</v>
      </c>
      <c r="AA114" s="0" t="n">
        <v>21</v>
      </c>
      <c r="AB114" s="0" t="s">
        <v>417</v>
      </c>
      <c r="AD114" s="0" t="n">
        <v>0</v>
      </c>
      <c r="AE114" s="0" t="s">
        <v>295</v>
      </c>
      <c r="AH114" s="0" t="n">
        <v>4</v>
      </c>
      <c r="AJ114" s="0" t="n">
        <v>10</v>
      </c>
      <c r="AP114" s="0" t="n">
        <v>500000</v>
      </c>
      <c r="DB114" s="0" t="str">
        <f aca="false">IF($A114="","",IF(AND($A114=21,$AE114&amp;""="00000000"),IF($AH114=20,"病院",IF($AH114=5,"消防","市長")),"対象外"))</f>
        <v>市長</v>
      </c>
    </row>
    <row r="115" customFormat="false" ht="15" hidden="false" customHeight="false" outlineLevel="0" collapsed="false">
      <c r="A115" s="0" t="n">
        <v>21</v>
      </c>
      <c r="AA115" s="0" t="n">
        <v>21</v>
      </c>
      <c r="AB115" s="0" t="s">
        <v>422</v>
      </c>
      <c r="AD115" s="0" t="n">
        <v>0</v>
      </c>
      <c r="AE115" s="0" t="s">
        <v>295</v>
      </c>
      <c r="AH115" s="0" t="n">
        <v>3</v>
      </c>
      <c r="AJ115" s="0" t="n">
        <v>10</v>
      </c>
      <c r="AP115" s="0" t="n">
        <v>560000</v>
      </c>
      <c r="DB115" s="0" t="str">
        <f aca="false">IF($A115="","",IF(AND($A115=21,$AE115&amp;""="00000000"),IF($AH115=20,"病院",IF($AH115=5,"消防","市長")),"対象外"))</f>
        <v>市長</v>
      </c>
    </row>
    <row r="116" customFormat="false" ht="15" hidden="false" customHeight="false" outlineLevel="0" collapsed="false">
      <c r="A116" s="0" t="n">
        <v>21</v>
      </c>
      <c r="AA116" s="0" t="n">
        <v>21</v>
      </c>
      <c r="AB116" s="0" t="s">
        <v>390</v>
      </c>
      <c r="AD116" s="0" t="n">
        <v>0</v>
      </c>
      <c r="AE116" s="0" t="s">
        <v>295</v>
      </c>
      <c r="AH116" s="0" t="n">
        <v>11</v>
      </c>
      <c r="AJ116" s="0" t="n">
        <v>10</v>
      </c>
      <c r="AP116" s="0" t="n">
        <v>440000</v>
      </c>
      <c r="DB116" s="0" t="str">
        <f aca="false">IF($A116="","",IF(AND($A116=21,$AE116&amp;""="00000000"),IF($AH116=20,"病院",IF($AH116=5,"消防","市長")),"対象外"))</f>
        <v>市長</v>
      </c>
    </row>
    <row r="117" customFormat="false" ht="15" hidden="false" customHeight="false" outlineLevel="0" collapsed="false">
      <c r="A117" s="0" t="n">
        <v>21</v>
      </c>
      <c r="AA117" s="0" t="n">
        <v>21</v>
      </c>
      <c r="AB117" s="0" t="s">
        <v>413</v>
      </c>
      <c r="AD117" s="0" t="n">
        <v>0</v>
      </c>
      <c r="AE117" s="0" t="s">
        <v>295</v>
      </c>
      <c r="AH117" s="0" t="n">
        <v>3</v>
      </c>
      <c r="AJ117" s="0" t="n">
        <v>10</v>
      </c>
      <c r="AP117" s="0" t="n">
        <v>560000</v>
      </c>
      <c r="DB117" s="0" t="str">
        <f aca="false">IF($A117="","",IF(AND($A117=21,$AE117&amp;""="00000000"),IF($AH117=20,"病院",IF($AH117=5,"消防","市長")),"対象外"))</f>
        <v>市長</v>
      </c>
    </row>
    <row r="118" customFormat="false" ht="15" hidden="false" customHeight="false" outlineLevel="0" collapsed="false">
      <c r="A118" s="0" t="n">
        <v>21</v>
      </c>
      <c r="AA118" s="0" t="n">
        <v>21</v>
      </c>
      <c r="AB118" s="0" t="s">
        <v>409</v>
      </c>
      <c r="AD118" s="0" t="n">
        <v>0</v>
      </c>
      <c r="AE118" s="0" t="s">
        <v>295</v>
      </c>
      <c r="AH118" s="0" t="n">
        <v>41</v>
      </c>
      <c r="AJ118" s="0" t="n">
        <v>74</v>
      </c>
      <c r="AP118" s="0" t="n">
        <v>590000</v>
      </c>
      <c r="DB118" s="0" t="str">
        <f aca="false">IF($A118="","",IF(AND($A118=21,$AE118&amp;""="00000000"),IF($AH118=20,"病院",IF($AH118=5,"消防","市長")),"対象外"))</f>
        <v>市長</v>
      </c>
    </row>
    <row r="119" customFormat="false" ht="15" hidden="false" customHeight="false" outlineLevel="0" collapsed="false">
      <c r="A119" s="0" t="n">
        <v>21</v>
      </c>
      <c r="AA119" s="0" t="n">
        <v>21</v>
      </c>
      <c r="AB119" s="0" t="s">
        <v>413</v>
      </c>
      <c r="AD119" s="0" t="n">
        <v>0</v>
      </c>
      <c r="AE119" s="0" t="s">
        <v>295</v>
      </c>
      <c r="AH119" s="0" t="n">
        <v>1</v>
      </c>
      <c r="AJ119" s="0" t="n">
        <v>10</v>
      </c>
      <c r="AP119" s="0" t="n">
        <v>620000</v>
      </c>
      <c r="DB119" s="0" t="str">
        <f aca="false">IF($A119="","",IF(AND($A119=21,$AE119&amp;""="00000000"),IF($AH119=20,"病院",IF($AH119=5,"消防","市長")),"対象外"))</f>
        <v>市長</v>
      </c>
    </row>
    <row r="120" customFormat="false" ht="15" hidden="false" customHeight="false" outlineLevel="0" collapsed="false">
      <c r="A120" s="0" t="n">
        <v>21</v>
      </c>
      <c r="AA120" s="0" t="n">
        <v>21</v>
      </c>
      <c r="AB120" s="0" t="s">
        <v>413</v>
      </c>
      <c r="AD120" s="0" t="n">
        <v>0</v>
      </c>
      <c r="AE120" s="0" t="s">
        <v>295</v>
      </c>
      <c r="AH120" s="0" t="n">
        <v>1</v>
      </c>
      <c r="AJ120" s="0" t="n">
        <v>10</v>
      </c>
      <c r="AP120" s="0" t="n">
        <v>620000</v>
      </c>
      <c r="DB120" s="0" t="str">
        <f aca="false">IF($A120="","",IF(AND($A120=21,$AE120&amp;""="00000000"),IF($AH120=20,"病院",IF($AH120=5,"消防","市長")),"対象外"))</f>
        <v>市長</v>
      </c>
    </row>
    <row r="121" customFormat="false" ht="15" hidden="false" customHeight="false" outlineLevel="0" collapsed="false">
      <c r="A121" s="0" t="n">
        <v>21</v>
      </c>
      <c r="AA121" s="0" t="n">
        <v>21</v>
      </c>
      <c r="AB121" s="0" t="s">
        <v>390</v>
      </c>
      <c r="AD121" s="0" t="n">
        <v>0</v>
      </c>
      <c r="AE121" s="0" t="s">
        <v>295</v>
      </c>
      <c r="AH121" s="0" t="n">
        <v>1</v>
      </c>
      <c r="AJ121" s="0" t="n">
        <v>10</v>
      </c>
      <c r="AP121" s="0" t="n">
        <v>500000</v>
      </c>
      <c r="DB121" s="0" t="str">
        <f aca="false">IF($A121="","",IF(AND($A121=21,$AE121&amp;""="00000000"),IF($AH121=20,"病院",IF($AH121=5,"消防","市長")),"対象外"))</f>
        <v>市長</v>
      </c>
    </row>
    <row r="122" customFormat="false" ht="15" hidden="false" customHeight="false" outlineLevel="0" collapsed="false">
      <c r="A122" s="0" t="n">
        <v>21</v>
      </c>
      <c r="AA122" s="0" t="n">
        <v>21</v>
      </c>
      <c r="AB122" s="0" t="s">
        <v>390</v>
      </c>
      <c r="AD122" s="0" t="n">
        <v>0</v>
      </c>
      <c r="AE122" s="0" t="s">
        <v>295</v>
      </c>
      <c r="AH122" s="0" t="n">
        <v>1</v>
      </c>
      <c r="AJ122" s="0" t="n">
        <v>10</v>
      </c>
      <c r="AP122" s="0" t="n">
        <v>500000</v>
      </c>
      <c r="DB122" s="0" t="str">
        <f aca="false">IF($A122="","",IF(AND($A122=21,$AE122&amp;""="00000000"),IF($AH122=20,"病院",IF($AH122=5,"消防","市長")),"対象外"))</f>
        <v>市長</v>
      </c>
    </row>
    <row r="123" customFormat="false" ht="15" hidden="false" customHeight="false" outlineLevel="0" collapsed="false">
      <c r="A123" s="0" t="n">
        <v>21</v>
      </c>
      <c r="AA123" s="0" t="n">
        <v>21</v>
      </c>
      <c r="AB123" s="0" t="s">
        <v>422</v>
      </c>
      <c r="AD123" s="0" t="n">
        <v>0</v>
      </c>
      <c r="AE123" s="0" t="s">
        <v>295</v>
      </c>
      <c r="AH123" s="0" t="n">
        <v>1</v>
      </c>
      <c r="AJ123" s="0" t="n">
        <v>10</v>
      </c>
      <c r="AP123" s="0" t="n">
        <v>500000</v>
      </c>
      <c r="DB123" s="0" t="str">
        <f aca="false">IF($A123="","",IF(AND($A123=21,$AE123&amp;""="00000000"),IF($AH123=20,"病院",IF($AH123=5,"消防","市長")),"対象外"))</f>
        <v>市長</v>
      </c>
    </row>
    <row r="124" customFormat="false" ht="15" hidden="false" customHeight="false" outlineLevel="0" collapsed="false">
      <c r="A124" s="0" t="n">
        <v>21</v>
      </c>
      <c r="AA124" s="0" t="n">
        <v>21</v>
      </c>
      <c r="AB124" s="0" t="s">
        <v>431</v>
      </c>
      <c r="AD124" s="0" t="n">
        <v>0</v>
      </c>
      <c r="AE124" s="0" t="s">
        <v>295</v>
      </c>
      <c r="AH124" s="0" t="n">
        <v>1</v>
      </c>
      <c r="AJ124" s="0" t="n">
        <v>10</v>
      </c>
      <c r="AP124" s="0" t="n">
        <v>470000</v>
      </c>
      <c r="DB124" s="0" t="str">
        <f aca="false">IF($A124="","",IF(AND($A124=21,$AE124&amp;""="00000000"),IF($AH124=20,"病院",IF($AH124=5,"消防","市長")),"対象外"))</f>
        <v>市長</v>
      </c>
    </row>
    <row r="125" customFormat="false" ht="15" hidden="false" customHeight="false" outlineLevel="0" collapsed="false">
      <c r="A125" s="0" t="n">
        <v>21</v>
      </c>
      <c r="AA125" s="0" t="n">
        <v>21</v>
      </c>
      <c r="AB125" s="0" t="s">
        <v>390</v>
      </c>
      <c r="AD125" s="0" t="n">
        <v>0</v>
      </c>
      <c r="AE125" s="0" t="s">
        <v>295</v>
      </c>
      <c r="AH125" s="0" t="n">
        <v>1</v>
      </c>
      <c r="AJ125" s="0" t="n">
        <v>10</v>
      </c>
      <c r="AP125" s="0" t="n">
        <v>470000</v>
      </c>
      <c r="DB125" s="0" t="str">
        <f aca="false">IF($A125="","",IF(AND($A125=21,$AE125&amp;""="00000000"),IF($AH125=20,"病院",IF($AH125=5,"消防","市長")),"対象外"))</f>
        <v>市長</v>
      </c>
    </row>
    <row r="126" customFormat="false" ht="15" hidden="false" customHeight="false" outlineLevel="0" collapsed="false">
      <c r="A126" s="0" t="n">
        <v>21</v>
      </c>
      <c r="AA126" s="0" t="n">
        <v>21</v>
      </c>
      <c r="AB126" s="0" t="s">
        <v>443</v>
      </c>
      <c r="AD126" s="0" t="n">
        <v>0</v>
      </c>
      <c r="AE126" s="0" t="s">
        <v>295</v>
      </c>
      <c r="AH126" s="0" t="n">
        <v>1</v>
      </c>
      <c r="AJ126" s="0" t="n">
        <v>10</v>
      </c>
      <c r="AP126" s="0" t="n">
        <v>470000</v>
      </c>
      <c r="DB126" s="0" t="str">
        <f aca="false">IF($A126="","",IF(AND($A126=21,$AE126&amp;""="00000000"),IF($AH126=20,"病院",IF($AH126=5,"消防","市長")),"対象外"))</f>
        <v>市長</v>
      </c>
    </row>
    <row r="127" customFormat="false" ht="15" hidden="false" customHeight="false" outlineLevel="0" collapsed="false">
      <c r="A127" s="0" t="n">
        <v>21</v>
      </c>
      <c r="AA127" s="0" t="n">
        <v>21</v>
      </c>
      <c r="AB127" s="0" t="s">
        <v>413</v>
      </c>
      <c r="AD127" s="0" t="n">
        <v>0</v>
      </c>
      <c r="AE127" s="0" t="s">
        <v>295</v>
      </c>
      <c r="AH127" s="0" t="n">
        <v>1</v>
      </c>
      <c r="AJ127" s="0" t="n">
        <v>10</v>
      </c>
      <c r="AP127" s="0" t="n">
        <v>590000</v>
      </c>
      <c r="DB127" s="0" t="str">
        <f aca="false">IF($A127="","",IF(AND($A127=21,$AE127&amp;""="00000000"),IF($AH127=20,"病院",IF($AH127=5,"消防","市長")),"対象外"))</f>
        <v>市長</v>
      </c>
    </row>
    <row r="128" customFormat="false" ht="15" hidden="false" customHeight="false" outlineLevel="0" collapsed="false">
      <c r="A128" s="0" t="n">
        <v>21</v>
      </c>
      <c r="AA128" s="0" t="n">
        <v>21</v>
      </c>
      <c r="AB128" s="0" t="s">
        <v>413</v>
      </c>
      <c r="AD128" s="0" t="n">
        <v>0</v>
      </c>
      <c r="AE128" s="0" t="s">
        <v>295</v>
      </c>
      <c r="AH128" s="0" t="n">
        <v>5</v>
      </c>
      <c r="AJ128" s="0" t="n">
        <v>10</v>
      </c>
      <c r="AP128" s="0" t="n">
        <v>620000</v>
      </c>
      <c r="DB128" s="0" t="str">
        <f aca="false">IF($A128="","",IF(AND($A128=21,$AE128&amp;""="00000000"),IF($AH128=20,"病院",IF($AH128=5,"消防","市長")),"対象外"))</f>
        <v>消防</v>
      </c>
    </row>
    <row r="129" customFormat="false" ht="15" hidden="false" customHeight="false" outlineLevel="0" collapsed="false">
      <c r="A129" s="0" t="n">
        <v>31</v>
      </c>
      <c r="AA129" s="0" t="n">
        <v>21</v>
      </c>
      <c r="AB129" s="0" t="s">
        <v>96</v>
      </c>
      <c r="AD129" s="0" t="n">
        <v>0</v>
      </c>
      <c r="AE129" s="0" t="s">
        <v>295</v>
      </c>
      <c r="AH129" s="0" t="n">
        <v>1</v>
      </c>
      <c r="AJ129" s="0" t="n">
        <v>41</v>
      </c>
      <c r="AP129" s="0" t="n">
        <v>220000</v>
      </c>
      <c r="DB129" s="0" t="str">
        <f aca="false">IF($A129="","",IF(AND($A129=21,$AE129&amp;""="00000000"),IF($AH129=20,"病院",IF($AH129=5,"消防","市長")),"対象外"))</f>
        <v>対象外</v>
      </c>
    </row>
    <row r="130" customFormat="false" ht="15" hidden="false" customHeight="false" outlineLevel="0" collapsed="false">
      <c r="A130" s="0" t="n">
        <v>21</v>
      </c>
      <c r="AA130" s="0" t="n">
        <v>21</v>
      </c>
      <c r="AB130" s="0" t="s">
        <v>422</v>
      </c>
      <c r="AD130" s="0" t="n">
        <v>0</v>
      </c>
      <c r="AE130" s="0" t="s">
        <v>295</v>
      </c>
      <c r="AH130" s="0" t="n">
        <v>3</v>
      </c>
      <c r="AJ130" s="0" t="n">
        <v>10</v>
      </c>
      <c r="AP130" s="0" t="n">
        <v>710000</v>
      </c>
      <c r="DB130" s="0" t="str">
        <f aca="false">IF($A130="","",IF(AND($A130=21,$AE130&amp;""="00000000"),IF($AH130=20,"病院",IF($AH130=5,"消防","市長")),"対象外"))</f>
        <v>市長</v>
      </c>
    </row>
    <row r="131" customFormat="false" ht="15" hidden="false" customHeight="false" outlineLevel="0" collapsed="false">
      <c r="A131" s="0" t="n">
        <v>21</v>
      </c>
      <c r="AA131" s="0" t="n">
        <v>21</v>
      </c>
      <c r="AB131" s="0" t="s">
        <v>476</v>
      </c>
      <c r="AD131" s="0" t="n">
        <v>0</v>
      </c>
      <c r="AE131" s="0" t="s">
        <v>295</v>
      </c>
      <c r="AH131" s="0" t="n">
        <v>1</v>
      </c>
      <c r="AJ131" s="0" t="n">
        <v>10</v>
      </c>
      <c r="AP131" s="0" t="n">
        <v>410000</v>
      </c>
      <c r="DB131" s="0" t="str">
        <f aca="false">IF($A131="","",IF(AND($A131=21,$AE131&amp;""="00000000"),IF($AH131=20,"病院",IF($AH131=5,"消防","市長")),"対象外"))</f>
        <v>市長</v>
      </c>
    </row>
    <row r="132" customFormat="false" ht="15" hidden="false" customHeight="false" outlineLevel="0" collapsed="false">
      <c r="A132" s="0" t="n">
        <v>21</v>
      </c>
      <c r="AA132" s="0" t="n">
        <v>21</v>
      </c>
      <c r="AB132" s="0" t="s">
        <v>415</v>
      </c>
      <c r="AD132" s="0" t="n">
        <v>0</v>
      </c>
      <c r="AE132" s="0" t="s">
        <v>295</v>
      </c>
      <c r="AH132" s="0" t="n">
        <v>1</v>
      </c>
      <c r="AJ132" s="0" t="n">
        <v>10</v>
      </c>
      <c r="AP132" s="0" t="n">
        <v>560000</v>
      </c>
      <c r="DB132" s="0" t="str">
        <f aca="false">IF($A132="","",IF(AND($A132=21,$AE132&amp;""="00000000"),IF($AH132=20,"病院",IF($AH132=5,"消防","市長")),"対象外"))</f>
        <v>市長</v>
      </c>
    </row>
    <row r="133" customFormat="false" ht="15" hidden="false" customHeight="false" outlineLevel="0" collapsed="false">
      <c r="A133" s="0" t="n">
        <v>21</v>
      </c>
      <c r="AA133" s="0" t="n">
        <v>21</v>
      </c>
      <c r="AB133" s="0" t="s">
        <v>413</v>
      </c>
      <c r="AD133" s="0" t="n">
        <v>0</v>
      </c>
      <c r="AE133" s="0" t="s">
        <v>295</v>
      </c>
      <c r="AH133" s="0" t="n">
        <v>4</v>
      </c>
      <c r="AJ133" s="0" t="n">
        <v>10</v>
      </c>
      <c r="AP133" s="0" t="n">
        <v>650000</v>
      </c>
      <c r="DB133" s="0" t="str">
        <f aca="false">IF($A133="","",IF(AND($A133=21,$AE133&amp;""="00000000"),IF($AH133=20,"病院",IF($AH133=5,"消防","市長")),"対象外"))</f>
        <v>市長</v>
      </c>
    </row>
    <row r="134" customFormat="false" ht="15" hidden="false" customHeight="false" outlineLevel="0" collapsed="false">
      <c r="A134" s="0" t="n">
        <v>21</v>
      </c>
      <c r="AA134" s="0" t="n">
        <v>21</v>
      </c>
      <c r="AB134" s="0" t="s">
        <v>415</v>
      </c>
      <c r="AD134" s="0" t="n">
        <v>0</v>
      </c>
      <c r="AE134" s="0" t="s">
        <v>295</v>
      </c>
      <c r="AH134" s="0" t="n">
        <v>1</v>
      </c>
      <c r="AJ134" s="0" t="n">
        <v>10</v>
      </c>
      <c r="AP134" s="0" t="n">
        <v>710000</v>
      </c>
      <c r="DB134" s="0" t="str">
        <f aca="false">IF($A134="","",IF(AND($A134=21,$AE134&amp;""="00000000"),IF($AH134=20,"病院",IF($AH134=5,"消防","市長")),"対象外"))</f>
        <v>市長</v>
      </c>
    </row>
    <row r="135" customFormat="false" ht="15" hidden="false" customHeight="false" outlineLevel="0" collapsed="false">
      <c r="A135" s="0" t="n">
        <v>21</v>
      </c>
      <c r="AA135" s="0" t="n">
        <v>21</v>
      </c>
      <c r="AB135" s="0" t="s">
        <v>431</v>
      </c>
      <c r="AD135" s="0" t="n">
        <v>0</v>
      </c>
      <c r="AE135" s="0" t="s">
        <v>295</v>
      </c>
      <c r="AH135" s="0" t="n">
        <v>3</v>
      </c>
      <c r="AJ135" s="0" t="n">
        <v>10</v>
      </c>
      <c r="AP135" s="0" t="n">
        <v>590000</v>
      </c>
      <c r="DB135" s="0" t="str">
        <f aca="false">IF($A135="","",IF(AND($A135=21,$AE135&amp;""="00000000"),IF($AH135=20,"病院",IF($AH135=5,"消防","市長")),"対象外"))</f>
        <v>市長</v>
      </c>
    </row>
    <row r="136" customFormat="false" ht="15" hidden="false" customHeight="false" outlineLevel="0" collapsed="false">
      <c r="A136" s="0" t="n">
        <v>21</v>
      </c>
      <c r="AA136" s="0" t="n">
        <v>21</v>
      </c>
      <c r="AB136" s="0" t="s">
        <v>413</v>
      </c>
      <c r="AD136" s="0" t="n">
        <v>0</v>
      </c>
      <c r="AE136" s="0" t="s">
        <v>295</v>
      </c>
      <c r="AH136" s="0" t="n">
        <v>1</v>
      </c>
      <c r="AJ136" s="0" t="n">
        <v>10</v>
      </c>
      <c r="AP136" s="0" t="n">
        <v>530000</v>
      </c>
      <c r="DB136" s="0" t="str">
        <f aca="false">IF($A136="","",IF(AND($A136=21,$AE136&amp;""="00000000"),IF($AH136=20,"病院",IF($AH136=5,"消防","市長")),"対象外"))</f>
        <v>市長</v>
      </c>
    </row>
    <row r="137" customFormat="false" ht="15" hidden="false" customHeight="false" outlineLevel="0" collapsed="false">
      <c r="A137" s="0" t="n">
        <v>21</v>
      </c>
      <c r="AA137" s="0" t="n">
        <v>21</v>
      </c>
      <c r="AB137" s="0" t="s">
        <v>422</v>
      </c>
      <c r="AD137" s="0" t="n">
        <v>0</v>
      </c>
      <c r="AE137" s="0" t="s">
        <v>295</v>
      </c>
      <c r="AH137" s="0" t="n">
        <v>20</v>
      </c>
      <c r="AJ137" s="0" t="n">
        <v>10</v>
      </c>
      <c r="AP137" s="0" t="n">
        <v>500000</v>
      </c>
      <c r="DB137" s="0" t="str">
        <f aca="false">IF($A137="","",IF(AND($A137=21,$AE137&amp;""="00000000"),IF($AH137=20,"病院",IF($AH137=5,"消防","市長")),"対象外"))</f>
        <v>病院</v>
      </c>
    </row>
    <row r="138" customFormat="false" ht="15" hidden="false" customHeight="false" outlineLevel="0" collapsed="false">
      <c r="A138" s="0" t="n">
        <v>21</v>
      </c>
      <c r="AA138" s="0" t="n">
        <v>21</v>
      </c>
      <c r="AB138" s="0" t="s">
        <v>415</v>
      </c>
      <c r="AD138" s="0" t="n">
        <v>0</v>
      </c>
      <c r="AE138" s="0" t="s">
        <v>295</v>
      </c>
      <c r="AH138" s="0" t="n">
        <v>1</v>
      </c>
      <c r="AJ138" s="0" t="n">
        <v>10</v>
      </c>
      <c r="AP138" s="0" t="n">
        <v>750000</v>
      </c>
      <c r="DB138" s="0" t="str">
        <f aca="false">IF($A138="","",IF(AND($A138=21,$AE138&amp;""="00000000"),IF($AH138=20,"病院",IF($AH138=5,"消防","市長")),"対象外"))</f>
        <v>市長</v>
      </c>
    </row>
    <row r="139" customFormat="false" ht="15" hidden="false" customHeight="false" outlineLevel="0" collapsed="false">
      <c r="A139" s="0" t="n">
        <v>21</v>
      </c>
      <c r="AA139" s="0" t="n">
        <v>21</v>
      </c>
      <c r="AB139" s="0" t="s">
        <v>390</v>
      </c>
      <c r="AD139" s="0" t="n">
        <v>0</v>
      </c>
      <c r="AE139" s="0" t="s">
        <v>295</v>
      </c>
      <c r="AH139" s="0" t="n">
        <v>5</v>
      </c>
      <c r="AJ139" s="0" t="n">
        <v>30</v>
      </c>
      <c r="AP139" s="0" t="n">
        <v>530000</v>
      </c>
      <c r="DB139" s="0" t="str">
        <f aca="false">IF($A139="","",IF(AND($A139=21,$AE139&amp;""="00000000"),IF($AH139=20,"病院",IF($AH139=5,"消防","市長")),"対象外"))</f>
        <v>消防</v>
      </c>
    </row>
    <row r="140" customFormat="false" ht="15" hidden="false" customHeight="false" outlineLevel="0" collapsed="false">
      <c r="A140" s="0" t="n">
        <v>21</v>
      </c>
      <c r="AA140" s="0" t="n">
        <v>21</v>
      </c>
      <c r="AB140" s="0" t="s">
        <v>605</v>
      </c>
      <c r="AD140" s="0" t="n">
        <v>0</v>
      </c>
      <c r="AE140" s="0" t="s">
        <v>295</v>
      </c>
      <c r="AH140" s="0" t="n">
        <v>20</v>
      </c>
      <c r="AJ140" s="0" t="n">
        <v>10</v>
      </c>
      <c r="AP140" s="0" t="n">
        <v>1390000</v>
      </c>
      <c r="DB140" s="0" t="str">
        <f aca="false">IF($A140="","",IF(AND($A140=21,$AE140&amp;""="00000000"),IF($AH140=20,"病院",IF($AH140=5,"消防","市長")),"対象外"))</f>
        <v>病院</v>
      </c>
    </row>
    <row r="141" customFormat="false" ht="15" hidden="false" customHeight="false" outlineLevel="0" collapsed="false">
      <c r="A141" s="0" t="n">
        <v>21</v>
      </c>
      <c r="AA141" s="0" t="n">
        <v>21</v>
      </c>
      <c r="AB141" s="0" t="s">
        <v>422</v>
      </c>
      <c r="AD141" s="0" t="n">
        <v>0</v>
      </c>
      <c r="AE141" s="0" t="s">
        <v>295</v>
      </c>
      <c r="AH141" s="0" t="n">
        <v>4</v>
      </c>
      <c r="AJ141" s="0" t="n">
        <v>10</v>
      </c>
      <c r="AP141" s="0" t="n">
        <v>500000</v>
      </c>
      <c r="DB141" s="0" t="str">
        <f aca="false">IF($A141="","",IF(AND($A141=21,$AE141&amp;""="00000000"),IF($AH141=20,"病院",IF($AH141=5,"消防","市長")),"対象外"))</f>
        <v>市長</v>
      </c>
    </row>
    <row r="142" customFormat="false" ht="15" hidden="false" customHeight="false" outlineLevel="0" collapsed="false">
      <c r="A142" s="0" t="n">
        <v>21</v>
      </c>
      <c r="AA142" s="0" t="n">
        <v>21</v>
      </c>
      <c r="AB142" s="0" t="s">
        <v>424</v>
      </c>
      <c r="AD142" s="0" t="n">
        <v>0</v>
      </c>
      <c r="AE142" s="0" t="s">
        <v>295</v>
      </c>
      <c r="AH142" s="0" t="n">
        <v>3</v>
      </c>
      <c r="AJ142" s="0" t="n">
        <v>10</v>
      </c>
      <c r="AP142" s="0" t="n">
        <v>590000</v>
      </c>
      <c r="DB142" s="0" t="str">
        <f aca="false">IF($A142="","",IF(AND($A142=21,$AE142&amp;""="00000000"),IF($AH142=20,"病院",IF($AH142=5,"消防","市長")),"対象外"))</f>
        <v>市長</v>
      </c>
    </row>
    <row r="143" customFormat="false" ht="15" hidden="false" customHeight="false" outlineLevel="0" collapsed="false">
      <c r="A143" s="0" t="n">
        <v>21</v>
      </c>
      <c r="AA143" s="0" t="n">
        <v>21</v>
      </c>
      <c r="AB143" s="0" t="s">
        <v>442</v>
      </c>
      <c r="AD143" s="0" t="n">
        <v>0</v>
      </c>
      <c r="AE143" s="0" t="s">
        <v>295</v>
      </c>
      <c r="AH143" s="0" t="n">
        <v>1</v>
      </c>
      <c r="AJ143" s="0" t="n">
        <v>10</v>
      </c>
      <c r="AP143" s="0" t="n">
        <v>470000</v>
      </c>
      <c r="DB143" s="0" t="str">
        <f aca="false">IF($A143="","",IF(AND($A143=21,$AE143&amp;""="00000000"),IF($AH143=20,"病院",IF($AH143=5,"消防","市長")),"対象外"))</f>
        <v>市長</v>
      </c>
    </row>
    <row r="144" customFormat="false" ht="15" hidden="false" customHeight="false" outlineLevel="0" collapsed="false">
      <c r="A144" s="0" t="n">
        <v>21</v>
      </c>
      <c r="AA144" s="0" t="n">
        <v>21</v>
      </c>
      <c r="AB144" s="0" t="s">
        <v>390</v>
      </c>
      <c r="AD144" s="0" t="n">
        <v>0</v>
      </c>
      <c r="AE144" s="0" t="s">
        <v>295</v>
      </c>
      <c r="AH144" s="0" t="n">
        <v>4</v>
      </c>
      <c r="AJ144" s="0" t="n">
        <v>10</v>
      </c>
      <c r="AP144" s="0" t="n">
        <v>560000</v>
      </c>
      <c r="DB144" s="0" t="str">
        <f aca="false">IF($A144="","",IF(AND($A144=21,$AE144&amp;""="00000000"),IF($AH144=20,"病院",IF($AH144=5,"消防","市長")),"対象外"))</f>
        <v>市長</v>
      </c>
    </row>
    <row r="145" customFormat="false" ht="15" hidden="false" customHeight="false" outlineLevel="0" collapsed="false">
      <c r="A145" s="0" t="n">
        <v>21</v>
      </c>
      <c r="AA145" s="0" t="n">
        <v>21</v>
      </c>
      <c r="AB145" s="0" t="s">
        <v>413</v>
      </c>
      <c r="AD145" s="0" t="n">
        <v>0</v>
      </c>
      <c r="AE145" s="0" t="s">
        <v>295</v>
      </c>
      <c r="AH145" s="0" t="n">
        <v>1</v>
      </c>
      <c r="AJ145" s="0" t="n">
        <v>10</v>
      </c>
      <c r="AP145" s="0" t="n">
        <v>620000</v>
      </c>
      <c r="DB145" s="0" t="str">
        <f aca="false">IF($A145="","",IF(AND($A145=21,$AE145&amp;""="00000000"),IF($AH145=20,"病院",IF($AH145=5,"消防","市長")),"対象外"))</f>
        <v>市長</v>
      </c>
    </row>
    <row r="146" customFormat="false" ht="15" hidden="false" customHeight="false" outlineLevel="0" collapsed="false">
      <c r="A146" s="0" t="n">
        <v>21</v>
      </c>
      <c r="AA146" s="0" t="n">
        <v>21</v>
      </c>
      <c r="AB146" s="0" t="s">
        <v>415</v>
      </c>
      <c r="AD146" s="0" t="n">
        <v>0</v>
      </c>
      <c r="AE146" s="0" t="s">
        <v>295</v>
      </c>
      <c r="AH146" s="0" t="n">
        <v>1</v>
      </c>
      <c r="AJ146" s="0" t="n">
        <v>10</v>
      </c>
      <c r="AP146" s="0" t="n">
        <v>680000</v>
      </c>
      <c r="DB146" s="0" t="str">
        <f aca="false">IF($A146="","",IF(AND($A146=21,$AE146&amp;""="00000000"),IF($AH146=20,"病院",IF($AH146=5,"消防","市長")),"対象外"))</f>
        <v>市長</v>
      </c>
    </row>
    <row r="147" customFormat="false" ht="15" hidden="false" customHeight="false" outlineLevel="0" collapsed="false">
      <c r="A147" s="0" t="n">
        <v>21</v>
      </c>
      <c r="AA147" s="0" t="n">
        <v>21</v>
      </c>
      <c r="AB147" s="0" t="s">
        <v>390</v>
      </c>
      <c r="AD147" s="0" t="n">
        <v>0</v>
      </c>
      <c r="AE147" s="0" t="s">
        <v>295</v>
      </c>
      <c r="AH147" s="0" t="n">
        <v>5</v>
      </c>
      <c r="AJ147" s="0" t="n">
        <v>10</v>
      </c>
      <c r="AP147" s="0" t="n">
        <v>560000</v>
      </c>
      <c r="DB147" s="0" t="str">
        <f aca="false">IF($A147="","",IF(AND($A147=21,$AE147&amp;""="00000000"),IF($AH147=20,"病院",IF($AH147=5,"消防","市長")),"対象外"))</f>
        <v>消防</v>
      </c>
    </row>
    <row r="148" customFormat="false" ht="15" hidden="false" customHeight="false" outlineLevel="0" collapsed="false">
      <c r="A148" s="0" t="n">
        <v>21</v>
      </c>
      <c r="AA148" s="0" t="n">
        <v>21</v>
      </c>
      <c r="AB148" s="0" t="s">
        <v>404</v>
      </c>
      <c r="AD148" s="0" t="n">
        <v>0</v>
      </c>
      <c r="AE148" s="0" t="s">
        <v>295</v>
      </c>
      <c r="AH148" s="0" t="n">
        <v>4</v>
      </c>
      <c r="AJ148" s="0" t="n">
        <v>10</v>
      </c>
      <c r="AP148" s="0" t="n">
        <v>590000</v>
      </c>
      <c r="DB148" s="0" t="str">
        <f aca="false">IF($A148="","",IF(AND($A148=21,$AE148&amp;""="00000000"),IF($AH148=20,"病院",IF($AH148=5,"消防","市長")),"対象外"))</f>
        <v>市長</v>
      </c>
    </row>
    <row r="149" customFormat="false" ht="15" hidden="false" customHeight="false" outlineLevel="0" collapsed="false">
      <c r="A149" s="0" t="n">
        <v>21</v>
      </c>
      <c r="AA149" s="0" t="n">
        <v>21</v>
      </c>
      <c r="AB149" s="0" t="s">
        <v>413</v>
      </c>
      <c r="AD149" s="0" t="n">
        <v>0</v>
      </c>
      <c r="AE149" s="0" t="s">
        <v>295</v>
      </c>
      <c r="AH149" s="0" t="n">
        <v>20</v>
      </c>
      <c r="AJ149" s="0" t="n">
        <v>10</v>
      </c>
      <c r="AP149" s="0" t="n">
        <v>650000</v>
      </c>
      <c r="DB149" s="0" t="str">
        <f aca="false">IF($A149="","",IF(AND($A149=21,$AE149&amp;""="00000000"),IF($AH149=20,"病院",IF($AH149=5,"消防","市長")),"対象外"))</f>
        <v>病院</v>
      </c>
    </row>
    <row r="150" customFormat="false" ht="15" hidden="false" customHeight="false" outlineLevel="0" collapsed="false">
      <c r="A150" s="0" t="n">
        <v>21</v>
      </c>
      <c r="AA150" s="0" t="n">
        <v>21</v>
      </c>
      <c r="AB150" s="0" t="s">
        <v>422</v>
      </c>
      <c r="AD150" s="0" t="n">
        <v>0</v>
      </c>
      <c r="AE150" s="0" t="s">
        <v>295</v>
      </c>
      <c r="AH150" s="0" t="n">
        <v>1</v>
      </c>
      <c r="AJ150" s="0" t="n">
        <v>10</v>
      </c>
      <c r="AP150" s="0" t="n">
        <v>530000</v>
      </c>
      <c r="DB150" s="0" t="str">
        <f aca="false">IF($A150="","",IF(AND($A150=21,$AE150&amp;""="00000000"),IF($AH150=20,"病院",IF($AH150=5,"消防","市長")),"対象外"))</f>
        <v>市長</v>
      </c>
    </row>
    <row r="151" customFormat="false" ht="15" hidden="false" customHeight="false" outlineLevel="0" collapsed="false">
      <c r="A151" s="0" t="n">
        <v>21</v>
      </c>
      <c r="AA151" s="0" t="n">
        <v>21</v>
      </c>
      <c r="AB151" s="0" t="s">
        <v>424</v>
      </c>
      <c r="AD151" s="0" t="n">
        <v>0</v>
      </c>
      <c r="AE151" s="0" t="s">
        <v>295</v>
      </c>
      <c r="AH151" s="0" t="n">
        <v>1</v>
      </c>
      <c r="AJ151" s="0" t="n">
        <v>10</v>
      </c>
      <c r="AP151" s="0" t="n">
        <v>560000</v>
      </c>
      <c r="DB151" s="0" t="str">
        <f aca="false">IF($A151="","",IF(AND($A151=21,$AE151&amp;""="00000000"),IF($AH151=20,"病院",IF($AH151=5,"消防","市長")),"対象外"))</f>
        <v>市長</v>
      </c>
    </row>
    <row r="152" customFormat="false" ht="15" hidden="false" customHeight="false" outlineLevel="0" collapsed="false">
      <c r="A152" s="0" t="n">
        <v>21</v>
      </c>
      <c r="AA152" s="0" t="n">
        <v>21</v>
      </c>
      <c r="AB152" s="0" t="s">
        <v>443</v>
      </c>
      <c r="AD152" s="0" t="n">
        <v>0</v>
      </c>
      <c r="AE152" s="0" t="s">
        <v>295</v>
      </c>
      <c r="AH152" s="0" t="n">
        <v>20</v>
      </c>
      <c r="AJ152" s="0" t="n">
        <v>10</v>
      </c>
      <c r="AP152" s="0" t="n">
        <v>1030000</v>
      </c>
      <c r="DB152" s="0" t="str">
        <f aca="false">IF($A152="","",IF(AND($A152=21,$AE152&amp;""="00000000"),IF($AH152=20,"病院",IF($AH152=5,"消防","市長")),"対象外"))</f>
        <v>病院</v>
      </c>
    </row>
    <row r="153" customFormat="false" ht="15" hidden="false" customHeight="false" outlineLevel="0" collapsed="false">
      <c r="A153" s="0" t="n">
        <v>21</v>
      </c>
      <c r="AA153" s="0" t="n">
        <v>21</v>
      </c>
      <c r="AB153" s="0" t="s">
        <v>413</v>
      </c>
      <c r="AD153" s="0" t="n">
        <v>0</v>
      </c>
      <c r="AE153" s="0" t="s">
        <v>295</v>
      </c>
      <c r="AH153" s="0" t="n">
        <v>1</v>
      </c>
      <c r="AJ153" s="0" t="n">
        <v>10</v>
      </c>
      <c r="AP153" s="0" t="n">
        <v>500000</v>
      </c>
      <c r="DB153" s="0" t="str">
        <f aca="false">IF($A153="","",IF(AND($A153=21,$AE153&amp;""="00000000"),IF($AH153=20,"病院",IF($AH153=5,"消防","市長")),"対象外"))</f>
        <v>市長</v>
      </c>
    </row>
    <row r="154" customFormat="false" ht="15" hidden="false" customHeight="false" outlineLevel="0" collapsed="false">
      <c r="A154" s="0" t="n">
        <v>21</v>
      </c>
      <c r="AA154" s="0" t="n">
        <v>21</v>
      </c>
      <c r="AB154" s="0" t="s">
        <v>390</v>
      </c>
      <c r="AD154" s="0" t="n">
        <v>0</v>
      </c>
      <c r="AE154" s="0" t="s">
        <v>295</v>
      </c>
      <c r="AH154" s="0" t="n">
        <v>1</v>
      </c>
      <c r="AJ154" s="0" t="n">
        <v>10</v>
      </c>
      <c r="AP154" s="0" t="n">
        <v>620000</v>
      </c>
      <c r="DB154" s="0" t="str">
        <f aca="false">IF($A154="","",IF(AND($A154=21,$AE154&amp;""="00000000"),IF($AH154=20,"病院",IF($AH154=5,"消防","市長")),"対象外"))</f>
        <v>市長</v>
      </c>
    </row>
    <row r="155" customFormat="false" ht="15" hidden="false" customHeight="false" outlineLevel="0" collapsed="false">
      <c r="A155" s="0" t="n">
        <v>21</v>
      </c>
      <c r="AA155" s="0" t="n">
        <v>21</v>
      </c>
      <c r="AB155" s="0" t="s">
        <v>436</v>
      </c>
      <c r="AD155" s="0" t="n">
        <v>0</v>
      </c>
      <c r="AE155" s="0" t="s">
        <v>295</v>
      </c>
      <c r="AH155" s="0" t="n">
        <v>1</v>
      </c>
      <c r="AJ155" s="0" t="n">
        <v>10</v>
      </c>
      <c r="AP155" s="0" t="n">
        <v>500000</v>
      </c>
      <c r="DB155" s="0" t="str">
        <f aca="false">IF($A155="","",IF(AND($A155=21,$AE155&amp;""="00000000"),IF($AH155=20,"病院",IF($AH155=5,"消防","市長")),"対象外"))</f>
        <v>市長</v>
      </c>
    </row>
    <row r="156" customFormat="false" ht="15" hidden="false" customHeight="false" outlineLevel="0" collapsed="false">
      <c r="A156" s="0" t="n">
        <v>21</v>
      </c>
      <c r="AA156" s="0" t="n">
        <v>21</v>
      </c>
      <c r="AB156" s="0" t="s">
        <v>413</v>
      </c>
      <c r="AD156" s="0" t="n">
        <v>0</v>
      </c>
      <c r="AE156" s="0" t="s">
        <v>295</v>
      </c>
      <c r="AH156" s="0" t="n">
        <v>1</v>
      </c>
      <c r="AJ156" s="0" t="n">
        <v>10</v>
      </c>
      <c r="AP156" s="0" t="n">
        <v>620000</v>
      </c>
      <c r="DB156" s="0" t="str">
        <f aca="false">IF($A156="","",IF(AND($A156=21,$AE156&amp;""="00000000"),IF($AH156=20,"病院",IF($AH156=5,"消防","市長")),"対象外"))</f>
        <v>市長</v>
      </c>
    </row>
    <row r="157" customFormat="false" ht="15" hidden="false" customHeight="false" outlineLevel="0" collapsed="false">
      <c r="A157" s="0" t="n">
        <v>21</v>
      </c>
      <c r="AA157" s="0" t="n">
        <v>21</v>
      </c>
      <c r="AB157" s="0" t="s">
        <v>413</v>
      </c>
      <c r="AD157" s="0" t="n">
        <v>0</v>
      </c>
      <c r="AE157" s="0" t="s">
        <v>295</v>
      </c>
      <c r="AH157" s="0" t="n">
        <v>1</v>
      </c>
      <c r="AJ157" s="0" t="n">
        <v>10</v>
      </c>
      <c r="AP157" s="0" t="n">
        <v>620000</v>
      </c>
      <c r="DB157" s="0" t="str">
        <f aca="false">IF($A157="","",IF(AND($A157=21,$AE157&amp;""="00000000"),IF($AH157=20,"病院",IF($AH157=5,"消防","市長")),"対象外"))</f>
        <v>市長</v>
      </c>
    </row>
    <row r="158" customFormat="false" ht="15" hidden="false" customHeight="false" outlineLevel="0" collapsed="false">
      <c r="A158" s="0" t="n">
        <v>21</v>
      </c>
      <c r="AA158" s="0" t="n">
        <v>21</v>
      </c>
      <c r="AB158" s="0" t="s">
        <v>456</v>
      </c>
      <c r="AD158" s="0" t="n">
        <v>0</v>
      </c>
      <c r="AE158" s="0" t="s">
        <v>295</v>
      </c>
      <c r="AH158" s="0" t="n">
        <v>5</v>
      </c>
      <c r="AJ158" s="0" t="n">
        <v>30</v>
      </c>
      <c r="AP158" s="0" t="n">
        <v>560000</v>
      </c>
      <c r="DB158" s="0" t="str">
        <f aca="false">IF($A158="","",IF(AND($A158=21,$AE158&amp;""="00000000"),IF($AH158=20,"病院",IF($AH158=5,"消防","市長")),"対象外"))</f>
        <v>消防</v>
      </c>
    </row>
    <row r="159" customFormat="false" ht="15" hidden="false" customHeight="false" outlineLevel="0" collapsed="false">
      <c r="A159" s="0" t="n">
        <v>21</v>
      </c>
      <c r="AA159" s="0" t="n">
        <v>21</v>
      </c>
      <c r="AB159" s="0" t="s">
        <v>404</v>
      </c>
      <c r="AD159" s="0" t="n">
        <v>0</v>
      </c>
      <c r="AE159" s="0" t="s">
        <v>295</v>
      </c>
      <c r="AH159" s="0" t="n">
        <v>4</v>
      </c>
      <c r="AJ159" s="0" t="n">
        <v>10</v>
      </c>
      <c r="AP159" s="0" t="n">
        <v>560000</v>
      </c>
      <c r="DB159" s="0" t="str">
        <f aca="false">IF($A159="","",IF(AND($A159=21,$AE159&amp;""="00000000"),IF($AH159=20,"病院",IF($AH159=5,"消防","市長")),"対象外"))</f>
        <v>市長</v>
      </c>
    </row>
    <row r="160" customFormat="false" ht="15" hidden="false" customHeight="false" outlineLevel="0" collapsed="false">
      <c r="A160" s="0" t="n">
        <v>21</v>
      </c>
      <c r="AA160" s="0" t="n">
        <v>21</v>
      </c>
      <c r="AB160" s="0" t="s">
        <v>390</v>
      </c>
      <c r="AD160" s="0" t="n">
        <v>0</v>
      </c>
      <c r="AE160" s="0" t="s">
        <v>295</v>
      </c>
      <c r="AH160" s="0" t="n">
        <v>4</v>
      </c>
      <c r="AJ160" s="0" t="n">
        <v>10</v>
      </c>
      <c r="AP160" s="0" t="n">
        <v>500000</v>
      </c>
      <c r="DB160" s="0" t="str">
        <f aca="false">IF($A160="","",IF(AND($A160=21,$AE160&amp;""="00000000"),IF($AH160=20,"病院",IF($AH160=5,"消防","市長")),"対象外"))</f>
        <v>市長</v>
      </c>
    </row>
    <row r="161" customFormat="false" ht="15" hidden="false" customHeight="false" outlineLevel="0" collapsed="false">
      <c r="A161" s="0" t="n">
        <v>21</v>
      </c>
      <c r="AA161" s="0" t="n">
        <v>21</v>
      </c>
      <c r="AB161" s="0" t="s">
        <v>456</v>
      </c>
      <c r="AD161" s="0" t="n">
        <v>0</v>
      </c>
      <c r="AE161" s="0" t="s">
        <v>295</v>
      </c>
      <c r="AH161" s="0" t="n">
        <v>5</v>
      </c>
      <c r="AJ161" s="0" t="n">
        <v>30</v>
      </c>
      <c r="AP161" s="0" t="n">
        <v>560000</v>
      </c>
      <c r="DB161" s="0" t="str">
        <f aca="false">IF($A161="","",IF(AND($A161=21,$AE161&amp;""="00000000"),IF($AH161=20,"病院",IF($AH161=5,"消防","市長")),"対象外"))</f>
        <v>消防</v>
      </c>
    </row>
    <row r="162" customFormat="false" ht="15" hidden="false" customHeight="false" outlineLevel="0" collapsed="false">
      <c r="A162" s="0" t="n">
        <v>21</v>
      </c>
      <c r="AA162" s="0" t="n">
        <v>21</v>
      </c>
      <c r="AB162" s="0" t="s">
        <v>456</v>
      </c>
      <c r="AD162" s="0" t="n">
        <v>0</v>
      </c>
      <c r="AE162" s="0" t="s">
        <v>295</v>
      </c>
      <c r="AH162" s="0" t="n">
        <v>5</v>
      </c>
      <c r="AJ162" s="0" t="n">
        <v>30</v>
      </c>
      <c r="AP162" s="0" t="n">
        <v>500000</v>
      </c>
      <c r="DB162" s="0" t="str">
        <f aca="false">IF($A162="","",IF(AND($A162=21,$AE162&amp;""="00000000"),IF($AH162=20,"病院",IF($AH162=5,"消防","市長")),"対象外"))</f>
        <v>消防</v>
      </c>
    </row>
    <row r="163" customFormat="false" ht="15" hidden="false" customHeight="false" outlineLevel="0" collapsed="false">
      <c r="A163" s="0" t="n">
        <v>21</v>
      </c>
      <c r="AA163" s="0" t="n">
        <v>21</v>
      </c>
      <c r="AB163" s="0" t="s">
        <v>390</v>
      </c>
      <c r="AD163" s="0" t="n">
        <v>0</v>
      </c>
      <c r="AE163" s="0" t="s">
        <v>295</v>
      </c>
      <c r="AH163" s="0" t="n">
        <v>4</v>
      </c>
      <c r="AJ163" s="0" t="n">
        <v>10</v>
      </c>
      <c r="AP163" s="0" t="n">
        <v>470000</v>
      </c>
      <c r="DB163" s="0" t="str">
        <f aca="false">IF($A163="","",IF(AND($A163=21,$AE163&amp;""="00000000"),IF($AH163=20,"病院",IF($AH163=5,"消防","市長")),"対象外"))</f>
        <v>市長</v>
      </c>
    </row>
    <row r="164" customFormat="false" ht="15" hidden="false" customHeight="false" outlineLevel="0" collapsed="false">
      <c r="A164" s="0" t="n">
        <v>21</v>
      </c>
      <c r="AA164" s="0" t="n">
        <v>21</v>
      </c>
      <c r="AB164" s="0" t="s">
        <v>427</v>
      </c>
      <c r="AD164" s="0" t="n">
        <v>0</v>
      </c>
      <c r="AE164" s="0" t="s">
        <v>295</v>
      </c>
      <c r="AH164" s="0" t="n">
        <v>1</v>
      </c>
      <c r="AJ164" s="0" t="n">
        <v>10</v>
      </c>
      <c r="AP164" s="0" t="n">
        <v>590000</v>
      </c>
      <c r="DB164" s="0" t="str">
        <f aca="false">IF($A164="","",IF(AND($A164=21,$AE164&amp;""="00000000"),IF($AH164=20,"病院",IF($AH164=5,"消防","市長")),"対象外"))</f>
        <v>市長</v>
      </c>
    </row>
    <row r="165" customFormat="false" ht="15" hidden="false" customHeight="false" outlineLevel="0" collapsed="false">
      <c r="A165" s="0" t="n">
        <v>21</v>
      </c>
      <c r="AA165" s="0" t="n">
        <v>21</v>
      </c>
      <c r="AB165" s="0" t="s">
        <v>404</v>
      </c>
      <c r="AD165" s="0" t="n">
        <v>0</v>
      </c>
      <c r="AE165" s="0" t="s">
        <v>295</v>
      </c>
      <c r="AH165" s="0" t="n">
        <v>5</v>
      </c>
      <c r="AJ165" s="0" t="n">
        <v>10</v>
      </c>
      <c r="AP165" s="0" t="n">
        <v>560000</v>
      </c>
      <c r="DB165" s="0" t="str">
        <f aca="false">IF($A165="","",IF(AND($A165=21,$AE165&amp;""="00000000"),IF($AH165=20,"病院",IF($AH165=5,"消防","市長")),"対象外"))</f>
        <v>消防</v>
      </c>
    </row>
    <row r="166" customFormat="false" ht="15" hidden="false" customHeight="false" outlineLevel="0" collapsed="false">
      <c r="A166" s="0" t="n">
        <v>21</v>
      </c>
      <c r="AA166" s="0" t="n">
        <v>21</v>
      </c>
      <c r="AB166" s="0" t="s">
        <v>438</v>
      </c>
      <c r="AD166" s="0" t="n">
        <v>0</v>
      </c>
      <c r="AE166" s="0" t="s">
        <v>295</v>
      </c>
      <c r="AH166" s="0" t="n">
        <v>11</v>
      </c>
      <c r="AJ166" s="0" t="n">
        <v>10</v>
      </c>
      <c r="AP166" s="0" t="n">
        <v>440000</v>
      </c>
      <c r="DB166" s="0" t="str">
        <f aca="false">IF($A166="","",IF(AND($A166=21,$AE166&amp;""="00000000"),IF($AH166=20,"病院",IF($AH166=5,"消防","市長")),"対象外"))</f>
        <v>市長</v>
      </c>
    </row>
    <row r="167" customFormat="false" ht="15" hidden="false" customHeight="false" outlineLevel="0" collapsed="false">
      <c r="A167" s="0" t="n">
        <v>21</v>
      </c>
      <c r="AA167" s="0" t="n">
        <v>21</v>
      </c>
      <c r="AB167" s="0" t="s">
        <v>415</v>
      </c>
      <c r="AD167" s="0" t="n">
        <v>0</v>
      </c>
      <c r="AE167" s="0" t="s">
        <v>295</v>
      </c>
      <c r="AH167" s="0" t="n">
        <v>4</v>
      </c>
      <c r="AJ167" s="0" t="n">
        <v>10</v>
      </c>
      <c r="AP167" s="0" t="n">
        <v>620000</v>
      </c>
      <c r="DB167" s="0" t="str">
        <f aca="false">IF($A167="","",IF(AND($A167=21,$AE167&amp;""="00000000"),IF($AH167=20,"病院",IF($AH167=5,"消防","市長")),"対象外"))</f>
        <v>市長</v>
      </c>
    </row>
    <row r="168" customFormat="false" ht="15" hidden="false" customHeight="false" outlineLevel="0" collapsed="false">
      <c r="A168" s="0" t="n">
        <v>21</v>
      </c>
      <c r="AA168" s="0" t="n">
        <v>21</v>
      </c>
      <c r="AB168" s="0" t="s">
        <v>409</v>
      </c>
      <c r="AD168" s="0" t="n">
        <v>0</v>
      </c>
      <c r="AE168" s="0" t="s">
        <v>295</v>
      </c>
      <c r="AH168" s="0" t="n">
        <v>4</v>
      </c>
      <c r="AJ168" s="0" t="n">
        <v>10</v>
      </c>
      <c r="AP168" s="0" t="n">
        <v>500000</v>
      </c>
      <c r="DB168" s="0" t="str">
        <f aca="false">IF($A168="","",IF(AND($A168=21,$AE168&amp;""="00000000"),IF($AH168=20,"病院",IF($AH168=5,"消防","市長")),"対象外"))</f>
        <v>市長</v>
      </c>
    </row>
    <row r="169" customFormat="false" ht="15" hidden="false" customHeight="false" outlineLevel="0" collapsed="false">
      <c r="A169" s="0" t="n">
        <v>21</v>
      </c>
      <c r="AA169" s="0" t="n">
        <v>21</v>
      </c>
      <c r="AB169" s="0" t="s">
        <v>429</v>
      </c>
      <c r="AD169" s="0" t="n">
        <v>0</v>
      </c>
      <c r="AE169" s="0" t="s">
        <v>295</v>
      </c>
      <c r="AH169" s="0" t="n">
        <v>1</v>
      </c>
      <c r="AJ169" s="0" t="n">
        <v>10</v>
      </c>
      <c r="AP169" s="0" t="n">
        <v>530000</v>
      </c>
      <c r="DB169" s="0" t="str">
        <f aca="false">IF($A169="","",IF(AND($A169=21,$AE169&amp;""="00000000"),IF($AH169=20,"病院",IF($AH169=5,"消防","市長")),"対象外"))</f>
        <v>市長</v>
      </c>
    </row>
    <row r="170" customFormat="false" ht="15" hidden="false" customHeight="false" outlineLevel="0" collapsed="false">
      <c r="A170" s="0" t="n">
        <v>21</v>
      </c>
      <c r="AA170" s="0" t="n">
        <v>21</v>
      </c>
      <c r="AB170" s="0" t="s">
        <v>415</v>
      </c>
      <c r="AD170" s="0" t="n">
        <v>0</v>
      </c>
      <c r="AE170" s="0" t="s">
        <v>295</v>
      </c>
      <c r="AH170" s="0" t="n">
        <v>1</v>
      </c>
      <c r="AJ170" s="0" t="n">
        <v>10</v>
      </c>
      <c r="AP170" s="0" t="n">
        <v>710000</v>
      </c>
      <c r="DB170" s="0" t="str">
        <f aca="false">IF($A170="","",IF(AND($A170=21,$AE170&amp;""="00000000"),IF($AH170=20,"病院",IF($AH170=5,"消防","市長")),"対象外"))</f>
        <v>市長</v>
      </c>
    </row>
    <row r="171" customFormat="false" ht="15" hidden="false" customHeight="false" outlineLevel="0" collapsed="false">
      <c r="A171" s="0" t="n">
        <v>21</v>
      </c>
      <c r="AA171" s="0" t="n">
        <v>21</v>
      </c>
      <c r="AB171" s="0" t="s">
        <v>415</v>
      </c>
      <c r="AD171" s="0" t="n">
        <v>0</v>
      </c>
      <c r="AE171" s="0" t="s">
        <v>295</v>
      </c>
      <c r="AH171" s="0" t="n">
        <v>1</v>
      </c>
      <c r="AJ171" s="0" t="n">
        <v>10</v>
      </c>
      <c r="AP171" s="0" t="n">
        <v>470000</v>
      </c>
      <c r="DB171" s="0" t="str">
        <f aca="false">IF($A171="","",IF(AND($A171=21,$AE171&amp;""="00000000"),IF($AH171=20,"病院",IF($AH171=5,"消防","市長")),"対象外"))</f>
        <v>市長</v>
      </c>
    </row>
    <row r="172" customFormat="false" ht="15" hidden="false" customHeight="false" outlineLevel="0" collapsed="false">
      <c r="A172" s="0" t="n">
        <v>21</v>
      </c>
      <c r="AA172" s="0" t="n">
        <v>21</v>
      </c>
      <c r="AB172" s="0" t="s">
        <v>413</v>
      </c>
      <c r="AD172" s="0" t="n">
        <v>0</v>
      </c>
      <c r="AE172" s="0" t="s">
        <v>295</v>
      </c>
      <c r="AH172" s="0" t="n">
        <v>1</v>
      </c>
      <c r="AJ172" s="0" t="n">
        <v>10</v>
      </c>
      <c r="AP172" s="0" t="n">
        <v>560000</v>
      </c>
      <c r="DB172" s="0" t="str">
        <f aca="false">IF($A172="","",IF(AND($A172=21,$AE172&amp;""="00000000"),IF($AH172=20,"病院",IF($AH172=5,"消防","市長")),"対象外"))</f>
        <v>市長</v>
      </c>
    </row>
    <row r="173" customFormat="false" ht="15" hidden="false" customHeight="false" outlineLevel="0" collapsed="false">
      <c r="A173" s="0" t="n">
        <v>31</v>
      </c>
      <c r="AA173" s="0" t="n">
        <v>21</v>
      </c>
      <c r="AB173" s="0" t="s">
        <v>494</v>
      </c>
      <c r="AD173" s="0" t="n">
        <v>0</v>
      </c>
      <c r="AE173" s="0" t="s">
        <v>295</v>
      </c>
      <c r="AH173" s="0" t="n">
        <v>11</v>
      </c>
      <c r="AJ173" s="0" t="n">
        <v>41</v>
      </c>
      <c r="AP173" s="0" t="n">
        <v>180000</v>
      </c>
      <c r="DB173" s="0" t="str">
        <f aca="false">IF($A173="","",IF(AND($A173=21,$AE173&amp;""="00000000"),IF($AH173=20,"病院",IF($AH173=5,"消防","市長")),"対象外"))</f>
        <v>対象外</v>
      </c>
    </row>
    <row r="174" customFormat="false" ht="15" hidden="false" customHeight="false" outlineLevel="0" collapsed="false">
      <c r="A174" s="0" t="n">
        <v>21</v>
      </c>
      <c r="AA174" s="0" t="n">
        <v>21</v>
      </c>
      <c r="AB174" s="0" t="s">
        <v>413</v>
      </c>
      <c r="AD174" s="0" t="n">
        <v>0</v>
      </c>
      <c r="AE174" s="0" t="s">
        <v>295</v>
      </c>
      <c r="AH174" s="0" t="n">
        <v>1</v>
      </c>
      <c r="AJ174" s="0" t="n">
        <v>10</v>
      </c>
      <c r="AP174" s="0" t="n">
        <v>620000</v>
      </c>
      <c r="DB174" s="0" t="str">
        <f aca="false">IF($A174="","",IF(AND($A174=21,$AE174&amp;""="00000000"),IF($AH174=20,"病院",IF($AH174=5,"消防","市長")),"対象外"))</f>
        <v>市長</v>
      </c>
    </row>
    <row r="175" customFormat="false" ht="15" hidden="false" customHeight="false" outlineLevel="0" collapsed="false">
      <c r="A175" s="0" t="n">
        <v>21</v>
      </c>
      <c r="AA175" s="0" t="n">
        <v>21</v>
      </c>
      <c r="AB175" s="0" t="s">
        <v>390</v>
      </c>
      <c r="AD175" s="0" t="n">
        <v>0</v>
      </c>
      <c r="AE175" s="0" t="s">
        <v>295</v>
      </c>
      <c r="AH175" s="0" t="n">
        <v>1</v>
      </c>
      <c r="AJ175" s="0" t="n">
        <v>10</v>
      </c>
      <c r="AP175" s="0" t="n">
        <v>530000</v>
      </c>
      <c r="DB175" s="0" t="str">
        <f aca="false">IF($A175="","",IF(AND($A175=21,$AE175&amp;""="00000000"),IF($AH175=20,"病院",IF($AH175=5,"消防","市長")),"対象外"))</f>
        <v>市長</v>
      </c>
    </row>
    <row r="176" customFormat="false" ht="15" hidden="false" customHeight="false" outlineLevel="0" collapsed="false">
      <c r="A176" s="0" t="n">
        <v>21</v>
      </c>
      <c r="AA176" s="0" t="n">
        <v>21</v>
      </c>
      <c r="AB176" s="0" t="s">
        <v>413</v>
      </c>
      <c r="AD176" s="0" t="n">
        <v>0</v>
      </c>
      <c r="AE176" s="0" t="s">
        <v>295</v>
      </c>
      <c r="AH176" s="0" t="n">
        <v>1</v>
      </c>
      <c r="AJ176" s="0" t="n">
        <v>10</v>
      </c>
      <c r="AP176" s="0" t="n">
        <v>620000</v>
      </c>
      <c r="DB176" s="0" t="str">
        <f aca="false">IF($A176="","",IF(AND($A176=21,$AE176&amp;""="00000000"),IF($AH176=20,"病院",IF($AH176=5,"消防","市長")),"対象外"))</f>
        <v>市長</v>
      </c>
    </row>
    <row r="177" customFormat="false" ht="15" hidden="false" customHeight="false" outlineLevel="0" collapsed="false">
      <c r="A177" s="0" t="n">
        <v>21</v>
      </c>
      <c r="AA177" s="0" t="n">
        <v>21</v>
      </c>
      <c r="AB177" s="0" t="s">
        <v>415</v>
      </c>
      <c r="AD177" s="0" t="n">
        <v>0</v>
      </c>
      <c r="AE177" s="0" t="s">
        <v>295</v>
      </c>
      <c r="AH177" s="0" t="n">
        <v>39</v>
      </c>
      <c r="AJ177" s="0" t="n">
        <v>74</v>
      </c>
      <c r="AP177" s="0" t="n">
        <v>530000</v>
      </c>
      <c r="DB177" s="0" t="str">
        <f aca="false">IF($A177="","",IF(AND($A177=21,$AE177&amp;""="00000000"),IF($AH177=20,"病院",IF($AH177=5,"消防","市長")),"対象外"))</f>
        <v>市長</v>
      </c>
    </row>
    <row r="178" customFormat="false" ht="15" hidden="false" customHeight="false" outlineLevel="0" collapsed="false">
      <c r="A178" s="0" t="n">
        <v>21</v>
      </c>
      <c r="AA178" s="0" t="n">
        <v>21</v>
      </c>
      <c r="AB178" s="0" t="s">
        <v>415</v>
      </c>
      <c r="AD178" s="0" t="n">
        <v>0</v>
      </c>
      <c r="AE178" s="0" t="s">
        <v>295</v>
      </c>
      <c r="AH178" s="0" t="n">
        <v>1</v>
      </c>
      <c r="AJ178" s="0" t="n">
        <v>10</v>
      </c>
      <c r="AP178" s="0" t="n">
        <v>500000</v>
      </c>
      <c r="DB178" s="0" t="str">
        <f aca="false">IF($A178="","",IF(AND($A178=21,$AE178&amp;""="00000000"),IF($AH178=20,"病院",IF($AH178=5,"消防","市長")),"対象外"))</f>
        <v>市長</v>
      </c>
    </row>
    <row r="179" customFormat="false" ht="15" hidden="false" customHeight="false" outlineLevel="0" collapsed="false">
      <c r="A179" s="0" t="n">
        <v>21</v>
      </c>
      <c r="AA179" s="0" t="n">
        <v>21</v>
      </c>
      <c r="AB179" s="0" t="s">
        <v>456</v>
      </c>
      <c r="AD179" s="0" t="n">
        <v>0</v>
      </c>
      <c r="AE179" s="0" t="s">
        <v>295</v>
      </c>
      <c r="AH179" s="0" t="n">
        <v>5</v>
      </c>
      <c r="AJ179" s="0" t="n">
        <v>10</v>
      </c>
      <c r="AP179" s="0" t="n">
        <v>560000</v>
      </c>
      <c r="DB179" s="0" t="str">
        <f aca="false">IF($A179="","",IF(AND($A179=21,$AE179&amp;""="00000000"),IF($AH179=20,"病院",IF($AH179=5,"消防","市長")),"対象外"))</f>
        <v>消防</v>
      </c>
    </row>
    <row r="180" customFormat="false" ht="15" hidden="false" customHeight="false" outlineLevel="0" collapsed="false">
      <c r="A180" s="0" t="n">
        <v>21</v>
      </c>
      <c r="AA180" s="0" t="n">
        <v>21</v>
      </c>
      <c r="AB180" s="0" t="s">
        <v>390</v>
      </c>
      <c r="AD180" s="0" t="n">
        <v>0</v>
      </c>
      <c r="AE180" s="0" t="s">
        <v>295</v>
      </c>
      <c r="AH180" s="0" t="n">
        <v>4</v>
      </c>
      <c r="AJ180" s="0" t="n">
        <v>10</v>
      </c>
      <c r="AP180" s="0" t="n">
        <v>470000</v>
      </c>
      <c r="DB180" s="0" t="str">
        <f aca="false">IF($A180="","",IF(AND($A180=21,$AE180&amp;""="00000000"),IF($AH180=20,"病院",IF($AH180=5,"消防","市長")),"対象外"))</f>
        <v>市長</v>
      </c>
    </row>
    <row r="181" customFormat="false" ht="15" hidden="false" customHeight="false" outlineLevel="0" collapsed="false">
      <c r="A181" s="0" t="n">
        <v>21</v>
      </c>
      <c r="AA181" s="0" t="n">
        <v>21</v>
      </c>
      <c r="AB181" s="0" t="s">
        <v>417</v>
      </c>
      <c r="AD181" s="0" t="n">
        <v>0</v>
      </c>
      <c r="AE181" s="0" t="s">
        <v>295</v>
      </c>
      <c r="AH181" s="0" t="n">
        <v>58</v>
      </c>
      <c r="AJ181" s="0" t="n">
        <v>74</v>
      </c>
      <c r="AP181" s="0" t="n">
        <v>650000</v>
      </c>
      <c r="DB181" s="0" t="str">
        <f aca="false">IF($A181="","",IF(AND($A181=21,$AE181&amp;""="00000000"),IF($AH181=20,"病院",IF($AH181=5,"消防","市長")),"対象外"))</f>
        <v>市長</v>
      </c>
    </row>
    <row r="182" customFormat="false" ht="15" hidden="false" customHeight="false" outlineLevel="0" collapsed="false">
      <c r="A182" s="0" t="n">
        <v>21</v>
      </c>
      <c r="AA182" s="0" t="n">
        <v>21</v>
      </c>
      <c r="AB182" s="0" t="s">
        <v>417</v>
      </c>
      <c r="AD182" s="0" t="n">
        <v>0</v>
      </c>
      <c r="AE182" s="0" t="s">
        <v>295</v>
      </c>
      <c r="AH182" s="0" t="n">
        <v>1</v>
      </c>
      <c r="AJ182" s="0" t="n">
        <v>10</v>
      </c>
      <c r="AP182" s="0" t="n">
        <v>590000</v>
      </c>
      <c r="DB182" s="0" t="str">
        <f aca="false">IF($A182="","",IF(AND($A182=21,$AE182&amp;""="00000000"),IF($AH182=20,"病院",IF($AH182=5,"消防","市長")),"対象外"))</f>
        <v>市長</v>
      </c>
    </row>
    <row r="183" customFormat="false" ht="15" hidden="false" customHeight="false" outlineLevel="0" collapsed="false">
      <c r="A183" s="0" t="n">
        <v>21</v>
      </c>
      <c r="AA183" s="0" t="n">
        <v>21</v>
      </c>
      <c r="AB183" s="0" t="s">
        <v>390</v>
      </c>
      <c r="AD183" s="0" t="n">
        <v>0</v>
      </c>
      <c r="AE183" s="0" t="s">
        <v>295</v>
      </c>
      <c r="AH183" s="0" t="n">
        <v>1</v>
      </c>
      <c r="AJ183" s="0" t="n">
        <v>10</v>
      </c>
      <c r="AP183" s="0" t="n">
        <v>590000</v>
      </c>
      <c r="DB183" s="0" t="str">
        <f aca="false">IF($A183="","",IF(AND($A183=21,$AE183&amp;""="00000000"),IF($AH183=20,"病院",IF($AH183=5,"消防","市長")),"対象外"))</f>
        <v>市長</v>
      </c>
    </row>
    <row r="184" customFormat="false" ht="15" hidden="false" customHeight="false" outlineLevel="0" collapsed="false">
      <c r="A184" s="0" t="n">
        <v>21</v>
      </c>
      <c r="AA184" s="0" t="n">
        <v>21</v>
      </c>
      <c r="AB184" s="0" t="s">
        <v>415</v>
      </c>
      <c r="AD184" s="0" t="n">
        <v>0</v>
      </c>
      <c r="AE184" s="0" t="s">
        <v>295</v>
      </c>
      <c r="AH184" s="0" t="n">
        <v>1</v>
      </c>
      <c r="AJ184" s="0" t="n">
        <v>10</v>
      </c>
      <c r="AP184" s="0" t="n">
        <v>530000</v>
      </c>
      <c r="DB184" s="0" t="str">
        <f aca="false">IF($A184="","",IF(AND($A184=21,$AE184&amp;""="00000000"),IF($AH184=20,"病院",IF($AH184=5,"消防","市長")),"対象外"))</f>
        <v>市長</v>
      </c>
    </row>
    <row r="185" customFormat="false" ht="15" hidden="false" customHeight="false" outlineLevel="0" collapsed="false">
      <c r="A185" s="0" t="n">
        <v>21</v>
      </c>
      <c r="AA185" s="0" t="n">
        <v>21</v>
      </c>
      <c r="AB185" s="0" t="s">
        <v>413</v>
      </c>
      <c r="AD185" s="0" t="n">
        <v>0</v>
      </c>
      <c r="AE185" s="0" t="s">
        <v>295</v>
      </c>
      <c r="AH185" s="0" t="n">
        <v>1</v>
      </c>
      <c r="AJ185" s="0" t="n">
        <v>10</v>
      </c>
      <c r="AP185" s="0" t="n">
        <v>620000</v>
      </c>
      <c r="DB185" s="0" t="str">
        <f aca="false">IF($A185="","",IF(AND($A185=21,$AE185&amp;""="00000000"),IF($AH185=20,"病院",IF($AH185=5,"消防","市長")),"対象外"))</f>
        <v>市長</v>
      </c>
    </row>
    <row r="186" customFormat="false" ht="15" hidden="false" customHeight="false" outlineLevel="0" collapsed="false">
      <c r="A186" s="0" t="n">
        <v>21</v>
      </c>
      <c r="AA186" s="0" t="n">
        <v>21</v>
      </c>
      <c r="AB186" s="0" t="s">
        <v>413</v>
      </c>
      <c r="AD186" s="0" t="n">
        <v>0</v>
      </c>
      <c r="AE186" s="0" t="s">
        <v>295</v>
      </c>
      <c r="AH186" s="0" t="n">
        <v>1</v>
      </c>
      <c r="AJ186" s="0" t="n">
        <v>10</v>
      </c>
      <c r="AP186" s="0" t="n">
        <v>560000</v>
      </c>
      <c r="DB186" s="0" t="str">
        <f aca="false">IF($A186="","",IF(AND($A186=21,$AE186&amp;""="00000000"),IF($AH186=20,"病院",IF($AH186=5,"消防","市長")),"対象外"))</f>
        <v>市長</v>
      </c>
    </row>
    <row r="187" customFormat="false" ht="15" hidden="false" customHeight="false" outlineLevel="0" collapsed="false">
      <c r="A187" s="0" t="n">
        <v>21</v>
      </c>
      <c r="AA187" s="0" t="n">
        <v>21</v>
      </c>
      <c r="AB187" s="0" t="s">
        <v>390</v>
      </c>
      <c r="AD187" s="0" t="n">
        <v>0</v>
      </c>
      <c r="AE187" s="0" t="s">
        <v>295</v>
      </c>
      <c r="AH187" s="0" t="n">
        <v>1</v>
      </c>
      <c r="AJ187" s="0" t="n">
        <v>10</v>
      </c>
      <c r="AP187" s="0" t="n">
        <v>590000</v>
      </c>
      <c r="DB187" s="0" t="str">
        <f aca="false">IF($A187="","",IF(AND($A187=21,$AE187&amp;""="00000000"),IF($AH187=20,"病院",IF($AH187=5,"消防","市長")),"対象外"))</f>
        <v>市長</v>
      </c>
    </row>
    <row r="188" customFormat="false" ht="15" hidden="false" customHeight="false" outlineLevel="0" collapsed="false">
      <c r="A188" s="0" t="n">
        <v>21</v>
      </c>
      <c r="AA188" s="0" t="n">
        <v>21</v>
      </c>
      <c r="AB188" s="0" t="s">
        <v>415</v>
      </c>
      <c r="AD188" s="0" t="n">
        <v>0</v>
      </c>
      <c r="AE188" s="0" t="s">
        <v>295</v>
      </c>
      <c r="AH188" s="0" t="n">
        <v>1</v>
      </c>
      <c r="AJ188" s="0" t="n">
        <v>10</v>
      </c>
      <c r="AP188" s="0" t="n">
        <v>650000</v>
      </c>
      <c r="DB188" s="0" t="str">
        <f aca="false">IF($A188="","",IF(AND($A188=21,$AE188&amp;""="00000000"),IF($AH188=20,"病院",IF($AH188=5,"消防","市長")),"対象外"))</f>
        <v>市長</v>
      </c>
    </row>
    <row r="189" customFormat="false" ht="15" hidden="false" customHeight="false" outlineLevel="0" collapsed="false">
      <c r="A189" s="0" t="n">
        <v>21</v>
      </c>
      <c r="AA189" s="0" t="n">
        <v>21</v>
      </c>
      <c r="AB189" s="0" t="s">
        <v>413</v>
      </c>
      <c r="AD189" s="0" t="n">
        <v>0</v>
      </c>
      <c r="AE189" s="0" t="s">
        <v>295</v>
      </c>
      <c r="AH189" s="0" t="n">
        <v>4</v>
      </c>
      <c r="AJ189" s="0" t="n">
        <v>10</v>
      </c>
      <c r="AP189" s="0" t="n">
        <v>530000</v>
      </c>
      <c r="DB189" s="0" t="str">
        <f aca="false">IF($A189="","",IF(AND($A189=21,$AE189&amp;""="00000000"),IF($AH189=20,"病院",IF($AH189=5,"消防","市長")),"対象外"))</f>
        <v>市長</v>
      </c>
    </row>
    <row r="190" customFormat="false" ht="15" hidden="false" customHeight="false" outlineLevel="0" collapsed="false">
      <c r="A190" s="0" t="n">
        <v>21</v>
      </c>
      <c r="AA190" s="0" t="n">
        <v>21</v>
      </c>
      <c r="AB190" s="0" t="s">
        <v>433</v>
      </c>
      <c r="AD190" s="0" t="n">
        <v>0</v>
      </c>
      <c r="AE190" s="0" t="s">
        <v>295</v>
      </c>
      <c r="AH190" s="0" t="n">
        <v>11</v>
      </c>
      <c r="AJ190" s="0" t="n">
        <v>10</v>
      </c>
      <c r="AP190" s="0" t="n">
        <v>470000</v>
      </c>
      <c r="DB190" s="0" t="str">
        <f aca="false">IF($A190="","",IF(AND($A190=21,$AE190&amp;""="00000000"),IF($AH190=20,"病院",IF($AH190=5,"消防","市長")),"対象外"))</f>
        <v>市長</v>
      </c>
    </row>
    <row r="191" customFormat="false" ht="15" hidden="false" customHeight="false" outlineLevel="0" collapsed="false">
      <c r="A191" s="0" t="n">
        <v>21</v>
      </c>
      <c r="AA191" s="0" t="n">
        <v>21</v>
      </c>
      <c r="AB191" s="0" t="s">
        <v>390</v>
      </c>
      <c r="AD191" s="0" t="n">
        <v>0</v>
      </c>
      <c r="AE191" s="0" t="s">
        <v>295</v>
      </c>
      <c r="AH191" s="0" t="n">
        <v>4</v>
      </c>
      <c r="AJ191" s="0" t="n">
        <v>10</v>
      </c>
      <c r="AP191" s="0" t="n">
        <v>530000</v>
      </c>
      <c r="DB191" s="0" t="str">
        <f aca="false">IF($A191="","",IF(AND($A191=21,$AE191&amp;""="00000000"),IF($AH191=20,"病院",IF($AH191=5,"消防","市長")),"対象外"))</f>
        <v>市長</v>
      </c>
    </row>
    <row r="192" customFormat="false" ht="15" hidden="false" customHeight="false" outlineLevel="0" collapsed="false">
      <c r="A192" s="0" t="n">
        <v>21</v>
      </c>
      <c r="AA192" s="0" t="n">
        <v>21</v>
      </c>
      <c r="AB192" s="0" t="s">
        <v>390</v>
      </c>
      <c r="AD192" s="0" t="n">
        <v>0</v>
      </c>
      <c r="AE192" s="0" t="s">
        <v>295</v>
      </c>
      <c r="AH192" s="0" t="n">
        <v>1</v>
      </c>
      <c r="AJ192" s="0" t="n">
        <v>10</v>
      </c>
      <c r="AP192" s="0" t="n">
        <v>530000</v>
      </c>
      <c r="DB192" s="0" t="str">
        <f aca="false">IF($A192="","",IF(AND($A192=21,$AE192&amp;""="00000000"),IF($AH192=20,"病院",IF($AH192=5,"消防","市長")),"対象外"))</f>
        <v>市長</v>
      </c>
    </row>
    <row r="193" customFormat="false" ht="15" hidden="false" customHeight="false" outlineLevel="0" collapsed="false">
      <c r="A193" s="0" t="n">
        <v>21</v>
      </c>
      <c r="AA193" s="0" t="n">
        <v>21</v>
      </c>
      <c r="AB193" s="0" t="s">
        <v>450</v>
      </c>
      <c r="AD193" s="0" t="n">
        <v>0</v>
      </c>
      <c r="AE193" s="0" t="s">
        <v>295</v>
      </c>
      <c r="AH193" s="0" t="n">
        <v>1</v>
      </c>
      <c r="AJ193" s="0" t="n">
        <v>10</v>
      </c>
      <c r="AP193" s="0" t="n">
        <v>560000</v>
      </c>
      <c r="DB193" s="0" t="str">
        <f aca="false">IF($A193="","",IF(AND($A193=21,$AE193&amp;""="00000000"),IF($AH193=20,"病院",IF($AH193=5,"消防","市長")),"対象外"))</f>
        <v>市長</v>
      </c>
    </row>
    <row r="194" customFormat="false" ht="15" hidden="false" customHeight="false" outlineLevel="0" collapsed="false">
      <c r="A194" s="0" t="n">
        <v>21</v>
      </c>
      <c r="AA194" s="0" t="n">
        <v>21</v>
      </c>
      <c r="AB194" s="0" t="s">
        <v>427</v>
      </c>
      <c r="AD194" s="0" t="n">
        <v>0</v>
      </c>
      <c r="AE194" s="0" t="s">
        <v>295</v>
      </c>
      <c r="AH194" s="0" t="n">
        <v>1</v>
      </c>
      <c r="AJ194" s="0" t="n">
        <v>10</v>
      </c>
      <c r="AP194" s="0" t="n">
        <v>440000</v>
      </c>
      <c r="DB194" s="0" t="str">
        <f aca="false">IF($A194="","",IF(AND($A194=21,$AE194&amp;""="00000000"),IF($AH194=20,"病院",IF($AH194=5,"消防","市長")),"対象外"))</f>
        <v>市長</v>
      </c>
    </row>
    <row r="195" customFormat="false" ht="15" hidden="false" customHeight="false" outlineLevel="0" collapsed="false">
      <c r="A195" s="0" t="n">
        <v>21</v>
      </c>
      <c r="AA195" s="0" t="n">
        <v>21</v>
      </c>
      <c r="AB195" s="0" t="s">
        <v>415</v>
      </c>
      <c r="AD195" s="0" t="n">
        <v>0</v>
      </c>
      <c r="AE195" s="0" t="s">
        <v>295</v>
      </c>
      <c r="AH195" s="0" t="n">
        <v>11</v>
      </c>
      <c r="AJ195" s="0" t="n">
        <v>10</v>
      </c>
      <c r="AP195" s="0" t="n">
        <v>470000</v>
      </c>
      <c r="DB195" s="0" t="str">
        <f aca="false">IF($A195="","",IF(AND($A195=21,$AE195&amp;""="00000000"),IF($AH195=20,"病院",IF($AH195=5,"消防","市長")),"対象外"))</f>
        <v>市長</v>
      </c>
    </row>
    <row r="196" customFormat="false" ht="15" hidden="false" customHeight="false" outlineLevel="0" collapsed="false">
      <c r="A196" s="0" t="n">
        <v>31</v>
      </c>
      <c r="AA196" s="0" t="n">
        <v>21</v>
      </c>
      <c r="AB196" s="0" t="s">
        <v>496</v>
      </c>
      <c r="AD196" s="0" t="n">
        <v>0</v>
      </c>
      <c r="AE196" s="0" t="s">
        <v>295</v>
      </c>
      <c r="AH196" s="0" t="n">
        <v>1</v>
      </c>
      <c r="AJ196" s="0" t="n">
        <v>41</v>
      </c>
      <c r="AP196" s="0" t="n">
        <v>200000</v>
      </c>
      <c r="DB196" s="0" t="str">
        <f aca="false">IF($A196="","",IF(AND($A196=21,$AE196&amp;""="00000000"),IF($AH196=20,"病院",IF($AH196=5,"消防","市長")),"対象外"))</f>
        <v>対象外</v>
      </c>
    </row>
    <row r="197" customFormat="false" ht="15" hidden="false" customHeight="false" outlineLevel="0" collapsed="false">
      <c r="A197" s="0" t="n">
        <v>21</v>
      </c>
      <c r="AA197" s="0" t="n">
        <v>21</v>
      </c>
      <c r="AB197" s="0" t="s">
        <v>606</v>
      </c>
      <c r="AD197" s="0" t="n">
        <v>0</v>
      </c>
      <c r="AE197" s="0" t="s">
        <v>295</v>
      </c>
      <c r="AH197" s="0" t="n">
        <v>20</v>
      </c>
      <c r="AJ197" s="0" t="n">
        <v>10</v>
      </c>
      <c r="AP197" s="0" t="n">
        <v>260000</v>
      </c>
      <c r="DB197" s="0" t="str">
        <f aca="false">IF($A197="","",IF(AND($A197=21,$AE197&amp;""="00000000"),IF($AH197=20,"病院",IF($AH197=5,"消防","市長")),"対象外"))</f>
        <v>病院</v>
      </c>
    </row>
    <row r="198" customFormat="false" ht="15" hidden="false" customHeight="false" outlineLevel="0" collapsed="false">
      <c r="A198" s="0" t="n">
        <v>31</v>
      </c>
      <c r="AA198" s="0" t="n">
        <v>21</v>
      </c>
      <c r="AB198" s="0" t="s">
        <v>496</v>
      </c>
      <c r="AD198" s="0" t="n">
        <v>0</v>
      </c>
      <c r="AE198" s="0" t="s">
        <v>295</v>
      </c>
      <c r="AH198" s="0" t="n">
        <v>11</v>
      </c>
      <c r="AJ198" s="0" t="n">
        <v>41</v>
      </c>
      <c r="AP198" s="0" t="n">
        <v>180000</v>
      </c>
      <c r="DB198" s="0" t="str">
        <f aca="false">IF($A198="","",IF(AND($A198=21,$AE198&amp;""="00000000"),IF($AH198=20,"病院",IF($AH198=5,"消防","市長")),"対象外"))</f>
        <v>対象外</v>
      </c>
    </row>
    <row r="199" customFormat="false" ht="15" hidden="false" customHeight="false" outlineLevel="0" collapsed="false">
      <c r="A199" s="0" t="n">
        <v>31</v>
      </c>
      <c r="AA199" s="0" t="n">
        <v>21</v>
      </c>
      <c r="AB199" s="0" t="s">
        <v>496</v>
      </c>
      <c r="AD199" s="0" t="n">
        <v>0</v>
      </c>
      <c r="AE199" s="0" t="s">
        <v>295</v>
      </c>
      <c r="AH199" s="0" t="n">
        <v>1</v>
      </c>
      <c r="AJ199" s="0" t="n">
        <v>41</v>
      </c>
      <c r="AP199" s="0" t="n">
        <v>220000</v>
      </c>
      <c r="DB199" s="0" t="str">
        <f aca="false">IF($A199="","",IF(AND($A199=21,$AE199&amp;""="00000000"),IF($AH199=20,"病院",IF($AH199=5,"消防","市長")),"対象外"))</f>
        <v>対象外</v>
      </c>
    </row>
    <row r="200" customFormat="false" ht="15" hidden="false" customHeight="false" outlineLevel="0" collapsed="false">
      <c r="A200" s="0" t="n">
        <v>31</v>
      </c>
      <c r="AA200" s="0" t="n">
        <v>21</v>
      </c>
      <c r="AB200" s="0" t="s">
        <v>496</v>
      </c>
      <c r="AD200" s="0" t="n">
        <v>0</v>
      </c>
      <c r="AE200" s="0" t="s">
        <v>295</v>
      </c>
      <c r="AH200" s="0" t="n">
        <v>20</v>
      </c>
      <c r="AJ200" s="0" t="n">
        <v>41</v>
      </c>
      <c r="AP200" s="0" t="n">
        <v>200000</v>
      </c>
      <c r="DB200" s="0" t="str">
        <f aca="false">IF($A200="","",IF(AND($A200=21,$AE200&amp;""="00000000"),IF($AH200=20,"病院",IF($AH200=5,"消防","市長")),"対象外"))</f>
        <v>対象外</v>
      </c>
    </row>
    <row r="201" customFormat="false" ht="15" hidden="false" customHeight="false" outlineLevel="0" collapsed="false">
      <c r="A201" s="0" t="n">
        <v>21</v>
      </c>
      <c r="AA201" s="0" t="n">
        <v>21</v>
      </c>
      <c r="AB201" s="0" t="s">
        <v>413</v>
      </c>
      <c r="AD201" s="0" t="n">
        <v>0</v>
      </c>
      <c r="AE201" s="0" t="s">
        <v>295</v>
      </c>
      <c r="AH201" s="0" t="n">
        <v>1</v>
      </c>
      <c r="AJ201" s="0" t="n">
        <v>10</v>
      </c>
      <c r="AP201" s="0" t="n">
        <v>620000</v>
      </c>
      <c r="DB201" s="0" t="str">
        <f aca="false">IF($A201="","",IF(AND($A201=21,$AE201&amp;""="00000000"),IF($AH201=20,"病院",IF($AH201=5,"消防","市長")),"対象外"))</f>
        <v>市長</v>
      </c>
    </row>
    <row r="202" customFormat="false" ht="15" hidden="false" customHeight="false" outlineLevel="0" collapsed="false">
      <c r="A202" s="0" t="n">
        <v>31</v>
      </c>
      <c r="AA202" s="0" t="n">
        <v>21</v>
      </c>
      <c r="AB202" s="0" t="s">
        <v>496</v>
      </c>
      <c r="AD202" s="0" t="n">
        <v>0</v>
      </c>
      <c r="AE202" s="0" t="s">
        <v>295</v>
      </c>
      <c r="AH202" s="0" t="n">
        <v>1</v>
      </c>
      <c r="AJ202" s="0" t="n">
        <v>41</v>
      </c>
      <c r="AP202" s="0" t="n">
        <v>142000</v>
      </c>
      <c r="DB202" s="0" t="str">
        <f aca="false">IF($A202="","",IF(AND($A202=21,$AE202&amp;""="00000000"),IF($AH202=20,"病院",IF($AH202=5,"消防","市長")),"対象外"))</f>
        <v>対象外</v>
      </c>
    </row>
    <row r="203" customFormat="false" ht="15" hidden="false" customHeight="false" outlineLevel="0" collapsed="false">
      <c r="A203" s="0" t="n">
        <v>31</v>
      </c>
      <c r="AA203" s="0" t="n">
        <v>21</v>
      </c>
      <c r="AB203" s="0" t="s">
        <v>496</v>
      </c>
      <c r="AD203" s="0" t="n">
        <v>0</v>
      </c>
      <c r="AE203" s="0" t="s">
        <v>295</v>
      </c>
      <c r="AH203" s="0" t="n">
        <v>1</v>
      </c>
      <c r="AJ203" s="0" t="n">
        <v>41</v>
      </c>
      <c r="AP203" s="0" t="n">
        <v>142000</v>
      </c>
      <c r="DB203" s="0" t="str">
        <f aca="false">IF($A203="","",IF(AND($A203=21,$AE203&amp;""="00000000"),IF($AH203=20,"病院",IF($AH203=5,"消防","市長")),"対象外"))</f>
        <v>対象外</v>
      </c>
    </row>
    <row r="204" customFormat="false" ht="15" hidden="false" customHeight="false" outlineLevel="0" collapsed="false">
      <c r="A204" s="0" t="n">
        <v>31</v>
      </c>
      <c r="AA204" s="0" t="n">
        <v>21</v>
      </c>
      <c r="AB204" s="0" t="s">
        <v>513</v>
      </c>
      <c r="AD204" s="0" t="n">
        <v>0</v>
      </c>
      <c r="AE204" s="0" t="s">
        <v>295</v>
      </c>
      <c r="AH204" s="0" t="n">
        <v>1</v>
      </c>
      <c r="AJ204" s="0" t="n">
        <v>41</v>
      </c>
      <c r="AP204" s="0" t="n">
        <v>142000</v>
      </c>
      <c r="DB204" s="0" t="str">
        <f aca="false">IF($A204="","",IF(AND($A204=21,$AE204&amp;""="00000000"),IF($AH204=20,"病院",IF($AH204=5,"消防","市長")),"対象外"))</f>
        <v>対象外</v>
      </c>
    </row>
    <row r="205" customFormat="false" ht="15" hidden="false" customHeight="false" outlineLevel="0" collapsed="false">
      <c r="A205" s="0" t="n">
        <v>31</v>
      </c>
      <c r="AA205" s="0" t="n">
        <v>21</v>
      </c>
      <c r="AB205" s="0" t="s">
        <v>96</v>
      </c>
      <c r="AD205" s="0" t="n">
        <v>0</v>
      </c>
      <c r="AE205" s="0" t="s">
        <v>295</v>
      </c>
      <c r="AH205" s="0" t="n">
        <v>11</v>
      </c>
      <c r="AJ205" s="0" t="n">
        <v>41</v>
      </c>
      <c r="AP205" s="0" t="n">
        <v>200000</v>
      </c>
      <c r="DB205" s="0" t="str">
        <f aca="false">IF($A205="","",IF(AND($A205=21,$AE205&amp;""="00000000"),IF($AH205=20,"病院",IF($AH205=5,"消防","市長")),"対象外"))</f>
        <v>対象外</v>
      </c>
    </row>
    <row r="206" customFormat="false" ht="15" hidden="false" customHeight="false" outlineLevel="0" collapsed="false">
      <c r="A206" s="0" t="n">
        <v>21</v>
      </c>
      <c r="AA206" s="0" t="n">
        <v>21</v>
      </c>
      <c r="AB206" s="0" t="s">
        <v>411</v>
      </c>
      <c r="AD206" s="0" t="n">
        <v>0</v>
      </c>
      <c r="AE206" s="0" t="s">
        <v>295</v>
      </c>
      <c r="AH206" s="0" t="n">
        <v>20</v>
      </c>
      <c r="AJ206" s="0" t="n">
        <v>10</v>
      </c>
      <c r="AP206" s="0" t="n">
        <v>500000</v>
      </c>
      <c r="DB206" s="0" t="str">
        <f aca="false">IF($A206="","",IF(AND($A206=21,$AE206&amp;""="00000000"),IF($AH206=20,"病院",IF($AH206=5,"消防","市長")),"対象外"))</f>
        <v>病院</v>
      </c>
    </row>
    <row r="207" customFormat="false" ht="15" hidden="false" customHeight="false" outlineLevel="0" collapsed="false">
      <c r="A207" s="0" t="n">
        <v>31</v>
      </c>
      <c r="AA207" s="0" t="n">
        <v>21</v>
      </c>
      <c r="AB207" s="0" t="s">
        <v>607</v>
      </c>
      <c r="AD207" s="0" t="n">
        <v>0</v>
      </c>
      <c r="AE207" s="0" t="s">
        <v>295</v>
      </c>
      <c r="AH207" s="0" t="n">
        <v>20</v>
      </c>
      <c r="AJ207" s="0" t="n">
        <v>41</v>
      </c>
      <c r="AP207" s="0" t="n">
        <v>160000</v>
      </c>
      <c r="DB207" s="0" t="str">
        <f aca="false">IF($A207="","",IF(AND($A207=21,$AE207&amp;""="00000000"),IF($AH207=20,"病院",IF($AH207=5,"消防","市長")),"対象外"))</f>
        <v>対象外</v>
      </c>
    </row>
    <row r="208" customFormat="false" ht="15" hidden="false" customHeight="false" outlineLevel="0" collapsed="false">
      <c r="A208" s="0" t="n">
        <v>21</v>
      </c>
      <c r="AA208" s="0" t="n">
        <v>21</v>
      </c>
      <c r="AB208" s="0" t="s">
        <v>443</v>
      </c>
      <c r="AD208" s="0" t="n">
        <v>0</v>
      </c>
      <c r="AE208" s="0" t="s">
        <v>295</v>
      </c>
      <c r="AH208" s="0" t="n">
        <v>11</v>
      </c>
      <c r="AJ208" s="0" t="n">
        <v>10</v>
      </c>
      <c r="AP208" s="0" t="n">
        <v>410000</v>
      </c>
      <c r="DB208" s="0" t="str">
        <f aca="false">IF($A208="","",IF(AND($A208=21,$AE208&amp;""="00000000"),IF($AH208=20,"病院",IF($AH208=5,"消防","市長")),"対象外"))</f>
        <v>市長</v>
      </c>
    </row>
    <row r="209" customFormat="false" ht="15" hidden="false" customHeight="false" outlineLevel="0" collapsed="false">
      <c r="A209" s="0" t="n">
        <v>21</v>
      </c>
      <c r="AA209" s="0" t="n">
        <v>21</v>
      </c>
      <c r="AB209" s="0" t="s">
        <v>608</v>
      </c>
      <c r="AD209" s="0" t="n">
        <v>0</v>
      </c>
      <c r="AE209" s="0" t="s">
        <v>295</v>
      </c>
      <c r="AH209" s="0" t="n">
        <v>20</v>
      </c>
      <c r="AJ209" s="0" t="n">
        <v>10</v>
      </c>
      <c r="AP209" s="0" t="n">
        <v>530000</v>
      </c>
      <c r="DB209" s="0" t="str">
        <f aca="false">IF($A209="","",IF(AND($A209=21,$AE209&amp;""="00000000"),IF($AH209=20,"病院",IF($AH209=5,"消防","市長")),"対象外"))</f>
        <v>病院</v>
      </c>
    </row>
    <row r="210" customFormat="false" ht="15" hidden="false" customHeight="false" outlineLevel="0" collapsed="false">
      <c r="A210" s="0" t="n">
        <v>31</v>
      </c>
      <c r="AA210" s="0" t="n">
        <v>21</v>
      </c>
      <c r="AB210" s="0" t="s">
        <v>496</v>
      </c>
      <c r="AD210" s="0" t="n">
        <v>0</v>
      </c>
      <c r="AE210" s="0" t="s">
        <v>295</v>
      </c>
      <c r="AH210" s="0" t="n">
        <v>1</v>
      </c>
      <c r="AJ210" s="0" t="n">
        <v>41</v>
      </c>
      <c r="AP210" s="0" t="n">
        <v>142000</v>
      </c>
      <c r="DB210" s="0" t="str">
        <f aca="false">IF($A210="","",IF(AND($A210=21,$AE210&amp;""="00000000"),IF($AH210=20,"病院",IF($AH210=5,"消防","市長")),"対象外"))</f>
        <v>対象外</v>
      </c>
    </row>
    <row r="211" customFormat="false" ht="15" hidden="false" customHeight="false" outlineLevel="0" collapsed="false">
      <c r="A211" s="0" t="n">
        <v>31</v>
      </c>
      <c r="AA211" s="0" t="n">
        <v>21</v>
      </c>
      <c r="AB211" s="0" t="s">
        <v>513</v>
      </c>
      <c r="AD211" s="0" t="n">
        <v>0</v>
      </c>
      <c r="AE211" s="0" t="s">
        <v>295</v>
      </c>
      <c r="AH211" s="0" t="n">
        <v>1</v>
      </c>
      <c r="AJ211" s="0" t="n">
        <v>41</v>
      </c>
      <c r="AP211" s="0" t="n">
        <v>180000</v>
      </c>
      <c r="DB211" s="0" t="str">
        <f aca="false">IF($A211="","",IF(AND($A211=21,$AE211&amp;""="00000000"),IF($AH211=20,"病院",IF($AH211=5,"消防","市長")),"対象外"))</f>
        <v>対象外</v>
      </c>
    </row>
    <row r="212" customFormat="false" ht="15" hidden="false" customHeight="false" outlineLevel="0" collapsed="false">
      <c r="A212" s="0" t="n">
        <v>31</v>
      </c>
      <c r="AA212" s="0" t="n">
        <v>21</v>
      </c>
      <c r="AB212" s="0" t="s">
        <v>496</v>
      </c>
      <c r="AD212" s="0" t="n">
        <v>0</v>
      </c>
      <c r="AE212" s="0" t="s">
        <v>295</v>
      </c>
      <c r="AH212" s="0" t="n">
        <v>1</v>
      </c>
      <c r="AJ212" s="0" t="n">
        <v>41</v>
      </c>
      <c r="AP212" s="0" t="n">
        <v>134000</v>
      </c>
      <c r="DB212" s="0" t="str">
        <f aca="false">IF($A212="","",IF(AND($A212=21,$AE212&amp;""="00000000"),IF($AH212=20,"病院",IF($AH212=5,"消防","市長")),"対象外"))</f>
        <v>対象外</v>
      </c>
    </row>
    <row r="213" customFormat="false" ht="15" hidden="false" customHeight="false" outlineLevel="0" collapsed="false">
      <c r="A213" s="0" t="n">
        <v>31</v>
      </c>
      <c r="AA213" s="0" t="n">
        <v>21</v>
      </c>
      <c r="AB213" s="0" t="s">
        <v>505</v>
      </c>
      <c r="AD213" s="0" t="n">
        <v>0</v>
      </c>
      <c r="AE213" s="0" t="s">
        <v>295</v>
      </c>
      <c r="AH213" s="0" t="n">
        <v>1</v>
      </c>
      <c r="AJ213" s="0" t="n">
        <v>41</v>
      </c>
      <c r="AP213" s="0" t="n">
        <v>190000</v>
      </c>
      <c r="DB213" s="0" t="str">
        <f aca="false">IF($A213="","",IF(AND($A213=21,$AE213&amp;""="00000000"),IF($AH213=20,"病院",IF($AH213=5,"消防","市長")),"対象外"))</f>
        <v>対象外</v>
      </c>
    </row>
    <row r="214" customFormat="false" ht="15" hidden="false" customHeight="false" outlineLevel="0" collapsed="false">
      <c r="A214" s="0" t="n">
        <v>31</v>
      </c>
      <c r="AA214" s="0" t="n">
        <v>21</v>
      </c>
      <c r="AB214" s="0" t="s">
        <v>496</v>
      </c>
      <c r="AD214" s="0" t="n">
        <v>0</v>
      </c>
      <c r="AE214" s="0" t="s">
        <v>295</v>
      </c>
      <c r="AH214" s="0" t="n">
        <v>1</v>
      </c>
      <c r="AJ214" s="0" t="n">
        <v>41</v>
      </c>
      <c r="AP214" s="0" t="n">
        <v>200000</v>
      </c>
      <c r="DB214" s="0" t="str">
        <f aca="false">IF($A214="","",IF(AND($A214=21,$AE214&amp;""="00000000"),IF($AH214=20,"病院",IF($AH214=5,"消防","市長")),"対象外"))</f>
        <v>対象外</v>
      </c>
    </row>
    <row r="215" customFormat="false" ht="15" hidden="false" customHeight="false" outlineLevel="0" collapsed="false">
      <c r="A215" s="0" t="n">
        <v>31</v>
      </c>
      <c r="AA215" s="0" t="n">
        <v>21</v>
      </c>
      <c r="AB215" s="0" t="s">
        <v>496</v>
      </c>
      <c r="AD215" s="0" t="n">
        <v>0</v>
      </c>
      <c r="AE215" s="0" t="s">
        <v>295</v>
      </c>
      <c r="AH215" s="0" t="n">
        <v>1</v>
      </c>
      <c r="AJ215" s="0" t="n">
        <v>41</v>
      </c>
      <c r="AP215" s="0" t="n">
        <v>200000</v>
      </c>
      <c r="DB215" s="0" t="str">
        <f aca="false">IF($A215="","",IF(AND($A215=21,$AE215&amp;""="00000000"),IF($AH215=20,"病院",IF($AH215=5,"消防","市長")),"対象外"))</f>
        <v>対象外</v>
      </c>
    </row>
    <row r="216" customFormat="false" ht="15" hidden="false" customHeight="false" outlineLevel="0" collapsed="false">
      <c r="A216" s="0" t="n">
        <v>31</v>
      </c>
      <c r="AA216" s="0" t="n">
        <v>21</v>
      </c>
      <c r="AB216" s="0" t="s">
        <v>496</v>
      </c>
      <c r="AD216" s="0" t="n">
        <v>0</v>
      </c>
      <c r="AE216" s="0" t="s">
        <v>295</v>
      </c>
      <c r="AH216" s="0" t="n">
        <v>20</v>
      </c>
      <c r="AJ216" s="0" t="n">
        <v>41</v>
      </c>
      <c r="AP216" s="0" t="n">
        <v>260000</v>
      </c>
      <c r="DB216" s="0" t="str">
        <f aca="false">IF($A216="","",IF(AND($A216=21,$AE216&amp;""="00000000"),IF($AH216=20,"病院",IF($AH216=5,"消防","市長")),"対象外"))</f>
        <v>対象外</v>
      </c>
    </row>
    <row r="217" customFormat="false" ht="15" hidden="false" customHeight="false" outlineLevel="0" collapsed="false">
      <c r="A217" s="0" t="n">
        <v>21</v>
      </c>
      <c r="AA217" s="0" t="n">
        <v>21</v>
      </c>
      <c r="AB217" s="0" t="s">
        <v>413</v>
      </c>
      <c r="AD217" s="0" t="n">
        <v>0</v>
      </c>
      <c r="AE217" s="0" t="s">
        <v>295</v>
      </c>
      <c r="AH217" s="0" t="n">
        <v>1</v>
      </c>
      <c r="AJ217" s="0" t="n">
        <v>10</v>
      </c>
      <c r="AP217" s="0" t="n">
        <v>620000</v>
      </c>
      <c r="DB217" s="0" t="str">
        <f aca="false">IF($A217="","",IF(AND($A217=21,$AE217&amp;""="00000000"),IF($AH217=20,"病院",IF($AH217=5,"消防","市長")),"対象外"))</f>
        <v>市長</v>
      </c>
    </row>
    <row r="218" customFormat="false" ht="15" hidden="false" customHeight="false" outlineLevel="0" collapsed="false">
      <c r="A218" s="0" t="n">
        <v>21</v>
      </c>
      <c r="AA218" s="0" t="n">
        <v>21</v>
      </c>
      <c r="AB218" s="0" t="s">
        <v>450</v>
      </c>
      <c r="AD218" s="0" t="n">
        <v>0</v>
      </c>
      <c r="AE218" s="0" t="s">
        <v>295</v>
      </c>
      <c r="AH218" s="0" t="n">
        <v>1</v>
      </c>
      <c r="AJ218" s="0" t="n">
        <v>10</v>
      </c>
      <c r="AP218" s="0" t="n">
        <v>530000</v>
      </c>
      <c r="DB218" s="0" t="str">
        <f aca="false">IF($A218="","",IF(AND($A218=21,$AE218&amp;""="00000000"),IF($AH218=20,"病院",IF($AH218=5,"消防","市長")),"対象外"))</f>
        <v>市長</v>
      </c>
    </row>
    <row r="219" customFormat="false" ht="15" hidden="false" customHeight="false" outlineLevel="0" collapsed="false">
      <c r="A219" s="0" t="n">
        <v>31</v>
      </c>
      <c r="AA219" s="0" t="n">
        <v>21</v>
      </c>
      <c r="AB219" s="0" t="s">
        <v>491</v>
      </c>
      <c r="AD219" s="0" t="n">
        <v>0</v>
      </c>
      <c r="AE219" s="0" t="s">
        <v>295</v>
      </c>
      <c r="AH219" s="0" t="n">
        <v>1</v>
      </c>
      <c r="AJ219" s="0" t="n">
        <v>41</v>
      </c>
      <c r="AP219" s="0" t="n">
        <v>200000</v>
      </c>
      <c r="DB219" s="0" t="str">
        <f aca="false">IF($A219="","",IF(AND($A219=21,$AE219&amp;""="00000000"),IF($AH219=20,"病院",IF($AH219=5,"消防","市長")),"対象外"))</f>
        <v>対象外</v>
      </c>
    </row>
    <row r="220" customFormat="false" ht="15" hidden="false" customHeight="false" outlineLevel="0" collapsed="false">
      <c r="A220" s="0" t="n">
        <v>31</v>
      </c>
      <c r="AA220" s="0" t="n">
        <v>21</v>
      </c>
      <c r="AB220" s="0" t="s">
        <v>504</v>
      </c>
      <c r="AD220" s="0" t="n">
        <v>0</v>
      </c>
      <c r="AE220" s="0" t="s">
        <v>295</v>
      </c>
      <c r="AH220" s="0" t="n">
        <v>20</v>
      </c>
      <c r="AJ220" s="0" t="n">
        <v>41</v>
      </c>
      <c r="AP220" s="0" t="n">
        <v>200000</v>
      </c>
      <c r="DB220" s="0" t="str">
        <f aca="false">IF($A220="","",IF(AND($A220=21,$AE220&amp;""="00000000"),IF($AH220=20,"病院",IF($AH220=5,"消防","市長")),"対象外"))</f>
        <v>対象外</v>
      </c>
    </row>
    <row r="221" customFormat="false" ht="15" hidden="false" customHeight="false" outlineLevel="0" collapsed="false">
      <c r="A221" s="0" t="n">
        <v>21</v>
      </c>
      <c r="AA221" s="0" t="n">
        <v>21</v>
      </c>
      <c r="AB221" s="0" t="s">
        <v>427</v>
      </c>
      <c r="AD221" s="0" t="n">
        <v>0</v>
      </c>
      <c r="AE221" s="0" t="s">
        <v>295</v>
      </c>
      <c r="AH221" s="0" t="n">
        <v>1</v>
      </c>
      <c r="AJ221" s="0" t="n">
        <v>10</v>
      </c>
      <c r="AP221" s="0" t="n">
        <v>470000</v>
      </c>
      <c r="DB221" s="0" t="str">
        <f aca="false">IF($A221="","",IF(AND($A221=21,$AE221&amp;""="00000000"),IF($AH221=20,"病院",IF($AH221=5,"消防","市長")),"対象外"))</f>
        <v>市長</v>
      </c>
    </row>
    <row r="222" customFormat="false" ht="15" hidden="false" customHeight="false" outlineLevel="0" collapsed="false">
      <c r="A222" s="0" t="n">
        <v>31</v>
      </c>
      <c r="AA222" s="0" t="n">
        <v>21</v>
      </c>
      <c r="AB222" s="0" t="s">
        <v>496</v>
      </c>
      <c r="AD222" s="0" t="n">
        <v>0</v>
      </c>
      <c r="AE222" s="0" t="s">
        <v>295</v>
      </c>
      <c r="AH222" s="0" t="n">
        <v>1</v>
      </c>
      <c r="AJ222" s="0" t="n">
        <v>41</v>
      </c>
      <c r="AP222" s="0" t="n">
        <v>150000</v>
      </c>
      <c r="DB222" s="0" t="str">
        <f aca="false">IF($A222="","",IF(AND($A222=21,$AE222&amp;""="00000000"),IF($AH222=20,"病院",IF($AH222=5,"消防","市長")),"対象外"))</f>
        <v>対象外</v>
      </c>
    </row>
    <row r="223" customFormat="false" ht="15" hidden="false" customHeight="false" outlineLevel="0" collapsed="false">
      <c r="A223" s="0" t="n">
        <v>21</v>
      </c>
      <c r="AA223" s="0" t="n">
        <v>21</v>
      </c>
      <c r="AB223" s="0" t="s">
        <v>407</v>
      </c>
      <c r="AD223" s="0" t="n">
        <v>0</v>
      </c>
      <c r="AE223" s="0" t="s">
        <v>295</v>
      </c>
      <c r="AH223" s="0" t="n">
        <v>20</v>
      </c>
      <c r="AJ223" s="0" t="n">
        <v>10</v>
      </c>
      <c r="AP223" s="0" t="n">
        <v>650000</v>
      </c>
      <c r="DB223" s="0" t="str">
        <f aca="false">IF($A223="","",IF(AND($A223=21,$AE223&amp;""="00000000"),IF($AH223=20,"病院",IF($AH223=5,"消防","市長")),"対象外"))</f>
        <v>病院</v>
      </c>
    </row>
    <row r="224" customFormat="false" ht="15" hidden="false" customHeight="false" outlineLevel="0" collapsed="false">
      <c r="A224" s="0" t="n">
        <v>31</v>
      </c>
      <c r="AA224" s="0" t="n">
        <v>21</v>
      </c>
      <c r="AB224" s="0" t="s">
        <v>496</v>
      </c>
      <c r="AD224" s="0" t="n">
        <v>0</v>
      </c>
      <c r="AE224" s="0" t="s">
        <v>295</v>
      </c>
      <c r="AH224" s="0" t="n">
        <v>1</v>
      </c>
      <c r="AJ224" s="0" t="n">
        <v>41</v>
      </c>
      <c r="AP224" s="0" t="n">
        <v>134000</v>
      </c>
      <c r="DB224" s="0" t="str">
        <f aca="false">IF($A224="","",IF(AND($A224=21,$AE224&amp;""="00000000"),IF($AH224=20,"病院",IF($AH224=5,"消防","市長")),"対象外"))</f>
        <v>対象外</v>
      </c>
    </row>
    <row r="225" customFormat="false" ht="15" hidden="false" customHeight="false" outlineLevel="0" collapsed="false">
      <c r="A225" s="0" t="n">
        <v>21</v>
      </c>
      <c r="AA225" s="0" t="n">
        <v>21</v>
      </c>
      <c r="AB225" s="0" t="s">
        <v>404</v>
      </c>
      <c r="AD225" s="0" t="n">
        <v>0</v>
      </c>
      <c r="AE225" s="0" t="s">
        <v>295</v>
      </c>
      <c r="AH225" s="0" t="n">
        <v>1</v>
      </c>
      <c r="AJ225" s="0" t="n">
        <v>10</v>
      </c>
      <c r="AP225" s="0" t="n">
        <v>530000</v>
      </c>
      <c r="DB225" s="0" t="str">
        <f aca="false">IF($A225="","",IF(AND($A225=21,$AE225&amp;""="00000000"),IF($AH225=20,"病院",IF($AH225=5,"消防","市長")),"対象外"))</f>
        <v>市長</v>
      </c>
    </row>
    <row r="226" customFormat="false" ht="15" hidden="false" customHeight="false" outlineLevel="0" collapsed="false">
      <c r="A226" s="0" t="n">
        <v>31</v>
      </c>
      <c r="AA226" s="0" t="n">
        <v>21</v>
      </c>
      <c r="AB226" s="0" t="s">
        <v>609</v>
      </c>
      <c r="AD226" s="0" t="n">
        <v>0</v>
      </c>
      <c r="AE226" s="0" t="s">
        <v>295</v>
      </c>
      <c r="AH226" s="0" t="n">
        <v>11</v>
      </c>
      <c r="AJ226" s="0" t="n">
        <v>41</v>
      </c>
      <c r="AP226" s="0" t="n">
        <v>118000</v>
      </c>
      <c r="DB226" s="0" t="str">
        <f aca="false">IF($A226="","",IF(AND($A226=21,$AE226&amp;""="00000000"),IF($AH226=20,"病院",IF($AH226=5,"消防","市長")),"対象外"))</f>
        <v>対象外</v>
      </c>
    </row>
    <row r="227" customFormat="false" ht="15" hidden="false" customHeight="false" outlineLevel="0" collapsed="false">
      <c r="A227" s="0" t="n">
        <v>21</v>
      </c>
      <c r="AA227" s="0" t="n">
        <v>21</v>
      </c>
      <c r="AB227" s="0" t="s">
        <v>416</v>
      </c>
      <c r="AD227" s="0" t="n">
        <v>0</v>
      </c>
      <c r="AE227" s="0" t="s">
        <v>295</v>
      </c>
      <c r="AH227" s="0" t="n">
        <v>20</v>
      </c>
      <c r="AJ227" s="0" t="n">
        <v>10</v>
      </c>
      <c r="AP227" s="0" t="n">
        <v>500000</v>
      </c>
      <c r="DB227" s="0" t="str">
        <f aca="false">IF($A227="","",IF(AND($A227=21,$AE227&amp;""="00000000"),IF($AH227=20,"病院",IF($AH227=5,"消防","市長")),"対象外"))</f>
        <v>病院</v>
      </c>
    </row>
    <row r="228" customFormat="false" ht="15" hidden="false" customHeight="false" outlineLevel="0" collapsed="false">
      <c r="A228" s="0" t="n">
        <v>31</v>
      </c>
      <c r="AA228" s="0" t="n">
        <v>21</v>
      </c>
      <c r="AB228" s="0" t="s">
        <v>496</v>
      </c>
      <c r="AD228" s="0" t="n">
        <v>0</v>
      </c>
      <c r="AE228" s="0" t="s">
        <v>295</v>
      </c>
      <c r="AH228" s="0" t="n">
        <v>20</v>
      </c>
      <c r="AJ228" s="0" t="n">
        <v>41</v>
      </c>
      <c r="AP228" s="0" t="n">
        <v>240000</v>
      </c>
      <c r="DB228" s="0" t="str">
        <f aca="false">IF($A228="","",IF(AND($A228=21,$AE228&amp;""="00000000"),IF($AH228=20,"病院",IF($AH228=5,"消防","市長")),"対象外"))</f>
        <v>対象外</v>
      </c>
    </row>
    <row r="229" customFormat="false" ht="15" hidden="false" customHeight="false" outlineLevel="0" collapsed="false">
      <c r="A229" s="0" t="n">
        <v>31</v>
      </c>
      <c r="AA229" s="0" t="n">
        <v>21</v>
      </c>
      <c r="AB229" s="0" t="s">
        <v>496</v>
      </c>
      <c r="AD229" s="0" t="n">
        <v>0</v>
      </c>
      <c r="AE229" s="0" t="s">
        <v>295</v>
      </c>
      <c r="AH229" s="0" t="n">
        <v>1</v>
      </c>
      <c r="AJ229" s="0" t="n">
        <v>41</v>
      </c>
      <c r="AP229" s="0" t="n">
        <v>134000</v>
      </c>
      <c r="DB229" s="0" t="str">
        <f aca="false">IF($A229="","",IF(AND($A229=21,$AE229&amp;""="00000000"),IF($AH229=20,"病院",IF($AH229=5,"消防","市長")),"対象外"))</f>
        <v>対象外</v>
      </c>
    </row>
    <row r="230" customFormat="false" ht="15" hidden="false" customHeight="false" outlineLevel="0" collapsed="false">
      <c r="A230" s="0" t="n">
        <v>21</v>
      </c>
      <c r="AA230" s="0" t="n">
        <v>21</v>
      </c>
      <c r="AB230" s="0" t="s">
        <v>610</v>
      </c>
      <c r="AD230" s="0" t="n">
        <v>0</v>
      </c>
      <c r="AE230" s="0" t="s">
        <v>295</v>
      </c>
      <c r="AH230" s="0" t="n">
        <v>20</v>
      </c>
      <c r="AJ230" s="0" t="n">
        <v>10</v>
      </c>
      <c r="AP230" s="0" t="n">
        <v>500000</v>
      </c>
      <c r="DB230" s="0" t="str">
        <f aca="false">IF($A230="","",IF(AND($A230=21,$AE230&amp;""="00000000"),IF($AH230=20,"病院",IF($AH230=5,"消防","市長")),"対象外"))</f>
        <v>病院</v>
      </c>
    </row>
    <row r="231" customFormat="false" ht="15" hidden="false" customHeight="false" outlineLevel="0" collapsed="false">
      <c r="A231" s="0" t="n">
        <v>31</v>
      </c>
      <c r="AA231" s="0" t="n">
        <v>21</v>
      </c>
      <c r="AB231" s="0" t="s">
        <v>496</v>
      </c>
      <c r="AD231" s="0" t="n">
        <v>0</v>
      </c>
      <c r="AE231" s="0" t="s">
        <v>295</v>
      </c>
      <c r="AH231" s="0" t="n">
        <v>11</v>
      </c>
      <c r="AJ231" s="0" t="n">
        <v>41</v>
      </c>
      <c r="AP231" s="0" t="n">
        <v>126000</v>
      </c>
      <c r="DB231" s="0" t="str">
        <f aca="false">IF($A231="","",IF(AND($A231=21,$AE231&amp;""="00000000"),IF($AH231=20,"病院",IF($AH231=5,"消防","市長")),"対象外"))</f>
        <v>対象外</v>
      </c>
    </row>
    <row r="232" customFormat="false" ht="15" hidden="false" customHeight="false" outlineLevel="0" collapsed="false">
      <c r="A232" s="0" t="n">
        <v>31</v>
      </c>
      <c r="AA232" s="0" t="n">
        <v>21</v>
      </c>
      <c r="AB232" s="0" t="s">
        <v>496</v>
      </c>
      <c r="AD232" s="0" t="n">
        <v>0</v>
      </c>
      <c r="AE232" s="0" t="s">
        <v>295</v>
      </c>
      <c r="AH232" s="0" t="n">
        <v>20</v>
      </c>
      <c r="AJ232" s="0" t="n">
        <v>41</v>
      </c>
      <c r="AP232" s="0" t="n">
        <v>220000</v>
      </c>
      <c r="DB232" s="0" t="str">
        <f aca="false">IF($A232="","",IF(AND($A232=21,$AE232&amp;""="00000000"),IF($AH232=20,"病院",IF($AH232=5,"消防","市長")),"対象外"))</f>
        <v>対象外</v>
      </c>
    </row>
    <row r="233" customFormat="false" ht="15" hidden="false" customHeight="false" outlineLevel="0" collapsed="false">
      <c r="A233" s="0" t="n">
        <v>21</v>
      </c>
      <c r="AA233" s="0" t="n">
        <v>21</v>
      </c>
      <c r="AB233" s="0" t="s">
        <v>404</v>
      </c>
      <c r="AD233" s="0" t="n">
        <v>0</v>
      </c>
      <c r="AE233" s="0" t="s">
        <v>295</v>
      </c>
      <c r="AH233" s="0" t="n">
        <v>1</v>
      </c>
      <c r="AJ233" s="0" t="n">
        <v>10</v>
      </c>
      <c r="AP233" s="0" t="n">
        <v>500000</v>
      </c>
      <c r="DB233" s="0" t="str">
        <f aca="false">IF($A233="","",IF(AND($A233=21,$AE233&amp;""="00000000"),IF($AH233=20,"病院",IF($AH233=5,"消防","市長")),"対象外"))</f>
        <v>市長</v>
      </c>
    </row>
    <row r="234" customFormat="false" ht="15" hidden="false" customHeight="false" outlineLevel="0" collapsed="false">
      <c r="A234" s="0" t="n">
        <v>21</v>
      </c>
      <c r="AA234" s="0" t="n">
        <v>21</v>
      </c>
      <c r="AB234" s="0" t="s">
        <v>390</v>
      </c>
      <c r="AD234" s="0" t="n">
        <v>0</v>
      </c>
      <c r="AE234" s="0" t="s">
        <v>295</v>
      </c>
      <c r="AH234" s="0" t="n">
        <v>11</v>
      </c>
      <c r="AJ234" s="0" t="n">
        <v>10</v>
      </c>
      <c r="AP234" s="0" t="n">
        <v>500000</v>
      </c>
      <c r="DB234" s="0" t="str">
        <f aca="false">IF($A234="","",IF(AND($A234=21,$AE234&amp;""="00000000"),IF($AH234=20,"病院",IF($AH234=5,"消防","市長")),"対象外"))</f>
        <v>市長</v>
      </c>
    </row>
    <row r="235" customFormat="false" ht="15" hidden="false" customHeight="false" outlineLevel="0" collapsed="false">
      <c r="A235" s="0" t="n">
        <v>31</v>
      </c>
      <c r="AA235" s="0" t="n">
        <v>21</v>
      </c>
      <c r="AB235" s="0" t="s">
        <v>477</v>
      </c>
      <c r="AD235" s="0" t="n">
        <v>0</v>
      </c>
      <c r="AE235" s="0" t="s">
        <v>295</v>
      </c>
      <c r="AH235" s="0" t="n">
        <v>1</v>
      </c>
      <c r="AJ235" s="0" t="n">
        <v>41</v>
      </c>
      <c r="AP235" s="0" t="n">
        <v>190000</v>
      </c>
      <c r="DB235" s="0" t="str">
        <f aca="false">IF($A235="","",IF(AND($A235=21,$AE235&amp;""="00000000"),IF($AH235=20,"病院",IF($AH235=5,"消防","市長")),"対象外"))</f>
        <v>対象外</v>
      </c>
    </row>
    <row r="236" customFormat="false" ht="15" hidden="false" customHeight="false" outlineLevel="0" collapsed="false">
      <c r="A236" s="0" t="n">
        <v>31</v>
      </c>
      <c r="AA236" s="0" t="n">
        <v>21</v>
      </c>
      <c r="AB236" s="0" t="s">
        <v>484</v>
      </c>
      <c r="AD236" s="0" t="n">
        <v>0</v>
      </c>
      <c r="AE236" s="0" t="s">
        <v>295</v>
      </c>
      <c r="AH236" s="0" t="n">
        <v>1</v>
      </c>
      <c r="AJ236" s="0" t="n">
        <v>10</v>
      </c>
      <c r="AP236" s="0" t="n">
        <v>260000</v>
      </c>
      <c r="DB236" s="0" t="str">
        <f aca="false">IF($A236="","",IF(AND($A236=21,$AE236&amp;""="00000000"),IF($AH236=20,"病院",IF($AH236=5,"消防","市長")),"対象外"))</f>
        <v>対象外</v>
      </c>
    </row>
    <row r="237" customFormat="false" ht="15" hidden="false" customHeight="false" outlineLevel="0" collapsed="false">
      <c r="A237" s="0" t="n">
        <v>31</v>
      </c>
      <c r="AA237" s="0" t="n">
        <v>21</v>
      </c>
      <c r="AB237" s="0" t="s">
        <v>496</v>
      </c>
      <c r="AD237" s="0" t="n">
        <v>0</v>
      </c>
      <c r="AE237" s="0" t="s">
        <v>295</v>
      </c>
      <c r="AH237" s="0" t="n">
        <v>11</v>
      </c>
      <c r="AJ237" s="0" t="n">
        <v>41</v>
      </c>
      <c r="AP237" s="0" t="n">
        <v>200000</v>
      </c>
      <c r="DB237" s="0" t="str">
        <f aca="false">IF($A237="","",IF(AND($A237=21,$AE237&amp;""="00000000"),IF($AH237=20,"病院",IF($AH237=5,"消防","市長")),"対象外"))</f>
        <v>対象外</v>
      </c>
    </row>
    <row r="238" customFormat="false" ht="15" hidden="false" customHeight="false" outlineLevel="0" collapsed="false">
      <c r="A238" s="0" t="n">
        <v>31</v>
      </c>
      <c r="AA238" s="0" t="n">
        <v>21</v>
      </c>
      <c r="AB238" s="0" t="s">
        <v>458</v>
      </c>
      <c r="AD238" s="0" t="n">
        <v>0</v>
      </c>
      <c r="AE238" s="0" t="s">
        <v>295</v>
      </c>
      <c r="AH238" s="0" t="n">
        <v>1</v>
      </c>
      <c r="AJ238" s="0" t="n">
        <v>10</v>
      </c>
      <c r="AP238" s="0" t="n">
        <v>320000</v>
      </c>
      <c r="DB238" s="0" t="str">
        <f aca="false">IF($A238="","",IF(AND($A238=21,$AE238&amp;""="00000000"),IF($AH238=20,"病院",IF($AH238=5,"消防","市長")),"対象外"))</f>
        <v>対象外</v>
      </c>
    </row>
    <row r="239" customFormat="false" ht="15" hidden="false" customHeight="false" outlineLevel="0" collapsed="false">
      <c r="A239" s="0" t="n">
        <v>31</v>
      </c>
      <c r="AA239" s="0" t="n">
        <v>21</v>
      </c>
      <c r="AB239" s="0" t="s">
        <v>496</v>
      </c>
      <c r="AD239" s="0" t="n">
        <v>0</v>
      </c>
      <c r="AE239" s="0" t="s">
        <v>295</v>
      </c>
      <c r="AH239" s="0" t="n">
        <v>1</v>
      </c>
      <c r="AJ239" s="0" t="n">
        <v>41</v>
      </c>
      <c r="AP239" s="0" t="n">
        <v>150000</v>
      </c>
      <c r="DB239" s="0" t="str">
        <f aca="false">IF($A239="","",IF(AND($A239=21,$AE239&amp;""="00000000"),IF($AH239=20,"病院",IF($AH239=5,"消防","市長")),"対象外"))</f>
        <v>対象外</v>
      </c>
    </row>
    <row r="240" customFormat="false" ht="15" hidden="false" customHeight="false" outlineLevel="0" collapsed="false">
      <c r="A240" s="0" t="n">
        <v>21</v>
      </c>
      <c r="AA240" s="0" t="n">
        <v>24</v>
      </c>
      <c r="AB240" s="0" t="s">
        <v>606</v>
      </c>
      <c r="AD240" s="0" t="n">
        <v>0</v>
      </c>
      <c r="AE240" s="0" t="s">
        <v>295</v>
      </c>
      <c r="AH240" s="0" t="n">
        <v>20</v>
      </c>
      <c r="AJ240" s="0" t="n">
        <v>10</v>
      </c>
      <c r="AP240" s="0" t="n">
        <v>340000</v>
      </c>
      <c r="DB240" s="0" t="str">
        <f aca="false">IF($A240="","",IF(AND($A240=21,$AE240&amp;""="00000000"),IF($AH240=20,"病院",IF($AH240=5,"消防","市長")),"対象外"))</f>
        <v>病院</v>
      </c>
    </row>
    <row r="241" customFormat="false" ht="15" hidden="false" customHeight="false" outlineLevel="0" collapsed="false">
      <c r="A241" s="0" t="n">
        <v>21</v>
      </c>
      <c r="AA241" s="0" t="n">
        <v>21</v>
      </c>
      <c r="AB241" s="0" t="s">
        <v>415</v>
      </c>
      <c r="AD241" s="0" t="n">
        <v>0</v>
      </c>
      <c r="AE241" s="0" t="s">
        <v>295</v>
      </c>
      <c r="AH241" s="0" t="n">
        <v>1</v>
      </c>
      <c r="AJ241" s="0" t="n">
        <v>10</v>
      </c>
      <c r="AP241" s="0" t="n">
        <v>500000</v>
      </c>
      <c r="DB241" s="0" t="str">
        <f aca="false">IF($A241="","",IF(AND($A241=21,$AE241&amp;""="00000000"),IF($AH241=20,"病院",IF($AH241=5,"消防","市長")),"対象外"))</f>
        <v>市長</v>
      </c>
    </row>
    <row r="242" customFormat="false" ht="15" hidden="false" customHeight="false" outlineLevel="0" collapsed="false">
      <c r="A242" s="0" t="n">
        <v>31</v>
      </c>
      <c r="AA242" s="0" t="n">
        <v>21</v>
      </c>
      <c r="AB242" s="0" t="s">
        <v>496</v>
      </c>
      <c r="AD242" s="0" t="n">
        <v>0</v>
      </c>
      <c r="AE242" s="0" t="s">
        <v>295</v>
      </c>
      <c r="AH242" s="0" t="n">
        <v>1</v>
      </c>
      <c r="AJ242" s="0" t="n">
        <v>41</v>
      </c>
      <c r="AP242" s="0" t="n">
        <v>200000</v>
      </c>
      <c r="DB242" s="0" t="str">
        <f aca="false">IF($A242="","",IF(AND($A242=21,$AE242&amp;""="00000000"),IF($AH242=20,"病院",IF($AH242=5,"消防","市長")),"対象外"))</f>
        <v>対象外</v>
      </c>
    </row>
    <row r="243" customFormat="false" ht="15" hidden="false" customHeight="false" outlineLevel="0" collapsed="false">
      <c r="A243" s="0" t="n">
        <v>31</v>
      </c>
      <c r="AA243" s="0" t="n">
        <v>21</v>
      </c>
      <c r="AB243" s="0" t="s">
        <v>496</v>
      </c>
      <c r="AD243" s="0" t="n">
        <v>0</v>
      </c>
      <c r="AE243" s="0" t="s">
        <v>295</v>
      </c>
      <c r="AH243" s="0" t="n">
        <v>1</v>
      </c>
      <c r="AJ243" s="0" t="n">
        <v>41</v>
      </c>
      <c r="AP243" s="0" t="n">
        <v>142000</v>
      </c>
      <c r="DB243" s="0" t="str">
        <f aca="false">IF($A243="","",IF(AND($A243=21,$AE243&amp;""="00000000"),IF($AH243=20,"病院",IF($AH243=5,"消防","市長")),"対象外"))</f>
        <v>対象外</v>
      </c>
    </row>
    <row r="244" customFormat="false" ht="15" hidden="false" customHeight="false" outlineLevel="0" collapsed="false">
      <c r="A244" s="0" t="n">
        <v>31</v>
      </c>
      <c r="AA244" s="0" t="n">
        <v>21</v>
      </c>
      <c r="AB244" s="0" t="s">
        <v>496</v>
      </c>
      <c r="AD244" s="0" t="n">
        <v>0</v>
      </c>
      <c r="AE244" s="0" t="s">
        <v>295</v>
      </c>
      <c r="AH244" s="0" t="n">
        <v>1</v>
      </c>
      <c r="AJ244" s="0" t="n">
        <v>41</v>
      </c>
      <c r="AP244" s="0" t="n">
        <v>142000</v>
      </c>
      <c r="DB244" s="0" t="str">
        <f aca="false">IF($A244="","",IF(AND($A244=21,$AE244&amp;""="00000000"),IF($AH244=20,"病院",IF($AH244=5,"消防","市長")),"対象外"))</f>
        <v>対象外</v>
      </c>
    </row>
    <row r="245" customFormat="false" ht="15" hidden="false" customHeight="false" outlineLevel="0" collapsed="false">
      <c r="A245" s="0" t="n">
        <v>31</v>
      </c>
      <c r="AA245" s="0" t="n">
        <v>21</v>
      </c>
      <c r="AB245" s="0" t="s">
        <v>312</v>
      </c>
      <c r="AD245" s="0" t="n">
        <v>0</v>
      </c>
      <c r="AE245" s="0" t="s">
        <v>295</v>
      </c>
      <c r="AH245" s="0" t="n">
        <v>11</v>
      </c>
      <c r="AJ245" s="0" t="n">
        <v>41</v>
      </c>
      <c r="AP245" s="0" t="n">
        <v>78000</v>
      </c>
      <c r="DB245" s="0" t="str">
        <f aca="false">IF($A245="","",IF(AND($A245=21,$AE245&amp;""="00000000"),IF($AH245=20,"病院",IF($AH245=5,"消防","市長")),"対象外"))</f>
        <v>対象外</v>
      </c>
    </row>
    <row r="246" customFormat="false" ht="15" hidden="false" customHeight="false" outlineLevel="0" collapsed="false">
      <c r="A246" s="0" t="n">
        <v>31</v>
      </c>
      <c r="AA246" s="0" t="n">
        <v>21</v>
      </c>
      <c r="AB246" s="0" t="s">
        <v>496</v>
      </c>
      <c r="AD246" s="0" t="n">
        <v>0</v>
      </c>
      <c r="AE246" s="0" t="s">
        <v>295</v>
      </c>
      <c r="AH246" s="0" t="n">
        <v>1</v>
      </c>
      <c r="AJ246" s="0" t="n">
        <v>41</v>
      </c>
      <c r="AP246" s="0" t="n">
        <v>150000</v>
      </c>
      <c r="DB246" s="0" t="str">
        <f aca="false">IF($A246="","",IF(AND($A246=21,$AE246&amp;""="00000000"),IF($AH246=20,"病院",IF($AH246=5,"消防","市長")),"対象外"))</f>
        <v>対象外</v>
      </c>
    </row>
    <row r="247" customFormat="false" ht="15" hidden="false" customHeight="false" outlineLevel="0" collapsed="false">
      <c r="A247" s="0" t="n">
        <v>21</v>
      </c>
      <c r="AA247" s="0" t="n">
        <v>21</v>
      </c>
      <c r="AB247" s="0" t="s">
        <v>441</v>
      </c>
      <c r="AD247" s="0" t="n">
        <v>0</v>
      </c>
      <c r="AE247" s="0" t="s">
        <v>295</v>
      </c>
      <c r="AH247" s="0" t="n">
        <v>11</v>
      </c>
      <c r="AJ247" s="0" t="n">
        <v>10</v>
      </c>
      <c r="AP247" s="0" t="n">
        <v>410000</v>
      </c>
      <c r="DB247" s="0" t="str">
        <f aca="false">IF($A247="","",IF(AND($A247=21,$AE247&amp;""="00000000"),IF($AH247=20,"病院",IF($AH247=5,"消防","市長")),"対象外"))</f>
        <v>市長</v>
      </c>
    </row>
    <row r="248" customFormat="false" ht="15" hidden="false" customHeight="false" outlineLevel="0" collapsed="false">
      <c r="A248" s="0" t="n">
        <v>21</v>
      </c>
      <c r="AA248" s="0" t="n">
        <v>21</v>
      </c>
      <c r="AB248" s="0" t="s">
        <v>400</v>
      </c>
      <c r="AD248" s="0" t="n">
        <v>0</v>
      </c>
      <c r="AE248" s="0" t="s">
        <v>295</v>
      </c>
      <c r="AH248" s="0" t="n">
        <v>1</v>
      </c>
      <c r="AJ248" s="0" t="n">
        <v>10</v>
      </c>
      <c r="AP248" s="0" t="n">
        <v>500000</v>
      </c>
      <c r="DB248" s="0" t="str">
        <f aca="false">IF($A248="","",IF(AND($A248=21,$AE248&amp;""="00000000"),IF($AH248=20,"病院",IF($AH248=5,"消防","市長")),"対象外"))</f>
        <v>市長</v>
      </c>
    </row>
    <row r="249" customFormat="false" ht="15" hidden="false" customHeight="false" outlineLevel="0" collapsed="false">
      <c r="A249" s="0" t="n">
        <v>21</v>
      </c>
      <c r="AA249" s="0" t="n">
        <v>21</v>
      </c>
      <c r="AB249" s="0" t="s">
        <v>608</v>
      </c>
      <c r="AD249" s="0" t="n">
        <v>0</v>
      </c>
      <c r="AE249" s="0" t="s">
        <v>295</v>
      </c>
      <c r="AH249" s="0" t="n">
        <v>20</v>
      </c>
      <c r="AJ249" s="0" t="n">
        <v>10</v>
      </c>
      <c r="AP249" s="0" t="n">
        <v>530000</v>
      </c>
      <c r="DB249" s="0" t="str">
        <f aca="false">IF($A249="","",IF(AND($A249=21,$AE249&amp;""="00000000"),IF($AH249=20,"病院",IF($AH249=5,"消防","市長")),"対象外"))</f>
        <v>病院</v>
      </c>
    </row>
    <row r="250" customFormat="false" ht="15" hidden="false" customHeight="false" outlineLevel="0" collapsed="false">
      <c r="A250" s="0" t="n">
        <v>31</v>
      </c>
      <c r="AA250" s="0" t="n">
        <v>21</v>
      </c>
      <c r="AB250" s="0" t="s">
        <v>496</v>
      </c>
      <c r="AD250" s="0" t="n">
        <v>0</v>
      </c>
      <c r="AE250" s="0" t="s">
        <v>295</v>
      </c>
      <c r="AH250" s="0" t="n">
        <v>1</v>
      </c>
      <c r="AJ250" s="0" t="n">
        <v>41</v>
      </c>
      <c r="AP250" s="0" t="n">
        <v>142000</v>
      </c>
      <c r="DB250" s="0" t="str">
        <f aca="false">IF($A250="","",IF(AND($A250=21,$AE250&amp;""="00000000"),IF($AH250=20,"病院",IF($AH250=5,"消防","市長")),"対象外"))</f>
        <v>対象外</v>
      </c>
    </row>
    <row r="251" customFormat="false" ht="15" hidden="false" customHeight="false" outlineLevel="0" collapsed="false">
      <c r="A251" s="0" t="n">
        <v>21</v>
      </c>
      <c r="AA251" s="0" t="n">
        <v>21</v>
      </c>
      <c r="AB251" s="0" t="s">
        <v>390</v>
      </c>
      <c r="AD251" s="0" t="n">
        <v>0</v>
      </c>
      <c r="AE251" s="0" t="s">
        <v>295</v>
      </c>
      <c r="AH251" s="0" t="n">
        <v>1</v>
      </c>
      <c r="AJ251" s="0" t="n">
        <v>10</v>
      </c>
      <c r="AP251" s="0" t="n">
        <v>590000</v>
      </c>
      <c r="DB251" s="0" t="str">
        <f aca="false">IF($A251="","",IF(AND($A251=21,$AE251&amp;""="00000000"),IF($AH251=20,"病院",IF($AH251=5,"消防","市長")),"対象外"))</f>
        <v>市長</v>
      </c>
    </row>
    <row r="252" customFormat="false" ht="15" hidden="false" customHeight="false" outlineLevel="0" collapsed="false">
      <c r="A252" s="0" t="n">
        <v>21</v>
      </c>
      <c r="AA252" s="0" t="n">
        <v>21</v>
      </c>
      <c r="AB252" s="0" t="s">
        <v>390</v>
      </c>
      <c r="AD252" s="0" t="n">
        <v>0</v>
      </c>
      <c r="AE252" s="0" t="s">
        <v>295</v>
      </c>
      <c r="AH252" s="0" t="n">
        <v>3</v>
      </c>
      <c r="AJ252" s="0" t="n">
        <v>10</v>
      </c>
      <c r="AP252" s="0" t="n">
        <v>470000</v>
      </c>
      <c r="DB252" s="0" t="str">
        <f aca="false">IF($A252="","",IF(AND($A252=21,$AE252&amp;""="00000000"),IF($AH252=20,"病院",IF($AH252=5,"消防","市長")),"対象外"))</f>
        <v>市長</v>
      </c>
    </row>
    <row r="253" customFormat="false" ht="15" hidden="false" customHeight="false" outlineLevel="0" collapsed="false">
      <c r="A253" s="0" t="n">
        <v>31</v>
      </c>
      <c r="AA253" s="0" t="n">
        <v>21</v>
      </c>
      <c r="AB253" s="0" t="s">
        <v>496</v>
      </c>
      <c r="AD253" s="0" t="n">
        <v>0</v>
      </c>
      <c r="AE253" s="0" t="s">
        <v>295</v>
      </c>
      <c r="AH253" s="0" t="n">
        <v>1</v>
      </c>
      <c r="AJ253" s="0" t="n">
        <v>41</v>
      </c>
      <c r="AP253" s="0" t="n">
        <v>200000</v>
      </c>
      <c r="DB253" s="0" t="str">
        <f aca="false">IF($A253="","",IF(AND($A253=21,$AE253&amp;""="00000000"),IF($AH253=20,"病院",IF($AH253=5,"消防","市長")),"対象外"))</f>
        <v>対象外</v>
      </c>
    </row>
    <row r="254" customFormat="false" ht="15" hidden="false" customHeight="false" outlineLevel="0" collapsed="false">
      <c r="A254" s="0" t="n">
        <v>31</v>
      </c>
      <c r="AA254" s="0" t="n">
        <v>21</v>
      </c>
      <c r="AB254" s="0" t="s">
        <v>496</v>
      </c>
      <c r="AD254" s="0" t="n">
        <v>0</v>
      </c>
      <c r="AE254" s="0" t="s">
        <v>295</v>
      </c>
      <c r="AH254" s="0" t="n">
        <v>1</v>
      </c>
      <c r="AJ254" s="0" t="n">
        <v>41</v>
      </c>
      <c r="AP254" s="0" t="n">
        <v>200000</v>
      </c>
      <c r="DB254" s="0" t="str">
        <f aca="false">IF($A254="","",IF(AND($A254=21,$AE254&amp;""="00000000"),IF($AH254=20,"病院",IF($AH254=5,"消防","市長")),"対象外"))</f>
        <v>対象外</v>
      </c>
    </row>
    <row r="255" customFormat="false" ht="15" hidden="false" customHeight="false" outlineLevel="0" collapsed="false">
      <c r="A255" s="0" t="n">
        <v>31</v>
      </c>
      <c r="AA255" s="0" t="n">
        <v>21</v>
      </c>
      <c r="AB255" s="0" t="s">
        <v>496</v>
      </c>
      <c r="AD255" s="0" t="n">
        <v>0</v>
      </c>
      <c r="AE255" s="0" t="s">
        <v>295</v>
      </c>
      <c r="AH255" s="0" t="n">
        <v>1</v>
      </c>
      <c r="AJ255" s="0" t="n">
        <v>41</v>
      </c>
      <c r="AP255" s="0" t="n">
        <v>134000</v>
      </c>
      <c r="DB255" s="0" t="str">
        <f aca="false">IF($A255="","",IF(AND($A255=21,$AE255&amp;""="00000000"),IF($AH255=20,"病院",IF($AH255=5,"消防","市長")),"対象外"))</f>
        <v>対象外</v>
      </c>
    </row>
    <row r="256" customFormat="false" ht="15" hidden="false" customHeight="false" outlineLevel="0" collapsed="false">
      <c r="A256" s="0" t="n">
        <v>31</v>
      </c>
      <c r="AA256" s="0" t="n">
        <v>21</v>
      </c>
      <c r="AB256" s="0" t="s">
        <v>496</v>
      </c>
      <c r="AD256" s="0" t="n">
        <v>0</v>
      </c>
      <c r="AE256" s="0" t="s">
        <v>295</v>
      </c>
      <c r="AH256" s="0" t="n">
        <v>11</v>
      </c>
      <c r="AJ256" s="0" t="n">
        <v>41</v>
      </c>
      <c r="AP256" s="0" t="n">
        <v>190000</v>
      </c>
      <c r="DB256" s="0" t="str">
        <f aca="false">IF($A256="","",IF(AND($A256=21,$AE256&amp;""="00000000"),IF($AH256=20,"病院",IF($AH256=5,"消防","市長")),"対象外"))</f>
        <v>対象外</v>
      </c>
    </row>
    <row r="257" customFormat="false" ht="15" hidden="false" customHeight="false" outlineLevel="0" collapsed="false">
      <c r="A257" s="0" t="n">
        <v>31</v>
      </c>
      <c r="AA257" s="0" t="n">
        <v>21</v>
      </c>
      <c r="AB257" s="0" t="s">
        <v>496</v>
      </c>
      <c r="AD257" s="0" t="n">
        <v>0</v>
      </c>
      <c r="AE257" s="0" t="s">
        <v>295</v>
      </c>
      <c r="AH257" s="0" t="n">
        <v>1</v>
      </c>
      <c r="AJ257" s="0" t="n">
        <v>41</v>
      </c>
      <c r="AP257" s="0" t="n">
        <v>220000</v>
      </c>
      <c r="DB257" s="0" t="str">
        <f aca="false">IF($A257="","",IF(AND($A257=21,$AE257&amp;""="00000000"),IF($AH257=20,"病院",IF($AH257=5,"消防","市長")),"対象外"))</f>
        <v>対象外</v>
      </c>
    </row>
    <row r="258" customFormat="false" ht="15" hidden="false" customHeight="false" outlineLevel="0" collapsed="false">
      <c r="A258" s="0" t="n">
        <v>31</v>
      </c>
      <c r="AA258" s="0" t="n">
        <v>21</v>
      </c>
      <c r="AB258" s="0" t="s">
        <v>496</v>
      </c>
      <c r="AD258" s="0" t="n">
        <v>0</v>
      </c>
      <c r="AE258" s="0" t="s">
        <v>295</v>
      </c>
      <c r="AH258" s="0" t="n">
        <v>1</v>
      </c>
      <c r="AJ258" s="0" t="n">
        <v>41</v>
      </c>
      <c r="AP258" s="0" t="n">
        <v>300000</v>
      </c>
      <c r="DB258" s="0" t="str">
        <f aca="false">IF($A258="","",IF(AND($A258=21,$AE258&amp;""="00000000"),IF($AH258=20,"病院",IF($AH258=5,"消防","市長")),"対象外"))</f>
        <v>対象外</v>
      </c>
    </row>
    <row r="259" customFormat="false" ht="15" hidden="false" customHeight="false" outlineLevel="0" collapsed="false">
      <c r="A259" s="0" t="n">
        <v>21</v>
      </c>
      <c r="AA259" s="0" t="n">
        <v>21</v>
      </c>
      <c r="AB259" s="0" t="s">
        <v>413</v>
      </c>
      <c r="AD259" s="0" t="n">
        <v>0</v>
      </c>
      <c r="AE259" s="0" t="s">
        <v>295</v>
      </c>
      <c r="AH259" s="0" t="n">
        <v>35</v>
      </c>
      <c r="AJ259" s="0" t="n">
        <v>74</v>
      </c>
      <c r="AP259" s="0" t="n">
        <v>530000</v>
      </c>
      <c r="DB259" s="0" t="str">
        <f aca="false">IF($A259="","",IF(AND($A259=21,$AE259&amp;""="00000000"),IF($AH259=20,"病院",IF($AH259=5,"消防","市長")),"対象外"))</f>
        <v>市長</v>
      </c>
    </row>
    <row r="260" customFormat="false" ht="15" hidden="false" customHeight="false" outlineLevel="0" collapsed="false">
      <c r="A260" s="0" t="n">
        <v>21</v>
      </c>
      <c r="AA260" s="0" t="n">
        <v>21</v>
      </c>
      <c r="AB260" s="0" t="s">
        <v>413</v>
      </c>
      <c r="AD260" s="0" t="n">
        <v>0</v>
      </c>
      <c r="AE260" s="0" t="s">
        <v>295</v>
      </c>
      <c r="AH260" s="0" t="n">
        <v>47</v>
      </c>
      <c r="AJ260" s="0" t="n">
        <v>74</v>
      </c>
      <c r="AP260" s="0" t="n">
        <v>470000</v>
      </c>
      <c r="DB260" s="0" t="str">
        <f aca="false">IF($A260="","",IF(AND($A260=21,$AE260&amp;""="00000000"),IF($AH260=20,"病院",IF($AH260=5,"消防","市長")),"対象外"))</f>
        <v>市長</v>
      </c>
    </row>
    <row r="261" customFormat="false" ht="15" hidden="false" customHeight="false" outlineLevel="0" collapsed="false">
      <c r="A261" s="0" t="n">
        <v>31</v>
      </c>
      <c r="AA261" s="0" t="n">
        <v>21</v>
      </c>
      <c r="AB261" s="0" t="s">
        <v>477</v>
      </c>
      <c r="AD261" s="0" t="n">
        <v>0</v>
      </c>
      <c r="AE261" s="0" t="s">
        <v>295</v>
      </c>
      <c r="AH261" s="0" t="n">
        <v>11</v>
      </c>
      <c r="AJ261" s="0" t="n">
        <v>41</v>
      </c>
      <c r="AP261" s="0" t="n">
        <v>180000</v>
      </c>
      <c r="DB261" s="0" t="str">
        <f aca="false">IF($A261="","",IF(AND($A261=21,$AE261&amp;""="00000000"),IF($AH261=20,"病院",IF($AH261=5,"消防","市長")),"対象外"))</f>
        <v>対象外</v>
      </c>
    </row>
    <row r="262" customFormat="false" ht="15" hidden="false" customHeight="false" outlineLevel="0" collapsed="false">
      <c r="A262" s="0" t="n">
        <v>31</v>
      </c>
      <c r="AA262" s="0" t="n">
        <v>21</v>
      </c>
      <c r="AB262" s="0" t="s">
        <v>496</v>
      </c>
      <c r="AD262" s="0" t="n">
        <v>0</v>
      </c>
      <c r="AE262" s="0" t="s">
        <v>295</v>
      </c>
      <c r="AH262" s="0" t="n">
        <v>1</v>
      </c>
      <c r="AJ262" s="0" t="n">
        <v>41</v>
      </c>
      <c r="AP262" s="0" t="n">
        <v>190000</v>
      </c>
      <c r="DB262" s="0" t="str">
        <f aca="false">IF($A262="","",IF(AND($A262=21,$AE262&amp;""="00000000"),IF($AH262=20,"病院",IF($AH262=5,"消防","市長")),"対象外"))</f>
        <v>対象外</v>
      </c>
    </row>
    <row r="263" customFormat="false" ht="15" hidden="false" customHeight="false" outlineLevel="0" collapsed="false">
      <c r="A263" s="0" t="n">
        <v>31</v>
      </c>
      <c r="AA263" s="0" t="n">
        <v>21</v>
      </c>
      <c r="AB263" s="0" t="s">
        <v>458</v>
      </c>
      <c r="AD263" s="0" t="n">
        <v>0</v>
      </c>
      <c r="AE263" s="0" t="s">
        <v>295</v>
      </c>
      <c r="AH263" s="0" t="n">
        <v>1</v>
      </c>
      <c r="AJ263" s="0" t="n">
        <v>10</v>
      </c>
      <c r="AP263" s="0" t="n">
        <v>280000</v>
      </c>
      <c r="DB263" s="0" t="str">
        <f aca="false">IF($A263="","",IF(AND($A263=21,$AE263&amp;""="00000000"),IF($AH263=20,"病院",IF($AH263=5,"消防","市長")),"対象外"))</f>
        <v>対象外</v>
      </c>
    </row>
    <row r="264" customFormat="false" ht="15" hidden="false" customHeight="false" outlineLevel="0" collapsed="false">
      <c r="A264" s="0" t="n">
        <v>31</v>
      </c>
      <c r="AA264" s="0" t="n">
        <v>21</v>
      </c>
      <c r="AB264" s="0" t="s">
        <v>496</v>
      </c>
      <c r="AD264" s="0" t="n">
        <v>0</v>
      </c>
      <c r="AE264" s="0" t="s">
        <v>295</v>
      </c>
      <c r="AH264" s="0" t="n">
        <v>1</v>
      </c>
      <c r="AJ264" s="0" t="n">
        <v>41</v>
      </c>
      <c r="AP264" s="0" t="n">
        <v>220000</v>
      </c>
      <c r="DB264" s="0" t="str">
        <f aca="false">IF($A264="","",IF(AND($A264=21,$AE264&amp;""="00000000"),IF($AH264=20,"病院",IF($AH264=5,"消防","市長")),"対象外"))</f>
        <v>対象外</v>
      </c>
    </row>
    <row r="265" customFormat="false" ht="15" hidden="false" customHeight="false" outlineLevel="0" collapsed="false">
      <c r="A265" s="0" t="n">
        <v>21</v>
      </c>
      <c r="AA265" s="0" t="n">
        <v>21</v>
      </c>
      <c r="AB265" s="0" t="s">
        <v>441</v>
      </c>
      <c r="AD265" s="0" t="n">
        <v>0</v>
      </c>
      <c r="AE265" s="0" t="s">
        <v>295</v>
      </c>
      <c r="AH265" s="0" t="n">
        <v>11</v>
      </c>
      <c r="AJ265" s="0" t="n">
        <v>10</v>
      </c>
      <c r="AP265" s="0" t="n">
        <v>410000</v>
      </c>
      <c r="DB265" s="0" t="str">
        <f aca="false">IF($A265="","",IF(AND($A265=21,$AE265&amp;""="00000000"),IF($AH265=20,"病院",IF($AH265=5,"消防","市長")),"対象外"))</f>
        <v>市長</v>
      </c>
    </row>
    <row r="266" customFormat="false" ht="15" hidden="false" customHeight="false" outlineLevel="0" collapsed="false">
      <c r="A266" s="0" t="n">
        <v>31</v>
      </c>
      <c r="AA266" s="0" t="n">
        <v>21</v>
      </c>
      <c r="AB266" s="0" t="s">
        <v>496</v>
      </c>
      <c r="AD266" s="0" t="n">
        <v>0</v>
      </c>
      <c r="AE266" s="0" t="s">
        <v>295</v>
      </c>
      <c r="AH266" s="0" t="n">
        <v>11</v>
      </c>
      <c r="AJ266" s="0" t="n">
        <v>41</v>
      </c>
      <c r="AP266" s="0" t="n">
        <v>118000</v>
      </c>
      <c r="DB266" s="0" t="str">
        <f aca="false">IF($A266="","",IF(AND($A266=21,$AE266&amp;""="00000000"),IF($AH266=20,"病院",IF($AH266=5,"消防","市長")),"対象外"))</f>
        <v>対象外</v>
      </c>
    </row>
    <row r="267" customFormat="false" ht="15" hidden="false" customHeight="false" outlineLevel="0" collapsed="false">
      <c r="A267" s="0" t="n">
        <v>31</v>
      </c>
      <c r="AA267" s="0" t="n">
        <v>21</v>
      </c>
      <c r="AB267" s="0" t="s">
        <v>484</v>
      </c>
      <c r="AD267" s="0" t="n">
        <v>0</v>
      </c>
      <c r="AE267" s="0" t="s">
        <v>295</v>
      </c>
      <c r="AH267" s="0" t="n">
        <v>1</v>
      </c>
      <c r="AJ267" s="0" t="n">
        <v>10</v>
      </c>
      <c r="AP267" s="0" t="n">
        <v>260000</v>
      </c>
      <c r="DB267" s="0" t="str">
        <f aca="false">IF($A267="","",IF(AND($A267=21,$AE267&amp;""="00000000"),IF($AH267=20,"病院",IF($AH267=5,"消防","市長")),"対象外"))</f>
        <v>対象外</v>
      </c>
    </row>
    <row r="268" customFormat="false" ht="15" hidden="false" customHeight="false" outlineLevel="0" collapsed="false">
      <c r="A268" s="0" t="n">
        <v>31</v>
      </c>
      <c r="AA268" s="0" t="n">
        <v>21</v>
      </c>
      <c r="AB268" s="0" t="s">
        <v>496</v>
      </c>
      <c r="AD268" s="0" t="n">
        <v>0</v>
      </c>
      <c r="AE268" s="0" t="s">
        <v>295</v>
      </c>
      <c r="AH268" s="0" t="n">
        <v>11</v>
      </c>
      <c r="AJ268" s="0" t="n">
        <v>41</v>
      </c>
      <c r="AP268" s="0" t="n">
        <v>126000</v>
      </c>
      <c r="DB268" s="0" t="str">
        <f aca="false">IF($A268="","",IF(AND($A268=21,$AE268&amp;""="00000000"),IF($AH268=20,"病院",IF($AH268=5,"消防","市長")),"対象外"))</f>
        <v>対象外</v>
      </c>
    </row>
    <row r="269" customFormat="false" ht="15" hidden="false" customHeight="false" outlineLevel="0" collapsed="false">
      <c r="A269" s="0" t="n">
        <v>31</v>
      </c>
      <c r="AA269" s="0" t="n">
        <v>24</v>
      </c>
      <c r="AB269" s="0" t="s">
        <v>318</v>
      </c>
      <c r="AD269" s="0" t="n">
        <v>0</v>
      </c>
      <c r="AE269" s="0" t="s">
        <v>295</v>
      </c>
      <c r="AH269" s="0" t="n">
        <v>11</v>
      </c>
      <c r="AJ269" s="0" t="n">
        <v>41</v>
      </c>
      <c r="AP269" s="0" t="n">
        <v>126000</v>
      </c>
      <c r="DB269" s="0" t="str">
        <f aca="false">IF($A269="","",IF(AND($A269=21,$AE269&amp;""="00000000"),IF($AH269=20,"病院",IF($AH269=5,"消防","市長")),"対象外"))</f>
        <v>対象外</v>
      </c>
    </row>
    <row r="270" customFormat="false" ht="15" hidden="false" customHeight="false" outlineLevel="0" collapsed="false">
      <c r="A270" s="0" t="n">
        <v>31</v>
      </c>
      <c r="AA270" s="0" t="n">
        <v>21</v>
      </c>
      <c r="AB270" s="0" t="s">
        <v>496</v>
      </c>
      <c r="AD270" s="0" t="n">
        <v>0</v>
      </c>
      <c r="AE270" s="0" t="s">
        <v>295</v>
      </c>
      <c r="AH270" s="0" t="n">
        <v>11</v>
      </c>
      <c r="AJ270" s="0" t="n">
        <v>41</v>
      </c>
      <c r="AP270" s="0" t="n">
        <v>190000</v>
      </c>
      <c r="DB270" s="0" t="str">
        <f aca="false">IF($A270="","",IF(AND($A270=21,$AE270&amp;""="00000000"),IF($AH270=20,"病院",IF($AH270=5,"消防","市長")),"対象外"))</f>
        <v>対象外</v>
      </c>
    </row>
    <row r="271" customFormat="false" ht="15" hidden="false" customHeight="false" outlineLevel="0" collapsed="false">
      <c r="A271" s="0" t="n">
        <v>31</v>
      </c>
      <c r="AA271" s="0" t="n">
        <v>21</v>
      </c>
      <c r="AB271" s="0" t="s">
        <v>496</v>
      </c>
      <c r="AD271" s="0" t="n">
        <v>0</v>
      </c>
      <c r="AE271" s="0" t="s">
        <v>295</v>
      </c>
      <c r="AH271" s="0" t="n">
        <v>1</v>
      </c>
      <c r="AJ271" s="0" t="n">
        <v>41</v>
      </c>
      <c r="AP271" s="0" t="n">
        <v>190000</v>
      </c>
      <c r="DB271" s="0" t="str">
        <f aca="false">IF($A271="","",IF(AND($A271=21,$AE271&amp;""="00000000"),IF($AH271=20,"病院",IF($AH271=5,"消防","市長")),"対象外"))</f>
        <v>対象外</v>
      </c>
    </row>
    <row r="272" customFormat="false" ht="15" hidden="false" customHeight="false" outlineLevel="0" collapsed="false">
      <c r="A272" s="0" t="n">
        <v>31</v>
      </c>
      <c r="AA272" s="0" t="n">
        <v>21</v>
      </c>
      <c r="AB272" s="0" t="s">
        <v>496</v>
      </c>
      <c r="AD272" s="0" t="n">
        <v>0</v>
      </c>
      <c r="AE272" s="0" t="s">
        <v>295</v>
      </c>
      <c r="AH272" s="0" t="n">
        <v>1</v>
      </c>
      <c r="AJ272" s="0" t="n">
        <v>41</v>
      </c>
      <c r="AP272" s="0" t="n">
        <v>220000</v>
      </c>
      <c r="DB272" s="0" t="str">
        <f aca="false">IF($A272="","",IF(AND($A272=21,$AE272&amp;""="00000000"),IF($AH272=20,"病院",IF($AH272=5,"消防","市長")),"対象外"))</f>
        <v>対象外</v>
      </c>
    </row>
    <row r="273" customFormat="false" ht="15" hidden="false" customHeight="false" outlineLevel="0" collapsed="false">
      <c r="A273" s="0" t="n">
        <v>21</v>
      </c>
      <c r="AA273" s="0" t="n">
        <v>21</v>
      </c>
      <c r="AB273" s="0" t="s">
        <v>446</v>
      </c>
      <c r="AD273" s="0" t="n">
        <v>0</v>
      </c>
      <c r="AE273" s="0" t="s">
        <v>295</v>
      </c>
      <c r="AH273" s="0" t="n">
        <v>1</v>
      </c>
      <c r="AJ273" s="0" t="n">
        <v>10</v>
      </c>
      <c r="AP273" s="0" t="n">
        <v>440000</v>
      </c>
      <c r="DB273" s="0" t="str">
        <f aca="false">IF($A273="","",IF(AND($A273=21,$AE273&amp;""="00000000"),IF($AH273=20,"病院",IF($AH273=5,"消防","市長")),"対象外"))</f>
        <v>市長</v>
      </c>
    </row>
    <row r="274" customFormat="false" ht="15" hidden="false" customHeight="false" outlineLevel="0" collapsed="false">
      <c r="A274" s="0" t="n">
        <v>21</v>
      </c>
      <c r="AA274" s="0" t="n">
        <v>21</v>
      </c>
      <c r="AB274" s="0" t="s">
        <v>448</v>
      </c>
      <c r="AD274" s="0" t="n">
        <v>0</v>
      </c>
      <c r="AE274" s="0" t="s">
        <v>295</v>
      </c>
      <c r="AH274" s="0" t="n">
        <v>11</v>
      </c>
      <c r="AJ274" s="0" t="n">
        <v>10</v>
      </c>
      <c r="AP274" s="0" t="n">
        <v>410000</v>
      </c>
      <c r="DB274" s="0" t="str">
        <f aca="false">IF($A274="","",IF(AND($A274=21,$AE274&amp;""="00000000"),IF($AH274=20,"病院",IF($AH274=5,"消防","市長")),"対象外"))</f>
        <v>市長</v>
      </c>
    </row>
    <row r="275" customFormat="false" ht="15" hidden="false" customHeight="false" outlineLevel="0" collapsed="false">
      <c r="A275" s="0" t="n">
        <v>31</v>
      </c>
      <c r="AA275" s="0" t="n">
        <v>21</v>
      </c>
      <c r="AB275" s="0" t="s">
        <v>496</v>
      </c>
      <c r="AD275" s="0" t="n">
        <v>0</v>
      </c>
      <c r="AE275" s="0" t="s">
        <v>295</v>
      </c>
      <c r="AH275" s="0" t="n">
        <v>1</v>
      </c>
      <c r="AJ275" s="0" t="n">
        <v>41</v>
      </c>
      <c r="AP275" s="0" t="n">
        <v>142000</v>
      </c>
      <c r="DB275" s="0" t="str">
        <f aca="false">IF($A275="","",IF(AND($A275=21,$AE275&amp;""="00000000"),IF($AH275=20,"病院",IF($AH275=5,"消防","市長")),"対象外"))</f>
        <v>対象外</v>
      </c>
    </row>
    <row r="276" customFormat="false" ht="15" hidden="false" customHeight="false" outlineLevel="0" collapsed="false">
      <c r="A276" s="0" t="n">
        <v>21</v>
      </c>
      <c r="AA276" s="0" t="n">
        <v>21</v>
      </c>
      <c r="AB276" s="0" t="s">
        <v>611</v>
      </c>
      <c r="AD276" s="0" t="n">
        <v>0</v>
      </c>
      <c r="AE276" s="0" t="s">
        <v>295</v>
      </c>
      <c r="AH276" s="0" t="n">
        <v>20</v>
      </c>
      <c r="AJ276" s="0" t="n">
        <v>10</v>
      </c>
      <c r="AP276" s="0" t="n">
        <v>530000</v>
      </c>
      <c r="DB276" s="0" t="str">
        <f aca="false">IF($A276="","",IF(AND($A276=21,$AE276&amp;""="00000000"),IF($AH276=20,"病院",IF($AH276=5,"消防","市長")),"対象外"))</f>
        <v>病院</v>
      </c>
    </row>
    <row r="277" customFormat="false" ht="15" hidden="false" customHeight="false" outlineLevel="0" collapsed="false">
      <c r="A277" s="0" t="n">
        <v>21</v>
      </c>
      <c r="AA277" s="0" t="n">
        <v>21</v>
      </c>
      <c r="AB277" s="0" t="s">
        <v>612</v>
      </c>
      <c r="AD277" s="0" t="n">
        <v>0</v>
      </c>
      <c r="AE277" s="0" t="s">
        <v>295</v>
      </c>
      <c r="AH277" s="0" t="n">
        <v>20</v>
      </c>
      <c r="AJ277" s="0" t="n">
        <v>10</v>
      </c>
      <c r="AP277" s="0" t="n">
        <v>500000</v>
      </c>
      <c r="DB277" s="0" t="str">
        <f aca="false">IF($A277="","",IF(AND($A277=21,$AE277&amp;""="00000000"),IF($AH277=20,"病院",IF($AH277=5,"消防","市長")),"対象外"))</f>
        <v>病院</v>
      </c>
    </row>
    <row r="278" customFormat="false" ht="15" hidden="false" customHeight="false" outlineLevel="0" collapsed="false">
      <c r="A278" s="0" t="n">
        <v>31</v>
      </c>
      <c r="AA278" s="0" t="n">
        <v>21</v>
      </c>
      <c r="AB278" s="0" t="s">
        <v>496</v>
      </c>
      <c r="AD278" s="0" t="n">
        <v>0</v>
      </c>
      <c r="AE278" s="0" t="s">
        <v>295</v>
      </c>
      <c r="AH278" s="0" t="n">
        <v>11</v>
      </c>
      <c r="AJ278" s="0" t="n">
        <v>41</v>
      </c>
      <c r="AP278" s="0" t="n">
        <v>190000</v>
      </c>
      <c r="DB278" s="0" t="str">
        <f aca="false">IF($A278="","",IF(AND($A278=21,$AE278&amp;""="00000000"),IF($AH278=20,"病院",IF($AH278=5,"消防","市長")),"対象外"))</f>
        <v>対象外</v>
      </c>
    </row>
    <row r="279" customFormat="false" ht="15" hidden="false" customHeight="false" outlineLevel="0" collapsed="false">
      <c r="A279" s="0" t="n">
        <v>31</v>
      </c>
      <c r="AA279" s="0" t="n">
        <v>21</v>
      </c>
      <c r="AB279" s="0" t="s">
        <v>496</v>
      </c>
      <c r="AD279" s="0" t="n">
        <v>0</v>
      </c>
      <c r="AE279" s="0" t="s">
        <v>295</v>
      </c>
      <c r="AH279" s="0" t="n">
        <v>11</v>
      </c>
      <c r="AJ279" s="0" t="n">
        <v>41</v>
      </c>
      <c r="AP279" s="0" t="n">
        <v>180000</v>
      </c>
      <c r="DB279" s="0" t="str">
        <f aca="false">IF($A279="","",IF(AND($A279=21,$AE279&amp;""="00000000"),IF($AH279=20,"病院",IF($AH279=5,"消防","市長")),"対象外"))</f>
        <v>対象外</v>
      </c>
    </row>
    <row r="280" customFormat="false" ht="15" hidden="false" customHeight="false" outlineLevel="0" collapsed="false">
      <c r="A280" s="0" t="n">
        <v>21</v>
      </c>
      <c r="AA280" s="0" t="n">
        <v>21</v>
      </c>
      <c r="AB280" s="0" t="s">
        <v>415</v>
      </c>
      <c r="AD280" s="0" t="n">
        <v>0</v>
      </c>
      <c r="AE280" s="0" t="s">
        <v>295</v>
      </c>
      <c r="AH280" s="0" t="n">
        <v>1</v>
      </c>
      <c r="AJ280" s="0" t="n">
        <v>10</v>
      </c>
      <c r="AP280" s="0" t="n">
        <v>620000</v>
      </c>
      <c r="DB280" s="0" t="str">
        <f aca="false">IF($A280="","",IF(AND($A280=21,$AE280&amp;""="00000000"),IF($AH280=20,"病院",IF($AH280=5,"消防","市長")),"対象外"))</f>
        <v>市長</v>
      </c>
    </row>
    <row r="281" customFormat="false" ht="15" hidden="false" customHeight="false" outlineLevel="0" collapsed="false">
      <c r="A281" s="0" t="n">
        <v>21</v>
      </c>
      <c r="AA281" s="0" t="n">
        <v>21</v>
      </c>
      <c r="AB281" s="0" t="s">
        <v>405</v>
      </c>
      <c r="AD281" s="0" t="n">
        <v>0</v>
      </c>
      <c r="AE281" s="0" t="s">
        <v>295</v>
      </c>
      <c r="AH281" s="0" t="n">
        <v>1</v>
      </c>
      <c r="AJ281" s="0" t="n">
        <v>10</v>
      </c>
      <c r="AP281" s="0" t="n">
        <v>500000</v>
      </c>
      <c r="DB281" s="0" t="str">
        <f aca="false">IF($A281="","",IF(AND($A281=21,$AE281&amp;""="00000000"),IF($AH281=20,"病院",IF($AH281=5,"消防","市長")),"対象外"))</f>
        <v>市長</v>
      </c>
    </row>
    <row r="282" customFormat="false" ht="15" hidden="false" customHeight="false" outlineLevel="0" collapsed="false">
      <c r="A282" s="0" t="n">
        <v>31</v>
      </c>
      <c r="AA282" s="0" t="n">
        <v>21</v>
      </c>
      <c r="AB282" s="0" t="s">
        <v>494</v>
      </c>
      <c r="AD282" s="0" t="n">
        <v>0</v>
      </c>
      <c r="AE282" s="0" t="s">
        <v>295</v>
      </c>
      <c r="AH282" s="0" t="n">
        <v>1</v>
      </c>
      <c r="AJ282" s="0" t="n">
        <v>41</v>
      </c>
      <c r="AP282" s="0" t="n">
        <v>190000</v>
      </c>
      <c r="DB282" s="0" t="str">
        <f aca="false">IF($A282="","",IF(AND($A282=21,$AE282&amp;""="00000000"),IF($AH282=20,"病院",IF($AH282=5,"消防","市長")),"対象外"))</f>
        <v>対象外</v>
      </c>
    </row>
    <row r="283" customFormat="false" ht="15" hidden="false" customHeight="false" outlineLevel="0" collapsed="false">
      <c r="A283" s="0" t="n">
        <v>21</v>
      </c>
      <c r="AA283" s="0" t="n">
        <v>21</v>
      </c>
      <c r="AB283" s="0" t="s">
        <v>404</v>
      </c>
      <c r="AD283" s="0" t="n">
        <v>0</v>
      </c>
      <c r="AE283" s="0" t="s">
        <v>295</v>
      </c>
      <c r="AH283" s="0" t="n">
        <v>1</v>
      </c>
      <c r="AJ283" s="0" t="n">
        <v>10</v>
      </c>
      <c r="AP283" s="0" t="n">
        <v>530000</v>
      </c>
      <c r="DB283" s="0" t="str">
        <f aca="false">IF($A283="","",IF(AND($A283=21,$AE283&amp;""="00000000"),IF($AH283=20,"病院",IF($AH283=5,"消防","市長")),"対象外"))</f>
        <v>市長</v>
      </c>
    </row>
    <row r="284" customFormat="false" ht="15" hidden="false" customHeight="false" outlineLevel="0" collapsed="false">
      <c r="A284" s="0" t="n">
        <v>21</v>
      </c>
      <c r="AA284" s="0" t="n">
        <v>21</v>
      </c>
      <c r="AB284" s="0" t="s">
        <v>390</v>
      </c>
      <c r="AD284" s="0" t="n">
        <v>0</v>
      </c>
      <c r="AE284" s="0" t="s">
        <v>295</v>
      </c>
      <c r="AH284" s="0" t="n">
        <v>1</v>
      </c>
      <c r="AJ284" s="0" t="n">
        <v>10</v>
      </c>
      <c r="AP284" s="0" t="n">
        <v>620000</v>
      </c>
      <c r="DB284" s="0" t="str">
        <f aca="false">IF($A284="","",IF(AND($A284=21,$AE284&amp;""="00000000"),IF($AH284=20,"病院",IF($AH284=5,"消防","市長")),"対象外"))</f>
        <v>市長</v>
      </c>
    </row>
    <row r="285" customFormat="false" ht="15" hidden="false" customHeight="false" outlineLevel="0" collapsed="false">
      <c r="A285" s="0" t="n">
        <v>31</v>
      </c>
      <c r="AA285" s="0" t="n">
        <v>21</v>
      </c>
      <c r="AB285" s="0" t="s">
        <v>496</v>
      </c>
      <c r="AD285" s="0" t="n">
        <v>0</v>
      </c>
      <c r="AE285" s="0" t="s">
        <v>295</v>
      </c>
      <c r="AH285" s="0" t="n">
        <v>1</v>
      </c>
      <c r="AJ285" s="0" t="n">
        <v>41</v>
      </c>
      <c r="AP285" s="0" t="n">
        <v>200000</v>
      </c>
      <c r="DB285" s="0" t="str">
        <f aca="false">IF($A285="","",IF(AND($A285=21,$AE285&amp;""="00000000"),IF($AH285=20,"病院",IF($AH285=5,"消防","市長")),"対象外"))</f>
        <v>対象外</v>
      </c>
    </row>
    <row r="286" customFormat="false" ht="15" hidden="false" customHeight="false" outlineLevel="0" collapsed="false">
      <c r="A286" s="0" t="n">
        <v>21</v>
      </c>
      <c r="AA286" s="0" t="n">
        <v>21</v>
      </c>
      <c r="AB286" s="0" t="s">
        <v>433</v>
      </c>
      <c r="AD286" s="0" t="n">
        <v>0</v>
      </c>
      <c r="AE286" s="0" t="s">
        <v>295</v>
      </c>
      <c r="AH286" s="0" t="n">
        <v>11</v>
      </c>
      <c r="AJ286" s="0" t="n">
        <v>10</v>
      </c>
      <c r="AP286" s="0" t="n">
        <v>440000</v>
      </c>
      <c r="DB286" s="0" t="str">
        <f aca="false">IF($A286="","",IF(AND($A286=21,$AE286&amp;""="00000000"),IF($AH286=20,"病院",IF($AH286=5,"消防","市長")),"対象外"))</f>
        <v>市長</v>
      </c>
    </row>
    <row r="287" customFormat="false" ht="15" hidden="false" customHeight="false" outlineLevel="0" collapsed="false">
      <c r="A287" s="0" t="n">
        <v>21</v>
      </c>
      <c r="AA287" s="0" t="n">
        <v>24</v>
      </c>
      <c r="AB287" s="0" t="s">
        <v>426</v>
      </c>
      <c r="AD287" s="0" t="n">
        <v>0</v>
      </c>
      <c r="AE287" s="0" t="s">
        <v>295</v>
      </c>
      <c r="AH287" s="0" t="n">
        <v>20</v>
      </c>
      <c r="AJ287" s="0" t="n">
        <v>10</v>
      </c>
      <c r="AP287" s="0" t="n">
        <v>300000</v>
      </c>
      <c r="DB287" s="0" t="str">
        <f aca="false">IF($A287="","",IF(AND($A287=21,$AE287&amp;""="00000000"),IF($AH287=20,"病院",IF($AH287=5,"消防","市長")),"対象外"))</f>
        <v>病院</v>
      </c>
    </row>
    <row r="288" customFormat="false" ht="15" hidden="false" customHeight="false" outlineLevel="0" collapsed="false">
      <c r="A288" s="0" t="n">
        <v>31</v>
      </c>
      <c r="AA288" s="0" t="n">
        <v>21</v>
      </c>
      <c r="AB288" s="0" t="s">
        <v>613</v>
      </c>
      <c r="AD288" s="0" t="n">
        <v>0</v>
      </c>
      <c r="AE288" s="0" t="s">
        <v>295</v>
      </c>
      <c r="AH288" s="0" t="n">
        <v>1</v>
      </c>
      <c r="AJ288" s="0" t="n">
        <v>10</v>
      </c>
      <c r="AP288" s="0" t="n">
        <v>280000</v>
      </c>
      <c r="DB288" s="0" t="str">
        <f aca="false">IF($A288="","",IF(AND($A288=21,$AE288&amp;""="00000000"),IF($AH288=20,"病院",IF($AH288=5,"消防","市長")),"対象外"))</f>
        <v>対象外</v>
      </c>
    </row>
    <row r="289" customFormat="false" ht="15" hidden="false" customHeight="false" outlineLevel="0" collapsed="false">
      <c r="A289" s="0" t="n">
        <v>31</v>
      </c>
      <c r="AA289" s="0" t="n">
        <v>21</v>
      </c>
      <c r="AB289" s="0" t="s">
        <v>496</v>
      </c>
      <c r="AD289" s="0" t="n">
        <v>0</v>
      </c>
      <c r="AE289" s="0" t="s">
        <v>295</v>
      </c>
      <c r="AH289" s="0" t="n">
        <v>1</v>
      </c>
      <c r="AJ289" s="0" t="n">
        <v>41</v>
      </c>
      <c r="AP289" s="0" t="n">
        <v>104000</v>
      </c>
      <c r="DB289" s="0" t="str">
        <f aca="false">IF($A289="","",IF(AND($A289=21,$AE289&amp;""="00000000"),IF($AH289=20,"病院",IF($AH289=5,"消防","市長")),"対象外"))</f>
        <v>対象外</v>
      </c>
    </row>
    <row r="290" customFormat="false" ht="15" hidden="false" customHeight="false" outlineLevel="0" collapsed="false">
      <c r="A290" s="0" t="n">
        <v>31</v>
      </c>
      <c r="AA290" s="0" t="n">
        <v>24</v>
      </c>
      <c r="AB290" s="0" t="s">
        <v>301</v>
      </c>
      <c r="AD290" s="0" t="n">
        <v>0</v>
      </c>
      <c r="AE290" s="0" t="s">
        <v>295</v>
      </c>
      <c r="AH290" s="0" t="n">
        <v>27</v>
      </c>
      <c r="AJ290" s="0" t="n">
        <v>41</v>
      </c>
      <c r="AP290" s="0" t="n">
        <v>190000</v>
      </c>
      <c r="DB290" s="0" t="str">
        <f aca="false">IF($A290="","",IF(AND($A290=21,$AE290&amp;""="00000000"),IF($AH290=20,"病院",IF($AH290=5,"消防","市長")),"対象外"))</f>
        <v>対象外</v>
      </c>
    </row>
    <row r="291" customFormat="false" ht="15" hidden="false" customHeight="false" outlineLevel="0" collapsed="false">
      <c r="A291" s="0" t="n">
        <v>31</v>
      </c>
      <c r="AA291" s="0" t="n">
        <v>21</v>
      </c>
      <c r="AB291" s="0" t="s">
        <v>496</v>
      </c>
      <c r="AD291" s="0" t="n">
        <v>0</v>
      </c>
      <c r="AE291" s="0" t="s">
        <v>295</v>
      </c>
      <c r="AH291" s="0" t="n">
        <v>1</v>
      </c>
      <c r="AJ291" s="0" t="n">
        <v>41</v>
      </c>
      <c r="AP291" s="0" t="n">
        <v>150000</v>
      </c>
      <c r="DB291" s="0" t="str">
        <f aca="false">IF($A291="","",IF(AND($A291=21,$AE291&amp;""="00000000"),IF($AH291=20,"病院",IF($AH291=5,"消防","市長")),"対象外"))</f>
        <v>対象外</v>
      </c>
    </row>
    <row r="292" customFormat="false" ht="15" hidden="false" customHeight="false" outlineLevel="0" collapsed="false">
      <c r="A292" s="0" t="n">
        <v>21</v>
      </c>
      <c r="AA292" s="0" t="n">
        <v>21</v>
      </c>
      <c r="AB292" s="0" t="s">
        <v>446</v>
      </c>
      <c r="AD292" s="0" t="n">
        <v>0</v>
      </c>
      <c r="AE292" s="0" t="s">
        <v>295</v>
      </c>
      <c r="AH292" s="0" t="n">
        <v>11</v>
      </c>
      <c r="AJ292" s="0" t="n">
        <v>10</v>
      </c>
      <c r="AP292" s="0" t="n">
        <v>410000</v>
      </c>
      <c r="DB292" s="0" t="str">
        <f aca="false">IF($A292="","",IF(AND($A292=21,$AE292&amp;""="00000000"),IF($AH292=20,"病院",IF($AH292=5,"消防","市長")),"対象外"))</f>
        <v>市長</v>
      </c>
    </row>
    <row r="293" customFormat="false" ht="15" hidden="false" customHeight="false" outlineLevel="0" collapsed="false">
      <c r="A293" s="0" t="n">
        <v>31</v>
      </c>
      <c r="AA293" s="0" t="n">
        <v>21</v>
      </c>
      <c r="AB293" s="0" t="s">
        <v>458</v>
      </c>
      <c r="AD293" s="0" t="n">
        <v>0</v>
      </c>
      <c r="AE293" s="0" t="s">
        <v>295</v>
      </c>
      <c r="AH293" s="0" t="n">
        <v>1</v>
      </c>
      <c r="AJ293" s="0" t="n">
        <v>10</v>
      </c>
      <c r="AP293" s="0" t="n">
        <v>280000</v>
      </c>
      <c r="DB293" s="0" t="str">
        <f aca="false">IF($A293="","",IF(AND($A293=21,$AE293&amp;""="00000000"),IF($AH293=20,"病院",IF($AH293=5,"消防","市長")),"対象外"))</f>
        <v>対象外</v>
      </c>
    </row>
    <row r="294" customFormat="false" ht="15" hidden="false" customHeight="false" outlineLevel="0" collapsed="false">
      <c r="A294" s="0" t="n">
        <v>31</v>
      </c>
      <c r="AA294" s="0" t="n">
        <v>21</v>
      </c>
      <c r="AB294" s="0" t="s">
        <v>496</v>
      </c>
      <c r="AD294" s="0" t="n">
        <v>0</v>
      </c>
      <c r="AE294" s="0" t="s">
        <v>295</v>
      </c>
      <c r="AH294" s="0" t="n">
        <v>1</v>
      </c>
      <c r="AJ294" s="0" t="n">
        <v>41</v>
      </c>
      <c r="AP294" s="0" t="n">
        <v>142000</v>
      </c>
      <c r="DB294" s="0" t="str">
        <f aca="false">IF($A294="","",IF(AND($A294=21,$AE294&amp;""="00000000"),IF($AH294=20,"病院",IF($AH294=5,"消防","市長")),"対象外"))</f>
        <v>対象外</v>
      </c>
    </row>
    <row r="295" customFormat="false" ht="15" hidden="false" customHeight="false" outlineLevel="0" collapsed="false">
      <c r="A295" s="0" t="n">
        <v>21</v>
      </c>
      <c r="AA295" s="0" t="n">
        <v>21</v>
      </c>
      <c r="AB295" s="0" t="s">
        <v>614</v>
      </c>
      <c r="AD295" s="0" t="n">
        <v>0</v>
      </c>
      <c r="AE295" s="0" t="s">
        <v>295</v>
      </c>
      <c r="AH295" s="0" t="n">
        <v>20</v>
      </c>
      <c r="AJ295" s="0" t="n">
        <v>10</v>
      </c>
      <c r="AP295" s="0" t="n">
        <v>500000</v>
      </c>
      <c r="DB295" s="0" t="str">
        <f aca="false">IF($A295="","",IF(AND($A295=21,$AE295&amp;""="00000000"),IF($AH295=20,"病院",IF($AH295=5,"消防","市長")),"対象外"))</f>
        <v>病院</v>
      </c>
    </row>
    <row r="296" customFormat="false" ht="15" hidden="false" customHeight="false" outlineLevel="0" collapsed="false">
      <c r="A296" s="0" t="n">
        <v>31</v>
      </c>
      <c r="AA296" s="0" t="n">
        <v>21</v>
      </c>
      <c r="AB296" s="0" t="s">
        <v>496</v>
      </c>
      <c r="AD296" s="0" t="n">
        <v>0</v>
      </c>
      <c r="AE296" s="0" t="s">
        <v>295</v>
      </c>
      <c r="AH296" s="0" t="n">
        <v>1</v>
      </c>
      <c r="AJ296" s="0" t="n">
        <v>41</v>
      </c>
      <c r="AP296" s="0" t="n">
        <v>150000</v>
      </c>
      <c r="DB296" s="0" t="str">
        <f aca="false">IF($A296="","",IF(AND($A296=21,$AE296&amp;""="00000000"),IF($AH296=20,"病院",IF($AH296=5,"消防","市長")),"対象外"))</f>
        <v>対象外</v>
      </c>
    </row>
    <row r="297" customFormat="false" ht="15" hidden="false" customHeight="false" outlineLevel="0" collapsed="false">
      <c r="A297" s="0" t="n">
        <v>31</v>
      </c>
      <c r="AA297" s="0" t="n">
        <v>21</v>
      </c>
      <c r="AB297" s="0" t="s">
        <v>496</v>
      </c>
      <c r="AD297" s="0" t="n">
        <v>0</v>
      </c>
      <c r="AE297" s="0" t="s">
        <v>295</v>
      </c>
      <c r="AH297" s="0" t="n">
        <v>1</v>
      </c>
      <c r="AJ297" s="0" t="n">
        <v>41</v>
      </c>
      <c r="AP297" s="0" t="n">
        <v>150000</v>
      </c>
      <c r="DB297" s="0" t="str">
        <f aca="false">IF($A297="","",IF(AND($A297=21,$AE297&amp;""="00000000"),IF($AH297=20,"病院",IF($AH297=5,"消防","市長")),"対象外"))</f>
        <v>対象外</v>
      </c>
    </row>
    <row r="298" customFormat="false" ht="15" hidden="false" customHeight="false" outlineLevel="0" collapsed="false">
      <c r="A298" s="0" t="n">
        <v>31</v>
      </c>
      <c r="AA298" s="0" t="n">
        <v>21</v>
      </c>
      <c r="AB298" s="0" t="s">
        <v>496</v>
      </c>
      <c r="AD298" s="0" t="n">
        <v>0</v>
      </c>
      <c r="AE298" s="0" t="s">
        <v>295</v>
      </c>
      <c r="AH298" s="0" t="n">
        <v>1</v>
      </c>
      <c r="AJ298" s="0" t="n">
        <v>41</v>
      </c>
      <c r="AP298" s="0" t="n">
        <v>200000</v>
      </c>
      <c r="DB298" s="0" t="str">
        <f aca="false">IF($A298="","",IF(AND($A298=21,$AE298&amp;""="00000000"),IF($AH298=20,"病院",IF($AH298=5,"消防","市長")),"対象外"))</f>
        <v>対象外</v>
      </c>
    </row>
    <row r="299" customFormat="false" ht="15" hidden="false" customHeight="false" outlineLevel="0" collapsed="false">
      <c r="A299" s="0" t="n">
        <v>31</v>
      </c>
      <c r="AA299" s="0" t="n">
        <v>21</v>
      </c>
      <c r="AB299" s="0" t="s">
        <v>496</v>
      </c>
      <c r="AD299" s="0" t="n">
        <v>0</v>
      </c>
      <c r="AE299" s="0" t="s">
        <v>295</v>
      </c>
      <c r="AH299" s="0" t="n">
        <v>1</v>
      </c>
      <c r="AJ299" s="0" t="n">
        <v>41</v>
      </c>
      <c r="AP299" s="0" t="n">
        <v>170000</v>
      </c>
      <c r="DB299" s="0" t="str">
        <f aca="false">IF($A299="","",IF(AND($A299=21,$AE299&amp;""="00000000"),IF($AH299=20,"病院",IF($AH299=5,"消防","市長")),"対象外"))</f>
        <v>対象外</v>
      </c>
    </row>
    <row r="300" customFormat="false" ht="15" hidden="false" customHeight="false" outlineLevel="0" collapsed="false">
      <c r="A300" s="0" t="n">
        <v>21</v>
      </c>
      <c r="AA300" s="0" t="n">
        <v>21</v>
      </c>
      <c r="AB300" s="0" t="s">
        <v>423</v>
      </c>
      <c r="AD300" s="0" t="n">
        <v>0</v>
      </c>
      <c r="AE300" s="0" t="s">
        <v>295</v>
      </c>
      <c r="AH300" s="0" t="n">
        <v>20</v>
      </c>
      <c r="AJ300" s="0" t="n">
        <v>10</v>
      </c>
      <c r="AP300" s="0" t="n">
        <v>440000</v>
      </c>
      <c r="DB300" s="0" t="str">
        <f aca="false">IF($A300="","",IF(AND($A300=21,$AE300&amp;""="00000000"),IF($AH300=20,"病院",IF($AH300=5,"消防","市長")),"対象外"))</f>
        <v>病院</v>
      </c>
    </row>
    <row r="301" customFormat="false" ht="15" hidden="false" customHeight="false" outlineLevel="0" collapsed="false">
      <c r="A301" s="0" t="n">
        <v>31</v>
      </c>
      <c r="AA301" s="0" t="n">
        <v>21</v>
      </c>
      <c r="AB301" s="0" t="s">
        <v>458</v>
      </c>
      <c r="AD301" s="0" t="n">
        <v>0</v>
      </c>
      <c r="AE301" s="0" t="s">
        <v>295</v>
      </c>
      <c r="AH301" s="0" t="n">
        <v>1</v>
      </c>
      <c r="AJ301" s="0" t="n">
        <v>10</v>
      </c>
      <c r="AP301" s="0" t="n">
        <v>280000</v>
      </c>
      <c r="DB301" s="0" t="str">
        <f aca="false">IF($A301="","",IF(AND($A301=21,$AE301&amp;""="00000000"),IF($AH301=20,"病院",IF($AH301=5,"消防","市長")),"対象外"))</f>
        <v>対象外</v>
      </c>
    </row>
    <row r="302" customFormat="false" ht="15" hidden="false" customHeight="false" outlineLevel="0" collapsed="false">
      <c r="A302" s="0" t="n">
        <v>31</v>
      </c>
      <c r="AA302" s="0" t="n">
        <v>21</v>
      </c>
      <c r="AB302" s="0" t="s">
        <v>496</v>
      </c>
      <c r="AD302" s="0" t="n">
        <v>0</v>
      </c>
      <c r="AE302" s="0" t="s">
        <v>295</v>
      </c>
      <c r="AH302" s="0" t="n">
        <v>11</v>
      </c>
      <c r="AJ302" s="0" t="n">
        <v>41</v>
      </c>
      <c r="AP302" s="0" t="n">
        <v>134000</v>
      </c>
      <c r="DB302" s="0" t="str">
        <f aca="false">IF($A302="","",IF(AND($A302=21,$AE302&amp;""="00000000"),IF($AH302=20,"病院",IF($AH302=5,"消防","市長")),"対象外"))</f>
        <v>対象外</v>
      </c>
    </row>
    <row r="303" customFormat="false" ht="15" hidden="false" customHeight="false" outlineLevel="0" collapsed="false">
      <c r="A303" s="0" t="n">
        <v>21</v>
      </c>
      <c r="AA303" s="0" t="n">
        <v>21</v>
      </c>
      <c r="AB303" s="0" t="s">
        <v>446</v>
      </c>
      <c r="AD303" s="0" t="n">
        <v>0</v>
      </c>
      <c r="AE303" s="0" t="s">
        <v>295</v>
      </c>
      <c r="AH303" s="0" t="n">
        <v>11</v>
      </c>
      <c r="AJ303" s="0" t="n">
        <v>10</v>
      </c>
      <c r="AP303" s="0" t="n">
        <v>410000</v>
      </c>
      <c r="DB303" s="0" t="str">
        <f aca="false">IF($A303="","",IF(AND($A303=21,$AE303&amp;""="00000000"),IF($AH303=20,"病院",IF($AH303=5,"消防","市長")),"対象外"))</f>
        <v>市長</v>
      </c>
    </row>
    <row r="304" customFormat="false" ht="15" hidden="false" customHeight="false" outlineLevel="0" collapsed="false">
      <c r="A304" s="0" t="n">
        <v>31</v>
      </c>
      <c r="AA304" s="0" t="n">
        <v>21</v>
      </c>
      <c r="AB304" s="0" t="s">
        <v>96</v>
      </c>
      <c r="AD304" s="0" t="n">
        <v>0</v>
      </c>
      <c r="AE304" s="0" t="s">
        <v>295</v>
      </c>
      <c r="AH304" s="0" t="n">
        <v>1</v>
      </c>
      <c r="AJ304" s="0" t="n">
        <v>41</v>
      </c>
      <c r="AP304" s="0" t="n">
        <v>260000</v>
      </c>
      <c r="DB304" s="0" t="str">
        <f aca="false">IF($A304="","",IF(AND($A304=21,$AE304&amp;""="00000000"),IF($AH304=20,"病院",IF($AH304=5,"消防","市長")),"対象外"))</f>
        <v>対象外</v>
      </c>
    </row>
    <row r="305" customFormat="false" ht="15" hidden="false" customHeight="false" outlineLevel="0" collapsed="false">
      <c r="A305" s="0" t="n">
        <v>31</v>
      </c>
      <c r="AA305" s="0" t="n">
        <v>21</v>
      </c>
      <c r="AB305" s="0" t="s">
        <v>496</v>
      </c>
      <c r="AD305" s="0" t="n">
        <v>0</v>
      </c>
      <c r="AE305" s="0" t="s">
        <v>295</v>
      </c>
      <c r="AH305" s="0" t="n">
        <v>1</v>
      </c>
      <c r="AJ305" s="0" t="n">
        <v>41</v>
      </c>
      <c r="AP305" s="0" t="n">
        <v>134000</v>
      </c>
      <c r="DB305" s="0" t="str">
        <f aca="false">IF($A305="","",IF(AND($A305=21,$AE305&amp;""="00000000"),IF($AH305=20,"病院",IF($AH305=5,"消防","市長")),"対象外"))</f>
        <v>対象外</v>
      </c>
    </row>
    <row r="306" customFormat="false" ht="15" hidden="false" customHeight="false" outlineLevel="0" collapsed="false">
      <c r="A306" s="0" t="n">
        <v>21</v>
      </c>
      <c r="AA306" s="0" t="n">
        <v>21</v>
      </c>
      <c r="AB306" s="0" t="s">
        <v>603</v>
      </c>
      <c r="AD306" s="0" t="n">
        <v>0</v>
      </c>
      <c r="AE306" s="0" t="s">
        <v>295</v>
      </c>
      <c r="AH306" s="0" t="n">
        <v>11</v>
      </c>
      <c r="AJ306" s="0" t="n">
        <v>10</v>
      </c>
      <c r="AP306" s="0" t="n">
        <v>410000</v>
      </c>
      <c r="DB306" s="0" t="str">
        <f aca="false">IF($A306="","",IF(AND($A306=21,$AE306&amp;""="00000000"),IF($AH306=20,"病院",IF($AH306=5,"消防","市長")),"対象外"))</f>
        <v>市長</v>
      </c>
    </row>
    <row r="307" customFormat="false" ht="15" hidden="false" customHeight="false" outlineLevel="0" collapsed="false">
      <c r="A307" s="0" t="n">
        <v>21</v>
      </c>
      <c r="AA307" s="0" t="n">
        <v>21</v>
      </c>
      <c r="AB307" s="0" t="s">
        <v>404</v>
      </c>
      <c r="AD307" s="0" t="n">
        <v>0</v>
      </c>
      <c r="AE307" s="0" t="s">
        <v>295</v>
      </c>
      <c r="AH307" s="0" t="n">
        <v>1</v>
      </c>
      <c r="AJ307" s="0" t="n">
        <v>10</v>
      </c>
      <c r="AP307" s="0" t="n">
        <v>530000</v>
      </c>
      <c r="DB307" s="0" t="str">
        <f aca="false">IF($A307="","",IF(AND($A307=21,$AE307&amp;""="00000000"),IF($AH307=20,"病院",IF($AH307=5,"消防","市長")),"対象外"))</f>
        <v>市長</v>
      </c>
    </row>
    <row r="308" customFormat="false" ht="15" hidden="false" customHeight="false" outlineLevel="0" collapsed="false">
      <c r="A308" s="0" t="n">
        <v>21</v>
      </c>
      <c r="AA308" s="0" t="n">
        <v>21</v>
      </c>
      <c r="AB308" s="0" t="s">
        <v>404</v>
      </c>
      <c r="AD308" s="0" t="n">
        <v>0</v>
      </c>
      <c r="AE308" s="0" t="s">
        <v>295</v>
      </c>
      <c r="AH308" s="0" t="n">
        <v>4</v>
      </c>
      <c r="AJ308" s="0" t="n">
        <v>10</v>
      </c>
      <c r="AP308" s="0" t="n">
        <v>440000</v>
      </c>
      <c r="DB308" s="0" t="str">
        <f aca="false">IF($A308="","",IF(AND($A308=21,$AE308&amp;""="00000000"),IF($AH308=20,"病院",IF($AH308=5,"消防","市長")),"対象外"))</f>
        <v>市長</v>
      </c>
    </row>
    <row r="309" customFormat="false" ht="15" hidden="false" customHeight="false" outlineLevel="0" collapsed="false">
      <c r="A309" s="0" t="n">
        <v>31</v>
      </c>
      <c r="AA309" s="0" t="n">
        <v>21</v>
      </c>
      <c r="AB309" s="0" t="s">
        <v>569</v>
      </c>
      <c r="AD309" s="0" t="n">
        <v>0</v>
      </c>
      <c r="AE309" s="0" t="s">
        <v>295</v>
      </c>
      <c r="AH309" s="0" t="n">
        <v>20</v>
      </c>
      <c r="AJ309" s="0" t="n">
        <v>41</v>
      </c>
      <c r="AP309" s="0" t="n">
        <v>180000</v>
      </c>
      <c r="DB309" s="0" t="str">
        <f aca="false">IF($A309="","",IF(AND($A309=21,$AE309&amp;""="00000000"),IF($AH309=20,"病院",IF($AH309=5,"消防","市長")),"対象外"))</f>
        <v>対象外</v>
      </c>
    </row>
    <row r="310" customFormat="false" ht="15" hidden="false" customHeight="false" outlineLevel="0" collapsed="false">
      <c r="A310" s="0" t="n">
        <v>21</v>
      </c>
      <c r="AA310" s="0" t="n">
        <v>21</v>
      </c>
      <c r="AB310" s="0" t="s">
        <v>413</v>
      </c>
      <c r="AD310" s="0" t="n">
        <v>0</v>
      </c>
      <c r="AE310" s="0" t="s">
        <v>295</v>
      </c>
      <c r="AH310" s="0" t="n">
        <v>11</v>
      </c>
      <c r="AJ310" s="0" t="n">
        <v>10</v>
      </c>
      <c r="AP310" s="0" t="n">
        <v>530000</v>
      </c>
      <c r="DB310" s="0" t="str">
        <f aca="false">IF($A310="","",IF(AND($A310=21,$AE310&amp;""="00000000"),IF($AH310=20,"病院",IF($AH310=5,"消防","市長")),"対象外"))</f>
        <v>市長</v>
      </c>
    </row>
    <row r="311" customFormat="false" ht="15" hidden="false" customHeight="false" outlineLevel="0" collapsed="false">
      <c r="A311" s="0" t="n">
        <v>31</v>
      </c>
      <c r="AA311" s="0" t="n">
        <v>21</v>
      </c>
      <c r="AB311" s="0" t="s">
        <v>484</v>
      </c>
      <c r="AD311" s="0" t="n">
        <v>0</v>
      </c>
      <c r="AE311" s="0" t="s">
        <v>295</v>
      </c>
      <c r="AH311" s="0" t="n">
        <v>1</v>
      </c>
      <c r="AJ311" s="0" t="n">
        <v>41</v>
      </c>
      <c r="AP311" s="0" t="n">
        <v>200000</v>
      </c>
      <c r="DB311" s="0" t="str">
        <f aca="false">IF($A311="","",IF(AND($A311=21,$AE311&amp;""="00000000"),IF($AH311=20,"病院",IF($AH311=5,"消防","市長")),"対象外"))</f>
        <v>対象外</v>
      </c>
    </row>
    <row r="312" customFormat="false" ht="15" hidden="false" customHeight="false" outlineLevel="0" collapsed="false">
      <c r="A312" s="0" t="n">
        <v>21</v>
      </c>
      <c r="AA312" s="0" t="n">
        <v>21</v>
      </c>
      <c r="AB312" s="0" t="s">
        <v>96</v>
      </c>
      <c r="AD312" s="0" t="n">
        <v>0</v>
      </c>
      <c r="AE312" s="0" t="s">
        <v>295</v>
      </c>
      <c r="AH312" s="0" t="n">
        <v>20</v>
      </c>
      <c r="AJ312" s="0" t="n">
        <v>10</v>
      </c>
      <c r="AP312" s="0" t="n">
        <v>880000</v>
      </c>
      <c r="DB312" s="0" t="str">
        <f aca="false">IF($A312="","",IF(AND($A312=21,$AE312&amp;""="00000000"),IF($AH312=20,"病院",IF($AH312=5,"消防","市長")),"対象外"))</f>
        <v>病院</v>
      </c>
    </row>
    <row r="313" customFormat="false" ht="15" hidden="false" customHeight="false" outlineLevel="0" collapsed="false">
      <c r="A313" s="0" t="n">
        <v>31</v>
      </c>
      <c r="AA313" s="0" t="n">
        <v>21</v>
      </c>
      <c r="AB313" s="0" t="s">
        <v>496</v>
      </c>
      <c r="AD313" s="0" t="n">
        <v>0</v>
      </c>
      <c r="AE313" s="0" t="s">
        <v>295</v>
      </c>
      <c r="AH313" s="0" t="n">
        <v>1</v>
      </c>
      <c r="AJ313" s="0" t="n">
        <v>41</v>
      </c>
      <c r="AP313" s="0" t="n">
        <v>142000</v>
      </c>
      <c r="DB313" s="0" t="str">
        <f aca="false">IF($A313="","",IF(AND($A313=21,$AE313&amp;""="00000000"),IF($AH313=20,"病院",IF($AH313=5,"消防","市長")),"対象外"))</f>
        <v>対象外</v>
      </c>
    </row>
    <row r="314" customFormat="false" ht="15" hidden="false" customHeight="false" outlineLevel="0" collapsed="false">
      <c r="A314" s="0" t="n">
        <v>21</v>
      </c>
      <c r="AA314" s="0" t="n">
        <v>21</v>
      </c>
      <c r="AB314" s="0" t="s">
        <v>450</v>
      </c>
      <c r="AD314" s="0" t="n">
        <v>0</v>
      </c>
      <c r="AE314" s="0" t="s">
        <v>295</v>
      </c>
      <c r="AH314" s="0" t="n">
        <v>11</v>
      </c>
      <c r="AJ314" s="0" t="n">
        <v>10</v>
      </c>
      <c r="AP314" s="0" t="n">
        <v>470000</v>
      </c>
      <c r="DB314" s="0" t="str">
        <f aca="false">IF($A314="","",IF(AND($A314=21,$AE314&amp;""="00000000"),IF($AH314=20,"病院",IF($AH314=5,"消防","市長")),"対象外"))</f>
        <v>市長</v>
      </c>
    </row>
    <row r="315" customFormat="false" ht="15" hidden="false" customHeight="false" outlineLevel="0" collapsed="false">
      <c r="A315" s="0" t="n">
        <v>21</v>
      </c>
      <c r="AA315" s="0" t="n">
        <v>21</v>
      </c>
      <c r="AB315" s="0" t="s">
        <v>413</v>
      </c>
      <c r="AD315" s="0" t="n">
        <v>0</v>
      </c>
      <c r="AE315" s="0" t="s">
        <v>295</v>
      </c>
      <c r="AH315" s="0" t="n">
        <v>1</v>
      </c>
      <c r="AJ315" s="0" t="n">
        <v>10</v>
      </c>
      <c r="AP315" s="0" t="n">
        <v>620000</v>
      </c>
      <c r="DB315" s="0" t="str">
        <f aca="false">IF($A315="","",IF(AND($A315=21,$AE315&amp;""="00000000"),IF($AH315=20,"病院",IF($AH315=5,"消防","市長")),"対象外"))</f>
        <v>市長</v>
      </c>
    </row>
    <row r="316" customFormat="false" ht="15" hidden="false" customHeight="false" outlineLevel="0" collapsed="false">
      <c r="A316" s="0" t="n">
        <v>31</v>
      </c>
      <c r="AA316" s="0" t="n">
        <v>21</v>
      </c>
      <c r="AB316" s="0" t="s">
        <v>496</v>
      </c>
      <c r="AD316" s="0" t="n">
        <v>0</v>
      </c>
      <c r="AE316" s="0" t="s">
        <v>295</v>
      </c>
      <c r="AH316" s="0" t="n">
        <v>1</v>
      </c>
      <c r="AJ316" s="0" t="n">
        <v>41</v>
      </c>
      <c r="AP316" s="0" t="n">
        <v>200000</v>
      </c>
      <c r="DB316" s="0" t="str">
        <f aca="false">IF($A316="","",IF(AND($A316=21,$AE316&amp;""="00000000"),IF($AH316=20,"病院",IF($AH316=5,"消防","市長")),"対象外"))</f>
        <v>対象外</v>
      </c>
    </row>
    <row r="317" customFormat="false" ht="15" hidden="false" customHeight="false" outlineLevel="0" collapsed="false">
      <c r="A317" s="0" t="n">
        <v>31</v>
      </c>
      <c r="AA317" s="0" t="n">
        <v>21</v>
      </c>
      <c r="AB317" s="0" t="s">
        <v>496</v>
      </c>
      <c r="AD317" s="0" t="n">
        <v>0</v>
      </c>
      <c r="AE317" s="0" t="s">
        <v>295</v>
      </c>
      <c r="AH317" s="0" t="n">
        <v>1</v>
      </c>
      <c r="AJ317" s="0" t="n">
        <v>41</v>
      </c>
      <c r="AP317" s="0" t="n">
        <v>200000</v>
      </c>
      <c r="DB317" s="0" t="str">
        <f aca="false">IF($A317="","",IF(AND($A317=21,$AE317&amp;""="00000000"),IF($AH317=20,"病院",IF($AH317=5,"消防","市長")),"対象外"))</f>
        <v>対象外</v>
      </c>
    </row>
    <row r="318" customFormat="false" ht="15" hidden="false" customHeight="false" outlineLevel="0" collapsed="false">
      <c r="A318" s="0" t="n">
        <v>21</v>
      </c>
      <c r="AA318" s="0" t="n">
        <v>21</v>
      </c>
      <c r="AB318" s="0" t="s">
        <v>422</v>
      </c>
      <c r="AD318" s="0" t="n">
        <v>0</v>
      </c>
      <c r="AE318" s="0" t="s">
        <v>295</v>
      </c>
      <c r="AH318" s="0" t="n">
        <v>20</v>
      </c>
      <c r="AJ318" s="0" t="n">
        <v>10</v>
      </c>
      <c r="AP318" s="0" t="n">
        <v>530000</v>
      </c>
      <c r="DB318" s="0" t="str">
        <f aca="false">IF($A318="","",IF(AND($A318=21,$AE318&amp;""="00000000"),IF($AH318=20,"病院",IF($AH318=5,"消防","市長")),"対象外"))</f>
        <v>病院</v>
      </c>
    </row>
    <row r="319" customFormat="false" ht="15" hidden="false" customHeight="false" outlineLevel="0" collapsed="false">
      <c r="A319" s="0" t="n">
        <v>31</v>
      </c>
      <c r="AA319" s="0" t="n">
        <v>21</v>
      </c>
      <c r="AB319" s="0" t="s">
        <v>496</v>
      </c>
      <c r="AD319" s="0" t="n">
        <v>0</v>
      </c>
      <c r="AE319" s="0" t="s">
        <v>295</v>
      </c>
      <c r="AH319" s="0" t="n">
        <v>1</v>
      </c>
      <c r="AJ319" s="0" t="n">
        <v>41</v>
      </c>
      <c r="AP319" s="0" t="n">
        <v>200000</v>
      </c>
      <c r="DB319" s="0" t="str">
        <f aca="false">IF($A319="","",IF(AND($A319=21,$AE319&amp;""="00000000"),IF($AH319=20,"病院",IF($AH319=5,"消防","市長")),"対象外"))</f>
        <v>対象外</v>
      </c>
    </row>
    <row r="320" customFormat="false" ht="15" hidden="false" customHeight="false" outlineLevel="0" collapsed="false">
      <c r="A320" s="0" t="n">
        <v>21</v>
      </c>
      <c r="AA320" s="0" t="n">
        <v>21</v>
      </c>
      <c r="AB320" s="0" t="s">
        <v>472</v>
      </c>
      <c r="AD320" s="0" t="n">
        <v>0</v>
      </c>
      <c r="AE320" s="0" t="s">
        <v>295</v>
      </c>
      <c r="AH320" s="0" t="n">
        <v>11</v>
      </c>
      <c r="AJ320" s="0" t="n">
        <v>10</v>
      </c>
      <c r="AP320" s="0" t="n">
        <v>590000</v>
      </c>
      <c r="DB320" s="0" t="str">
        <f aca="false">IF($A320="","",IF(AND($A320=21,$AE320&amp;""="00000000"),IF($AH320=20,"病院",IF($AH320=5,"消防","市長")),"対象外"))</f>
        <v>市長</v>
      </c>
    </row>
    <row r="321" customFormat="false" ht="15" hidden="false" customHeight="false" outlineLevel="0" collapsed="false">
      <c r="A321" s="0" t="n">
        <v>21</v>
      </c>
      <c r="AA321" s="0" t="n">
        <v>21</v>
      </c>
      <c r="AB321" s="0" t="s">
        <v>450</v>
      </c>
      <c r="AD321" s="0" t="n">
        <v>0</v>
      </c>
      <c r="AE321" s="0" t="s">
        <v>295</v>
      </c>
      <c r="AH321" s="0" t="n">
        <v>1</v>
      </c>
      <c r="AJ321" s="0" t="n">
        <v>10</v>
      </c>
      <c r="AP321" s="0" t="n">
        <v>500000</v>
      </c>
      <c r="DB321" s="0" t="str">
        <f aca="false">IF($A321="","",IF(AND($A321=21,$AE321&amp;""="00000000"),IF($AH321=20,"病院",IF($AH321=5,"消防","市長")),"対象外"))</f>
        <v>市長</v>
      </c>
    </row>
    <row r="322" customFormat="false" ht="15" hidden="false" customHeight="false" outlineLevel="0" collapsed="false">
      <c r="A322" s="0" t="n">
        <v>31</v>
      </c>
      <c r="AA322" s="0" t="n">
        <v>21</v>
      </c>
      <c r="AB322" s="0" t="s">
        <v>569</v>
      </c>
      <c r="AD322" s="0" t="n">
        <v>0</v>
      </c>
      <c r="AE322" s="0" t="s">
        <v>295</v>
      </c>
      <c r="AH322" s="0" t="n">
        <v>1</v>
      </c>
      <c r="AJ322" s="0" t="n">
        <v>41</v>
      </c>
      <c r="AP322" s="0" t="n">
        <v>88000</v>
      </c>
      <c r="DB322" s="0" t="str">
        <f aca="false">IF($A322="","",IF(AND($A322=21,$AE322&amp;""="00000000"),IF($AH322=20,"病院",IF($AH322=5,"消防","市長")),"対象外"))</f>
        <v>対象外</v>
      </c>
    </row>
    <row r="323" customFormat="false" ht="15" hidden="false" customHeight="false" outlineLevel="0" collapsed="false">
      <c r="A323" s="0" t="n">
        <v>31</v>
      </c>
      <c r="AA323" s="0" t="n">
        <v>21</v>
      </c>
      <c r="AB323" s="0" t="s">
        <v>294</v>
      </c>
      <c r="AD323" s="0" t="n">
        <v>0</v>
      </c>
      <c r="AE323" s="0" t="s">
        <v>295</v>
      </c>
      <c r="AH323" s="0" t="n">
        <v>1</v>
      </c>
      <c r="AJ323" s="0" t="n">
        <v>41</v>
      </c>
      <c r="AP323" s="0" t="n">
        <v>190000</v>
      </c>
      <c r="DB323" s="0" t="str">
        <f aca="false">IF($A323="","",IF(AND($A323=21,$AE323&amp;""="00000000"),IF($AH323=20,"病院",IF($AH323=5,"消防","市長")),"対象外"))</f>
        <v>対象外</v>
      </c>
    </row>
    <row r="324" customFormat="false" ht="15" hidden="false" customHeight="false" outlineLevel="0" collapsed="false">
      <c r="A324" s="0" t="n">
        <v>31</v>
      </c>
      <c r="AA324" s="0" t="n">
        <v>21</v>
      </c>
      <c r="AB324" s="0" t="s">
        <v>496</v>
      </c>
      <c r="AD324" s="0" t="n">
        <v>0</v>
      </c>
      <c r="AE324" s="0" t="s">
        <v>295</v>
      </c>
      <c r="AH324" s="0" t="n">
        <v>1</v>
      </c>
      <c r="AJ324" s="0" t="n">
        <v>41</v>
      </c>
      <c r="AP324" s="0" t="n">
        <v>220000</v>
      </c>
      <c r="DB324" s="0" t="str">
        <f aca="false">IF($A324="","",IF(AND($A324=21,$AE324&amp;""="00000000"),IF($AH324=20,"病院",IF($AH324=5,"消防","市長")),"対象外"))</f>
        <v>対象外</v>
      </c>
    </row>
    <row r="325" customFormat="false" ht="15" hidden="false" customHeight="false" outlineLevel="0" collapsed="false">
      <c r="A325" s="0" t="n">
        <v>21</v>
      </c>
      <c r="AA325" s="0" t="n">
        <v>21</v>
      </c>
      <c r="AB325" s="0" t="s">
        <v>416</v>
      </c>
      <c r="AD325" s="0" t="n">
        <v>0</v>
      </c>
      <c r="AE325" s="0" t="s">
        <v>295</v>
      </c>
      <c r="AH325" s="0" t="n">
        <v>20</v>
      </c>
      <c r="AJ325" s="0" t="n">
        <v>10</v>
      </c>
      <c r="AP325" s="0" t="n">
        <v>500000</v>
      </c>
      <c r="DB325" s="0" t="str">
        <f aca="false">IF($A325="","",IF(AND($A325=21,$AE325&amp;""="00000000"),IF($AH325=20,"病院",IF($AH325=5,"消防","市長")),"対象外"))</f>
        <v>病院</v>
      </c>
    </row>
    <row r="326" customFormat="false" ht="15" hidden="false" customHeight="false" outlineLevel="0" collapsed="false">
      <c r="A326" s="0" t="n">
        <v>31</v>
      </c>
      <c r="AA326" s="0" t="n">
        <v>21</v>
      </c>
      <c r="AB326" s="0" t="s">
        <v>496</v>
      </c>
      <c r="AD326" s="0" t="n">
        <v>0</v>
      </c>
      <c r="AE326" s="0" t="s">
        <v>295</v>
      </c>
      <c r="AH326" s="0" t="n">
        <v>1</v>
      </c>
      <c r="AJ326" s="0" t="n">
        <v>41</v>
      </c>
      <c r="AP326" s="0" t="n">
        <v>190000</v>
      </c>
      <c r="DB326" s="0" t="str">
        <f aca="false">IF($A326="","",IF(AND($A326=21,$AE326&amp;""="00000000"),IF($AH326=20,"病院",IF($AH326=5,"消防","市長")),"対象外"))</f>
        <v>対象外</v>
      </c>
    </row>
    <row r="327" customFormat="false" ht="15" hidden="false" customHeight="false" outlineLevel="0" collapsed="false">
      <c r="A327" s="0" t="n">
        <v>31</v>
      </c>
      <c r="AA327" s="0" t="n">
        <v>21</v>
      </c>
      <c r="AB327" s="0" t="s">
        <v>494</v>
      </c>
      <c r="AD327" s="0" t="n">
        <v>0</v>
      </c>
      <c r="AE327" s="0" t="s">
        <v>295</v>
      </c>
      <c r="AH327" s="0" t="n">
        <v>1</v>
      </c>
      <c r="AJ327" s="0" t="n">
        <v>41</v>
      </c>
      <c r="AP327" s="0" t="n">
        <v>220000</v>
      </c>
      <c r="DB327" s="0" t="str">
        <f aca="false">IF($A327="","",IF(AND($A327=21,$AE327&amp;""="00000000"),IF($AH327=20,"病院",IF($AH327=5,"消防","市長")),"対象外"))</f>
        <v>対象外</v>
      </c>
    </row>
    <row r="328" customFormat="false" ht="15" hidden="false" customHeight="false" outlineLevel="0" collapsed="false">
      <c r="A328" s="0" t="n">
        <v>31</v>
      </c>
      <c r="AA328" s="0" t="n">
        <v>21</v>
      </c>
      <c r="AB328" s="0" t="s">
        <v>496</v>
      </c>
      <c r="AD328" s="0" t="n">
        <v>0</v>
      </c>
      <c r="AE328" s="0" t="s">
        <v>295</v>
      </c>
      <c r="AH328" s="0" t="n">
        <v>11</v>
      </c>
      <c r="AJ328" s="0" t="n">
        <v>41</v>
      </c>
      <c r="AP328" s="0" t="n">
        <v>126000</v>
      </c>
      <c r="DB328" s="0" t="str">
        <f aca="false">IF($A328="","",IF(AND($A328=21,$AE328&amp;""="00000000"),IF($AH328=20,"病院",IF($AH328=5,"消防","市長")),"対象外"))</f>
        <v>対象外</v>
      </c>
    </row>
    <row r="329" customFormat="false" ht="15" hidden="false" customHeight="false" outlineLevel="0" collapsed="false">
      <c r="A329" s="0" t="n">
        <v>31</v>
      </c>
      <c r="AA329" s="0" t="n">
        <v>21</v>
      </c>
      <c r="AB329" s="0" t="s">
        <v>484</v>
      </c>
      <c r="AD329" s="0" t="n">
        <v>0</v>
      </c>
      <c r="AE329" s="0" t="s">
        <v>295</v>
      </c>
      <c r="AH329" s="0" t="n">
        <v>1</v>
      </c>
      <c r="AJ329" s="0" t="n">
        <v>10</v>
      </c>
      <c r="AP329" s="0" t="n">
        <v>280000</v>
      </c>
      <c r="DB329" s="0" t="str">
        <f aca="false">IF($A329="","",IF(AND($A329=21,$AE329&amp;""="00000000"),IF($AH329=20,"病院",IF($AH329=5,"消防","市長")),"対象外"))</f>
        <v>対象外</v>
      </c>
    </row>
    <row r="330" customFormat="false" ht="15" hidden="false" customHeight="false" outlineLevel="0" collapsed="false">
      <c r="A330" s="0" t="n">
        <v>31</v>
      </c>
      <c r="AA330" s="0" t="n">
        <v>21</v>
      </c>
      <c r="AB330" s="0" t="s">
        <v>496</v>
      </c>
      <c r="AD330" s="0" t="n">
        <v>0</v>
      </c>
      <c r="AE330" s="0" t="s">
        <v>295</v>
      </c>
      <c r="AH330" s="0" t="n">
        <v>1</v>
      </c>
      <c r="AJ330" s="0" t="n">
        <v>41</v>
      </c>
      <c r="AP330" s="0" t="n">
        <v>200000</v>
      </c>
      <c r="DB330" s="0" t="str">
        <f aca="false">IF($A330="","",IF(AND($A330=21,$AE330&amp;""="00000000"),IF($AH330=20,"病院",IF($AH330=5,"消防","市長")),"対象外"))</f>
        <v>対象外</v>
      </c>
    </row>
    <row r="331" customFormat="false" ht="15" hidden="false" customHeight="false" outlineLevel="0" collapsed="false">
      <c r="A331" s="0" t="n">
        <v>31</v>
      </c>
      <c r="AA331" s="0" t="n">
        <v>21</v>
      </c>
      <c r="AB331" s="0" t="s">
        <v>382</v>
      </c>
      <c r="AD331" s="0" t="n">
        <v>0</v>
      </c>
      <c r="AE331" s="0" t="s">
        <v>295</v>
      </c>
      <c r="AH331" s="0" t="n">
        <v>1</v>
      </c>
      <c r="AJ331" s="0" t="n">
        <v>41</v>
      </c>
      <c r="AP331" s="0" t="n">
        <v>126000</v>
      </c>
      <c r="DB331" s="0" t="str">
        <f aca="false">IF($A331="","",IF(AND($A331=21,$AE331&amp;""="00000000"),IF($AH331=20,"病院",IF($AH331=5,"消防","市長")),"対象外"))</f>
        <v>対象外</v>
      </c>
    </row>
    <row r="332" customFormat="false" ht="15" hidden="false" customHeight="false" outlineLevel="0" collapsed="false">
      <c r="A332" s="0" t="n">
        <v>31</v>
      </c>
      <c r="AA332" s="0" t="n">
        <v>21</v>
      </c>
      <c r="AB332" s="0" t="s">
        <v>496</v>
      </c>
      <c r="AD332" s="0" t="n">
        <v>0</v>
      </c>
      <c r="AE332" s="0" t="s">
        <v>295</v>
      </c>
      <c r="AH332" s="0" t="n">
        <v>1</v>
      </c>
      <c r="AJ332" s="0" t="n">
        <v>41</v>
      </c>
      <c r="AP332" s="0" t="n">
        <v>142000</v>
      </c>
      <c r="DB332" s="0" t="str">
        <f aca="false">IF($A332="","",IF(AND($A332=21,$AE332&amp;""="00000000"),IF($AH332=20,"病院",IF($AH332=5,"消防","市長")),"対象外"))</f>
        <v>対象外</v>
      </c>
    </row>
    <row r="333" customFormat="false" ht="15" hidden="false" customHeight="false" outlineLevel="0" collapsed="false">
      <c r="A333" s="0" t="n">
        <v>31</v>
      </c>
      <c r="AA333" s="0" t="n">
        <v>21</v>
      </c>
      <c r="AB333" s="0" t="s">
        <v>496</v>
      </c>
      <c r="AD333" s="0" t="n">
        <v>0</v>
      </c>
      <c r="AE333" s="0" t="s">
        <v>295</v>
      </c>
      <c r="AH333" s="0" t="n">
        <v>1</v>
      </c>
      <c r="AJ333" s="0" t="n">
        <v>41</v>
      </c>
      <c r="AP333" s="0" t="n">
        <v>134000</v>
      </c>
      <c r="DB333" s="0" t="str">
        <f aca="false">IF($A333="","",IF(AND($A333=21,$AE333&amp;""="00000000"),IF($AH333=20,"病院",IF($AH333=5,"消防","市長")),"対象外"))</f>
        <v>対象外</v>
      </c>
    </row>
    <row r="334" customFormat="false" ht="15" hidden="false" customHeight="false" outlineLevel="0" collapsed="false">
      <c r="A334" s="0" t="n">
        <v>21</v>
      </c>
      <c r="AA334" s="0" t="n">
        <v>21</v>
      </c>
      <c r="AB334" s="0" t="s">
        <v>443</v>
      </c>
      <c r="AD334" s="0" t="n">
        <v>0</v>
      </c>
      <c r="AE334" s="0" t="s">
        <v>295</v>
      </c>
      <c r="AH334" s="0" t="n">
        <v>11</v>
      </c>
      <c r="AJ334" s="0" t="n">
        <v>10</v>
      </c>
      <c r="AP334" s="0" t="n">
        <v>410000</v>
      </c>
      <c r="DB334" s="0" t="str">
        <f aca="false">IF($A334="","",IF(AND($A334=21,$AE334&amp;""="00000000"),IF($AH334=20,"病院",IF($AH334=5,"消防","市長")),"対象外"))</f>
        <v>市長</v>
      </c>
    </row>
    <row r="335" customFormat="false" ht="15" hidden="false" customHeight="false" outlineLevel="0" collapsed="false">
      <c r="A335" s="0" t="n">
        <v>21</v>
      </c>
      <c r="AA335" s="0" t="n">
        <v>21</v>
      </c>
      <c r="AB335" s="0" t="s">
        <v>431</v>
      </c>
      <c r="AD335" s="0" t="n">
        <v>0</v>
      </c>
      <c r="AE335" s="0" t="s">
        <v>295</v>
      </c>
      <c r="AH335" s="0" t="n">
        <v>11</v>
      </c>
      <c r="AJ335" s="0" t="n">
        <v>10</v>
      </c>
      <c r="AP335" s="0" t="n">
        <v>440000</v>
      </c>
      <c r="DB335" s="0" t="str">
        <f aca="false">IF($A335="","",IF(AND($A335=21,$AE335&amp;""="00000000"),IF($AH335=20,"病院",IF($AH335=5,"消防","市長")),"対象外"))</f>
        <v>市長</v>
      </c>
    </row>
    <row r="336" customFormat="false" ht="15" hidden="false" customHeight="false" outlineLevel="0" collapsed="false">
      <c r="A336" s="0" t="n">
        <v>31</v>
      </c>
      <c r="AA336" s="0" t="n">
        <v>21</v>
      </c>
      <c r="AB336" s="0" t="s">
        <v>494</v>
      </c>
      <c r="AD336" s="0" t="n">
        <v>0</v>
      </c>
      <c r="AE336" s="0" t="s">
        <v>295</v>
      </c>
      <c r="AH336" s="0" t="n">
        <v>1</v>
      </c>
      <c r="AJ336" s="0" t="n">
        <v>41</v>
      </c>
      <c r="AP336" s="0" t="n">
        <v>134000</v>
      </c>
      <c r="DB336" s="0" t="str">
        <f aca="false">IF($A336="","",IF(AND($A336=21,$AE336&amp;""="00000000"),IF($AH336=20,"病院",IF($AH336=5,"消防","市長")),"対象外"))</f>
        <v>対象外</v>
      </c>
    </row>
    <row r="337" customFormat="false" ht="15" hidden="false" customHeight="false" outlineLevel="0" collapsed="false">
      <c r="A337" s="0" t="n">
        <v>21</v>
      </c>
      <c r="AA337" s="0" t="n">
        <v>21</v>
      </c>
      <c r="AB337" s="0" t="s">
        <v>451</v>
      </c>
      <c r="AD337" s="0" t="n">
        <v>0</v>
      </c>
      <c r="AE337" s="0" t="s">
        <v>295</v>
      </c>
      <c r="AH337" s="0" t="n">
        <v>1</v>
      </c>
      <c r="AJ337" s="0" t="n">
        <v>10</v>
      </c>
      <c r="AP337" s="0" t="n">
        <v>410000</v>
      </c>
      <c r="DB337" s="0" t="str">
        <f aca="false">IF($A337="","",IF(AND($A337=21,$AE337&amp;""="00000000"),IF($AH337=20,"病院",IF($AH337=5,"消防","市長")),"対象外"))</f>
        <v>市長</v>
      </c>
    </row>
    <row r="338" customFormat="false" ht="15" hidden="false" customHeight="false" outlineLevel="0" collapsed="false">
      <c r="A338" s="0" t="n">
        <v>31</v>
      </c>
      <c r="AA338" s="0" t="n">
        <v>21</v>
      </c>
      <c r="AB338" s="0" t="s">
        <v>458</v>
      </c>
      <c r="AD338" s="0" t="n">
        <v>0</v>
      </c>
      <c r="AE338" s="0" t="s">
        <v>295</v>
      </c>
      <c r="AH338" s="0" t="n">
        <v>1</v>
      </c>
      <c r="AJ338" s="0" t="n">
        <v>10</v>
      </c>
      <c r="AP338" s="0" t="n">
        <v>280000</v>
      </c>
      <c r="DB338" s="0" t="str">
        <f aca="false">IF($A338="","",IF(AND($A338=21,$AE338&amp;""="00000000"),IF($AH338=20,"病院",IF($AH338=5,"消防","市長")),"対象外"))</f>
        <v>対象外</v>
      </c>
    </row>
    <row r="339" customFormat="false" ht="15" hidden="false" customHeight="false" outlineLevel="0" collapsed="false">
      <c r="A339" s="0" t="n">
        <v>31</v>
      </c>
      <c r="AA339" s="0" t="n">
        <v>21</v>
      </c>
      <c r="AB339" s="0" t="s">
        <v>496</v>
      </c>
      <c r="AD339" s="0" t="n">
        <v>0</v>
      </c>
      <c r="AE339" s="0" t="s">
        <v>295</v>
      </c>
      <c r="AH339" s="0" t="n">
        <v>1</v>
      </c>
      <c r="AJ339" s="0" t="n">
        <v>41</v>
      </c>
      <c r="AP339" s="0" t="n">
        <v>150000</v>
      </c>
      <c r="DB339" s="0" t="str">
        <f aca="false">IF($A339="","",IF(AND($A339=21,$AE339&amp;""="00000000"),IF($AH339=20,"病院",IF($AH339=5,"消防","市長")),"対象外"))</f>
        <v>対象外</v>
      </c>
    </row>
    <row r="340" customFormat="false" ht="15" hidden="false" customHeight="false" outlineLevel="0" collapsed="false">
      <c r="A340" s="0" t="n">
        <v>21</v>
      </c>
      <c r="AA340" s="0" t="n">
        <v>21</v>
      </c>
      <c r="AB340" s="0" t="s">
        <v>413</v>
      </c>
      <c r="AD340" s="0" t="n">
        <v>0</v>
      </c>
      <c r="AE340" s="0" t="s">
        <v>295</v>
      </c>
      <c r="AH340" s="0" t="n">
        <v>20</v>
      </c>
      <c r="AJ340" s="0" t="n">
        <v>10</v>
      </c>
      <c r="AP340" s="0" t="n">
        <v>590000</v>
      </c>
      <c r="DB340" s="0" t="str">
        <f aca="false">IF($A340="","",IF(AND($A340=21,$AE340&amp;""="00000000"),IF($AH340=20,"病院",IF($AH340=5,"消防","市長")),"対象外"))</f>
        <v>病院</v>
      </c>
    </row>
    <row r="341" customFormat="false" ht="15" hidden="false" customHeight="false" outlineLevel="0" collapsed="false">
      <c r="A341" s="0" t="n">
        <v>31</v>
      </c>
      <c r="AA341" s="0" t="n">
        <v>21</v>
      </c>
      <c r="AB341" s="0" t="s">
        <v>496</v>
      </c>
      <c r="AD341" s="0" t="n">
        <v>0</v>
      </c>
      <c r="AE341" s="0" t="s">
        <v>295</v>
      </c>
      <c r="AH341" s="0" t="n">
        <v>11</v>
      </c>
      <c r="AJ341" s="0" t="n">
        <v>41</v>
      </c>
      <c r="AP341" s="0" t="n">
        <v>190000</v>
      </c>
      <c r="DB341" s="0" t="str">
        <f aca="false">IF($A341="","",IF(AND($A341=21,$AE341&amp;""="00000000"),IF($AH341=20,"病院",IF($AH341=5,"消防","市長")),"対象外"))</f>
        <v>対象外</v>
      </c>
    </row>
    <row r="342" customFormat="false" ht="15" hidden="false" customHeight="false" outlineLevel="0" collapsed="false">
      <c r="A342" s="0" t="n">
        <v>31</v>
      </c>
      <c r="AA342" s="0" t="n">
        <v>21</v>
      </c>
      <c r="AB342" s="0" t="s">
        <v>496</v>
      </c>
      <c r="AD342" s="0" t="n">
        <v>0</v>
      </c>
      <c r="AE342" s="0" t="s">
        <v>295</v>
      </c>
      <c r="AH342" s="0" t="n">
        <v>1</v>
      </c>
      <c r="AJ342" s="0" t="n">
        <v>41</v>
      </c>
      <c r="AP342" s="0" t="n">
        <v>220000</v>
      </c>
      <c r="DB342" s="0" t="str">
        <f aca="false">IF($A342="","",IF(AND($A342=21,$AE342&amp;""="00000000"),IF($AH342=20,"病院",IF($AH342=5,"消防","市長")),"対象外"))</f>
        <v>対象外</v>
      </c>
    </row>
    <row r="343" customFormat="false" ht="15" hidden="false" customHeight="false" outlineLevel="0" collapsed="false">
      <c r="A343" s="0" t="n">
        <v>21</v>
      </c>
      <c r="AA343" s="0" t="n">
        <v>21</v>
      </c>
      <c r="AB343" s="0" t="s">
        <v>407</v>
      </c>
      <c r="AD343" s="0" t="n">
        <v>0</v>
      </c>
      <c r="AE343" s="0" t="s">
        <v>295</v>
      </c>
      <c r="AH343" s="0" t="n">
        <v>20</v>
      </c>
      <c r="AJ343" s="0" t="n">
        <v>10</v>
      </c>
      <c r="AP343" s="0" t="n">
        <v>560000</v>
      </c>
      <c r="DB343" s="0" t="str">
        <f aca="false">IF($A343="","",IF(AND($A343=21,$AE343&amp;""="00000000"),IF($AH343=20,"病院",IF($AH343=5,"消防","市長")),"対象外"))</f>
        <v>病院</v>
      </c>
    </row>
    <row r="344" customFormat="false" ht="15" hidden="false" customHeight="false" outlineLevel="0" collapsed="false">
      <c r="A344" s="0" t="n">
        <v>31</v>
      </c>
      <c r="AA344" s="0" t="n">
        <v>21</v>
      </c>
      <c r="AB344" s="0" t="s">
        <v>301</v>
      </c>
      <c r="AD344" s="0" t="n">
        <v>0</v>
      </c>
      <c r="AE344" s="0" t="s">
        <v>295</v>
      </c>
      <c r="AH344" s="0" t="n">
        <v>1</v>
      </c>
      <c r="AJ344" s="0" t="n">
        <v>41</v>
      </c>
      <c r="AP344" s="0" t="n">
        <v>200000</v>
      </c>
      <c r="DB344" s="0" t="str">
        <f aca="false">IF($A344="","",IF(AND($A344=21,$AE344&amp;""="00000000"),IF($AH344=20,"病院",IF($AH344=5,"消防","市長")),"対象外"))</f>
        <v>対象外</v>
      </c>
    </row>
    <row r="345" customFormat="false" ht="15" hidden="false" customHeight="false" outlineLevel="0" collapsed="false">
      <c r="A345" s="0" t="n">
        <v>21</v>
      </c>
      <c r="AA345" s="0" t="n">
        <v>21</v>
      </c>
      <c r="AB345" s="0" t="s">
        <v>390</v>
      </c>
      <c r="AD345" s="0" t="n">
        <v>0</v>
      </c>
      <c r="AE345" s="0" t="s">
        <v>295</v>
      </c>
      <c r="AH345" s="0" t="n">
        <v>1</v>
      </c>
      <c r="AJ345" s="0" t="n">
        <v>10</v>
      </c>
      <c r="AP345" s="0" t="n">
        <v>560000</v>
      </c>
      <c r="DB345" s="0" t="str">
        <f aca="false">IF($A345="","",IF(AND($A345=21,$AE345&amp;""="00000000"),IF($AH345=20,"病院",IF($AH345=5,"消防","市長")),"対象外"))</f>
        <v>市長</v>
      </c>
    </row>
    <row r="346" customFormat="false" ht="15" hidden="false" customHeight="false" outlineLevel="0" collapsed="false">
      <c r="A346" s="0" t="n">
        <v>21</v>
      </c>
      <c r="AA346" s="0" t="n">
        <v>21</v>
      </c>
      <c r="AB346" s="0" t="s">
        <v>410</v>
      </c>
      <c r="AD346" s="0" t="n">
        <v>0</v>
      </c>
      <c r="AE346" s="0" t="s">
        <v>295</v>
      </c>
      <c r="AH346" s="0" t="n">
        <v>1</v>
      </c>
      <c r="AJ346" s="0" t="n">
        <v>10</v>
      </c>
      <c r="AP346" s="0" t="n">
        <v>380000</v>
      </c>
      <c r="DB346" s="0" t="str">
        <f aca="false">IF($A346="","",IF(AND($A346=21,$AE346&amp;""="00000000"),IF($AH346=20,"病院",IF($AH346=5,"消防","市長")),"対象外"))</f>
        <v>市長</v>
      </c>
    </row>
    <row r="347" customFormat="false" ht="15" hidden="false" customHeight="false" outlineLevel="0" collapsed="false">
      <c r="A347" s="0" t="n">
        <v>31</v>
      </c>
      <c r="AA347" s="0" t="n">
        <v>21</v>
      </c>
      <c r="AB347" s="0" t="s">
        <v>496</v>
      </c>
      <c r="AD347" s="0" t="n">
        <v>0</v>
      </c>
      <c r="AE347" s="0" t="s">
        <v>295</v>
      </c>
      <c r="AH347" s="0" t="n">
        <v>1</v>
      </c>
      <c r="AJ347" s="0" t="n">
        <v>41</v>
      </c>
      <c r="AP347" s="0" t="n">
        <v>142000</v>
      </c>
      <c r="DB347" s="0" t="str">
        <f aca="false">IF($A347="","",IF(AND($A347=21,$AE347&amp;""="00000000"),IF($AH347=20,"病院",IF($AH347=5,"消防","市長")),"対象外"))</f>
        <v>対象外</v>
      </c>
    </row>
    <row r="348" customFormat="false" ht="15" hidden="false" customHeight="false" outlineLevel="0" collapsed="false">
      <c r="A348" s="0" t="n">
        <v>31</v>
      </c>
      <c r="AA348" s="0" t="n">
        <v>21</v>
      </c>
      <c r="AB348" s="0" t="s">
        <v>496</v>
      </c>
      <c r="AD348" s="0" t="n">
        <v>0</v>
      </c>
      <c r="AE348" s="0" t="s">
        <v>295</v>
      </c>
      <c r="AH348" s="0" t="n">
        <v>11</v>
      </c>
      <c r="AJ348" s="0" t="n">
        <v>41</v>
      </c>
      <c r="AP348" s="0" t="n">
        <v>126000</v>
      </c>
      <c r="DB348" s="0" t="str">
        <f aca="false">IF($A348="","",IF(AND($A348=21,$AE348&amp;""="00000000"),IF($AH348=20,"病院",IF($AH348=5,"消防","市長")),"対象外"))</f>
        <v>対象外</v>
      </c>
    </row>
    <row r="349" customFormat="false" ht="15" hidden="false" customHeight="false" outlineLevel="0" collapsed="false">
      <c r="A349" s="0" t="n">
        <v>31</v>
      </c>
      <c r="AA349" s="0" t="n">
        <v>21</v>
      </c>
      <c r="AB349" s="0" t="s">
        <v>496</v>
      </c>
      <c r="AD349" s="0" t="n">
        <v>0</v>
      </c>
      <c r="AE349" s="0" t="s">
        <v>295</v>
      </c>
      <c r="AH349" s="0" t="n">
        <v>1</v>
      </c>
      <c r="AJ349" s="0" t="n">
        <v>41</v>
      </c>
      <c r="AP349" s="0" t="n">
        <v>150000</v>
      </c>
      <c r="DB349" s="0" t="str">
        <f aca="false">IF($A349="","",IF(AND($A349=21,$AE349&amp;""="00000000"),IF($AH349=20,"病院",IF($AH349=5,"消防","市長")),"対象外"))</f>
        <v>対象外</v>
      </c>
    </row>
    <row r="350" customFormat="false" ht="15" hidden="false" customHeight="false" outlineLevel="0" collapsed="false">
      <c r="A350" s="0" t="n">
        <v>31</v>
      </c>
      <c r="AA350" s="0" t="n">
        <v>21</v>
      </c>
      <c r="AB350" s="0" t="s">
        <v>496</v>
      </c>
      <c r="AD350" s="0" t="n">
        <v>0</v>
      </c>
      <c r="AE350" s="0" t="s">
        <v>295</v>
      </c>
      <c r="AH350" s="0" t="n">
        <v>11</v>
      </c>
      <c r="AJ350" s="0" t="n">
        <v>41</v>
      </c>
      <c r="AP350" s="0" t="n">
        <v>118000</v>
      </c>
      <c r="DB350" s="0" t="str">
        <f aca="false">IF($A350="","",IF(AND($A350=21,$AE350&amp;""="00000000"),IF($AH350=20,"病院",IF($AH350=5,"消防","市長")),"対象外"))</f>
        <v>対象外</v>
      </c>
    </row>
    <row r="351" customFormat="false" ht="15" hidden="false" customHeight="false" outlineLevel="0" collapsed="false">
      <c r="A351" s="0" t="n">
        <v>31</v>
      </c>
      <c r="AA351" s="0" t="n">
        <v>21</v>
      </c>
      <c r="AB351" s="0" t="s">
        <v>496</v>
      </c>
      <c r="AD351" s="0" t="n">
        <v>0</v>
      </c>
      <c r="AE351" s="0" t="s">
        <v>295</v>
      </c>
      <c r="AH351" s="0" t="n">
        <v>1</v>
      </c>
      <c r="AJ351" s="0" t="n">
        <v>41</v>
      </c>
      <c r="AP351" s="0" t="n">
        <v>150000</v>
      </c>
      <c r="DB351" s="0" t="str">
        <f aca="false">IF($A351="","",IF(AND($A351=21,$AE351&amp;""="00000000"),IF($AH351=20,"病院",IF($AH351=5,"消防","市長")),"対象外"))</f>
        <v>対象外</v>
      </c>
    </row>
    <row r="352" customFormat="false" ht="15" hidden="false" customHeight="false" outlineLevel="0" collapsed="false">
      <c r="A352" s="0" t="n">
        <v>31</v>
      </c>
      <c r="AA352" s="0" t="n">
        <v>21</v>
      </c>
      <c r="AB352" s="0" t="s">
        <v>496</v>
      </c>
      <c r="AD352" s="0" t="n">
        <v>0</v>
      </c>
      <c r="AE352" s="0" t="s">
        <v>295</v>
      </c>
      <c r="AH352" s="0" t="n">
        <v>1</v>
      </c>
      <c r="AJ352" s="0" t="n">
        <v>41</v>
      </c>
      <c r="AP352" s="0" t="n">
        <v>134000</v>
      </c>
      <c r="DB352" s="0" t="str">
        <f aca="false">IF($A352="","",IF(AND($A352=21,$AE352&amp;""="00000000"),IF($AH352=20,"病院",IF($AH352=5,"消防","市長")),"対象外"))</f>
        <v>対象外</v>
      </c>
    </row>
    <row r="353" customFormat="false" ht="15" hidden="false" customHeight="false" outlineLevel="0" collapsed="false">
      <c r="A353" s="0" t="n">
        <v>31</v>
      </c>
      <c r="AA353" s="0" t="n">
        <v>21</v>
      </c>
      <c r="AB353" s="0" t="s">
        <v>496</v>
      </c>
      <c r="AD353" s="0" t="n">
        <v>0</v>
      </c>
      <c r="AE353" s="0" t="s">
        <v>295</v>
      </c>
      <c r="AH353" s="0" t="n">
        <v>1</v>
      </c>
      <c r="AJ353" s="0" t="n">
        <v>41</v>
      </c>
      <c r="AP353" s="0" t="n">
        <v>150000</v>
      </c>
      <c r="DB353" s="0" t="str">
        <f aca="false">IF($A353="","",IF(AND($A353=21,$AE353&amp;""="00000000"),IF($AH353=20,"病院",IF($AH353=5,"消防","市長")),"対象外"))</f>
        <v>対象外</v>
      </c>
    </row>
    <row r="354" customFormat="false" ht="15" hidden="false" customHeight="false" outlineLevel="0" collapsed="false">
      <c r="A354" s="0" t="n">
        <v>31</v>
      </c>
      <c r="AA354" s="0" t="n">
        <v>21</v>
      </c>
      <c r="AB354" s="0" t="s">
        <v>477</v>
      </c>
      <c r="AD354" s="0" t="n">
        <v>0</v>
      </c>
      <c r="AE354" s="0" t="s">
        <v>295</v>
      </c>
      <c r="AH354" s="0" t="n">
        <v>1</v>
      </c>
      <c r="AJ354" s="0" t="n">
        <v>10</v>
      </c>
      <c r="AP354" s="0" t="n">
        <v>260000</v>
      </c>
      <c r="DB354" s="0" t="str">
        <f aca="false">IF($A354="","",IF(AND($A354=21,$AE354&amp;""="00000000"),IF($AH354=20,"病院",IF($AH354=5,"消防","市長")),"対象外"))</f>
        <v>対象外</v>
      </c>
    </row>
    <row r="355" customFormat="false" ht="15" hidden="false" customHeight="false" outlineLevel="0" collapsed="false">
      <c r="A355" s="0" t="n">
        <v>31</v>
      </c>
      <c r="AA355" s="0" t="n">
        <v>21</v>
      </c>
      <c r="AB355" s="0" t="s">
        <v>496</v>
      </c>
      <c r="AD355" s="0" t="n">
        <v>0</v>
      </c>
      <c r="AE355" s="0" t="s">
        <v>295</v>
      </c>
      <c r="AH355" s="0" t="n">
        <v>1</v>
      </c>
      <c r="AJ355" s="0" t="n">
        <v>41</v>
      </c>
      <c r="AP355" s="0" t="n">
        <v>142000</v>
      </c>
      <c r="DB355" s="0" t="str">
        <f aca="false">IF($A355="","",IF(AND($A355=21,$AE355&amp;""="00000000"),IF($AH355=20,"病院",IF($AH355=5,"消防","市長")),"対象外"))</f>
        <v>対象外</v>
      </c>
    </row>
    <row r="356" customFormat="false" ht="15" hidden="false" customHeight="false" outlineLevel="0" collapsed="false">
      <c r="A356" s="0" t="n">
        <v>31</v>
      </c>
      <c r="AA356" s="0" t="n">
        <v>21</v>
      </c>
      <c r="AB356" s="0" t="s">
        <v>496</v>
      </c>
      <c r="AD356" s="0" t="n">
        <v>0</v>
      </c>
      <c r="AE356" s="0" t="s">
        <v>295</v>
      </c>
      <c r="AH356" s="0" t="n">
        <v>1</v>
      </c>
      <c r="AJ356" s="0" t="n">
        <v>41</v>
      </c>
      <c r="AP356" s="0" t="n">
        <v>200000</v>
      </c>
      <c r="DB356" s="0" t="str">
        <f aca="false">IF($A356="","",IF(AND($A356=21,$AE356&amp;""="00000000"),IF($AH356=20,"病院",IF($AH356=5,"消防","市長")),"対象外"))</f>
        <v>対象外</v>
      </c>
    </row>
    <row r="357" customFormat="false" ht="15" hidden="false" customHeight="false" outlineLevel="0" collapsed="false">
      <c r="A357" s="0" t="n">
        <v>21</v>
      </c>
      <c r="AA357" s="0" t="n">
        <v>21</v>
      </c>
      <c r="AB357" s="0" t="s">
        <v>413</v>
      </c>
      <c r="AD357" s="0" t="n">
        <v>0</v>
      </c>
      <c r="AE357" s="0" t="s">
        <v>295</v>
      </c>
      <c r="AH357" s="0" t="n">
        <v>1</v>
      </c>
      <c r="AJ357" s="0" t="n">
        <v>10</v>
      </c>
      <c r="AP357" s="0" t="n">
        <v>500000</v>
      </c>
      <c r="DB357" s="0" t="str">
        <f aca="false">IF($A357="","",IF(AND($A357=21,$AE357&amp;""="00000000"),IF($AH357=20,"病院",IF($AH357=5,"消防","市長")),"対象外"))</f>
        <v>市長</v>
      </c>
    </row>
    <row r="358" customFormat="false" ht="15" hidden="false" customHeight="false" outlineLevel="0" collapsed="false">
      <c r="A358" s="0" t="n">
        <v>31</v>
      </c>
      <c r="AA358" s="0" t="n">
        <v>21</v>
      </c>
      <c r="AB358" s="0" t="s">
        <v>496</v>
      </c>
      <c r="AD358" s="0" t="n">
        <v>0</v>
      </c>
      <c r="AE358" s="0" t="s">
        <v>295</v>
      </c>
      <c r="AH358" s="0" t="n">
        <v>1</v>
      </c>
      <c r="AJ358" s="0" t="n">
        <v>41</v>
      </c>
      <c r="AP358" s="0" t="n">
        <v>200000</v>
      </c>
      <c r="DB358" s="0" t="str">
        <f aca="false">IF($A358="","",IF(AND($A358=21,$AE358&amp;""="00000000"),IF($AH358=20,"病院",IF($AH358=5,"消防","市長")),"対象外"))</f>
        <v>対象外</v>
      </c>
    </row>
    <row r="359" customFormat="false" ht="15" hidden="false" customHeight="false" outlineLevel="0" collapsed="false">
      <c r="A359" s="0" t="n">
        <v>31</v>
      </c>
      <c r="AA359" s="0" t="n">
        <v>21</v>
      </c>
      <c r="AB359" s="0" t="s">
        <v>496</v>
      </c>
      <c r="AD359" s="0" t="n">
        <v>0</v>
      </c>
      <c r="AE359" s="0" t="s">
        <v>295</v>
      </c>
      <c r="AH359" s="0" t="n">
        <v>1</v>
      </c>
      <c r="AJ359" s="0" t="n">
        <v>41</v>
      </c>
      <c r="AP359" s="0" t="n">
        <v>118000</v>
      </c>
      <c r="DB359" s="0" t="str">
        <f aca="false">IF($A359="","",IF(AND($A359=21,$AE359&amp;""="00000000"),IF($AH359=20,"病院",IF($AH359=5,"消防","市長")),"対象外"))</f>
        <v>対象外</v>
      </c>
    </row>
    <row r="360" customFormat="false" ht="15" hidden="false" customHeight="false" outlineLevel="0" collapsed="false">
      <c r="A360" s="0" t="n">
        <v>31</v>
      </c>
      <c r="AA360" s="0" t="n">
        <v>21</v>
      </c>
      <c r="AB360" s="0" t="s">
        <v>296</v>
      </c>
      <c r="AD360" s="0" t="n">
        <v>0</v>
      </c>
      <c r="AE360" s="0" t="s">
        <v>295</v>
      </c>
      <c r="AH360" s="0" t="n">
        <v>1</v>
      </c>
      <c r="AJ360" s="0" t="n">
        <v>41</v>
      </c>
      <c r="AP360" s="0" t="n">
        <v>126000</v>
      </c>
      <c r="DB360" s="0" t="str">
        <f aca="false">IF($A360="","",IF(AND($A360=21,$AE360&amp;""="00000000"),IF($AH360=20,"病院",IF($AH360=5,"消防","市長")),"対象外"))</f>
        <v>対象外</v>
      </c>
    </row>
    <row r="361" customFormat="false" ht="15" hidden="false" customHeight="false" outlineLevel="0" collapsed="false">
      <c r="A361" s="0" t="n">
        <v>31</v>
      </c>
      <c r="AA361" s="0" t="n">
        <v>21</v>
      </c>
      <c r="AB361" s="0" t="s">
        <v>496</v>
      </c>
      <c r="AD361" s="0" t="n">
        <v>0</v>
      </c>
      <c r="AE361" s="0" t="s">
        <v>295</v>
      </c>
      <c r="AH361" s="0" t="n">
        <v>1</v>
      </c>
      <c r="AJ361" s="0" t="n">
        <v>41</v>
      </c>
      <c r="AP361" s="0" t="n">
        <v>220000</v>
      </c>
      <c r="DB361" s="0" t="str">
        <f aca="false">IF($A361="","",IF(AND($A361=21,$AE361&amp;""="00000000"),IF($AH361=20,"病院",IF($AH361=5,"消防","市長")),"対象外"))</f>
        <v>対象外</v>
      </c>
    </row>
    <row r="362" customFormat="false" ht="15" hidden="false" customHeight="false" outlineLevel="0" collapsed="false">
      <c r="A362" s="0" t="n">
        <v>31</v>
      </c>
      <c r="AA362" s="0" t="n">
        <v>21</v>
      </c>
      <c r="AB362" s="0" t="s">
        <v>496</v>
      </c>
      <c r="AD362" s="0" t="n">
        <v>0</v>
      </c>
      <c r="AE362" s="0" t="s">
        <v>295</v>
      </c>
      <c r="AH362" s="0" t="n">
        <v>11</v>
      </c>
      <c r="AJ362" s="0" t="n">
        <v>41</v>
      </c>
      <c r="AP362" s="0" t="n">
        <v>190000</v>
      </c>
      <c r="DB362" s="0" t="str">
        <f aca="false">IF($A362="","",IF(AND($A362=21,$AE362&amp;""="00000000"),IF($AH362=20,"病院",IF($AH362=5,"消防","市長")),"対象外"))</f>
        <v>対象外</v>
      </c>
    </row>
    <row r="363" customFormat="false" ht="15" hidden="false" customHeight="false" outlineLevel="0" collapsed="false">
      <c r="A363" s="0" t="n">
        <v>31</v>
      </c>
      <c r="AA363" s="0" t="n">
        <v>21</v>
      </c>
      <c r="AB363" s="0" t="s">
        <v>496</v>
      </c>
      <c r="AD363" s="0" t="n">
        <v>0</v>
      </c>
      <c r="AE363" s="0" t="s">
        <v>295</v>
      </c>
      <c r="AH363" s="0" t="n">
        <v>1</v>
      </c>
      <c r="AJ363" s="0" t="n">
        <v>41</v>
      </c>
      <c r="AP363" s="0" t="n">
        <v>160000</v>
      </c>
      <c r="DB363" s="0" t="str">
        <f aca="false">IF($A363="","",IF(AND($A363=21,$AE363&amp;""="00000000"),IF($AH363=20,"病院",IF($AH363=5,"消防","市長")),"対象外"))</f>
        <v>対象外</v>
      </c>
    </row>
    <row r="364" customFormat="false" ht="15" hidden="false" customHeight="false" outlineLevel="0" collapsed="false">
      <c r="A364" s="0" t="n">
        <v>21</v>
      </c>
      <c r="AA364" s="0" t="n">
        <v>21</v>
      </c>
      <c r="AB364" s="0" t="s">
        <v>615</v>
      </c>
      <c r="AD364" s="0" t="n">
        <v>0</v>
      </c>
      <c r="AE364" s="0" t="s">
        <v>295</v>
      </c>
      <c r="AH364" s="0" t="n">
        <v>20</v>
      </c>
      <c r="AJ364" s="0" t="n">
        <v>10</v>
      </c>
      <c r="AP364" s="0" t="n">
        <v>560000</v>
      </c>
      <c r="DB364" s="0" t="str">
        <f aca="false">IF($A364="","",IF(AND($A364=21,$AE364&amp;""="00000000"),IF($AH364=20,"病院",IF($AH364=5,"消防","市長")),"対象外"))</f>
        <v>病院</v>
      </c>
    </row>
    <row r="365" customFormat="false" ht="15" hidden="false" customHeight="false" outlineLevel="0" collapsed="false">
      <c r="A365" s="0" t="n">
        <v>31</v>
      </c>
      <c r="AA365" s="0" t="n">
        <v>21</v>
      </c>
      <c r="AB365" s="0" t="s">
        <v>344</v>
      </c>
      <c r="AD365" s="0" t="n">
        <v>0</v>
      </c>
      <c r="AE365" s="0" t="s">
        <v>295</v>
      </c>
      <c r="AH365" s="0" t="n">
        <v>20</v>
      </c>
      <c r="AJ365" s="0" t="n">
        <v>41</v>
      </c>
      <c r="AP365" s="0" t="n">
        <v>150000</v>
      </c>
      <c r="DB365" s="0" t="str">
        <f aca="false">IF($A365="","",IF(AND($A365=21,$AE365&amp;""="00000000"),IF($AH365=20,"病院",IF($AH365=5,"消防","市長")),"対象外"))</f>
        <v>対象外</v>
      </c>
    </row>
    <row r="366" customFormat="false" ht="15" hidden="false" customHeight="false" outlineLevel="0" collapsed="false">
      <c r="A366" s="0" t="n">
        <v>31</v>
      </c>
      <c r="AA366" s="0" t="n">
        <v>21</v>
      </c>
      <c r="AB366" s="0" t="s">
        <v>458</v>
      </c>
      <c r="AD366" s="0" t="n">
        <v>0</v>
      </c>
      <c r="AE366" s="0" t="s">
        <v>295</v>
      </c>
      <c r="AH366" s="0" t="n">
        <v>1</v>
      </c>
      <c r="AJ366" s="0" t="n">
        <v>10</v>
      </c>
      <c r="AP366" s="0" t="n">
        <v>280000</v>
      </c>
      <c r="DB366" s="0" t="str">
        <f aca="false">IF($A366="","",IF(AND($A366=21,$AE366&amp;""="00000000"),IF($AH366=20,"病院",IF($AH366=5,"消防","市長")),"対象外"))</f>
        <v>対象外</v>
      </c>
    </row>
    <row r="367" customFormat="false" ht="15" hidden="false" customHeight="false" outlineLevel="0" collapsed="false">
      <c r="A367" s="0" t="n">
        <v>21</v>
      </c>
      <c r="AA367" s="0" t="n">
        <v>21</v>
      </c>
      <c r="AB367" s="0" t="s">
        <v>405</v>
      </c>
      <c r="AD367" s="0" t="n">
        <v>0</v>
      </c>
      <c r="AE367" s="0" t="s">
        <v>295</v>
      </c>
      <c r="AH367" s="0" t="n">
        <v>1</v>
      </c>
      <c r="AJ367" s="0" t="n">
        <v>10</v>
      </c>
      <c r="AP367" s="0" t="n">
        <v>500000</v>
      </c>
      <c r="DB367" s="0" t="str">
        <f aca="false">IF($A367="","",IF(AND($A367=21,$AE367&amp;""="00000000"),IF($AH367=20,"病院",IF($AH367=5,"消防","市長")),"対象外"))</f>
        <v>市長</v>
      </c>
    </row>
    <row r="368" customFormat="false" ht="15" hidden="false" customHeight="false" outlineLevel="0" collapsed="false">
      <c r="A368" s="0" t="n">
        <v>31</v>
      </c>
      <c r="AA368" s="0" t="n">
        <v>21</v>
      </c>
      <c r="AB368" s="0" t="s">
        <v>496</v>
      </c>
      <c r="AD368" s="0" t="n">
        <v>0</v>
      </c>
      <c r="AE368" s="0" t="s">
        <v>295</v>
      </c>
      <c r="AH368" s="0" t="n">
        <v>1</v>
      </c>
      <c r="AJ368" s="0" t="n">
        <v>41</v>
      </c>
      <c r="AP368" s="0" t="n">
        <v>200000</v>
      </c>
      <c r="DB368" s="0" t="str">
        <f aca="false">IF($A368="","",IF(AND($A368=21,$AE368&amp;""="00000000"),IF($AH368=20,"病院",IF($AH368=5,"消防","市長")),"対象外"))</f>
        <v>対象外</v>
      </c>
    </row>
    <row r="369" customFormat="false" ht="15" hidden="false" customHeight="false" outlineLevel="0" collapsed="false">
      <c r="A369" s="0" t="n">
        <v>31</v>
      </c>
      <c r="AA369" s="0" t="n">
        <v>21</v>
      </c>
      <c r="AB369" s="0" t="s">
        <v>496</v>
      </c>
      <c r="AD369" s="0" t="n">
        <v>0</v>
      </c>
      <c r="AE369" s="0" t="s">
        <v>295</v>
      </c>
      <c r="AH369" s="0" t="n">
        <v>1</v>
      </c>
      <c r="AJ369" s="0" t="n">
        <v>41</v>
      </c>
      <c r="AP369" s="0" t="n">
        <v>134000</v>
      </c>
      <c r="DB369" s="0" t="str">
        <f aca="false">IF($A369="","",IF(AND($A369=21,$AE369&amp;""="00000000"),IF($AH369=20,"病院",IF($AH369=5,"消防","市長")),"対象外"))</f>
        <v>対象外</v>
      </c>
    </row>
    <row r="370" customFormat="false" ht="15" hidden="false" customHeight="false" outlineLevel="0" collapsed="false">
      <c r="A370" s="0" t="n">
        <v>31</v>
      </c>
      <c r="AA370" s="0" t="n">
        <v>21</v>
      </c>
      <c r="AB370" s="0" t="s">
        <v>496</v>
      </c>
      <c r="AD370" s="0" t="n">
        <v>0</v>
      </c>
      <c r="AE370" s="0" t="s">
        <v>295</v>
      </c>
      <c r="AH370" s="0" t="n">
        <v>1</v>
      </c>
      <c r="AJ370" s="0" t="n">
        <v>41</v>
      </c>
      <c r="AP370" s="0" t="n">
        <v>200000</v>
      </c>
      <c r="DB370" s="0" t="str">
        <f aca="false">IF($A370="","",IF(AND($A370=21,$AE370&amp;""="00000000"),IF($AH370=20,"病院",IF($AH370=5,"消防","市長")),"対象外"))</f>
        <v>対象外</v>
      </c>
    </row>
    <row r="371" customFormat="false" ht="15" hidden="false" customHeight="false" outlineLevel="0" collapsed="false">
      <c r="A371" s="0" t="n">
        <v>31</v>
      </c>
      <c r="AA371" s="0" t="n">
        <v>21</v>
      </c>
      <c r="AB371" s="0" t="s">
        <v>496</v>
      </c>
      <c r="AD371" s="0" t="n">
        <v>0</v>
      </c>
      <c r="AE371" s="0" t="s">
        <v>295</v>
      </c>
      <c r="AH371" s="0" t="n">
        <v>1</v>
      </c>
      <c r="AJ371" s="0" t="n">
        <v>41</v>
      </c>
      <c r="AP371" s="0" t="n">
        <v>150000</v>
      </c>
      <c r="DB371" s="0" t="str">
        <f aca="false">IF($A371="","",IF(AND($A371=21,$AE371&amp;""="00000000"),IF($AH371=20,"病院",IF($AH371=5,"消防","市長")),"対象外"))</f>
        <v>対象外</v>
      </c>
    </row>
    <row r="372" customFormat="false" ht="15" hidden="false" customHeight="false" outlineLevel="0" collapsed="false">
      <c r="A372" s="0" t="n">
        <v>21</v>
      </c>
      <c r="AA372" s="0" t="n">
        <v>21</v>
      </c>
      <c r="AB372" s="0" t="s">
        <v>390</v>
      </c>
      <c r="AD372" s="0" t="n">
        <v>0</v>
      </c>
      <c r="AE372" s="0" t="s">
        <v>295</v>
      </c>
      <c r="AH372" s="0" t="n">
        <v>14</v>
      </c>
      <c r="AJ372" s="0" t="n">
        <v>10</v>
      </c>
      <c r="AP372" s="0" t="n">
        <v>680000</v>
      </c>
      <c r="DB372" s="0" t="str">
        <f aca="false">IF($A372="","",IF(AND($A372=21,$AE372&amp;""="00000000"),IF($AH372=20,"病院",IF($AH372=5,"消防","市長")),"対象外"))</f>
        <v>市長</v>
      </c>
    </row>
    <row r="373" customFormat="false" ht="15" hidden="false" customHeight="false" outlineLevel="0" collapsed="false">
      <c r="A373" s="0" t="n">
        <v>31</v>
      </c>
      <c r="AA373" s="0" t="n">
        <v>21</v>
      </c>
      <c r="AB373" s="0" t="s">
        <v>496</v>
      </c>
      <c r="AD373" s="0" t="n">
        <v>0</v>
      </c>
      <c r="AE373" s="0" t="s">
        <v>295</v>
      </c>
      <c r="AH373" s="0" t="n">
        <v>1</v>
      </c>
      <c r="AJ373" s="0" t="n">
        <v>41</v>
      </c>
      <c r="AP373" s="0" t="n">
        <v>142000</v>
      </c>
      <c r="DB373" s="0" t="str">
        <f aca="false">IF($A373="","",IF(AND($A373=21,$AE373&amp;""="00000000"),IF($AH373=20,"病院",IF($AH373=5,"消防","市長")),"対象外"))</f>
        <v>対象外</v>
      </c>
    </row>
    <row r="374" customFormat="false" ht="15" hidden="false" customHeight="false" outlineLevel="0" collapsed="false">
      <c r="A374" s="0" t="n">
        <v>21</v>
      </c>
      <c r="AA374" s="0" t="n">
        <v>21</v>
      </c>
      <c r="AB374" s="0" t="s">
        <v>413</v>
      </c>
      <c r="AD374" s="0" t="n">
        <v>0</v>
      </c>
      <c r="AE374" s="0" t="s">
        <v>295</v>
      </c>
      <c r="AH374" s="0" t="n">
        <v>11</v>
      </c>
      <c r="AJ374" s="0" t="n">
        <v>10</v>
      </c>
      <c r="AP374" s="0" t="n">
        <v>470000</v>
      </c>
      <c r="DB374" s="0" t="str">
        <f aca="false">IF($A374="","",IF(AND($A374=21,$AE374&amp;""="00000000"),IF($AH374=20,"病院",IF($AH374=5,"消防","市長")),"対象外"))</f>
        <v>市長</v>
      </c>
    </row>
    <row r="375" customFormat="false" ht="15" hidden="false" customHeight="false" outlineLevel="0" collapsed="false">
      <c r="A375" s="0" t="n">
        <v>21</v>
      </c>
      <c r="AA375" s="0" t="n">
        <v>21</v>
      </c>
      <c r="AB375" s="0" t="s">
        <v>413</v>
      </c>
      <c r="AD375" s="0" t="n">
        <v>0</v>
      </c>
      <c r="AE375" s="0" t="s">
        <v>295</v>
      </c>
      <c r="AH375" s="0" t="n">
        <v>37</v>
      </c>
      <c r="AJ375" s="0" t="n">
        <v>74</v>
      </c>
      <c r="AP375" s="0" t="n">
        <v>590000</v>
      </c>
      <c r="DB375" s="0" t="str">
        <f aca="false">IF($A375="","",IF(AND($A375=21,$AE375&amp;""="00000000"),IF($AH375=20,"病院",IF($AH375=5,"消防","市長")),"対象外"))</f>
        <v>市長</v>
      </c>
    </row>
    <row r="376" customFormat="false" ht="15" hidden="false" customHeight="false" outlineLevel="0" collapsed="false">
      <c r="A376" s="0" t="n">
        <v>31</v>
      </c>
      <c r="AA376" s="0" t="n">
        <v>21</v>
      </c>
      <c r="AB376" s="0" t="s">
        <v>484</v>
      </c>
      <c r="AD376" s="0" t="n">
        <v>0</v>
      </c>
      <c r="AE376" s="0" t="s">
        <v>295</v>
      </c>
      <c r="AH376" s="0" t="n">
        <v>1</v>
      </c>
      <c r="AJ376" s="0" t="n">
        <v>10</v>
      </c>
      <c r="AP376" s="0" t="n">
        <v>260000</v>
      </c>
      <c r="DB376" s="0" t="str">
        <f aca="false">IF($A376="","",IF(AND($A376=21,$AE376&amp;""="00000000"),IF($AH376=20,"病院",IF($AH376=5,"消防","市長")),"対象外"))</f>
        <v>対象外</v>
      </c>
    </row>
    <row r="377" customFormat="false" ht="15" hidden="false" customHeight="false" outlineLevel="0" collapsed="false">
      <c r="A377" s="0" t="n">
        <v>31</v>
      </c>
      <c r="AA377" s="0" t="n">
        <v>21</v>
      </c>
      <c r="AB377" s="0" t="s">
        <v>496</v>
      </c>
      <c r="AD377" s="0" t="n">
        <v>0</v>
      </c>
      <c r="AE377" s="0" t="s">
        <v>295</v>
      </c>
      <c r="AH377" s="0" t="n">
        <v>11</v>
      </c>
      <c r="AJ377" s="0" t="n">
        <v>41</v>
      </c>
      <c r="AP377" s="0" t="n">
        <v>170000</v>
      </c>
      <c r="DB377" s="0" t="str">
        <f aca="false">IF($A377="","",IF(AND($A377=21,$AE377&amp;""="00000000"),IF($AH377=20,"病院",IF($AH377=5,"消防","市長")),"対象外"))</f>
        <v>対象外</v>
      </c>
    </row>
    <row r="378" customFormat="false" ht="15" hidden="false" customHeight="false" outlineLevel="0" collapsed="false">
      <c r="A378" s="0" t="n">
        <v>31</v>
      </c>
      <c r="AA378" s="0" t="n">
        <v>21</v>
      </c>
      <c r="AB378" s="0" t="s">
        <v>496</v>
      </c>
      <c r="AD378" s="0" t="n">
        <v>0</v>
      </c>
      <c r="AE378" s="0" t="s">
        <v>295</v>
      </c>
      <c r="AH378" s="0" t="n">
        <v>1</v>
      </c>
      <c r="AJ378" s="0" t="n">
        <v>41</v>
      </c>
      <c r="AP378" s="0" t="n">
        <v>134000</v>
      </c>
      <c r="DB378" s="0" t="str">
        <f aca="false">IF($A378="","",IF(AND($A378=21,$AE378&amp;""="00000000"),IF($AH378=20,"病院",IF($AH378=5,"消防","市長")),"対象外"))</f>
        <v>対象外</v>
      </c>
    </row>
    <row r="379" customFormat="false" ht="15" hidden="false" customHeight="false" outlineLevel="0" collapsed="false">
      <c r="A379" s="0" t="n">
        <v>31</v>
      </c>
      <c r="AA379" s="0" t="n">
        <v>21</v>
      </c>
      <c r="AB379" s="0" t="s">
        <v>496</v>
      </c>
      <c r="AD379" s="0" t="n">
        <v>0</v>
      </c>
      <c r="AE379" s="0" t="s">
        <v>295</v>
      </c>
      <c r="AH379" s="0" t="n">
        <v>1</v>
      </c>
      <c r="AJ379" s="0" t="n">
        <v>41</v>
      </c>
      <c r="AP379" s="0" t="n">
        <v>200000</v>
      </c>
      <c r="DB379" s="0" t="str">
        <f aca="false">IF($A379="","",IF(AND($A379=21,$AE379&amp;""="00000000"),IF($AH379=20,"病院",IF($AH379=5,"消防","市長")),"対象外"))</f>
        <v>対象外</v>
      </c>
    </row>
    <row r="380" customFormat="false" ht="15" hidden="false" customHeight="false" outlineLevel="0" collapsed="false">
      <c r="A380" s="0" t="n">
        <v>21</v>
      </c>
      <c r="AA380" s="0" t="n">
        <v>24</v>
      </c>
      <c r="AB380" s="0" t="s">
        <v>616</v>
      </c>
      <c r="AD380" s="0" t="n">
        <v>0</v>
      </c>
      <c r="AE380" s="0" t="s">
        <v>295</v>
      </c>
      <c r="AH380" s="0" t="n">
        <v>20</v>
      </c>
      <c r="AJ380" s="0" t="n">
        <v>10</v>
      </c>
      <c r="AP380" s="0" t="n">
        <v>360000</v>
      </c>
      <c r="DB380" s="0" t="str">
        <f aca="false">IF($A380="","",IF(AND($A380=21,$AE380&amp;""="00000000"),IF($AH380=20,"病院",IF($AH380=5,"消防","市長")),"対象外"))</f>
        <v>病院</v>
      </c>
    </row>
    <row r="381" customFormat="false" ht="15" hidden="false" customHeight="false" outlineLevel="0" collapsed="false">
      <c r="A381" s="0" t="n">
        <v>31</v>
      </c>
      <c r="AA381" s="0" t="n">
        <v>21</v>
      </c>
      <c r="AB381" s="0" t="s">
        <v>496</v>
      </c>
      <c r="AD381" s="0" t="n">
        <v>0</v>
      </c>
      <c r="AE381" s="0" t="s">
        <v>295</v>
      </c>
      <c r="AH381" s="0" t="n">
        <v>1</v>
      </c>
      <c r="AJ381" s="0" t="n">
        <v>41</v>
      </c>
      <c r="AP381" s="0" t="n">
        <v>142000</v>
      </c>
      <c r="DB381" s="0" t="str">
        <f aca="false">IF($A381="","",IF(AND($A381=21,$AE381&amp;""="00000000"),IF($AH381=20,"病院",IF($AH381=5,"消防","市長")),"対象外"))</f>
        <v>対象外</v>
      </c>
    </row>
    <row r="382" customFormat="false" ht="15" hidden="false" customHeight="false" outlineLevel="0" collapsed="false">
      <c r="A382" s="0" t="n">
        <v>31</v>
      </c>
      <c r="AA382" s="0" t="n">
        <v>21</v>
      </c>
      <c r="AB382" s="0" t="s">
        <v>496</v>
      </c>
      <c r="AD382" s="0" t="n">
        <v>0</v>
      </c>
      <c r="AE382" s="0" t="s">
        <v>295</v>
      </c>
      <c r="AH382" s="0" t="n">
        <v>1</v>
      </c>
      <c r="AJ382" s="0" t="n">
        <v>41</v>
      </c>
      <c r="AP382" s="0" t="n">
        <v>190000</v>
      </c>
      <c r="DB382" s="0" t="str">
        <f aca="false">IF($A382="","",IF(AND($A382=21,$AE382&amp;""="00000000"),IF($AH382=20,"病院",IF($AH382=5,"消防","市長")),"対象外"))</f>
        <v>対象外</v>
      </c>
    </row>
    <row r="383" customFormat="false" ht="15" hidden="false" customHeight="false" outlineLevel="0" collapsed="false">
      <c r="A383" s="0" t="n">
        <v>31</v>
      </c>
      <c r="AA383" s="0" t="n">
        <v>21</v>
      </c>
      <c r="AB383" s="0" t="s">
        <v>496</v>
      </c>
      <c r="AD383" s="0" t="n">
        <v>0</v>
      </c>
      <c r="AE383" s="0" t="s">
        <v>295</v>
      </c>
      <c r="AH383" s="0" t="n">
        <v>1</v>
      </c>
      <c r="AJ383" s="0" t="n">
        <v>41</v>
      </c>
      <c r="AP383" s="0" t="n">
        <v>200000</v>
      </c>
      <c r="DB383" s="0" t="str">
        <f aca="false">IF($A383="","",IF(AND($A383=21,$AE383&amp;""="00000000"),IF($AH383=20,"病院",IF($AH383=5,"消防","市長")),"対象外"))</f>
        <v>対象外</v>
      </c>
    </row>
    <row r="384" customFormat="false" ht="15" hidden="false" customHeight="false" outlineLevel="0" collapsed="false">
      <c r="A384" s="0" t="n">
        <v>31</v>
      </c>
      <c r="AA384" s="0" t="n">
        <v>21</v>
      </c>
      <c r="AB384" s="0" t="s">
        <v>496</v>
      </c>
      <c r="AD384" s="0" t="n">
        <v>0</v>
      </c>
      <c r="AE384" s="0" t="s">
        <v>295</v>
      </c>
      <c r="AH384" s="0" t="n">
        <v>1</v>
      </c>
      <c r="AJ384" s="0" t="n">
        <v>41</v>
      </c>
      <c r="AP384" s="0" t="n">
        <v>200000</v>
      </c>
      <c r="DB384" s="0" t="str">
        <f aca="false">IF($A384="","",IF(AND($A384=21,$AE384&amp;""="00000000"),IF($AH384=20,"病院",IF($AH384=5,"消防","市長")),"対象外"))</f>
        <v>対象外</v>
      </c>
    </row>
    <row r="385" customFormat="false" ht="15" hidden="false" customHeight="false" outlineLevel="0" collapsed="false">
      <c r="A385" s="0" t="n">
        <v>31</v>
      </c>
      <c r="AA385" s="0" t="n">
        <v>21</v>
      </c>
      <c r="AB385" s="0" t="s">
        <v>496</v>
      </c>
      <c r="AD385" s="0" t="n">
        <v>0</v>
      </c>
      <c r="AE385" s="0" t="s">
        <v>295</v>
      </c>
      <c r="AH385" s="0" t="n">
        <v>20</v>
      </c>
      <c r="AJ385" s="0" t="n">
        <v>41</v>
      </c>
      <c r="AP385" s="0" t="n">
        <v>240000</v>
      </c>
      <c r="DB385" s="0" t="str">
        <f aca="false">IF($A385="","",IF(AND($A385=21,$AE385&amp;""="00000000"),IF($AH385=20,"病院",IF($AH385=5,"消防","市長")),"対象外"))</f>
        <v>対象外</v>
      </c>
    </row>
    <row r="386" customFormat="false" ht="15" hidden="false" customHeight="false" outlineLevel="0" collapsed="false">
      <c r="A386" s="0" t="n">
        <v>31</v>
      </c>
      <c r="AA386" s="0" t="n">
        <v>21</v>
      </c>
      <c r="AB386" s="0" t="s">
        <v>496</v>
      </c>
      <c r="AD386" s="0" t="n">
        <v>0</v>
      </c>
      <c r="AE386" s="0" t="s">
        <v>295</v>
      </c>
      <c r="AH386" s="0" t="n">
        <v>1</v>
      </c>
      <c r="AJ386" s="0" t="n">
        <v>41</v>
      </c>
      <c r="AP386" s="0" t="n">
        <v>142000</v>
      </c>
      <c r="DB386" s="0" t="str">
        <f aca="false">IF($A386="","",IF(AND($A386=21,$AE386&amp;""="00000000"),IF($AH386=20,"病院",IF($AH386=5,"消防","市長")),"対象外"))</f>
        <v>対象外</v>
      </c>
    </row>
    <row r="387" customFormat="false" ht="15" hidden="false" customHeight="false" outlineLevel="0" collapsed="false">
      <c r="A387" s="0" t="n">
        <v>31</v>
      </c>
      <c r="AA387" s="0" t="n">
        <v>21</v>
      </c>
      <c r="AB387" s="0" t="s">
        <v>96</v>
      </c>
      <c r="AD387" s="0" t="n">
        <v>0</v>
      </c>
      <c r="AE387" s="0" t="s">
        <v>295</v>
      </c>
      <c r="AH387" s="0" t="n">
        <v>1</v>
      </c>
      <c r="AJ387" s="0" t="n">
        <v>41</v>
      </c>
      <c r="AP387" s="0" t="n">
        <v>200000</v>
      </c>
      <c r="DB387" s="0" t="str">
        <f aca="false">IF($A387="","",IF(AND($A387=21,$AE387&amp;""="00000000"),IF($AH387=20,"病院",IF($AH387=5,"消防","市長")),"対象外"))</f>
        <v>対象外</v>
      </c>
    </row>
    <row r="388" customFormat="false" ht="15" hidden="false" customHeight="false" outlineLevel="0" collapsed="false">
      <c r="A388" s="0" t="n">
        <v>31</v>
      </c>
      <c r="AA388" s="0" t="n">
        <v>21</v>
      </c>
      <c r="AB388" s="0" t="s">
        <v>496</v>
      </c>
      <c r="AD388" s="0" t="n">
        <v>0</v>
      </c>
      <c r="AE388" s="0" t="s">
        <v>295</v>
      </c>
      <c r="AH388" s="0" t="n">
        <v>1</v>
      </c>
      <c r="AJ388" s="0" t="n">
        <v>41</v>
      </c>
      <c r="AP388" s="0" t="n">
        <v>134000</v>
      </c>
      <c r="DB388" s="0" t="str">
        <f aca="false">IF($A388="","",IF(AND($A388=21,$AE388&amp;""="00000000"),IF($AH388=20,"病院",IF($AH388=5,"消防","市長")),"対象外"))</f>
        <v>対象外</v>
      </c>
    </row>
    <row r="389" customFormat="false" ht="15" hidden="false" customHeight="false" outlineLevel="0" collapsed="false">
      <c r="A389" s="0" t="n">
        <v>21</v>
      </c>
      <c r="AA389" s="0" t="n">
        <v>21</v>
      </c>
      <c r="AB389" s="0" t="s">
        <v>413</v>
      </c>
      <c r="AD389" s="0" t="n">
        <v>0</v>
      </c>
      <c r="AE389" s="0" t="s">
        <v>295</v>
      </c>
      <c r="AH389" s="0" t="n">
        <v>1</v>
      </c>
      <c r="AJ389" s="0" t="n">
        <v>10</v>
      </c>
      <c r="AP389" s="0" t="n">
        <v>500000</v>
      </c>
      <c r="DB389" s="0" t="str">
        <f aca="false">IF($A389="","",IF(AND($A389=21,$AE389&amp;""="00000000"),IF($AH389=20,"病院",IF($AH389=5,"消防","市長")),"対象外"))</f>
        <v>市長</v>
      </c>
    </row>
    <row r="390" customFormat="false" ht="15" hidden="false" customHeight="false" outlineLevel="0" collapsed="false">
      <c r="A390" s="0" t="n">
        <v>31</v>
      </c>
      <c r="AA390" s="0" t="n">
        <v>21</v>
      </c>
      <c r="AB390" s="0" t="s">
        <v>617</v>
      </c>
      <c r="AD390" s="0" t="n">
        <v>0</v>
      </c>
      <c r="AE390" s="0" t="s">
        <v>295</v>
      </c>
      <c r="AH390" s="0" t="n">
        <v>1</v>
      </c>
      <c r="AJ390" s="0" t="n">
        <v>41</v>
      </c>
      <c r="AP390" s="0" t="n">
        <v>134000</v>
      </c>
      <c r="DB390" s="0" t="str">
        <f aca="false">IF($A390="","",IF(AND($A390=21,$AE390&amp;""="00000000"),IF($AH390=20,"病院",IF($AH390=5,"消防","市長")),"対象外"))</f>
        <v>対象外</v>
      </c>
    </row>
    <row r="391" customFormat="false" ht="15" hidden="false" customHeight="false" outlineLevel="0" collapsed="false">
      <c r="A391" s="0" t="n">
        <v>31</v>
      </c>
      <c r="AA391" s="0" t="n">
        <v>21</v>
      </c>
      <c r="AB391" s="0" t="s">
        <v>496</v>
      </c>
      <c r="AD391" s="0" t="n">
        <v>0</v>
      </c>
      <c r="AE391" s="0" t="s">
        <v>295</v>
      </c>
      <c r="AH391" s="0" t="n">
        <v>1</v>
      </c>
      <c r="AJ391" s="0" t="n">
        <v>41</v>
      </c>
      <c r="AP391" s="0" t="n">
        <v>142000</v>
      </c>
      <c r="DB391" s="0" t="str">
        <f aca="false">IF($A391="","",IF(AND($A391=21,$AE391&amp;""="00000000"),IF($AH391=20,"病院",IF($AH391=5,"消防","市長")),"対象外"))</f>
        <v>対象外</v>
      </c>
    </row>
    <row r="392" customFormat="false" ht="15" hidden="false" customHeight="false" outlineLevel="0" collapsed="false">
      <c r="A392" s="0" t="n">
        <v>21</v>
      </c>
      <c r="AA392" s="0" t="n">
        <v>21</v>
      </c>
      <c r="AB392" s="0" t="s">
        <v>413</v>
      </c>
      <c r="AD392" s="0" t="n">
        <v>0</v>
      </c>
      <c r="AE392" s="0" t="s">
        <v>295</v>
      </c>
      <c r="AH392" s="0" t="n">
        <v>1</v>
      </c>
      <c r="AJ392" s="0" t="n">
        <v>10</v>
      </c>
      <c r="AP392" s="0" t="n">
        <v>650000</v>
      </c>
      <c r="DB392" s="0" t="str">
        <f aca="false">IF($A392="","",IF(AND($A392=21,$AE392&amp;""="00000000"),IF($AH392=20,"病院",IF($AH392=5,"消防","市長")),"対象外"))</f>
        <v>市長</v>
      </c>
    </row>
    <row r="393" customFormat="false" ht="15" hidden="false" customHeight="false" outlineLevel="0" collapsed="false">
      <c r="A393" s="0" t="n">
        <v>21</v>
      </c>
      <c r="AA393" s="0" t="n">
        <v>21</v>
      </c>
      <c r="AB393" s="0" t="s">
        <v>618</v>
      </c>
      <c r="AD393" s="0" t="n">
        <v>0</v>
      </c>
      <c r="AE393" s="0" t="s">
        <v>295</v>
      </c>
      <c r="AH393" s="0" t="n">
        <v>20</v>
      </c>
      <c r="AJ393" s="0" t="n">
        <v>10</v>
      </c>
      <c r="AP393" s="0" t="n">
        <v>560000</v>
      </c>
      <c r="DB393" s="0" t="str">
        <f aca="false">IF($A393="","",IF(AND($A393=21,$AE393&amp;""="00000000"),IF($AH393=20,"病院",IF($AH393=5,"消防","市長")),"対象外"))</f>
        <v>病院</v>
      </c>
    </row>
    <row r="394" customFormat="false" ht="15" hidden="false" customHeight="false" outlineLevel="0" collapsed="false">
      <c r="A394" s="0" t="n">
        <v>31</v>
      </c>
      <c r="AA394" s="0" t="n">
        <v>21</v>
      </c>
      <c r="AB394" s="0" t="s">
        <v>296</v>
      </c>
      <c r="AD394" s="0" t="n">
        <v>0</v>
      </c>
      <c r="AE394" s="0" t="s">
        <v>295</v>
      </c>
      <c r="AH394" s="0" t="n">
        <v>20</v>
      </c>
      <c r="AJ394" s="0" t="n">
        <v>41</v>
      </c>
      <c r="AP394" s="0" t="n">
        <v>190000</v>
      </c>
      <c r="DB394" s="0" t="str">
        <f aca="false">IF($A394="","",IF(AND($A394=21,$AE394&amp;""="00000000"),IF($AH394=20,"病院",IF($AH394=5,"消防","市長")),"対象外"))</f>
        <v>対象外</v>
      </c>
    </row>
    <row r="395" customFormat="false" ht="15" hidden="false" customHeight="false" outlineLevel="0" collapsed="false">
      <c r="A395" s="0" t="n">
        <v>31</v>
      </c>
      <c r="AA395" s="0" t="n">
        <v>21</v>
      </c>
      <c r="AB395" s="0" t="s">
        <v>569</v>
      </c>
      <c r="AD395" s="0" t="n">
        <v>0</v>
      </c>
      <c r="AE395" s="0" t="s">
        <v>295</v>
      </c>
      <c r="AH395" s="0" t="n">
        <v>20</v>
      </c>
      <c r="AJ395" s="0" t="n">
        <v>41</v>
      </c>
      <c r="AP395" s="0" t="n">
        <v>190000</v>
      </c>
      <c r="DB395" s="0" t="str">
        <f aca="false">IF($A395="","",IF(AND($A395=21,$AE395&amp;""="00000000"),IF($AH395=20,"病院",IF($AH395=5,"消防","市長")),"対象外"))</f>
        <v>対象外</v>
      </c>
    </row>
    <row r="396" customFormat="false" ht="15" hidden="false" customHeight="false" outlineLevel="0" collapsed="false">
      <c r="A396" s="0" t="n">
        <v>31</v>
      </c>
      <c r="AA396" s="0" t="n">
        <v>21</v>
      </c>
      <c r="AB396" s="0" t="s">
        <v>540</v>
      </c>
      <c r="AD396" s="0" t="n">
        <v>0</v>
      </c>
      <c r="AE396" s="0" t="s">
        <v>295</v>
      </c>
      <c r="AH396" s="0" t="n">
        <v>1</v>
      </c>
      <c r="AJ396" s="0" t="n">
        <v>41</v>
      </c>
      <c r="AP396" s="0" t="n">
        <v>126000</v>
      </c>
      <c r="DB396" s="0" t="str">
        <f aca="false">IF($A396="","",IF(AND($A396=21,$AE396&amp;""="00000000"),IF($AH396=20,"病院",IF($AH396=5,"消防","市長")),"対象外"))</f>
        <v>対象外</v>
      </c>
    </row>
    <row r="397" customFormat="false" ht="15" hidden="false" customHeight="false" outlineLevel="0" collapsed="false">
      <c r="A397" s="0" t="n">
        <v>31</v>
      </c>
      <c r="AA397" s="0" t="n">
        <v>21</v>
      </c>
      <c r="AB397" s="0" t="s">
        <v>496</v>
      </c>
      <c r="AD397" s="0" t="n">
        <v>0</v>
      </c>
      <c r="AE397" s="0" t="s">
        <v>295</v>
      </c>
      <c r="AH397" s="0" t="n">
        <v>11</v>
      </c>
      <c r="AJ397" s="0" t="n">
        <v>41</v>
      </c>
      <c r="AP397" s="0" t="n">
        <v>170000</v>
      </c>
      <c r="DB397" s="0" t="str">
        <f aca="false">IF($A397="","",IF(AND($A397=21,$AE397&amp;""="00000000"),IF($AH397=20,"病院",IF($AH397=5,"消防","市長")),"対象外"))</f>
        <v>対象外</v>
      </c>
    </row>
    <row r="398" customFormat="false" ht="15" hidden="false" customHeight="false" outlineLevel="0" collapsed="false">
      <c r="A398" s="0" t="n">
        <v>31</v>
      </c>
      <c r="AA398" s="0" t="n">
        <v>21</v>
      </c>
      <c r="AB398" s="0" t="s">
        <v>496</v>
      </c>
      <c r="AD398" s="0" t="n">
        <v>0</v>
      </c>
      <c r="AE398" s="0" t="s">
        <v>295</v>
      </c>
      <c r="AH398" s="0" t="n">
        <v>27</v>
      </c>
      <c r="AJ398" s="0" t="n">
        <v>41</v>
      </c>
      <c r="AP398" s="0" t="n">
        <v>190000</v>
      </c>
      <c r="DB398" s="0" t="str">
        <f aca="false">IF($A398="","",IF(AND($A398=21,$AE398&amp;""="00000000"),IF($AH398=20,"病院",IF($AH398=5,"消防","市長")),"対象外"))</f>
        <v>対象外</v>
      </c>
    </row>
    <row r="399" customFormat="false" ht="15" hidden="false" customHeight="false" outlineLevel="0" collapsed="false">
      <c r="A399" s="0" t="n">
        <v>31</v>
      </c>
      <c r="AA399" s="0" t="n">
        <v>21</v>
      </c>
      <c r="AB399" s="0" t="s">
        <v>484</v>
      </c>
      <c r="AD399" s="0" t="n">
        <v>0</v>
      </c>
      <c r="AE399" s="0" t="s">
        <v>295</v>
      </c>
      <c r="AH399" s="0" t="n">
        <v>1</v>
      </c>
      <c r="AJ399" s="0" t="n">
        <v>10</v>
      </c>
      <c r="AP399" s="0" t="n">
        <v>260000</v>
      </c>
      <c r="DB399" s="0" t="str">
        <f aca="false">IF($A399="","",IF(AND($A399=21,$AE399&amp;""="00000000"),IF($AH399=20,"病院",IF($AH399=5,"消防","市長")),"対象外"))</f>
        <v>対象外</v>
      </c>
    </row>
    <row r="400" customFormat="false" ht="15" hidden="false" customHeight="false" outlineLevel="0" collapsed="false">
      <c r="A400" s="0" t="n">
        <v>31</v>
      </c>
      <c r="AA400" s="0" t="n">
        <v>21</v>
      </c>
      <c r="AB400" s="0" t="s">
        <v>496</v>
      </c>
      <c r="AD400" s="0" t="n">
        <v>0</v>
      </c>
      <c r="AE400" s="0" t="s">
        <v>295</v>
      </c>
      <c r="AH400" s="0" t="n">
        <v>1</v>
      </c>
      <c r="AJ400" s="0" t="n">
        <v>41</v>
      </c>
      <c r="AP400" s="0" t="n">
        <v>200000</v>
      </c>
      <c r="DB400" s="0" t="str">
        <f aca="false">IF($A400="","",IF(AND($A400=21,$AE400&amp;""="00000000"),IF($AH400=20,"病院",IF($AH400=5,"消防","市長")),"対象外"))</f>
        <v>対象外</v>
      </c>
    </row>
    <row r="401" customFormat="false" ht="15" hidden="false" customHeight="false" outlineLevel="0" collapsed="false">
      <c r="A401" s="0" t="n">
        <v>31</v>
      </c>
      <c r="AA401" s="0" t="n">
        <v>21</v>
      </c>
      <c r="AB401" s="0" t="s">
        <v>496</v>
      </c>
      <c r="AD401" s="0" t="n">
        <v>0</v>
      </c>
      <c r="AE401" s="0" t="s">
        <v>295</v>
      </c>
      <c r="AH401" s="0" t="n">
        <v>20</v>
      </c>
      <c r="AJ401" s="0" t="n">
        <v>41</v>
      </c>
      <c r="AP401" s="0" t="n">
        <v>170000</v>
      </c>
      <c r="DB401" s="0" t="str">
        <f aca="false">IF($A401="","",IF(AND($A401=21,$AE401&amp;""="00000000"),IF($AH401=20,"病院",IF($AH401=5,"消防","市長")),"対象外"))</f>
        <v>対象外</v>
      </c>
    </row>
    <row r="402" customFormat="false" ht="15" hidden="false" customHeight="false" outlineLevel="0" collapsed="false">
      <c r="A402" s="0" t="n">
        <v>21</v>
      </c>
      <c r="AA402" s="0" t="n">
        <v>21</v>
      </c>
      <c r="AB402" s="0" t="s">
        <v>404</v>
      </c>
      <c r="AD402" s="0" t="n">
        <v>0</v>
      </c>
      <c r="AE402" s="0" t="s">
        <v>295</v>
      </c>
      <c r="AH402" s="0" t="n">
        <v>1</v>
      </c>
      <c r="AJ402" s="0" t="n">
        <v>10</v>
      </c>
      <c r="AP402" s="0" t="n">
        <v>560000</v>
      </c>
      <c r="DB402" s="0" t="str">
        <f aca="false">IF($A402="","",IF(AND($A402=21,$AE402&amp;""="00000000"),IF($AH402=20,"病院",IF($AH402=5,"消防","市長")),"対象外"))</f>
        <v>市長</v>
      </c>
    </row>
    <row r="403" customFormat="false" ht="15" hidden="false" customHeight="false" outlineLevel="0" collapsed="false">
      <c r="A403" s="0" t="n">
        <v>21</v>
      </c>
      <c r="AA403" s="0" t="n">
        <v>21</v>
      </c>
      <c r="AB403" s="0" t="s">
        <v>619</v>
      </c>
      <c r="AD403" s="0" t="n">
        <v>0</v>
      </c>
      <c r="AE403" s="0" t="s">
        <v>295</v>
      </c>
      <c r="AH403" s="0" t="n">
        <v>20</v>
      </c>
      <c r="AJ403" s="0" t="n">
        <v>10</v>
      </c>
      <c r="AP403" s="0" t="n">
        <v>620000</v>
      </c>
      <c r="DB403" s="0" t="str">
        <f aca="false">IF($A403="","",IF(AND($A403=21,$AE403&amp;""="00000000"),IF($AH403=20,"病院",IF($AH403=5,"消防","市長")),"対象外"))</f>
        <v>病院</v>
      </c>
    </row>
    <row r="404" customFormat="false" ht="15" hidden="false" customHeight="false" outlineLevel="0" collapsed="false">
      <c r="A404" s="0" t="n">
        <v>21</v>
      </c>
      <c r="AA404" s="0" t="n">
        <v>21</v>
      </c>
      <c r="AB404" s="0" t="s">
        <v>412</v>
      </c>
      <c r="AD404" s="0" t="n">
        <v>0</v>
      </c>
      <c r="AE404" s="0" t="s">
        <v>295</v>
      </c>
      <c r="AH404" s="0" t="n">
        <v>20</v>
      </c>
      <c r="AJ404" s="0" t="n">
        <v>10</v>
      </c>
      <c r="AP404" s="0" t="n">
        <v>500000</v>
      </c>
      <c r="DB404" s="0" t="str">
        <f aca="false">IF($A404="","",IF(AND($A404=21,$AE404&amp;""="00000000"),IF($AH404=20,"病院",IF($AH404=5,"消防","市長")),"対象外"))</f>
        <v>病院</v>
      </c>
    </row>
    <row r="405" customFormat="false" ht="15" hidden="false" customHeight="false" outlineLevel="0" collapsed="false">
      <c r="A405" s="0" t="n">
        <v>31</v>
      </c>
      <c r="AA405" s="0" t="n">
        <v>21</v>
      </c>
      <c r="AB405" s="0" t="s">
        <v>494</v>
      </c>
      <c r="AD405" s="0" t="n">
        <v>0</v>
      </c>
      <c r="AE405" s="0" t="s">
        <v>295</v>
      </c>
      <c r="AH405" s="0" t="n">
        <v>1</v>
      </c>
      <c r="AJ405" s="0" t="n">
        <v>41</v>
      </c>
      <c r="AP405" s="0" t="n">
        <v>134000</v>
      </c>
      <c r="DB405" s="0" t="str">
        <f aca="false">IF($A405="","",IF(AND($A405=21,$AE405&amp;""="00000000"),IF($AH405=20,"病院",IF($AH405=5,"消防","市長")),"対象外"))</f>
        <v>対象外</v>
      </c>
    </row>
    <row r="406" customFormat="false" ht="15" hidden="false" customHeight="false" outlineLevel="0" collapsed="false">
      <c r="A406" s="0" t="n">
        <v>21</v>
      </c>
      <c r="AA406" s="0" t="n">
        <v>21</v>
      </c>
      <c r="AB406" s="0" t="s">
        <v>443</v>
      </c>
      <c r="AD406" s="0" t="n">
        <v>0</v>
      </c>
      <c r="AE406" s="0" t="s">
        <v>295</v>
      </c>
      <c r="AH406" s="0" t="n">
        <v>1</v>
      </c>
      <c r="AJ406" s="0" t="n">
        <v>10</v>
      </c>
      <c r="AP406" s="0" t="n">
        <v>440000</v>
      </c>
      <c r="DB406" s="0" t="str">
        <f aca="false">IF($A406="","",IF(AND($A406=21,$AE406&amp;""="00000000"),IF($AH406=20,"病院",IF($AH406=5,"消防","市長")),"対象外"))</f>
        <v>市長</v>
      </c>
    </row>
    <row r="407" customFormat="false" ht="15" hidden="false" customHeight="false" outlineLevel="0" collapsed="false">
      <c r="A407" s="0" t="n">
        <v>31</v>
      </c>
      <c r="AA407" s="0" t="n">
        <v>21</v>
      </c>
      <c r="AB407" s="0" t="s">
        <v>494</v>
      </c>
      <c r="AD407" s="0" t="n">
        <v>0</v>
      </c>
      <c r="AE407" s="0" t="s">
        <v>295</v>
      </c>
      <c r="AH407" s="0" t="n">
        <v>1</v>
      </c>
      <c r="AJ407" s="0" t="n">
        <v>41</v>
      </c>
      <c r="AP407" s="0" t="n">
        <v>142000</v>
      </c>
      <c r="DB407" s="0" t="str">
        <f aca="false">IF($A407="","",IF(AND($A407=21,$AE407&amp;""="00000000"),IF($AH407=20,"病院",IF($AH407=5,"消防","市長")),"対象外"))</f>
        <v>対象外</v>
      </c>
    </row>
    <row r="408" customFormat="false" ht="15" hidden="false" customHeight="false" outlineLevel="0" collapsed="false">
      <c r="A408" s="0" t="n">
        <v>21</v>
      </c>
      <c r="AA408" s="0" t="n">
        <v>21</v>
      </c>
      <c r="AB408" s="0" t="s">
        <v>513</v>
      </c>
      <c r="AD408" s="0" t="n">
        <v>0</v>
      </c>
      <c r="AE408" s="0" t="s">
        <v>295</v>
      </c>
      <c r="AH408" s="0" t="n">
        <v>20</v>
      </c>
      <c r="AJ408" s="0" t="n">
        <v>10</v>
      </c>
      <c r="AP408" s="0" t="n">
        <v>280000</v>
      </c>
      <c r="DB408" s="0" t="str">
        <f aca="false">IF($A408="","",IF(AND($A408=21,$AE408&amp;""="00000000"),IF($AH408=20,"病院",IF($AH408=5,"消防","市長")),"対象外"))</f>
        <v>病院</v>
      </c>
    </row>
    <row r="409" customFormat="false" ht="15" hidden="false" customHeight="false" outlineLevel="0" collapsed="false">
      <c r="A409" s="0" t="n">
        <v>21</v>
      </c>
      <c r="AA409" s="0" t="n">
        <v>21</v>
      </c>
      <c r="AB409" s="0" t="s">
        <v>424</v>
      </c>
      <c r="AD409" s="0" t="n">
        <v>0</v>
      </c>
      <c r="AE409" s="0" t="s">
        <v>295</v>
      </c>
      <c r="AH409" s="0" t="n">
        <v>20</v>
      </c>
      <c r="AJ409" s="0" t="n">
        <v>10</v>
      </c>
      <c r="AP409" s="0" t="n">
        <v>590000</v>
      </c>
      <c r="DB409" s="0" t="str">
        <f aca="false">IF($A409="","",IF(AND($A409=21,$AE409&amp;""="00000000"),IF($AH409=20,"病院",IF($AH409=5,"消防","市長")),"対象外"))</f>
        <v>病院</v>
      </c>
    </row>
    <row r="410" customFormat="false" ht="15" hidden="false" customHeight="false" outlineLevel="0" collapsed="false">
      <c r="A410" s="0" t="n">
        <v>21</v>
      </c>
      <c r="AA410" s="0" t="n">
        <v>21</v>
      </c>
      <c r="AB410" s="0" t="s">
        <v>390</v>
      </c>
      <c r="AD410" s="0" t="n">
        <v>0</v>
      </c>
      <c r="AE410" s="0" t="s">
        <v>295</v>
      </c>
      <c r="AH410" s="0" t="n">
        <v>11</v>
      </c>
      <c r="AJ410" s="0" t="n">
        <v>10</v>
      </c>
      <c r="AP410" s="0" t="n">
        <v>500000</v>
      </c>
      <c r="DB410" s="0" t="str">
        <f aca="false">IF($A410="","",IF(AND($A410=21,$AE410&amp;""="00000000"),IF($AH410=20,"病院",IF($AH410=5,"消防","市長")),"対象外"))</f>
        <v>市長</v>
      </c>
    </row>
    <row r="411" customFormat="false" ht="15" hidden="false" customHeight="false" outlineLevel="0" collapsed="false">
      <c r="A411" s="0" t="n">
        <v>21</v>
      </c>
      <c r="AA411" s="0" t="n">
        <v>21</v>
      </c>
      <c r="AB411" s="0" t="s">
        <v>478</v>
      </c>
      <c r="AD411" s="0" t="n">
        <v>0</v>
      </c>
      <c r="AE411" s="0" t="s">
        <v>295</v>
      </c>
      <c r="AH411" s="0" t="n">
        <v>20</v>
      </c>
      <c r="AJ411" s="0" t="n">
        <v>10</v>
      </c>
      <c r="AP411" s="0" t="n">
        <v>380000</v>
      </c>
      <c r="DB411" s="0" t="str">
        <f aca="false">IF($A411="","",IF(AND($A411=21,$AE411&amp;""="00000000"),IF($AH411=20,"病院",IF($AH411=5,"消防","市長")),"対象外"))</f>
        <v>病院</v>
      </c>
    </row>
    <row r="412" customFormat="false" ht="15" hidden="false" customHeight="false" outlineLevel="0" collapsed="false">
      <c r="A412" s="0" t="n">
        <v>31</v>
      </c>
      <c r="AA412" s="0" t="n">
        <v>21</v>
      </c>
      <c r="AB412" s="0" t="s">
        <v>540</v>
      </c>
      <c r="AD412" s="0" t="n">
        <v>0</v>
      </c>
      <c r="AE412" s="0" t="s">
        <v>295</v>
      </c>
      <c r="AH412" s="0" t="n">
        <v>20</v>
      </c>
      <c r="AJ412" s="0" t="n">
        <v>41</v>
      </c>
      <c r="AP412" s="0" t="n">
        <v>260000</v>
      </c>
      <c r="DB412" s="0" t="str">
        <f aca="false">IF($A412="","",IF(AND($A412=21,$AE412&amp;""="00000000"),IF($AH412=20,"病院",IF($AH412=5,"消防","市長")),"対象外"))</f>
        <v>対象外</v>
      </c>
    </row>
    <row r="413" customFormat="false" ht="15" hidden="false" customHeight="false" outlineLevel="0" collapsed="false">
      <c r="A413" s="0" t="n">
        <v>31</v>
      </c>
      <c r="AA413" s="0" t="n">
        <v>21</v>
      </c>
      <c r="AB413" s="0" t="s">
        <v>496</v>
      </c>
      <c r="AD413" s="0" t="n">
        <v>0</v>
      </c>
      <c r="AE413" s="0" t="s">
        <v>295</v>
      </c>
      <c r="AH413" s="0" t="n">
        <v>1</v>
      </c>
      <c r="AJ413" s="0" t="n">
        <v>41</v>
      </c>
      <c r="AP413" s="0" t="n">
        <v>170000</v>
      </c>
      <c r="DB413" s="0" t="str">
        <f aca="false">IF($A413="","",IF(AND($A413=21,$AE413&amp;""="00000000"),IF($AH413=20,"病院",IF($AH413=5,"消防","市長")),"対象外"))</f>
        <v>対象外</v>
      </c>
    </row>
    <row r="414" customFormat="false" ht="15" hidden="false" customHeight="false" outlineLevel="0" collapsed="false">
      <c r="A414" s="0" t="n">
        <v>31</v>
      </c>
      <c r="AA414" s="0" t="n">
        <v>21</v>
      </c>
      <c r="AB414" s="0" t="s">
        <v>496</v>
      </c>
      <c r="AD414" s="0" t="n">
        <v>0</v>
      </c>
      <c r="AE414" s="0" t="s">
        <v>295</v>
      </c>
      <c r="AH414" s="0" t="n">
        <v>1</v>
      </c>
      <c r="AJ414" s="0" t="n">
        <v>41</v>
      </c>
      <c r="AP414" s="0" t="n">
        <v>190000</v>
      </c>
      <c r="DB414" s="0" t="str">
        <f aca="false">IF($A414="","",IF(AND($A414=21,$AE414&amp;""="00000000"),IF($AH414=20,"病院",IF($AH414=5,"消防","市長")),"対象外"))</f>
        <v>対象外</v>
      </c>
    </row>
    <row r="415" customFormat="false" ht="15" hidden="false" customHeight="false" outlineLevel="0" collapsed="false">
      <c r="A415" s="0" t="n">
        <v>31</v>
      </c>
      <c r="AA415" s="0" t="n">
        <v>21</v>
      </c>
      <c r="AB415" s="0" t="s">
        <v>458</v>
      </c>
      <c r="AD415" s="0" t="n">
        <v>0</v>
      </c>
      <c r="AE415" s="0" t="s">
        <v>295</v>
      </c>
      <c r="AH415" s="0" t="n">
        <v>1</v>
      </c>
      <c r="AJ415" s="0" t="n">
        <v>10</v>
      </c>
      <c r="AP415" s="0" t="n">
        <v>280000</v>
      </c>
      <c r="DB415" s="0" t="str">
        <f aca="false">IF($A415="","",IF(AND($A415=21,$AE415&amp;""="00000000"),IF($AH415=20,"病院",IF($AH415=5,"消防","市長")),"対象外"))</f>
        <v>対象外</v>
      </c>
    </row>
    <row r="416" customFormat="false" ht="15" hidden="false" customHeight="false" outlineLevel="0" collapsed="false">
      <c r="A416" s="0" t="n">
        <v>31</v>
      </c>
      <c r="AA416" s="0" t="n">
        <v>21</v>
      </c>
      <c r="AB416" s="0" t="s">
        <v>496</v>
      </c>
      <c r="AD416" s="0" t="n">
        <v>0</v>
      </c>
      <c r="AE416" s="0" t="s">
        <v>295</v>
      </c>
      <c r="AH416" s="0" t="n">
        <v>1</v>
      </c>
      <c r="AJ416" s="0" t="n">
        <v>41</v>
      </c>
      <c r="AP416" s="0" t="n">
        <v>200000</v>
      </c>
      <c r="DB416" s="0" t="str">
        <f aca="false">IF($A416="","",IF(AND($A416=21,$AE416&amp;""="00000000"),IF($AH416=20,"病院",IF($AH416=5,"消防","市長")),"対象外"))</f>
        <v>対象外</v>
      </c>
    </row>
    <row r="417" customFormat="false" ht="15" hidden="false" customHeight="false" outlineLevel="0" collapsed="false">
      <c r="A417" s="0" t="n">
        <v>31</v>
      </c>
      <c r="AA417" s="0" t="n">
        <v>21</v>
      </c>
      <c r="AB417" s="0" t="s">
        <v>96</v>
      </c>
      <c r="AD417" s="0" t="n">
        <v>0</v>
      </c>
      <c r="AE417" s="0" t="s">
        <v>295</v>
      </c>
      <c r="AH417" s="0" t="n">
        <v>1</v>
      </c>
      <c r="AJ417" s="0" t="n">
        <v>41</v>
      </c>
      <c r="AP417" s="0" t="n">
        <v>200000</v>
      </c>
      <c r="DB417" s="0" t="str">
        <f aca="false">IF($A417="","",IF(AND($A417=21,$AE417&amp;""="00000000"),IF($AH417=20,"病院",IF($AH417=5,"消防","市長")),"対象外"))</f>
        <v>対象外</v>
      </c>
    </row>
    <row r="418" customFormat="false" ht="15" hidden="false" customHeight="false" outlineLevel="0" collapsed="false">
      <c r="A418" s="0" t="n">
        <v>21</v>
      </c>
      <c r="AA418" s="0" t="n">
        <v>21</v>
      </c>
      <c r="AB418" s="0" t="s">
        <v>452</v>
      </c>
      <c r="AD418" s="0" t="n">
        <v>0</v>
      </c>
      <c r="AE418" s="0" t="s">
        <v>295</v>
      </c>
      <c r="AH418" s="0" t="n">
        <v>20</v>
      </c>
      <c r="AJ418" s="0" t="n">
        <v>10</v>
      </c>
      <c r="AP418" s="0" t="n">
        <v>410000</v>
      </c>
      <c r="DB418" s="0" t="str">
        <f aca="false">IF($A418="","",IF(AND($A418=21,$AE418&amp;""="00000000"),IF($AH418=20,"病院",IF($AH418=5,"消防","市長")),"対象外"))</f>
        <v>病院</v>
      </c>
    </row>
    <row r="419" customFormat="false" ht="15" hidden="false" customHeight="false" outlineLevel="0" collapsed="false">
      <c r="A419" s="0" t="n">
        <v>31</v>
      </c>
      <c r="AA419" s="0" t="n">
        <v>21</v>
      </c>
      <c r="AB419" s="0" t="s">
        <v>496</v>
      </c>
      <c r="AD419" s="0" t="n">
        <v>0</v>
      </c>
      <c r="AE419" s="0" t="s">
        <v>295</v>
      </c>
      <c r="AH419" s="0" t="n">
        <v>1</v>
      </c>
      <c r="AJ419" s="0" t="n">
        <v>41</v>
      </c>
      <c r="AP419" s="0" t="n">
        <v>150000</v>
      </c>
      <c r="DB419" s="0" t="str">
        <f aca="false">IF($A419="","",IF(AND($A419=21,$AE419&amp;""="00000000"),IF($AH419=20,"病院",IF($AH419=5,"消防","市長")),"対象外"))</f>
        <v>対象外</v>
      </c>
    </row>
    <row r="420" customFormat="false" ht="15" hidden="false" customHeight="false" outlineLevel="0" collapsed="false">
      <c r="A420" s="0" t="n">
        <v>31</v>
      </c>
      <c r="AA420" s="0" t="n">
        <v>21</v>
      </c>
      <c r="AB420" s="0" t="s">
        <v>496</v>
      </c>
      <c r="AD420" s="0" t="n">
        <v>0</v>
      </c>
      <c r="AE420" s="0" t="s">
        <v>295</v>
      </c>
      <c r="AH420" s="0" t="n">
        <v>1</v>
      </c>
      <c r="AJ420" s="0" t="n">
        <v>41</v>
      </c>
      <c r="AP420" s="0" t="n">
        <v>200000</v>
      </c>
      <c r="DB420" s="0" t="str">
        <f aca="false">IF($A420="","",IF(AND($A420=21,$AE420&amp;""="00000000"),IF($AH420=20,"病院",IF($AH420=5,"消防","市長")),"対象外"))</f>
        <v>対象外</v>
      </c>
    </row>
    <row r="421" customFormat="false" ht="15" hidden="false" customHeight="false" outlineLevel="0" collapsed="false">
      <c r="A421" s="0" t="n">
        <v>21</v>
      </c>
      <c r="AA421" s="0" t="n">
        <v>21</v>
      </c>
      <c r="AB421" s="0" t="s">
        <v>450</v>
      </c>
      <c r="AD421" s="0" t="n">
        <v>0</v>
      </c>
      <c r="AE421" s="0" t="s">
        <v>295</v>
      </c>
      <c r="AH421" s="0" t="n">
        <v>11</v>
      </c>
      <c r="AJ421" s="0" t="n">
        <v>10</v>
      </c>
      <c r="AP421" s="0" t="n">
        <v>440000</v>
      </c>
      <c r="DB421" s="0" t="str">
        <f aca="false">IF($A421="","",IF(AND($A421=21,$AE421&amp;""="00000000"),IF($AH421=20,"病院",IF($AH421=5,"消防","市長")),"対象外"))</f>
        <v>市長</v>
      </c>
    </row>
    <row r="422" customFormat="false" ht="15" hidden="false" customHeight="false" outlineLevel="0" collapsed="false">
      <c r="A422" s="0" t="n">
        <v>31</v>
      </c>
      <c r="AA422" s="0" t="n">
        <v>21</v>
      </c>
      <c r="AB422" s="0" t="s">
        <v>496</v>
      </c>
      <c r="AD422" s="0" t="n">
        <v>0</v>
      </c>
      <c r="AE422" s="0" t="s">
        <v>295</v>
      </c>
      <c r="AH422" s="0" t="n">
        <v>11</v>
      </c>
      <c r="AJ422" s="0" t="n">
        <v>41</v>
      </c>
      <c r="AP422" s="0" t="n">
        <v>126000</v>
      </c>
      <c r="DB422" s="0" t="str">
        <f aca="false">IF($A422="","",IF(AND($A422=21,$AE422&amp;""="00000000"),IF($AH422=20,"病院",IF($AH422=5,"消防","市長")),"対象外"))</f>
        <v>対象外</v>
      </c>
    </row>
    <row r="423" customFormat="false" ht="15" hidden="false" customHeight="false" outlineLevel="0" collapsed="false">
      <c r="A423" s="0" t="n">
        <v>31</v>
      </c>
      <c r="AA423" s="0" t="n">
        <v>21</v>
      </c>
      <c r="AB423" s="0" t="s">
        <v>620</v>
      </c>
      <c r="AD423" s="0" t="n">
        <v>0</v>
      </c>
      <c r="AE423" s="0" t="s">
        <v>295</v>
      </c>
      <c r="AH423" s="0" t="n">
        <v>11</v>
      </c>
      <c r="AJ423" s="0" t="n">
        <v>41</v>
      </c>
      <c r="AP423" s="0" t="n">
        <v>104000</v>
      </c>
      <c r="DB423" s="0" t="str">
        <f aca="false">IF($A423="","",IF(AND($A423=21,$AE423&amp;""="00000000"),IF($AH423=20,"病院",IF($AH423=5,"消防","市長")),"対象外"))</f>
        <v>対象外</v>
      </c>
    </row>
    <row r="424" customFormat="false" ht="15" hidden="false" customHeight="false" outlineLevel="0" collapsed="false">
      <c r="A424" s="0" t="n">
        <v>21</v>
      </c>
      <c r="AA424" s="0" t="n">
        <v>21</v>
      </c>
      <c r="AB424" s="0" t="s">
        <v>404</v>
      </c>
      <c r="AD424" s="0" t="n">
        <v>0</v>
      </c>
      <c r="AE424" s="0" t="s">
        <v>295</v>
      </c>
      <c r="AH424" s="0" t="n">
        <v>1</v>
      </c>
      <c r="AJ424" s="0" t="n">
        <v>10</v>
      </c>
      <c r="AP424" s="0" t="n">
        <v>530000</v>
      </c>
      <c r="DB424" s="0" t="str">
        <f aca="false">IF($A424="","",IF(AND($A424=21,$AE424&amp;""="00000000"),IF($AH424=20,"病院",IF($AH424=5,"消防","市長")),"対象外"))</f>
        <v>市長</v>
      </c>
    </row>
    <row r="425" customFormat="false" ht="15" hidden="false" customHeight="false" outlineLevel="0" collapsed="false">
      <c r="A425" s="0" t="n">
        <v>21</v>
      </c>
      <c r="AA425" s="0" t="n">
        <v>21</v>
      </c>
      <c r="AB425" s="0" t="s">
        <v>405</v>
      </c>
      <c r="AD425" s="0" t="n">
        <v>0</v>
      </c>
      <c r="AE425" s="0" t="s">
        <v>295</v>
      </c>
      <c r="AH425" s="0" t="n">
        <v>1</v>
      </c>
      <c r="AJ425" s="0" t="n">
        <v>10</v>
      </c>
      <c r="AP425" s="0" t="n">
        <v>530000</v>
      </c>
      <c r="DB425" s="0" t="str">
        <f aca="false">IF($A425="","",IF(AND($A425=21,$AE425&amp;""="00000000"),IF($AH425=20,"病院",IF($AH425=5,"消防","市長")),"対象外"))</f>
        <v>市長</v>
      </c>
    </row>
    <row r="426" customFormat="false" ht="15" hidden="false" customHeight="false" outlineLevel="0" collapsed="false">
      <c r="A426" s="0" t="n">
        <v>31</v>
      </c>
      <c r="AA426" s="0" t="n">
        <v>21</v>
      </c>
      <c r="AB426" s="0" t="s">
        <v>496</v>
      </c>
      <c r="AD426" s="0" t="n">
        <v>0</v>
      </c>
      <c r="AE426" s="0" t="s">
        <v>295</v>
      </c>
      <c r="AH426" s="0" t="n">
        <v>1</v>
      </c>
      <c r="AJ426" s="0" t="n">
        <v>41</v>
      </c>
      <c r="AP426" s="0" t="n">
        <v>190000</v>
      </c>
      <c r="DB426" s="0" t="str">
        <f aca="false">IF($A426="","",IF(AND($A426=21,$AE426&amp;""="00000000"),IF($AH426=20,"病院",IF($AH426=5,"消防","市長")),"対象外"))</f>
        <v>対象外</v>
      </c>
    </row>
    <row r="427" customFormat="false" ht="15" hidden="false" customHeight="false" outlineLevel="0" collapsed="false">
      <c r="A427" s="0" t="n">
        <v>31</v>
      </c>
      <c r="AA427" s="0" t="n">
        <v>21</v>
      </c>
      <c r="AB427" s="0" t="s">
        <v>496</v>
      </c>
      <c r="AD427" s="0" t="n">
        <v>0</v>
      </c>
      <c r="AE427" s="0" t="s">
        <v>295</v>
      </c>
      <c r="AH427" s="0" t="n">
        <v>1</v>
      </c>
      <c r="AJ427" s="0" t="n">
        <v>41</v>
      </c>
      <c r="AP427" s="0" t="n">
        <v>134000</v>
      </c>
      <c r="DB427" s="0" t="str">
        <f aca="false">IF($A427="","",IF(AND($A427=21,$AE427&amp;""="00000000"),IF($AH427=20,"病院",IF($AH427=5,"消防","市長")),"対象外"))</f>
        <v>対象外</v>
      </c>
    </row>
    <row r="428" customFormat="false" ht="15" hidden="false" customHeight="false" outlineLevel="0" collapsed="false">
      <c r="A428" s="0" t="n">
        <v>31</v>
      </c>
      <c r="AA428" s="0" t="n">
        <v>21</v>
      </c>
      <c r="AB428" s="0" t="s">
        <v>496</v>
      </c>
      <c r="AD428" s="0" t="n">
        <v>0</v>
      </c>
      <c r="AE428" s="0" t="s">
        <v>295</v>
      </c>
      <c r="AH428" s="0" t="n">
        <v>1</v>
      </c>
      <c r="AJ428" s="0" t="n">
        <v>41</v>
      </c>
      <c r="AP428" s="0" t="n">
        <v>142000</v>
      </c>
      <c r="DB428" s="0" t="str">
        <f aca="false">IF($A428="","",IF(AND($A428=21,$AE428&amp;""="00000000"),IF($AH428=20,"病院",IF($AH428=5,"消防","市長")),"対象外"))</f>
        <v>対象外</v>
      </c>
    </row>
    <row r="429" customFormat="false" ht="15" hidden="false" customHeight="false" outlineLevel="0" collapsed="false">
      <c r="A429" s="0" t="n">
        <v>21</v>
      </c>
      <c r="AA429" s="0" t="n">
        <v>21</v>
      </c>
      <c r="AB429" s="0" t="s">
        <v>412</v>
      </c>
      <c r="AD429" s="0" t="n">
        <v>0</v>
      </c>
      <c r="AE429" s="0" t="s">
        <v>295</v>
      </c>
      <c r="AH429" s="0" t="n">
        <v>20</v>
      </c>
      <c r="AJ429" s="0" t="n">
        <v>10</v>
      </c>
      <c r="AP429" s="0" t="n">
        <v>500000</v>
      </c>
      <c r="DB429" s="0" t="str">
        <f aca="false">IF($A429="","",IF(AND($A429=21,$AE429&amp;""="00000000"),IF($AH429=20,"病院",IF($AH429=5,"消防","市長")),"対象外"))</f>
        <v>病院</v>
      </c>
    </row>
    <row r="430" customFormat="false" ht="15" hidden="false" customHeight="false" outlineLevel="0" collapsed="false">
      <c r="A430" s="0" t="n">
        <v>21</v>
      </c>
      <c r="AA430" s="0" t="n">
        <v>21</v>
      </c>
      <c r="AB430" s="0" t="s">
        <v>417</v>
      </c>
      <c r="AD430" s="0" t="n">
        <v>0</v>
      </c>
      <c r="AE430" s="0" t="s">
        <v>295</v>
      </c>
      <c r="AH430" s="0" t="n">
        <v>1</v>
      </c>
      <c r="AJ430" s="0" t="n">
        <v>10</v>
      </c>
      <c r="AP430" s="0" t="n">
        <v>560000</v>
      </c>
      <c r="DB430" s="0" t="str">
        <f aca="false">IF($A430="","",IF(AND($A430=21,$AE430&amp;""="00000000"),IF($AH430=20,"病院",IF($AH430=5,"消防","市長")),"対象外"))</f>
        <v>市長</v>
      </c>
    </row>
    <row r="431" customFormat="false" ht="15" hidden="false" customHeight="false" outlineLevel="0" collapsed="false">
      <c r="A431" s="0" t="n">
        <v>31</v>
      </c>
      <c r="AA431" s="0" t="n">
        <v>21</v>
      </c>
      <c r="AB431" s="0" t="s">
        <v>496</v>
      </c>
      <c r="AD431" s="0" t="n">
        <v>0</v>
      </c>
      <c r="AE431" s="0" t="s">
        <v>295</v>
      </c>
      <c r="AH431" s="0" t="n">
        <v>1</v>
      </c>
      <c r="AJ431" s="0" t="n">
        <v>41</v>
      </c>
      <c r="AP431" s="0" t="n">
        <v>134000</v>
      </c>
      <c r="DB431" s="0" t="str">
        <f aca="false">IF($A431="","",IF(AND($A431=21,$AE431&amp;""="00000000"),IF($AH431=20,"病院",IF($AH431=5,"消防","市長")),"対象外"))</f>
        <v>対象外</v>
      </c>
    </row>
    <row r="432" customFormat="false" ht="15" hidden="false" customHeight="false" outlineLevel="0" collapsed="false">
      <c r="A432" s="0" t="n">
        <v>21</v>
      </c>
      <c r="AA432" s="0" t="n">
        <v>21</v>
      </c>
      <c r="AB432" s="0" t="s">
        <v>436</v>
      </c>
      <c r="AD432" s="0" t="n">
        <v>0</v>
      </c>
      <c r="AE432" s="0" t="s">
        <v>295</v>
      </c>
      <c r="AH432" s="0" t="n">
        <v>1</v>
      </c>
      <c r="AJ432" s="0" t="n">
        <v>10</v>
      </c>
      <c r="AP432" s="0" t="n">
        <v>440000</v>
      </c>
      <c r="DB432" s="0" t="str">
        <f aca="false">IF($A432="","",IF(AND($A432=21,$AE432&amp;""="00000000"),IF($AH432=20,"病院",IF($AH432=5,"消防","市長")),"対象外"))</f>
        <v>市長</v>
      </c>
    </row>
    <row r="433" customFormat="false" ht="15" hidden="false" customHeight="false" outlineLevel="0" collapsed="false">
      <c r="A433" s="0" t="n">
        <v>31</v>
      </c>
      <c r="AA433" s="0" t="n">
        <v>21</v>
      </c>
      <c r="AB433" s="0" t="s">
        <v>496</v>
      </c>
      <c r="AD433" s="0" t="n">
        <v>0</v>
      </c>
      <c r="AE433" s="0" t="s">
        <v>295</v>
      </c>
      <c r="AH433" s="0" t="n">
        <v>1</v>
      </c>
      <c r="AJ433" s="0" t="n">
        <v>41</v>
      </c>
      <c r="AP433" s="0" t="n">
        <v>180000</v>
      </c>
      <c r="DB433" s="0" t="str">
        <f aca="false">IF($A433="","",IF(AND($A433=21,$AE433&amp;""="00000000"),IF($AH433=20,"病院",IF($AH433=5,"消防","市長")),"対象外"))</f>
        <v>対象外</v>
      </c>
    </row>
    <row r="434" customFormat="false" ht="15" hidden="false" customHeight="false" outlineLevel="0" collapsed="false">
      <c r="A434" s="0" t="n">
        <v>21</v>
      </c>
      <c r="AA434" s="0" t="n">
        <v>21</v>
      </c>
      <c r="AB434" s="0" t="s">
        <v>450</v>
      </c>
      <c r="AD434" s="0" t="n">
        <v>0</v>
      </c>
      <c r="AE434" s="0" t="s">
        <v>295</v>
      </c>
      <c r="AH434" s="0" t="n">
        <v>1</v>
      </c>
      <c r="AJ434" s="0" t="n">
        <v>10</v>
      </c>
      <c r="AP434" s="0" t="n">
        <v>530000</v>
      </c>
      <c r="DB434" s="0" t="str">
        <f aca="false">IF($A434="","",IF(AND($A434=21,$AE434&amp;""="00000000"),IF($AH434=20,"病院",IF($AH434=5,"消防","市長")),"対象外"))</f>
        <v>市長</v>
      </c>
    </row>
    <row r="435" customFormat="false" ht="15" hidden="false" customHeight="false" outlineLevel="0" collapsed="false">
      <c r="A435" s="0" t="n">
        <v>31</v>
      </c>
      <c r="AA435" s="0" t="n">
        <v>21</v>
      </c>
      <c r="AB435" s="0" t="s">
        <v>496</v>
      </c>
      <c r="AD435" s="0" t="n">
        <v>0</v>
      </c>
      <c r="AE435" s="0" t="s">
        <v>295</v>
      </c>
      <c r="AH435" s="0" t="n">
        <v>1</v>
      </c>
      <c r="AJ435" s="0" t="n">
        <v>41</v>
      </c>
      <c r="AP435" s="0" t="n">
        <v>200000</v>
      </c>
      <c r="DB435" s="0" t="str">
        <f aca="false">IF($A435="","",IF(AND($A435=21,$AE435&amp;""="00000000"),IF($AH435=20,"病院",IF($AH435=5,"消防","市長")),"対象外"))</f>
        <v>対象外</v>
      </c>
    </row>
    <row r="436" customFormat="false" ht="15" hidden="false" customHeight="false" outlineLevel="0" collapsed="false">
      <c r="A436" s="0" t="n">
        <v>21</v>
      </c>
      <c r="AA436" s="0" t="n">
        <v>21</v>
      </c>
      <c r="AB436" s="0" t="s">
        <v>413</v>
      </c>
      <c r="AD436" s="0" t="n">
        <v>0</v>
      </c>
      <c r="AE436" s="0" t="s">
        <v>295</v>
      </c>
      <c r="AH436" s="0" t="n">
        <v>1</v>
      </c>
      <c r="AJ436" s="0" t="n">
        <v>10</v>
      </c>
      <c r="AP436" s="0" t="n">
        <v>560000</v>
      </c>
      <c r="DB436" s="0" t="str">
        <f aca="false">IF($A436="","",IF(AND($A436=21,$AE436&amp;""="00000000"),IF($AH436=20,"病院",IF($AH436=5,"消防","市長")),"対象外"))</f>
        <v>市長</v>
      </c>
    </row>
    <row r="437" customFormat="false" ht="15" hidden="false" customHeight="false" outlineLevel="0" collapsed="false">
      <c r="A437" s="0" t="n">
        <v>21</v>
      </c>
      <c r="AA437" s="0" t="n">
        <v>21</v>
      </c>
      <c r="AB437" s="0" t="s">
        <v>427</v>
      </c>
      <c r="AD437" s="0" t="n">
        <v>0</v>
      </c>
      <c r="AE437" s="0" t="s">
        <v>295</v>
      </c>
      <c r="AH437" s="0" t="n">
        <v>11</v>
      </c>
      <c r="AJ437" s="0" t="n">
        <v>10</v>
      </c>
      <c r="AP437" s="0" t="n">
        <v>440000</v>
      </c>
      <c r="DB437" s="0" t="str">
        <f aca="false">IF($A437="","",IF(AND($A437=21,$AE437&amp;""="00000000"),IF($AH437=20,"病院",IF($AH437=5,"消防","市長")),"対象外"))</f>
        <v>市長</v>
      </c>
    </row>
    <row r="438" customFormat="false" ht="15" hidden="false" customHeight="false" outlineLevel="0" collapsed="false">
      <c r="A438" s="0" t="n">
        <v>21</v>
      </c>
      <c r="AA438" s="0" t="n">
        <v>21</v>
      </c>
      <c r="AB438" s="0" t="s">
        <v>451</v>
      </c>
      <c r="AD438" s="0" t="n">
        <v>0</v>
      </c>
      <c r="AE438" s="0" t="s">
        <v>295</v>
      </c>
      <c r="AH438" s="0" t="n">
        <v>1</v>
      </c>
      <c r="AJ438" s="0" t="n">
        <v>10</v>
      </c>
      <c r="AP438" s="0" t="n">
        <v>440000</v>
      </c>
      <c r="DB438" s="0" t="str">
        <f aca="false">IF($A438="","",IF(AND($A438=21,$AE438&amp;""="00000000"),IF($AH438=20,"病院",IF($AH438=5,"消防","市長")),"対象外"))</f>
        <v>市長</v>
      </c>
    </row>
    <row r="439" customFormat="false" ht="15" hidden="false" customHeight="false" outlineLevel="0" collapsed="false">
      <c r="A439" s="0" t="n">
        <v>31</v>
      </c>
      <c r="AA439" s="0" t="n">
        <v>21</v>
      </c>
      <c r="AB439" s="0" t="s">
        <v>496</v>
      </c>
      <c r="AD439" s="0" t="n">
        <v>0</v>
      </c>
      <c r="AE439" s="0" t="s">
        <v>295</v>
      </c>
      <c r="AH439" s="0" t="n">
        <v>1</v>
      </c>
      <c r="AJ439" s="0" t="n">
        <v>41</v>
      </c>
      <c r="AP439" s="0" t="n">
        <v>170000</v>
      </c>
      <c r="DB439" s="0" t="str">
        <f aca="false">IF($A439="","",IF(AND($A439=21,$AE439&amp;""="00000000"),IF($AH439=20,"病院",IF($AH439=5,"消防","市長")),"対象外"))</f>
        <v>対象外</v>
      </c>
    </row>
    <row r="440" customFormat="false" ht="15" hidden="false" customHeight="false" outlineLevel="0" collapsed="false">
      <c r="A440" s="0" t="n">
        <v>31</v>
      </c>
      <c r="AA440" s="0" t="n">
        <v>21</v>
      </c>
      <c r="AB440" s="0" t="s">
        <v>496</v>
      </c>
      <c r="AD440" s="0" t="n">
        <v>0</v>
      </c>
      <c r="AE440" s="0" t="s">
        <v>295</v>
      </c>
      <c r="AH440" s="0" t="n">
        <v>20</v>
      </c>
      <c r="AJ440" s="0" t="n">
        <v>41</v>
      </c>
      <c r="AP440" s="0" t="n">
        <v>190000</v>
      </c>
      <c r="DB440" s="0" t="str">
        <f aca="false">IF($A440="","",IF(AND($A440=21,$AE440&amp;""="00000000"),IF($AH440=20,"病院",IF($AH440=5,"消防","市長")),"対象外"))</f>
        <v>対象外</v>
      </c>
    </row>
    <row r="441" customFormat="false" ht="15" hidden="false" customHeight="false" outlineLevel="0" collapsed="false">
      <c r="A441" s="0" t="n">
        <v>31</v>
      </c>
      <c r="AA441" s="0" t="n">
        <v>21</v>
      </c>
      <c r="AB441" s="0" t="s">
        <v>496</v>
      </c>
      <c r="AD441" s="0" t="n">
        <v>0</v>
      </c>
      <c r="AE441" s="0" t="s">
        <v>295</v>
      </c>
      <c r="AH441" s="0" t="n">
        <v>1</v>
      </c>
      <c r="AJ441" s="0" t="n">
        <v>41</v>
      </c>
      <c r="AP441" s="0" t="n">
        <v>134000</v>
      </c>
      <c r="DB441" s="0" t="str">
        <f aca="false">IF($A441="","",IF(AND($A441=21,$AE441&amp;""="00000000"),IF($AH441=20,"病院",IF($AH441=5,"消防","市長")),"対象外"))</f>
        <v>対象外</v>
      </c>
    </row>
    <row r="442" customFormat="false" ht="15" hidden="false" customHeight="false" outlineLevel="0" collapsed="false">
      <c r="A442" s="0" t="n">
        <v>31</v>
      </c>
      <c r="AA442" s="0" t="n">
        <v>21</v>
      </c>
      <c r="AB442" s="0" t="s">
        <v>496</v>
      </c>
      <c r="AD442" s="0" t="n">
        <v>0</v>
      </c>
      <c r="AE442" s="0" t="s">
        <v>295</v>
      </c>
      <c r="AH442" s="0" t="n">
        <v>1</v>
      </c>
      <c r="AJ442" s="0" t="n">
        <v>41</v>
      </c>
      <c r="AP442" s="0" t="n">
        <v>150000</v>
      </c>
      <c r="DB442" s="0" t="str">
        <f aca="false">IF($A442="","",IF(AND($A442=21,$AE442&amp;""="00000000"),IF($AH442=20,"病院",IF($AH442=5,"消防","市長")),"対象外"))</f>
        <v>対象外</v>
      </c>
    </row>
    <row r="443" customFormat="false" ht="15" hidden="false" customHeight="false" outlineLevel="0" collapsed="false">
      <c r="A443" s="0" t="n">
        <v>31</v>
      </c>
      <c r="AA443" s="0" t="n">
        <v>21</v>
      </c>
      <c r="AB443" s="0" t="s">
        <v>496</v>
      </c>
      <c r="AD443" s="0" t="n">
        <v>0</v>
      </c>
      <c r="AE443" s="0" t="s">
        <v>295</v>
      </c>
      <c r="AH443" s="0" t="n">
        <v>11</v>
      </c>
      <c r="AJ443" s="0" t="n">
        <v>41</v>
      </c>
      <c r="AP443" s="0" t="n">
        <v>150000</v>
      </c>
      <c r="DB443" s="0" t="str">
        <f aca="false">IF($A443="","",IF(AND($A443=21,$AE443&amp;""="00000000"),IF($AH443=20,"病院",IF($AH443=5,"消防","市長")),"対象外"))</f>
        <v>対象外</v>
      </c>
    </row>
    <row r="444" customFormat="false" ht="15" hidden="false" customHeight="false" outlineLevel="0" collapsed="false">
      <c r="A444" s="0" t="n">
        <v>21</v>
      </c>
      <c r="AA444" s="0" t="n">
        <v>21</v>
      </c>
      <c r="AB444" s="0" t="s">
        <v>404</v>
      </c>
      <c r="AD444" s="0" t="n">
        <v>0</v>
      </c>
      <c r="AE444" s="0" t="s">
        <v>295</v>
      </c>
      <c r="AH444" s="0" t="n">
        <v>1</v>
      </c>
      <c r="AJ444" s="0" t="n">
        <v>10</v>
      </c>
      <c r="AP444" s="0" t="n">
        <v>500000</v>
      </c>
      <c r="DB444" s="0" t="str">
        <f aca="false">IF($A444="","",IF(AND($A444=21,$AE444&amp;""="00000000"),IF($AH444=20,"病院",IF($AH444=5,"消防","市長")),"対象外"))</f>
        <v>市長</v>
      </c>
    </row>
    <row r="445" customFormat="false" ht="15" hidden="false" customHeight="false" outlineLevel="0" collapsed="false">
      <c r="A445" s="0" t="n">
        <v>31</v>
      </c>
      <c r="AA445" s="0" t="n">
        <v>21</v>
      </c>
      <c r="AB445" s="0" t="s">
        <v>477</v>
      </c>
      <c r="AD445" s="0" t="n">
        <v>0</v>
      </c>
      <c r="AE445" s="0" t="s">
        <v>295</v>
      </c>
      <c r="AH445" s="0" t="n">
        <v>1</v>
      </c>
      <c r="AJ445" s="0" t="n">
        <v>41</v>
      </c>
      <c r="AP445" s="0" t="n">
        <v>126000</v>
      </c>
      <c r="DB445" s="0" t="str">
        <f aca="false">IF($A445="","",IF(AND($A445=21,$AE445&amp;""="00000000"),IF($AH445=20,"病院",IF($AH445=5,"消防","市長")),"対象外"))</f>
        <v>対象外</v>
      </c>
    </row>
    <row r="446" customFormat="false" ht="15" hidden="false" customHeight="false" outlineLevel="0" collapsed="false">
      <c r="A446" s="0" t="n">
        <v>21</v>
      </c>
      <c r="AA446" s="0" t="n">
        <v>24</v>
      </c>
      <c r="AB446" s="0" t="s">
        <v>506</v>
      </c>
      <c r="AD446" s="0" t="n">
        <v>0</v>
      </c>
      <c r="AE446" s="0" t="s">
        <v>295</v>
      </c>
      <c r="AH446" s="0" t="n">
        <v>20</v>
      </c>
      <c r="AJ446" s="0" t="n">
        <v>10</v>
      </c>
      <c r="AP446" s="0" t="n">
        <v>360000</v>
      </c>
      <c r="DB446" s="0" t="str">
        <f aca="false">IF($A446="","",IF(AND($A446=21,$AE446&amp;""="00000000"),IF($AH446=20,"病院",IF($AH446=5,"消防","市長")),"対象外"))</f>
        <v>病院</v>
      </c>
    </row>
    <row r="447" customFormat="false" ht="15" hidden="false" customHeight="false" outlineLevel="0" collapsed="false">
      <c r="A447" s="0" t="n">
        <v>31</v>
      </c>
      <c r="AA447" s="0" t="n">
        <v>21</v>
      </c>
      <c r="AB447" s="0" t="s">
        <v>496</v>
      </c>
      <c r="AD447" s="0" t="n">
        <v>0</v>
      </c>
      <c r="AE447" s="0" t="s">
        <v>295</v>
      </c>
      <c r="AH447" s="0" t="n">
        <v>1</v>
      </c>
      <c r="AJ447" s="0" t="n">
        <v>41</v>
      </c>
      <c r="AP447" s="0" t="n">
        <v>142000</v>
      </c>
      <c r="DB447" s="0" t="str">
        <f aca="false">IF($A447="","",IF(AND($A447=21,$AE447&amp;""="00000000"),IF($AH447=20,"病院",IF($AH447=5,"消防","市長")),"対象外"))</f>
        <v>対象外</v>
      </c>
    </row>
    <row r="448" customFormat="false" ht="15" hidden="false" customHeight="false" outlineLevel="0" collapsed="false">
      <c r="A448" s="0" t="n">
        <v>31</v>
      </c>
      <c r="AA448" s="0" t="n">
        <v>21</v>
      </c>
      <c r="AB448" s="0" t="s">
        <v>458</v>
      </c>
      <c r="AD448" s="0" t="n">
        <v>0</v>
      </c>
      <c r="AE448" s="0" t="s">
        <v>295</v>
      </c>
      <c r="AH448" s="0" t="n">
        <v>1</v>
      </c>
      <c r="AJ448" s="0" t="n">
        <v>10</v>
      </c>
      <c r="AP448" s="0" t="n">
        <v>280000</v>
      </c>
      <c r="DB448" s="0" t="str">
        <f aca="false">IF($A448="","",IF(AND($A448=21,$AE448&amp;""="00000000"),IF($AH448=20,"病院",IF($AH448=5,"消防","市長")),"対象外"))</f>
        <v>対象外</v>
      </c>
    </row>
    <row r="449" customFormat="false" ht="15" hidden="false" customHeight="false" outlineLevel="0" collapsed="false">
      <c r="A449" s="0" t="n">
        <v>31</v>
      </c>
      <c r="AA449" s="0" t="n">
        <v>21</v>
      </c>
      <c r="AB449" s="0" t="s">
        <v>496</v>
      </c>
      <c r="AD449" s="0" t="n">
        <v>0</v>
      </c>
      <c r="AE449" s="0" t="s">
        <v>295</v>
      </c>
      <c r="AH449" s="0" t="n">
        <v>1</v>
      </c>
      <c r="AJ449" s="0" t="n">
        <v>41</v>
      </c>
      <c r="AP449" s="0" t="n">
        <v>190000</v>
      </c>
      <c r="DB449" s="0" t="str">
        <f aca="false">IF($A449="","",IF(AND($A449=21,$AE449&amp;""="00000000"),IF($AH449=20,"病院",IF($AH449=5,"消防","市長")),"対象外"))</f>
        <v>対象外</v>
      </c>
    </row>
    <row r="450" customFormat="false" ht="15" hidden="false" customHeight="false" outlineLevel="0" collapsed="false">
      <c r="A450" s="0" t="n">
        <v>31</v>
      </c>
      <c r="AA450" s="0" t="n">
        <v>21</v>
      </c>
      <c r="AB450" s="0" t="s">
        <v>496</v>
      </c>
      <c r="AD450" s="0" t="n">
        <v>0</v>
      </c>
      <c r="AE450" s="0" t="s">
        <v>295</v>
      </c>
      <c r="AH450" s="0" t="n">
        <v>1</v>
      </c>
      <c r="AJ450" s="0" t="n">
        <v>41</v>
      </c>
      <c r="AP450" s="0" t="n">
        <v>190000</v>
      </c>
      <c r="DB450" s="0" t="str">
        <f aca="false">IF($A450="","",IF(AND($A450=21,$AE450&amp;""="00000000"),IF($AH450=20,"病院",IF($AH450=5,"消防","市長")),"対象外"))</f>
        <v>対象外</v>
      </c>
    </row>
    <row r="451" customFormat="false" ht="15" hidden="false" customHeight="false" outlineLevel="0" collapsed="false">
      <c r="A451" s="0" t="n">
        <v>21</v>
      </c>
      <c r="AA451" s="0" t="n">
        <v>21</v>
      </c>
      <c r="AB451" s="0" t="s">
        <v>604</v>
      </c>
      <c r="AD451" s="0" t="n">
        <v>0</v>
      </c>
      <c r="AE451" s="0" t="s">
        <v>295</v>
      </c>
      <c r="AH451" s="0" t="n">
        <v>20</v>
      </c>
      <c r="AJ451" s="0" t="n">
        <v>10</v>
      </c>
      <c r="AP451" s="0" t="n">
        <v>500000</v>
      </c>
      <c r="DB451" s="0" t="str">
        <f aca="false">IF($A451="","",IF(AND($A451=21,$AE451&amp;""="00000000"),IF($AH451=20,"病院",IF($AH451=5,"消防","市長")),"対象外"))</f>
        <v>病院</v>
      </c>
    </row>
    <row r="452" customFormat="false" ht="15" hidden="false" customHeight="false" outlineLevel="0" collapsed="false">
      <c r="A452" s="0" t="n">
        <v>31</v>
      </c>
      <c r="AA452" s="0" t="n">
        <v>21</v>
      </c>
      <c r="AB452" s="0" t="s">
        <v>496</v>
      </c>
      <c r="AD452" s="0" t="n">
        <v>0</v>
      </c>
      <c r="AE452" s="0" t="s">
        <v>295</v>
      </c>
      <c r="AH452" s="0" t="n">
        <v>1</v>
      </c>
      <c r="AJ452" s="0" t="n">
        <v>41</v>
      </c>
      <c r="AP452" s="0" t="n">
        <v>240000</v>
      </c>
      <c r="DB452" s="0" t="str">
        <f aca="false">IF($A452="","",IF(AND($A452=21,$AE452&amp;""="00000000"),IF($AH452=20,"病院",IF($AH452=5,"消防","市長")),"対象外"))</f>
        <v>対象外</v>
      </c>
    </row>
    <row r="453" customFormat="false" ht="15" hidden="false" customHeight="false" outlineLevel="0" collapsed="false">
      <c r="A453" s="0" t="n">
        <v>31</v>
      </c>
      <c r="AA453" s="0" t="n">
        <v>21</v>
      </c>
      <c r="AB453" s="0" t="s">
        <v>496</v>
      </c>
      <c r="AD453" s="0" t="n">
        <v>0</v>
      </c>
      <c r="AE453" s="0" t="s">
        <v>295</v>
      </c>
      <c r="AH453" s="0" t="n">
        <v>1</v>
      </c>
      <c r="AJ453" s="0" t="n">
        <v>41</v>
      </c>
      <c r="AP453" s="0" t="n">
        <v>200000</v>
      </c>
      <c r="DB453" s="0" t="str">
        <f aca="false">IF($A453="","",IF(AND($A453=21,$AE453&amp;""="00000000"),IF($AH453=20,"病院",IF($AH453=5,"消防","市長")),"対象外"))</f>
        <v>対象外</v>
      </c>
    </row>
    <row r="454" customFormat="false" ht="15" hidden="false" customHeight="false" outlineLevel="0" collapsed="false">
      <c r="A454" s="0" t="n">
        <v>31</v>
      </c>
      <c r="AA454" s="0" t="n">
        <v>21</v>
      </c>
      <c r="AB454" s="0" t="s">
        <v>96</v>
      </c>
      <c r="AD454" s="0" t="n">
        <v>0</v>
      </c>
      <c r="AE454" s="0" t="s">
        <v>295</v>
      </c>
      <c r="AH454" s="0" t="n">
        <v>1</v>
      </c>
      <c r="AJ454" s="0" t="n">
        <v>41</v>
      </c>
      <c r="AP454" s="0" t="n">
        <v>142000</v>
      </c>
      <c r="DB454" s="0" t="str">
        <f aca="false">IF($A454="","",IF(AND($A454=21,$AE454&amp;""="00000000"),IF($AH454=20,"病院",IF($AH454=5,"消防","市長")),"対象外"))</f>
        <v>対象外</v>
      </c>
    </row>
    <row r="455" customFormat="false" ht="15" hidden="false" customHeight="false" outlineLevel="0" collapsed="false">
      <c r="A455" s="0" t="n">
        <v>31</v>
      </c>
      <c r="AA455" s="0" t="n">
        <v>21</v>
      </c>
      <c r="AB455" s="0" t="s">
        <v>496</v>
      </c>
      <c r="AD455" s="0" t="n">
        <v>0</v>
      </c>
      <c r="AE455" s="0" t="s">
        <v>295</v>
      </c>
      <c r="AH455" s="0" t="n">
        <v>1</v>
      </c>
      <c r="AJ455" s="0" t="n">
        <v>41</v>
      </c>
      <c r="AP455" s="0" t="n">
        <v>142000</v>
      </c>
      <c r="DB455" s="0" t="str">
        <f aca="false">IF($A455="","",IF(AND($A455=21,$AE455&amp;""="00000000"),IF($AH455=20,"病院",IF($AH455=5,"消防","市長")),"対象外"))</f>
        <v>対象外</v>
      </c>
    </row>
    <row r="456" customFormat="false" ht="15" hidden="false" customHeight="false" outlineLevel="0" collapsed="false">
      <c r="A456" s="0" t="n">
        <v>31</v>
      </c>
      <c r="AA456" s="0" t="n">
        <v>21</v>
      </c>
      <c r="AB456" s="0" t="s">
        <v>496</v>
      </c>
      <c r="AD456" s="0" t="n">
        <v>0</v>
      </c>
      <c r="AE456" s="0" t="s">
        <v>295</v>
      </c>
      <c r="AH456" s="0" t="n">
        <v>11</v>
      </c>
      <c r="AJ456" s="0" t="n">
        <v>41</v>
      </c>
      <c r="AP456" s="0" t="n">
        <v>118000</v>
      </c>
      <c r="DB456" s="0" t="str">
        <f aca="false">IF($A456="","",IF(AND($A456=21,$AE456&amp;""="00000000"),IF($AH456=20,"病院",IF($AH456=5,"消防","市長")),"対象外"))</f>
        <v>対象外</v>
      </c>
    </row>
    <row r="457" customFormat="false" ht="15" hidden="false" customHeight="false" outlineLevel="0" collapsed="false">
      <c r="A457" s="0" t="n">
        <v>31</v>
      </c>
      <c r="AA457" s="0" t="n">
        <v>21</v>
      </c>
      <c r="AB457" s="0" t="s">
        <v>496</v>
      </c>
      <c r="AD457" s="0" t="n">
        <v>0</v>
      </c>
      <c r="AE457" s="0" t="s">
        <v>295</v>
      </c>
      <c r="AH457" s="0" t="n">
        <v>1</v>
      </c>
      <c r="AJ457" s="0" t="n">
        <v>41</v>
      </c>
      <c r="AP457" s="0" t="n">
        <v>200000</v>
      </c>
      <c r="DB457" s="0" t="str">
        <f aca="false">IF($A457="","",IF(AND($A457=21,$AE457&amp;""="00000000"),IF($AH457=20,"病院",IF($AH457=5,"消防","市長")),"対象外"))</f>
        <v>対象外</v>
      </c>
    </row>
    <row r="458" customFormat="false" ht="15" hidden="false" customHeight="false" outlineLevel="0" collapsed="false">
      <c r="A458" s="0" t="n">
        <v>31</v>
      </c>
      <c r="AA458" s="0" t="n">
        <v>21</v>
      </c>
      <c r="AB458" s="0" t="s">
        <v>496</v>
      </c>
      <c r="AD458" s="0" t="n">
        <v>0</v>
      </c>
      <c r="AE458" s="0" t="s">
        <v>295</v>
      </c>
      <c r="AH458" s="0" t="n">
        <v>11</v>
      </c>
      <c r="AJ458" s="0" t="n">
        <v>41</v>
      </c>
      <c r="AP458" s="0" t="n">
        <v>180000</v>
      </c>
      <c r="DB458" s="0" t="str">
        <f aca="false">IF($A458="","",IF(AND($A458=21,$AE458&amp;""="00000000"),IF($AH458=20,"病院",IF($AH458=5,"消防","市長")),"対象外"))</f>
        <v>対象外</v>
      </c>
    </row>
    <row r="459" customFormat="false" ht="15" hidden="false" customHeight="false" outlineLevel="0" collapsed="false">
      <c r="A459" s="0" t="n">
        <v>31</v>
      </c>
      <c r="AA459" s="0" t="n">
        <v>21</v>
      </c>
      <c r="AB459" s="0" t="s">
        <v>458</v>
      </c>
      <c r="AD459" s="0" t="n">
        <v>0</v>
      </c>
      <c r="AE459" s="0" t="s">
        <v>295</v>
      </c>
      <c r="AH459" s="0" t="n">
        <v>1</v>
      </c>
      <c r="AJ459" s="0" t="n">
        <v>10</v>
      </c>
      <c r="AP459" s="0" t="n">
        <v>260000</v>
      </c>
      <c r="DB459" s="0" t="str">
        <f aca="false">IF($A459="","",IF(AND($A459=21,$AE459&amp;""="00000000"),IF($AH459=20,"病院",IF($AH459=5,"消防","市長")),"対象外"))</f>
        <v>対象外</v>
      </c>
    </row>
    <row r="460" customFormat="false" ht="15" hidden="false" customHeight="false" outlineLevel="0" collapsed="false">
      <c r="A460" s="0" t="n">
        <v>21</v>
      </c>
      <c r="AA460" s="0" t="n">
        <v>21</v>
      </c>
      <c r="AB460" s="0" t="s">
        <v>390</v>
      </c>
      <c r="AD460" s="0" t="n">
        <v>12</v>
      </c>
      <c r="AE460" s="0" t="s">
        <v>621</v>
      </c>
      <c r="AH460" s="0" t="n">
        <v>0</v>
      </c>
      <c r="AJ460" s="0" t="n">
        <v>10</v>
      </c>
      <c r="AP460" s="0" t="n">
        <v>309700</v>
      </c>
      <c r="DB460" s="0" t="str">
        <f aca="false">IF($A460="","",IF(AND($A460=21,$AE460&amp;""="00000000"),IF($AH460=20,"病院",IF($AH460=5,"消防","市長")),"対象外"))</f>
        <v>対象外</v>
      </c>
    </row>
    <row r="461" customFormat="false" ht="15" hidden="false" customHeight="false" outlineLevel="0" collapsed="false">
      <c r="A461" s="0" t="n">
        <v>21</v>
      </c>
      <c r="AA461" s="0" t="n">
        <v>21</v>
      </c>
      <c r="AB461" s="0" t="s">
        <v>390</v>
      </c>
      <c r="AD461" s="0" t="n">
        <v>12</v>
      </c>
      <c r="AE461" s="0" t="s">
        <v>484</v>
      </c>
      <c r="AH461" s="0" t="n">
        <v>1</v>
      </c>
      <c r="AJ461" s="0" t="n">
        <v>10</v>
      </c>
      <c r="AP461" s="0" t="n">
        <v>750000</v>
      </c>
      <c r="DB461" s="0" t="str">
        <f aca="false">IF($A461="","",IF(AND($A461=21,$AE461&amp;""="00000000"),IF($AH461=20,"病院",IF($AH461=5,"消防","市長")),"対象外"))</f>
        <v>対象外</v>
      </c>
    </row>
    <row r="462" customFormat="false" ht="15" hidden="false" customHeight="false" outlineLevel="0" collapsed="false">
      <c r="A462" s="0" t="n">
        <v>21</v>
      </c>
      <c r="AA462" s="0" t="n">
        <v>21</v>
      </c>
      <c r="AB462" s="0" t="s">
        <v>442</v>
      </c>
      <c r="AD462" s="0" t="n">
        <v>12</v>
      </c>
      <c r="AE462" s="0" t="s">
        <v>622</v>
      </c>
      <c r="AH462" s="0" t="n">
        <v>20</v>
      </c>
      <c r="AJ462" s="0" t="n">
        <v>10</v>
      </c>
      <c r="AP462" s="0" t="n">
        <v>1390000</v>
      </c>
      <c r="DB462" s="0" t="str">
        <f aca="false">IF($A462="","",IF(AND($A462=21,$AE462&amp;""="00000000"),IF($AH462=20,"病院",IF($AH462=5,"消防","市長")),"対象外"))</f>
        <v>対象外</v>
      </c>
    </row>
    <row r="463" customFormat="false" ht="15" hidden="false" customHeight="false" outlineLevel="0" collapsed="false">
      <c r="A463" s="0" t="n">
        <v>21</v>
      </c>
      <c r="AA463" s="0" t="n">
        <v>21</v>
      </c>
      <c r="AB463" s="0" t="s">
        <v>415</v>
      </c>
      <c r="AD463" s="0" t="n">
        <v>12</v>
      </c>
      <c r="AE463" s="0" t="s">
        <v>623</v>
      </c>
      <c r="AH463" s="0" t="n">
        <v>1</v>
      </c>
      <c r="AJ463" s="0" t="n">
        <v>10</v>
      </c>
      <c r="AP463" s="0" t="n">
        <v>380000</v>
      </c>
      <c r="DB463" s="0" t="str">
        <f aca="false">IF($A463="","",IF(AND($A463=21,$AE463&amp;""="00000000"),IF($AH463=20,"病院",IF($AH463=5,"消防","市長")),"対象外"))</f>
        <v>対象外</v>
      </c>
    </row>
    <row r="464" customFormat="false" ht="15" hidden="false" customHeight="false" outlineLevel="0" collapsed="false">
      <c r="A464" s="0" t="n">
        <v>21</v>
      </c>
      <c r="AA464" s="0" t="n">
        <v>21</v>
      </c>
      <c r="AB464" s="0" t="s">
        <v>450</v>
      </c>
      <c r="AD464" s="0" t="n">
        <v>12</v>
      </c>
      <c r="AE464" s="0" t="s">
        <v>549</v>
      </c>
      <c r="AH464" s="0" t="n">
        <v>1</v>
      </c>
      <c r="AJ464" s="0" t="n">
        <v>10</v>
      </c>
      <c r="AP464" s="0" t="n">
        <v>440000</v>
      </c>
      <c r="DB464" s="0" t="str">
        <f aca="false">IF($A464="","",IF(AND($A464=21,$AE464&amp;""="00000000"),IF($AH464=20,"病院",IF($AH464=5,"消防","市長")),"対象外"))</f>
        <v>対象外</v>
      </c>
    </row>
    <row r="465" customFormat="false" ht="15" hidden="false" customHeight="false" outlineLevel="0" collapsed="false">
      <c r="A465" s="0" t="n">
        <v>21</v>
      </c>
      <c r="AA465" s="0" t="n">
        <v>21</v>
      </c>
      <c r="AB465" s="0" t="s">
        <v>446</v>
      </c>
      <c r="AD465" s="0" t="n">
        <v>12</v>
      </c>
      <c r="AE465" s="0" t="s">
        <v>477</v>
      </c>
      <c r="AH465" s="0" t="n">
        <v>20</v>
      </c>
      <c r="AJ465" s="0" t="n">
        <v>10</v>
      </c>
      <c r="AP465" s="0" t="n">
        <v>1330000</v>
      </c>
      <c r="DB465" s="0" t="str">
        <f aca="false">IF($A465="","",IF(AND($A465=21,$AE465&amp;""="00000000"),IF($AH465=20,"病院",IF($AH465=5,"消防","市長")),"対象外"))</f>
        <v>対象外</v>
      </c>
    </row>
    <row r="466" customFormat="false" ht="15" hidden="false" customHeight="false" outlineLevel="0" collapsed="false">
      <c r="A466" s="0" t="n">
        <v>21</v>
      </c>
      <c r="AA466" s="0" t="n">
        <v>21</v>
      </c>
      <c r="AB466" s="0" t="s">
        <v>390</v>
      </c>
      <c r="AD466" s="0" t="n">
        <v>12</v>
      </c>
      <c r="AE466" s="0" t="s">
        <v>442</v>
      </c>
      <c r="AH466" s="0" t="n">
        <v>48</v>
      </c>
      <c r="AJ466" s="0" t="n">
        <v>74</v>
      </c>
      <c r="AP466" s="0" t="n">
        <v>530000</v>
      </c>
      <c r="DB466" s="0" t="str">
        <f aca="false">IF($A466="","",IF(AND($A466=21,$AE466&amp;""="00000000"),IF($AH466=20,"病院",IF($AH466=5,"消防","市長")),"対象外"))</f>
        <v>対象外</v>
      </c>
    </row>
    <row r="467" customFormat="false" ht="15" hidden="false" customHeight="false" outlineLevel="0" collapsed="false">
      <c r="A467" s="0" t="n">
        <v>21</v>
      </c>
      <c r="AA467" s="0" t="n">
        <v>21</v>
      </c>
      <c r="AB467" s="0" t="s">
        <v>417</v>
      </c>
      <c r="AD467" s="0" t="n">
        <v>12</v>
      </c>
      <c r="AE467" s="0" t="s">
        <v>458</v>
      </c>
      <c r="AH467" s="0" t="n">
        <v>1</v>
      </c>
      <c r="AJ467" s="0" t="n">
        <v>10</v>
      </c>
      <c r="AP467" s="0" t="n">
        <v>440000</v>
      </c>
      <c r="DB467" s="0" t="str">
        <f aca="false">IF($A467="","",IF(AND($A467=21,$AE467&amp;""="00000000"),IF($AH467=20,"病院",IF($AH467=5,"消防","市長")),"対象外"))</f>
        <v>対象外</v>
      </c>
    </row>
    <row r="468" customFormat="false" ht="15" hidden="false" customHeight="false" outlineLevel="0" collapsed="false">
      <c r="A468" s="0" t="n">
        <v>21</v>
      </c>
      <c r="AA468" s="0" t="n">
        <v>21</v>
      </c>
      <c r="AB468" s="0" t="s">
        <v>390</v>
      </c>
      <c r="AD468" s="0" t="n">
        <v>12</v>
      </c>
      <c r="AE468" s="0" t="s">
        <v>494</v>
      </c>
      <c r="AH468" s="0" t="n">
        <v>1</v>
      </c>
      <c r="AJ468" s="0" t="n">
        <v>10</v>
      </c>
      <c r="AP468" s="0" t="n">
        <v>500000</v>
      </c>
      <c r="DB468" s="0" t="str">
        <f aca="false">IF($A468="","",IF(AND($A468=21,$AE468&amp;""="00000000"),IF($AH468=20,"病院",IF($AH468=5,"消防","市長")),"対象外"))</f>
        <v>対象外</v>
      </c>
    </row>
    <row r="469" customFormat="false" ht="15" hidden="false" customHeight="false" outlineLevel="0" collapsed="false">
      <c r="A469" s="0" t="n">
        <v>21</v>
      </c>
      <c r="AA469" s="0" t="n">
        <v>21</v>
      </c>
      <c r="AB469" s="0" t="s">
        <v>456</v>
      </c>
      <c r="AD469" s="0" t="n">
        <v>12</v>
      </c>
      <c r="AE469" s="0" t="s">
        <v>494</v>
      </c>
      <c r="AH469" s="0" t="n">
        <v>5</v>
      </c>
      <c r="AJ469" s="0" t="n">
        <v>30</v>
      </c>
      <c r="AP469" s="0" t="n">
        <v>530000</v>
      </c>
      <c r="DB469" s="0" t="str">
        <f aca="false">IF($A469="","",IF(AND($A469=21,$AE469&amp;""="00000000"),IF($AH469=20,"病院",IF($AH469=5,"消防","市長")),"対象外"))</f>
        <v>対象外</v>
      </c>
    </row>
    <row r="470" customFormat="false" ht="15" hidden="false" customHeight="false" outlineLevel="0" collapsed="false">
      <c r="A470" s="0" t="n">
        <v>21</v>
      </c>
      <c r="AA470" s="0" t="n">
        <v>21</v>
      </c>
      <c r="AB470" s="0" t="s">
        <v>415</v>
      </c>
      <c r="AD470" s="0" t="n">
        <v>12</v>
      </c>
      <c r="AE470" s="0" t="s">
        <v>624</v>
      </c>
      <c r="AH470" s="0" t="n">
        <v>0</v>
      </c>
      <c r="AJ470" s="0" t="n">
        <v>10</v>
      </c>
      <c r="AP470" s="0" t="n">
        <v>357100</v>
      </c>
      <c r="DB470" s="0" t="str">
        <f aca="false">IF($A470="","",IF(AND($A470=21,$AE470&amp;""="00000000"),IF($AH470=20,"病院",IF($AH470=5,"消防","市長")),"対象外"))</f>
        <v>対象外</v>
      </c>
    </row>
    <row r="471" customFormat="false" ht="15" hidden="false" customHeight="false" outlineLevel="0" collapsed="false">
      <c r="A471" s="0" t="n">
        <v>21</v>
      </c>
      <c r="AA471" s="0" t="n">
        <v>21</v>
      </c>
      <c r="AB471" s="0" t="s">
        <v>441</v>
      </c>
      <c r="AD471" s="0" t="n">
        <v>12</v>
      </c>
      <c r="AE471" s="0" t="s">
        <v>96</v>
      </c>
      <c r="AH471" s="0" t="n">
        <v>11</v>
      </c>
      <c r="AJ471" s="0" t="n">
        <v>10</v>
      </c>
      <c r="AP471" s="0" t="n">
        <v>650000</v>
      </c>
      <c r="DB471" s="0" t="str">
        <f aca="false">IF($A471="","",IF(AND($A471=21,$AE471&amp;""="00000000"),IF($AH471=20,"病院",IF($AH471=5,"消防","市長")),"対象外"))</f>
        <v>対象外</v>
      </c>
    </row>
    <row r="472" customFormat="false" ht="15" hidden="false" customHeight="false" outlineLevel="0" collapsed="false">
      <c r="A472" s="0" t="n">
        <v>21</v>
      </c>
      <c r="AA472" s="0" t="n">
        <v>21</v>
      </c>
      <c r="AB472" s="0" t="s">
        <v>459</v>
      </c>
      <c r="AD472" s="0" t="n">
        <v>12</v>
      </c>
      <c r="AE472" s="0" t="s">
        <v>442</v>
      </c>
      <c r="AH472" s="0" t="n">
        <v>11</v>
      </c>
      <c r="AJ472" s="0" t="n">
        <v>10</v>
      </c>
      <c r="AP472" s="0" t="n">
        <v>710000</v>
      </c>
      <c r="DB472" s="0" t="str">
        <f aca="false">IF($A472="","",IF(AND($A472=21,$AE472&amp;""="00000000"),IF($AH472=20,"病院",IF($AH472=5,"消防","市長")),"対象外"))</f>
        <v>対象外</v>
      </c>
    </row>
    <row r="473" customFormat="false" ht="15" hidden="false" customHeight="false" outlineLevel="0" collapsed="false">
      <c r="A473" s="0" t="n">
        <v>21</v>
      </c>
      <c r="AA473" s="0" t="n">
        <v>21</v>
      </c>
      <c r="AB473" s="0" t="s">
        <v>448</v>
      </c>
      <c r="AD473" s="0" t="n">
        <v>12</v>
      </c>
      <c r="AE473" s="0" t="s">
        <v>484</v>
      </c>
      <c r="AH473" s="0" t="n">
        <v>11</v>
      </c>
      <c r="AJ473" s="0" t="n">
        <v>10</v>
      </c>
      <c r="AP473" s="0" t="n">
        <v>590000</v>
      </c>
      <c r="DB473" s="0" t="str">
        <f aca="false">IF($A473="","",IF(AND($A473=21,$AE473&amp;""="00000000"),IF($AH473=20,"病院",IF($AH473=5,"消防","市長")),"対象外"))</f>
        <v>対象外</v>
      </c>
    </row>
    <row r="474" customFormat="false" ht="15" hidden="false" customHeight="false" outlineLevel="0" collapsed="false">
      <c r="A474" s="0" t="n">
        <v>21</v>
      </c>
      <c r="AA474" s="0" t="n">
        <v>21</v>
      </c>
      <c r="AB474" s="0" t="s">
        <v>441</v>
      </c>
      <c r="AD474" s="0" t="n">
        <v>12</v>
      </c>
      <c r="AE474" s="0" t="s">
        <v>600</v>
      </c>
      <c r="AH474" s="0" t="n">
        <v>20</v>
      </c>
      <c r="AJ474" s="0" t="n">
        <v>10</v>
      </c>
      <c r="AP474" s="0" t="n">
        <v>1390000</v>
      </c>
      <c r="DB474" s="0" t="str">
        <f aca="false">IF($A474="","",IF(AND($A474=21,$AE474&amp;""="00000000"),IF($AH474=20,"病院",IF($AH474=5,"消防","市長")),"対象外"))</f>
        <v>対象外</v>
      </c>
    </row>
    <row r="475" customFormat="false" ht="15" hidden="false" customHeight="false" outlineLevel="0" collapsed="false">
      <c r="A475" s="0" t="n">
        <v>21</v>
      </c>
      <c r="AA475" s="0" t="n">
        <v>21</v>
      </c>
      <c r="AB475" s="0" t="s">
        <v>457</v>
      </c>
      <c r="AD475" s="0" t="n">
        <v>12</v>
      </c>
      <c r="AE475" s="0" t="s">
        <v>463</v>
      </c>
      <c r="AH475" s="0" t="n">
        <v>0</v>
      </c>
      <c r="AJ475" s="0" t="n">
        <v>10</v>
      </c>
      <c r="AP475" s="0" t="n">
        <v>1</v>
      </c>
      <c r="DB475" s="0" t="str">
        <f aca="false">IF($A475="","",IF(AND($A475=21,$AE475&amp;""="00000000"),IF($AH475=20,"病院",IF($AH475=5,"消防","市長")),"対象外"))</f>
        <v>対象外</v>
      </c>
    </row>
    <row r="476" customFormat="false" ht="15" hidden="false" customHeight="false" outlineLevel="0" collapsed="false">
      <c r="A476" s="0" t="n">
        <v>21</v>
      </c>
      <c r="AA476" s="0" t="n">
        <v>21</v>
      </c>
      <c r="AB476" s="0" t="s">
        <v>390</v>
      </c>
      <c r="AD476" s="0" t="n">
        <v>12</v>
      </c>
      <c r="AE476" s="0" t="s">
        <v>499</v>
      </c>
      <c r="AH476" s="0" t="n">
        <v>1</v>
      </c>
      <c r="AJ476" s="0" t="n">
        <v>10</v>
      </c>
      <c r="AP476" s="0" t="n">
        <v>500000</v>
      </c>
      <c r="DB476" s="0" t="str">
        <f aca="false">IF($A476="","",IF(AND($A476=21,$AE476&amp;""="00000000"),IF($AH476=20,"病院",IF($AH476=5,"消防","市長")),"対象外"))</f>
        <v>対象外</v>
      </c>
    </row>
    <row r="477" customFormat="false" ht="15" hidden="false" customHeight="false" outlineLevel="0" collapsed="false">
      <c r="A477" s="0" t="n">
        <v>21</v>
      </c>
      <c r="AA477" s="0" t="n">
        <v>21</v>
      </c>
      <c r="AB477" s="0" t="s">
        <v>625</v>
      </c>
      <c r="AD477" s="0" t="n">
        <v>12</v>
      </c>
      <c r="AE477" s="0" t="s">
        <v>626</v>
      </c>
      <c r="AH477" s="0" t="n">
        <v>0</v>
      </c>
      <c r="AJ477" s="0" t="n">
        <v>10</v>
      </c>
      <c r="AP477" s="0" t="n">
        <v>477417</v>
      </c>
      <c r="DB477" s="0" t="str">
        <f aca="false">IF($A477="","",IF(AND($A477=21,$AE477&amp;""="00000000"),IF($AH477=20,"病院",IF($AH477=5,"消防","市長")),"対象外"))</f>
        <v>対象外</v>
      </c>
    </row>
    <row r="478" customFormat="false" ht="15" hidden="false" customHeight="false" outlineLevel="0" collapsed="false">
      <c r="A478" s="0" t="n">
        <v>21</v>
      </c>
      <c r="AA478" s="0" t="n">
        <v>21</v>
      </c>
      <c r="AB478" s="0" t="s">
        <v>627</v>
      </c>
      <c r="AD478" s="0" t="n">
        <v>12</v>
      </c>
      <c r="AE478" s="0" t="s">
        <v>400</v>
      </c>
      <c r="AH478" s="0" t="n">
        <v>0</v>
      </c>
      <c r="AJ478" s="0" t="n">
        <v>10</v>
      </c>
      <c r="AP478" s="0" t="n">
        <v>513200</v>
      </c>
      <c r="DB478" s="0" t="str">
        <f aca="false">IF($A478="","",IF(AND($A478=21,$AE478&amp;""="00000000"),IF($AH478=20,"病院",IF($AH478=5,"消防","市長")),"対象外"))</f>
        <v>対象外</v>
      </c>
    </row>
    <row r="479" customFormat="false" ht="15" hidden="false" customHeight="false" outlineLevel="0" collapsed="false">
      <c r="A479" s="0" t="n">
        <v>21</v>
      </c>
      <c r="AA479" s="0" t="n">
        <v>21</v>
      </c>
      <c r="AB479" s="0" t="s">
        <v>477</v>
      </c>
      <c r="AD479" s="0" t="n">
        <v>12</v>
      </c>
      <c r="AE479" s="0" t="s">
        <v>509</v>
      </c>
      <c r="AH479" s="0" t="n">
        <v>1</v>
      </c>
      <c r="AJ479" s="0" t="n">
        <v>10</v>
      </c>
      <c r="AP479" s="0" t="n">
        <v>320000</v>
      </c>
      <c r="DB479" s="0" t="str">
        <f aca="false">IF($A479="","",IF(AND($A479=21,$AE479&amp;""="00000000"),IF($AH479=20,"病院",IF($AH479=5,"消防","市長")),"対象外"))</f>
        <v>対象外</v>
      </c>
    </row>
    <row r="480" customFormat="false" ht="15" hidden="false" customHeight="false" outlineLevel="0" collapsed="false">
      <c r="A480" s="0" t="n">
        <v>21</v>
      </c>
      <c r="AA480" s="0" t="n">
        <v>21</v>
      </c>
      <c r="AB480" s="0" t="s">
        <v>436</v>
      </c>
      <c r="AD480" s="0" t="n">
        <v>12</v>
      </c>
      <c r="AE480" s="0" t="s">
        <v>96</v>
      </c>
      <c r="AH480" s="0" t="n">
        <v>1</v>
      </c>
      <c r="AJ480" s="0" t="n">
        <v>10</v>
      </c>
      <c r="AP480" s="0" t="n">
        <v>500000</v>
      </c>
      <c r="DB480" s="0" t="str">
        <f aca="false">IF($A480="","",IF(AND($A480=21,$AE480&amp;""="00000000"),IF($AH480=20,"病院",IF($AH480=5,"消防","市長")),"対象外"))</f>
        <v>対象外</v>
      </c>
    </row>
    <row r="481" customFormat="false" ht="15" hidden="false" customHeight="false" outlineLevel="0" collapsed="false">
      <c r="A481" s="0" t="n">
        <v>21</v>
      </c>
      <c r="AA481" s="0" t="n">
        <v>24</v>
      </c>
      <c r="AB481" s="0" t="s">
        <v>628</v>
      </c>
      <c r="AD481" s="0" t="n">
        <v>12</v>
      </c>
      <c r="AE481" s="0" t="s">
        <v>463</v>
      </c>
      <c r="AH481" s="0" t="n">
        <v>0</v>
      </c>
      <c r="AJ481" s="0" t="n">
        <v>10</v>
      </c>
      <c r="AP481" s="0" t="n">
        <v>142590</v>
      </c>
      <c r="DB481" s="0" t="str">
        <f aca="false">IF($A481="","",IF(AND($A481=21,$AE481&amp;""="00000000"),IF($AH481=20,"病院",IF($AH481=5,"消防","市長")),"対象外"))</f>
        <v>対象外</v>
      </c>
    </row>
    <row r="482" customFormat="false" ht="15" hidden="false" customHeight="false" outlineLevel="0" collapsed="false">
      <c r="A482" s="0" t="n">
        <v>21</v>
      </c>
      <c r="AA482" s="0" t="n">
        <v>21</v>
      </c>
      <c r="AB482" s="0" t="s">
        <v>629</v>
      </c>
      <c r="AD482" s="0" t="n">
        <v>12</v>
      </c>
      <c r="AE482" s="0" t="s">
        <v>457</v>
      </c>
      <c r="AH482" s="0" t="n">
        <v>0</v>
      </c>
      <c r="AJ482" s="0" t="n">
        <v>10</v>
      </c>
      <c r="AP482" s="0" t="n">
        <v>1</v>
      </c>
      <c r="DB482" s="0" t="str">
        <f aca="false">IF($A482="","",IF(AND($A482=21,$AE482&amp;""="00000000"),IF($AH482=20,"病院",IF($AH482=5,"消防","市長")),"対象外"))</f>
        <v>対象外</v>
      </c>
    </row>
    <row r="483" customFormat="false" ht="15" hidden="false" customHeight="false" outlineLevel="0" collapsed="false">
      <c r="A483" s="0" t="n">
        <v>21</v>
      </c>
      <c r="AA483" s="0" t="n">
        <v>21</v>
      </c>
      <c r="AB483" s="0" t="s">
        <v>630</v>
      </c>
      <c r="AD483" s="0" t="n">
        <v>12</v>
      </c>
      <c r="AE483" s="0" t="s">
        <v>393</v>
      </c>
      <c r="AH483" s="0" t="n">
        <v>0</v>
      </c>
      <c r="AJ483" s="0" t="n">
        <v>10</v>
      </c>
      <c r="AP483" s="0" t="n">
        <v>376300</v>
      </c>
      <c r="DB483" s="0" t="str">
        <f aca="false">IF($A483="","",IF(AND($A483=21,$AE483&amp;""="00000000"),IF($AH483=20,"病院",IF($AH483=5,"消防","市長")),"対象外"))</f>
        <v>対象外</v>
      </c>
    </row>
    <row r="484" customFormat="false" ht="15" hidden="false" customHeight="false" outlineLevel="0" collapsed="false">
      <c r="A484" s="0" t="n">
        <v>31</v>
      </c>
      <c r="AA484" s="0" t="n">
        <v>21</v>
      </c>
      <c r="AB484" s="0" t="s">
        <v>526</v>
      </c>
      <c r="AD484" s="0" t="n">
        <v>12</v>
      </c>
      <c r="AE484" s="0" t="s">
        <v>540</v>
      </c>
      <c r="AH484" s="0" t="n">
        <v>1</v>
      </c>
      <c r="AJ484" s="0" t="n">
        <v>41</v>
      </c>
      <c r="AP484" s="0" t="n">
        <v>170000</v>
      </c>
      <c r="DB484" s="0" t="str">
        <f aca="false">IF($A484="","",IF(AND($A484=21,$AE484&amp;""="00000000"),IF($AH484=20,"病院",IF($AH484=5,"消防","市長")),"対象外"))</f>
        <v>対象外</v>
      </c>
    </row>
    <row r="485" customFormat="false" ht="15" hidden="false" customHeight="false" outlineLevel="0" collapsed="false">
      <c r="A485" s="0" t="n">
        <v>21</v>
      </c>
      <c r="AA485" s="0" t="n">
        <v>21</v>
      </c>
      <c r="AB485" s="0" t="s">
        <v>422</v>
      </c>
      <c r="AD485" s="0" t="n">
        <v>12</v>
      </c>
      <c r="AE485" s="0" t="s">
        <v>484</v>
      </c>
      <c r="AH485" s="0" t="n">
        <v>32</v>
      </c>
      <c r="AJ485" s="0" t="n">
        <v>74</v>
      </c>
      <c r="AP485" s="0" t="n">
        <v>560000</v>
      </c>
      <c r="DB485" s="0" t="str">
        <f aca="false">IF($A485="","",IF(AND($A485=21,$AE485&amp;""="00000000"),IF($AH485=20,"病院",IF($AH485=5,"消防","市長")),"対象外"))</f>
        <v>対象外</v>
      </c>
    </row>
    <row r="486" customFormat="false" ht="15" hidden="false" customHeight="false" outlineLevel="0" collapsed="false">
      <c r="A486" s="0" t="n">
        <v>21</v>
      </c>
      <c r="AA486" s="0" t="n">
        <v>21</v>
      </c>
      <c r="AB486" s="0" t="s">
        <v>390</v>
      </c>
      <c r="AD486" s="0" t="n">
        <v>12</v>
      </c>
      <c r="AE486" s="0" t="s">
        <v>504</v>
      </c>
      <c r="AH486" s="0" t="n">
        <v>1</v>
      </c>
      <c r="AJ486" s="0" t="n">
        <v>10</v>
      </c>
      <c r="AP486" s="0" t="n">
        <v>470000</v>
      </c>
      <c r="DB486" s="0" t="str">
        <f aca="false">IF($A486="","",IF(AND($A486=21,$AE486&amp;""="00000000"),IF($AH486=20,"病院",IF($AH486=5,"消防","市長")),"対象外"))</f>
        <v>対象外</v>
      </c>
    </row>
    <row r="487" customFormat="false" ht="15" hidden="false" customHeight="false" outlineLevel="0" collapsed="false">
      <c r="A487" s="0" t="n">
        <v>31</v>
      </c>
      <c r="AA487" s="0" t="n">
        <v>21</v>
      </c>
      <c r="AB487" s="0" t="s">
        <v>504</v>
      </c>
      <c r="AD487" s="0" t="n">
        <v>12</v>
      </c>
      <c r="AE487" s="0" t="s">
        <v>96</v>
      </c>
      <c r="AH487" s="0" t="n">
        <v>20</v>
      </c>
      <c r="AJ487" s="0" t="n">
        <v>41</v>
      </c>
      <c r="AP487" s="0" t="n">
        <v>240000</v>
      </c>
      <c r="DB487" s="0" t="str">
        <f aca="false">IF($A487="","",IF(AND($A487=21,$AE487&amp;""="00000000"),IF($AH487=20,"病院",IF($AH487=5,"消防","市長")),"対象外"))</f>
        <v>対象外</v>
      </c>
    </row>
    <row r="488" customFormat="false" ht="15" hidden="false" customHeight="false" outlineLevel="0" collapsed="false">
      <c r="A488" s="0" t="n">
        <v>21</v>
      </c>
      <c r="AA488" s="0" t="n">
        <v>21</v>
      </c>
      <c r="AB488" s="0" t="s">
        <v>453</v>
      </c>
      <c r="AD488" s="0" t="n">
        <v>12</v>
      </c>
      <c r="AE488" s="0" t="s">
        <v>457</v>
      </c>
      <c r="AH488" s="0" t="n">
        <v>0</v>
      </c>
      <c r="AJ488" s="0" t="n">
        <v>10</v>
      </c>
      <c r="AP488" s="0" t="n">
        <v>1</v>
      </c>
      <c r="DB488" s="0" t="str">
        <f aca="false">IF($A488="","",IF(AND($A488=21,$AE488&amp;""="00000000"),IF($AH488=20,"病院",IF($AH488=5,"消防","市長")),"対象外"))</f>
        <v>対象外</v>
      </c>
    </row>
    <row r="489" customFormat="false" ht="15" hidden="false" customHeight="false" outlineLevel="0" collapsed="false">
      <c r="A489" s="0" t="n">
        <v>21</v>
      </c>
      <c r="AA489" s="0" t="n">
        <v>21</v>
      </c>
      <c r="AB489" s="0" t="s">
        <v>415</v>
      </c>
      <c r="AD489" s="0" t="n">
        <v>12</v>
      </c>
      <c r="AE489" s="0" t="s">
        <v>494</v>
      </c>
      <c r="AH489" s="0" t="n">
        <v>1</v>
      </c>
      <c r="AJ489" s="0" t="n">
        <v>10</v>
      </c>
      <c r="AP489" s="0" t="n">
        <v>470000</v>
      </c>
      <c r="DB489" s="0" t="str">
        <f aca="false">IF($A489="","",IF(AND($A489=21,$AE489&amp;""="00000000"),IF($AH489=20,"病院",IF($AH489=5,"消防","市長")),"対象外"))</f>
        <v>対象外</v>
      </c>
    </row>
    <row r="490" customFormat="false" ht="15" hidden="false" customHeight="false" outlineLevel="0" collapsed="false">
      <c r="A490" s="0" t="n">
        <v>21</v>
      </c>
      <c r="AA490" s="0" t="n">
        <v>21</v>
      </c>
      <c r="AB490" s="0" t="s">
        <v>448</v>
      </c>
      <c r="AD490" s="0" t="n">
        <v>12</v>
      </c>
      <c r="AE490" s="0" t="s">
        <v>459</v>
      </c>
      <c r="AH490" s="0" t="n">
        <v>0</v>
      </c>
      <c r="AJ490" s="0" t="n">
        <v>10</v>
      </c>
      <c r="AP490" s="0" t="n">
        <v>1051813</v>
      </c>
      <c r="DB490" s="0" t="str">
        <f aca="false">IF($A490="","",IF(AND($A490=21,$AE490&amp;""="00000000"),IF($AH490=20,"病院",IF($AH490=5,"消防","市長")),"対象外"))</f>
        <v>対象外</v>
      </c>
    </row>
    <row r="491" customFormat="false" ht="15" hidden="false" customHeight="false" outlineLevel="0" collapsed="false">
      <c r="A491" s="0" t="n">
        <v>21</v>
      </c>
      <c r="AA491" s="0" t="n">
        <v>21</v>
      </c>
      <c r="AB491" s="0" t="s">
        <v>439</v>
      </c>
      <c r="AD491" s="0" t="n">
        <v>12</v>
      </c>
      <c r="AE491" s="0" t="s">
        <v>494</v>
      </c>
      <c r="AH491" s="0" t="n">
        <v>20</v>
      </c>
      <c r="AJ491" s="0" t="n">
        <v>10</v>
      </c>
      <c r="AP491" s="0" t="n">
        <v>1150000</v>
      </c>
      <c r="DB491" s="0" t="str">
        <f aca="false">IF($A491="","",IF(AND($A491=21,$AE491&amp;""="00000000"),IF($AH491=20,"病院",IF($AH491=5,"消防","市長")),"対象外"))</f>
        <v>対象外</v>
      </c>
    </row>
    <row r="492" customFormat="false" ht="15" hidden="false" customHeight="false" outlineLevel="0" collapsed="false">
      <c r="A492" s="0" t="n">
        <v>21</v>
      </c>
      <c r="AA492" s="0" t="n">
        <v>21</v>
      </c>
      <c r="AB492" s="0" t="s">
        <v>413</v>
      </c>
      <c r="AD492" s="0" t="n">
        <v>12</v>
      </c>
      <c r="AE492" s="0" t="s">
        <v>494</v>
      </c>
      <c r="AH492" s="0" t="n">
        <v>1</v>
      </c>
      <c r="AJ492" s="0" t="n">
        <v>10</v>
      </c>
      <c r="AP492" s="0" t="n">
        <v>590000</v>
      </c>
      <c r="DB492" s="0" t="str">
        <f aca="false">IF($A492="","",IF(AND($A492=21,$AE492&amp;""="00000000"),IF($AH492=20,"病院",IF($AH492=5,"消防","市長")),"対象外"))</f>
        <v>対象外</v>
      </c>
    </row>
    <row r="493" customFormat="false" ht="15" hidden="false" customHeight="false" outlineLevel="0" collapsed="false">
      <c r="A493" s="0" t="n">
        <v>21</v>
      </c>
      <c r="AA493" s="0" t="n">
        <v>21</v>
      </c>
      <c r="AB493" s="0" t="s">
        <v>631</v>
      </c>
      <c r="AD493" s="0" t="n">
        <v>12</v>
      </c>
      <c r="AE493" s="0" t="s">
        <v>494</v>
      </c>
      <c r="AH493" s="0" t="n">
        <v>20</v>
      </c>
      <c r="AJ493" s="0" t="n">
        <v>10</v>
      </c>
      <c r="AP493" s="0" t="n">
        <v>1210000</v>
      </c>
      <c r="DB493" s="0" t="str">
        <f aca="false">IF($A493="","",IF(AND($A493=21,$AE493&amp;""="00000000"),IF($AH493=20,"病院",IF($AH493=5,"消防","市長")),"対象外"))</f>
        <v>対象外</v>
      </c>
    </row>
    <row r="494" customFormat="false" ht="15" hidden="false" customHeight="false" outlineLevel="0" collapsed="false">
      <c r="A494" s="0" t="n">
        <v>21</v>
      </c>
      <c r="AA494" s="0" t="n">
        <v>21</v>
      </c>
      <c r="AB494" s="0" t="s">
        <v>391</v>
      </c>
      <c r="AD494" s="0" t="n">
        <v>12</v>
      </c>
      <c r="AE494" s="0" t="s">
        <v>632</v>
      </c>
      <c r="AH494" s="0" t="n">
        <v>0</v>
      </c>
      <c r="AJ494" s="0" t="n">
        <v>10</v>
      </c>
      <c r="AP494" s="0" t="n">
        <v>470539</v>
      </c>
      <c r="DB494" s="0" t="str">
        <f aca="false">IF($A494="","",IF(AND($A494=21,$AE494&amp;""="00000000"),IF($AH494=20,"病院",IF($AH494=5,"消防","市長")),"対象外"))</f>
        <v>対象外</v>
      </c>
    </row>
    <row r="495" customFormat="false" ht="15" hidden="false" customHeight="false" outlineLevel="0" collapsed="false">
      <c r="A495" s="0" t="n">
        <v>21</v>
      </c>
      <c r="AA495" s="0" t="n">
        <v>21</v>
      </c>
      <c r="AB495" s="0" t="s">
        <v>404</v>
      </c>
      <c r="AD495" s="0" t="n">
        <v>12</v>
      </c>
      <c r="AE495" s="0" t="s">
        <v>483</v>
      </c>
      <c r="AH495" s="0" t="n">
        <v>1</v>
      </c>
      <c r="AJ495" s="0" t="n">
        <v>10</v>
      </c>
      <c r="AP495" s="0" t="n">
        <v>710000</v>
      </c>
      <c r="DB495" s="0" t="str">
        <f aca="false">IF($A495="","",IF(AND($A495=21,$AE495&amp;""="00000000"),IF($AH495=20,"病院",IF($AH495=5,"消防","市長")),"対象外"))</f>
        <v>対象外</v>
      </c>
    </row>
    <row r="496" customFormat="false" ht="15" hidden="false" customHeight="false" outlineLevel="0" collapsed="false">
      <c r="A496" s="0" t="n">
        <v>21</v>
      </c>
      <c r="AA496" s="0" t="n">
        <v>21</v>
      </c>
      <c r="AB496" s="0" t="s">
        <v>415</v>
      </c>
      <c r="AD496" s="0" t="n">
        <v>15</v>
      </c>
      <c r="AE496" s="0" t="s">
        <v>633</v>
      </c>
      <c r="AH496" s="0" t="n">
        <v>1</v>
      </c>
      <c r="AJ496" s="0" t="n">
        <v>10</v>
      </c>
      <c r="AP496" s="0" t="n">
        <v>530000</v>
      </c>
      <c r="DB496" s="0" t="str">
        <f aca="false">IF($A496="","",IF(AND($A496=21,$AE496&amp;""="00000000"),IF($AH496=20,"病院",IF($AH496=5,"消防","市長")),"対象外"))</f>
        <v>対象外</v>
      </c>
    </row>
    <row r="497" customFormat="false" ht="15" hidden="false" customHeight="false" outlineLevel="0" collapsed="false">
      <c r="A497" s="0" t="n">
        <v>21</v>
      </c>
      <c r="AA497" s="0" t="n">
        <v>21</v>
      </c>
      <c r="AB497" s="0" t="s">
        <v>413</v>
      </c>
      <c r="AD497" s="0" t="n">
        <v>12</v>
      </c>
      <c r="AE497" s="0" t="s">
        <v>499</v>
      </c>
      <c r="AH497" s="0" t="n">
        <v>1</v>
      </c>
      <c r="AJ497" s="0" t="n">
        <v>10</v>
      </c>
      <c r="AP497" s="0" t="n">
        <v>500000</v>
      </c>
      <c r="DB497" s="0" t="str">
        <f aca="false">IF($A497="","",IF(AND($A497=21,$AE497&amp;""="00000000"),IF($AH497=20,"病院",IF($AH497=5,"消防","市長")),"対象外"))</f>
        <v>対象外</v>
      </c>
    </row>
    <row r="498" customFormat="false" ht="15" hidden="false" customHeight="false" outlineLevel="0" collapsed="false">
      <c r="A498" s="0" t="n">
        <v>21</v>
      </c>
      <c r="AA498" s="0" t="n">
        <v>21</v>
      </c>
      <c r="AB498" s="0" t="s">
        <v>415</v>
      </c>
      <c r="AD498" s="0" t="n">
        <v>12</v>
      </c>
      <c r="AE498" s="0" t="s">
        <v>487</v>
      </c>
      <c r="AH498" s="0" t="n">
        <v>1</v>
      </c>
      <c r="AJ498" s="0" t="n">
        <v>10</v>
      </c>
      <c r="AP498" s="0" t="n">
        <v>530000</v>
      </c>
      <c r="DB498" s="0" t="str">
        <f aca="false">IF($A498="","",IF(AND($A498=21,$AE498&amp;""="00000000"),IF($AH498=20,"病院",IF($AH498=5,"消防","市長")),"対象外"))</f>
        <v>対象外</v>
      </c>
    </row>
    <row r="499" customFormat="false" ht="15" hidden="false" customHeight="false" outlineLevel="0" collapsed="false">
      <c r="A499" s="0" t="n">
        <v>21</v>
      </c>
      <c r="AA499" s="0" t="n">
        <v>21</v>
      </c>
      <c r="AB499" s="0" t="s">
        <v>417</v>
      </c>
      <c r="AD499" s="0" t="n">
        <v>12</v>
      </c>
      <c r="AE499" s="0" t="s">
        <v>458</v>
      </c>
      <c r="AH499" s="0" t="n">
        <v>1</v>
      </c>
      <c r="AJ499" s="0" t="n">
        <v>10</v>
      </c>
      <c r="AP499" s="0" t="n">
        <v>470000</v>
      </c>
      <c r="DB499" s="0" t="str">
        <f aca="false">IF($A499="","",IF(AND($A499=21,$AE499&amp;""="00000000"),IF($AH499=20,"病院",IF($AH499=5,"消防","市長")),"対象外"))</f>
        <v>対象外</v>
      </c>
    </row>
    <row r="500" customFormat="false" ht="15" hidden="false" customHeight="false" outlineLevel="0" collapsed="false">
      <c r="A500" s="0" t="n">
        <v>21</v>
      </c>
      <c r="AA500" s="0" t="n">
        <v>21</v>
      </c>
      <c r="AB500" s="0" t="s">
        <v>634</v>
      </c>
      <c r="AD500" s="0" t="n">
        <v>12</v>
      </c>
      <c r="AE500" s="0" t="s">
        <v>469</v>
      </c>
      <c r="AH500" s="0" t="n">
        <v>0</v>
      </c>
      <c r="AJ500" s="0" t="n">
        <v>10</v>
      </c>
      <c r="AP500" s="0" t="n">
        <v>506000</v>
      </c>
      <c r="DB500" s="0" t="str">
        <f aca="false">IF($A500="","",IF(AND($A500=21,$AE500&amp;""="00000000"),IF($AH500=20,"病院",IF($AH500=5,"消防","市長")),"対象外"))</f>
        <v>対象外</v>
      </c>
    </row>
    <row r="501" customFormat="false" ht="15" hidden="false" customHeight="false" outlineLevel="0" collapsed="false">
      <c r="A501" s="0" t="n">
        <v>21</v>
      </c>
      <c r="AA501" s="0" t="n">
        <v>21</v>
      </c>
      <c r="AB501" s="0" t="s">
        <v>422</v>
      </c>
      <c r="AD501" s="0" t="n">
        <v>12</v>
      </c>
      <c r="AE501" s="0" t="s">
        <v>635</v>
      </c>
      <c r="AH501" s="0" t="n">
        <v>1</v>
      </c>
      <c r="AJ501" s="0" t="n">
        <v>10</v>
      </c>
      <c r="AP501" s="0" t="n">
        <v>500000</v>
      </c>
      <c r="DB501" s="0" t="str">
        <f aca="false">IF($A501="","",IF(AND($A501=21,$AE501&amp;""="00000000"),IF($AH501=20,"病院",IF($AH501=5,"消防","市長")),"対象外"))</f>
        <v>対象外</v>
      </c>
    </row>
    <row r="502" customFormat="false" ht="15" hidden="false" customHeight="false" outlineLevel="0" collapsed="false">
      <c r="A502" s="0" t="n">
        <v>21</v>
      </c>
      <c r="AA502" s="0" t="n">
        <v>21</v>
      </c>
      <c r="AB502" s="0" t="s">
        <v>422</v>
      </c>
      <c r="AD502" s="0" t="n">
        <v>12</v>
      </c>
      <c r="AE502" s="0" t="s">
        <v>496</v>
      </c>
      <c r="AH502" s="0" t="n">
        <v>1</v>
      </c>
      <c r="AJ502" s="0" t="n">
        <v>10</v>
      </c>
      <c r="AP502" s="0" t="n">
        <v>500000</v>
      </c>
      <c r="DB502" s="0" t="str">
        <f aca="false">IF($A502="","",IF(AND($A502=21,$AE502&amp;""="00000000"),IF($AH502=20,"病院",IF($AH502=5,"消防","市長")),"対象外"))</f>
        <v>対象外</v>
      </c>
    </row>
    <row r="503" customFormat="false" ht="15" hidden="false" customHeight="false" outlineLevel="0" collapsed="false">
      <c r="A503" s="0" t="n">
        <v>21</v>
      </c>
      <c r="AA503" s="0" t="n">
        <v>21</v>
      </c>
      <c r="AB503" s="0" t="s">
        <v>478</v>
      </c>
      <c r="AD503" s="0" t="n">
        <v>12</v>
      </c>
      <c r="AE503" s="0" t="s">
        <v>484</v>
      </c>
      <c r="AH503" s="0" t="n">
        <v>1</v>
      </c>
      <c r="AJ503" s="0" t="n">
        <v>10</v>
      </c>
      <c r="AP503" s="0" t="n">
        <v>680000</v>
      </c>
      <c r="DB503" s="0" t="str">
        <f aca="false">IF($A503="","",IF(AND($A503=21,$AE503&amp;""="00000000"),IF($AH503=20,"病院",IF($AH503=5,"消防","市長")),"対象外"))</f>
        <v>対象外</v>
      </c>
    </row>
    <row r="504" customFormat="false" ht="15" hidden="false" customHeight="false" outlineLevel="0" collapsed="false">
      <c r="A504" s="0" t="n">
        <v>21</v>
      </c>
      <c r="AA504" s="0" t="n">
        <v>21</v>
      </c>
      <c r="AB504" s="0" t="s">
        <v>417</v>
      </c>
      <c r="AD504" s="0" t="n">
        <v>13</v>
      </c>
      <c r="AE504" s="0" t="s">
        <v>636</v>
      </c>
      <c r="AH504" s="0" t="n">
        <v>1</v>
      </c>
      <c r="AJ504" s="0" t="n">
        <v>10</v>
      </c>
      <c r="AP504" s="0" t="n">
        <v>560000</v>
      </c>
      <c r="DB504" s="0" t="str">
        <f aca="false">IF($A504="","",IF(AND($A504=21,$AE504&amp;""="00000000"),IF($AH504=20,"病院",IF($AH504=5,"消防","市長")),"対象外"))</f>
        <v>対象外</v>
      </c>
    </row>
    <row r="505" customFormat="false" ht="15" hidden="false" customHeight="false" outlineLevel="0" collapsed="false">
      <c r="A505" s="0" t="n">
        <v>21</v>
      </c>
      <c r="AA505" s="0" t="n">
        <v>21</v>
      </c>
      <c r="AB505" s="0" t="s">
        <v>409</v>
      </c>
      <c r="AD505" s="0" t="n">
        <v>15</v>
      </c>
      <c r="AE505" s="0" t="s">
        <v>637</v>
      </c>
      <c r="AH505" s="0" t="n">
        <v>1</v>
      </c>
      <c r="AJ505" s="0" t="n">
        <v>10</v>
      </c>
      <c r="AP505" s="0" t="n">
        <v>620000</v>
      </c>
      <c r="DB505" s="0" t="str">
        <f aca="false">IF($A505="","",IF(AND($A505=21,$AE505&amp;""="00000000"),IF($AH505=20,"病院",IF($AH505=5,"消防","市長")),"対象外"))</f>
        <v>対象外</v>
      </c>
    </row>
    <row r="506" customFormat="false" ht="15" hidden="false" customHeight="false" outlineLevel="0" collapsed="false">
      <c r="A506" s="0" t="n">
        <v>21</v>
      </c>
      <c r="AA506" s="0" t="n">
        <v>21</v>
      </c>
      <c r="AB506" s="0" t="s">
        <v>390</v>
      </c>
      <c r="AD506" s="0" t="n">
        <v>12</v>
      </c>
      <c r="AE506" s="0" t="s">
        <v>638</v>
      </c>
      <c r="AH506" s="0" t="n">
        <v>0</v>
      </c>
      <c r="AJ506" s="0" t="n">
        <v>10</v>
      </c>
      <c r="AP506" s="0" t="n">
        <v>384400</v>
      </c>
      <c r="DB506" s="0" t="str">
        <f aca="false">IF($A506="","",IF(AND($A506=21,$AE506&amp;""="00000000"),IF($AH506=20,"病院",IF($AH506=5,"消防","市長")),"対象外"))</f>
        <v>対象外</v>
      </c>
    </row>
    <row r="507" customFormat="false" ht="15" hidden="false" customHeight="false" outlineLevel="0" collapsed="false">
      <c r="A507" s="0" t="n">
        <v>21</v>
      </c>
      <c r="AA507" s="0" t="n">
        <v>21</v>
      </c>
      <c r="AB507" s="0" t="s">
        <v>410</v>
      </c>
      <c r="AD507" s="0" t="n">
        <v>12</v>
      </c>
      <c r="AE507" s="0" t="s">
        <v>476</v>
      </c>
      <c r="AH507" s="0" t="n">
        <v>11</v>
      </c>
      <c r="AJ507" s="0" t="n">
        <v>10</v>
      </c>
      <c r="AP507" s="0" t="n">
        <v>470000</v>
      </c>
      <c r="DB507" s="0" t="str">
        <f aca="false">IF($A507="","",IF(AND($A507=21,$AE507&amp;""="00000000"),IF($AH507=20,"病院",IF($AH507=5,"消防","市長")),"対象外"))</f>
        <v>対象外</v>
      </c>
    </row>
    <row r="508" customFormat="false" ht="15" hidden="false" customHeight="false" outlineLevel="0" collapsed="false">
      <c r="A508" s="0" t="n">
        <v>21</v>
      </c>
      <c r="AA508" s="0" t="n">
        <v>21</v>
      </c>
      <c r="AB508" s="0" t="s">
        <v>639</v>
      </c>
      <c r="AD508" s="0" t="n">
        <v>12</v>
      </c>
      <c r="AE508" s="0" t="s">
        <v>640</v>
      </c>
      <c r="AH508" s="0" t="n">
        <v>0</v>
      </c>
      <c r="AJ508" s="0" t="n">
        <v>10</v>
      </c>
      <c r="AP508" s="0" t="n">
        <v>1</v>
      </c>
      <c r="DB508" s="0" t="str">
        <f aca="false">IF($A508="","",IF(AND($A508=21,$AE508&amp;""="00000000"),IF($AH508=20,"病院",IF($AH508=5,"消防","市長")),"対象外"))</f>
        <v>対象外</v>
      </c>
    </row>
    <row r="509" customFormat="false" ht="15" hidden="false" customHeight="false" outlineLevel="0" collapsed="false">
      <c r="A509" s="0" t="n">
        <v>21</v>
      </c>
      <c r="AA509" s="0" t="n">
        <v>21</v>
      </c>
      <c r="AB509" s="0" t="s">
        <v>415</v>
      </c>
      <c r="AD509" s="0" t="n">
        <v>12</v>
      </c>
      <c r="AE509" s="0" t="s">
        <v>457</v>
      </c>
      <c r="AH509" s="0" t="n">
        <v>0</v>
      </c>
      <c r="AJ509" s="0" t="n">
        <v>10</v>
      </c>
      <c r="AP509" s="0" t="n">
        <v>1</v>
      </c>
      <c r="DB509" s="0" t="str">
        <f aca="false">IF($A509="","",IF(AND($A509=21,$AE509&amp;""="00000000"),IF($AH509=20,"病院",IF($AH509=5,"消防","市長")),"対象外"))</f>
        <v>対象外</v>
      </c>
    </row>
    <row r="510" customFormat="false" ht="15" hidden="false" customHeight="false" outlineLevel="0" collapsed="false">
      <c r="A510" s="0" t="n">
        <v>21</v>
      </c>
      <c r="AA510" s="0" t="n">
        <v>24</v>
      </c>
      <c r="AB510" s="0" t="s">
        <v>641</v>
      </c>
      <c r="AD510" s="0" t="n">
        <v>12</v>
      </c>
      <c r="AE510" s="0" t="s">
        <v>463</v>
      </c>
      <c r="AH510" s="0" t="n">
        <v>0</v>
      </c>
      <c r="AJ510" s="0" t="n">
        <v>10</v>
      </c>
      <c r="AP510" s="0" t="n">
        <v>1</v>
      </c>
      <c r="DB510" s="0" t="str">
        <f aca="false">IF($A510="","",IF(AND($A510=21,$AE510&amp;""="00000000"),IF($AH510=20,"病院",IF($AH510=5,"消防","市長")),"対象外"))</f>
        <v>対象外</v>
      </c>
    </row>
    <row r="511" customFormat="false" ht="15" hidden="false" customHeight="false" outlineLevel="0" collapsed="false">
      <c r="A511" s="0" t="n">
        <v>21</v>
      </c>
      <c r="AA511" s="0" t="n">
        <v>21</v>
      </c>
      <c r="AB511" s="0" t="s">
        <v>497</v>
      </c>
      <c r="AD511" s="0" t="n">
        <v>12</v>
      </c>
      <c r="AE511" s="0" t="s">
        <v>498</v>
      </c>
      <c r="AH511" s="0" t="n">
        <v>1</v>
      </c>
      <c r="AJ511" s="0" t="n">
        <v>10</v>
      </c>
      <c r="AP511" s="0" t="n">
        <v>880000</v>
      </c>
      <c r="DB511" s="0" t="str">
        <f aca="false">IF($A511="","",IF(AND($A511=21,$AE511&amp;""="00000000"),IF($AH511=20,"病院",IF($AH511=5,"消防","市長")),"対象外"))</f>
        <v>対象外</v>
      </c>
    </row>
    <row r="512" customFormat="false" ht="15" hidden="false" customHeight="false" outlineLevel="0" collapsed="false">
      <c r="A512" s="0" t="n">
        <v>21</v>
      </c>
      <c r="AA512" s="0" t="n">
        <v>21</v>
      </c>
      <c r="AB512" s="0" t="s">
        <v>415</v>
      </c>
      <c r="AD512" s="0" t="n">
        <v>12</v>
      </c>
      <c r="AE512" s="0" t="s">
        <v>314</v>
      </c>
      <c r="AH512" s="0" t="n">
        <v>1</v>
      </c>
      <c r="AJ512" s="0" t="n">
        <v>10</v>
      </c>
      <c r="AP512" s="0" t="n">
        <v>620000</v>
      </c>
      <c r="DB512" s="0" t="str">
        <f aca="false">IF($A512="","",IF(AND($A512=21,$AE512&amp;""="00000000"),IF($AH512=20,"病院",IF($AH512=5,"消防","市長")),"対象外"))</f>
        <v>対象外</v>
      </c>
    </row>
    <row r="513" customFormat="false" ht="15" hidden="false" customHeight="false" outlineLevel="0" collapsed="false">
      <c r="A513" s="0" t="n">
        <v>21</v>
      </c>
      <c r="AA513" s="0" t="n">
        <v>21</v>
      </c>
      <c r="AB513" s="0" t="s">
        <v>413</v>
      </c>
      <c r="AD513" s="0" t="n">
        <v>12</v>
      </c>
      <c r="AE513" s="0" t="s">
        <v>642</v>
      </c>
      <c r="AH513" s="0" t="n">
        <v>3</v>
      </c>
      <c r="AJ513" s="0" t="n">
        <v>10</v>
      </c>
      <c r="AP513" s="0" t="n">
        <v>470000</v>
      </c>
      <c r="DB513" s="0" t="str">
        <f aca="false">IF($A513="","",IF(AND($A513=21,$AE513&amp;""="00000000"),IF($AH513=20,"病院",IF($AH513=5,"消防","市長")),"対象外"))</f>
        <v>対象外</v>
      </c>
    </row>
    <row r="514" customFormat="false" ht="15" hidden="false" customHeight="false" outlineLevel="0" collapsed="false">
      <c r="A514" s="0" t="n">
        <v>21</v>
      </c>
      <c r="AA514" s="0" t="n">
        <v>21</v>
      </c>
      <c r="AB514" s="0" t="s">
        <v>390</v>
      </c>
      <c r="AD514" s="0" t="n">
        <v>12</v>
      </c>
      <c r="AE514" s="0" t="s">
        <v>495</v>
      </c>
      <c r="AH514" s="0" t="n">
        <v>1</v>
      </c>
      <c r="AJ514" s="0" t="n">
        <v>10</v>
      </c>
      <c r="AP514" s="0" t="n">
        <v>500000</v>
      </c>
      <c r="DB514" s="0" t="str">
        <f aca="false">IF($A514="","",IF(AND($A514=21,$AE514&amp;""="00000000"),IF($AH514=20,"病院",IF($AH514=5,"消防","市長")),"対象外"))</f>
        <v>対象外</v>
      </c>
    </row>
    <row r="515" customFormat="false" ht="15" hidden="false" customHeight="false" outlineLevel="0" collapsed="false">
      <c r="A515" s="0" t="n">
        <v>21</v>
      </c>
      <c r="AA515" s="0" t="n">
        <v>21</v>
      </c>
      <c r="AB515" s="0" t="s">
        <v>413</v>
      </c>
      <c r="AD515" s="0" t="n">
        <v>12</v>
      </c>
      <c r="AE515" s="0" t="s">
        <v>96</v>
      </c>
      <c r="AH515" s="0" t="n">
        <v>1</v>
      </c>
      <c r="AJ515" s="0" t="n">
        <v>10</v>
      </c>
      <c r="AP515" s="0" t="n">
        <v>590000</v>
      </c>
      <c r="DB515" s="0" t="str">
        <f aca="false">IF($A515="","",IF(AND($A515=21,$AE515&amp;""="00000000"),IF($AH515=20,"病院",IF($AH515=5,"消防","市長")),"対象外"))</f>
        <v>対象外</v>
      </c>
    </row>
    <row r="516" customFormat="false" ht="15" hidden="false" customHeight="false" outlineLevel="0" collapsed="false">
      <c r="A516" s="0" t="n">
        <v>21</v>
      </c>
      <c r="AA516" s="0" t="n">
        <v>21</v>
      </c>
      <c r="AB516" s="0" t="s">
        <v>400</v>
      </c>
      <c r="AD516" s="0" t="n">
        <v>12</v>
      </c>
      <c r="AE516" s="0" t="s">
        <v>472</v>
      </c>
      <c r="AH516" s="0" t="n">
        <v>0</v>
      </c>
      <c r="AJ516" s="0" t="n">
        <v>10</v>
      </c>
      <c r="AP516" s="0" t="n">
        <v>406000</v>
      </c>
      <c r="DB516" s="0" t="str">
        <f aca="false">IF($A516="","",IF(AND($A516=21,$AE516&amp;""="00000000"),IF($AH516=20,"病院",IF($AH516=5,"消防","市長")),"対象外"))</f>
        <v>対象外</v>
      </c>
    </row>
    <row r="517" customFormat="false" ht="15" hidden="false" customHeight="false" outlineLevel="0" collapsed="false">
      <c r="A517" s="0" t="n">
        <v>21</v>
      </c>
      <c r="AA517" s="0" t="n">
        <v>21</v>
      </c>
      <c r="AB517" s="0" t="s">
        <v>423</v>
      </c>
      <c r="AD517" s="0" t="n">
        <v>12</v>
      </c>
      <c r="AE517" s="0" t="s">
        <v>452</v>
      </c>
      <c r="AH517" s="0" t="n">
        <v>1</v>
      </c>
      <c r="AJ517" s="0" t="n">
        <v>10</v>
      </c>
      <c r="AP517" s="0" t="n">
        <v>790000</v>
      </c>
      <c r="DB517" s="0" t="str">
        <f aca="false">IF($A517="","",IF(AND($A517=21,$AE517&amp;""="00000000"),IF($AH517=20,"病院",IF($AH517=5,"消防","市長")),"対象外"))</f>
        <v>対象外</v>
      </c>
    </row>
    <row r="518" customFormat="false" ht="15" hidden="false" customHeight="false" outlineLevel="0" collapsed="false">
      <c r="A518" s="0" t="n">
        <v>21</v>
      </c>
      <c r="AA518" s="0" t="n">
        <v>21</v>
      </c>
      <c r="AB518" s="0" t="s">
        <v>415</v>
      </c>
      <c r="AD518" s="0" t="n">
        <v>12</v>
      </c>
      <c r="AE518" s="0" t="s">
        <v>643</v>
      </c>
      <c r="AH518" s="0" t="n">
        <v>1</v>
      </c>
      <c r="AJ518" s="0" t="n">
        <v>10</v>
      </c>
      <c r="AP518" s="0" t="n">
        <v>470000</v>
      </c>
      <c r="DB518" s="0" t="str">
        <f aca="false">IF($A518="","",IF(AND($A518=21,$AE518&amp;""="00000000"),IF($AH518=20,"病院",IF($AH518=5,"消防","市長")),"対象外"))</f>
        <v>対象外</v>
      </c>
    </row>
    <row r="519" customFormat="false" ht="15" hidden="false" customHeight="false" outlineLevel="0" collapsed="false">
      <c r="A519" s="0" t="n">
        <v>21</v>
      </c>
      <c r="AA519" s="0" t="n">
        <v>21</v>
      </c>
      <c r="AB519" s="0" t="s">
        <v>423</v>
      </c>
      <c r="AD519" s="0" t="n">
        <v>15</v>
      </c>
      <c r="AE519" s="0" t="s">
        <v>644</v>
      </c>
      <c r="AH519" s="0" t="n">
        <v>1</v>
      </c>
      <c r="AJ519" s="0" t="n">
        <v>10</v>
      </c>
      <c r="AP519" s="0" t="n">
        <v>470000</v>
      </c>
      <c r="DB519" s="0" t="str">
        <f aca="false">IF($A519="","",IF(AND($A519=21,$AE519&amp;""="00000000"),IF($AH519=20,"病院",IF($AH519=5,"消防","市長")),"対象外"))</f>
        <v>対象外</v>
      </c>
    </row>
    <row r="520" customFormat="false" ht="15" hidden="false" customHeight="false" outlineLevel="0" collapsed="false">
      <c r="A520" s="0" t="n">
        <v>21</v>
      </c>
      <c r="AA520" s="0" t="n">
        <v>21</v>
      </c>
      <c r="AB520" s="0" t="s">
        <v>456</v>
      </c>
      <c r="AD520" s="0" t="n">
        <v>12</v>
      </c>
      <c r="AE520" s="0" t="s">
        <v>466</v>
      </c>
      <c r="AH520" s="0" t="n">
        <v>0</v>
      </c>
      <c r="AJ520" s="0" t="n">
        <v>10</v>
      </c>
      <c r="AP520" s="0" t="n">
        <v>383800</v>
      </c>
      <c r="DB520" s="0" t="str">
        <f aca="false">IF($A520="","",IF(AND($A520=21,$AE520&amp;""="00000000"),IF($AH520=20,"病院",IF($AH520=5,"消防","市長")),"対象外"))</f>
        <v>対象外</v>
      </c>
    </row>
    <row r="521" customFormat="false" ht="15" hidden="false" customHeight="false" outlineLevel="0" collapsed="false">
      <c r="A521" s="0" t="n">
        <v>21</v>
      </c>
      <c r="AA521" s="0" t="n">
        <v>21</v>
      </c>
      <c r="AB521" s="0" t="s">
        <v>413</v>
      </c>
      <c r="AD521" s="0" t="n">
        <v>12</v>
      </c>
      <c r="AE521" s="0" t="s">
        <v>494</v>
      </c>
      <c r="AH521" s="0" t="n">
        <v>1</v>
      </c>
      <c r="AJ521" s="0" t="n">
        <v>10</v>
      </c>
      <c r="AP521" s="0" t="n">
        <v>680000</v>
      </c>
      <c r="DB521" s="0" t="str">
        <f aca="false">IF($A521="","",IF(AND($A521=21,$AE521&amp;""="00000000"),IF($AH521=20,"病院",IF($AH521=5,"消防","市長")),"対象外"))</f>
        <v>対象外</v>
      </c>
    </row>
    <row r="522" customFormat="false" ht="15" hidden="false" customHeight="false" outlineLevel="0" collapsed="false">
      <c r="A522" s="0" t="n">
        <v>21</v>
      </c>
      <c r="AA522" s="0" t="n">
        <v>21</v>
      </c>
      <c r="AB522" s="0" t="s">
        <v>456</v>
      </c>
      <c r="AD522" s="0" t="n">
        <v>12</v>
      </c>
      <c r="AE522" s="0" t="s">
        <v>459</v>
      </c>
      <c r="AH522" s="0" t="n">
        <v>0</v>
      </c>
      <c r="AJ522" s="0" t="n">
        <v>10</v>
      </c>
      <c r="AP522" s="0" t="n">
        <v>751970</v>
      </c>
      <c r="DB522" s="0" t="str">
        <f aca="false">IF($A522="","",IF(AND($A522=21,$AE522&amp;""="00000000"),IF($AH522=20,"病院",IF($AH522=5,"消防","市長")),"対象外"))</f>
        <v>対象外</v>
      </c>
    </row>
    <row r="523" customFormat="false" ht="15" hidden="false" customHeight="false" outlineLevel="0" collapsed="false">
      <c r="A523" s="0" t="n">
        <v>21</v>
      </c>
      <c r="AA523" s="0" t="n">
        <v>21</v>
      </c>
      <c r="AB523" s="0" t="s">
        <v>405</v>
      </c>
      <c r="AD523" s="0" t="n">
        <v>12</v>
      </c>
      <c r="AE523" s="0" t="s">
        <v>466</v>
      </c>
      <c r="AH523" s="0" t="n">
        <v>0</v>
      </c>
      <c r="AJ523" s="0" t="n">
        <v>10</v>
      </c>
      <c r="AP523" s="0" t="n">
        <v>358300</v>
      </c>
      <c r="DB523" s="0" t="str">
        <f aca="false">IF($A523="","",IF(AND($A523=21,$AE523&amp;""="00000000"),IF($AH523=20,"病院",IF($AH523=5,"消防","市長")),"対象外"))</f>
        <v>対象外</v>
      </c>
    </row>
    <row r="524" customFormat="false" ht="15" hidden="false" customHeight="false" outlineLevel="0" collapsed="false">
      <c r="A524" s="0" t="n">
        <v>21</v>
      </c>
      <c r="AA524" s="0" t="n">
        <v>21</v>
      </c>
      <c r="AB524" s="0" t="s">
        <v>451</v>
      </c>
      <c r="AD524" s="0" t="n">
        <v>12</v>
      </c>
      <c r="AE524" s="0" t="s">
        <v>463</v>
      </c>
      <c r="AH524" s="0" t="n">
        <v>0</v>
      </c>
      <c r="AJ524" s="0" t="n">
        <v>10</v>
      </c>
      <c r="AP524" s="0" t="n">
        <v>1</v>
      </c>
      <c r="DB524" s="0" t="str">
        <f aca="false">IF($A524="","",IF(AND($A524=21,$AE524&amp;""="00000000"),IF($AH524=20,"病院",IF($AH524=5,"消防","市長")),"対象外"))</f>
        <v>対象外</v>
      </c>
    </row>
    <row r="525" customFormat="false" ht="15" hidden="false" customHeight="false" outlineLevel="0" collapsed="false">
      <c r="A525" s="0" t="n">
        <v>21</v>
      </c>
      <c r="AA525" s="0" t="n">
        <v>24</v>
      </c>
      <c r="AB525" s="0" t="s">
        <v>426</v>
      </c>
      <c r="AD525" s="0" t="n">
        <v>12</v>
      </c>
      <c r="AE525" s="0" t="s">
        <v>645</v>
      </c>
      <c r="AH525" s="0" t="n">
        <v>20</v>
      </c>
      <c r="AJ525" s="0" t="n">
        <v>10</v>
      </c>
      <c r="AP525" s="0" t="n">
        <v>240000</v>
      </c>
      <c r="DB525" s="0" t="str">
        <f aca="false">IF($A525="","",IF(AND($A525=21,$AE525&amp;""="00000000"),IF($AH525=20,"病院",IF($AH525=5,"消防","市長")),"対象外"))</f>
        <v>対象外</v>
      </c>
    </row>
    <row r="526" customFormat="false" ht="15" hidden="false" customHeight="false" outlineLevel="0" collapsed="false">
      <c r="A526" s="0" t="n">
        <v>21</v>
      </c>
      <c r="AA526" s="0" t="n">
        <v>21</v>
      </c>
      <c r="AB526" s="0" t="s">
        <v>459</v>
      </c>
      <c r="AD526" s="0" t="n">
        <v>12</v>
      </c>
      <c r="AE526" s="0" t="s">
        <v>463</v>
      </c>
      <c r="AH526" s="0" t="n">
        <v>0</v>
      </c>
      <c r="AJ526" s="0" t="n">
        <v>10</v>
      </c>
      <c r="AP526" s="0" t="n">
        <v>1</v>
      </c>
      <c r="DB526" s="0" t="str">
        <f aca="false">IF($A526="","",IF(AND($A526=21,$AE526&amp;""="00000000"),IF($AH526=20,"病院",IF($AH526=5,"消防","市長")),"対象外"))</f>
        <v>対象外</v>
      </c>
    </row>
    <row r="527" customFormat="false" ht="15" hidden="false" customHeight="false" outlineLevel="0" collapsed="false">
      <c r="A527" s="0" t="n">
        <v>21</v>
      </c>
      <c r="AA527" s="0" t="n">
        <v>21</v>
      </c>
      <c r="AB527" s="0" t="s">
        <v>457</v>
      </c>
      <c r="AD527" s="0" t="n">
        <v>12</v>
      </c>
      <c r="AE527" s="0" t="s">
        <v>463</v>
      </c>
      <c r="AH527" s="0" t="n">
        <v>0</v>
      </c>
      <c r="AJ527" s="0" t="n">
        <v>10</v>
      </c>
      <c r="AP527" s="0" t="n">
        <v>1</v>
      </c>
      <c r="DB527" s="0" t="str">
        <f aca="false">IF($A527="","",IF(AND($A527=21,$AE527&amp;""="00000000"),IF($AH527=20,"病院",IF($AH527=5,"消防","市長")),"対象外"))</f>
        <v>対象外</v>
      </c>
    </row>
    <row r="528" customFormat="false" ht="15" hidden="false" customHeight="false" outlineLevel="0" collapsed="false">
      <c r="A528" s="0" t="n">
        <v>31</v>
      </c>
      <c r="AA528" s="0" t="n">
        <v>21</v>
      </c>
      <c r="AB528" s="0" t="s">
        <v>496</v>
      </c>
      <c r="AD528" s="0" t="n">
        <v>12</v>
      </c>
      <c r="AE528" s="0" t="s">
        <v>477</v>
      </c>
      <c r="AH528" s="0" t="n">
        <v>1</v>
      </c>
      <c r="AJ528" s="0" t="n">
        <v>41</v>
      </c>
      <c r="AP528" s="0" t="n">
        <v>160000</v>
      </c>
      <c r="DB528" s="0" t="str">
        <f aca="false">IF($A528="","",IF(AND($A528=21,$AE528&amp;""="00000000"),IF($AH528=20,"病院",IF($AH528=5,"消防","市長")),"対象外"))</f>
        <v>対象外</v>
      </c>
    </row>
    <row r="529" customFormat="false" ht="15" hidden="false" customHeight="false" outlineLevel="0" collapsed="false">
      <c r="A529" s="0" t="n">
        <v>21</v>
      </c>
      <c r="AA529" s="0" t="n">
        <v>24</v>
      </c>
      <c r="AB529" s="0" t="s">
        <v>646</v>
      </c>
      <c r="AD529" s="0" t="n">
        <v>12</v>
      </c>
      <c r="AE529" s="0" t="s">
        <v>463</v>
      </c>
      <c r="AH529" s="0" t="n">
        <v>0</v>
      </c>
      <c r="AJ529" s="0" t="n">
        <v>10</v>
      </c>
      <c r="AP529" s="0" t="n">
        <v>148890</v>
      </c>
      <c r="DB529" s="0" t="str">
        <f aca="false">IF($A529="","",IF(AND($A529=21,$AE529&amp;""="00000000"),IF($AH529=20,"病院",IF($AH529=5,"消防","市長")),"対象外"))</f>
        <v>対象外</v>
      </c>
    </row>
    <row r="530" customFormat="false" ht="15" hidden="false" customHeight="false" outlineLevel="0" collapsed="false">
      <c r="A530" s="0" t="n">
        <v>21</v>
      </c>
      <c r="AA530" s="0" t="n">
        <v>21</v>
      </c>
      <c r="AB530" s="0" t="s">
        <v>647</v>
      </c>
      <c r="AD530" s="0" t="n">
        <v>12</v>
      </c>
      <c r="AE530" s="0" t="s">
        <v>463</v>
      </c>
      <c r="AH530" s="0" t="n">
        <v>0</v>
      </c>
      <c r="AJ530" s="0" t="n">
        <v>10</v>
      </c>
      <c r="AP530" s="0" t="n">
        <v>134400</v>
      </c>
      <c r="DB530" s="0" t="str">
        <f aca="false">IF($A530="","",IF(AND($A530=21,$AE530&amp;""="00000000"),IF($AH530=20,"病院",IF($AH530=5,"消防","市長")),"対象外"))</f>
        <v>対象外</v>
      </c>
    </row>
    <row r="531" customFormat="false" ht="15" hidden="false" customHeight="false" outlineLevel="0" collapsed="false">
      <c r="A531" s="0" t="n">
        <v>21</v>
      </c>
      <c r="AA531" s="0" t="n">
        <v>21</v>
      </c>
      <c r="AB531" s="0" t="s">
        <v>648</v>
      </c>
      <c r="AD531" s="0" t="n">
        <v>12</v>
      </c>
      <c r="AE531" s="0" t="s">
        <v>649</v>
      </c>
      <c r="AH531" s="0" t="n">
        <v>0</v>
      </c>
      <c r="AJ531" s="0" t="n">
        <v>10</v>
      </c>
      <c r="AP531" s="0" t="n">
        <v>1</v>
      </c>
      <c r="DB531" s="0" t="str">
        <f aca="false">IF($A531="","",IF(AND($A531=21,$AE531&amp;""="00000000"),IF($AH531=20,"病院",IF($AH531=5,"消防","市長")),"対象外"))</f>
        <v>対象外</v>
      </c>
    </row>
    <row r="532" customFormat="false" ht="15" hidden="false" customHeight="false" outlineLevel="0" collapsed="false">
      <c r="A532" s="0" t="n">
        <v>21</v>
      </c>
      <c r="AA532" s="0" t="n">
        <v>21</v>
      </c>
      <c r="AB532" s="0" t="s">
        <v>454</v>
      </c>
      <c r="AD532" s="0" t="n">
        <v>12</v>
      </c>
      <c r="AE532" s="0" t="s">
        <v>456</v>
      </c>
      <c r="AH532" s="0" t="n">
        <v>0</v>
      </c>
      <c r="AJ532" s="0" t="n">
        <v>10</v>
      </c>
      <c r="AP532" s="0" t="n">
        <v>1</v>
      </c>
      <c r="DB532" s="0" t="str">
        <f aca="false">IF($A532="","",IF(AND($A532=21,$AE532&amp;""="00000000"),IF($AH532=20,"病院",IF($AH532=5,"消防","市長")),"対象外"))</f>
        <v>対象外</v>
      </c>
    </row>
    <row r="533" customFormat="false" ht="15" hidden="false" customHeight="false" outlineLevel="0" collapsed="false">
      <c r="A533" s="0" t="n">
        <v>21</v>
      </c>
      <c r="AA533" s="0" t="n">
        <v>21</v>
      </c>
      <c r="AB533" s="0" t="s">
        <v>650</v>
      </c>
      <c r="AD533" s="0" t="n">
        <v>12</v>
      </c>
      <c r="AE533" s="0" t="s">
        <v>651</v>
      </c>
      <c r="AH533" s="0" t="n">
        <v>0</v>
      </c>
      <c r="AJ533" s="0" t="n">
        <v>10</v>
      </c>
      <c r="AP533" s="0" t="n">
        <v>1</v>
      </c>
      <c r="DB533" s="0" t="str">
        <f aca="false">IF($A533="","",IF(AND($A533=21,$AE533&amp;""="00000000"),IF($AH533=20,"病院",IF($AH533=5,"消防","市長")),"対象外"))</f>
        <v>対象外</v>
      </c>
    </row>
    <row r="534" customFormat="false" ht="15" hidden="false" customHeight="false" outlineLevel="0" collapsed="false">
      <c r="A534" s="0" t="n">
        <v>21</v>
      </c>
      <c r="AA534" s="0" t="n">
        <v>21</v>
      </c>
      <c r="AB534" s="0" t="s">
        <v>652</v>
      </c>
      <c r="AD534" s="0" t="n">
        <v>12</v>
      </c>
      <c r="AE534" s="0" t="s">
        <v>463</v>
      </c>
      <c r="AH534" s="0" t="n">
        <v>0</v>
      </c>
      <c r="AJ534" s="0" t="n">
        <v>10</v>
      </c>
      <c r="AP534" s="0" t="n">
        <v>1</v>
      </c>
      <c r="DB534" s="0" t="str">
        <f aca="false">IF($A534="","",IF(AND($A534=21,$AE534&amp;""="00000000"),IF($AH534=20,"病院",IF($AH534=5,"消防","市長")),"対象外"))</f>
        <v>対象外</v>
      </c>
    </row>
    <row r="535" customFormat="false" ht="15" hidden="false" customHeight="false" outlineLevel="0" collapsed="false">
      <c r="A535" s="0" t="n">
        <v>31</v>
      </c>
      <c r="AA535" s="0" t="n">
        <v>21</v>
      </c>
      <c r="AB535" s="0" t="s">
        <v>496</v>
      </c>
      <c r="AD535" s="0" t="n">
        <v>12</v>
      </c>
      <c r="AE535" s="0" t="s">
        <v>494</v>
      </c>
      <c r="AH535" s="0" t="n">
        <v>20</v>
      </c>
      <c r="AJ535" s="0" t="n">
        <v>41</v>
      </c>
      <c r="AP535" s="0" t="n">
        <v>190000</v>
      </c>
      <c r="DB535" s="0" t="str">
        <f aca="false">IF($A535="","",IF(AND($A535=21,$AE535&amp;""="00000000"),IF($AH535=20,"病院",IF($AH535=5,"消防","市長")),"対象外"))</f>
        <v>対象外</v>
      </c>
    </row>
    <row r="536" customFormat="false" ht="15" hidden="false" customHeight="false" outlineLevel="0" collapsed="false">
      <c r="A536" s="0" t="n">
        <v>31</v>
      </c>
      <c r="AA536" s="0" t="n">
        <v>21</v>
      </c>
      <c r="AB536" s="0" t="s">
        <v>372</v>
      </c>
      <c r="AD536" s="0" t="n">
        <v>12</v>
      </c>
      <c r="AE536" s="0" t="s">
        <v>319</v>
      </c>
      <c r="AH536" s="0" t="n">
        <v>1</v>
      </c>
      <c r="AJ536" s="0" t="n">
        <v>41</v>
      </c>
      <c r="AP536" s="0" t="n">
        <v>180000</v>
      </c>
      <c r="DB536" s="0" t="str">
        <f aca="false">IF($A536="","",IF(AND($A536=21,$AE536&amp;""="00000000"),IF($AH536=20,"病院",IF($AH536=5,"消防","市長")),"対象外"))</f>
        <v>対象外</v>
      </c>
    </row>
    <row r="537" customFormat="false" ht="15" hidden="false" customHeight="false" outlineLevel="0" collapsed="false">
      <c r="A537" s="0" t="n">
        <v>31</v>
      </c>
      <c r="AA537" s="0" t="n">
        <v>21</v>
      </c>
      <c r="AB537" s="0" t="s">
        <v>496</v>
      </c>
      <c r="AD537" s="0" t="n">
        <v>12</v>
      </c>
      <c r="AE537" s="0" t="s">
        <v>494</v>
      </c>
      <c r="AH537" s="0" t="n">
        <v>1</v>
      </c>
      <c r="AJ537" s="0" t="n">
        <v>41</v>
      </c>
      <c r="AP537" s="0" t="n">
        <v>118000</v>
      </c>
      <c r="DB537" s="0" t="str">
        <f aca="false">IF($A537="","",IF(AND($A537=21,$AE537&amp;""="00000000"),IF($AH537=20,"病院",IF($AH537=5,"消防","市長")),"対象外"))</f>
        <v>対象外</v>
      </c>
    </row>
    <row r="538" customFormat="false" ht="15" hidden="false" customHeight="false" outlineLevel="0" collapsed="false">
      <c r="A538" s="0" t="n">
        <v>21</v>
      </c>
      <c r="AA538" s="0" t="n">
        <v>21</v>
      </c>
      <c r="AB538" s="0" t="s">
        <v>653</v>
      </c>
      <c r="AD538" s="0" t="n">
        <v>12</v>
      </c>
      <c r="AE538" s="0" t="s">
        <v>463</v>
      </c>
      <c r="AH538" s="0" t="n">
        <v>0</v>
      </c>
      <c r="AJ538" s="0" t="n">
        <v>10</v>
      </c>
      <c r="AP538" s="0" t="n">
        <v>1</v>
      </c>
      <c r="DB538" s="0" t="str">
        <f aca="false">IF($A538="","",IF(AND($A538=21,$AE538&amp;""="00000000"),IF($AH538=20,"病院",IF($AH538=5,"消防","市長")),"対象外"))</f>
        <v>対象外</v>
      </c>
    </row>
    <row r="539" customFormat="false" ht="15" hidden="false" customHeight="false" outlineLevel="0" collapsed="false">
      <c r="A539" s="0" t="n">
        <v>21</v>
      </c>
      <c r="AA539" s="0" t="n">
        <v>21</v>
      </c>
      <c r="AB539" s="0" t="s">
        <v>654</v>
      </c>
      <c r="AD539" s="0" t="n">
        <v>12</v>
      </c>
      <c r="AE539" s="0" t="s">
        <v>423</v>
      </c>
      <c r="AH539" s="0" t="n">
        <v>1</v>
      </c>
      <c r="AJ539" s="0" t="n">
        <v>10</v>
      </c>
      <c r="AP539" s="0" t="n">
        <v>366800</v>
      </c>
      <c r="DB539" s="0" t="str">
        <f aca="false">IF($A539="","",IF(AND($A539=21,$AE539&amp;""="00000000"),IF($AH539=20,"病院",IF($AH539=5,"消防","市長")),"対象外"))</f>
        <v>対象外</v>
      </c>
    </row>
    <row r="540" customFormat="false" ht="15" hidden="false" customHeight="false" outlineLevel="0" collapsed="false">
      <c r="A540" s="0" t="n">
        <v>21</v>
      </c>
      <c r="AA540" s="0" t="n">
        <v>21</v>
      </c>
      <c r="AB540" s="0" t="s">
        <v>655</v>
      </c>
      <c r="AD540" s="0" t="n">
        <v>12</v>
      </c>
      <c r="AE540" s="0" t="s">
        <v>462</v>
      </c>
      <c r="AH540" s="0" t="n">
        <v>0</v>
      </c>
      <c r="AJ540" s="0" t="n">
        <v>10</v>
      </c>
      <c r="AP540" s="0" t="n">
        <v>1</v>
      </c>
      <c r="DB540" s="0" t="str">
        <f aca="false">IF($A540="","",IF(AND($A540=21,$AE540&amp;""="00000000"),IF($AH540=20,"病院",IF($AH540=5,"消防","市長")),"対象外"))</f>
        <v>対象外</v>
      </c>
    </row>
    <row r="541" customFormat="false" ht="15" hidden="false" customHeight="false" outlineLevel="0" collapsed="false">
      <c r="A541" s="0" t="n">
        <v>21</v>
      </c>
      <c r="AA541" s="0" t="n">
        <v>21</v>
      </c>
      <c r="AB541" s="0" t="s">
        <v>462</v>
      </c>
      <c r="AD541" s="0" t="n">
        <v>12</v>
      </c>
      <c r="AE541" s="0" t="s">
        <v>463</v>
      </c>
      <c r="AH541" s="0" t="n">
        <v>0</v>
      </c>
      <c r="AJ541" s="0" t="n">
        <v>10</v>
      </c>
      <c r="AP541" s="0" t="n">
        <v>1</v>
      </c>
      <c r="DB541" s="0" t="str">
        <f aca="false">IF($A541="","",IF(AND($A541=21,$AE541&amp;""="00000000"),IF($AH541=20,"病院",IF($AH541=5,"消防","市長")),"対象外"))</f>
        <v>対象外</v>
      </c>
    </row>
    <row r="542" customFormat="false" ht="15" hidden="false" customHeight="false" outlineLevel="0" collapsed="false">
      <c r="A542" s="0" t="n">
        <v>21</v>
      </c>
      <c r="AA542" s="0" t="n">
        <v>21</v>
      </c>
      <c r="AB542" s="0" t="s">
        <v>656</v>
      </c>
      <c r="AD542" s="0" t="n">
        <v>12</v>
      </c>
      <c r="AE542" s="0" t="s">
        <v>463</v>
      </c>
      <c r="AH542" s="0" t="n">
        <v>0</v>
      </c>
      <c r="AJ542" s="0" t="n">
        <v>10</v>
      </c>
      <c r="AP542" s="0" t="n">
        <v>1</v>
      </c>
      <c r="DB542" s="0" t="str">
        <f aca="false">IF($A542="","",IF(AND($A542=21,$AE542&amp;""="00000000"),IF($AH542=20,"病院",IF($AH542=5,"消防","市長")),"対象外"))</f>
        <v>対象外</v>
      </c>
    </row>
    <row r="543" customFormat="false" ht="15" hidden="false" customHeight="false" outlineLevel="0" collapsed="false">
      <c r="A543" s="0" t="n">
        <v>21</v>
      </c>
      <c r="AA543" s="0" t="n">
        <v>21</v>
      </c>
      <c r="AB543" s="0" t="s">
        <v>422</v>
      </c>
      <c r="AD543" s="0" t="n">
        <v>12</v>
      </c>
      <c r="AE543" s="0" t="s">
        <v>657</v>
      </c>
      <c r="AH543" s="0" t="n">
        <v>20</v>
      </c>
      <c r="AJ543" s="0" t="n">
        <v>10</v>
      </c>
      <c r="AP543" s="0" t="n">
        <v>440000</v>
      </c>
      <c r="DB543" s="0" t="str">
        <f aca="false">IF($A543="","",IF(AND($A543=21,$AE543&amp;""="00000000"),IF($AH543=20,"病院",IF($AH543=5,"消防","市長")),"対象外"))</f>
        <v>対象外</v>
      </c>
    </row>
    <row r="544" customFormat="false" ht="15" hidden="false" customHeight="false" outlineLevel="0" collapsed="false">
      <c r="A544" s="0" t="n">
        <v>31</v>
      </c>
      <c r="AA544" s="0" t="n">
        <v>21</v>
      </c>
      <c r="AB544" s="0" t="s">
        <v>658</v>
      </c>
      <c r="AD544" s="0" t="n">
        <v>12</v>
      </c>
      <c r="AE544" s="0" t="s">
        <v>504</v>
      </c>
      <c r="AH544" s="0" t="n">
        <v>20</v>
      </c>
      <c r="AJ544" s="0" t="n">
        <v>41</v>
      </c>
      <c r="AP544" s="0" t="n">
        <v>180000</v>
      </c>
      <c r="DB544" s="0" t="str">
        <f aca="false">IF($A544="","",IF(AND($A544=21,$AE544&amp;""="00000000"),IF($AH544=20,"病院",IF($AH544=5,"消防","市長")),"対象外"))</f>
        <v>対象外</v>
      </c>
    </row>
    <row r="545" customFormat="false" ht="15" hidden="false" customHeight="false" outlineLevel="0" collapsed="false">
      <c r="A545" s="0" t="n">
        <v>31</v>
      </c>
      <c r="AA545" s="0" t="n">
        <v>21</v>
      </c>
      <c r="AB545" s="0" t="s">
        <v>477</v>
      </c>
      <c r="AD545" s="0" t="n">
        <v>12</v>
      </c>
      <c r="AE545" s="0" t="s">
        <v>564</v>
      </c>
      <c r="AH545" s="0" t="n">
        <v>1</v>
      </c>
      <c r="AJ545" s="0" t="n">
        <v>41</v>
      </c>
      <c r="AP545" s="0" t="n">
        <v>160000</v>
      </c>
      <c r="DB545" s="0" t="str">
        <f aca="false">IF($A545="","",IF(AND($A545=21,$AE545&amp;""="00000000"),IF($AH545=20,"病院",IF($AH545=5,"消防","市長")),"対象外"))</f>
        <v>対象外</v>
      </c>
    </row>
    <row r="546" customFormat="false" ht="15" hidden="false" customHeight="false" outlineLevel="0" collapsed="false">
      <c r="A546" s="0" t="n">
        <v>21</v>
      </c>
      <c r="AA546" s="0" t="n">
        <v>21</v>
      </c>
      <c r="AB546" s="0" t="s">
        <v>659</v>
      </c>
      <c r="AD546" s="0" t="n">
        <v>12</v>
      </c>
      <c r="AE546" s="0" t="s">
        <v>463</v>
      </c>
      <c r="AH546" s="0" t="n">
        <v>0</v>
      </c>
      <c r="AJ546" s="0" t="n">
        <v>10</v>
      </c>
      <c r="AP546" s="0" t="n">
        <v>131800</v>
      </c>
      <c r="DB546" s="0" t="str">
        <f aca="false">IF($A546="","",IF(AND($A546=21,$AE546&amp;""="00000000"),IF($AH546=20,"病院",IF($AH546=5,"消防","市長")),"対象外"))</f>
        <v>対象外</v>
      </c>
    </row>
    <row r="547" customFormat="false" ht="15" hidden="false" customHeight="false" outlineLevel="0" collapsed="false">
      <c r="A547" s="0" t="n">
        <v>21</v>
      </c>
      <c r="AA547" s="0" t="n">
        <v>21</v>
      </c>
      <c r="AB547" s="0" t="s">
        <v>457</v>
      </c>
      <c r="AD547" s="0" t="n">
        <v>12</v>
      </c>
      <c r="AE547" s="0" t="s">
        <v>463</v>
      </c>
      <c r="AH547" s="0" t="n">
        <v>0</v>
      </c>
      <c r="AJ547" s="0" t="n">
        <v>10</v>
      </c>
      <c r="AP547" s="0" t="n">
        <v>1</v>
      </c>
      <c r="DB547" s="0" t="str">
        <f aca="false">IF($A547="","",IF(AND($A547=21,$AE547&amp;""="00000000"),IF($AH547=20,"病院",IF($AH547=5,"消防","市長")),"対象外"))</f>
        <v>対象外</v>
      </c>
    </row>
    <row r="548" customFormat="false" ht="15" hidden="false" customHeight="false" outlineLevel="0" collapsed="false">
      <c r="A548" s="0" t="n">
        <v>31</v>
      </c>
      <c r="AA548" s="0" t="n">
        <v>21</v>
      </c>
      <c r="AB548" s="0" t="s">
        <v>496</v>
      </c>
      <c r="AD548" s="0" t="n">
        <v>12</v>
      </c>
      <c r="AE548" s="0" t="s">
        <v>477</v>
      </c>
      <c r="AH548" s="0" t="n">
        <v>1</v>
      </c>
      <c r="AJ548" s="0" t="n">
        <v>41</v>
      </c>
      <c r="AP548" s="0" t="n">
        <v>110000</v>
      </c>
      <c r="DB548" s="0" t="str">
        <f aca="false">IF($A548="","",IF(AND($A548=21,$AE548&amp;""="00000000"),IF($AH548=20,"病院",IF($AH548=5,"消防","市長")),"対象外"))</f>
        <v>対象外</v>
      </c>
    </row>
    <row r="549" customFormat="false" ht="15" hidden="false" customHeight="false" outlineLevel="0" collapsed="false">
      <c r="A549" s="0" t="n">
        <v>21</v>
      </c>
      <c r="AA549" s="0" t="n">
        <v>21</v>
      </c>
      <c r="AB549" s="0" t="s">
        <v>451</v>
      </c>
      <c r="AD549" s="0" t="n">
        <v>12</v>
      </c>
      <c r="AE549" s="0" t="s">
        <v>456</v>
      </c>
      <c r="AH549" s="0" t="n">
        <v>0</v>
      </c>
      <c r="AJ549" s="0" t="n">
        <v>10</v>
      </c>
      <c r="AP549" s="0" t="n">
        <v>1</v>
      </c>
      <c r="DB549" s="0" t="str">
        <f aca="false">IF($A549="","",IF(AND($A549=21,$AE549&amp;""="00000000"),IF($AH549=20,"病院",IF($AH549=5,"消防","市長")),"対象外"))</f>
        <v>対象外</v>
      </c>
    </row>
    <row r="550" customFormat="false" ht="15" hidden="false" customHeight="false" outlineLevel="0" collapsed="false">
      <c r="A550" s="0" t="n">
        <v>21</v>
      </c>
      <c r="AA550" s="0" t="n">
        <v>24</v>
      </c>
      <c r="AB550" s="0" t="s">
        <v>439</v>
      </c>
      <c r="AD550" s="0" t="n">
        <v>12</v>
      </c>
      <c r="AE550" s="0" t="s">
        <v>458</v>
      </c>
      <c r="AH550" s="0" t="n">
        <v>20</v>
      </c>
      <c r="AJ550" s="0" t="n">
        <v>10</v>
      </c>
      <c r="AP550" s="0" t="n">
        <v>470000</v>
      </c>
      <c r="DB550" s="0" t="str">
        <f aca="false">IF($A550="","",IF(AND($A550=21,$AE550&amp;""="00000000"),IF($AH550=20,"病院",IF($AH550=5,"消防","市長")),"対象外"))</f>
        <v>対象外</v>
      </c>
    </row>
    <row r="551" customFormat="false" ht="15" hidden="false" customHeight="false" outlineLevel="0" collapsed="false">
      <c r="A551" s="0" t="n">
        <v>21</v>
      </c>
      <c r="AA551" s="0" t="n">
        <v>21</v>
      </c>
      <c r="AB551" s="0" t="s">
        <v>457</v>
      </c>
      <c r="AD551" s="0" t="n">
        <v>12</v>
      </c>
      <c r="AE551" s="0" t="s">
        <v>463</v>
      </c>
      <c r="AH551" s="0" t="n">
        <v>0</v>
      </c>
      <c r="AJ551" s="0" t="n">
        <v>10</v>
      </c>
      <c r="AP551" s="0" t="n">
        <v>1</v>
      </c>
      <c r="DB551" s="0" t="str">
        <f aca="false">IF($A551="","",IF(AND($A551=21,$AE551&amp;""="00000000"),IF($AH551=20,"病院",IF($AH551=5,"消防","市長")),"対象外"))</f>
        <v>対象外</v>
      </c>
    </row>
    <row r="552" customFormat="false" ht="15" hidden="false" customHeight="false" outlineLevel="0" collapsed="false">
      <c r="A552" s="0" t="n">
        <v>21</v>
      </c>
      <c r="AA552" s="0" t="n">
        <v>21</v>
      </c>
      <c r="AB552" s="0" t="s">
        <v>443</v>
      </c>
      <c r="AD552" s="0" t="n">
        <v>12</v>
      </c>
      <c r="AE552" s="0" t="s">
        <v>660</v>
      </c>
      <c r="AH552" s="0" t="n">
        <v>0</v>
      </c>
      <c r="AJ552" s="0" t="n">
        <v>10</v>
      </c>
      <c r="AP552" s="0" t="n">
        <v>296585</v>
      </c>
      <c r="DB552" s="0" t="str">
        <f aca="false">IF($A552="","",IF(AND($A552=21,$AE552&amp;""="00000000"),IF($AH552=20,"病院",IF($AH552=5,"消防","市長")),"対象外"))</f>
        <v>対象外</v>
      </c>
    </row>
    <row r="553" customFormat="false" ht="15" hidden="false" customHeight="false" outlineLevel="0" collapsed="false">
      <c r="A553" s="0" t="n">
        <v>21</v>
      </c>
      <c r="AA553" s="0" t="n">
        <v>21</v>
      </c>
      <c r="AB553" s="0" t="s">
        <v>453</v>
      </c>
      <c r="AD553" s="0" t="n">
        <v>12</v>
      </c>
      <c r="AE553" s="0" t="s">
        <v>661</v>
      </c>
      <c r="AH553" s="0" t="n">
        <v>0</v>
      </c>
      <c r="AJ553" s="0" t="n">
        <v>10</v>
      </c>
      <c r="AP553" s="0" t="n">
        <v>484800</v>
      </c>
      <c r="DB553" s="0" t="str">
        <f aca="false">IF($A553="","",IF(AND($A553=21,$AE553&amp;""="00000000"),IF($AH553=20,"病院",IF($AH553=5,"消防","市長")),"対象外"))</f>
        <v>対象外</v>
      </c>
    </row>
    <row r="554" customFormat="false" ht="15" hidden="false" customHeight="false" outlineLevel="0" collapsed="false">
      <c r="A554" s="0" t="n">
        <v>21</v>
      </c>
      <c r="AA554" s="0" t="n">
        <v>21</v>
      </c>
      <c r="AB554" s="0" t="s">
        <v>662</v>
      </c>
      <c r="AD554" s="0" t="n">
        <v>12</v>
      </c>
      <c r="AE554" s="0" t="s">
        <v>463</v>
      </c>
      <c r="AH554" s="0" t="n">
        <v>0</v>
      </c>
      <c r="AJ554" s="0" t="n">
        <v>10</v>
      </c>
      <c r="AP554" s="0" t="n">
        <v>1</v>
      </c>
      <c r="DB554" s="0" t="str">
        <f aca="false">IF($A554="","",IF(AND($A554=21,$AE554&amp;""="00000000"),IF($AH554=20,"病院",IF($AH554=5,"消防","市長")),"対象外"))</f>
        <v>対象外</v>
      </c>
    </row>
    <row r="555" customFormat="false" ht="15" hidden="false" customHeight="false" outlineLevel="0" collapsed="false">
      <c r="A555" s="0" t="n">
        <v>31</v>
      </c>
      <c r="AA555" s="0" t="n">
        <v>21</v>
      </c>
      <c r="AB555" s="0" t="s">
        <v>613</v>
      </c>
      <c r="AD555" s="0" t="n">
        <v>12</v>
      </c>
      <c r="AE555" s="0" t="s">
        <v>663</v>
      </c>
      <c r="AH555" s="0" t="n">
        <v>1</v>
      </c>
      <c r="AJ555" s="0" t="n">
        <v>10</v>
      </c>
      <c r="AP555" s="0" t="n">
        <v>200000</v>
      </c>
      <c r="DB555" s="0" t="str">
        <f aca="false">IF($A555="","",IF(AND($A555=21,$AE555&amp;""="00000000"),IF($AH555=20,"病院",IF($AH555=5,"消防","市長")),"対象外"))</f>
        <v>対象外</v>
      </c>
    </row>
    <row r="556" customFormat="false" ht="15" hidden="false" customHeight="false" outlineLevel="0" collapsed="false">
      <c r="A556" s="0" t="n">
        <v>21</v>
      </c>
      <c r="AA556" s="0" t="n">
        <v>21</v>
      </c>
      <c r="AB556" s="0" t="s">
        <v>664</v>
      </c>
      <c r="AD556" s="0" t="n">
        <v>12</v>
      </c>
      <c r="AE556" s="0" t="s">
        <v>463</v>
      </c>
      <c r="AH556" s="0" t="n">
        <v>0</v>
      </c>
      <c r="AJ556" s="0" t="n">
        <v>10</v>
      </c>
      <c r="AP556" s="0" t="n">
        <v>1</v>
      </c>
      <c r="DB556" s="0" t="str">
        <f aca="false">IF($A556="","",IF(AND($A556=21,$AE556&amp;""="00000000"),IF($AH556=20,"病院",IF($AH556=5,"消防","市長")),"対象外"))</f>
        <v>対象外</v>
      </c>
    </row>
    <row r="557" customFormat="false" ht="15" hidden="false" customHeight="false" outlineLevel="0" collapsed="false">
      <c r="A557" s="0" t="n">
        <v>21</v>
      </c>
      <c r="AA557" s="0" t="n">
        <v>21</v>
      </c>
      <c r="AB557" s="0" t="s">
        <v>647</v>
      </c>
      <c r="AD557" s="0" t="n">
        <v>12</v>
      </c>
      <c r="AE557" s="0" t="s">
        <v>463</v>
      </c>
      <c r="AH557" s="0" t="n">
        <v>0</v>
      </c>
      <c r="AJ557" s="0" t="n">
        <v>10</v>
      </c>
      <c r="AP557" s="0" t="n">
        <v>138390</v>
      </c>
      <c r="DB557" s="0" t="str">
        <f aca="false">IF($A557="","",IF(AND($A557=21,$AE557&amp;""="00000000"),IF($AH557=20,"病院",IF($AH557=5,"消防","市長")),"対象外"))</f>
        <v>対象外</v>
      </c>
    </row>
    <row r="558" customFormat="false" ht="15" hidden="false" customHeight="false" outlineLevel="0" collapsed="false">
      <c r="A558" s="0" t="n">
        <v>21</v>
      </c>
      <c r="AA558" s="0" t="n">
        <v>21</v>
      </c>
      <c r="AB558" s="0" t="s">
        <v>404</v>
      </c>
      <c r="AD558" s="0" t="n">
        <v>12</v>
      </c>
      <c r="AE558" s="0" t="s">
        <v>665</v>
      </c>
      <c r="AH558" s="0" t="n">
        <v>20</v>
      </c>
      <c r="AJ558" s="0" t="n">
        <v>10</v>
      </c>
      <c r="AP558" s="0" t="n">
        <v>377800</v>
      </c>
      <c r="DB558" s="0" t="str">
        <f aca="false">IF($A558="","",IF(AND($A558=21,$AE558&amp;""="00000000"),IF($AH558=20,"病院",IF($AH558=5,"消防","市長")),"対象外"))</f>
        <v>対象外</v>
      </c>
    </row>
    <row r="559" customFormat="false" ht="15" hidden="false" customHeight="false" outlineLevel="0" collapsed="false">
      <c r="A559" s="0" t="n">
        <v>21</v>
      </c>
      <c r="AA559" s="0" t="n">
        <v>21</v>
      </c>
      <c r="AB559" s="0" t="s">
        <v>478</v>
      </c>
      <c r="AD559" s="0" t="n">
        <v>12</v>
      </c>
      <c r="AE559" s="0" t="s">
        <v>622</v>
      </c>
      <c r="AH559" s="0" t="n">
        <v>20</v>
      </c>
      <c r="AJ559" s="0" t="n">
        <v>10</v>
      </c>
      <c r="AP559" s="0" t="n">
        <v>280000</v>
      </c>
      <c r="DB559" s="0" t="str">
        <f aca="false">IF($A559="","",IF(AND($A559=21,$AE559&amp;""="00000000"),IF($AH559=20,"病院",IF($AH559=5,"消防","市長")),"対象外"))</f>
        <v>対象外</v>
      </c>
    </row>
    <row r="560" customFormat="false" ht="15" hidden="false" customHeight="false" outlineLevel="0" collapsed="false">
      <c r="A560" s="0" t="n">
        <v>21</v>
      </c>
      <c r="AA560" s="0" t="n">
        <v>21</v>
      </c>
      <c r="AB560" s="0" t="s">
        <v>450</v>
      </c>
      <c r="AD560" s="0" t="n">
        <v>12</v>
      </c>
      <c r="AE560" s="0" t="s">
        <v>494</v>
      </c>
      <c r="AH560" s="0" t="n">
        <v>1</v>
      </c>
      <c r="AJ560" s="0" t="n">
        <v>10</v>
      </c>
      <c r="AP560" s="0" t="n">
        <v>560000</v>
      </c>
      <c r="DB560" s="0" t="str">
        <f aca="false">IF($A560="","",IF(AND($A560=21,$AE560&amp;""="00000000"),IF($AH560=20,"病院",IF($AH560=5,"消防","市長")),"対象外"))</f>
        <v>対象外</v>
      </c>
    </row>
    <row r="561" customFormat="false" ht="15" hidden="false" customHeight="false" outlineLevel="0" collapsed="false">
      <c r="A561" s="0" t="n">
        <v>21</v>
      </c>
      <c r="AA561" s="0" t="n">
        <v>21</v>
      </c>
      <c r="AB561" s="0" t="s">
        <v>647</v>
      </c>
      <c r="AD561" s="0" t="n">
        <v>12</v>
      </c>
      <c r="AE561" s="0" t="s">
        <v>463</v>
      </c>
      <c r="AH561" s="0" t="n">
        <v>0</v>
      </c>
      <c r="AJ561" s="0" t="n">
        <v>10</v>
      </c>
      <c r="AP561" s="0" t="n">
        <v>137760</v>
      </c>
      <c r="DB561" s="0" t="str">
        <f aca="false">IF($A561="","",IF(AND($A561=21,$AE561&amp;""="00000000"),IF($AH561=20,"病院",IF($AH561=5,"消防","市長")),"対象外"))</f>
        <v>対象外</v>
      </c>
    </row>
    <row r="562" customFormat="false" ht="15" hidden="false" customHeight="false" outlineLevel="0" collapsed="false">
      <c r="A562" s="0" t="n">
        <v>21</v>
      </c>
      <c r="AA562" s="0" t="n">
        <v>21</v>
      </c>
      <c r="AB562" s="0" t="s">
        <v>390</v>
      </c>
      <c r="AD562" s="0" t="n">
        <v>12</v>
      </c>
      <c r="AE562" s="0" t="s">
        <v>666</v>
      </c>
      <c r="AH562" s="0" t="n">
        <v>0</v>
      </c>
      <c r="AJ562" s="0" t="n">
        <v>10</v>
      </c>
      <c r="AP562" s="0" t="n">
        <v>347119</v>
      </c>
      <c r="DB562" s="0" t="str">
        <f aca="false">IF($A562="","",IF(AND($A562=21,$AE562&amp;""="00000000"),IF($AH562=20,"病院",IF($AH562=5,"消防","市長")),"対象外"))</f>
        <v>対象外</v>
      </c>
    </row>
    <row r="563" customFormat="false" ht="15" hidden="false" customHeight="false" outlineLevel="0" collapsed="false">
      <c r="A563" s="0" t="n">
        <v>21</v>
      </c>
      <c r="AA563" s="0" t="n">
        <v>24</v>
      </c>
      <c r="AB563" s="0" t="s">
        <v>667</v>
      </c>
      <c r="AD563" s="0" t="n">
        <v>12</v>
      </c>
      <c r="AE563" s="0" t="s">
        <v>457</v>
      </c>
      <c r="AH563" s="0" t="n">
        <v>0</v>
      </c>
      <c r="AJ563" s="0" t="n">
        <v>10</v>
      </c>
      <c r="AP563" s="0" t="n">
        <v>1</v>
      </c>
      <c r="DB563" s="0" t="str">
        <f aca="false">IF($A563="","",IF(AND($A563=21,$AE563&amp;""="00000000"),IF($AH563=20,"病院",IF($AH563=5,"消防","市長")),"対象外"))</f>
        <v>対象外</v>
      </c>
    </row>
    <row r="564" customFormat="false" ht="15" hidden="false" customHeight="false" outlineLevel="0" collapsed="false">
      <c r="A564" s="0" t="n">
        <v>31</v>
      </c>
      <c r="AA564" s="0" t="n">
        <v>21</v>
      </c>
      <c r="AB564" s="0" t="s">
        <v>496</v>
      </c>
      <c r="AD564" s="0" t="n">
        <v>12</v>
      </c>
      <c r="AE564" s="0" t="s">
        <v>494</v>
      </c>
      <c r="AH564" s="0" t="n">
        <v>1</v>
      </c>
      <c r="AJ564" s="0" t="n">
        <v>41</v>
      </c>
      <c r="AP564" s="0" t="n">
        <v>150000</v>
      </c>
      <c r="DB564" s="0" t="str">
        <f aca="false">IF($A564="","",IF(AND($A564=21,$AE564&amp;""="00000000"),IF($AH564=20,"病院",IF($AH564=5,"消防","市長")),"対象外"))</f>
        <v>対象外</v>
      </c>
    </row>
    <row r="565" customFormat="false" ht="15" hidden="false" customHeight="false" outlineLevel="0" collapsed="false">
      <c r="A565" s="0" t="n">
        <v>21</v>
      </c>
      <c r="AA565" s="0" t="n">
        <v>21</v>
      </c>
      <c r="AB565" s="0" t="s">
        <v>393</v>
      </c>
      <c r="AD565" s="0" t="n">
        <v>12</v>
      </c>
      <c r="AE565" s="0" t="s">
        <v>668</v>
      </c>
      <c r="AH565" s="0" t="n">
        <v>11</v>
      </c>
      <c r="AJ565" s="0" t="n">
        <v>10</v>
      </c>
      <c r="AP565" s="0" t="n">
        <v>410600</v>
      </c>
      <c r="DB565" s="0" t="str">
        <f aca="false">IF($A565="","",IF(AND($A565=21,$AE565&amp;""="00000000"),IF($AH565=20,"病院",IF($AH565=5,"消防","市長")),"対象外"))</f>
        <v>対象外</v>
      </c>
    </row>
    <row r="566" customFormat="false" ht="15" hidden="false" customHeight="false" outlineLevel="0" collapsed="false">
      <c r="A566" s="0" t="n">
        <v>21</v>
      </c>
      <c r="AA566" s="0" t="n">
        <v>21</v>
      </c>
      <c r="AB566" s="0" t="s">
        <v>669</v>
      </c>
      <c r="AD566" s="0" t="n">
        <v>12</v>
      </c>
      <c r="AE566" s="0" t="s">
        <v>463</v>
      </c>
      <c r="AH566" s="0" t="n">
        <v>0</v>
      </c>
      <c r="AJ566" s="0" t="n">
        <v>10</v>
      </c>
      <c r="AP566" s="0" t="n">
        <v>1</v>
      </c>
      <c r="DB566" s="0" t="str">
        <f aca="false">IF($A566="","",IF(AND($A566=21,$AE566&amp;""="00000000"),IF($AH566=20,"病院",IF($AH566=5,"消防","市長")),"対象外"))</f>
        <v>対象外</v>
      </c>
    </row>
    <row r="567" customFormat="false" ht="15" hidden="false" customHeight="false" outlineLevel="0" collapsed="false">
      <c r="A567" s="0" t="n">
        <v>21</v>
      </c>
      <c r="AA567" s="0" t="n">
        <v>21</v>
      </c>
      <c r="AB567" s="0" t="s">
        <v>670</v>
      </c>
      <c r="AD567" s="0" t="n">
        <v>12</v>
      </c>
      <c r="AE567" s="0" t="s">
        <v>463</v>
      </c>
      <c r="AH567" s="0" t="n">
        <v>0</v>
      </c>
      <c r="AJ567" s="0" t="n">
        <v>10</v>
      </c>
      <c r="AP567" s="0" t="n">
        <v>125160</v>
      </c>
      <c r="DB567" s="0" t="str">
        <f aca="false">IF($A567="","",IF(AND($A567=21,$AE567&amp;""="00000000"),IF($AH567=20,"病院",IF($AH567=5,"消防","市長")),"対象外"))</f>
        <v>対象外</v>
      </c>
    </row>
    <row r="568" customFormat="false" ht="15" hidden="false" customHeight="false" outlineLevel="0" collapsed="false">
      <c r="A568" s="0" t="n">
        <v>21</v>
      </c>
      <c r="AA568" s="0" t="n">
        <v>21</v>
      </c>
      <c r="AB568" s="0" t="s">
        <v>446</v>
      </c>
      <c r="AD568" s="0" t="n">
        <v>12</v>
      </c>
      <c r="AE568" s="0" t="s">
        <v>463</v>
      </c>
      <c r="AH568" s="0" t="n">
        <v>0</v>
      </c>
      <c r="AJ568" s="0" t="n">
        <v>10</v>
      </c>
      <c r="AP568" s="0" t="n">
        <v>1</v>
      </c>
      <c r="DB568" s="0" t="str">
        <f aca="false">IF($A568="","",IF(AND($A568=21,$AE568&amp;""="00000000"),IF($AH568=20,"病院",IF($AH568=5,"消防","市長")),"対象外"))</f>
        <v>対象外</v>
      </c>
    </row>
    <row r="569" customFormat="false" ht="15" hidden="false" customHeight="false" outlineLevel="0" collapsed="false">
      <c r="A569" s="0" t="n">
        <v>21</v>
      </c>
      <c r="AA569" s="0" t="n">
        <v>21</v>
      </c>
      <c r="AB569" s="0" t="s">
        <v>671</v>
      </c>
      <c r="AD569" s="0" t="n">
        <v>12</v>
      </c>
      <c r="AE569" s="0" t="s">
        <v>672</v>
      </c>
      <c r="AH569" s="0" t="n">
        <v>0</v>
      </c>
      <c r="AJ569" s="0" t="n">
        <v>10</v>
      </c>
      <c r="AP569" s="0" t="n">
        <v>1</v>
      </c>
      <c r="DB569" s="0" t="str">
        <f aca="false">IF($A569="","",IF(AND($A569=21,$AE569&amp;""="00000000"),IF($AH569=20,"病院",IF($AH569=5,"消防","市長")),"対象外"))</f>
        <v>対象外</v>
      </c>
    </row>
    <row r="570" customFormat="false" ht="15" hidden="false" customHeight="false" outlineLevel="0" collapsed="false">
      <c r="A570" s="0" t="n">
        <v>21</v>
      </c>
      <c r="AA570" s="0" t="n">
        <v>21</v>
      </c>
      <c r="AB570" s="0" t="s">
        <v>673</v>
      </c>
      <c r="AD570" s="0" t="n">
        <v>12</v>
      </c>
      <c r="AE570" s="0" t="s">
        <v>463</v>
      </c>
      <c r="AH570" s="0" t="n">
        <v>0</v>
      </c>
      <c r="AJ570" s="0" t="n">
        <v>10</v>
      </c>
      <c r="AP570" s="0" t="n">
        <v>128400</v>
      </c>
      <c r="DB570" s="0" t="str">
        <f aca="false">IF($A570="","",IF(AND($A570=21,$AE570&amp;""="00000000"),IF($AH570=20,"病院",IF($AH570=5,"消防","市長")),"対象外"))</f>
        <v>対象外</v>
      </c>
    </row>
    <row r="571" customFormat="false" ht="15" hidden="false" customHeight="false" outlineLevel="0" collapsed="false">
      <c r="A571" s="0" t="n">
        <v>21</v>
      </c>
      <c r="AA571" s="0" t="n">
        <v>21</v>
      </c>
      <c r="AB571" s="0" t="s">
        <v>407</v>
      </c>
      <c r="AD571" s="0" t="n">
        <v>12</v>
      </c>
      <c r="AE571" s="0" t="s">
        <v>96</v>
      </c>
      <c r="AH571" s="0" t="n">
        <v>1</v>
      </c>
      <c r="AJ571" s="0" t="n">
        <v>10</v>
      </c>
      <c r="AP571" s="0" t="n">
        <v>530000</v>
      </c>
      <c r="DB571" s="0" t="str">
        <f aca="false">IF($A571="","",IF(AND($A571=21,$AE571&amp;""="00000000"),IF($AH571=20,"病院",IF($AH571=5,"消防","市長")),"対象外"))</f>
        <v>対象外</v>
      </c>
    </row>
    <row r="572" customFormat="false" ht="15" hidden="false" customHeight="false" outlineLevel="0" collapsed="false">
      <c r="A572" s="0" t="n">
        <v>21</v>
      </c>
      <c r="AA572" s="0" t="n">
        <v>21</v>
      </c>
      <c r="AB572" s="0" t="s">
        <v>459</v>
      </c>
      <c r="AD572" s="0" t="n">
        <v>12</v>
      </c>
      <c r="AE572" s="0" t="s">
        <v>393</v>
      </c>
      <c r="AH572" s="0" t="n">
        <v>0</v>
      </c>
      <c r="AJ572" s="0" t="n">
        <v>10</v>
      </c>
      <c r="AP572" s="0" t="n">
        <v>381700</v>
      </c>
      <c r="DB572" s="0" t="str">
        <f aca="false">IF($A572="","",IF(AND($A572=21,$AE572&amp;""="00000000"),IF($AH572=20,"病院",IF($AH572=5,"消防","市長")),"対象外"))</f>
        <v>対象外</v>
      </c>
    </row>
    <row r="573" customFormat="false" ht="15" hidden="false" customHeight="false" outlineLevel="0" collapsed="false">
      <c r="A573" s="0" t="n">
        <v>21</v>
      </c>
      <c r="AA573" s="0" t="n">
        <v>21</v>
      </c>
      <c r="AB573" s="0" t="s">
        <v>443</v>
      </c>
      <c r="AD573" s="0" t="n">
        <v>12</v>
      </c>
      <c r="AE573" s="0" t="s">
        <v>463</v>
      </c>
      <c r="AH573" s="0" t="n">
        <v>0</v>
      </c>
      <c r="AJ573" s="0" t="n">
        <v>10</v>
      </c>
      <c r="AP573" s="0" t="n">
        <v>1</v>
      </c>
      <c r="DB573" s="0" t="str">
        <f aca="false">IF($A573="","",IF(AND($A573=21,$AE573&amp;""="00000000"),IF($AH573=20,"病院",IF($AH573=5,"消防","市長")),"対象外"))</f>
        <v>対象外</v>
      </c>
    </row>
    <row r="574" customFormat="false" ht="15" hidden="false" customHeight="false" outlineLevel="0" collapsed="false">
      <c r="A574" s="0" t="n">
        <v>21</v>
      </c>
      <c r="AA574" s="0" t="n">
        <v>21</v>
      </c>
      <c r="AB574" s="0" t="s">
        <v>408</v>
      </c>
      <c r="AD574" s="0" t="n">
        <v>12</v>
      </c>
      <c r="AE574" s="0" t="s">
        <v>674</v>
      </c>
      <c r="AH574" s="0" t="n">
        <v>0</v>
      </c>
      <c r="AJ574" s="0" t="n">
        <v>10</v>
      </c>
      <c r="AP574" s="0" t="n">
        <v>354400</v>
      </c>
      <c r="DB574" s="0" t="str">
        <f aca="false">IF($A574="","",IF(AND($A574=21,$AE574&amp;""="00000000"),IF($AH574=20,"病院",IF($AH574=5,"消防","市長")),"対象外"))</f>
        <v>対象外</v>
      </c>
    </row>
    <row r="575" customFormat="false" ht="15" hidden="false" customHeight="false" outlineLevel="0" collapsed="false">
      <c r="A575" s="0" t="n">
        <v>21</v>
      </c>
      <c r="AA575" s="0" t="n">
        <v>21</v>
      </c>
      <c r="AB575" s="0" t="s">
        <v>415</v>
      </c>
      <c r="AD575" s="0" t="n">
        <v>12</v>
      </c>
      <c r="AE575" s="0" t="s">
        <v>96</v>
      </c>
      <c r="AH575" s="0" t="n">
        <v>1</v>
      </c>
      <c r="AJ575" s="0" t="n">
        <v>10</v>
      </c>
      <c r="AP575" s="0" t="n">
        <v>470000</v>
      </c>
      <c r="DB575" s="0" t="str">
        <f aca="false">IF($A575="","",IF(AND($A575=21,$AE575&amp;""="00000000"),IF($AH575=20,"病院",IF($AH575=5,"消防","市長")),"対象外"))</f>
        <v>対象外</v>
      </c>
    </row>
    <row r="576" customFormat="false" ht="15" hidden="false" customHeight="false" outlineLevel="0" collapsed="false">
      <c r="A576" s="0" t="n">
        <v>31</v>
      </c>
      <c r="AA576" s="0" t="n">
        <v>21</v>
      </c>
      <c r="AB576" s="0" t="s">
        <v>496</v>
      </c>
      <c r="AD576" s="0" t="n">
        <v>12</v>
      </c>
      <c r="AE576" s="0" t="s">
        <v>675</v>
      </c>
      <c r="AH576" s="0" t="n">
        <v>1</v>
      </c>
      <c r="AJ576" s="0" t="n">
        <v>41</v>
      </c>
      <c r="AP576" s="0" t="n">
        <v>110000</v>
      </c>
      <c r="DB576" s="0" t="str">
        <f aca="false">IF($A576="","",IF(AND($A576=21,$AE576&amp;""="00000000"),IF($AH576=20,"病院",IF($AH576=5,"消防","市長")),"対象外"))</f>
        <v>対象外</v>
      </c>
    </row>
    <row r="577" customFormat="false" ht="15" hidden="false" customHeight="false" outlineLevel="0" collapsed="false">
      <c r="A577" s="0" t="n">
        <v>31</v>
      </c>
      <c r="AA577" s="0" t="n">
        <v>21</v>
      </c>
      <c r="AB577" s="0" t="s">
        <v>496</v>
      </c>
      <c r="AD577" s="0" t="n">
        <v>12</v>
      </c>
      <c r="AE577" s="0" t="s">
        <v>519</v>
      </c>
      <c r="AH577" s="0" t="n">
        <v>20</v>
      </c>
      <c r="AJ577" s="0" t="n">
        <v>41</v>
      </c>
      <c r="AP577" s="0" t="n">
        <v>150000</v>
      </c>
      <c r="DB577" s="0" t="str">
        <f aca="false">IF($A577="","",IF(AND($A577=21,$AE577&amp;""="00000000"),IF($AH577=20,"病院",IF($AH577=5,"消防","市長")),"対象外"))</f>
        <v>対象外</v>
      </c>
    </row>
    <row r="578" customFormat="false" ht="15" hidden="false" customHeight="false" outlineLevel="0" collapsed="false">
      <c r="A578" s="0" t="n">
        <v>21</v>
      </c>
      <c r="AA578" s="0" t="n">
        <v>21</v>
      </c>
      <c r="AB578" s="0" t="s">
        <v>647</v>
      </c>
      <c r="AD578" s="0" t="n">
        <v>12</v>
      </c>
      <c r="AE578" s="0" t="s">
        <v>463</v>
      </c>
      <c r="AH578" s="0" t="n">
        <v>0</v>
      </c>
      <c r="AJ578" s="0" t="n">
        <v>10</v>
      </c>
      <c r="AP578" s="0" t="n">
        <v>134400</v>
      </c>
      <c r="DB578" s="0" t="str">
        <f aca="false">IF($A578="","",IF(AND($A578=21,$AE578&amp;""="00000000"),IF($AH578=20,"病院",IF($AH578=5,"消防","市長")),"対象外"))</f>
        <v>対象外</v>
      </c>
    </row>
    <row r="579" customFormat="false" ht="15" hidden="false" customHeight="false" outlineLevel="0" collapsed="false">
      <c r="A579" s="0" t="n">
        <v>21</v>
      </c>
      <c r="AA579" s="0" t="n">
        <v>21</v>
      </c>
      <c r="AB579" s="0" t="s">
        <v>647</v>
      </c>
      <c r="AD579" s="0" t="n">
        <v>12</v>
      </c>
      <c r="AE579" s="0" t="s">
        <v>463</v>
      </c>
      <c r="AH579" s="0" t="n">
        <v>0</v>
      </c>
      <c r="AJ579" s="0" t="n">
        <v>10</v>
      </c>
      <c r="AP579" s="0" t="n">
        <v>137760</v>
      </c>
      <c r="DB579" s="0" t="str">
        <f aca="false">IF($A579="","",IF(AND($A579=21,$AE579&amp;""="00000000"),IF($AH579=20,"病院",IF($AH579=5,"消防","市長")),"対象外"))</f>
        <v>対象外</v>
      </c>
    </row>
    <row r="580" customFormat="false" ht="15" hidden="false" customHeight="false" outlineLevel="0" collapsed="false">
      <c r="A580" s="0" t="n">
        <v>21</v>
      </c>
      <c r="AA580" s="0" t="n">
        <v>21</v>
      </c>
      <c r="AB580" s="0" t="s">
        <v>452</v>
      </c>
      <c r="AD580" s="0" t="n">
        <v>12</v>
      </c>
      <c r="AE580" s="0" t="s">
        <v>410</v>
      </c>
      <c r="AH580" s="0" t="n">
        <v>1</v>
      </c>
      <c r="AJ580" s="0" t="n">
        <v>10</v>
      </c>
      <c r="AP580" s="0" t="n">
        <v>470000</v>
      </c>
      <c r="DB580" s="0" t="str">
        <f aca="false">IF($A580="","",IF(AND($A580=21,$AE580&amp;""="00000000"),IF($AH580=20,"病院",IF($AH580=5,"消防","市長")),"対象外"))</f>
        <v>対象外</v>
      </c>
    </row>
    <row r="581" customFormat="false" ht="15" hidden="false" customHeight="false" outlineLevel="0" collapsed="false">
      <c r="A581" s="0" t="n">
        <v>21</v>
      </c>
      <c r="AA581" s="0" t="n">
        <v>21</v>
      </c>
      <c r="AB581" s="0" t="s">
        <v>457</v>
      </c>
      <c r="AD581" s="0" t="n">
        <v>12</v>
      </c>
      <c r="AE581" s="0" t="s">
        <v>463</v>
      </c>
      <c r="AH581" s="0" t="n">
        <v>0</v>
      </c>
      <c r="AJ581" s="0" t="n">
        <v>10</v>
      </c>
      <c r="AP581" s="0" t="n">
        <v>1</v>
      </c>
      <c r="DB581" s="0" t="str">
        <f aca="false">IF($A581="","",IF(AND($A581=21,$AE581&amp;""="00000000"),IF($AH581=20,"病院",IF($AH581=5,"消防","市長")),"対象外"))</f>
        <v>対象外</v>
      </c>
    </row>
    <row r="582" customFormat="false" ht="15" hidden="false" customHeight="false" outlineLevel="0" collapsed="false">
      <c r="A582" s="0" t="n">
        <v>21</v>
      </c>
      <c r="AA582" s="0" t="n">
        <v>21</v>
      </c>
      <c r="AB582" s="0" t="s">
        <v>451</v>
      </c>
      <c r="AD582" s="0" t="n">
        <v>12</v>
      </c>
      <c r="AE582" s="0" t="s">
        <v>463</v>
      </c>
      <c r="AH582" s="0" t="n">
        <v>0</v>
      </c>
      <c r="AJ582" s="0" t="n">
        <v>10</v>
      </c>
      <c r="AP582" s="0" t="n">
        <v>1</v>
      </c>
      <c r="DB582" s="0" t="str">
        <f aca="false">IF($A582="","",IF(AND($A582=21,$AE582&amp;""="00000000"),IF($AH582=20,"病院",IF($AH582=5,"消防","市長")),"対象外"))</f>
        <v>対象外</v>
      </c>
    </row>
    <row r="583" customFormat="false" ht="15" hidden="false" customHeight="false" outlineLevel="0" collapsed="false">
      <c r="A583" s="0" t="n">
        <v>21</v>
      </c>
      <c r="AA583" s="0" t="n">
        <v>21</v>
      </c>
      <c r="AB583" s="0" t="s">
        <v>424</v>
      </c>
      <c r="AD583" s="0" t="n">
        <v>12</v>
      </c>
      <c r="AE583" s="0" t="s">
        <v>458</v>
      </c>
      <c r="AH583" s="0" t="n">
        <v>20</v>
      </c>
      <c r="AJ583" s="0" t="n">
        <v>10</v>
      </c>
      <c r="AP583" s="0" t="n">
        <v>560000</v>
      </c>
      <c r="DB583" s="0" t="str">
        <f aca="false">IF($A583="","",IF(AND($A583=21,$AE583&amp;""="00000000"),IF($AH583=20,"病院",IF($AH583=5,"消防","市長")),"対象外"))</f>
        <v>対象外</v>
      </c>
    </row>
    <row r="584" customFormat="false" ht="15" hidden="false" customHeight="false" outlineLevel="0" collapsed="false">
      <c r="A584" s="0" t="n">
        <v>21</v>
      </c>
      <c r="AA584" s="0" t="n">
        <v>21</v>
      </c>
      <c r="AB584" s="0" t="s">
        <v>413</v>
      </c>
      <c r="AD584" s="0" t="n">
        <v>12</v>
      </c>
      <c r="AE584" s="0" t="s">
        <v>645</v>
      </c>
      <c r="AH584" s="0" t="n">
        <v>1</v>
      </c>
      <c r="AJ584" s="0" t="n">
        <v>10</v>
      </c>
      <c r="AP584" s="0" t="n">
        <v>500000</v>
      </c>
      <c r="DB584" s="0" t="str">
        <f aca="false">IF($A584="","",IF(AND($A584=21,$AE584&amp;""="00000000"),IF($AH584=20,"病院",IF($AH584=5,"消防","市長")),"対象外"))</f>
        <v>対象外</v>
      </c>
    </row>
    <row r="585" customFormat="false" ht="15" hidden="false" customHeight="false" outlineLevel="0" collapsed="false">
      <c r="A585" s="0" t="n">
        <v>31</v>
      </c>
      <c r="AA585" s="0" t="n">
        <v>21</v>
      </c>
      <c r="AB585" s="0" t="s">
        <v>484</v>
      </c>
      <c r="AD585" s="0" t="n">
        <v>12</v>
      </c>
      <c r="AE585" s="0" t="s">
        <v>476</v>
      </c>
      <c r="AH585" s="0" t="n">
        <v>1</v>
      </c>
      <c r="AJ585" s="0" t="n">
        <v>10</v>
      </c>
      <c r="AP585" s="0" t="n">
        <v>220000</v>
      </c>
      <c r="DB585" s="0" t="str">
        <f aca="false">IF($A585="","",IF(AND($A585=21,$AE585&amp;""="00000000"),IF($AH585=20,"病院",IF($AH585=5,"消防","市長")),"対象外"))</f>
        <v>対象外</v>
      </c>
    </row>
    <row r="586" customFormat="false" ht="15" hidden="false" customHeight="false" outlineLevel="0" collapsed="false">
      <c r="A586" s="0" t="n">
        <v>21</v>
      </c>
      <c r="AA586" s="0" t="n">
        <v>21</v>
      </c>
      <c r="AB586" s="0" t="s">
        <v>603</v>
      </c>
      <c r="AD586" s="0" t="n">
        <v>12</v>
      </c>
      <c r="AE586" s="0" t="s">
        <v>463</v>
      </c>
      <c r="AH586" s="0" t="n">
        <v>0</v>
      </c>
      <c r="AJ586" s="0" t="n">
        <v>10</v>
      </c>
      <c r="AP586" s="0" t="n">
        <v>1</v>
      </c>
      <c r="DB586" s="0" t="str">
        <f aca="false">IF($A586="","",IF(AND($A586=21,$AE586&amp;""="00000000"),IF($AH586=20,"病院",IF($AH586=5,"消防","市長")),"対象外"))</f>
        <v>対象外</v>
      </c>
    </row>
    <row r="587" customFormat="false" ht="15" hidden="false" customHeight="false" outlineLevel="0" collapsed="false">
      <c r="A587" s="0" t="n">
        <v>31</v>
      </c>
      <c r="AA587" s="0" t="n">
        <v>24</v>
      </c>
      <c r="AB587" s="0" t="s">
        <v>96</v>
      </c>
      <c r="AD587" s="0" t="n">
        <v>12</v>
      </c>
      <c r="AE587" s="0" t="s">
        <v>317</v>
      </c>
      <c r="AH587" s="0" t="n">
        <v>1</v>
      </c>
      <c r="AJ587" s="0" t="n">
        <v>41</v>
      </c>
      <c r="AP587" s="0" t="n">
        <v>142000</v>
      </c>
      <c r="DB587" s="0" t="str">
        <f aca="false">IF($A587="","",IF(AND($A587=21,$AE587&amp;""="00000000"),IF($AH587=20,"病院",IF($AH587=5,"消防","市長")),"対象外"))</f>
        <v>対象外</v>
      </c>
    </row>
    <row r="588" customFormat="false" ht="15" hidden="false" customHeight="false" outlineLevel="0" collapsed="false">
      <c r="A588" s="0" t="n">
        <v>21</v>
      </c>
      <c r="AA588" s="0" t="n">
        <v>24</v>
      </c>
      <c r="AB588" s="0" t="s">
        <v>459</v>
      </c>
      <c r="AD588" s="0" t="n">
        <v>12</v>
      </c>
      <c r="AE588" s="0" t="s">
        <v>463</v>
      </c>
      <c r="AH588" s="0" t="n">
        <v>0</v>
      </c>
      <c r="AJ588" s="0" t="n">
        <v>10</v>
      </c>
      <c r="AP588" s="0" t="n">
        <v>1</v>
      </c>
      <c r="DB588" s="0" t="str">
        <f aca="false">IF($A588="","",IF(AND($A588=21,$AE588&amp;""="00000000"),IF($AH588=20,"病院",IF($AH588=5,"消防","市長")),"対象外"))</f>
        <v>対象外</v>
      </c>
    </row>
    <row r="589" customFormat="false" ht="15" hidden="false" customHeight="false" outlineLevel="0" collapsed="false">
      <c r="A589" s="0" t="n">
        <v>31</v>
      </c>
      <c r="AA589" s="0" t="n">
        <v>21</v>
      </c>
      <c r="AB589" s="0" t="s">
        <v>564</v>
      </c>
      <c r="AD589" s="0" t="n">
        <v>12</v>
      </c>
      <c r="AE589" s="0" t="s">
        <v>501</v>
      </c>
      <c r="AH589" s="0" t="n">
        <v>1</v>
      </c>
      <c r="AJ589" s="0" t="n">
        <v>41</v>
      </c>
      <c r="AP589" s="0" t="n">
        <v>118000</v>
      </c>
      <c r="DB589" s="0" t="str">
        <f aca="false">IF($A589="","",IF(AND($A589=21,$AE589&amp;""="00000000"),IF($AH589=20,"病院",IF($AH589=5,"消防","市長")),"対象外"))</f>
        <v>対象外</v>
      </c>
    </row>
    <row r="590" customFormat="false" ht="15" hidden="false" customHeight="false" outlineLevel="0" collapsed="false">
      <c r="A590" s="0" t="n">
        <v>31</v>
      </c>
      <c r="AA590" s="0" t="n">
        <v>21</v>
      </c>
      <c r="AB590" s="0" t="s">
        <v>496</v>
      </c>
      <c r="AD590" s="0" t="n">
        <v>12</v>
      </c>
      <c r="AE590" s="0" t="s">
        <v>96</v>
      </c>
      <c r="AH590" s="0" t="n">
        <v>1</v>
      </c>
      <c r="AJ590" s="0" t="n">
        <v>41</v>
      </c>
      <c r="AP590" s="0" t="n">
        <v>134000</v>
      </c>
      <c r="DB590" s="0" t="str">
        <f aca="false">IF($A590="","",IF(AND($A590=21,$AE590&amp;""="00000000"),IF($AH590=20,"病院",IF($AH590=5,"消防","市長")),"対象外"))</f>
        <v>対象外</v>
      </c>
    </row>
    <row r="591" customFormat="false" ht="15" hidden="false" customHeight="false" outlineLevel="0" collapsed="false">
      <c r="A591" s="0" t="n">
        <v>21</v>
      </c>
      <c r="AA591" s="0" t="n">
        <v>21</v>
      </c>
      <c r="AB591" s="0" t="s">
        <v>438</v>
      </c>
      <c r="AD591" s="0" t="n">
        <v>12</v>
      </c>
      <c r="AE591" s="0" t="s">
        <v>96</v>
      </c>
      <c r="AH591" s="0" t="n">
        <v>1</v>
      </c>
      <c r="AJ591" s="0" t="n">
        <v>10</v>
      </c>
      <c r="AP591" s="0" t="n">
        <v>440000</v>
      </c>
      <c r="DB591" s="0" t="str">
        <f aca="false">IF($A591="","",IF(AND($A591=21,$AE591&amp;""="00000000"),IF($AH591=20,"病院",IF($AH591=5,"消防","市長")),"対象外"))</f>
        <v>対象外</v>
      </c>
    </row>
    <row r="592" customFormat="false" ht="15" hidden="false" customHeight="false" outlineLevel="0" collapsed="false">
      <c r="A592" s="0" t="n">
        <v>21</v>
      </c>
      <c r="AA592" s="0" t="n">
        <v>21</v>
      </c>
      <c r="AB592" s="0" t="s">
        <v>453</v>
      </c>
      <c r="AD592" s="0" t="n">
        <v>12</v>
      </c>
      <c r="AE592" s="0" t="s">
        <v>463</v>
      </c>
      <c r="AH592" s="0" t="n">
        <v>0</v>
      </c>
      <c r="AJ592" s="0" t="n">
        <v>10</v>
      </c>
      <c r="AP592" s="0" t="n">
        <v>1</v>
      </c>
      <c r="DB592" s="0" t="str">
        <f aca="false">IF($A592="","",IF(AND($A592=21,$AE592&amp;""="00000000"),IF($AH592=20,"病院",IF($AH592=5,"消防","市長")),"対象外"))</f>
        <v>対象外</v>
      </c>
    </row>
    <row r="593" customFormat="false" ht="15" hidden="false" customHeight="false" outlineLevel="0" collapsed="false">
      <c r="A593" s="0" t="n">
        <v>21</v>
      </c>
      <c r="AA593" s="0" t="n">
        <v>24</v>
      </c>
      <c r="AB593" s="0" t="s">
        <v>676</v>
      </c>
      <c r="AD593" s="0" t="n">
        <v>12</v>
      </c>
      <c r="AE593" s="0" t="s">
        <v>463</v>
      </c>
      <c r="AH593" s="0" t="n">
        <v>0</v>
      </c>
      <c r="AJ593" s="0" t="n">
        <v>10</v>
      </c>
      <c r="AP593" s="0" t="n">
        <v>180570</v>
      </c>
      <c r="DB593" s="0" t="str">
        <f aca="false">IF($A593="","",IF(AND($A593=21,$AE593&amp;""="00000000"),IF($AH593=20,"病院",IF($AH593=5,"消防","市長")),"対象外"))</f>
        <v>対象外</v>
      </c>
    </row>
    <row r="594" customFormat="false" ht="15" hidden="false" customHeight="false" outlineLevel="0" collapsed="false">
      <c r="A594" s="0" t="n">
        <v>31</v>
      </c>
      <c r="AA594" s="0" t="n">
        <v>21</v>
      </c>
      <c r="AB594" s="0" t="s">
        <v>484</v>
      </c>
      <c r="AD594" s="0" t="n">
        <v>12</v>
      </c>
      <c r="AE594" s="0" t="s">
        <v>96</v>
      </c>
      <c r="AH594" s="0" t="n">
        <v>1</v>
      </c>
      <c r="AJ594" s="0" t="n">
        <v>10</v>
      </c>
      <c r="AP594" s="0" t="n">
        <v>240000</v>
      </c>
      <c r="DB594" s="0" t="str">
        <f aca="false">IF($A594="","",IF(AND($A594=21,$AE594&amp;""="00000000"),IF($AH594=20,"病院",IF($AH594=5,"消防","市長")),"対象外"))</f>
        <v>対象外</v>
      </c>
    </row>
    <row r="595" customFormat="false" ht="15" hidden="false" customHeight="false" outlineLevel="0" collapsed="false">
      <c r="A595" s="0" t="n">
        <v>21</v>
      </c>
      <c r="AA595" s="0" t="n">
        <v>21</v>
      </c>
      <c r="AB595" s="0" t="s">
        <v>677</v>
      </c>
      <c r="AD595" s="0" t="n">
        <v>12</v>
      </c>
      <c r="AE595" s="0" t="s">
        <v>463</v>
      </c>
      <c r="AH595" s="0" t="n">
        <v>0</v>
      </c>
      <c r="AJ595" s="0" t="n">
        <v>10</v>
      </c>
      <c r="AP595" s="0" t="n">
        <v>1</v>
      </c>
      <c r="DB595" s="0" t="str">
        <f aca="false">IF($A595="","",IF(AND($A595=21,$AE595&amp;""="00000000"),IF($AH595=20,"病院",IF($AH595=5,"消防","市長")),"対象外"))</f>
        <v>対象外</v>
      </c>
    </row>
    <row r="596" customFormat="false" ht="15" hidden="false" customHeight="false" outlineLevel="0" collapsed="false">
      <c r="A596" s="0" t="n">
        <v>31</v>
      </c>
      <c r="AA596" s="0" t="n">
        <v>21</v>
      </c>
      <c r="AB596" s="0" t="s">
        <v>571</v>
      </c>
      <c r="AD596" s="0" t="n">
        <v>12</v>
      </c>
      <c r="AE596" s="0" t="s">
        <v>678</v>
      </c>
      <c r="AH596" s="0" t="n">
        <v>1</v>
      </c>
      <c r="AJ596" s="0" t="n">
        <v>41</v>
      </c>
      <c r="AP596" s="0" t="n">
        <v>220000</v>
      </c>
      <c r="DB596" s="0" t="str">
        <f aca="false">IF($A596="","",IF(AND($A596=21,$AE596&amp;""="00000000"),IF($AH596=20,"病院",IF($AH596=5,"消防","市長")),"対象外"))</f>
        <v>対象外</v>
      </c>
    </row>
    <row r="597" customFormat="false" ht="15" hidden="false" customHeight="false" outlineLevel="0" collapsed="false">
      <c r="A597" s="0" t="n">
        <v>21</v>
      </c>
      <c r="AA597" s="0" t="n">
        <v>21</v>
      </c>
      <c r="AB597" s="0" t="s">
        <v>441</v>
      </c>
      <c r="AD597" s="0" t="n">
        <v>12</v>
      </c>
      <c r="AE597" s="0" t="s">
        <v>463</v>
      </c>
      <c r="AH597" s="0" t="n">
        <v>0</v>
      </c>
      <c r="AJ597" s="0" t="n">
        <v>10</v>
      </c>
      <c r="AP597" s="0" t="n">
        <v>1</v>
      </c>
      <c r="DB597" s="0" t="str">
        <f aca="false">IF($A597="","",IF(AND($A597=21,$AE597&amp;""="00000000"),IF($AH597=20,"病院",IF($AH597=5,"消防","市長")),"対象外"))</f>
        <v>対象外</v>
      </c>
    </row>
    <row r="598" customFormat="false" ht="15" hidden="false" customHeight="false" outlineLevel="0" collapsed="false">
      <c r="A598" s="0" t="n">
        <v>21</v>
      </c>
      <c r="AA598" s="0" t="n">
        <v>24</v>
      </c>
      <c r="AB598" s="0" t="s">
        <v>679</v>
      </c>
      <c r="AD598" s="0" t="n">
        <v>12</v>
      </c>
      <c r="AE598" s="0" t="s">
        <v>459</v>
      </c>
      <c r="AH598" s="0" t="n">
        <v>0</v>
      </c>
      <c r="AJ598" s="0" t="n">
        <v>10</v>
      </c>
      <c r="AP598" s="0" t="n">
        <v>128000</v>
      </c>
      <c r="DB598" s="0" t="str">
        <f aca="false">IF($A598="","",IF(AND($A598=21,$AE598&amp;""="00000000"),IF($AH598=20,"病院",IF($AH598=5,"消防","市長")),"対象外"))</f>
        <v>対象外</v>
      </c>
    </row>
    <row r="599" customFormat="false" ht="15" hidden="false" customHeight="false" outlineLevel="0" collapsed="false">
      <c r="A599" s="0" t="n">
        <v>21</v>
      </c>
      <c r="AA599" s="0" t="n">
        <v>21</v>
      </c>
      <c r="AB599" s="0" t="s">
        <v>456</v>
      </c>
      <c r="AD599" s="0" t="n">
        <v>12</v>
      </c>
      <c r="AE599" s="0" t="s">
        <v>463</v>
      </c>
      <c r="AH599" s="0" t="n">
        <v>0</v>
      </c>
      <c r="AJ599" s="0" t="n">
        <v>10</v>
      </c>
      <c r="AP599" s="0" t="n">
        <v>1</v>
      </c>
      <c r="DB599" s="0" t="str">
        <f aca="false">IF($A599="","",IF(AND($A599=21,$AE599&amp;""="00000000"),IF($AH599=20,"病院",IF($AH599=5,"消防","市長")),"対象外"))</f>
        <v>対象外</v>
      </c>
    </row>
    <row r="600" customFormat="false" ht="15" hidden="false" customHeight="false" outlineLevel="0" collapsed="false">
      <c r="A600" s="0" t="n">
        <v>21</v>
      </c>
      <c r="AA600" s="0" t="n">
        <v>21</v>
      </c>
      <c r="AB600" s="0" t="s">
        <v>448</v>
      </c>
      <c r="AD600" s="0" t="n">
        <v>12</v>
      </c>
      <c r="AE600" s="0" t="s">
        <v>463</v>
      </c>
      <c r="AH600" s="0" t="n">
        <v>0</v>
      </c>
      <c r="AJ600" s="0" t="n">
        <v>10</v>
      </c>
      <c r="AP600" s="0" t="n">
        <v>1</v>
      </c>
      <c r="DB600" s="0" t="str">
        <f aca="false">IF($A600="","",IF(AND($A600=21,$AE600&amp;""="00000000"),IF($AH600=20,"病院",IF($AH600=5,"消防","市長")),"対象外"))</f>
        <v>対象外</v>
      </c>
    </row>
    <row r="601" customFormat="false" ht="15" hidden="false" customHeight="false" outlineLevel="0" collapsed="false">
      <c r="A601" s="0" t="n">
        <v>21</v>
      </c>
      <c r="AA601" s="0" t="n">
        <v>21</v>
      </c>
      <c r="AB601" s="0" t="s">
        <v>680</v>
      </c>
      <c r="AD601" s="0" t="n">
        <v>12</v>
      </c>
      <c r="AE601" s="0" t="s">
        <v>463</v>
      </c>
      <c r="AH601" s="0" t="n">
        <v>0</v>
      </c>
      <c r="AJ601" s="0" t="n">
        <v>10</v>
      </c>
      <c r="AP601" s="0" t="n">
        <v>1</v>
      </c>
      <c r="DB601" s="0" t="str">
        <f aca="false">IF($A601="","",IF(AND($A601=21,$AE601&amp;""="00000000"),IF($AH601=20,"病院",IF($AH601=5,"消防","市長")),"対象外"))</f>
        <v>対象外</v>
      </c>
    </row>
    <row r="602" customFormat="false" ht="15" hidden="false" customHeight="false" outlineLevel="0" collapsed="false">
      <c r="A602" s="0" t="n">
        <v>21</v>
      </c>
      <c r="AA602" s="0" t="n">
        <v>21</v>
      </c>
      <c r="AB602" s="0" t="s">
        <v>456</v>
      </c>
      <c r="AD602" s="0" t="n">
        <v>12</v>
      </c>
      <c r="AE602" s="0" t="s">
        <v>494</v>
      </c>
      <c r="AH602" s="0" t="n">
        <v>20</v>
      </c>
      <c r="AJ602" s="0" t="n">
        <v>10</v>
      </c>
      <c r="AP602" s="0" t="n">
        <v>590000</v>
      </c>
      <c r="DB602" s="0" t="str">
        <f aca="false">IF($A602="","",IF(AND($A602=21,$AE602&amp;""="00000000"),IF($AH602=20,"病院",IF($AH602=5,"消防","市長")),"対象外"))</f>
        <v>対象外</v>
      </c>
    </row>
    <row r="603" customFormat="false" ht="15" hidden="false" customHeight="false" outlineLevel="0" collapsed="false">
      <c r="A603" s="0" t="n">
        <v>31</v>
      </c>
      <c r="AA603" s="0" t="n">
        <v>21</v>
      </c>
      <c r="AB603" s="0" t="s">
        <v>496</v>
      </c>
      <c r="AD603" s="0" t="n">
        <v>12</v>
      </c>
      <c r="AE603" s="0" t="s">
        <v>477</v>
      </c>
      <c r="AH603" s="0" t="n">
        <v>1</v>
      </c>
      <c r="AJ603" s="0" t="n">
        <v>41</v>
      </c>
      <c r="AP603" s="0" t="n">
        <v>170000</v>
      </c>
      <c r="DB603" s="0" t="str">
        <f aca="false">IF($A603="","",IF(AND($A603=21,$AE603&amp;""="00000000"),IF($AH603=20,"病院",IF($AH603=5,"消防","市長")),"対象外"))</f>
        <v>対象外</v>
      </c>
    </row>
    <row r="604" customFormat="false" ht="15" hidden="false" customHeight="false" outlineLevel="0" collapsed="false">
      <c r="A604" s="0" t="n">
        <v>31</v>
      </c>
      <c r="AA604" s="0" t="n">
        <v>21</v>
      </c>
      <c r="AB604" s="0" t="s">
        <v>496</v>
      </c>
      <c r="AD604" s="0" t="n">
        <v>12</v>
      </c>
      <c r="AE604" s="0" t="s">
        <v>477</v>
      </c>
      <c r="AH604" s="0" t="n">
        <v>1</v>
      </c>
      <c r="AJ604" s="0" t="n">
        <v>41</v>
      </c>
      <c r="AP604" s="0" t="n">
        <v>170000</v>
      </c>
      <c r="DB604" s="0" t="str">
        <f aca="false">IF($A604="","",IF(AND($A604=21,$AE604&amp;""="00000000"),IF($AH604=20,"病院",IF($AH604=5,"消防","市長")),"対象外"))</f>
        <v>対象外</v>
      </c>
    </row>
    <row r="605" customFormat="false" ht="15" hidden="false" customHeight="false" outlineLevel="0" collapsed="false">
      <c r="A605" s="0" t="n">
        <v>21</v>
      </c>
      <c r="AA605" s="0" t="n">
        <v>21</v>
      </c>
      <c r="AB605" s="0" t="s">
        <v>681</v>
      </c>
      <c r="AD605" s="0" t="n">
        <v>12</v>
      </c>
      <c r="AE605" s="0" t="s">
        <v>682</v>
      </c>
      <c r="AH605" s="0" t="n">
        <v>0</v>
      </c>
      <c r="AJ605" s="0" t="n">
        <v>10</v>
      </c>
      <c r="AP605" s="0" t="n">
        <v>1</v>
      </c>
      <c r="DB605" s="0" t="str">
        <f aca="false">IF($A605="","",IF(AND($A605=21,$AE605&amp;""="00000000"),IF($AH605=20,"病院",IF($AH605=5,"消防","市長")),"対象外"))</f>
        <v>対象外</v>
      </c>
    </row>
    <row r="606" customFormat="false" ht="15" hidden="false" customHeight="false" outlineLevel="0" collapsed="false">
      <c r="A606" s="0" t="n">
        <v>21</v>
      </c>
      <c r="AA606" s="0" t="n">
        <v>21</v>
      </c>
      <c r="AB606" s="0" t="s">
        <v>647</v>
      </c>
      <c r="AD606" s="0" t="n">
        <v>12</v>
      </c>
      <c r="AE606" s="0" t="s">
        <v>463</v>
      </c>
      <c r="AH606" s="0" t="n">
        <v>0</v>
      </c>
      <c r="AJ606" s="0" t="n">
        <v>10</v>
      </c>
      <c r="AP606" s="0" t="n">
        <v>139167</v>
      </c>
      <c r="DB606" s="0" t="str">
        <f aca="false">IF($A606="","",IF(AND($A606=21,$AE606&amp;""="00000000"),IF($AH606=20,"病院",IF($AH606=5,"消防","市長")),"対象外"))</f>
        <v>対象外</v>
      </c>
    </row>
    <row r="607" customFormat="false" ht="15" hidden="false" customHeight="false" outlineLevel="0" collapsed="false">
      <c r="A607" s="0" t="n">
        <v>21</v>
      </c>
      <c r="AA607" s="0" t="n">
        <v>21</v>
      </c>
      <c r="AB607" s="0" t="s">
        <v>448</v>
      </c>
      <c r="AD607" s="0" t="n">
        <v>12</v>
      </c>
      <c r="AE607" s="0" t="s">
        <v>463</v>
      </c>
      <c r="AH607" s="0" t="n">
        <v>0</v>
      </c>
      <c r="AJ607" s="0" t="n">
        <v>10</v>
      </c>
      <c r="AP607" s="0" t="n">
        <v>1</v>
      </c>
      <c r="DB607" s="0" t="str">
        <f aca="false">IF($A607="","",IF(AND($A607=21,$AE607&amp;""="00000000"),IF($AH607=20,"病院",IF($AH607=5,"消防","市長")),"対象外"))</f>
        <v>対象外</v>
      </c>
    </row>
    <row r="608" customFormat="false" ht="15" hidden="false" customHeight="false" outlineLevel="0" collapsed="false">
      <c r="A608" s="0" t="n">
        <v>21</v>
      </c>
      <c r="AA608" s="0" t="n">
        <v>24</v>
      </c>
      <c r="AB608" s="0" t="s">
        <v>673</v>
      </c>
      <c r="AD608" s="0" t="n">
        <v>12</v>
      </c>
      <c r="AE608" s="0" t="s">
        <v>463</v>
      </c>
      <c r="AH608" s="0" t="n">
        <v>0</v>
      </c>
      <c r="AJ608" s="0" t="n">
        <v>10</v>
      </c>
      <c r="AP608" s="0" t="n">
        <v>153300</v>
      </c>
      <c r="DB608" s="0" t="str">
        <f aca="false">IF($A608="","",IF(AND($A608=21,$AE608&amp;""="00000000"),IF($AH608=20,"病院",IF($AH608=5,"消防","市長")),"対象外"))</f>
        <v>対象外</v>
      </c>
    </row>
    <row r="609" customFormat="false" ht="15" hidden="false" customHeight="false" outlineLevel="0" collapsed="false">
      <c r="A609" s="0" t="n">
        <v>21</v>
      </c>
      <c r="AA609" s="0" t="n">
        <v>21</v>
      </c>
      <c r="AB609" s="0" t="s">
        <v>647</v>
      </c>
      <c r="AD609" s="0" t="n">
        <v>12</v>
      </c>
      <c r="AE609" s="0" t="s">
        <v>463</v>
      </c>
      <c r="AH609" s="0" t="n">
        <v>0</v>
      </c>
      <c r="AJ609" s="0" t="n">
        <v>10</v>
      </c>
      <c r="AP609" s="0" t="n">
        <v>132300</v>
      </c>
      <c r="DB609" s="0" t="str">
        <f aca="false">IF($A609="","",IF(AND($A609=21,$AE609&amp;""="00000000"),IF($AH609=20,"病院",IF($AH609=5,"消防","市長")),"対象外"))</f>
        <v>対象外</v>
      </c>
    </row>
    <row r="610" customFormat="false" ht="15" hidden="false" customHeight="false" outlineLevel="0" collapsed="false">
      <c r="A610" s="0" t="n">
        <v>21</v>
      </c>
      <c r="AA610" s="0" t="n">
        <v>21</v>
      </c>
      <c r="AB610" s="0" t="s">
        <v>683</v>
      </c>
      <c r="AD610" s="0" t="n">
        <v>12</v>
      </c>
      <c r="AE610" s="0" t="s">
        <v>456</v>
      </c>
      <c r="AH610" s="0" t="n">
        <v>0</v>
      </c>
      <c r="AJ610" s="0" t="n">
        <v>10</v>
      </c>
      <c r="AP610" s="0" t="n">
        <v>1</v>
      </c>
      <c r="DB610" s="0" t="str">
        <f aca="false">IF($A610="","",IF(AND($A610=21,$AE610&amp;""="00000000"),IF($AH610=20,"病院",IF($AH610=5,"消防","市長")),"対象外"))</f>
        <v>対象外</v>
      </c>
    </row>
    <row r="611" customFormat="false" ht="15" hidden="false" customHeight="false" outlineLevel="0" collapsed="false">
      <c r="A611" s="0" t="n">
        <v>31</v>
      </c>
      <c r="AA611" s="0" t="n">
        <v>21</v>
      </c>
      <c r="AB611" s="0" t="s">
        <v>684</v>
      </c>
      <c r="AD611" s="0" t="n">
        <v>12</v>
      </c>
      <c r="AE611" s="0" t="s">
        <v>685</v>
      </c>
      <c r="AH611" s="0" t="n">
        <v>20</v>
      </c>
      <c r="AJ611" s="0" t="n">
        <v>41</v>
      </c>
      <c r="AP611" s="0" t="n">
        <v>160000</v>
      </c>
      <c r="DB611" s="0" t="str">
        <f aca="false">IF($A611="","",IF(AND($A611=21,$AE611&amp;""="00000000"),IF($AH611=20,"病院",IF($AH611=5,"消防","市長")),"対象外"))</f>
        <v>対象外</v>
      </c>
    </row>
    <row r="612" customFormat="false" ht="15" hidden="false" customHeight="false" outlineLevel="0" collapsed="false">
      <c r="A612" s="0" t="n">
        <v>31</v>
      </c>
      <c r="AA612" s="0" t="n">
        <v>21</v>
      </c>
      <c r="AB612" s="0" t="s">
        <v>496</v>
      </c>
      <c r="AD612" s="0" t="n">
        <v>12</v>
      </c>
      <c r="AE612" s="0" t="s">
        <v>96</v>
      </c>
      <c r="AH612" s="0" t="n">
        <v>1</v>
      </c>
      <c r="AJ612" s="0" t="n">
        <v>41</v>
      </c>
      <c r="AP612" s="0" t="n">
        <v>190000</v>
      </c>
      <c r="DB612" s="0" t="str">
        <f aca="false">IF($A612="","",IF(AND($A612=21,$AE612&amp;""="00000000"),IF($AH612=20,"病院",IF($AH612=5,"消防","市長")),"対象外"))</f>
        <v>対象外</v>
      </c>
    </row>
    <row r="613" customFormat="false" ht="15" hidden="false" customHeight="false" outlineLevel="0" collapsed="false">
      <c r="A613" s="0" t="n">
        <v>21</v>
      </c>
      <c r="AA613" s="0" t="n">
        <v>21</v>
      </c>
      <c r="AB613" s="0" t="s">
        <v>614</v>
      </c>
      <c r="AD613" s="0" t="n">
        <v>12</v>
      </c>
      <c r="AE613" s="0" t="s">
        <v>463</v>
      </c>
      <c r="AH613" s="0" t="n">
        <v>0</v>
      </c>
      <c r="AJ613" s="0" t="n">
        <v>10</v>
      </c>
      <c r="AP613" s="0" t="n">
        <v>1</v>
      </c>
      <c r="DB613" s="0" t="str">
        <f aca="false">IF($A613="","",IF(AND($A613=21,$AE613&amp;""="00000000"),IF($AH613=20,"病院",IF($AH613=5,"消防","市長")),"対象外"))</f>
        <v>対象外</v>
      </c>
    </row>
    <row r="614" customFormat="false" ht="15" hidden="false" customHeight="false" outlineLevel="0" collapsed="false">
      <c r="A614" s="0" t="n">
        <v>31</v>
      </c>
      <c r="AA614" s="0" t="n">
        <v>21</v>
      </c>
      <c r="AB614" s="0" t="s">
        <v>496</v>
      </c>
      <c r="AD614" s="0" t="n">
        <v>12</v>
      </c>
      <c r="AE614" s="0" t="s">
        <v>523</v>
      </c>
      <c r="AH614" s="0" t="n">
        <v>11</v>
      </c>
      <c r="AJ614" s="0" t="n">
        <v>41</v>
      </c>
      <c r="AP614" s="0" t="n">
        <v>126000</v>
      </c>
      <c r="DB614" s="0" t="str">
        <f aca="false">IF($A614="","",IF(AND($A614=21,$AE614&amp;""="00000000"),IF($AH614=20,"病院",IF($AH614=5,"消防","市長")),"対象外"))</f>
        <v>対象外</v>
      </c>
    </row>
    <row r="615" customFormat="false" ht="15" hidden="false" customHeight="false" outlineLevel="0" collapsed="false">
      <c r="A615" s="0" t="n">
        <v>31</v>
      </c>
      <c r="AA615" s="0" t="n">
        <v>21</v>
      </c>
      <c r="AB615" s="0" t="s">
        <v>496</v>
      </c>
      <c r="AD615" s="0" t="n">
        <v>12</v>
      </c>
      <c r="AE615" s="0" t="s">
        <v>550</v>
      </c>
      <c r="AH615" s="0" t="n">
        <v>1</v>
      </c>
      <c r="AJ615" s="0" t="n">
        <v>41</v>
      </c>
      <c r="AP615" s="0" t="n">
        <v>180000</v>
      </c>
      <c r="DB615" s="0" t="str">
        <f aca="false">IF($A615="","",IF(AND($A615=21,$AE615&amp;""="00000000"),IF($AH615=20,"病院",IF($AH615=5,"消防","市長")),"対象外"))</f>
        <v>対象外</v>
      </c>
    </row>
    <row r="616" customFormat="false" ht="15" hidden="false" customHeight="false" outlineLevel="0" collapsed="false">
      <c r="A616" s="0" t="n">
        <v>21</v>
      </c>
      <c r="AA616" s="0" t="n">
        <v>21</v>
      </c>
      <c r="AB616" s="0" t="s">
        <v>634</v>
      </c>
      <c r="AD616" s="0" t="n">
        <v>12</v>
      </c>
      <c r="AE616" s="0" t="s">
        <v>463</v>
      </c>
      <c r="AH616" s="0" t="n">
        <v>0</v>
      </c>
      <c r="AJ616" s="0" t="n">
        <v>10</v>
      </c>
      <c r="AP616" s="0" t="n">
        <v>1</v>
      </c>
      <c r="DB616" s="0" t="str">
        <f aca="false">IF($A616="","",IF(AND($A616=21,$AE616&amp;""="00000000"),IF($AH616=20,"病院",IF($AH616=5,"消防","市長")),"対象外"))</f>
        <v>対象外</v>
      </c>
    </row>
    <row r="617" customFormat="false" ht="15" hidden="false" customHeight="false" outlineLevel="0" collapsed="false">
      <c r="A617" s="0" t="n">
        <v>21</v>
      </c>
      <c r="AA617" s="0" t="n">
        <v>21</v>
      </c>
      <c r="AB617" s="0" t="s">
        <v>686</v>
      </c>
      <c r="AD617" s="0" t="n">
        <v>12</v>
      </c>
      <c r="AE617" s="0" t="s">
        <v>463</v>
      </c>
      <c r="AH617" s="0" t="n">
        <v>0</v>
      </c>
      <c r="AJ617" s="0" t="n">
        <v>10</v>
      </c>
      <c r="AP617" s="0" t="n">
        <v>1</v>
      </c>
      <c r="DB617" s="0" t="str">
        <f aca="false">IF($A617="","",IF(AND($A617=21,$AE617&amp;""="00000000"),IF($AH617=20,"病院",IF($AH617=5,"消防","市長")),"対象外"))</f>
        <v>対象外</v>
      </c>
    </row>
    <row r="618" customFormat="false" ht="15" hidden="false" customHeight="false" outlineLevel="0" collapsed="false">
      <c r="A618" s="0" t="n">
        <v>21</v>
      </c>
      <c r="AA618" s="0" t="n">
        <v>21</v>
      </c>
      <c r="AB618" s="0" t="s">
        <v>457</v>
      </c>
      <c r="AD618" s="0" t="n">
        <v>12</v>
      </c>
      <c r="AE618" s="0" t="s">
        <v>463</v>
      </c>
      <c r="AH618" s="0" t="n">
        <v>0</v>
      </c>
      <c r="AJ618" s="0" t="n">
        <v>10</v>
      </c>
      <c r="AP618" s="0" t="n">
        <v>1</v>
      </c>
      <c r="DB618" s="0" t="str">
        <f aca="false">IF($A618="","",IF(AND($A618=21,$AE618&amp;""="00000000"),IF($AH618=20,"病院",IF($AH618=5,"消防","市長")),"対象外"))</f>
        <v>対象外</v>
      </c>
    </row>
    <row r="619" customFormat="false" ht="15" hidden="false" customHeight="false" outlineLevel="0" collapsed="false">
      <c r="A619" s="0" t="n">
        <v>31</v>
      </c>
      <c r="AA619" s="0" t="n">
        <v>21</v>
      </c>
      <c r="AB619" s="0" t="s">
        <v>299</v>
      </c>
      <c r="AD619" s="0" t="n">
        <v>12</v>
      </c>
      <c r="AE619" s="0" t="s">
        <v>301</v>
      </c>
      <c r="AH619" s="0" t="n">
        <v>1</v>
      </c>
      <c r="AJ619" s="0" t="n">
        <v>41</v>
      </c>
      <c r="AP619" s="0" t="n">
        <v>180000</v>
      </c>
      <c r="DB619" s="0" t="str">
        <f aca="false">IF($A619="","",IF(AND($A619=21,$AE619&amp;""="00000000"),IF($AH619=20,"病院",IF($AH619=5,"消防","市長")),"対象外"))</f>
        <v>対象外</v>
      </c>
    </row>
    <row r="620" customFormat="false" ht="15" hidden="false" customHeight="false" outlineLevel="0" collapsed="false">
      <c r="A620" s="0" t="n">
        <v>31</v>
      </c>
      <c r="AA620" s="0" t="n">
        <v>21</v>
      </c>
      <c r="AB620" s="0" t="s">
        <v>496</v>
      </c>
      <c r="AD620" s="0" t="n">
        <v>12</v>
      </c>
      <c r="AE620" s="0" t="s">
        <v>687</v>
      </c>
      <c r="AH620" s="0" t="n">
        <v>11</v>
      </c>
      <c r="AJ620" s="0" t="n">
        <v>41</v>
      </c>
      <c r="AP620" s="0" t="n">
        <v>98000</v>
      </c>
      <c r="DB620" s="0" t="str">
        <f aca="false">IF($A620="","",IF(AND($A620=21,$AE620&amp;""="00000000"),IF($AH620=20,"病院",IF($AH620=5,"消防","市長")),"対象外"))</f>
        <v>対象外</v>
      </c>
    </row>
    <row r="621" customFormat="false" ht="15" hidden="false" customHeight="false" outlineLevel="0" collapsed="false">
      <c r="A621" s="0" t="n">
        <v>31</v>
      </c>
      <c r="AA621" s="0" t="n">
        <v>21</v>
      </c>
      <c r="AB621" s="0" t="s">
        <v>496</v>
      </c>
      <c r="AD621" s="0" t="n">
        <v>12</v>
      </c>
      <c r="AE621" s="0" t="s">
        <v>569</v>
      </c>
      <c r="AH621" s="0" t="n">
        <v>20</v>
      </c>
      <c r="AJ621" s="0" t="n">
        <v>41</v>
      </c>
      <c r="AP621" s="0" t="n">
        <v>142000</v>
      </c>
      <c r="DB621" s="0" t="str">
        <f aca="false">IF($A621="","",IF(AND($A621=21,$AE621&amp;""="00000000"),IF($AH621=20,"病院",IF($AH621=5,"消防","市長")),"対象外"))</f>
        <v>対象外</v>
      </c>
    </row>
    <row r="622" customFormat="false" ht="15" hidden="false" customHeight="false" outlineLevel="0" collapsed="false">
      <c r="A622" s="0" t="n">
        <v>21</v>
      </c>
      <c r="AA622" s="0" t="n">
        <v>21</v>
      </c>
      <c r="AB622" s="0" t="s">
        <v>456</v>
      </c>
      <c r="AD622" s="0" t="n">
        <v>12</v>
      </c>
      <c r="AE622" s="0" t="s">
        <v>463</v>
      </c>
      <c r="AH622" s="0" t="n">
        <v>0</v>
      </c>
      <c r="AJ622" s="0" t="n">
        <v>10</v>
      </c>
      <c r="AP622" s="0" t="n">
        <v>1</v>
      </c>
      <c r="DB622" s="0" t="str">
        <f aca="false">IF($A622="","",IF(AND($A622=21,$AE622&amp;""="00000000"),IF($AH622=20,"病院",IF($AH622=5,"消防","市長")),"対象外"))</f>
        <v>対象外</v>
      </c>
    </row>
    <row r="623" customFormat="false" ht="15" hidden="false" customHeight="false" outlineLevel="0" collapsed="false">
      <c r="A623" s="0" t="n">
        <v>21</v>
      </c>
      <c r="AA623" s="0" t="n">
        <v>21</v>
      </c>
      <c r="AB623" s="0" t="s">
        <v>688</v>
      </c>
      <c r="AD623" s="0" t="n">
        <v>12</v>
      </c>
      <c r="AE623" s="0" t="s">
        <v>463</v>
      </c>
      <c r="AH623" s="0" t="n">
        <v>0</v>
      </c>
      <c r="AJ623" s="0" t="n">
        <v>10</v>
      </c>
      <c r="AP623" s="0" t="n">
        <v>136395</v>
      </c>
      <c r="DB623" s="0" t="str">
        <f aca="false">IF($A623="","",IF(AND($A623=21,$AE623&amp;""="00000000"),IF($AH623=20,"病院",IF($AH623=5,"消防","市長")),"対象外"))</f>
        <v>対象外</v>
      </c>
    </row>
    <row r="624" customFormat="false" ht="15" hidden="false" customHeight="false" outlineLevel="0" collapsed="false">
      <c r="A624" s="0" t="n">
        <v>21</v>
      </c>
      <c r="AA624" s="0" t="n">
        <v>24</v>
      </c>
      <c r="AB624" s="0" t="s">
        <v>646</v>
      </c>
      <c r="AD624" s="0" t="n">
        <v>12</v>
      </c>
      <c r="AE624" s="0" t="s">
        <v>463</v>
      </c>
      <c r="AH624" s="0" t="n">
        <v>0</v>
      </c>
      <c r="AJ624" s="0" t="n">
        <v>10</v>
      </c>
      <c r="AP624" s="0" t="n">
        <v>157395</v>
      </c>
      <c r="DB624" s="0" t="str">
        <f aca="false">IF($A624="","",IF(AND($A624=21,$AE624&amp;""="00000000"),IF($AH624=20,"病院",IF($AH624=5,"消防","市長")),"対象外"))</f>
        <v>対象外</v>
      </c>
    </row>
    <row r="625" customFormat="false" ht="15" hidden="false" customHeight="false" outlineLevel="0" collapsed="false">
      <c r="A625" s="0" t="n">
        <v>21</v>
      </c>
      <c r="AA625" s="0" t="n">
        <v>21</v>
      </c>
      <c r="AB625" s="0" t="s">
        <v>689</v>
      </c>
      <c r="AD625" s="0" t="n">
        <v>12</v>
      </c>
      <c r="AE625" s="0" t="s">
        <v>463</v>
      </c>
      <c r="AH625" s="0" t="n">
        <v>0</v>
      </c>
      <c r="AJ625" s="0" t="n">
        <v>10</v>
      </c>
      <c r="AP625" s="0" t="n">
        <v>1</v>
      </c>
      <c r="DB625" s="0" t="str">
        <f aca="false">IF($A625="","",IF(AND($A625=21,$AE625&amp;""="00000000"),IF($AH625=20,"病院",IF($AH625=5,"消防","市長")),"対象外"))</f>
        <v>対象外</v>
      </c>
    </row>
    <row r="626" customFormat="false" ht="15" hidden="false" customHeight="false" outlineLevel="0" collapsed="false">
      <c r="A626" s="0" t="n">
        <v>21</v>
      </c>
      <c r="AA626" s="0" t="n">
        <v>24</v>
      </c>
      <c r="AB626" s="0" t="s">
        <v>646</v>
      </c>
      <c r="AD626" s="0" t="n">
        <v>12</v>
      </c>
      <c r="AE626" s="0" t="s">
        <v>463</v>
      </c>
      <c r="AH626" s="0" t="n">
        <v>0</v>
      </c>
      <c r="AJ626" s="0" t="n">
        <v>10</v>
      </c>
      <c r="AP626" s="0" t="n">
        <v>169155</v>
      </c>
      <c r="DB626" s="0" t="str">
        <f aca="false">IF($A626="","",IF(AND($A626=21,$AE626&amp;""="00000000"),IF($AH626=20,"病院",IF($AH626=5,"消防","市長")),"対象外"))</f>
        <v>対象外</v>
      </c>
    </row>
    <row r="627" customFormat="false" ht="15" hidden="false" customHeight="false" outlineLevel="0" collapsed="false">
      <c r="A627" s="0" t="n">
        <v>21</v>
      </c>
      <c r="AA627" s="0" t="n">
        <v>21</v>
      </c>
      <c r="AB627" s="0" t="s">
        <v>448</v>
      </c>
      <c r="AD627" s="0" t="n">
        <v>12</v>
      </c>
      <c r="AE627" s="0" t="s">
        <v>463</v>
      </c>
      <c r="AH627" s="0" t="n">
        <v>0</v>
      </c>
      <c r="AJ627" s="0" t="n">
        <v>10</v>
      </c>
      <c r="AP627" s="0" t="n">
        <v>1</v>
      </c>
      <c r="DB627" s="0" t="str">
        <f aca="false">IF($A627="","",IF(AND($A627=21,$AE627&amp;""="00000000"),IF($AH627=20,"病院",IF($AH627=5,"消防","市長")),"対象外"))</f>
        <v>対象外</v>
      </c>
    </row>
    <row r="628" customFormat="false" ht="15" hidden="false" customHeight="false" outlineLevel="0" collapsed="false">
      <c r="A628" s="0" t="n">
        <v>21</v>
      </c>
      <c r="AA628" s="0" t="n">
        <v>21</v>
      </c>
      <c r="AB628" s="0" t="s">
        <v>690</v>
      </c>
      <c r="AD628" s="0" t="n">
        <v>12</v>
      </c>
      <c r="AE628" s="0" t="s">
        <v>691</v>
      </c>
      <c r="AH628" s="0" t="n">
        <v>0</v>
      </c>
      <c r="AJ628" s="0" t="n">
        <v>10</v>
      </c>
      <c r="AP628" s="0" t="n">
        <v>1</v>
      </c>
      <c r="DB628" s="0" t="str">
        <f aca="false">IF($A628="","",IF(AND($A628=21,$AE628&amp;""="00000000"),IF($AH628=20,"病院",IF($AH628=5,"消防","市長")),"対象外"))</f>
        <v>対象外</v>
      </c>
    </row>
    <row r="629" customFormat="false" ht="15" hidden="false" customHeight="false" outlineLevel="0" collapsed="false">
      <c r="A629" s="0" t="n">
        <v>21</v>
      </c>
      <c r="AA629" s="0" t="n">
        <v>21</v>
      </c>
      <c r="AB629" s="0" t="s">
        <v>413</v>
      </c>
      <c r="AD629" s="0" t="n">
        <v>12</v>
      </c>
      <c r="AE629" s="0" t="s">
        <v>476</v>
      </c>
      <c r="AH629" s="0" t="n">
        <v>1</v>
      </c>
      <c r="AJ629" s="0" t="n">
        <v>10</v>
      </c>
      <c r="AP629" s="0" t="n">
        <v>500000</v>
      </c>
      <c r="DB629" s="0" t="str">
        <f aca="false">IF($A629="","",IF(AND($A629=21,$AE629&amp;""="00000000"),IF($AH629=20,"病院",IF($AH629=5,"消防","市長")),"対象外"))</f>
        <v>対象外</v>
      </c>
    </row>
    <row r="630" customFormat="false" ht="15" hidden="false" customHeight="false" outlineLevel="0" collapsed="false">
      <c r="A630" s="0" t="n">
        <v>31</v>
      </c>
      <c r="AA630" s="0" t="n">
        <v>24</v>
      </c>
      <c r="AB630" s="0" t="s">
        <v>96</v>
      </c>
      <c r="AD630" s="0" t="n">
        <v>12</v>
      </c>
      <c r="AE630" s="0" t="s">
        <v>296</v>
      </c>
      <c r="AH630" s="0" t="n">
        <v>1</v>
      </c>
      <c r="AJ630" s="0" t="n">
        <v>41</v>
      </c>
      <c r="AP630" s="0" t="n">
        <v>142000</v>
      </c>
      <c r="DB630" s="0" t="str">
        <f aca="false">IF($A630="","",IF(AND($A630=21,$AE630&amp;""="00000000"),IF($AH630=20,"病院",IF($AH630=5,"消防","市長")),"対象外"))</f>
        <v>対象外</v>
      </c>
    </row>
    <row r="631" customFormat="false" ht="15" hidden="false" customHeight="false" outlineLevel="0" collapsed="false">
      <c r="A631" s="0" t="n">
        <v>31</v>
      </c>
      <c r="AA631" s="0" t="n">
        <v>21</v>
      </c>
      <c r="AB631" s="0" t="s">
        <v>496</v>
      </c>
      <c r="AD631" s="0" t="n">
        <v>12</v>
      </c>
      <c r="AE631" s="0" t="s">
        <v>692</v>
      </c>
      <c r="AH631" s="0" t="n">
        <v>11</v>
      </c>
      <c r="AJ631" s="0" t="n">
        <v>41</v>
      </c>
      <c r="AP631" s="0" t="n">
        <v>110000</v>
      </c>
      <c r="DB631" s="0" t="str">
        <f aca="false">IF($A631="","",IF(AND($A631=21,$AE631&amp;""="00000000"),IF($AH631=20,"病院",IF($AH631=5,"消防","市長")),"対象外"))</f>
        <v>対象外</v>
      </c>
    </row>
    <row r="632" customFormat="false" ht="15" hidden="false" customHeight="false" outlineLevel="0" collapsed="false">
      <c r="A632" s="0" t="n">
        <v>21</v>
      </c>
      <c r="AA632" s="0" t="n">
        <v>21</v>
      </c>
      <c r="AB632" s="0" t="s">
        <v>413</v>
      </c>
      <c r="AD632" s="0" t="n">
        <v>12</v>
      </c>
      <c r="AE632" s="0" t="s">
        <v>665</v>
      </c>
      <c r="AH632" s="0" t="n">
        <v>20</v>
      </c>
      <c r="AJ632" s="0" t="n">
        <v>10</v>
      </c>
      <c r="AP632" s="0" t="n">
        <v>383500</v>
      </c>
      <c r="DB632" s="0" t="str">
        <f aca="false">IF($A632="","",IF(AND($A632=21,$AE632&amp;""="00000000"),IF($AH632=20,"病院",IF($AH632=5,"消防","市長")),"対象外"))</f>
        <v>対象外</v>
      </c>
    </row>
    <row r="633" customFormat="false" ht="15" hidden="false" customHeight="false" outlineLevel="0" collapsed="false">
      <c r="A633" s="0" t="n">
        <v>31</v>
      </c>
      <c r="AA633" s="0" t="n">
        <v>21</v>
      </c>
      <c r="AB633" s="0" t="s">
        <v>496</v>
      </c>
      <c r="AD633" s="0" t="n">
        <v>12</v>
      </c>
      <c r="AE633" s="0" t="s">
        <v>504</v>
      </c>
      <c r="AH633" s="0" t="n">
        <v>1</v>
      </c>
      <c r="AJ633" s="0" t="n">
        <v>41</v>
      </c>
      <c r="AP633" s="0" t="n">
        <v>200000</v>
      </c>
      <c r="DB633" s="0" t="str">
        <f aca="false">IF($A633="","",IF(AND($A633=21,$AE633&amp;""="00000000"),IF($AH633=20,"病院",IF($AH633=5,"消防","市長")),"対象外"))</f>
        <v>対象外</v>
      </c>
    </row>
    <row r="634" customFormat="false" ht="15" hidden="false" customHeight="false" outlineLevel="0" collapsed="false">
      <c r="A634" s="0" t="n">
        <v>21</v>
      </c>
      <c r="AA634" s="0" t="n">
        <v>21</v>
      </c>
      <c r="AB634" s="0" t="s">
        <v>456</v>
      </c>
      <c r="AD634" s="0" t="n">
        <v>12</v>
      </c>
      <c r="AE634" s="0" t="s">
        <v>463</v>
      </c>
      <c r="AH634" s="0" t="n">
        <v>0</v>
      </c>
      <c r="AJ634" s="0" t="n">
        <v>10</v>
      </c>
      <c r="AP634" s="0" t="n">
        <v>1</v>
      </c>
      <c r="DB634" s="0" t="str">
        <f aca="false">IF($A634="","",IF(AND($A634=21,$AE634&amp;""="00000000"),IF($AH634=20,"病院",IF($AH634=5,"消防","市長")),"対象外"))</f>
        <v>対象外</v>
      </c>
    </row>
    <row r="635" customFormat="false" ht="15" hidden="false" customHeight="false" outlineLevel="0" collapsed="false">
      <c r="A635" s="0" t="n">
        <v>21</v>
      </c>
      <c r="AA635" s="0" t="n">
        <v>21</v>
      </c>
      <c r="AB635" s="0" t="s">
        <v>627</v>
      </c>
      <c r="AD635" s="0" t="n">
        <v>12</v>
      </c>
      <c r="AE635" s="0" t="s">
        <v>463</v>
      </c>
      <c r="AH635" s="0" t="n">
        <v>0</v>
      </c>
      <c r="AJ635" s="0" t="n">
        <v>10</v>
      </c>
      <c r="AP635" s="0" t="n">
        <v>1</v>
      </c>
      <c r="DB635" s="0" t="str">
        <f aca="false">IF($A635="","",IF(AND($A635=21,$AE635&amp;""="00000000"),IF($AH635=20,"病院",IF($AH635=5,"消防","市長")),"対象外"))</f>
        <v>対象外</v>
      </c>
    </row>
    <row r="636" customFormat="false" ht="15" hidden="false" customHeight="false" outlineLevel="0" collapsed="false">
      <c r="A636" s="0" t="n">
        <v>21</v>
      </c>
      <c r="AA636" s="0" t="n">
        <v>21</v>
      </c>
      <c r="AB636" s="0" t="s">
        <v>634</v>
      </c>
      <c r="AD636" s="0" t="n">
        <v>12</v>
      </c>
      <c r="AE636" s="0" t="s">
        <v>463</v>
      </c>
      <c r="AH636" s="0" t="n">
        <v>0</v>
      </c>
      <c r="AJ636" s="0" t="n">
        <v>10</v>
      </c>
      <c r="AP636" s="0" t="n">
        <v>1</v>
      </c>
      <c r="DB636" s="0" t="str">
        <f aca="false">IF($A636="","",IF(AND($A636=21,$AE636&amp;""="00000000"),IF($AH636=20,"病院",IF($AH636=5,"消防","市長")),"対象外"))</f>
        <v>対象外</v>
      </c>
    </row>
    <row r="637" customFormat="false" ht="15" hidden="false" customHeight="false" outlineLevel="0" collapsed="false">
      <c r="A637" s="0" t="n">
        <v>21</v>
      </c>
      <c r="AA637" s="0" t="n">
        <v>21</v>
      </c>
      <c r="AB637" s="0" t="s">
        <v>404</v>
      </c>
      <c r="AD637" s="0" t="n">
        <v>12</v>
      </c>
      <c r="AE637" s="0" t="s">
        <v>494</v>
      </c>
      <c r="AH637" s="0" t="n">
        <v>1</v>
      </c>
      <c r="AJ637" s="0" t="n">
        <v>10</v>
      </c>
      <c r="AP637" s="0" t="n">
        <v>530000</v>
      </c>
      <c r="DB637" s="0" t="str">
        <f aca="false">IF($A637="","",IF(AND($A637=21,$AE637&amp;""="00000000"),IF($AH637=20,"病院",IF($AH637=5,"消防","市長")),"対象外"))</f>
        <v>対象外</v>
      </c>
    </row>
    <row r="638" customFormat="false" ht="15" hidden="false" customHeight="false" outlineLevel="0" collapsed="false">
      <c r="A638" s="0" t="n">
        <v>21</v>
      </c>
      <c r="AA638" s="0" t="n">
        <v>21</v>
      </c>
      <c r="AB638" s="0" t="s">
        <v>459</v>
      </c>
      <c r="AD638" s="0" t="n">
        <v>12</v>
      </c>
      <c r="AE638" s="0" t="s">
        <v>463</v>
      </c>
      <c r="AH638" s="0" t="n">
        <v>0</v>
      </c>
      <c r="AJ638" s="0" t="n">
        <v>10</v>
      </c>
      <c r="AP638" s="0" t="n">
        <v>1</v>
      </c>
      <c r="DB638" s="0" t="str">
        <f aca="false">IF($A638="","",IF(AND($A638=21,$AE638&amp;""="00000000"),IF($AH638=20,"病院",IF($AH638=5,"消防","市長")),"対象外"))</f>
        <v>対象外</v>
      </c>
    </row>
    <row r="639" customFormat="false" ht="15" hidden="false" customHeight="false" outlineLevel="0" collapsed="false">
      <c r="A639" s="0" t="n">
        <v>21</v>
      </c>
      <c r="AA639" s="0" t="n">
        <v>21</v>
      </c>
      <c r="AB639" s="0" t="s">
        <v>693</v>
      </c>
      <c r="AD639" s="0" t="n">
        <v>12</v>
      </c>
      <c r="AE639" s="0" t="s">
        <v>463</v>
      </c>
      <c r="AH639" s="0" t="n">
        <v>0</v>
      </c>
      <c r="AJ639" s="0" t="n">
        <v>10</v>
      </c>
      <c r="AP639" s="0" t="n">
        <v>1</v>
      </c>
      <c r="DB639" s="0" t="str">
        <f aca="false">IF($A639="","",IF(AND($A639=21,$AE639&amp;""="00000000"),IF($AH639=20,"病院",IF($AH639=5,"消防","市長")),"対象外"))</f>
        <v>対象外</v>
      </c>
    </row>
    <row r="640" customFormat="false" ht="15" hidden="false" customHeight="false" outlineLevel="0" collapsed="false">
      <c r="A640" s="0" t="n">
        <v>21</v>
      </c>
      <c r="AA640" s="0" t="n">
        <v>21</v>
      </c>
      <c r="AB640" s="0" t="s">
        <v>438</v>
      </c>
      <c r="AD640" s="0" t="n">
        <v>12</v>
      </c>
      <c r="AE640" s="0" t="s">
        <v>463</v>
      </c>
      <c r="AH640" s="0" t="n">
        <v>0</v>
      </c>
      <c r="AJ640" s="0" t="n">
        <v>10</v>
      </c>
      <c r="AP640" s="0" t="n">
        <v>1</v>
      </c>
      <c r="DB640" s="0" t="str">
        <f aca="false">IF($A640="","",IF(AND($A640=21,$AE640&amp;""="00000000"),IF($AH640=20,"病院",IF($AH640=5,"消防","市長")),"対象外"))</f>
        <v>対象外</v>
      </c>
    </row>
    <row r="641" customFormat="false" ht="15" hidden="false" customHeight="false" outlineLevel="0" collapsed="false">
      <c r="A641" s="0" t="n">
        <v>31</v>
      </c>
      <c r="AA641" s="0" t="n">
        <v>21</v>
      </c>
      <c r="AB641" s="0" t="s">
        <v>502</v>
      </c>
      <c r="AD641" s="0" t="n">
        <v>12</v>
      </c>
      <c r="AE641" s="0" t="s">
        <v>504</v>
      </c>
      <c r="AH641" s="0" t="n">
        <v>1</v>
      </c>
      <c r="AJ641" s="0" t="n">
        <v>41</v>
      </c>
      <c r="AP641" s="0" t="n">
        <v>134000</v>
      </c>
      <c r="DB641" s="0" t="str">
        <f aca="false">IF($A641="","",IF(AND($A641=21,$AE641&amp;""="00000000"),IF($AH641=20,"病院",IF($AH641=5,"消防","市長")),"対象外"))</f>
        <v>対象外</v>
      </c>
    </row>
    <row r="642" customFormat="false" ht="15" hidden="false" customHeight="false" outlineLevel="0" collapsed="false">
      <c r="A642" s="0" t="n">
        <v>31</v>
      </c>
      <c r="AA642" s="0" t="n">
        <v>21</v>
      </c>
      <c r="AB642" s="0" t="s">
        <v>496</v>
      </c>
      <c r="AD642" s="0" t="n">
        <v>12</v>
      </c>
      <c r="AE642" s="0" t="s">
        <v>694</v>
      </c>
      <c r="AH642" s="0" t="n">
        <v>11</v>
      </c>
      <c r="AJ642" s="0" t="n">
        <v>41</v>
      </c>
      <c r="AP642" s="0" t="n">
        <v>104000</v>
      </c>
      <c r="DB642" s="0" t="str">
        <f aca="false">IF($A642="","",IF(AND($A642=21,$AE642&amp;""="00000000"),IF($AH642=20,"病院",IF($AH642=5,"消防","市長")),"対象外"))</f>
        <v>対象外</v>
      </c>
    </row>
    <row r="643" customFormat="false" ht="15" hidden="false" customHeight="false" outlineLevel="0" collapsed="false">
      <c r="A643" s="0" t="n">
        <v>21</v>
      </c>
      <c r="AA643" s="0" t="n">
        <v>21</v>
      </c>
      <c r="AB643" s="0" t="s">
        <v>413</v>
      </c>
      <c r="AD643" s="0" t="n">
        <v>12</v>
      </c>
      <c r="AE643" s="0" t="s">
        <v>96</v>
      </c>
      <c r="AH643" s="0" t="n">
        <v>1</v>
      </c>
      <c r="AJ643" s="0" t="n">
        <v>10</v>
      </c>
      <c r="AP643" s="0" t="n">
        <v>650000</v>
      </c>
      <c r="DB643" s="0" t="str">
        <f aca="false">IF($A643="","",IF(AND($A643=21,$AE643&amp;""="00000000"),IF($AH643=20,"病院",IF($AH643=5,"消防","市長")),"対象外"))</f>
        <v>対象外</v>
      </c>
    </row>
    <row r="644" customFormat="false" ht="15" hidden="false" customHeight="false" outlineLevel="0" collapsed="false">
      <c r="A644" s="0" t="n">
        <v>31</v>
      </c>
      <c r="AA644" s="0" t="n">
        <v>21</v>
      </c>
      <c r="AB644" s="0" t="s">
        <v>496</v>
      </c>
      <c r="AD644" s="0" t="n">
        <v>12</v>
      </c>
      <c r="AE644" s="0" t="s">
        <v>569</v>
      </c>
      <c r="AH644" s="0" t="n">
        <v>1</v>
      </c>
      <c r="AJ644" s="0" t="n">
        <v>41</v>
      </c>
      <c r="AP644" s="0" t="n">
        <v>160000</v>
      </c>
      <c r="DB644" s="0" t="str">
        <f aca="false">IF($A644="","",IF(AND($A644=21,$AE644&amp;""="00000000"),IF($AH644=20,"病院",IF($AH644=5,"消防","市長")),"対象外"))</f>
        <v>対象外</v>
      </c>
    </row>
    <row r="645" customFormat="false" ht="15" hidden="false" customHeight="false" outlineLevel="0" collapsed="false">
      <c r="A645" s="0" t="n">
        <v>31</v>
      </c>
      <c r="AA645" s="0" t="n">
        <v>21</v>
      </c>
      <c r="AB645" s="0" t="s">
        <v>296</v>
      </c>
      <c r="AD645" s="0" t="n">
        <v>12</v>
      </c>
      <c r="AE645" s="0" t="s">
        <v>303</v>
      </c>
      <c r="AH645" s="0" t="n">
        <v>1</v>
      </c>
      <c r="AJ645" s="0" t="n">
        <v>41</v>
      </c>
      <c r="AP645" s="0" t="n">
        <v>126000</v>
      </c>
      <c r="DB645" s="0" t="str">
        <f aca="false">IF($A645="","",IF(AND($A645=21,$AE645&amp;""="00000000"),IF($AH645=20,"病院",IF($AH645=5,"消防","市長")),"対象外"))</f>
        <v>対象外</v>
      </c>
    </row>
    <row r="646" customFormat="false" ht="15" hidden="false" customHeight="false" outlineLevel="0" collapsed="false">
      <c r="A646" s="0" t="n">
        <v>21</v>
      </c>
      <c r="AA646" s="0" t="n">
        <v>21</v>
      </c>
      <c r="AB646" s="0" t="s">
        <v>695</v>
      </c>
      <c r="AD646" s="0" t="n">
        <v>12</v>
      </c>
      <c r="AE646" s="0" t="s">
        <v>463</v>
      </c>
      <c r="AH646" s="0" t="n">
        <v>0</v>
      </c>
      <c r="AJ646" s="0" t="n">
        <v>10</v>
      </c>
      <c r="AP646" s="0" t="n">
        <v>134720</v>
      </c>
      <c r="DB646" s="0" t="str">
        <f aca="false">IF($A646="","",IF(AND($A646=21,$AE646&amp;""="00000000"),IF($AH646=20,"病院",IF($AH646=5,"消防","市長")),"対象外"))</f>
        <v>対象外</v>
      </c>
    </row>
    <row r="647" customFormat="false" ht="15" hidden="false" customHeight="false" outlineLevel="0" collapsed="false">
      <c r="A647" s="0" t="n">
        <v>21</v>
      </c>
      <c r="AA647" s="0" t="n">
        <v>21</v>
      </c>
      <c r="AB647" s="0" t="s">
        <v>696</v>
      </c>
      <c r="AD647" s="0" t="n">
        <v>12</v>
      </c>
      <c r="AE647" s="0" t="s">
        <v>459</v>
      </c>
      <c r="AH647" s="0" t="n">
        <v>0</v>
      </c>
      <c r="AJ647" s="0" t="n">
        <v>10</v>
      </c>
      <c r="AP647" s="0" t="n">
        <v>128000</v>
      </c>
      <c r="DB647" s="0" t="str">
        <f aca="false">IF($A647="","",IF(AND($A647=21,$AE647&amp;""="00000000"),IF($AH647=20,"病院",IF($AH647=5,"消防","市長")),"対象外"))</f>
        <v>対象外</v>
      </c>
    </row>
    <row r="648" customFormat="false" ht="15" hidden="false" customHeight="false" outlineLevel="0" collapsed="false">
      <c r="A648" s="0" t="n">
        <v>21</v>
      </c>
      <c r="AA648" s="0" t="n">
        <v>24</v>
      </c>
      <c r="AB648" s="0" t="s">
        <v>697</v>
      </c>
      <c r="AD648" s="0" t="n">
        <v>12</v>
      </c>
      <c r="AE648" s="0" t="s">
        <v>698</v>
      </c>
      <c r="AH648" s="0" t="n">
        <v>0</v>
      </c>
      <c r="AJ648" s="0" t="n">
        <v>10</v>
      </c>
      <c r="AP648" s="0" t="n">
        <v>176610</v>
      </c>
      <c r="DB648" s="0" t="str">
        <f aca="false">IF($A648="","",IF(AND($A648=21,$AE648&amp;""="00000000"),IF($AH648=20,"病院",IF($AH648=5,"消防","市長")),"対象外"))</f>
        <v>対象外</v>
      </c>
    </row>
    <row r="649" customFormat="false" ht="15" hidden="false" customHeight="false" outlineLevel="0" collapsed="false">
      <c r="A649" s="0" t="n">
        <v>21</v>
      </c>
      <c r="AA649" s="0" t="n">
        <v>21</v>
      </c>
      <c r="AB649" s="0" t="s">
        <v>699</v>
      </c>
      <c r="AD649" s="0" t="n">
        <v>12</v>
      </c>
      <c r="AE649" s="0" t="s">
        <v>700</v>
      </c>
      <c r="AH649" s="0" t="n">
        <v>20</v>
      </c>
      <c r="AJ649" s="0" t="n">
        <v>10</v>
      </c>
      <c r="AP649" s="0" t="n">
        <v>620000</v>
      </c>
      <c r="DB649" s="0" t="str">
        <f aca="false">IF($A649="","",IF(AND($A649=21,$AE649&amp;""="00000000"),IF($AH649=20,"病院",IF($AH649=5,"消防","市長")),"対象外"))</f>
        <v>対象外</v>
      </c>
    </row>
    <row r="650" customFormat="false" ht="15" hidden="false" customHeight="false" outlineLevel="0" collapsed="false">
      <c r="A650" s="0" t="n">
        <v>21</v>
      </c>
      <c r="AA650" s="0" t="n">
        <v>21</v>
      </c>
      <c r="AB650" s="0" t="s">
        <v>701</v>
      </c>
      <c r="AD650" s="0" t="n">
        <v>12</v>
      </c>
      <c r="AE650" s="0" t="s">
        <v>457</v>
      </c>
      <c r="AH650" s="0" t="n">
        <v>0</v>
      </c>
      <c r="AJ650" s="0" t="n">
        <v>10</v>
      </c>
      <c r="AP650" s="0" t="n">
        <v>1</v>
      </c>
      <c r="DB650" s="0" t="str">
        <f aca="false">IF($A650="","",IF(AND($A650=21,$AE650&amp;""="00000000"),IF($AH650=20,"病院",IF($AH650=5,"消防","市長")),"対象外"))</f>
        <v>対象外</v>
      </c>
    </row>
    <row r="651" customFormat="false" ht="15" hidden="false" customHeight="false" outlineLevel="0" collapsed="false">
      <c r="A651" s="0" t="n">
        <v>21</v>
      </c>
      <c r="AA651" s="0" t="n">
        <v>21</v>
      </c>
      <c r="AB651" s="0" t="s">
        <v>456</v>
      </c>
      <c r="AD651" s="0" t="n">
        <v>12</v>
      </c>
      <c r="AE651" s="0" t="s">
        <v>463</v>
      </c>
      <c r="AH651" s="0" t="n">
        <v>0</v>
      </c>
      <c r="AJ651" s="0" t="n">
        <v>10</v>
      </c>
      <c r="AP651" s="0" t="n">
        <v>1</v>
      </c>
      <c r="DB651" s="0" t="str">
        <f aca="false">IF($A651="","",IF(AND($A651=21,$AE651&amp;""="00000000"),IF($AH651=20,"病院",IF($AH651=5,"消防","市長")),"対象外"))</f>
        <v>対象外</v>
      </c>
    </row>
    <row r="652" customFormat="false" ht="15" hidden="false" customHeight="false" outlineLevel="0" collapsed="false">
      <c r="A652" s="0" t="n">
        <v>31</v>
      </c>
      <c r="AA652" s="0" t="n">
        <v>21</v>
      </c>
      <c r="AB652" s="0" t="s">
        <v>496</v>
      </c>
      <c r="AD652" s="0" t="n">
        <v>12</v>
      </c>
      <c r="AE652" s="0" t="s">
        <v>494</v>
      </c>
      <c r="AH652" s="0" t="n">
        <v>1</v>
      </c>
      <c r="AJ652" s="0" t="n">
        <v>41</v>
      </c>
      <c r="AP652" s="0" t="n">
        <v>180000</v>
      </c>
      <c r="DB652" s="0" t="str">
        <f aca="false">IF($A652="","",IF(AND($A652=21,$AE652&amp;""="00000000"),IF($AH652=20,"病院",IF($AH652=5,"消防","市長")),"対象外"))</f>
        <v>対象外</v>
      </c>
    </row>
    <row r="653" customFormat="false" ht="15" hidden="false" customHeight="false" outlineLevel="0" collapsed="false">
      <c r="A653" s="0" t="n">
        <v>21</v>
      </c>
      <c r="AA653" s="0" t="n">
        <v>21</v>
      </c>
      <c r="AB653" s="0" t="s">
        <v>408</v>
      </c>
      <c r="AD653" s="0" t="n">
        <v>12</v>
      </c>
      <c r="AE653" s="0" t="s">
        <v>477</v>
      </c>
      <c r="AH653" s="0" t="n">
        <v>20</v>
      </c>
      <c r="AJ653" s="0" t="n">
        <v>10</v>
      </c>
      <c r="AP653" s="0" t="n">
        <v>650000</v>
      </c>
      <c r="DB653" s="0" t="str">
        <f aca="false">IF($A653="","",IF(AND($A653=21,$AE653&amp;""="00000000"),IF($AH653=20,"病院",IF($AH653=5,"消防","市長")),"対象外"))</f>
        <v>対象外</v>
      </c>
    </row>
    <row r="654" customFormat="false" ht="15" hidden="false" customHeight="false" outlineLevel="0" collapsed="false">
      <c r="A654" s="0" t="n">
        <v>31</v>
      </c>
      <c r="AA654" s="0" t="n">
        <v>21</v>
      </c>
      <c r="AB654" s="0" t="s">
        <v>496</v>
      </c>
      <c r="AD654" s="0" t="n">
        <v>12</v>
      </c>
      <c r="AE654" s="0" t="s">
        <v>657</v>
      </c>
      <c r="AH654" s="0" t="n">
        <v>1</v>
      </c>
      <c r="AJ654" s="0" t="n">
        <v>41</v>
      </c>
      <c r="AP654" s="0" t="n">
        <v>190000</v>
      </c>
      <c r="DB654" s="0" t="str">
        <f aca="false">IF($A654="","",IF(AND($A654=21,$AE654&amp;""="00000000"),IF($AH654=20,"病院",IF($AH654=5,"消防","市長")),"対象外"))</f>
        <v>対象外</v>
      </c>
    </row>
    <row r="655" customFormat="false" ht="15" hidden="false" customHeight="false" outlineLevel="0" collapsed="false">
      <c r="A655" s="0" t="n">
        <v>21</v>
      </c>
      <c r="AA655" s="0" t="n">
        <v>21</v>
      </c>
      <c r="AB655" s="0" t="s">
        <v>702</v>
      </c>
      <c r="AD655" s="0" t="n">
        <v>12</v>
      </c>
      <c r="AE655" s="0" t="s">
        <v>476</v>
      </c>
      <c r="AH655" s="0" t="n">
        <v>20</v>
      </c>
      <c r="AJ655" s="0" t="n">
        <v>10</v>
      </c>
      <c r="AP655" s="0" t="n">
        <v>560000</v>
      </c>
      <c r="DB655" s="0" t="str">
        <f aca="false">IF($A655="","",IF(AND($A655=21,$AE655&amp;""="00000000"),IF($AH655=20,"病院",IF($AH655=5,"消防","市長")),"対象外"))</f>
        <v>対象外</v>
      </c>
    </row>
    <row r="656" customFormat="false" ht="15" hidden="false" customHeight="false" outlineLevel="0" collapsed="false">
      <c r="A656" s="0" t="n">
        <v>21</v>
      </c>
      <c r="AA656" s="0" t="n">
        <v>21</v>
      </c>
      <c r="AB656" s="0" t="s">
        <v>404</v>
      </c>
      <c r="AD656" s="0" t="n">
        <v>12</v>
      </c>
      <c r="AE656" s="0" t="s">
        <v>423</v>
      </c>
      <c r="AH656" s="0" t="n">
        <v>1</v>
      </c>
      <c r="AJ656" s="0" t="n">
        <v>10</v>
      </c>
      <c r="AP656" s="0" t="n">
        <v>369700</v>
      </c>
      <c r="DB656" s="0" t="str">
        <f aca="false">IF($A656="","",IF(AND($A656=21,$AE656&amp;""="00000000"),IF($AH656=20,"病院",IF($AH656=5,"消防","市長")),"対象外"))</f>
        <v>対象外</v>
      </c>
    </row>
    <row r="657" customFormat="false" ht="15" hidden="false" customHeight="false" outlineLevel="0" collapsed="false">
      <c r="A657" s="0" t="n">
        <v>21</v>
      </c>
      <c r="AA657" s="0" t="n">
        <v>21</v>
      </c>
      <c r="AB657" s="0" t="s">
        <v>459</v>
      </c>
      <c r="AD657" s="0" t="n">
        <v>12</v>
      </c>
      <c r="AE657" s="0" t="s">
        <v>463</v>
      </c>
      <c r="AH657" s="0" t="n">
        <v>0</v>
      </c>
      <c r="AJ657" s="0" t="n">
        <v>10</v>
      </c>
      <c r="AP657" s="0" t="n">
        <v>1</v>
      </c>
      <c r="DB657" s="0" t="str">
        <f aca="false">IF($A657="","",IF(AND($A657=21,$AE657&amp;""="00000000"),IF($AH657=20,"病院",IF($AH657=5,"消防","市長")),"対象外"))</f>
        <v>対象外</v>
      </c>
    </row>
    <row r="658" customFormat="false" ht="15" hidden="false" customHeight="false" outlineLevel="0" collapsed="false">
      <c r="A658" s="0" t="n">
        <v>21</v>
      </c>
      <c r="AA658" s="0" t="n">
        <v>21</v>
      </c>
      <c r="AB658" s="0" t="s">
        <v>457</v>
      </c>
      <c r="AD658" s="0" t="n">
        <v>12</v>
      </c>
      <c r="AE658" s="0" t="s">
        <v>463</v>
      </c>
      <c r="AH658" s="0" t="n">
        <v>0</v>
      </c>
      <c r="AJ658" s="0" t="n">
        <v>10</v>
      </c>
      <c r="AP658" s="0" t="n">
        <v>1</v>
      </c>
      <c r="DB658" s="0" t="str">
        <f aca="false">IF($A658="","",IF(AND($A658=21,$AE658&amp;""="00000000"),IF($AH658=20,"病院",IF($AH658=5,"消防","市長")),"対象外"))</f>
        <v>対象外</v>
      </c>
    </row>
    <row r="659" customFormat="false" ht="15" hidden="false" customHeight="false" outlineLevel="0" collapsed="false">
      <c r="A659" s="0" t="n">
        <v>21</v>
      </c>
      <c r="AA659" s="0" t="n">
        <v>24</v>
      </c>
      <c r="AB659" s="0" t="s">
        <v>673</v>
      </c>
      <c r="AD659" s="0" t="n">
        <v>12</v>
      </c>
      <c r="AE659" s="0" t="s">
        <v>463</v>
      </c>
      <c r="AH659" s="0" t="n">
        <v>0</v>
      </c>
      <c r="AJ659" s="0" t="n">
        <v>10</v>
      </c>
      <c r="AP659" s="0" t="n">
        <v>157748</v>
      </c>
      <c r="DB659" s="0" t="str">
        <f aca="false">IF($A659="","",IF(AND($A659=21,$AE659&amp;""="00000000"),IF($AH659=20,"病院",IF($AH659=5,"消防","市長")),"対象外"))</f>
        <v>対象外</v>
      </c>
    </row>
    <row r="660" customFormat="false" ht="15" hidden="false" customHeight="false" outlineLevel="0" collapsed="false">
      <c r="A660" s="0" t="n">
        <v>21</v>
      </c>
      <c r="AA660" s="0" t="n">
        <v>21</v>
      </c>
      <c r="AB660" s="0" t="s">
        <v>703</v>
      </c>
      <c r="AD660" s="0" t="n">
        <v>12</v>
      </c>
      <c r="AE660" s="0" t="s">
        <v>463</v>
      </c>
      <c r="AH660" s="0" t="n">
        <v>0</v>
      </c>
      <c r="AJ660" s="0" t="n">
        <v>10</v>
      </c>
      <c r="AP660" s="0" t="n">
        <v>1</v>
      </c>
      <c r="DB660" s="0" t="str">
        <f aca="false">IF($A660="","",IF(AND($A660=21,$AE660&amp;""="00000000"),IF($AH660=20,"病院",IF($AH660=5,"消防","市長")),"対象外"))</f>
        <v>対象外</v>
      </c>
    </row>
    <row r="661" customFormat="false" ht="15" hidden="false" customHeight="false" outlineLevel="0" collapsed="false">
      <c r="A661" s="0" t="n">
        <v>21</v>
      </c>
      <c r="AA661" s="0" t="n">
        <v>24</v>
      </c>
      <c r="AB661" s="0" t="s">
        <v>673</v>
      </c>
      <c r="AD661" s="0" t="n">
        <v>12</v>
      </c>
      <c r="AE661" s="0" t="s">
        <v>463</v>
      </c>
      <c r="AH661" s="0" t="n">
        <v>0</v>
      </c>
      <c r="AJ661" s="0" t="n">
        <v>10</v>
      </c>
      <c r="AP661" s="0" t="n">
        <v>148970</v>
      </c>
      <c r="DB661" s="0" t="str">
        <f aca="false">IF($A661="","",IF(AND($A661=21,$AE661&amp;""="00000000"),IF($AH661=20,"病院",IF($AH661=5,"消防","市長")),"対象外"))</f>
        <v>対象外</v>
      </c>
    </row>
    <row r="662" customFormat="false" ht="15" hidden="false" customHeight="false" outlineLevel="0" collapsed="false">
      <c r="A662" s="0" t="n">
        <v>21</v>
      </c>
      <c r="AA662" s="0" t="n">
        <v>21</v>
      </c>
      <c r="AB662" s="0" t="s">
        <v>448</v>
      </c>
      <c r="AD662" s="0" t="n">
        <v>12</v>
      </c>
      <c r="AE662" s="0" t="s">
        <v>457</v>
      </c>
      <c r="AH662" s="0" t="n">
        <v>0</v>
      </c>
      <c r="AJ662" s="0" t="n">
        <v>10</v>
      </c>
      <c r="AP662" s="0" t="n">
        <v>1</v>
      </c>
      <c r="DB662" s="0" t="str">
        <f aca="false">IF($A662="","",IF(AND($A662=21,$AE662&amp;""="00000000"),IF($AH662=20,"病院",IF($AH662=5,"消防","市長")),"対象外"))</f>
        <v>対象外</v>
      </c>
    </row>
    <row r="663" customFormat="false" ht="15" hidden="false" customHeight="false" outlineLevel="0" collapsed="false">
      <c r="A663" s="0" t="n">
        <v>21</v>
      </c>
      <c r="AA663" s="0" t="n">
        <v>21</v>
      </c>
      <c r="AB663" s="0" t="s">
        <v>457</v>
      </c>
      <c r="AD663" s="0" t="n">
        <v>12</v>
      </c>
      <c r="AE663" s="0" t="s">
        <v>459</v>
      </c>
      <c r="AH663" s="0" t="n">
        <v>0</v>
      </c>
      <c r="AJ663" s="0" t="n">
        <v>10</v>
      </c>
      <c r="AP663" s="0" t="n">
        <v>166500</v>
      </c>
      <c r="DB663" s="0" t="str">
        <f aca="false">IF($A663="","",IF(AND($A663=21,$AE663&amp;""="00000000"),IF($AH663=20,"病院",IF($AH663=5,"消防","市長")),"対象外"))</f>
        <v>対象外</v>
      </c>
    </row>
    <row r="664" customFormat="false" ht="15" hidden="false" customHeight="false" outlineLevel="0" collapsed="false">
      <c r="A664" s="0" t="n">
        <v>21</v>
      </c>
      <c r="AA664" s="0" t="n">
        <v>21</v>
      </c>
      <c r="AB664" s="0" t="s">
        <v>704</v>
      </c>
      <c r="AD664" s="0" t="n">
        <v>12</v>
      </c>
      <c r="AE664" s="0" t="s">
        <v>452</v>
      </c>
      <c r="AH664" s="0" t="n">
        <v>20</v>
      </c>
      <c r="AJ664" s="0" t="n">
        <v>10</v>
      </c>
      <c r="AP664" s="0" t="n">
        <v>440000</v>
      </c>
      <c r="DB664" s="0" t="str">
        <f aca="false">IF($A664="","",IF(AND($A664=21,$AE664&amp;""="00000000"),IF($AH664=20,"病院",IF($AH664=5,"消防","市長")),"対象外"))</f>
        <v>対象外</v>
      </c>
    </row>
    <row r="665" customFormat="false" ht="15" hidden="false" customHeight="false" outlineLevel="0" collapsed="false">
      <c r="A665" s="0" t="n">
        <v>21</v>
      </c>
      <c r="AA665" s="0" t="n">
        <v>21</v>
      </c>
      <c r="AB665" s="0" t="s">
        <v>705</v>
      </c>
      <c r="AD665" s="0" t="n">
        <v>12</v>
      </c>
      <c r="AE665" s="0" t="s">
        <v>463</v>
      </c>
      <c r="AH665" s="0" t="n">
        <v>0</v>
      </c>
      <c r="AJ665" s="0" t="n">
        <v>10</v>
      </c>
      <c r="AP665" s="0" t="n">
        <v>1</v>
      </c>
      <c r="DB665" s="0" t="str">
        <f aca="false">IF($A665="","",IF(AND($A665=21,$AE665&amp;""="00000000"),IF($AH665=20,"病院",IF($AH665=5,"消防","市長")),"対象外"))</f>
        <v>対象外</v>
      </c>
    </row>
    <row r="666" customFormat="false" ht="15" hidden="false" customHeight="false" outlineLevel="0" collapsed="false">
      <c r="A666" s="0" t="n">
        <v>21</v>
      </c>
      <c r="AA666" s="0" t="n">
        <v>21</v>
      </c>
      <c r="AB666" s="0" t="s">
        <v>448</v>
      </c>
      <c r="AD666" s="0" t="n">
        <v>12</v>
      </c>
      <c r="AE666" s="0" t="s">
        <v>463</v>
      </c>
      <c r="AH666" s="0" t="n">
        <v>0</v>
      </c>
      <c r="AJ666" s="0" t="n">
        <v>10</v>
      </c>
      <c r="AP666" s="0" t="n">
        <v>1</v>
      </c>
      <c r="DB666" s="0" t="str">
        <f aca="false">IF($A666="","",IF(AND($A666=21,$AE666&amp;""="00000000"),IF($AH666=20,"病院",IF($AH666=5,"消防","市長")),"対象外"))</f>
        <v>対象外</v>
      </c>
    </row>
    <row r="667" customFormat="false" ht="15" hidden="false" customHeight="false" outlineLevel="0" collapsed="false">
      <c r="A667" s="0" t="n">
        <v>21</v>
      </c>
      <c r="AA667" s="0" t="n">
        <v>21</v>
      </c>
      <c r="AB667" s="0" t="s">
        <v>459</v>
      </c>
      <c r="AD667" s="0" t="n">
        <v>12</v>
      </c>
      <c r="AE667" s="0" t="s">
        <v>706</v>
      </c>
      <c r="AH667" s="0" t="n">
        <v>0</v>
      </c>
      <c r="AJ667" s="0" t="n">
        <v>10</v>
      </c>
      <c r="AP667" s="0" t="n">
        <v>138789</v>
      </c>
      <c r="DB667" s="0" t="str">
        <f aca="false">IF($A667="","",IF(AND($A667=21,$AE667&amp;""="00000000"),IF($AH667=20,"病院",IF($AH667=5,"消防","市長")),"対象外"))</f>
        <v>対象外</v>
      </c>
    </row>
    <row r="668" customFormat="false" ht="15" hidden="false" customHeight="false" outlineLevel="0" collapsed="false">
      <c r="A668" s="0" t="n">
        <v>21</v>
      </c>
      <c r="AA668" s="0" t="n">
        <v>21</v>
      </c>
      <c r="AB668" s="0" t="s">
        <v>707</v>
      </c>
      <c r="AD668" s="0" t="n">
        <v>12</v>
      </c>
      <c r="AE668" s="0" t="s">
        <v>708</v>
      </c>
      <c r="AH668" s="0" t="n">
        <v>0</v>
      </c>
      <c r="AJ668" s="0" t="n">
        <v>10</v>
      </c>
      <c r="AP668" s="0" t="n">
        <v>166244</v>
      </c>
      <c r="DB668" s="0" t="str">
        <f aca="false">IF($A668="","",IF(AND($A668=21,$AE668&amp;""="00000000"),IF($AH668=20,"病院",IF($AH668=5,"消防","市長")),"対象外"))</f>
        <v>対象外</v>
      </c>
    </row>
    <row r="669" customFormat="false" ht="15" hidden="false" customHeight="false" outlineLevel="0" collapsed="false">
      <c r="A669" s="0" t="n">
        <v>21</v>
      </c>
      <c r="AA669" s="0" t="n">
        <v>21</v>
      </c>
      <c r="AB669" s="0" t="s">
        <v>709</v>
      </c>
      <c r="AD669" s="0" t="n">
        <v>12</v>
      </c>
      <c r="AE669" s="0" t="s">
        <v>494</v>
      </c>
      <c r="AH669" s="0" t="n">
        <v>1</v>
      </c>
      <c r="AJ669" s="0" t="n">
        <v>10</v>
      </c>
      <c r="AP669" s="0" t="n">
        <v>440000</v>
      </c>
      <c r="DB669" s="0" t="str">
        <f aca="false">IF($A669="","",IF(AND($A669=21,$AE669&amp;""="00000000"),IF($AH669=20,"病院",IF($AH669=5,"消防","市長")),"対象外"))</f>
        <v>対象外</v>
      </c>
    </row>
    <row r="670" customFormat="false" ht="15" hidden="false" customHeight="false" outlineLevel="0" collapsed="false">
      <c r="A670" s="0" t="n">
        <v>31</v>
      </c>
      <c r="AA670" s="0" t="n">
        <v>21</v>
      </c>
      <c r="AB670" s="0" t="s">
        <v>496</v>
      </c>
      <c r="AD670" s="0" t="n">
        <v>12</v>
      </c>
      <c r="AE670" s="0" t="s">
        <v>687</v>
      </c>
      <c r="AH670" s="0" t="n">
        <v>11</v>
      </c>
      <c r="AJ670" s="0" t="n">
        <v>41</v>
      </c>
      <c r="AP670" s="0" t="n">
        <v>104000</v>
      </c>
      <c r="DB670" s="0" t="str">
        <f aca="false">IF($A670="","",IF(AND($A670=21,$AE670&amp;""="00000000"),IF($AH670=20,"病院",IF($AH670=5,"消防","市長")),"対象外"))</f>
        <v>対象外</v>
      </c>
    </row>
    <row r="671" customFormat="false" ht="15" hidden="false" customHeight="false" outlineLevel="0" collapsed="false">
      <c r="A671" s="0" t="n">
        <v>21</v>
      </c>
      <c r="AA671" s="0" t="n">
        <v>21</v>
      </c>
      <c r="AB671" s="0" t="s">
        <v>449</v>
      </c>
      <c r="AD671" s="0" t="n">
        <v>12</v>
      </c>
      <c r="AE671" s="0" t="s">
        <v>710</v>
      </c>
      <c r="AH671" s="0" t="n">
        <v>0</v>
      </c>
      <c r="AJ671" s="0" t="n">
        <v>10</v>
      </c>
      <c r="AP671" s="0" t="n">
        <v>177300</v>
      </c>
      <c r="DB671" s="0" t="str">
        <f aca="false">IF($A671="","",IF(AND($A671=21,$AE671&amp;""="00000000"),IF($AH671=20,"病院",IF($AH671=5,"消防","市長")),"対象外"))</f>
        <v>対象外</v>
      </c>
    </row>
    <row r="672" customFormat="false" ht="15" hidden="false" customHeight="false" outlineLevel="0" collapsed="false">
      <c r="A672" s="0" t="n">
        <v>21</v>
      </c>
      <c r="AA672" s="0" t="n">
        <v>21</v>
      </c>
      <c r="AB672" s="0" t="s">
        <v>711</v>
      </c>
      <c r="AD672" s="0" t="n">
        <v>12</v>
      </c>
      <c r="AE672" s="0" t="s">
        <v>463</v>
      </c>
      <c r="AH672" s="0" t="n">
        <v>0</v>
      </c>
      <c r="AJ672" s="0" t="n">
        <v>10</v>
      </c>
      <c r="AP672" s="0" t="n">
        <v>1</v>
      </c>
      <c r="DB672" s="0" t="str">
        <f aca="false">IF($A672="","",IF(AND($A672=21,$AE672&amp;""="00000000"),IF($AH672=20,"病院",IF($AH672=5,"消防","市長")),"対象外"))</f>
        <v>対象外</v>
      </c>
    </row>
    <row r="673" customFormat="false" ht="15" hidden="false" customHeight="false" outlineLevel="0" collapsed="false">
      <c r="A673" s="0" t="n">
        <v>21</v>
      </c>
      <c r="AA673" s="0" t="n">
        <v>21</v>
      </c>
      <c r="AB673" s="0" t="s">
        <v>712</v>
      </c>
      <c r="AD673" s="0" t="n">
        <v>12</v>
      </c>
      <c r="AE673" s="0" t="s">
        <v>463</v>
      </c>
      <c r="AH673" s="0" t="n">
        <v>0</v>
      </c>
      <c r="AJ673" s="0" t="n">
        <v>10</v>
      </c>
      <c r="AP673" s="0" t="n">
        <v>1</v>
      </c>
      <c r="DB673" s="0" t="str">
        <f aca="false">IF($A673="","",IF(AND($A673=21,$AE673&amp;""="00000000"),IF($AH673=20,"病院",IF($AH673=5,"消防","市長")),"対象外"))</f>
        <v>対象外</v>
      </c>
    </row>
    <row r="674" customFormat="false" ht="15" hidden="false" customHeight="false" outlineLevel="0" collapsed="false">
      <c r="A674" s="0" t="n">
        <v>21</v>
      </c>
      <c r="AA674" s="0" t="n">
        <v>21</v>
      </c>
      <c r="AB674" s="0" t="s">
        <v>647</v>
      </c>
      <c r="AD674" s="0" t="n">
        <v>12</v>
      </c>
      <c r="AE674" s="0" t="s">
        <v>463</v>
      </c>
      <c r="AH674" s="0" t="n">
        <v>0</v>
      </c>
      <c r="AJ674" s="0" t="n">
        <v>10</v>
      </c>
      <c r="AP674" s="0" t="n">
        <v>134400</v>
      </c>
      <c r="DB674" s="0" t="str">
        <f aca="false">IF($A674="","",IF(AND($A674=21,$AE674&amp;""="00000000"),IF($AH674=20,"病院",IF($AH674=5,"消防","市長")),"対象外"))</f>
        <v>対象外</v>
      </c>
    </row>
    <row r="675" customFormat="false" ht="15" hidden="false" customHeight="false" outlineLevel="0" collapsed="false">
      <c r="A675" s="0" t="n">
        <v>21</v>
      </c>
      <c r="AA675" s="0" t="n">
        <v>21</v>
      </c>
      <c r="AB675" s="0" t="s">
        <v>713</v>
      </c>
      <c r="AD675" s="0" t="n">
        <v>12</v>
      </c>
      <c r="AE675" s="0" t="s">
        <v>714</v>
      </c>
      <c r="AH675" s="0" t="n">
        <v>0</v>
      </c>
      <c r="AJ675" s="0" t="n">
        <v>10</v>
      </c>
      <c r="AP675" s="0" t="n">
        <v>1</v>
      </c>
      <c r="DB675" s="0" t="str">
        <f aca="false">IF($A675="","",IF(AND($A675=21,$AE675&amp;""="00000000"),IF($AH675=20,"病院",IF($AH675=5,"消防","市長")),"対象外"))</f>
        <v>対象外</v>
      </c>
    </row>
    <row r="676" customFormat="false" ht="15" hidden="false" customHeight="false" outlineLevel="0" collapsed="false">
      <c r="A676" s="0" t="n">
        <v>21</v>
      </c>
      <c r="AA676" s="0" t="n">
        <v>21</v>
      </c>
      <c r="AB676" s="0" t="s">
        <v>413</v>
      </c>
      <c r="AD676" s="0" t="n">
        <v>12</v>
      </c>
      <c r="AE676" s="0" t="s">
        <v>458</v>
      </c>
      <c r="AH676" s="0" t="n">
        <v>1</v>
      </c>
      <c r="AJ676" s="0" t="n">
        <v>10</v>
      </c>
      <c r="AP676" s="0" t="n">
        <v>620000</v>
      </c>
      <c r="DB676" s="0" t="str">
        <f aca="false">IF($A676="","",IF(AND($A676=21,$AE676&amp;""="00000000"),IF($AH676=20,"病院",IF($AH676=5,"消防","市長")),"対象外"))</f>
        <v>対象外</v>
      </c>
    </row>
    <row r="677" customFormat="false" ht="15" hidden="false" customHeight="false" outlineLevel="0" collapsed="false">
      <c r="A677" s="0" t="n">
        <v>21</v>
      </c>
      <c r="AA677" s="0" t="n">
        <v>21</v>
      </c>
      <c r="AB677" s="0" t="s">
        <v>715</v>
      </c>
      <c r="AD677" s="0" t="n">
        <v>12</v>
      </c>
      <c r="AE677" s="0" t="s">
        <v>463</v>
      </c>
      <c r="AH677" s="0" t="n">
        <v>0</v>
      </c>
      <c r="AJ677" s="0" t="n">
        <v>10</v>
      </c>
      <c r="AP677" s="0" t="n">
        <v>1</v>
      </c>
      <c r="DB677" s="0" t="str">
        <f aca="false">IF($A677="","",IF(AND($A677=21,$AE677&amp;""="00000000"),IF($AH677=20,"病院",IF($AH677=5,"消防","市長")),"対象外"))</f>
        <v>対象外</v>
      </c>
    </row>
    <row r="678" customFormat="false" ht="15" hidden="false" customHeight="false" outlineLevel="0" collapsed="false">
      <c r="A678" s="0" t="n">
        <v>21</v>
      </c>
      <c r="AA678" s="0" t="n">
        <v>21</v>
      </c>
      <c r="AB678" s="0" t="s">
        <v>448</v>
      </c>
      <c r="AD678" s="0" t="n">
        <v>12</v>
      </c>
      <c r="AE678" s="0" t="s">
        <v>463</v>
      </c>
      <c r="AH678" s="0" t="n">
        <v>0</v>
      </c>
      <c r="AJ678" s="0" t="n">
        <v>10</v>
      </c>
      <c r="AP678" s="0" t="n">
        <v>1</v>
      </c>
      <c r="DB678" s="0" t="str">
        <f aca="false">IF($A678="","",IF(AND($A678=21,$AE678&amp;""="00000000"),IF($AH678=20,"病院",IF($AH678=5,"消防","市長")),"対象外"))</f>
        <v>対象外</v>
      </c>
    </row>
    <row r="679" customFormat="false" ht="15" hidden="false" customHeight="false" outlineLevel="0" collapsed="false">
      <c r="A679" s="0" t="n">
        <v>21</v>
      </c>
      <c r="AA679" s="0" t="n">
        <v>21</v>
      </c>
      <c r="AB679" s="0" t="s">
        <v>417</v>
      </c>
      <c r="AD679" s="0" t="n">
        <v>12</v>
      </c>
      <c r="AE679" s="0" t="s">
        <v>463</v>
      </c>
      <c r="AH679" s="0" t="n">
        <v>0</v>
      </c>
      <c r="AJ679" s="0" t="n">
        <v>10</v>
      </c>
      <c r="AP679" s="0" t="n">
        <v>1</v>
      </c>
      <c r="DB679" s="0" t="str">
        <f aca="false">IF($A679="","",IF(AND($A679=21,$AE679&amp;""="00000000"),IF($AH679=20,"病院",IF($AH679=5,"消防","市長")),"対象外"))</f>
        <v>対象外</v>
      </c>
    </row>
    <row r="680" customFormat="false" ht="15" hidden="false" customHeight="false" outlineLevel="0" collapsed="false">
      <c r="A680" s="0" t="n">
        <v>21</v>
      </c>
      <c r="AA680" s="0" t="n">
        <v>21</v>
      </c>
      <c r="AB680" s="0" t="s">
        <v>418</v>
      </c>
      <c r="AD680" s="0" t="n">
        <v>12</v>
      </c>
      <c r="AE680" s="0" t="s">
        <v>716</v>
      </c>
      <c r="AH680" s="0" t="n">
        <v>0</v>
      </c>
      <c r="AJ680" s="0" t="n">
        <v>10</v>
      </c>
      <c r="AP680" s="0" t="n">
        <v>1</v>
      </c>
      <c r="DB680" s="0" t="str">
        <f aca="false">IF($A680="","",IF(AND($A680=21,$AE680&amp;""="00000000"),IF($AH680=20,"病院",IF($AH680=5,"消防","市長")),"対象外"))</f>
        <v>対象外</v>
      </c>
    </row>
    <row r="681" customFormat="false" ht="15" hidden="false" customHeight="false" outlineLevel="0" collapsed="false">
      <c r="A681" s="0" t="n">
        <v>21</v>
      </c>
      <c r="AA681" s="0" t="n">
        <v>21</v>
      </c>
      <c r="AB681" s="0" t="s">
        <v>717</v>
      </c>
      <c r="AD681" s="0" t="n">
        <v>12</v>
      </c>
      <c r="AE681" s="0" t="s">
        <v>718</v>
      </c>
      <c r="AH681" s="0" t="n">
        <v>0</v>
      </c>
      <c r="AJ681" s="0" t="n">
        <v>10</v>
      </c>
      <c r="AP681" s="0" t="n">
        <v>109620</v>
      </c>
      <c r="DB681" s="0" t="str">
        <f aca="false">IF($A681="","",IF(AND($A681=21,$AE681&amp;""="00000000"),IF($AH681=20,"病院",IF($AH681=5,"消防","市長")),"対象外"))</f>
        <v>対象外</v>
      </c>
    </row>
    <row r="682" customFormat="false" ht="15" hidden="false" customHeight="false" outlineLevel="0" collapsed="false">
      <c r="A682" s="0" t="n">
        <v>21</v>
      </c>
      <c r="AA682" s="0" t="n">
        <v>21</v>
      </c>
      <c r="AB682" s="0" t="s">
        <v>409</v>
      </c>
      <c r="AD682" s="0" t="n">
        <v>12</v>
      </c>
      <c r="AE682" s="0" t="s">
        <v>442</v>
      </c>
      <c r="AH682" s="0" t="n">
        <v>1</v>
      </c>
      <c r="AJ682" s="0" t="n">
        <v>10</v>
      </c>
      <c r="AP682" s="0" t="n">
        <v>500000</v>
      </c>
      <c r="DB682" s="0" t="str">
        <f aca="false">IF($A682="","",IF(AND($A682=21,$AE682&amp;""="00000000"),IF($AH682=20,"病院",IF($AH682=5,"消防","市長")),"対象外"))</f>
        <v>対象外</v>
      </c>
    </row>
    <row r="683" customFormat="false" ht="15" hidden="false" customHeight="false" outlineLevel="0" collapsed="false">
      <c r="A683" s="0" t="n">
        <v>21</v>
      </c>
      <c r="AA683" s="0" t="n">
        <v>21</v>
      </c>
      <c r="AB683" s="0" t="s">
        <v>719</v>
      </c>
      <c r="AD683" s="0" t="n">
        <v>12</v>
      </c>
      <c r="AE683" s="0" t="s">
        <v>463</v>
      </c>
      <c r="AH683" s="0" t="n">
        <v>0</v>
      </c>
      <c r="AJ683" s="0" t="n">
        <v>10</v>
      </c>
      <c r="AP683" s="0" t="n">
        <v>1</v>
      </c>
      <c r="DB683" s="0" t="str">
        <f aca="false">IF($A683="","",IF(AND($A683=21,$AE683&amp;""="00000000"),IF($AH683=20,"病院",IF($AH683=5,"消防","市長")),"対象外"))</f>
        <v>対象外</v>
      </c>
    </row>
    <row r="684" customFormat="false" ht="15" hidden="false" customHeight="false" outlineLevel="0" collapsed="false">
      <c r="A684" s="0" t="n">
        <v>21</v>
      </c>
      <c r="AA684" s="0" t="n">
        <v>21</v>
      </c>
      <c r="AB684" s="0" t="s">
        <v>462</v>
      </c>
      <c r="AD684" s="0" t="n">
        <v>12</v>
      </c>
      <c r="AE684" s="0" t="s">
        <v>720</v>
      </c>
      <c r="AH684" s="0" t="n">
        <v>0</v>
      </c>
      <c r="AJ684" s="0" t="n">
        <v>10</v>
      </c>
      <c r="AP684" s="0" t="n">
        <v>165400</v>
      </c>
      <c r="DB684" s="0" t="str">
        <f aca="false">IF($A684="","",IF(AND($A684=21,$AE684&amp;""="00000000"),IF($AH684=20,"病院",IF($AH684=5,"消防","市長")),"対象外"))</f>
        <v>対象外</v>
      </c>
    </row>
    <row r="685" customFormat="false" ht="15" hidden="false" customHeight="false" outlineLevel="0" collapsed="false">
      <c r="A685" s="0" t="n">
        <v>31</v>
      </c>
      <c r="AA685" s="0" t="n">
        <v>21</v>
      </c>
      <c r="AB685" s="0" t="s">
        <v>496</v>
      </c>
      <c r="AD685" s="0" t="n">
        <v>12</v>
      </c>
      <c r="AE685" s="0" t="s">
        <v>721</v>
      </c>
      <c r="AH685" s="0" t="n">
        <v>11</v>
      </c>
      <c r="AJ685" s="0" t="n">
        <v>41</v>
      </c>
      <c r="AP685" s="0" t="n">
        <v>98000</v>
      </c>
      <c r="DB685" s="0" t="str">
        <f aca="false">IF($A685="","",IF(AND($A685=21,$AE685&amp;""="00000000"),IF($AH685=20,"病院",IF($AH685=5,"消防","市長")),"対象外"))</f>
        <v>対象外</v>
      </c>
    </row>
    <row r="686" customFormat="false" ht="15" hidden="false" customHeight="false" outlineLevel="0" collapsed="false">
      <c r="A686" s="0" t="n">
        <v>31</v>
      </c>
      <c r="AA686" s="0" t="n">
        <v>21</v>
      </c>
      <c r="AB686" s="0" t="s">
        <v>513</v>
      </c>
      <c r="AD686" s="0" t="n">
        <v>12</v>
      </c>
      <c r="AE686" s="0" t="s">
        <v>569</v>
      </c>
      <c r="AH686" s="0" t="n">
        <v>20</v>
      </c>
      <c r="AJ686" s="0" t="n">
        <v>41</v>
      </c>
      <c r="AP686" s="0" t="n">
        <v>150000</v>
      </c>
      <c r="DB686" s="0" t="str">
        <f aca="false">IF($A686="","",IF(AND($A686=21,$AE686&amp;""="00000000"),IF($AH686=20,"病院",IF($AH686=5,"消防","市長")),"対象外"))</f>
        <v>対象外</v>
      </c>
    </row>
    <row r="687" customFormat="false" ht="15" hidden="false" customHeight="false" outlineLevel="0" collapsed="false">
      <c r="A687" s="0" t="n">
        <v>21</v>
      </c>
      <c r="AA687" s="0" t="n">
        <v>21</v>
      </c>
      <c r="AB687" s="0" t="s">
        <v>722</v>
      </c>
      <c r="AD687" s="0" t="n">
        <v>12</v>
      </c>
      <c r="AE687" s="0" t="s">
        <v>463</v>
      </c>
      <c r="AH687" s="0" t="n">
        <v>0</v>
      </c>
      <c r="AJ687" s="0" t="n">
        <v>10</v>
      </c>
      <c r="AP687" s="0" t="n">
        <v>133260</v>
      </c>
      <c r="DB687" s="0" t="str">
        <f aca="false">IF($A687="","",IF(AND($A687=21,$AE687&amp;""="00000000"),IF($AH687=20,"病院",IF($AH687=5,"消防","市長")),"対象外"))</f>
        <v>対象外</v>
      </c>
    </row>
    <row r="688" customFormat="false" ht="15" hidden="false" customHeight="false" outlineLevel="0" collapsed="false">
      <c r="A688" s="0" t="n">
        <v>21</v>
      </c>
      <c r="AA688" s="0" t="n">
        <v>21</v>
      </c>
      <c r="AB688" s="0" t="s">
        <v>446</v>
      </c>
      <c r="AD688" s="0" t="n">
        <v>12</v>
      </c>
      <c r="AE688" s="0" t="s">
        <v>463</v>
      </c>
      <c r="AH688" s="0" t="n">
        <v>0</v>
      </c>
      <c r="AJ688" s="0" t="n">
        <v>10</v>
      </c>
      <c r="AP688" s="0" t="n">
        <v>1</v>
      </c>
      <c r="DB688" s="0" t="str">
        <f aca="false">IF($A688="","",IF(AND($A688=21,$AE688&amp;""="00000000"),IF($AH688=20,"病院",IF($AH688=5,"消防","市長")),"対象外"))</f>
        <v>対象外</v>
      </c>
    </row>
    <row r="689" customFormat="false" ht="15" hidden="false" customHeight="false" outlineLevel="0" collapsed="false">
      <c r="A689" s="0" t="n">
        <v>21</v>
      </c>
      <c r="AA689" s="0" t="n">
        <v>21</v>
      </c>
      <c r="AB689" s="0" t="s">
        <v>405</v>
      </c>
      <c r="AD689" s="0" t="n">
        <v>15</v>
      </c>
      <c r="AE689" s="0" t="s">
        <v>723</v>
      </c>
      <c r="AH689" s="0" t="n">
        <v>20</v>
      </c>
      <c r="AJ689" s="0" t="n">
        <v>10</v>
      </c>
      <c r="AP689" s="0" t="n">
        <v>680000</v>
      </c>
      <c r="DB689" s="0" t="str">
        <f aca="false">IF($A689="","",IF(AND($A689=21,$AE689&amp;""="00000000"),IF($AH689=20,"病院",IF($AH689=5,"消防","市長")),"対象外"))</f>
        <v>対象外</v>
      </c>
    </row>
    <row r="690" customFormat="false" ht="15" hidden="false" customHeight="false" outlineLevel="0" collapsed="false">
      <c r="A690" s="0" t="n">
        <v>21</v>
      </c>
      <c r="AA690" s="0" t="n">
        <v>21</v>
      </c>
      <c r="AB690" s="0" t="s">
        <v>724</v>
      </c>
      <c r="AD690" s="0" t="n">
        <v>12</v>
      </c>
      <c r="AE690" s="0" t="s">
        <v>725</v>
      </c>
      <c r="AH690" s="0" t="n">
        <v>20</v>
      </c>
      <c r="AJ690" s="0" t="n">
        <v>10</v>
      </c>
      <c r="AP690" s="0" t="n">
        <v>300000</v>
      </c>
      <c r="DB690" s="0" t="str">
        <f aca="false">IF($A690="","",IF(AND($A690=21,$AE690&amp;""="00000000"),IF($AH690=20,"病院",IF($AH690=5,"消防","市長")),"対象外"))</f>
        <v>対象外</v>
      </c>
    </row>
    <row r="691" customFormat="false" ht="15" hidden="false" customHeight="false" outlineLevel="0" collapsed="false">
      <c r="A691" s="0" t="n">
        <v>31</v>
      </c>
      <c r="AA691" s="0" t="n">
        <v>21</v>
      </c>
      <c r="AB691" s="0" t="s">
        <v>494</v>
      </c>
      <c r="AD691" s="0" t="n">
        <v>12</v>
      </c>
      <c r="AE691" s="0" t="s">
        <v>598</v>
      </c>
      <c r="AH691" s="0" t="n">
        <v>1</v>
      </c>
      <c r="AJ691" s="0" t="n">
        <v>41</v>
      </c>
      <c r="AP691" s="0" t="n">
        <v>170000</v>
      </c>
      <c r="DB691" s="0" t="str">
        <f aca="false">IF($A691="","",IF(AND($A691=21,$AE691&amp;""="00000000"),IF($AH691=20,"病院",IF($AH691=5,"消防","市長")),"対象外"))</f>
        <v>対象外</v>
      </c>
    </row>
    <row r="692" customFormat="false" ht="15" hidden="false" customHeight="false" outlineLevel="0" collapsed="false">
      <c r="A692" s="0" t="n">
        <v>21</v>
      </c>
      <c r="AA692" s="0" t="n">
        <v>21</v>
      </c>
      <c r="AB692" s="0" t="s">
        <v>400</v>
      </c>
      <c r="AD692" s="0" t="n">
        <v>12</v>
      </c>
      <c r="AE692" s="0" t="s">
        <v>478</v>
      </c>
      <c r="AH692" s="0" t="n">
        <v>11</v>
      </c>
      <c r="AJ692" s="0" t="n">
        <v>10</v>
      </c>
      <c r="AP692" s="0" t="n">
        <v>560000</v>
      </c>
      <c r="DB692" s="0" t="str">
        <f aca="false">IF($A692="","",IF(AND($A692=21,$AE692&amp;""="00000000"),IF($AH692=20,"病院",IF($AH692=5,"消防","市長")),"対象外"))</f>
        <v>対象外</v>
      </c>
    </row>
    <row r="693" customFormat="false" ht="15" hidden="false" customHeight="false" outlineLevel="0" collapsed="false">
      <c r="A693" s="0" t="n">
        <v>31</v>
      </c>
      <c r="AA693" s="0" t="n">
        <v>21</v>
      </c>
      <c r="AB693" s="0" t="s">
        <v>558</v>
      </c>
      <c r="AD693" s="0" t="n">
        <v>12</v>
      </c>
      <c r="AE693" s="0" t="s">
        <v>726</v>
      </c>
      <c r="AH693" s="0" t="n">
        <v>11</v>
      </c>
      <c r="AJ693" s="0" t="n">
        <v>41</v>
      </c>
      <c r="AP693" s="0" t="n">
        <v>88000</v>
      </c>
      <c r="DB693" s="0" t="str">
        <f aca="false">IF($A693="","",IF(AND($A693=21,$AE693&amp;""="00000000"),IF($AH693=20,"病院",IF($AH693=5,"消防","市長")),"対象外"))</f>
        <v>対象外</v>
      </c>
    </row>
    <row r="694" customFormat="false" ht="15" hidden="false" customHeight="false" outlineLevel="0" collapsed="false">
      <c r="A694" s="0" t="n">
        <v>21</v>
      </c>
      <c r="AA694" s="0" t="n">
        <v>24</v>
      </c>
      <c r="AB694" s="0" t="s">
        <v>673</v>
      </c>
      <c r="AD694" s="0" t="n">
        <v>12</v>
      </c>
      <c r="AE694" s="0" t="s">
        <v>463</v>
      </c>
      <c r="AH694" s="0" t="n">
        <v>0</v>
      </c>
      <c r="AJ694" s="0" t="n">
        <v>10</v>
      </c>
      <c r="AP694" s="0" t="n">
        <v>158760</v>
      </c>
      <c r="DB694" s="0" t="str">
        <f aca="false">IF($A694="","",IF(AND($A694=21,$AE694&amp;""="00000000"),IF($AH694=20,"病院",IF($AH694=5,"消防","市長")),"対象外"))</f>
        <v>対象外</v>
      </c>
    </row>
    <row r="695" customFormat="false" ht="15" hidden="false" customHeight="false" outlineLevel="0" collapsed="false">
      <c r="A695" s="0" t="n">
        <v>21</v>
      </c>
      <c r="AA695" s="0" t="n">
        <v>21</v>
      </c>
      <c r="AB695" s="0" t="s">
        <v>727</v>
      </c>
      <c r="AD695" s="0" t="n">
        <v>12</v>
      </c>
      <c r="AE695" s="0" t="s">
        <v>536</v>
      </c>
      <c r="AH695" s="0" t="n">
        <v>20</v>
      </c>
      <c r="AJ695" s="0" t="n">
        <v>10</v>
      </c>
      <c r="AP695" s="0" t="n">
        <v>260000</v>
      </c>
      <c r="DB695" s="0" t="str">
        <f aca="false">IF($A695="","",IF(AND($A695=21,$AE695&amp;""="00000000"),IF($AH695=20,"病院",IF($AH695=5,"消防","市長")),"対象外"))</f>
        <v>対象外</v>
      </c>
    </row>
    <row r="696" customFormat="false" ht="15" hidden="false" customHeight="false" outlineLevel="0" collapsed="false">
      <c r="A696" s="0" t="n">
        <v>31</v>
      </c>
      <c r="AA696" s="0" t="n">
        <v>21</v>
      </c>
      <c r="AB696" s="0" t="s">
        <v>536</v>
      </c>
      <c r="AD696" s="0" t="n">
        <v>12</v>
      </c>
      <c r="AE696" s="0" t="s">
        <v>377</v>
      </c>
      <c r="AH696" s="0" t="n">
        <v>20</v>
      </c>
      <c r="AJ696" s="0" t="n">
        <v>41</v>
      </c>
      <c r="AP696" s="0" t="n">
        <v>180000</v>
      </c>
      <c r="DB696" s="0" t="str">
        <f aca="false">IF($A696="","",IF(AND($A696=21,$AE696&amp;""="00000000"),IF($AH696=20,"病院",IF($AH696=5,"消防","市長")),"対象外"))</f>
        <v>対象外</v>
      </c>
    </row>
    <row r="697" customFormat="false" ht="15" hidden="false" customHeight="false" outlineLevel="0" collapsed="false">
      <c r="A697" s="0" t="n">
        <v>31</v>
      </c>
      <c r="AA697" s="0" t="n">
        <v>21</v>
      </c>
      <c r="AB697" s="0" t="s">
        <v>508</v>
      </c>
      <c r="AD697" s="0" t="n">
        <v>12</v>
      </c>
      <c r="AE697" s="0" t="s">
        <v>491</v>
      </c>
      <c r="AH697" s="0" t="n">
        <v>1</v>
      </c>
      <c r="AJ697" s="0" t="n">
        <v>41</v>
      </c>
      <c r="AP697" s="0" t="n">
        <v>180000</v>
      </c>
      <c r="DB697" s="0" t="str">
        <f aca="false">IF($A697="","",IF(AND($A697=21,$AE697&amp;""="00000000"),IF($AH697=20,"病院",IF($AH697=5,"消防","市長")),"対象外"))</f>
        <v>対象外</v>
      </c>
    </row>
    <row r="698" customFormat="false" ht="15" hidden="false" customHeight="false" outlineLevel="0" collapsed="false">
      <c r="A698" s="0" t="n">
        <v>21</v>
      </c>
      <c r="AA698" s="0" t="n">
        <v>21</v>
      </c>
      <c r="AB698" s="0" t="s">
        <v>728</v>
      </c>
      <c r="AD698" s="0" t="n">
        <v>12</v>
      </c>
      <c r="AE698" s="0" t="s">
        <v>463</v>
      </c>
      <c r="AH698" s="0" t="n">
        <v>0</v>
      </c>
      <c r="AJ698" s="0" t="n">
        <v>10</v>
      </c>
      <c r="AP698" s="0" t="n">
        <v>1</v>
      </c>
      <c r="DB698" s="0" t="str">
        <f aca="false">IF($A698="","",IF(AND($A698=21,$AE698&amp;""="00000000"),IF($AH698=20,"病院",IF($AH698=5,"消防","市長")),"対象外"))</f>
        <v>対象外</v>
      </c>
    </row>
    <row r="699" customFormat="false" ht="15" hidden="false" customHeight="false" outlineLevel="0" collapsed="false">
      <c r="A699" s="0" t="n">
        <v>31</v>
      </c>
      <c r="AA699" s="0" t="n">
        <v>21</v>
      </c>
      <c r="AB699" s="0" t="s">
        <v>496</v>
      </c>
      <c r="AD699" s="0" t="n">
        <v>12</v>
      </c>
      <c r="AE699" s="0" t="s">
        <v>513</v>
      </c>
      <c r="AH699" s="0" t="n">
        <v>20</v>
      </c>
      <c r="AJ699" s="0" t="n">
        <v>41</v>
      </c>
      <c r="AP699" s="0" t="n">
        <v>150000</v>
      </c>
      <c r="DB699" s="0" t="str">
        <f aca="false">IF($A699="","",IF(AND($A699=21,$AE699&amp;""="00000000"),IF($AH699=20,"病院",IF($AH699=5,"消防","市長")),"対象外"))</f>
        <v>対象外</v>
      </c>
    </row>
    <row r="700" customFormat="false" ht="15" hidden="false" customHeight="false" outlineLevel="0" collapsed="false">
      <c r="A700" s="0" t="n">
        <v>21</v>
      </c>
      <c r="AA700" s="0" t="n">
        <v>21</v>
      </c>
      <c r="AB700" s="0" t="s">
        <v>704</v>
      </c>
      <c r="AD700" s="0" t="n">
        <v>12</v>
      </c>
      <c r="AE700" s="0" t="s">
        <v>729</v>
      </c>
      <c r="AH700" s="0" t="n">
        <v>20</v>
      </c>
      <c r="AJ700" s="0" t="n">
        <v>10</v>
      </c>
      <c r="AP700" s="0" t="n">
        <v>311100</v>
      </c>
      <c r="DB700" s="0" t="str">
        <f aca="false">IF($A700="","",IF(AND($A700=21,$AE700&amp;""="00000000"),IF($AH700=20,"病院",IF($AH700=5,"消防","市長")),"対象外"))</f>
        <v>対象外</v>
      </c>
    </row>
    <row r="701" customFormat="false" ht="15" hidden="false" customHeight="false" outlineLevel="0" collapsed="false">
      <c r="A701" s="0" t="n">
        <v>31</v>
      </c>
      <c r="AA701" s="0" t="n">
        <v>21</v>
      </c>
      <c r="AB701" s="0" t="s">
        <v>617</v>
      </c>
      <c r="AD701" s="0" t="n">
        <v>12</v>
      </c>
      <c r="AE701" s="0" t="s">
        <v>730</v>
      </c>
      <c r="AH701" s="0" t="n">
        <v>11</v>
      </c>
      <c r="AJ701" s="0" t="n">
        <v>41</v>
      </c>
      <c r="AP701" s="0" t="n">
        <v>104000</v>
      </c>
      <c r="DB701" s="0" t="str">
        <f aca="false">IF($A701="","",IF(AND($A701=21,$AE701&amp;""="00000000"),IF($AH701=20,"病院",IF($AH701=5,"消防","市長")),"対象外"))</f>
        <v>対象外</v>
      </c>
    </row>
    <row r="702" customFormat="false" ht="15" hidden="false" customHeight="false" outlineLevel="0" collapsed="false">
      <c r="A702" s="0" t="n">
        <v>21</v>
      </c>
      <c r="AA702" s="0" t="n">
        <v>21</v>
      </c>
      <c r="AB702" s="0" t="s">
        <v>719</v>
      </c>
      <c r="AD702" s="0" t="n">
        <v>12</v>
      </c>
      <c r="AE702" s="0" t="s">
        <v>463</v>
      </c>
      <c r="AH702" s="0" t="n">
        <v>0</v>
      </c>
      <c r="AJ702" s="0" t="n">
        <v>10</v>
      </c>
      <c r="AP702" s="0" t="n">
        <v>1</v>
      </c>
      <c r="DB702" s="0" t="str">
        <f aca="false">IF($A702="","",IF(AND($A702=21,$AE702&amp;""="00000000"),IF($AH702=20,"病院",IF($AH702=5,"消防","市長")),"対象外"))</f>
        <v>対象外</v>
      </c>
    </row>
    <row r="703" customFormat="false" ht="15" hidden="false" customHeight="false" outlineLevel="0" collapsed="false">
      <c r="A703" s="0" t="n">
        <v>21</v>
      </c>
      <c r="AA703" s="0" t="n">
        <v>21</v>
      </c>
      <c r="AB703" s="0" t="s">
        <v>647</v>
      </c>
      <c r="AD703" s="0" t="n">
        <v>12</v>
      </c>
      <c r="AE703" s="0" t="s">
        <v>463</v>
      </c>
      <c r="AH703" s="0" t="n">
        <v>0</v>
      </c>
      <c r="AJ703" s="0" t="n">
        <v>10</v>
      </c>
      <c r="AP703" s="0" t="n">
        <v>136395</v>
      </c>
      <c r="DB703" s="0" t="str">
        <f aca="false">IF($A703="","",IF(AND($A703=21,$AE703&amp;""="00000000"),IF($AH703=20,"病院",IF($AH703=5,"消防","市長")),"対象外"))</f>
        <v>対象外</v>
      </c>
    </row>
    <row r="704" customFormat="false" ht="15" hidden="false" customHeight="false" outlineLevel="0" collapsed="false">
      <c r="A704" s="0" t="n">
        <v>21</v>
      </c>
      <c r="AA704" s="0" t="n">
        <v>21</v>
      </c>
      <c r="AB704" s="0" t="s">
        <v>426</v>
      </c>
      <c r="AD704" s="0" t="n">
        <v>12</v>
      </c>
      <c r="AE704" s="0" t="s">
        <v>600</v>
      </c>
      <c r="AH704" s="0" t="n">
        <v>20</v>
      </c>
      <c r="AJ704" s="0" t="n">
        <v>10</v>
      </c>
      <c r="AP704" s="0" t="n">
        <v>240000</v>
      </c>
      <c r="DB704" s="0" t="str">
        <f aca="false">IF($A704="","",IF(AND($A704=21,$AE704&amp;""="00000000"),IF($AH704=20,"病院",IF($AH704=5,"消防","市長")),"対象外"))</f>
        <v>対象外</v>
      </c>
    </row>
    <row r="705" customFormat="false" ht="15" hidden="false" customHeight="false" outlineLevel="0" collapsed="false">
      <c r="A705" s="0" t="n">
        <v>21</v>
      </c>
      <c r="AA705" s="0" t="n">
        <v>21</v>
      </c>
      <c r="AB705" s="0" t="s">
        <v>493</v>
      </c>
      <c r="AD705" s="0" t="n">
        <v>12</v>
      </c>
      <c r="AE705" s="0" t="s">
        <v>509</v>
      </c>
      <c r="AH705" s="0" t="n">
        <v>20</v>
      </c>
      <c r="AJ705" s="0" t="n">
        <v>10</v>
      </c>
      <c r="AP705" s="0" t="n">
        <v>240000</v>
      </c>
      <c r="DB705" s="0" t="str">
        <f aca="false">IF($A705="","",IF(AND($A705=21,$AE705&amp;""="00000000"),IF($AH705=20,"病院",IF($AH705=5,"消防","市長")),"対象外"))</f>
        <v>対象外</v>
      </c>
    </row>
    <row r="706" customFormat="false" ht="15" hidden="false" customHeight="false" outlineLevel="0" collapsed="false">
      <c r="A706" s="0" t="n">
        <v>31</v>
      </c>
      <c r="AA706" s="0" t="n">
        <v>21</v>
      </c>
      <c r="AB706" s="0" t="s">
        <v>731</v>
      </c>
      <c r="AD706" s="0" t="n">
        <v>12</v>
      </c>
      <c r="AE706" s="0" t="s">
        <v>732</v>
      </c>
      <c r="AH706" s="0" t="n">
        <v>11</v>
      </c>
      <c r="AJ706" s="0" t="n">
        <v>41</v>
      </c>
      <c r="AP706" s="0" t="n">
        <v>110000</v>
      </c>
      <c r="DB706" s="0" t="str">
        <f aca="false">IF($A706="","",IF(AND($A706=21,$AE706&amp;""="00000000"),IF($AH706=20,"病院",IF($AH706=5,"消防","市長")),"対象外"))</f>
        <v>対象外</v>
      </c>
    </row>
    <row r="707" customFormat="false" ht="15" hidden="false" customHeight="false" outlineLevel="0" collapsed="false">
      <c r="A707" s="0" t="n">
        <v>31</v>
      </c>
      <c r="AA707" s="0" t="n">
        <v>21</v>
      </c>
      <c r="AB707" s="0" t="s">
        <v>496</v>
      </c>
      <c r="AD707" s="0" t="n">
        <v>12</v>
      </c>
      <c r="AE707" s="0" t="s">
        <v>687</v>
      </c>
      <c r="AH707" s="0" t="n">
        <v>11</v>
      </c>
      <c r="AJ707" s="0" t="n">
        <v>41</v>
      </c>
      <c r="AP707" s="0" t="n">
        <v>118000</v>
      </c>
      <c r="DB707" s="0" t="str">
        <f aca="false">IF($A707="","",IF(AND($A707=21,$AE707&amp;""="00000000"),IF($AH707=20,"病院",IF($AH707=5,"消防","市長")),"対象外"))</f>
        <v>対象外</v>
      </c>
    </row>
    <row r="708" customFormat="false" ht="15" hidden="false" customHeight="false" outlineLevel="0" collapsed="false">
      <c r="A708" s="0" t="n">
        <v>21</v>
      </c>
      <c r="AA708" s="0" t="n">
        <v>21</v>
      </c>
      <c r="AB708" s="0" t="s">
        <v>733</v>
      </c>
      <c r="AD708" s="0" t="n">
        <v>12</v>
      </c>
      <c r="AE708" s="0" t="s">
        <v>462</v>
      </c>
      <c r="AH708" s="0" t="n">
        <v>0</v>
      </c>
      <c r="AJ708" s="0" t="n">
        <v>10</v>
      </c>
      <c r="AP708" s="0" t="n">
        <v>1</v>
      </c>
      <c r="DB708" s="0" t="str">
        <f aca="false">IF($A708="","",IF(AND($A708=21,$AE708&amp;""="00000000"),IF($AH708=20,"病院",IF($AH708=5,"消防","市長")),"対象外"))</f>
        <v>対象外</v>
      </c>
    </row>
    <row r="709" customFormat="false" ht="15" hidden="false" customHeight="false" outlineLevel="0" collapsed="false">
      <c r="A709" s="0" t="n">
        <v>21</v>
      </c>
      <c r="AA709" s="0" t="n">
        <v>21</v>
      </c>
      <c r="AB709" s="0" t="s">
        <v>457</v>
      </c>
      <c r="AD709" s="0" t="n">
        <v>12</v>
      </c>
      <c r="AE709" s="0" t="s">
        <v>463</v>
      </c>
      <c r="AH709" s="0" t="n">
        <v>0</v>
      </c>
      <c r="AJ709" s="0" t="n">
        <v>10</v>
      </c>
      <c r="AP709" s="0" t="n">
        <v>1</v>
      </c>
      <c r="DB709" s="0" t="str">
        <f aca="false">IF($A709="","",IF(AND($A709=21,$AE709&amp;""="00000000"),IF($AH709=20,"病院",IF($AH709=5,"消防","市長")),"対象外"))</f>
        <v>対象外</v>
      </c>
    </row>
    <row r="710" customFormat="false" ht="15" hidden="false" customHeight="false" outlineLevel="0" collapsed="false">
      <c r="A710" s="0" t="n">
        <v>21</v>
      </c>
      <c r="AA710" s="0" t="n">
        <v>21</v>
      </c>
      <c r="AB710" s="0" t="s">
        <v>653</v>
      </c>
      <c r="AD710" s="0" t="n">
        <v>12</v>
      </c>
      <c r="AE710" s="0" t="s">
        <v>463</v>
      </c>
      <c r="AH710" s="0" t="n">
        <v>0</v>
      </c>
      <c r="AJ710" s="0" t="n">
        <v>10</v>
      </c>
      <c r="AP710" s="0" t="n">
        <v>1</v>
      </c>
      <c r="DB710" s="0" t="str">
        <f aca="false">IF($A710="","",IF(AND($A710=21,$AE710&amp;""="00000000"),IF($AH710=20,"病院",IF($AH710=5,"消防","市長")),"対象外"))</f>
        <v>対象外</v>
      </c>
    </row>
    <row r="711" customFormat="false" ht="15" hidden="false" customHeight="false" outlineLevel="0" collapsed="false">
      <c r="A711" s="0" t="n">
        <v>21</v>
      </c>
      <c r="AA711" s="0" t="n">
        <v>21</v>
      </c>
      <c r="AB711" s="0" t="s">
        <v>734</v>
      </c>
      <c r="AD711" s="0" t="n">
        <v>12</v>
      </c>
      <c r="AE711" s="0" t="s">
        <v>463</v>
      </c>
      <c r="AH711" s="0" t="n">
        <v>0</v>
      </c>
      <c r="AJ711" s="0" t="n">
        <v>10</v>
      </c>
      <c r="AP711" s="0" t="n">
        <v>1</v>
      </c>
      <c r="DB711" s="0" t="str">
        <f aca="false">IF($A711="","",IF(AND($A711=21,$AE711&amp;""="00000000"),IF($AH711=20,"病院",IF($AH711=5,"消防","市長")),"対象外"))</f>
        <v>対象外</v>
      </c>
    </row>
    <row r="712" customFormat="false" ht="15" hidden="false" customHeight="false" outlineLevel="0" collapsed="false">
      <c r="A712" s="0" t="n">
        <v>21</v>
      </c>
      <c r="AA712" s="0" t="n">
        <v>21</v>
      </c>
      <c r="AB712" s="0" t="s">
        <v>735</v>
      </c>
      <c r="AD712" s="0" t="n">
        <v>12</v>
      </c>
      <c r="AE712" s="0" t="s">
        <v>463</v>
      </c>
      <c r="AH712" s="0" t="n">
        <v>0</v>
      </c>
      <c r="AJ712" s="0" t="n">
        <v>10</v>
      </c>
      <c r="AP712" s="0" t="n">
        <v>1</v>
      </c>
      <c r="DB712" s="0" t="str">
        <f aca="false">IF($A712="","",IF(AND($A712=21,$AE712&amp;""="00000000"),IF($AH712=20,"病院",IF($AH712=5,"消防","市長")),"対象外"))</f>
        <v>対象外</v>
      </c>
    </row>
    <row r="713" customFormat="false" ht="15" hidden="false" customHeight="false" outlineLevel="0" collapsed="false">
      <c r="A713" s="0" t="n">
        <v>21</v>
      </c>
      <c r="AA713" s="0" t="n">
        <v>21</v>
      </c>
      <c r="AB713" s="0" t="s">
        <v>736</v>
      </c>
      <c r="AD713" s="0" t="n">
        <v>12</v>
      </c>
      <c r="AE713" s="0" t="s">
        <v>463</v>
      </c>
      <c r="AH713" s="0" t="n">
        <v>0</v>
      </c>
      <c r="AJ713" s="0" t="n">
        <v>10</v>
      </c>
      <c r="AP713" s="0" t="n">
        <v>1</v>
      </c>
      <c r="DB713" s="0" t="str">
        <f aca="false">IF($A713="","",IF(AND($A713=21,$AE713&amp;""="00000000"),IF($AH713=20,"病院",IF($AH713=5,"消防","市長")),"対象外"))</f>
        <v>対象外</v>
      </c>
    </row>
    <row r="714" customFormat="false" ht="15" hidden="false" customHeight="false" outlineLevel="0" collapsed="false">
      <c r="A714" s="0" t="n">
        <v>21</v>
      </c>
      <c r="AA714" s="0" t="n">
        <v>21</v>
      </c>
      <c r="AB714" s="0" t="s">
        <v>448</v>
      </c>
      <c r="AD714" s="0" t="n">
        <v>15</v>
      </c>
      <c r="AE714" s="0" t="s">
        <v>559</v>
      </c>
      <c r="AH714" s="0" t="n">
        <v>1</v>
      </c>
      <c r="AJ714" s="0" t="n">
        <v>10</v>
      </c>
      <c r="AP714" s="0" t="n">
        <v>380000</v>
      </c>
      <c r="DB714" s="0" t="str">
        <f aca="false">IF($A714="","",IF(AND($A714=21,$AE714&amp;""="00000000"),IF($AH714=20,"病院",IF($AH714=5,"消防","市長")),"対象外"))</f>
        <v>対象外</v>
      </c>
    </row>
    <row r="715" customFormat="false" ht="15" hidden="false" customHeight="false" outlineLevel="0" collapsed="false">
      <c r="A715" s="0" t="n">
        <v>21</v>
      </c>
      <c r="AA715" s="0" t="n">
        <v>21</v>
      </c>
      <c r="AB715" s="0" t="s">
        <v>415</v>
      </c>
      <c r="AD715" s="0" t="n">
        <v>12</v>
      </c>
      <c r="AE715" s="0" t="s">
        <v>477</v>
      </c>
      <c r="AH715" s="0" t="n">
        <v>1</v>
      </c>
      <c r="AJ715" s="0" t="n">
        <v>10</v>
      </c>
      <c r="AP715" s="0" t="n">
        <v>590000</v>
      </c>
      <c r="DB715" s="0" t="str">
        <f aca="false">IF($A715="","",IF(AND($A715=21,$AE715&amp;""="00000000"),IF($AH715=20,"病院",IF($AH715=5,"消防","市長")),"対象外"))</f>
        <v>対象外</v>
      </c>
    </row>
    <row r="716" customFormat="false" ht="15" hidden="false" customHeight="false" outlineLevel="0" collapsed="false">
      <c r="A716" s="0" t="n">
        <v>31</v>
      </c>
      <c r="AA716" s="0" t="n">
        <v>21</v>
      </c>
      <c r="AB716" s="0" t="s">
        <v>496</v>
      </c>
      <c r="AD716" s="0" t="n">
        <v>12</v>
      </c>
      <c r="AE716" s="0" t="s">
        <v>550</v>
      </c>
      <c r="AH716" s="0" t="n">
        <v>1</v>
      </c>
      <c r="AJ716" s="0" t="n">
        <v>41</v>
      </c>
      <c r="AP716" s="0" t="n">
        <v>118000</v>
      </c>
      <c r="DB716" s="0" t="str">
        <f aca="false">IF($A716="","",IF(AND($A716=21,$AE716&amp;""="00000000"),IF($AH716=20,"病院",IF($AH716=5,"消防","市長")),"対象外"))</f>
        <v>対象外</v>
      </c>
    </row>
    <row r="717" customFormat="false" ht="15" hidden="false" customHeight="false" outlineLevel="0" collapsed="false">
      <c r="A717" s="0" t="n">
        <v>21</v>
      </c>
      <c r="AA717" s="0" t="n">
        <v>21</v>
      </c>
      <c r="AB717" s="0" t="s">
        <v>647</v>
      </c>
      <c r="AD717" s="0" t="n">
        <v>12</v>
      </c>
      <c r="AE717" s="0" t="s">
        <v>463</v>
      </c>
      <c r="AH717" s="0" t="n">
        <v>0</v>
      </c>
      <c r="AJ717" s="0" t="n">
        <v>10</v>
      </c>
      <c r="AP717" s="0" t="n">
        <v>134400</v>
      </c>
      <c r="DB717" s="0" t="str">
        <f aca="false">IF($A717="","",IF(AND($A717=21,$AE717&amp;""="00000000"),IF($AH717=20,"病院",IF($AH717=5,"消防","市長")),"対象外"))</f>
        <v>対象外</v>
      </c>
    </row>
    <row r="718" customFormat="false" ht="15" hidden="false" customHeight="false" outlineLevel="0" collapsed="false">
      <c r="A718" s="0" t="n">
        <v>21</v>
      </c>
      <c r="AA718" s="0" t="n">
        <v>24</v>
      </c>
      <c r="AB718" s="0" t="s">
        <v>606</v>
      </c>
      <c r="AD718" s="0" t="n">
        <v>12</v>
      </c>
      <c r="AE718" s="0" t="s">
        <v>478</v>
      </c>
      <c r="AH718" s="0" t="n">
        <v>20</v>
      </c>
      <c r="AJ718" s="0" t="n">
        <v>10</v>
      </c>
      <c r="AP718" s="0" t="n">
        <v>220000</v>
      </c>
      <c r="DB718" s="0" t="str">
        <f aca="false">IF($A718="","",IF(AND($A718=21,$AE718&amp;""="00000000"),IF($AH718=20,"病院",IF($AH718=5,"消防","市長")),"対象外"))</f>
        <v>対象外</v>
      </c>
    </row>
    <row r="719" customFormat="false" ht="15" hidden="false" customHeight="false" outlineLevel="0" collapsed="false">
      <c r="A719" s="0" t="n">
        <v>21</v>
      </c>
      <c r="AA719" s="0" t="n">
        <v>21</v>
      </c>
      <c r="AB719" s="0" t="s">
        <v>460</v>
      </c>
      <c r="AD719" s="0" t="n">
        <v>12</v>
      </c>
      <c r="AE719" s="0" t="s">
        <v>463</v>
      </c>
      <c r="AH719" s="0" t="n">
        <v>0</v>
      </c>
      <c r="AJ719" s="0" t="n">
        <v>10</v>
      </c>
      <c r="AP719" s="0" t="n">
        <v>176900</v>
      </c>
      <c r="DB719" s="0" t="str">
        <f aca="false">IF($A719="","",IF(AND($A719=21,$AE719&amp;""="00000000"),IF($AH719=20,"病院",IF($AH719=5,"消防","市長")),"対象外"))</f>
        <v>対象外</v>
      </c>
    </row>
    <row r="720" customFormat="false" ht="15" hidden="false" customHeight="false" outlineLevel="0" collapsed="false">
      <c r="A720" s="0" t="n">
        <v>21</v>
      </c>
      <c r="AA720" s="0" t="n">
        <v>21</v>
      </c>
      <c r="AB720" s="0" t="s">
        <v>457</v>
      </c>
      <c r="AD720" s="0" t="n">
        <v>12</v>
      </c>
      <c r="AE720" s="0" t="s">
        <v>463</v>
      </c>
      <c r="AH720" s="0" t="n">
        <v>0</v>
      </c>
      <c r="AJ720" s="0" t="n">
        <v>10</v>
      </c>
      <c r="AP720" s="0" t="n">
        <v>1</v>
      </c>
      <c r="DB720" s="0" t="str">
        <f aca="false">IF($A720="","",IF(AND($A720=21,$AE720&amp;""="00000000"),IF($AH720=20,"病院",IF($AH720=5,"消防","市長")),"対象外"))</f>
        <v>対象外</v>
      </c>
    </row>
    <row r="721" customFormat="false" ht="15" hidden="false" customHeight="false" outlineLevel="0" collapsed="false">
      <c r="A721" s="0" t="n">
        <v>21</v>
      </c>
      <c r="AA721" s="0" t="n">
        <v>24</v>
      </c>
      <c r="AB721" s="0" t="s">
        <v>459</v>
      </c>
      <c r="AD721" s="0" t="n">
        <v>12</v>
      </c>
      <c r="AE721" s="0" t="s">
        <v>463</v>
      </c>
      <c r="AH721" s="0" t="n">
        <v>0</v>
      </c>
      <c r="AJ721" s="0" t="n">
        <v>10</v>
      </c>
      <c r="AP721" s="0" t="n">
        <v>1</v>
      </c>
      <c r="DB721" s="0" t="str">
        <f aca="false">IF($A721="","",IF(AND($A721=21,$AE721&amp;""="00000000"),IF($AH721=20,"病院",IF($AH721=5,"消防","市長")),"対象外"))</f>
        <v>対象外</v>
      </c>
    </row>
    <row r="722" customFormat="false" ht="15" hidden="false" customHeight="false" outlineLevel="0" collapsed="false">
      <c r="A722" s="0" t="n">
        <v>31</v>
      </c>
      <c r="AA722" s="0" t="n">
        <v>21</v>
      </c>
      <c r="AB722" s="0" t="s">
        <v>496</v>
      </c>
      <c r="AD722" s="0" t="n">
        <v>12</v>
      </c>
      <c r="AE722" s="0" t="s">
        <v>494</v>
      </c>
      <c r="AH722" s="0" t="n">
        <v>1</v>
      </c>
      <c r="AJ722" s="0" t="n">
        <v>41</v>
      </c>
      <c r="AP722" s="0" t="n">
        <v>126000</v>
      </c>
      <c r="DB722" s="0" t="str">
        <f aca="false">IF($A722="","",IF(AND($A722=21,$AE722&amp;""="00000000"),IF($AH722=20,"病院",IF($AH722=5,"消防","市長")),"対象外"))</f>
        <v>対象外</v>
      </c>
    </row>
    <row r="723" customFormat="false" ht="15" hidden="false" customHeight="false" outlineLevel="0" collapsed="false">
      <c r="A723" s="0" t="n">
        <v>21</v>
      </c>
      <c r="AA723" s="0" t="n">
        <v>21</v>
      </c>
      <c r="AB723" s="0" t="s">
        <v>647</v>
      </c>
      <c r="AD723" s="0" t="n">
        <v>12</v>
      </c>
      <c r="AE723" s="0" t="s">
        <v>463</v>
      </c>
      <c r="AH723" s="0" t="n">
        <v>0</v>
      </c>
      <c r="AJ723" s="0" t="n">
        <v>10</v>
      </c>
      <c r="AP723" s="0" t="n">
        <v>146034</v>
      </c>
      <c r="DB723" s="0" t="str">
        <f aca="false">IF($A723="","",IF(AND($A723=21,$AE723&amp;""="00000000"),IF($AH723=20,"病院",IF($AH723=5,"消防","市長")),"対象外"))</f>
        <v>対象外</v>
      </c>
    </row>
    <row r="724" customFormat="false" ht="15" hidden="false" customHeight="false" outlineLevel="0" collapsed="false">
      <c r="A724" s="0" t="n">
        <v>21</v>
      </c>
      <c r="AA724" s="0" t="n">
        <v>24</v>
      </c>
      <c r="AB724" s="0" t="s">
        <v>737</v>
      </c>
      <c r="AD724" s="0" t="n">
        <v>12</v>
      </c>
      <c r="AE724" s="0" t="s">
        <v>738</v>
      </c>
      <c r="AH724" s="0" t="n">
        <v>0</v>
      </c>
      <c r="AJ724" s="0" t="n">
        <v>10</v>
      </c>
      <c r="AP724" s="0" t="n">
        <v>1</v>
      </c>
      <c r="DB724" s="0" t="str">
        <f aca="false">IF($A724="","",IF(AND($A724=21,$AE724&amp;""="00000000"),IF($AH724=20,"病院",IF($AH724=5,"消防","市長")),"対象外"))</f>
        <v>対象外</v>
      </c>
    </row>
    <row r="725" customFormat="false" ht="15" hidden="false" customHeight="false" outlineLevel="0" collapsed="false">
      <c r="A725" s="0" t="n">
        <v>21</v>
      </c>
      <c r="AA725" s="0" t="n">
        <v>21</v>
      </c>
      <c r="AB725" s="0" t="s">
        <v>739</v>
      </c>
      <c r="AD725" s="0" t="n">
        <v>12</v>
      </c>
      <c r="AE725" s="0" t="s">
        <v>463</v>
      </c>
      <c r="AH725" s="0" t="n">
        <v>0</v>
      </c>
      <c r="AJ725" s="0" t="n">
        <v>10</v>
      </c>
      <c r="AP725" s="0" t="n">
        <v>1</v>
      </c>
      <c r="DB725" s="0" t="str">
        <f aca="false">IF($A725="","",IF(AND($A725=21,$AE725&amp;""="00000000"),IF($AH725=20,"病院",IF($AH725=5,"消防","市長")),"対象外"))</f>
        <v>対象外</v>
      </c>
    </row>
    <row r="726" customFormat="false" ht="15" hidden="false" customHeight="false" outlineLevel="0" collapsed="false">
      <c r="A726" s="0" t="n">
        <v>21</v>
      </c>
      <c r="AA726" s="0" t="n">
        <v>21</v>
      </c>
      <c r="AB726" s="0" t="s">
        <v>456</v>
      </c>
      <c r="AD726" s="0" t="n">
        <v>12</v>
      </c>
      <c r="AE726" s="0" t="s">
        <v>740</v>
      </c>
      <c r="AH726" s="0" t="n">
        <v>0</v>
      </c>
      <c r="AJ726" s="0" t="n">
        <v>10</v>
      </c>
      <c r="AP726" s="0" t="n">
        <v>1</v>
      </c>
      <c r="DB726" s="0" t="str">
        <f aca="false">IF($A726="","",IF(AND($A726=21,$AE726&amp;""="00000000"),IF($AH726=20,"病院",IF($AH726=5,"消防","市長")),"対象外"))</f>
        <v>対象外</v>
      </c>
    </row>
    <row r="727" customFormat="false" ht="15" hidden="false" customHeight="false" outlineLevel="0" collapsed="false">
      <c r="A727" s="0" t="n">
        <v>21</v>
      </c>
      <c r="AA727" s="0" t="n">
        <v>21</v>
      </c>
      <c r="AB727" s="0" t="s">
        <v>741</v>
      </c>
      <c r="AD727" s="0" t="n">
        <v>12</v>
      </c>
      <c r="AE727" s="0" t="s">
        <v>463</v>
      </c>
      <c r="AH727" s="0" t="n">
        <v>0</v>
      </c>
      <c r="AJ727" s="0" t="n">
        <v>10</v>
      </c>
      <c r="AP727" s="0" t="n">
        <v>1</v>
      </c>
      <c r="DB727" s="0" t="str">
        <f aca="false">IF($A727="","",IF(AND($A727=21,$AE727&amp;""="00000000"),IF($AH727=20,"病院",IF($AH727=5,"消防","市長")),"対象外"))</f>
        <v>対象外</v>
      </c>
    </row>
    <row r="728" customFormat="false" ht="15" hidden="false" customHeight="false" outlineLevel="0" collapsed="false">
      <c r="A728" s="0" t="n">
        <v>31</v>
      </c>
      <c r="AA728" s="0" t="n">
        <v>21</v>
      </c>
      <c r="AB728" s="0" t="s">
        <v>458</v>
      </c>
      <c r="AD728" s="0" t="n">
        <v>12</v>
      </c>
      <c r="AE728" s="0" t="s">
        <v>476</v>
      </c>
      <c r="AH728" s="0" t="n">
        <v>1</v>
      </c>
      <c r="AJ728" s="0" t="n">
        <v>10</v>
      </c>
      <c r="AP728" s="0" t="n">
        <v>240000</v>
      </c>
      <c r="DB728" s="0" t="str">
        <f aca="false">IF($A728="","",IF(AND($A728=21,$AE728&amp;""="00000000"),IF($AH728=20,"病院",IF($AH728=5,"消防","市長")),"対象外"))</f>
        <v>対象外</v>
      </c>
    </row>
    <row r="729" customFormat="false" ht="15" hidden="false" customHeight="false" outlineLevel="0" collapsed="false">
      <c r="A729" s="0" t="n">
        <v>31</v>
      </c>
      <c r="AA729" s="0" t="n">
        <v>21</v>
      </c>
      <c r="AB729" s="0" t="s">
        <v>496</v>
      </c>
      <c r="AD729" s="0" t="n">
        <v>12</v>
      </c>
      <c r="AE729" s="0" t="s">
        <v>742</v>
      </c>
      <c r="AH729" s="0" t="n">
        <v>11</v>
      </c>
      <c r="AJ729" s="0" t="n">
        <v>41</v>
      </c>
      <c r="AP729" s="0" t="n">
        <v>160000</v>
      </c>
      <c r="DB729" s="0" t="str">
        <f aca="false">IF($A729="","",IF(AND($A729=21,$AE729&amp;""="00000000"),IF($AH729=20,"病院",IF($AH729=5,"消防","市長")),"対象外"))</f>
        <v>対象外</v>
      </c>
    </row>
    <row r="730" customFormat="false" ht="15" hidden="false" customHeight="false" outlineLevel="0" collapsed="false">
      <c r="A730" s="0" t="n">
        <v>21</v>
      </c>
      <c r="AA730" s="0" t="n">
        <v>21</v>
      </c>
      <c r="AB730" s="0" t="s">
        <v>743</v>
      </c>
      <c r="AD730" s="0" t="n">
        <v>12</v>
      </c>
      <c r="AE730" s="0" t="s">
        <v>463</v>
      </c>
      <c r="AH730" s="0" t="n">
        <v>0</v>
      </c>
      <c r="AJ730" s="0" t="n">
        <v>10</v>
      </c>
      <c r="AP730" s="0" t="n">
        <v>1</v>
      </c>
      <c r="DB730" s="0" t="str">
        <f aca="false">IF($A730="","",IF(AND($A730=21,$AE730&amp;""="00000000"),IF($AH730=20,"病院",IF($AH730=5,"消防","市長")),"対象外"))</f>
        <v>対象外</v>
      </c>
    </row>
    <row r="731" customFormat="false" ht="15" hidden="false" customHeight="false" outlineLevel="0" collapsed="false">
      <c r="A731" s="0" t="n">
        <v>21</v>
      </c>
      <c r="AA731" s="0" t="n">
        <v>21</v>
      </c>
      <c r="AB731" s="0" t="s">
        <v>744</v>
      </c>
      <c r="AD731" s="0" t="n">
        <v>12</v>
      </c>
      <c r="AE731" s="0" t="s">
        <v>442</v>
      </c>
      <c r="AH731" s="0" t="n">
        <v>20</v>
      </c>
      <c r="AJ731" s="0" t="n">
        <v>10</v>
      </c>
      <c r="AP731" s="0" t="n">
        <v>360000</v>
      </c>
      <c r="DB731" s="0" t="str">
        <f aca="false">IF($A731="","",IF(AND($A731=21,$AE731&amp;""="00000000"),IF($AH731=20,"病院",IF($AH731=5,"消防","市長")),"対象外"))</f>
        <v>対象外</v>
      </c>
    </row>
    <row r="732" customFormat="false" ht="15" hidden="false" customHeight="false" outlineLevel="0" collapsed="false">
      <c r="A732" s="0" t="n">
        <v>21</v>
      </c>
      <c r="AA732" s="0" t="n">
        <v>21</v>
      </c>
      <c r="AB732" s="0" t="s">
        <v>673</v>
      </c>
      <c r="AD732" s="0" t="n">
        <v>12</v>
      </c>
      <c r="AE732" s="0" t="s">
        <v>463</v>
      </c>
      <c r="AH732" s="0" t="n">
        <v>0</v>
      </c>
      <c r="AJ732" s="0" t="n">
        <v>10</v>
      </c>
      <c r="AP732" s="0" t="n">
        <v>158760</v>
      </c>
      <c r="DB732" s="0" t="str">
        <f aca="false">IF($A732="","",IF(AND($A732=21,$AE732&amp;""="00000000"),IF($AH732=20,"病院",IF($AH732=5,"消防","市長")),"対象外"))</f>
        <v>対象外</v>
      </c>
    </row>
    <row r="733" customFormat="false" ht="15" hidden="false" customHeight="false" outlineLevel="0" collapsed="false">
      <c r="A733" s="0" t="n">
        <v>31</v>
      </c>
      <c r="AA733" s="0" t="n">
        <v>21</v>
      </c>
      <c r="AB733" s="0" t="s">
        <v>496</v>
      </c>
      <c r="AD733" s="0" t="n">
        <v>12</v>
      </c>
      <c r="AE733" s="0" t="s">
        <v>506</v>
      </c>
      <c r="AH733" s="0" t="n">
        <v>20</v>
      </c>
      <c r="AJ733" s="0" t="n">
        <v>41</v>
      </c>
      <c r="AP733" s="0" t="n">
        <v>240000</v>
      </c>
      <c r="DB733" s="0" t="str">
        <f aca="false">IF($A733="","",IF(AND($A733=21,$AE733&amp;""="00000000"),IF($AH733=20,"病院",IF($AH733=5,"消防","市長")),"対象外"))</f>
        <v>対象外</v>
      </c>
    </row>
    <row r="734" customFormat="false" ht="15" hidden="false" customHeight="false" outlineLevel="0" collapsed="false">
      <c r="A734" s="0" t="n">
        <v>21</v>
      </c>
      <c r="AA734" s="0" t="n">
        <v>21</v>
      </c>
      <c r="AB734" s="0" t="s">
        <v>453</v>
      </c>
      <c r="AD734" s="0" t="n">
        <v>12</v>
      </c>
      <c r="AE734" s="0" t="s">
        <v>463</v>
      </c>
      <c r="AH734" s="0" t="n">
        <v>0</v>
      </c>
      <c r="AJ734" s="0" t="n">
        <v>10</v>
      </c>
      <c r="AP734" s="0" t="n">
        <v>1</v>
      </c>
      <c r="DB734" s="0" t="str">
        <f aca="false">IF($A734="","",IF(AND($A734=21,$AE734&amp;""="00000000"),IF($AH734=20,"病院",IF($AH734=5,"消防","市長")),"対象外"))</f>
        <v>対象外</v>
      </c>
    </row>
    <row r="735" customFormat="false" ht="15" hidden="false" customHeight="false" outlineLevel="0" collapsed="false">
      <c r="A735" s="0" t="n">
        <v>21</v>
      </c>
      <c r="AA735" s="0" t="n">
        <v>24</v>
      </c>
      <c r="AB735" s="0" t="s">
        <v>745</v>
      </c>
      <c r="AD735" s="0" t="n">
        <v>12</v>
      </c>
      <c r="AE735" s="0" t="s">
        <v>746</v>
      </c>
      <c r="AH735" s="0" t="n">
        <v>0</v>
      </c>
      <c r="AJ735" s="0" t="n">
        <v>10</v>
      </c>
      <c r="AP735" s="0" t="n">
        <v>1</v>
      </c>
      <c r="DB735" s="0" t="str">
        <f aca="false">IF($A735="","",IF(AND($A735=21,$AE735&amp;""="00000000"),IF($AH735=20,"病院",IF($AH735=5,"消防","市長")),"対象外"))</f>
        <v>対象外</v>
      </c>
    </row>
    <row r="736" customFormat="false" ht="15" hidden="false" customHeight="false" outlineLevel="0" collapsed="false">
      <c r="A736" s="0" t="n">
        <v>21</v>
      </c>
      <c r="AA736" s="0" t="n">
        <v>21</v>
      </c>
      <c r="AB736" s="0" t="s">
        <v>747</v>
      </c>
      <c r="AD736" s="0" t="n">
        <v>12</v>
      </c>
      <c r="AE736" s="0" t="s">
        <v>748</v>
      </c>
      <c r="AH736" s="0" t="n">
        <v>0</v>
      </c>
      <c r="AJ736" s="0" t="n">
        <v>10</v>
      </c>
      <c r="AP736" s="0" t="n">
        <v>1050000</v>
      </c>
      <c r="DB736" s="0" t="str">
        <f aca="false">IF($A736="","",IF(AND($A736=21,$AE736&amp;""="00000000"),IF($AH736=20,"病院",IF($AH736=5,"消防","市長")),"対象外"))</f>
        <v>対象外</v>
      </c>
    </row>
    <row r="737" customFormat="false" ht="15" hidden="false" customHeight="false" outlineLevel="0" collapsed="false">
      <c r="A737" s="0" t="n">
        <v>31</v>
      </c>
      <c r="AA737" s="0" t="n">
        <v>21</v>
      </c>
      <c r="AB737" s="0" t="s">
        <v>749</v>
      </c>
      <c r="AD737" s="0" t="n">
        <v>12</v>
      </c>
      <c r="AE737" s="0" t="s">
        <v>750</v>
      </c>
      <c r="AH737" s="0" t="n">
        <v>11</v>
      </c>
      <c r="AJ737" s="0" t="n">
        <v>41</v>
      </c>
      <c r="AP737" s="0" t="n">
        <v>88000</v>
      </c>
      <c r="DB737" s="0" t="str">
        <f aca="false">IF($A737="","",IF(AND($A737=21,$AE737&amp;""="00000000"),IF($AH737=20,"病院",IF($AH737=5,"消防","市長")),"対象外"))</f>
        <v>対象外</v>
      </c>
    </row>
    <row r="738" customFormat="false" ht="15" hidden="false" customHeight="false" outlineLevel="0" collapsed="false">
      <c r="A738" s="0" t="n">
        <v>21</v>
      </c>
      <c r="AA738" s="0" t="n">
        <v>21</v>
      </c>
      <c r="AB738" s="0" t="s">
        <v>614</v>
      </c>
      <c r="AD738" s="0" t="n">
        <v>12</v>
      </c>
      <c r="AE738" s="0" t="s">
        <v>463</v>
      </c>
      <c r="AH738" s="0" t="n">
        <v>0</v>
      </c>
      <c r="AJ738" s="0" t="n">
        <v>10</v>
      </c>
      <c r="AP738" s="0" t="n">
        <v>1</v>
      </c>
      <c r="DB738" s="0" t="str">
        <f aca="false">IF($A738="","",IF(AND($A738=21,$AE738&amp;""="00000000"),IF($AH738=20,"病院",IF($AH738=5,"消防","市長")),"対象外"))</f>
        <v>対象外</v>
      </c>
    </row>
    <row r="739" customFormat="false" ht="15" hidden="false" customHeight="false" outlineLevel="0" collapsed="false">
      <c r="A739" s="0" t="n">
        <v>21</v>
      </c>
      <c r="AA739" s="0" t="n">
        <v>21</v>
      </c>
      <c r="AB739" s="0" t="s">
        <v>457</v>
      </c>
      <c r="AD739" s="0" t="n">
        <v>12</v>
      </c>
      <c r="AE739" s="0" t="s">
        <v>463</v>
      </c>
      <c r="AH739" s="0" t="n">
        <v>0</v>
      </c>
      <c r="AJ739" s="0" t="n">
        <v>10</v>
      </c>
      <c r="AP739" s="0" t="n">
        <v>1</v>
      </c>
      <c r="DB739" s="0" t="str">
        <f aca="false">IF($A739="","",IF(AND($A739=21,$AE739&amp;""="00000000"),IF($AH739=20,"病院",IF($AH739=5,"消防","市長")),"対象外"))</f>
        <v>対象外</v>
      </c>
    </row>
    <row r="740" customFormat="false" ht="15" hidden="false" customHeight="false" outlineLevel="0" collapsed="false">
      <c r="A740" s="0" t="n">
        <v>219</v>
      </c>
      <c r="AA740" s="0" t="n">
        <v>0</v>
      </c>
      <c r="AB740" s="0" t="s">
        <v>295</v>
      </c>
      <c r="AD740" s="0" t="n">
        <v>0</v>
      </c>
      <c r="AE740" s="0" t="s">
        <v>295</v>
      </c>
      <c r="AH740" s="0" t="n">
        <v>0</v>
      </c>
      <c r="AJ740" s="0" t="n">
        <v>50</v>
      </c>
      <c r="AP740" s="0" t="n">
        <v>0</v>
      </c>
      <c r="DB740" s="0" t="str">
        <f aca="false">IF($A740="","",IF(AND($A740=21,$AE740&amp;""="00000000"),IF($AH740=20,"病院",IF($AH740=5,"消防","市長")),"対象外"))</f>
        <v>対象外</v>
      </c>
    </row>
    <row r="741" customFormat="false" ht="15" hidden="false" customHeight="false" outlineLevel="0" collapsed="false">
      <c r="A741" s="0" t="n">
        <v>219</v>
      </c>
      <c r="AA741" s="0" t="n">
        <v>0</v>
      </c>
      <c r="AB741" s="0" t="s">
        <v>295</v>
      </c>
      <c r="AD741" s="0" t="n">
        <v>0</v>
      </c>
      <c r="AE741" s="0" t="s">
        <v>295</v>
      </c>
      <c r="AH741" s="0" t="n">
        <v>0</v>
      </c>
      <c r="AJ741" s="0" t="n">
        <v>50</v>
      </c>
      <c r="AP741" s="0" t="n">
        <v>0</v>
      </c>
      <c r="DB741" s="0" t="str">
        <f aca="false">IF($A741="","",IF(AND($A741=21,$AE741&amp;""="00000000"),IF($AH741=20,"病院",IF($AH741=5,"消防","市長")),"対象外"))</f>
        <v>対象外</v>
      </c>
    </row>
    <row r="742" customFormat="false" ht="15" hidden="false" customHeight="false" outlineLevel="0" collapsed="false">
      <c r="A742" s="0" t="n">
        <v>219</v>
      </c>
      <c r="AA742" s="0" t="n">
        <v>0</v>
      </c>
      <c r="AB742" s="0" t="s">
        <v>295</v>
      </c>
      <c r="AD742" s="0" t="n">
        <v>0</v>
      </c>
      <c r="AE742" s="0" t="s">
        <v>295</v>
      </c>
      <c r="AH742" s="0" t="n">
        <v>0</v>
      </c>
      <c r="AJ742" s="0" t="n">
        <v>50</v>
      </c>
      <c r="AP742" s="0" t="n">
        <v>0</v>
      </c>
      <c r="DB742" s="0" t="str">
        <f aca="false">IF($A742="","",IF(AND($A742=21,$AE742&amp;""="00000000"),IF($AH742=20,"病院",IF($AH742=5,"消防","市長")),"対象外"))</f>
        <v>対象外</v>
      </c>
    </row>
    <row r="743" customFormat="false" ht="15" hidden="false" customHeight="false" outlineLevel="0" collapsed="false">
      <c r="A743" s="0" t="n">
        <v>219</v>
      </c>
      <c r="AA743" s="0" t="n">
        <v>0</v>
      </c>
      <c r="AB743" s="0" t="s">
        <v>295</v>
      </c>
      <c r="AD743" s="0" t="n">
        <v>0</v>
      </c>
      <c r="AE743" s="0" t="s">
        <v>295</v>
      </c>
      <c r="AH743" s="0" t="n">
        <v>0</v>
      </c>
      <c r="AJ743" s="0" t="n">
        <v>50</v>
      </c>
      <c r="AP743" s="0" t="n">
        <v>0</v>
      </c>
      <c r="DB743" s="0" t="str">
        <f aca="false">IF($A743="","",IF(AND($A743=21,$AE743&amp;""="00000000"),IF($AH743=20,"病院",IF($AH743=5,"消防","市長")),"対象外"))</f>
        <v>対象外</v>
      </c>
    </row>
    <row r="744" customFormat="false" ht="15" hidden="false" customHeight="false" outlineLevel="0" collapsed="false">
      <c r="A744" s="0" t="n">
        <v>219</v>
      </c>
      <c r="AA744" s="0" t="n">
        <v>0</v>
      </c>
      <c r="AB744" s="0" t="s">
        <v>295</v>
      </c>
      <c r="AD744" s="0" t="n">
        <v>0</v>
      </c>
      <c r="AE744" s="0" t="s">
        <v>295</v>
      </c>
      <c r="AH744" s="0" t="n">
        <v>0</v>
      </c>
      <c r="AJ744" s="0" t="n">
        <v>50</v>
      </c>
      <c r="AP744" s="0" t="n">
        <v>0</v>
      </c>
      <c r="DB744" s="0" t="str">
        <f aca="false">IF($A744="","",IF(AND($A744=21,$AE744&amp;""="00000000"),IF($AH744=20,"病院",IF($AH744=5,"消防","市長")),"対象外"))</f>
        <v>対象外</v>
      </c>
    </row>
    <row r="745" customFormat="false" ht="15" hidden="false" customHeight="false" outlineLevel="0" collapsed="false">
      <c r="A745" s="0" t="n">
        <v>219</v>
      </c>
      <c r="AA745" s="0" t="n">
        <v>0</v>
      </c>
      <c r="AB745" s="0" t="s">
        <v>295</v>
      </c>
      <c r="AD745" s="0" t="n">
        <v>0</v>
      </c>
      <c r="AE745" s="0" t="s">
        <v>295</v>
      </c>
      <c r="AH745" s="0" t="n">
        <v>0</v>
      </c>
      <c r="AJ745" s="0" t="n">
        <v>50</v>
      </c>
      <c r="AP745" s="0" t="n">
        <v>0</v>
      </c>
      <c r="DB745" s="0" t="str">
        <f aca="false">IF($A745="","",IF(AND($A745=21,$AE745&amp;""="00000000"),IF($AH745=20,"病院",IF($AH745=5,"消防","市長")),"対象外"))</f>
        <v>対象外</v>
      </c>
    </row>
    <row r="746" customFormat="false" ht="15" hidden="false" customHeight="false" outlineLevel="0" collapsed="false">
      <c r="A746" s="0" t="n">
        <v>219</v>
      </c>
      <c r="AA746" s="0" t="n">
        <v>0</v>
      </c>
      <c r="AB746" s="0" t="s">
        <v>295</v>
      </c>
      <c r="AD746" s="0" t="n">
        <v>0</v>
      </c>
      <c r="AE746" s="0" t="s">
        <v>295</v>
      </c>
      <c r="AH746" s="0" t="n">
        <v>0</v>
      </c>
      <c r="AJ746" s="0" t="n">
        <v>50</v>
      </c>
      <c r="AP746" s="0" t="n">
        <v>0</v>
      </c>
      <c r="DB746" s="0" t="str">
        <f aca="false">IF($A746="","",IF(AND($A746=21,$AE746&amp;""="00000000"),IF($AH746=20,"病院",IF($AH746=5,"消防","市長")),"対象外"))</f>
        <v>対象外</v>
      </c>
    </row>
    <row r="747" customFormat="false" ht="15" hidden="false" customHeight="false" outlineLevel="0" collapsed="false">
      <c r="A747" s="0" t="n">
        <v>219</v>
      </c>
      <c r="AA747" s="0" t="n">
        <v>0</v>
      </c>
      <c r="AB747" s="0" t="s">
        <v>295</v>
      </c>
      <c r="AD747" s="0" t="n">
        <v>0</v>
      </c>
      <c r="AE747" s="0" t="s">
        <v>295</v>
      </c>
      <c r="AH747" s="0" t="n">
        <v>0</v>
      </c>
      <c r="AJ747" s="0" t="n">
        <v>50</v>
      </c>
      <c r="AP747" s="0" t="n">
        <v>0</v>
      </c>
      <c r="DB747" s="0" t="str">
        <f aca="false">IF($A747="","",IF(AND($A747=21,$AE747&amp;""="00000000"),IF($AH747=20,"病院",IF($AH747=5,"消防","市長")),"対象外"))</f>
        <v>対象外</v>
      </c>
    </row>
    <row r="748" customFormat="false" ht="15" hidden="false" customHeight="false" outlineLevel="0" collapsed="false">
      <c r="A748" s="0" t="n">
        <v>219</v>
      </c>
      <c r="AA748" s="0" t="n">
        <v>0</v>
      </c>
      <c r="AB748" s="0" t="s">
        <v>295</v>
      </c>
      <c r="AD748" s="0" t="n">
        <v>0</v>
      </c>
      <c r="AE748" s="0" t="s">
        <v>295</v>
      </c>
      <c r="AH748" s="0" t="n">
        <v>0</v>
      </c>
      <c r="AJ748" s="0" t="n">
        <v>50</v>
      </c>
      <c r="AP748" s="0" t="n">
        <v>0</v>
      </c>
      <c r="DB748" s="0" t="str">
        <f aca="false">IF($A748="","",IF(AND($A748=21,$AE748&amp;""="00000000"),IF($AH748=20,"病院",IF($AH748=5,"消防","市長")),"対象外"))</f>
        <v>対象外</v>
      </c>
    </row>
    <row r="749" customFormat="false" ht="15" hidden="false" customHeight="false" outlineLevel="0" collapsed="false">
      <c r="A749" s="0" t="n">
        <v>219</v>
      </c>
      <c r="AA749" s="0" t="n">
        <v>0</v>
      </c>
      <c r="AB749" s="0" t="s">
        <v>295</v>
      </c>
      <c r="AD749" s="0" t="n">
        <v>0</v>
      </c>
      <c r="AE749" s="0" t="s">
        <v>295</v>
      </c>
      <c r="AH749" s="0" t="n">
        <v>0</v>
      </c>
      <c r="AJ749" s="0" t="n">
        <v>50</v>
      </c>
      <c r="AP749" s="0" t="n">
        <v>0</v>
      </c>
      <c r="DB749" s="0" t="str">
        <f aca="false">IF($A749="","",IF(AND($A749=21,$AE749&amp;""="00000000"),IF($AH749=20,"病院",IF($AH749=5,"消防","市長")),"対象外"))</f>
        <v>対象外</v>
      </c>
    </row>
    <row r="750" customFormat="false" ht="15" hidden="false" customHeight="false" outlineLevel="0" collapsed="false">
      <c r="A750" s="0" t="n">
        <v>219</v>
      </c>
      <c r="AA750" s="0" t="n">
        <v>0</v>
      </c>
      <c r="AB750" s="0" t="s">
        <v>295</v>
      </c>
      <c r="AD750" s="0" t="n">
        <v>0</v>
      </c>
      <c r="AE750" s="0" t="s">
        <v>295</v>
      </c>
      <c r="AH750" s="0" t="n">
        <v>0</v>
      </c>
      <c r="AJ750" s="0" t="n">
        <v>50</v>
      </c>
      <c r="AP750" s="0" t="n">
        <v>0</v>
      </c>
      <c r="DB750" s="0" t="str">
        <f aca="false">IF($A750="","",IF(AND($A750=21,$AE750&amp;""="00000000"),IF($AH750=20,"病院",IF($AH750=5,"消防","市長")),"対象外"))</f>
        <v>対象外</v>
      </c>
    </row>
    <row r="751" customFormat="false" ht="15" hidden="false" customHeight="false" outlineLevel="0" collapsed="false">
      <c r="A751" s="0" t="n">
        <v>219</v>
      </c>
      <c r="AA751" s="0" t="n">
        <v>0</v>
      </c>
      <c r="AB751" s="0" t="s">
        <v>295</v>
      </c>
      <c r="AD751" s="0" t="n">
        <v>0</v>
      </c>
      <c r="AE751" s="0" t="s">
        <v>295</v>
      </c>
      <c r="AH751" s="0" t="n">
        <v>0</v>
      </c>
      <c r="AJ751" s="0" t="n">
        <v>50</v>
      </c>
      <c r="AP751" s="0" t="n">
        <v>0</v>
      </c>
      <c r="DB751" s="0" t="str">
        <f aca="false">IF($A751="","",IF(AND($A751=21,$AE751&amp;""="00000000"),IF($AH751=20,"病院",IF($AH751=5,"消防","市長")),"対象外"))</f>
        <v>対象外</v>
      </c>
    </row>
    <row r="752" customFormat="false" ht="15" hidden="false" customHeight="false" outlineLevel="0" collapsed="false">
      <c r="A752" s="0" t="n">
        <v>219</v>
      </c>
      <c r="AA752" s="0" t="n">
        <v>0</v>
      </c>
      <c r="AB752" s="0" t="s">
        <v>295</v>
      </c>
      <c r="AD752" s="0" t="n">
        <v>0</v>
      </c>
      <c r="AE752" s="0" t="s">
        <v>295</v>
      </c>
      <c r="AH752" s="0" t="n">
        <v>0</v>
      </c>
      <c r="AJ752" s="0" t="n">
        <v>50</v>
      </c>
      <c r="AP752" s="0" t="n">
        <v>0</v>
      </c>
      <c r="DB752" s="0" t="str">
        <f aca="false">IF($A752="","",IF(AND($A752=21,$AE752&amp;""="00000000"),IF($AH752=20,"病院",IF($AH752=5,"消防","市長")),"対象外"))</f>
        <v>対象外</v>
      </c>
    </row>
    <row r="753" customFormat="false" ht="15" hidden="false" customHeight="false" outlineLevel="0" collapsed="false">
      <c r="A753" s="0" t="n">
        <v>219</v>
      </c>
      <c r="AA753" s="0" t="n">
        <v>0</v>
      </c>
      <c r="AB753" s="0" t="s">
        <v>295</v>
      </c>
      <c r="AD753" s="0" t="n">
        <v>0</v>
      </c>
      <c r="AE753" s="0" t="s">
        <v>295</v>
      </c>
      <c r="AH753" s="0" t="n">
        <v>0</v>
      </c>
      <c r="AJ753" s="0" t="n">
        <v>50</v>
      </c>
      <c r="AP753" s="0" t="n">
        <v>0</v>
      </c>
      <c r="DB753" s="0" t="str">
        <f aca="false">IF($A753="","",IF(AND($A753=21,$AE753&amp;""="00000000"),IF($AH753=20,"病院",IF($AH753=5,"消防","市長")),"対象外"))</f>
        <v>対象外</v>
      </c>
    </row>
    <row r="754" customFormat="false" ht="15" hidden="false" customHeight="false" outlineLevel="0" collapsed="false">
      <c r="A754" s="0" t="n">
        <v>219</v>
      </c>
      <c r="AA754" s="0" t="n">
        <v>0</v>
      </c>
      <c r="AB754" s="0" t="s">
        <v>295</v>
      </c>
      <c r="AD754" s="0" t="n">
        <v>0</v>
      </c>
      <c r="AE754" s="0" t="s">
        <v>295</v>
      </c>
      <c r="AH754" s="0" t="n">
        <v>0</v>
      </c>
      <c r="AJ754" s="0" t="n">
        <v>50</v>
      </c>
      <c r="AP754" s="0" t="n">
        <v>0</v>
      </c>
      <c r="DB754" s="0" t="str">
        <f aca="false">IF($A754="","",IF(AND($A754=21,$AE754&amp;""="00000000"),IF($AH754=20,"病院",IF($AH754=5,"消防","市長")),"対象外"))</f>
        <v>対象外</v>
      </c>
    </row>
    <row r="755" customFormat="false" ht="15" hidden="false" customHeight="false" outlineLevel="0" collapsed="false">
      <c r="A755" s="0" t="n">
        <v>219</v>
      </c>
      <c r="AA755" s="0" t="n">
        <v>0</v>
      </c>
      <c r="AB755" s="0" t="s">
        <v>295</v>
      </c>
      <c r="AD755" s="0" t="n">
        <v>0</v>
      </c>
      <c r="AE755" s="0" t="s">
        <v>295</v>
      </c>
      <c r="AH755" s="0" t="n">
        <v>0</v>
      </c>
      <c r="AJ755" s="0" t="n">
        <v>50</v>
      </c>
      <c r="AP755" s="0" t="n">
        <v>0</v>
      </c>
      <c r="DB755" s="0" t="str">
        <f aca="false">IF($A755="","",IF(AND($A755=21,$AE755&amp;""="00000000"),IF($AH755=20,"病院",IF($AH755=5,"消防","市長")),"対象外"))</f>
        <v>対象外</v>
      </c>
    </row>
    <row r="756" customFormat="false" ht="15" hidden="false" customHeight="false" outlineLevel="0" collapsed="false">
      <c r="A756" s="0" t="n">
        <v>219</v>
      </c>
      <c r="AA756" s="0" t="n">
        <v>0</v>
      </c>
      <c r="AB756" s="0" t="s">
        <v>295</v>
      </c>
      <c r="AD756" s="0" t="n">
        <v>0</v>
      </c>
      <c r="AE756" s="0" t="s">
        <v>295</v>
      </c>
      <c r="AH756" s="0" t="n">
        <v>0</v>
      </c>
      <c r="AJ756" s="0" t="n">
        <v>50</v>
      </c>
      <c r="AP756" s="0" t="n">
        <v>0</v>
      </c>
      <c r="DB756" s="0" t="str">
        <f aca="false">IF($A756="","",IF(AND($A756=21,$AE756&amp;""="00000000"),IF($AH756=20,"病院",IF($AH756=5,"消防","市長")),"対象外"))</f>
        <v>対象外</v>
      </c>
    </row>
    <row r="757" customFormat="false" ht="15" hidden="false" customHeight="false" outlineLevel="0" collapsed="false">
      <c r="A757" s="0" t="n">
        <v>219</v>
      </c>
      <c r="AA757" s="0" t="n">
        <v>0</v>
      </c>
      <c r="AB757" s="0" t="s">
        <v>295</v>
      </c>
      <c r="AD757" s="0" t="n">
        <v>0</v>
      </c>
      <c r="AE757" s="0" t="s">
        <v>295</v>
      </c>
      <c r="AH757" s="0" t="n">
        <v>0</v>
      </c>
      <c r="AJ757" s="0" t="n">
        <v>50</v>
      </c>
      <c r="AP757" s="0" t="n">
        <v>0</v>
      </c>
      <c r="DB757" s="0" t="str">
        <f aca="false">IF($A757="","",IF(AND($A757=21,$AE757&amp;""="00000000"),IF($AH757=20,"病院",IF($AH757=5,"消防","市長")),"対象外"))</f>
        <v>対象外</v>
      </c>
    </row>
    <row r="758" customFormat="false" ht="15" hidden="false" customHeight="false" outlineLevel="0" collapsed="false">
      <c r="A758" s="0" t="n">
        <v>219</v>
      </c>
      <c r="AA758" s="0" t="n">
        <v>0</v>
      </c>
      <c r="AB758" s="0" t="s">
        <v>295</v>
      </c>
      <c r="AD758" s="0" t="n">
        <v>0</v>
      </c>
      <c r="AE758" s="0" t="s">
        <v>295</v>
      </c>
      <c r="AH758" s="0" t="n">
        <v>0</v>
      </c>
      <c r="AJ758" s="0" t="n">
        <v>50</v>
      </c>
      <c r="AP758" s="0" t="n">
        <v>0</v>
      </c>
      <c r="DB758" s="0" t="str">
        <f aca="false">IF($A758="","",IF(AND($A758=21,$AE758&amp;""="00000000"),IF($AH758=20,"病院",IF($AH758=5,"消防","市長")),"対象外"))</f>
        <v>対象外</v>
      </c>
    </row>
    <row r="759" customFormat="false" ht="15" hidden="false" customHeight="false" outlineLevel="0" collapsed="false">
      <c r="A759" s="0" t="n">
        <v>219</v>
      </c>
      <c r="AA759" s="0" t="n">
        <v>0</v>
      </c>
      <c r="AB759" s="0" t="s">
        <v>295</v>
      </c>
      <c r="AD759" s="0" t="n">
        <v>0</v>
      </c>
      <c r="AE759" s="0" t="s">
        <v>295</v>
      </c>
      <c r="AH759" s="0" t="n">
        <v>0</v>
      </c>
      <c r="AJ759" s="0" t="n">
        <v>50</v>
      </c>
      <c r="AP759" s="0" t="n">
        <v>0</v>
      </c>
      <c r="DB759" s="0" t="str">
        <f aca="false">IF($A759="","",IF(AND($A759=21,$AE759&amp;""="00000000"),IF($AH759=20,"病院",IF($AH759=5,"消防","市長")),"対象外"))</f>
        <v>対象外</v>
      </c>
    </row>
    <row r="760" customFormat="false" ht="15" hidden="false" customHeight="false" outlineLevel="0" collapsed="false">
      <c r="A760" s="0" t="n">
        <v>219</v>
      </c>
      <c r="AA760" s="0" t="n">
        <v>0</v>
      </c>
      <c r="AB760" s="0" t="s">
        <v>295</v>
      </c>
      <c r="AD760" s="0" t="n">
        <v>0</v>
      </c>
      <c r="AE760" s="0" t="s">
        <v>295</v>
      </c>
      <c r="AH760" s="0" t="n">
        <v>0</v>
      </c>
      <c r="AJ760" s="0" t="n">
        <v>50</v>
      </c>
      <c r="AP760" s="0" t="n">
        <v>0</v>
      </c>
      <c r="DB760" s="0" t="str">
        <f aca="false">IF($A760="","",IF(AND($A760=21,$AE760&amp;""="00000000"),IF($AH760=20,"病院",IF($AH760=5,"消防","市長")),"対象外"))</f>
        <v>対象外</v>
      </c>
    </row>
    <row r="761" customFormat="false" ht="15" hidden="false" customHeight="false" outlineLevel="0" collapsed="false">
      <c r="A761" s="0" t="n">
        <v>219</v>
      </c>
      <c r="AA761" s="0" t="n">
        <v>0</v>
      </c>
      <c r="AB761" s="0" t="s">
        <v>295</v>
      </c>
      <c r="AD761" s="0" t="n">
        <v>0</v>
      </c>
      <c r="AE761" s="0" t="s">
        <v>295</v>
      </c>
      <c r="AH761" s="0" t="n">
        <v>0</v>
      </c>
      <c r="AJ761" s="0" t="n">
        <v>50</v>
      </c>
      <c r="AP761" s="0" t="n">
        <v>0</v>
      </c>
      <c r="DB761" s="0" t="str">
        <f aca="false">IF($A761="","",IF(AND($A761=21,$AE761&amp;""="00000000"),IF($AH761=20,"病院",IF($AH761=5,"消防","市長")),"対象外"))</f>
        <v>対象外</v>
      </c>
    </row>
    <row r="762" customFormat="false" ht="15" hidden="false" customHeight="false" outlineLevel="0" collapsed="false">
      <c r="A762" s="0" t="n">
        <v>219</v>
      </c>
      <c r="AA762" s="0" t="n">
        <v>0</v>
      </c>
      <c r="AB762" s="0" t="s">
        <v>295</v>
      </c>
      <c r="AD762" s="0" t="n">
        <v>0</v>
      </c>
      <c r="AE762" s="0" t="s">
        <v>295</v>
      </c>
      <c r="AH762" s="0" t="n">
        <v>0</v>
      </c>
      <c r="AJ762" s="0" t="n">
        <v>50</v>
      </c>
      <c r="AP762" s="0" t="n">
        <v>0</v>
      </c>
      <c r="DB762" s="0" t="str">
        <f aca="false">IF($A762="","",IF(AND($A762=21,$AE762&amp;""="00000000"),IF($AH762=20,"病院",IF($AH762=5,"消防","市長")),"対象外"))</f>
        <v>対象外</v>
      </c>
    </row>
    <row r="763" customFormat="false" ht="15" hidden="false" customHeight="false" outlineLevel="0" collapsed="false">
      <c r="A763" s="0" t="n">
        <v>219</v>
      </c>
      <c r="AA763" s="0" t="n">
        <v>0</v>
      </c>
      <c r="AB763" s="0" t="s">
        <v>295</v>
      </c>
      <c r="AD763" s="0" t="n">
        <v>0</v>
      </c>
      <c r="AE763" s="0" t="s">
        <v>295</v>
      </c>
      <c r="AH763" s="0" t="n">
        <v>0</v>
      </c>
      <c r="AJ763" s="0" t="n">
        <v>50</v>
      </c>
      <c r="AP763" s="0" t="n">
        <v>0</v>
      </c>
      <c r="DB763" s="0" t="str">
        <f aca="false">IF($A763="","",IF(AND($A763=21,$AE763&amp;""="00000000"),IF($AH763=20,"病院",IF($AH763=5,"消防","市長")),"対象外"))</f>
        <v>対象外</v>
      </c>
    </row>
    <row r="764" customFormat="false" ht="15" hidden="false" customHeight="false" outlineLevel="0" collapsed="false">
      <c r="A764" s="0" t="n">
        <v>219</v>
      </c>
      <c r="AA764" s="0" t="n">
        <v>0</v>
      </c>
      <c r="AB764" s="0" t="s">
        <v>295</v>
      </c>
      <c r="AD764" s="0" t="n">
        <v>0</v>
      </c>
      <c r="AE764" s="0" t="s">
        <v>295</v>
      </c>
      <c r="AH764" s="0" t="n">
        <v>0</v>
      </c>
      <c r="AJ764" s="0" t="n">
        <v>50</v>
      </c>
      <c r="AP764" s="0" t="n">
        <v>0</v>
      </c>
      <c r="DB764" s="0" t="str">
        <f aca="false">IF($A764="","",IF(AND($A764=21,$AE764&amp;""="00000000"),IF($AH764=20,"病院",IF($AH764=5,"消防","市長")),"対象外"))</f>
        <v>対象外</v>
      </c>
    </row>
    <row r="765" customFormat="false" ht="15" hidden="false" customHeight="false" outlineLevel="0" collapsed="false">
      <c r="A765" s="0" t="n">
        <v>219</v>
      </c>
      <c r="AA765" s="0" t="n">
        <v>0</v>
      </c>
      <c r="AB765" s="0" t="s">
        <v>295</v>
      </c>
      <c r="AD765" s="0" t="n">
        <v>0</v>
      </c>
      <c r="AE765" s="0" t="s">
        <v>295</v>
      </c>
      <c r="AH765" s="0" t="n">
        <v>0</v>
      </c>
      <c r="AJ765" s="0" t="n">
        <v>50</v>
      </c>
      <c r="AP765" s="0" t="n">
        <v>0</v>
      </c>
      <c r="DB765" s="0" t="str">
        <f aca="false">IF($A765="","",IF(AND($A765=21,$AE765&amp;""="00000000"),IF($AH765=20,"病院",IF($AH765=5,"消防","市長")),"対象外"))</f>
        <v>対象外</v>
      </c>
    </row>
    <row r="766" customFormat="false" ht="15" hidden="false" customHeight="false" outlineLevel="0" collapsed="false">
      <c r="A766" s="0" t="n">
        <v>219</v>
      </c>
      <c r="AA766" s="0" t="n">
        <v>0</v>
      </c>
      <c r="AB766" s="0" t="s">
        <v>295</v>
      </c>
      <c r="AD766" s="0" t="n">
        <v>0</v>
      </c>
      <c r="AE766" s="0" t="s">
        <v>295</v>
      </c>
      <c r="AH766" s="0" t="n">
        <v>0</v>
      </c>
      <c r="AJ766" s="0" t="n">
        <v>50</v>
      </c>
      <c r="AP766" s="0" t="n">
        <v>0</v>
      </c>
      <c r="DB766" s="0" t="str">
        <f aca="false">IF($A766="","",IF(AND($A766=21,$AE766&amp;""="00000000"),IF($AH766=20,"病院",IF($AH766=5,"消防","市長")),"対象外"))</f>
        <v>対象外</v>
      </c>
    </row>
    <row r="767" customFormat="false" ht="15" hidden="false" customHeight="false" outlineLevel="0" collapsed="false">
      <c r="A767" s="0" t="n">
        <v>219</v>
      </c>
      <c r="AA767" s="0" t="n">
        <v>0</v>
      </c>
      <c r="AB767" s="0" t="s">
        <v>295</v>
      </c>
      <c r="AD767" s="0" t="n">
        <v>0</v>
      </c>
      <c r="AE767" s="0" t="s">
        <v>295</v>
      </c>
      <c r="AH767" s="0" t="n">
        <v>0</v>
      </c>
      <c r="AJ767" s="0" t="n">
        <v>50</v>
      </c>
      <c r="AP767" s="0" t="n">
        <v>0</v>
      </c>
      <c r="DB767" s="0" t="str">
        <f aca="false">IF($A767="","",IF(AND($A767=21,$AE767&amp;""="00000000"),IF($AH767=20,"病院",IF($AH767=5,"消防","市長")),"対象外"))</f>
        <v>対象外</v>
      </c>
    </row>
    <row r="768" customFormat="false" ht="15" hidden="false" customHeight="false" outlineLevel="0" collapsed="false">
      <c r="A768" s="0" t="n">
        <v>219</v>
      </c>
      <c r="AA768" s="0" t="n">
        <v>0</v>
      </c>
      <c r="AB768" s="0" t="s">
        <v>295</v>
      </c>
      <c r="AD768" s="0" t="n">
        <v>0</v>
      </c>
      <c r="AE768" s="0" t="s">
        <v>295</v>
      </c>
      <c r="AH768" s="0" t="n">
        <v>0</v>
      </c>
      <c r="AJ768" s="0" t="n">
        <v>50</v>
      </c>
      <c r="AP768" s="0" t="n">
        <v>0</v>
      </c>
      <c r="DB768" s="0" t="str">
        <f aca="false">IF($A768="","",IF(AND($A768=21,$AE768&amp;""="00000000"),IF($AH768=20,"病院",IF($AH768=5,"消防","市長")),"対象外"))</f>
        <v>対象外</v>
      </c>
    </row>
    <row r="769" customFormat="false" ht="15" hidden="false" customHeight="false" outlineLevel="0" collapsed="false">
      <c r="A769" s="0" t="n">
        <v>219</v>
      </c>
      <c r="AA769" s="0" t="n">
        <v>0</v>
      </c>
      <c r="AB769" s="0" t="s">
        <v>295</v>
      </c>
      <c r="AD769" s="0" t="n">
        <v>0</v>
      </c>
      <c r="AE769" s="0" t="s">
        <v>295</v>
      </c>
      <c r="AH769" s="0" t="n">
        <v>0</v>
      </c>
      <c r="AJ769" s="0" t="n">
        <v>50</v>
      </c>
      <c r="AP769" s="0" t="n">
        <v>0</v>
      </c>
      <c r="DB769" s="0" t="str">
        <f aca="false">IF($A769="","",IF(AND($A769=21,$AE769&amp;""="00000000"),IF($AH769=20,"病院",IF($AH769=5,"消防","市長")),"対象外"))</f>
        <v>対象外</v>
      </c>
    </row>
    <row r="770" customFormat="false" ht="15" hidden="false" customHeight="false" outlineLevel="0" collapsed="false">
      <c r="A770" s="0" t="n">
        <v>219</v>
      </c>
      <c r="AA770" s="0" t="n">
        <v>0</v>
      </c>
      <c r="AB770" s="0" t="s">
        <v>295</v>
      </c>
      <c r="AD770" s="0" t="n">
        <v>0</v>
      </c>
      <c r="AE770" s="0" t="s">
        <v>295</v>
      </c>
      <c r="AH770" s="0" t="n">
        <v>0</v>
      </c>
      <c r="AJ770" s="0" t="n">
        <v>50</v>
      </c>
      <c r="AP770" s="0" t="n">
        <v>0</v>
      </c>
      <c r="DB770" s="0" t="str">
        <f aca="false">IF($A770="","",IF(AND($A770=21,$AE770&amp;""="00000000"),IF($AH770=20,"病院",IF($AH770=5,"消防","市長")),"対象外"))</f>
        <v>対象外</v>
      </c>
    </row>
    <row r="771" customFormat="false" ht="15" hidden="false" customHeight="false" outlineLevel="0" collapsed="false">
      <c r="A771" s="0" t="n">
        <v>219</v>
      </c>
      <c r="AA771" s="0" t="n">
        <v>0</v>
      </c>
      <c r="AB771" s="0" t="s">
        <v>295</v>
      </c>
      <c r="AD771" s="0" t="n">
        <v>0</v>
      </c>
      <c r="AE771" s="0" t="s">
        <v>295</v>
      </c>
      <c r="AH771" s="0" t="n">
        <v>0</v>
      </c>
      <c r="AJ771" s="0" t="n">
        <v>50</v>
      </c>
      <c r="AP771" s="0" t="n">
        <v>0</v>
      </c>
      <c r="DB771" s="0" t="str">
        <f aca="false">IF($A771="","",IF(AND($A771=21,$AE771&amp;""="00000000"),IF($AH771=20,"病院",IF($AH771=5,"消防","市長")),"対象外"))</f>
        <v>対象外</v>
      </c>
    </row>
    <row r="772" customFormat="false" ht="15" hidden="false" customHeight="false" outlineLevel="0" collapsed="false">
      <c r="A772" s="0" t="n">
        <v>219</v>
      </c>
      <c r="AA772" s="0" t="n">
        <v>0</v>
      </c>
      <c r="AB772" s="0" t="s">
        <v>295</v>
      </c>
      <c r="AD772" s="0" t="n">
        <v>0</v>
      </c>
      <c r="AE772" s="0" t="s">
        <v>295</v>
      </c>
      <c r="AH772" s="0" t="n">
        <v>0</v>
      </c>
      <c r="AJ772" s="0" t="n">
        <v>50</v>
      </c>
      <c r="AP772" s="0" t="n">
        <v>0</v>
      </c>
      <c r="DB772" s="0" t="str">
        <f aca="false">IF($A772="","",IF(AND($A772=21,$AE772&amp;""="00000000"),IF($AH772=20,"病院",IF($AH772=5,"消防","市長")),"対象外"))</f>
        <v>対象外</v>
      </c>
    </row>
    <row r="773" customFormat="false" ht="15" hidden="false" customHeight="false" outlineLevel="0" collapsed="false">
      <c r="A773" s="0" t="n">
        <v>219</v>
      </c>
      <c r="AA773" s="0" t="n">
        <v>0</v>
      </c>
      <c r="AB773" s="0" t="s">
        <v>295</v>
      </c>
      <c r="AD773" s="0" t="n">
        <v>0</v>
      </c>
      <c r="AE773" s="0" t="s">
        <v>295</v>
      </c>
      <c r="AH773" s="0" t="n">
        <v>0</v>
      </c>
      <c r="AJ773" s="0" t="n">
        <v>50</v>
      </c>
      <c r="AP773" s="0" t="n">
        <v>0</v>
      </c>
      <c r="DB773" s="0" t="str">
        <f aca="false">IF($A773="","",IF(AND($A773=21,$AE773&amp;""="00000000"),IF($AH773=20,"病院",IF($AH773=5,"消防","市長")),"対象外"))</f>
        <v>対象外</v>
      </c>
    </row>
    <row r="774" customFormat="false" ht="15" hidden="false" customHeight="false" outlineLevel="0" collapsed="false">
      <c r="A774" s="0" t="n">
        <v>219</v>
      </c>
      <c r="AA774" s="0" t="n">
        <v>0</v>
      </c>
      <c r="AB774" s="0" t="s">
        <v>295</v>
      </c>
      <c r="AD774" s="0" t="n">
        <v>0</v>
      </c>
      <c r="AE774" s="0" t="s">
        <v>295</v>
      </c>
      <c r="AH774" s="0" t="n">
        <v>0</v>
      </c>
      <c r="AJ774" s="0" t="n">
        <v>50</v>
      </c>
      <c r="AP774" s="0" t="n">
        <v>0</v>
      </c>
      <c r="DB774" s="0" t="str">
        <f aca="false">IF($A774="","",IF(AND($A774=21,$AE774&amp;""="00000000"),IF($AH774=20,"病院",IF($AH774=5,"消防","市長")),"対象外"))</f>
        <v>対象外</v>
      </c>
    </row>
    <row r="775" customFormat="false" ht="15" hidden="false" customHeight="false" outlineLevel="0" collapsed="false">
      <c r="A775" s="0" t="n">
        <v>219</v>
      </c>
      <c r="AA775" s="0" t="n">
        <v>0</v>
      </c>
      <c r="AB775" s="0" t="s">
        <v>295</v>
      </c>
      <c r="AD775" s="0" t="n">
        <v>0</v>
      </c>
      <c r="AE775" s="0" t="s">
        <v>295</v>
      </c>
      <c r="AH775" s="0" t="n">
        <v>0</v>
      </c>
      <c r="AJ775" s="0" t="n">
        <v>50</v>
      </c>
      <c r="AP775" s="0" t="n">
        <v>0</v>
      </c>
      <c r="DB775" s="0" t="str">
        <f aca="false">IF($A775="","",IF(AND($A775=21,$AE775&amp;""="00000000"),IF($AH775=20,"病院",IF($AH775=5,"消防","市長")),"対象外"))</f>
        <v>対象外</v>
      </c>
    </row>
    <row r="776" customFormat="false" ht="15" hidden="false" customHeight="false" outlineLevel="0" collapsed="false">
      <c r="A776" s="0" t="n">
        <v>219</v>
      </c>
      <c r="AA776" s="0" t="n">
        <v>0</v>
      </c>
      <c r="AB776" s="0" t="s">
        <v>295</v>
      </c>
      <c r="AD776" s="0" t="n">
        <v>0</v>
      </c>
      <c r="AE776" s="0" t="s">
        <v>295</v>
      </c>
      <c r="AH776" s="0" t="n">
        <v>0</v>
      </c>
      <c r="AJ776" s="0" t="n">
        <v>50</v>
      </c>
      <c r="AP776" s="0" t="n">
        <v>0</v>
      </c>
      <c r="DB776" s="0" t="str">
        <f aca="false">IF($A776="","",IF(AND($A776=21,$AE776&amp;""="00000000"),IF($AH776=20,"病院",IF($AH776=5,"消防","市長")),"対象外"))</f>
        <v>対象外</v>
      </c>
    </row>
    <row r="777" customFormat="false" ht="15" hidden="false" customHeight="false" outlineLevel="0" collapsed="false">
      <c r="A777" s="0" t="n">
        <v>219</v>
      </c>
      <c r="AA777" s="0" t="n">
        <v>0</v>
      </c>
      <c r="AB777" s="0" t="s">
        <v>295</v>
      </c>
      <c r="AD777" s="0" t="n">
        <v>0</v>
      </c>
      <c r="AE777" s="0" t="s">
        <v>295</v>
      </c>
      <c r="AH777" s="0" t="n">
        <v>0</v>
      </c>
      <c r="AJ777" s="0" t="n">
        <v>50</v>
      </c>
      <c r="AP777" s="0" t="n">
        <v>0</v>
      </c>
      <c r="DB777" s="0" t="str">
        <f aca="false">IF($A777="","",IF(AND($A777=21,$AE777&amp;""="00000000"),IF($AH777=20,"病院",IF($AH777=5,"消防","市長")),"対象外"))</f>
        <v>対象外</v>
      </c>
    </row>
    <row r="778" customFormat="false" ht="15" hidden="false" customHeight="false" outlineLevel="0" collapsed="false">
      <c r="A778" s="0" t="n">
        <v>219</v>
      </c>
      <c r="AA778" s="0" t="n">
        <v>0</v>
      </c>
      <c r="AB778" s="0" t="s">
        <v>295</v>
      </c>
      <c r="AD778" s="0" t="n">
        <v>0</v>
      </c>
      <c r="AE778" s="0" t="s">
        <v>295</v>
      </c>
      <c r="AH778" s="0" t="n">
        <v>0</v>
      </c>
      <c r="AJ778" s="0" t="n">
        <v>50</v>
      </c>
      <c r="AP778" s="0" t="n">
        <v>0</v>
      </c>
      <c r="DB778" s="0" t="str">
        <f aca="false">IF($A778="","",IF(AND($A778=21,$AE778&amp;""="00000000"),IF($AH778=20,"病院",IF($AH778=5,"消防","市長")),"対象外"))</f>
        <v>対象外</v>
      </c>
    </row>
    <row r="779" customFormat="false" ht="15" hidden="false" customHeight="false" outlineLevel="0" collapsed="false">
      <c r="A779" s="0" t="n">
        <v>219</v>
      </c>
      <c r="AA779" s="0" t="n">
        <v>0</v>
      </c>
      <c r="AB779" s="0" t="s">
        <v>295</v>
      </c>
      <c r="AD779" s="0" t="n">
        <v>0</v>
      </c>
      <c r="AE779" s="0" t="s">
        <v>295</v>
      </c>
      <c r="AH779" s="0" t="n">
        <v>0</v>
      </c>
      <c r="AJ779" s="0" t="n">
        <v>50</v>
      </c>
      <c r="AP779" s="0" t="n">
        <v>0</v>
      </c>
      <c r="DB779" s="0" t="str">
        <f aca="false">IF($A779="","",IF(AND($A779=21,$AE779&amp;""="00000000"),IF($AH779=20,"病院",IF($AH779=5,"消防","市長")),"対象外"))</f>
        <v>対象外</v>
      </c>
    </row>
    <row r="780" customFormat="false" ht="15" hidden="false" customHeight="false" outlineLevel="0" collapsed="false">
      <c r="A780" s="0" t="n">
        <v>219</v>
      </c>
      <c r="AA780" s="0" t="n">
        <v>0</v>
      </c>
      <c r="AB780" s="0" t="s">
        <v>295</v>
      </c>
      <c r="AD780" s="0" t="n">
        <v>0</v>
      </c>
      <c r="AE780" s="0" t="s">
        <v>295</v>
      </c>
      <c r="AH780" s="0" t="n">
        <v>0</v>
      </c>
      <c r="AJ780" s="0" t="n">
        <v>50</v>
      </c>
      <c r="AP780" s="0" t="n">
        <v>0</v>
      </c>
      <c r="DB780" s="0" t="str">
        <f aca="false">IF($A780="","",IF(AND($A780=21,$AE780&amp;""="00000000"),IF($AH780=20,"病院",IF($AH780=5,"消防","市長")),"対象外"))</f>
        <v>対象外</v>
      </c>
    </row>
    <row r="781" customFormat="false" ht="15" hidden="false" customHeight="false" outlineLevel="0" collapsed="false">
      <c r="DB781" s="0" t="str">
        <f aca="false">IF($A781="","",IF(AND($A781=21,$AE781&amp;""="00000000"),IF($AH781=20,"病院",IF($AH781=5,"消防","市長")),"対象外"))</f>
        <v/>
      </c>
    </row>
    <row r="782" customFormat="false" ht="15" hidden="false" customHeight="false" outlineLevel="0" collapsed="false">
      <c r="DB782" s="0" t="str">
        <f aca="false">IF($A782="","",IF(AND($A782=21,$AE782&amp;""="00000000"),IF($AH782=20,"病院",IF($AH782=5,"消防","市長")),"対象外"))</f>
        <v/>
      </c>
    </row>
    <row r="783" customFormat="false" ht="15" hidden="false" customHeight="false" outlineLevel="0" collapsed="false">
      <c r="DB783" s="0" t="str">
        <f aca="false">IF($A783="","",IF(AND($A783=21,$AE783&amp;""="00000000"),IF($AH783=20,"病院",IF($AH783=5,"消防","市長")),"対象外"))</f>
        <v/>
      </c>
    </row>
    <row r="784" customFormat="false" ht="15" hidden="false" customHeight="false" outlineLevel="0" collapsed="false">
      <c r="DB784" s="0" t="str">
        <f aca="false">IF($A784="","",IF(AND($A784=21,$AE784&amp;""="00000000"),IF($AH784=20,"病院",IF($AH784=5,"消防","市長")),"対象外"))</f>
        <v/>
      </c>
    </row>
    <row r="785" customFormat="false" ht="15" hidden="false" customHeight="false" outlineLevel="0" collapsed="false">
      <c r="DB785" s="0" t="str">
        <f aca="false">IF($A785="","",IF(AND($A785=21,$AE785&amp;""="00000000"),IF($AH785=20,"病院",IF($AH785=5,"消防","市長")),"対象外"))</f>
        <v/>
      </c>
    </row>
    <row r="786" customFormat="false" ht="15" hidden="false" customHeight="false" outlineLevel="0" collapsed="false">
      <c r="DB786" s="0" t="str">
        <f aca="false">IF($A786="","",IF(AND($A786=21,$AE786&amp;""="00000000"),IF($AH786=20,"病院",IF($AH786=5,"消防","市長")),"対象外"))</f>
        <v/>
      </c>
    </row>
    <row r="787" customFormat="false" ht="15" hidden="false" customHeight="false" outlineLevel="0" collapsed="false">
      <c r="DB787" s="0" t="str">
        <f aca="false">IF($A787="","",IF(AND($A787=21,$AE787&amp;""="00000000"),IF($AH787=20,"病院",IF($AH787=5,"消防","市長")),"対象外"))</f>
        <v/>
      </c>
    </row>
    <row r="788" customFormat="false" ht="15" hidden="false" customHeight="false" outlineLevel="0" collapsed="false">
      <c r="DB788" s="0" t="str">
        <f aca="false">IF($A788="","",IF(AND($A788=21,$AE788&amp;""="00000000"),IF($AH788=20,"病院",IF($AH788=5,"消防","市長")),"対象外"))</f>
        <v/>
      </c>
    </row>
    <row r="789" customFormat="false" ht="15" hidden="false" customHeight="false" outlineLevel="0" collapsed="false">
      <c r="DB789" s="0" t="str">
        <f aca="false">IF($A789="","",IF(AND($A789=21,$AE789&amp;""="00000000"),IF($AH789=20,"病院",IF($AH789=5,"消防","市長")),"対象外"))</f>
        <v/>
      </c>
    </row>
    <row r="790" customFormat="false" ht="15" hidden="false" customHeight="false" outlineLevel="0" collapsed="false">
      <c r="DB790" s="0" t="str">
        <f aca="false">IF($A790="","",IF(AND($A790=21,$AE790&amp;""="00000000"),IF($AH790=20,"病院",IF($AH790=5,"消防","市長")),"対象外"))</f>
        <v/>
      </c>
    </row>
    <row r="791" customFormat="false" ht="15" hidden="false" customHeight="false" outlineLevel="0" collapsed="false">
      <c r="DB791" s="0" t="str">
        <f aca="false">IF($A791="","",IF(AND($A791=21,$AE791&amp;""="00000000"),IF($AH791=20,"病院",IF($AH791=5,"消防","市長")),"対象外"))</f>
        <v/>
      </c>
    </row>
    <row r="792" customFormat="false" ht="15" hidden="false" customHeight="false" outlineLevel="0" collapsed="false">
      <c r="DB792" s="0" t="str">
        <f aca="false">IF($A792="","",IF(AND($A792=21,$AE792&amp;""="00000000"),IF($AH792=20,"病院",IF($AH792=5,"消防","市長")),"対象外"))</f>
        <v/>
      </c>
    </row>
    <row r="793" customFormat="false" ht="15" hidden="false" customHeight="false" outlineLevel="0" collapsed="false">
      <c r="DB793" s="0" t="str">
        <f aca="false">IF($A793="","",IF(AND($A793=21,$AE793&amp;""="00000000"),IF($AH793=20,"病院",IF($AH793=5,"消防","市長")),"対象外"))</f>
        <v/>
      </c>
    </row>
    <row r="794" customFormat="false" ht="15" hidden="false" customHeight="false" outlineLevel="0" collapsed="false">
      <c r="DB794" s="0" t="str">
        <f aca="false">IF($A794="","",IF(AND($A794=21,$AE794&amp;""="00000000"),IF($AH794=20,"病院",IF($AH794=5,"消防","市長")),"対象外"))</f>
        <v/>
      </c>
    </row>
    <row r="795" customFormat="false" ht="15" hidden="false" customHeight="false" outlineLevel="0" collapsed="false">
      <c r="DB795" s="0" t="str">
        <f aca="false">IF($A795="","",IF(AND($A795=21,$AE795&amp;""="00000000"),IF($AH795=20,"病院",IF($AH795=5,"消防","市長")),"対象外"))</f>
        <v/>
      </c>
    </row>
    <row r="796" customFormat="false" ht="15" hidden="false" customHeight="false" outlineLevel="0" collapsed="false">
      <c r="DB796" s="0" t="str">
        <f aca="false">IF($A796="","",IF(AND($A796=21,$AE796&amp;""="00000000"),IF($AH796=20,"病院",IF($AH796=5,"消防","市長")),"対象外"))</f>
        <v/>
      </c>
    </row>
    <row r="797" customFormat="false" ht="15" hidden="false" customHeight="false" outlineLevel="0" collapsed="false">
      <c r="DB797" s="0" t="str">
        <f aca="false">IF($A797="","",IF(AND($A797=21,$AE797&amp;""="00000000"),IF($AH797=20,"病院",IF($AH797=5,"消防","市長")),"対象外"))</f>
        <v/>
      </c>
    </row>
    <row r="798" customFormat="false" ht="15" hidden="false" customHeight="false" outlineLevel="0" collapsed="false">
      <c r="DB798" s="0" t="str">
        <f aca="false">IF($A798="","",IF(AND($A798=21,$AE798&amp;""="00000000"),IF($AH798=20,"病院",IF($AH798=5,"消防","市長")),"対象外"))</f>
        <v/>
      </c>
    </row>
    <row r="799" customFormat="false" ht="15" hidden="false" customHeight="false" outlineLevel="0" collapsed="false">
      <c r="DB799" s="0" t="str">
        <f aca="false">IF($A799="","",IF(AND($A799=21,$AE799&amp;""="00000000"),IF($AH799=20,"病院",IF($AH799=5,"消防","市長")),"対象外"))</f>
        <v/>
      </c>
    </row>
    <row r="800" customFormat="false" ht="15" hidden="false" customHeight="false" outlineLevel="0" collapsed="false">
      <c r="DB800" s="0" t="str">
        <f aca="false">IF($A800="","",IF(AND($A800=21,$AE800&amp;""="00000000"),IF($AH800=20,"病院",IF($AH800=5,"消防","市長")),"対象外"))</f>
        <v/>
      </c>
    </row>
    <row r="801" customFormat="false" ht="15" hidden="false" customHeight="false" outlineLevel="0" collapsed="false">
      <c r="DB801" s="0" t="str">
        <f aca="false">IF($A801="","",IF(AND($A801=21,$AE801&amp;""="00000000"),IF($AH801=20,"病院",IF($AH801=5,"消防","市長")),"対象外"))</f>
        <v/>
      </c>
    </row>
    <row r="802" customFormat="false" ht="15" hidden="false" customHeight="false" outlineLevel="0" collapsed="false">
      <c r="DB802" s="0" t="str">
        <f aca="false">IF($A802="","",IF(AND($A802=21,$AE802&amp;""="00000000"),IF($AH802=20,"病院",IF($AH802=5,"消防","市長")),"対象外"))</f>
        <v/>
      </c>
    </row>
    <row r="803" customFormat="false" ht="15" hidden="false" customHeight="false" outlineLevel="0" collapsed="false">
      <c r="DB803" s="0" t="str">
        <f aca="false">IF($A803="","",IF(AND($A803=21,$AE803&amp;""="00000000"),IF($AH803=20,"病院",IF($AH803=5,"消防","市長")),"対象外"))</f>
        <v/>
      </c>
    </row>
    <row r="804" customFormat="false" ht="15" hidden="false" customHeight="false" outlineLevel="0" collapsed="false">
      <c r="DB804" s="0" t="str">
        <f aca="false">IF($A804="","",IF(AND($A804=21,$AE804&amp;""="00000000"),IF($AH804=20,"病院",IF($AH804=5,"消防","市長")),"対象外"))</f>
        <v/>
      </c>
    </row>
    <row r="805" customFormat="false" ht="15" hidden="false" customHeight="false" outlineLevel="0" collapsed="false">
      <c r="DB805" s="0" t="str">
        <f aca="false">IF($A805="","",IF(AND($A805=21,$AE805&amp;""="00000000"),IF($AH805=20,"病院",IF($AH805=5,"消防","市長")),"対象外"))</f>
        <v/>
      </c>
    </row>
    <row r="806" customFormat="false" ht="15" hidden="false" customHeight="false" outlineLevel="0" collapsed="false">
      <c r="DB806" s="0" t="str">
        <f aca="false">IF($A806="","",IF(AND($A806=21,$AE806&amp;""="00000000"),IF($AH806=20,"病院",IF($AH806=5,"消防","市長")),"対象外"))</f>
        <v/>
      </c>
    </row>
    <row r="807" customFormat="false" ht="15" hidden="false" customHeight="false" outlineLevel="0" collapsed="false">
      <c r="DB807" s="0" t="str">
        <f aca="false">IF($A807="","",IF(AND($A807=21,$AE807&amp;""="00000000"),IF($AH807=20,"病院",IF($AH807=5,"消防","市長")),"対象外"))</f>
        <v/>
      </c>
    </row>
    <row r="808" customFormat="false" ht="15" hidden="false" customHeight="false" outlineLevel="0" collapsed="false">
      <c r="DB808" s="0" t="str">
        <f aca="false">IF($A808="","",IF(AND($A808=21,$AE808&amp;""="00000000"),IF($AH808=20,"病院",IF($AH808=5,"消防","市長")),"対象外"))</f>
        <v/>
      </c>
    </row>
    <row r="809" customFormat="false" ht="15" hidden="false" customHeight="false" outlineLevel="0" collapsed="false">
      <c r="DB809" s="0" t="str">
        <f aca="false">IF($A809="","",IF(AND($A809=21,$AE809&amp;""="00000000"),IF($AH809=20,"病院",IF($AH809=5,"消防","市長")),"対象外"))</f>
        <v/>
      </c>
    </row>
    <row r="810" customFormat="false" ht="15" hidden="false" customHeight="false" outlineLevel="0" collapsed="false">
      <c r="DB810" s="0" t="str">
        <f aca="false">IF($A810="","",IF(AND($A810=21,$AE810&amp;""="00000000"),IF($AH810=20,"病院",IF($AH810=5,"消防","市長")),"対象外"))</f>
        <v/>
      </c>
    </row>
    <row r="811" customFormat="false" ht="15" hidden="false" customHeight="false" outlineLevel="0" collapsed="false">
      <c r="DB811" s="0" t="str">
        <f aca="false">IF($A811="","",IF(AND($A811=21,$AE811&amp;""="00000000"),IF($AH811=20,"病院",IF($AH811=5,"消防","市長")),"対象外"))</f>
        <v/>
      </c>
    </row>
    <row r="812" customFormat="false" ht="15" hidden="false" customHeight="false" outlineLevel="0" collapsed="false">
      <c r="DB812" s="0" t="str">
        <f aca="false">IF($A812="","",IF(AND($A812=21,$AE812&amp;""="00000000"),IF($AH812=20,"病院",IF($AH812=5,"消防","市長")),"対象外"))</f>
        <v/>
      </c>
    </row>
    <row r="813" customFormat="false" ht="15" hidden="false" customHeight="false" outlineLevel="0" collapsed="false">
      <c r="DB813" s="0" t="str">
        <f aca="false">IF($A813="","",IF(AND($A813=21,$AE813&amp;""="00000000"),IF($AH813=20,"病院",IF($AH813=5,"消防","市長")),"対象外"))</f>
        <v/>
      </c>
    </row>
    <row r="814" customFormat="false" ht="15" hidden="false" customHeight="false" outlineLevel="0" collapsed="false">
      <c r="DB814" s="0" t="str">
        <f aca="false">IF($A814="","",IF(AND($A814=21,$AE814&amp;""="00000000"),IF($AH814=20,"病院",IF($AH814=5,"消防","市長")),"対象外"))</f>
        <v/>
      </c>
    </row>
    <row r="815" customFormat="false" ht="15" hidden="false" customHeight="false" outlineLevel="0" collapsed="false">
      <c r="DB815" s="0" t="str">
        <f aca="false">IF($A815="","",IF(AND($A815=21,$AE815&amp;""="00000000"),IF($AH815=20,"病院",IF($AH815=5,"消防","市長")),"対象外"))</f>
        <v/>
      </c>
    </row>
    <row r="816" customFormat="false" ht="15" hidden="false" customHeight="false" outlineLevel="0" collapsed="false">
      <c r="DB816" s="0" t="str">
        <f aca="false">IF($A816="","",IF(AND($A816=21,$AE816&amp;""="00000000"),IF($AH816=20,"病院",IF($AH816=5,"消防","市長")),"対象外"))</f>
        <v/>
      </c>
    </row>
    <row r="817" customFormat="false" ht="15" hidden="false" customHeight="false" outlineLevel="0" collapsed="false">
      <c r="DB817" s="0" t="str">
        <f aca="false">IF($A817="","",IF(AND($A817=21,$AE817&amp;""="00000000"),IF($AH817=20,"病院",IF($AH817=5,"消防","市長")),"対象外"))</f>
        <v/>
      </c>
    </row>
    <row r="818" customFormat="false" ht="15" hidden="false" customHeight="false" outlineLevel="0" collapsed="false">
      <c r="DB818" s="0" t="str">
        <f aca="false">IF($A818="","",IF(AND($A818=21,$AE818&amp;""="00000000"),IF($AH818=20,"病院",IF($AH818=5,"消防","市長")),"対象外"))</f>
        <v/>
      </c>
    </row>
    <row r="819" customFormat="false" ht="15" hidden="false" customHeight="false" outlineLevel="0" collapsed="false">
      <c r="DB819" s="0" t="str">
        <f aca="false">IF($A819="","",IF(AND($A819=21,$AE819&amp;""="00000000"),IF($AH819=20,"病院",IF($AH819=5,"消防","市長")),"対象外"))</f>
        <v/>
      </c>
    </row>
    <row r="820" customFormat="false" ht="15" hidden="false" customHeight="false" outlineLevel="0" collapsed="false">
      <c r="DB820" s="0" t="str">
        <f aca="false">IF($A820="","",IF(AND($A820=21,$AE820&amp;""="00000000"),IF($AH820=20,"病院",IF($AH820=5,"消防","市長")),"対象外"))</f>
        <v/>
      </c>
    </row>
    <row r="821" customFormat="false" ht="15" hidden="false" customHeight="false" outlineLevel="0" collapsed="false">
      <c r="DB821" s="0" t="str">
        <f aca="false">IF($A821="","",IF(AND($A821=21,$AE821&amp;""="00000000"),IF($AH821=20,"病院",IF($AH821=5,"消防","市長")),"対象外"))</f>
        <v/>
      </c>
    </row>
    <row r="822" customFormat="false" ht="15" hidden="false" customHeight="false" outlineLevel="0" collapsed="false">
      <c r="DB822" s="0" t="str">
        <f aca="false">IF($A822="","",IF(AND($A822=21,$AE822&amp;""="00000000"),IF($AH822=20,"病院",IF($AH822=5,"消防","市長")),"対象外"))</f>
        <v/>
      </c>
    </row>
    <row r="823" customFormat="false" ht="15" hidden="false" customHeight="false" outlineLevel="0" collapsed="false">
      <c r="DB823" s="0" t="str">
        <f aca="false">IF($A823="","",IF(AND($A823=21,$AE823&amp;""="00000000"),IF($AH823=20,"病院",IF($AH823=5,"消防","市長")),"対象外"))</f>
        <v/>
      </c>
    </row>
    <row r="824" customFormat="false" ht="15" hidden="false" customHeight="false" outlineLevel="0" collapsed="false">
      <c r="DB824" s="0" t="str">
        <f aca="false">IF($A824="","",IF(AND($A824=21,$AE824&amp;""="00000000"),IF($AH824=20,"病院",IF($AH824=5,"消防","市長")),"対象外"))</f>
        <v/>
      </c>
    </row>
    <row r="825" customFormat="false" ht="15" hidden="false" customHeight="false" outlineLevel="0" collapsed="false">
      <c r="DB825" s="0" t="str">
        <f aca="false">IF($A825="","",IF(AND($A825=21,$AE825&amp;""="00000000"),IF($AH825=20,"病院",IF($AH825=5,"消防","市長")),"対象外"))</f>
        <v/>
      </c>
    </row>
    <row r="826" customFormat="false" ht="15" hidden="false" customHeight="false" outlineLevel="0" collapsed="false">
      <c r="DB826" s="0" t="str">
        <f aca="false">IF($A826="","",IF(AND($A826=21,$AE826&amp;""="00000000"),IF($AH826=20,"病院",IF($AH826=5,"消防","市長")),"対象外"))</f>
        <v/>
      </c>
    </row>
    <row r="827" customFormat="false" ht="15" hidden="false" customHeight="false" outlineLevel="0" collapsed="false">
      <c r="DB827" s="0" t="str">
        <f aca="false">IF($A827="","",IF(AND($A827=21,$AE827&amp;""="00000000"),IF($AH827=20,"病院",IF($AH827=5,"消防","市長")),"対象外"))</f>
        <v/>
      </c>
    </row>
    <row r="828" customFormat="false" ht="15" hidden="false" customHeight="false" outlineLevel="0" collapsed="false">
      <c r="DB828" s="0" t="str">
        <f aca="false">IF($A828="","",IF(AND($A828=21,$AE828&amp;""="00000000"),IF($AH828=20,"病院",IF($AH828=5,"消防","市長")),"対象外"))</f>
        <v/>
      </c>
    </row>
    <row r="829" customFormat="false" ht="15" hidden="false" customHeight="false" outlineLevel="0" collapsed="false">
      <c r="DB829" s="0" t="str">
        <f aca="false">IF($A829="","",IF(AND($A829=21,$AE829&amp;""="00000000"),IF($AH829=20,"病院",IF($AH829=5,"消防","市長")),"対象外"))</f>
        <v/>
      </c>
    </row>
    <row r="830" customFormat="false" ht="15" hidden="false" customHeight="false" outlineLevel="0" collapsed="false">
      <c r="DB830" s="0" t="str">
        <f aca="false">IF($A830="","",IF(AND($A830=21,$AE830&amp;""="00000000"),IF($AH830=20,"病院",IF($AH830=5,"消防","市長")),"対象外"))</f>
        <v/>
      </c>
    </row>
    <row r="831" customFormat="false" ht="15" hidden="false" customHeight="false" outlineLevel="0" collapsed="false">
      <c r="DB831" s="0" t="str">
        <f aca="false">IF($A831="","",IF(AND($A831=21,$AE831&amp;""="00000000"),IF($AH831=20,"病院",IF($AH831=5,"消防","市長")),"対象外"))</f>
        <v/>
      </c>
    </row>
    <row r="832" customFormat="false" ht="15" hidden="false" customHeight="false" outlineLevel="0" collapsed="false">
      <c r="DB832" s="0" t="str">
        <f aca="false">IF($A832="","",IF(AND($A832=21,$AE832&amp;""="00000000"),IF($AH832=20,"病院",IF($AH832=5,"消防","市長")),"対象外"))</f>
        <v/>
      </c>
    </row>
    <row r="833" customFormat="false" ht="15" hidden="false" customHeight="false" outlineLevel="0" collapsed="false">
      <c r="DB833" s="0" t="str">
        <f aca="false">IF($A833="","",IF(AND($A833=21,$AE833&amp;""="00000000"),IF($AH833=20,"病院",IF($AH833=5,"消防","市長")),"対象外"))</f>
        <v/>
      </c>
    </row>
    <row r="834" customFormat="false" ht="15" hidden="false" customHeight="false" outlineLevel="0" collapsed="false">
      <c r="DB834" s="0" t="str">
        <f aca="false">IF($A834="","",IF(AND($A834=21,$AE834&amp;""="00000000"),IF($AH834=20,"病院",IF($AH834=5,"消防","市長")),"対象外"))</f>
        <v/>
      </c>
    </row>
    <row r="835" customFormat="false" ht="15" hidden="false" customHeight="false" outlineLevel="0" collapsed="false">
      <c r="DB835" s="0" t="str">
        <f aca="false">IF($A835="","",IF(AND($A835=21,$AE835&amp;""="00000000"),IF($AH835=20,"病院",IF($AH835=5,"消防","市長")),"対象外"))</f>
        <v/>
      </c>
    </row>
    <row r="836" customFormat="false" ht="15" hidden="false" customHeight="false" outlineLevel="0" collapsed="false">
      <c r="DB836" s="0" t="str">
        <f aca="false">IF($A836="","",IF(AND($A836=21,$AE836&amp;""="00000000"),IF($AH836=20,"病院",IF($AH836=5,"消防","市長")),"対象外"))</f>
        <v/>
      </c>
    </row>
    <row r="837" customFormat="false" ht="15" hidden="false" customHeight="false" outlineLevel="0" collapsed="false">
      <c r="DB837" s="0" t="str">
        <f aca="false">IF($A837="","",IF(AND($A837=21,$AE837&amp;""="00000000"),IF($AH837=20,"病院",IF($AH837=5,"消防","市長")),"対象外"))</f>
        <v/>
      </c>
    </row>
    <row r="838" customFormat="false" ht="15" hidden="false" customHeight="false" outlineLevel="0" collapsed="false">
      <c r="DB838" s="0" t="str">
        <f aca="false">IF($A838="","",IF(AND($A838=21,$AE838&amp;""="00000000"),IF($AH838=20,"病院",IF($AH838=5,"消防","市長")),"対象外"))</f>
        <v/>
      </c>
    </row>
    <row r="839" customFormat="false" ht="15" hidden="false" customHeight="false" outlineLevel="0" collapsed="false">
      <c r="DB839" s="0" t="str">
        <f aca="false">IF($A839="","",IF(AND($A839=21,$AE839&amp;""="00000000"),IF($AH839=20,"病院",IF($AH839=5,"消防","市長")),"対象外"))</f>
        <v/>
      </c>
    </row>
    <row r="840" customFormat="false" ht="15" hidden="false" customHeight="false" outlineLevel="0" collapsed="false">
      <c r="DB840" s="0" t="str">
        <f aca="false">IF($A840="","",IF(AND($A840=21,$AE840&amp;""="00000000"),IF($AH840=20,"病院",IF($AH840=5,"消防","市長")),"対象外"))</f>
        <v/>
      </c>
    </row>
    <row r="841" customFormat="false" ht="15" hidden="false" customHeight="false" outlineLevel="0" collapsed="false">
      <c r="DB841" s="0" t="str">
        <f aca="false">IF($A841="","",IF(AND($A841=21,$AE841&amp;""="00000000"),IF($AH841=20,"病院",IF($AH841=5,"消防","市長")),"対象外"))</f>
        <v/>
      </c>
    </row>
    <row r="842" customFormat="false" ht="15" hidden="false" customHeight="false" outlineLevel="0" collapsed="false">
      <c r="DB842" s="0" t="str">
        <f aca="false">IF($A842="","",IF(AND($A842=21,$AE842&amp;""="00000000"),IF($AH842=20,"病院",IF($AH842=5,"消防","市長")),"対象外"))</f>
        <v/>
      </c>
    </row>
    <row r="843" customFormat="false" ht="15" hidden="false" customHeight="false" outlineLevel="0" collapsed="false">
      <c r="DB843" s="0" t="str">
        <f aca="false">IF($A843="","",IF(AND($A843=21,$AE843&amp;""="00000000"),IF($AH843=20,"病院",IF($AH843=5,"消防","市長")),"対象外"))</f>
        <v/>
      </c>
    </row>
    <row r="844" customFormat="false" ht="15" hidden="false" customHeight="false" outlineLevel="0" collapsed="false">
      <c r="DB844" s="0" t="str">
        <f aca="false">IF($A844="","",IF(AND($A844=21,$AE844&amp;""="00000000"),IF($AH844=20,"病院",IF($AH844=5,"消防","市長")),"対象外"))</f>
        <v/>
      </c>
    </row>
    <row r="845" customFormat="false" ht="15" hidden="false" customHeight="false" outlineLevel="0" collapsed="false">
      <c r="DB845" s="0" t="str">
        <f aca="false">IF($A845="","",IF(AND($A845=21,$AE845&amp;""="00000000"),IF($AH845=20,"病院",IF($AH845=5,"消防","市長")),"対象外"))</f>
        <v/>
      </c>
    </row>
    <row r="846" customFormat="false" ht="15" hidden="false" customHeight="false" outlineLevel="0" collapsed="false">
      <c r="DB846" s="0" t="str">
        <f aca="false">IF($A846="","",IF(AND($A846=21,$AE846&amp;""="00000000"),IF($AH846=20,"病院",IF($AH846=5,"消防","市長")),"対象外"))</f>
        <v/>
      </c>
    </row>
    <row r="847" customFormat="false" ht="15" hidden="false" customHeight="false" outlineLevel="0" collapsed="false">
      <c r="DB847" s="0" t="str">
        <f aca="false">IF($A847="","",IF(AND($A847=21,$AE847&amp;""="00000000"),IF($AH847=20,"病院",IF($AH847=5,"消防","市長")),"対象外"))</f>
        <v/>
      </c>
    </row>
    <row r="848" customFormat="false" ht="15" hidden="false" customHeight="false" outlineLevel="0" collapsed="false">
      <c r="DB848" s="0" t="str">
        <f aca="false">IF($A848="","",IF(AND($A848=21,$AE848&amp;""="00000000"),IF($AH848=20,"病院",IF($AH848=5,"消防","市長")),"対象外"))</f>
        <v/>
      </c>
    </row>
    <row r="849" customFormat="false" ht="15" hidden="false" customHeight="false" outlineLevel="0" collapsed="false">
      <c r="DB849" s="0" t="str">
        <f aca="false">IF($A849="","",IF(AND($A849=21,$AE849&amp;""="00000000"),IF($AH849=20,"病院",IF($AH849=5,"消防","市長")),"対象外"))</f>
        <v/>
      </c>
    </row>
    <row r="850" customFormat="false" ht="15" hidden="false" customHeight="false" outlineLevel="0" collapsed="false">
      <c r="DB850" s="0" t="str">
        <f aca="false">IF($A850="","",IF(AND($A850=21,$AE850&amp;""="00000000"),IF($AH850=20,"病院",IF($AH850=5,"消防","市長")),"対象外"))</f>
        <v/>
      </c>
    </row>
    <row r="851" customFormat="false" ht="15" hidden="false" customHeight="false" outlineLevel="0" collapsed="false">
      <c r="DB851" s="0" t="str">
        <f aca="false">IF($A851="","",IF(AND($A851=21,$AE851&amp;""="00000000"),IF($AH851=20,"病院",IF($AH851=5,"消防","市長")),"対象外"))</f>
        <v/>
      </c>
    </row>
    <row r="852" customFormat="false" ht="15" hidden="false" customHeight="false" outlineLevel="0" collapsed="false">
      <c r="DB852" s="0" t="str">
        <f aca="false">IF($A852="","",IF(AND($A852=21,$AE852&amp;""="00000000"),IF($AH852=20,"病院",IF($AH852=5,"消防","市長")),"対象外"))</f>
        <v/>
      </c>
    </row>
    <row r="853" customFormat="false" ht="15" hidden="false" customHeight="false" outlineLevel="0" collapsed="false">
      <c r="DB853" s="0" t="str">
        <f aca="false">IF($A853="","",IF(AND($A853=21,$AE853&amp;""="00000000"),IF($AH853=20,"病院",IF($AH853=5,"消防","市長")),"対象外"))</f>
        <v/>
      </c>
    </row>
    <row r="854" customFormat="false" ht="15" hidden="false" customHeight="false" outlineLevel="0" collapsed="false">
      <c r="DB854" s="0" t="str">
        <f aca="false">IF($A854="","",IF(AND($A854=21,$AE854&amp;""="00000000"),IF($AH854=20,"病院",IF($AH854=5,"消防","市長")),"対象外"))</f>
        <v/>
      </c>
    </row>
    <row r="855" customFormat="false" ht="15" hidden="false" customHeight="false" outlineLevel="0" collapsed="false">
      <c r="DB855" s="0" t="str">
        <f aca="false">IF($A855="","",IF(AND($A855=21,$AE855&amp;""="00000000"),IF($AH855=20,"病院",IF($AH855=5,"消防","市長")),"対象外"))</f>
        <v/>
      </c>
    </row>
    <row r="856" customFormat="false" ht="15" hidden="false" customHeight="false" outlineLevel="0" collapsed="false">
      <c r="DB856" s="0" t="str">
        <f aca="false">IF($A856="","",IF(AND($A856=21,$AE856&amp;""="00000000"),IF($AH856=20,"病院",IF($AH856=5,"消防","市長")),"対象外"))</f>
        <v/>
      </c>
    </row>
    <row r="857" customFormat="false" ht="15" hidden="false" customHeight="false" outlineLevel="0" collapsed="false">
      <c r="DB857" s="0" t="str">
        <f aca="false">IF($A857="","",IF(AND($A857=21,$AE857&amp;""="00000000"),IF($AH857=20,"病院",IF($AH857=5,"消防","市長")),"対象外"))</f>
        <v/>
      </c>
    </row>
    <row r="858" customFormat="false" ht="15" hidden="false" customHeight="false" outlineLevel="0" collapsed="false">
      <c r="DB858" s="0" t="str">
        <f aca="false">IF($A858="","",IF(AND($A858=21,$AE858&amp;""="00000000"),IF($AH858=20,"病院",IF($AH858=5,"消防","市長")),"対象外"))</f>
        <v/>
      </c>
    </row>
    <row r="859" customFormat="false" ht="15" hidden="false" customHeight="false" outlineLevel="0" collapsed="false">
      <c r="DB859" s="0" t="str">
        <f aca="false">IF($A859="","",IF(AND($A859=21,$AE859&amp;""="00000000"),IF($AH859=20,"病院",IF($AH859=5,"消防","市長")),"対象外"))</f>
        <v/>
      </c>
    </row>
    <row r="860" customFormat="false" ht="15" hidden="false" customHeight="false" outlineLevel="0" collapsed="false">
      <c r="DB860" s="0" t="str">
        <f aca="false">IF($A860="","",IF(AND($A860=21,$AE860&amp;""="00000000"),IF($AH860=20,"病院",IF($AH860=5,"消防","市長")),"対象外"))</f>
        <v/>
      </c>
    </row>
    <row r="861" customFormat="false" ht="15" hidden="false" customHeight="false" outlineLevel="0" collapsed="false">
      <c r="DB861" s="0" t="str">
        <f aca="false">IF($A861="","",IF(AND($A861=21,$AE861&amp;""="00000000"),IF($AH861=20,"病院",IF($AH861=5,"消防","市長")),"対象外"))</f>
        <v/>
      </c>
    </row>
    <row r="862" customFormat="false" ht="15" hidden="false" customHeight="false" outlineLevel="0" collapsed="false">
      <c r="DB862" s="0" t="str">
        <f aca="false">IF($A862="","",IF(AND($A862=21,$AE862&amp;""="00000000"),IF($AH862=20,"病院",IF($AH862=5,"消防","市長")),"対象外"))</f>
        <v/>
      </c>
    </row>
    <row r="863" customFormat="false" ht="15" hidden="false" customHeight="false" outlineLevel="0" collapsed="false">
      <c r="DB863" s="0" t="str">
        <f aca="false">IF($A863="","",IF(AND($A863=21,$AE863&amp;""="00000000"),IF($AH863=20,"病院",IF($AH863=5,"消防","市長")),"対象外"))</f>
        <v/>
      </c>
    </row>
    <row r="864" customFormat="false" ht="15" hidden="false" customHeight="false" outlineLevel="0" collapsed="false">
      <c r="DB864" s="0" t="str">
        <f aca="false">IF($A864="","",IF(AND($A864=21,$AE864&amp;""="00000000"),IF($AH864=20,"病院",IF($AH864=5,"消防","市長")),"対象外"))</f>
        <v/>
      </c>
    </row>
    <row r="865" customFormat="false" ht="15" hidden="false" customHeight="false" outlineLevel="0" collapsed="false">
      <c r="DB865" s="0" t="str">
        <f aca="false">IF($A865="","",IF(AND($A865=21,$AE865&amp;""="00000000"),IF($AH865=20,"病院",IF($AH865=5,"消防","市長")),"対象外"))</f>
        <v/>
      </c>
    </row>
    <row r="866" customFormat="false" ht="15" hidden="false" customHeight="false" outlineLevel="0" collapsed="false">
      <c r="DB866" s="0" t="str">
        <f aca="false">IF($A866="","",IF(AND($A866=21,$AE866&amp;""="00000000"),IF($AH866=20,"病院",IF($AH866=5,"消防","市長")),"対象外"))</f>
        <v/>
      </c>
    </row>
    <row r="867" customFormat="false" ht="15" hidden="false" customHeight="false" outlineLevel="0" collapsed="false">
      <c r="DB867" s="0" t="str">
        <f aca="false">IF($A867="","",IF(AND($A867=21,$AE867&amp;""="00000000"),IF($AH867=20,"病院",IF($AH867=5,"消防","市長")),"対象外"))</f>
        <v/>
      </c>
    </row>
    <row r="868" customFormat="false" ht="15" hidden="false" customHeight="false" outlineLevel="0" collapsed="false">
      <c r="DB868" s="0" t="str">
        <f aca="false">IF($A868="","",IF(AND($A868=21,$AE868&amp;""="00000000"),IF($AH868=20,"病院",IF($AH868=5,"消防","市長")),"対象外"))</f>
        <v/>
      </c>
    </row>
    <row r="869" customFormat="false" ht="15" hidden="false" customHeight="false" outlineLevel="0" collapsed="false">
      <c r="DB869" s="0" t="str">
        <f aca="false">IF($A869="","",IF(AND($A869=21,$AE869&amp;""="00000000"),IF($AH869=20,"病院",IF($AH869=5,"消防","市長")),"対象外"))</f>
        <v/>
      </c>
    </row>
    <row r="870" customFormat="false" ht="15" hidden="false" customHeight="false" outlineLevel="0" collapsed="false">
      <c r="DB870" s="0" t="str">
        <f aca="false">IF($A870="","",IF(AND($A870=21,$AE870&amp;""="00000000"),IF($AH870=20,"病院",IF($AH870=5,"消防","市長")),"対象外"))</f>
        <v/>
      </c>
    </row>
    <row r="871" customFormat="false" ht="15" hidden="false" customHeight="false" outlineLevel="0" collapsed="false">
      <c r="DB871" s="0" t="str">
        <f aca="false">IF($A871="","",IF(AND($A871=21,$AE871&amp;""="00000000"),IF($AH871=20,"病院",IF($AH871=5,"消防","市長")),"対象外"))</f>
        <v/>
      </c>
    </row>
    <row r="872" customFormat="false" ht="15" hidden="false" customHeight="false" outlineLevel="0" collapsed="false">
      <c r="DB872" s="0" t="str">
        <f aca="false">IF($A872="","",IF(AND($A872=21,$AE872&amp;""="00000000"),IF($AH872=20,"病院",IF($AH872=5,"消防","市長")),"対象外"))</f>
        <v/>
      </c>
    </row>
    <row r="873" customFormat="false" ht="15" hidden="false" customHeight="false" outlineLevel="0" collapsed="false">
      <c r="DB873" s="0" t="str">
        <f aca="false">IF($A873="","",IF(AND($A873=21,$AE873&amp;""="00000000"),IF($AH873=20,"病院",IF($AH873=5,"消防","市長")),"対象外"))</f>
        <v/>
      </c>
    </row>
    <row r="874" customFormat="false" ht="15" hidden="false" customHeight="false" outlineLevel="0" collapsed="false">
      <c r="DB874" s="0" t="str">
        <f aca="false">IF($A874="","",IF(AND($A874=21,$AE874&amp;""="00000000"),IF($AH874=20,"病院",IF($AH874=5,"消防","市長")),"対象外"))</f>
        <v/>
      </c>
    </row>
    <row r="875" customFormat="false" ht="15" hidden="false" customHeight="false" outlineLevel="0" collapsed="false">
      <c r="DB875" s="0" t="str">
        <f aca="false">IF($A875="","",IF(AND($A875=21,$AE875&amp;""="00000000"),IF($AH875=20,"病院",IF($AH875=5,"消防","市長")),"対象外"))</f>
        <v/>
      </c>
    </row>
    <row r="876" customFormat="false" ht="15" hidden="false" customHeight="false" outlineLevel="0" collapsed="false">
      <c r="DB876" s="0" t="str">
        <f aca="false">IF($A876="","",IF(AND($A876=21,$AE876&amp;""="00000000"),IF($AH876=20,"病院",IF($AH876=5,"消防","市長")),"対象外"))</f>
        <v/>
      </c>
    </row>
    <row r="877" customFormat="false" ht="15" hidden="false" customHeight="false" outlineLevel="0" collapsed="false">
      <c r="DB877" s="0" t="str">
        <f aca="false">IF($A877="","",IF(AND($A877=21,$AE877&amp;""="00000000"),IF($AH877=20,"病院",IF($AH877=5,"消防","市長")),"対象外"))</f>
        <v/>
      </c>
    </row>
    <row r="878" customFormat="false" ht="15" hidden="false" customHeight="false" outlineLevel="0" collapsed="false">
      <c r="DB878" s="0" t="str">
        <f aca="false">IF($A878="","",IF(AND($A878=21,$AE878&amp;""="00000000"),IF($AH878=20,"病院",IF($AH878=5,"消防","市長")),"対象外"))</f>
        <v/>
      </c>
    </row>
    <row r="879" customFormat="false" ht="15" hidden="false" customHeight="false" outlineLevel="0" collapsed="false">
      <c r="DB879" s="0" t="str">
        <f aca="false">IF($A879="","",IF(AND($A879=21,$AE879&amp;""="00000000"),IF($AH879=20,"病院",IF($AH879=5,"消防","市長")),"対象外"))</f>
        <v/>
      </c>
    </row>
    <row r="880" customFormat="false" ht="15" hidden="false" customHeight="false" outlineLevel="0" collapsed="false">
      <c r="DB880" s="0" t="str">
        <f aca="false">IF($A880="","",IF(AND($A880=21,$AE880&amp;""="00000000"),IF($AH880=20,"病院",IF($AH880=5,"消防","市長")),"対象外"))</f>
        <v/>
      </c>
    </row>
    <row r="881" customFormat="false" ht="15" hidden="false" customHeight="false" outlineLevel="0" collapsed="false">
      <c r="DB881" s="0" t="str">
        <f aca="false">IF($A881="","",IF(AND($A881=21,$AE881&amp;""="00000000"),IF($AH881=20,"病院",IF($AH881=5,"消防","市長")),"対象外"))</f>
        <v/>
      </c>
    </row>
    <row r="882" customFormat="false" ht="15" hidden="false" customHeight="false" outlineLevel="0" collapsed="false">
      <c r="DB882" s="0" t="str">
        <f aca="false">IF($A882="","",IF(AND($A882=21,$AE882&amp;""="00000000"),IF($AH882=20,"病院",IF($AH882=5,"消防","市長")),"対象外"))</f>
        <v/>
      </c>
    </row>
    <row r="883" customFormat="false" ht="15" hidden="false" customHeight="false" outlineLevel="0" collapsed="false">
      <c r="DB883" s="0" t="str">
        <f aca="false">IF($A883="","",IF(AND($A883=21,$AE883&amp;""="00000000"),IF($AH883=20,"病院",IF($AH883=5,"消防","市長")),"対象外"))</f>
        <v/>
      </c>
    </row>
    <row r="884" customFormat="false" ht="15" hidden="false" customHeight="false" outlineLevel="0" collapsed="false">
      <c r="DB884" s="0" t="str">
        <f aca="false">IF($A884="","",IF(AND($A884=21,$AE884&amp;""="00000000"),IF($AH884=20,"病院",IF($AH884=5,"消防","市長")),"対象外"))</f>
        <v/>
      </c>
    </row>
    <row r="885" customFormat="false" ht="15" hidden="false" customHeight="false" outlineLevel="0" collapsed="false">
      <c r="DB885" s="0" t="str">
        <f aca="false">IF($A885="","",IF(AND($A885=21,$AE885&amp;""="00000000"),IF($AH885=20,"病院",IF($AH885=5,"消防","市長")),"対象外"))</f>
        <v/>
      </c>
    </row>
    <row r="886" customFormat="false" ht="15" hidden="false" customHeight="false" outlineLevel="0" collapsed="false">
      <c r="DB886" s="0" t="str">
        <f aca="false">IF($A886="","",IF(AND($A886=21,$AE886&amp;""="00000000"),IF($AH886=20,"病院",IF($AH886=5,"消防","市長")),"対象外"))</f>
        <v/>
      </c>
    </row>
    <row r="887" customFormat="false" ht="15" hidden="false" customHeight="false" outlineLevel="0" collapsed="false">
      <c r="DB887" s="0" t="str">
        <f aca="false">IF($A887="","",IF(AND($A887=21,$AE887&amp;""="00000000"),IF($AH887=20,"病院",IF($AH887=5,"消防","市長")),"対象外"))</f>
        <v/>
      </c>
    </row>
    <row r="888" customFormat="false" ht="15" hidden="false" customHeight="false" outlineLevel="0" collapsed="false">
      <c r="DB888" s="0" t="str">
        <f aca="false">IF($A888="","",IF(AND($A888=21,$AE888&amp;""="00000000"),IF($AH888=20,"病院",IF($AH888=5,"消防","市長")),"対象外"))</f>
        <v/>
      </c>
    </row>
    <row r="889" customFormat="false" ht="15" hidden="false" customHeight="false" outlineLevel="0" collapsed="false">
      <c r="DB889" s="0" t="str">
        <f aca="false">IF($A889="","",IF(AND($A889=21,$AE889&amp;""="00000000"),IF($AH889=20,"病院",IF($AH889=5,"消防","市長")),"対象外"))</f>
        <v/>
      </c>
    </row>
    <row r="890" customFormat="false" ht="15" hidden="false" customHeight="false" outlineLevel="0" collapsed="false">
      <c r="DB890" s="0" t="str">
        <f aca="false">IF($A890="","",IF(AND($A890=21,$AE890&amp;""="00000000"),IF($AH890=20,"病院",IF($AH890=5,"消防","市長")),"対象外"))</f>
        <v/>
      </c>
    </row>
    <row r="891" customFormat="false" ht="15" hidden="false" customHeight="false" outlineLevel="0" collapsed="false">
      <c r="DB891" s="0" t="str">
        <f aca="false">IF($A891="","",IF(AND($A891=21,$AE891&amp;""="00000000"),IF($AH891=20,"病院",IF($AH891=5,"消防","市長")),"対象外"))</f>
        <v/>
      </c>
    </row>
    <row r="892" customFormat="false" ht="15" hidden="false" customHeight="false" outlineLevel="0" collapsed="false">
      <c r="DB892" s="0" t="str">
        <f aca="false">IF($A892="","",IF(AND($A892=21,$AE892&amp;""="00000000"),IF($AH892=20,"病院",IF($AH892=5,"消防","市長")),"対象外"))</f>
        <v/>
      </c>
    </row>
    <row r="893" customFormat="false" ht="15" hidden="false" customHeight="false" outlineLevel="0" collapsed="false">
      <c r="DB893" s="0" t="str">
        <f aca="false">IF($A893="","",IF(AND($A893=21,$AE893&amp;""="00000000"),IF($AH893=20,"病院",IF($AH893=5,"消防","市長")),"対象外"))</f>
        <v/>
      </c>
    </row>
    <row r="894" customFormat="false" ht="15" hidden="false" customHeight="false" outlineLevel="0" collapsed="false">
      <c r="DB894" s="0" t="str">
        <f aca="false">IF($A894="","",IF(AND($A894=21,$AE894&amp;""="00000000"),IF($AH894=20,"病院",IF($AH894=5,"消防","市長")),"対象外"))</f>
        <v/>
      </c>
    </row>
    <row r="895" customFormat="false" ht="15" hidden="false" customHeight="false" outlineLevel="0" collapsed="false">
      <c r="DB895" s="0" t="str">
        <f aca="false">IF($A895="","",IF(AND($A895=21,$AE895&amp;""="00000000"),IF($AH895=20,"病院",IF($AH895=5,"消防","市長")),"対象外"))</f>
        <v/>
      </c>
    </row>
    <row r="896" customFormat="false" ht="15" hidden="false" customHeight="false" outlineLevel="0" collapsed="false">
      <c r="DB896" s="0" t="str">
        <f aca="false">IF($A896="","",IF(AND($A896=21,$AE896&amp;""="00000000"),IF($AH896=20,"病院",IF($AH896=5,"消防","市長")),"対象外"))</f>
        <v/>
      </c>
    </row>
    <row r="897" customFormat="false" ht="15" hidden="false" customHeight="false" outlineLevel="0" collapsed="false">
      <c r="DB897" s="0" t="str">
        <f aca="false">IF($A897="","",IF(AND($A897=21,$AE897&amp;""="00000000"),IF($AH897=20,"病院",IF($AH897=5,"消防","市長")),"対象外"))</f>
        <v/>
      </c>
    </row>
    <row r="898" customFormat="false" ht="15" hidden="false" customHeight="false" outlineLevel="0" collapsed="false">
      <c r="DB898" s="0" t="str">
        <f aca="false">IF($A898="","",IF(AND($A898=21,$AE898&amp;""="00000000"),IF($AH898=20,"病院",IF($AH898=5,"消防","市長")),"対象外"))</f>
        <v/>
      </c>
    </row>
    <row r="899" customFormat="false" ht="15" hidden="false" customHeight="false" outlineLevel="0" collapsed="false">
      <c r="DB899" s="0" t="str">
        <f aca="false">IF($A899="","",IF(AND($A899=21,$AE899&amp;""="00000000"),IF($AH899=20,"病院",IF($AH899=5,"消防","市長")),"対象外"))</f>
        <v/>
      </c>
    </row>
    <row r="900" customFormat="false" ht="15" hidden="false" customHeight="false" outlineLevel="0" collapsed="false">
      <c r="DB900" s="0" t="str">
        <f aca="false">IF($A900="","",IF(AND($A900=21,$AE900&amp;""="00000000"),IF($AH900=20,"病院",IF($AH900=5,"消防","市長")),"対象外"))</f>
        <v/>
      </c>
    </row>
    <row r="901" customFormat="false" ht="15" hidden="false" customHeight="false" outlineLevel="0" collapsed="false">
      <c r="DB901" s="0" t="str">
        <f aca="false">IF($A901="","",IF(AND($A901=21,$AE901&amp;""="00000000"),IF($AH901=20,"病院",IF($AH901=5,"消防","市長")),"対象外"))</f>
        <v/>
      </c>
    </row>
    <row r="902" customFormat="false" ht="15" hidden="false" customHeight="false" outlineLevel="0" collapsed="false">
      <c r="DB902" s="0" t="str">
        <f aca="false">IF($A902="","",IF(AND($A902=21,$AE902&amp;""="00000000"),IF($AH902=20,"病院",IF($AH902=5,"消防","市長")),"対象外"))</f>
        <v/>
      </c>
    </row>
    <row r="903" customFormat="false" ht="15" hidden="false" customHeight="false" outlineLevel="0" collapsed="false">
      <c r="DB903" s="0" t="str">
        <f aca="false">IF($A903="","",IF(AND($A903=21,$AE903&amp;""="00000000"),IF($AH903=20,"病院",IF($AH903=5,"消防","市長")),"対象外"))</f>
        <v/>
      </c>
    </row>
    <row r="904" customFormat="false" ht="15" hidden="false" customHeight="false" outlineLevel="0" collapsed="false">
      <c r="DB904" s="0" t="str">
        <f aca="false">IF($A904="","",IF(AND($A904=21,$AE904&amp;""="00000000"),IF($AH904=20,"病院",IF($AH904=5,"消防","市長")),"対象外"))</f>
        <v/>
      </c>
    </row>
    <row r="905" customFormat="false" ht="15" hidden="false" customHeight="false" outlineLevel="0" collapsed="false">
      <c r="DB905" s="0" t="str">
        <f aca="false">IF($A905="","",IF(AND($A905=21,$AE905&amp;""="00000000"),IF($AH905=20,"病院",IF($AH905=5,"消防","市長")),"対象外"))</f>
        <v/>
      </c>
    </row>
    <row r="906" customFormat="false" ht="15" hidden="false" customHeight="false" outlineLevel="0" collapsed="false">
      <c r="DB906" s="0" t="str">
        <f aca="false">IF($A906="","",IF(AND($A906=21,$AE906&amp;""="00000000"),IF($AH906=20,"病院",IF($AH906=5,"消防","市長")),"対象外"))</f>
        <v/>
      </c>
    </row>
    <row r="907" customFormat="false" ht="15" hidden="false" customHeight="false" outlineLevel="0" collapsed="false">
      <c r="DB907" s="0" t="str">
        <f aca="false">IF($A907="","",IF(AND($A907=21,$AE907&amp;""="00000000"),IF($AH907=20,"病院",IF($AH907=5,"消防","市長")),"対象外"))</f>
        <v/>
      </c>
    </row>
    <row r="908" customFormat="false" ht="15" hidden="false" customHeight="false" outlineLevel="0" collapsed="false">
      <c r="DB908" s="0" t="str">
        <f aca="false">IF($A908="","",IF(AND($A908=21,$AE908&amp;""="00000000"),IF($AH908=20,"病院",IF($AH908=5,"消防","市長")),"対象外"))</f>
        <v/>
      </c>
    </row>
    <row r="909" customFormat="false" ht="15" hidden="false" customHeight="false" outlineLevel="0" collapsed="false">
      <c r="DB909" s="0" t="str">
        <f aca="false">IF($A909="","",IF(AND($A909=21,$AE909&amp;""="00000000"),IF($AH909=20,"病院",IF($AH909=5,"消防","市長")),"対象外"))</f>
        <v/>
      </c>
    </row>
    <row r="910" customFormat="false" ht="15" hidden="false" customHeight="false" outlineLevel="0" collapsed="false">
      <c r="DB910" s="0" t="str">
        <f aca="false">IF($A910="","",IF(AND($A910=21,$AE910&amp;""="00000000"),IF($AH910=20,"病院",IF($AH910=5,"消防","市長")),"対象外"))</f>
        <v/>
      </c>
    </row>
    <row r="911" customFormat="false" ht="15" hidden="false" customHeight="false" outlineLevel="0" collapsed="false">
      <c r="DB911" s="0" t="str">
        <f aca="false">IF($A911="","",IF(AND($A911=21,$AE911&amp;""="00000000"),IF($AH911=20,"病院",IF($AH911=5,"消防","市長")),"対象外"))</f>
        <v/>
      </c>
    </row>
    <row r="912" customFormat="false" ht="15" hidden="false" customHeight="false" outlineLevel="0" collapsed="false">
      <c r="DB912" s="0" t="str">
        <f aca="false">IF($A912="","",IF(AND($A912=21,$AE912&amp;""="00000000"),IF($AH912=20,"病院",IF($AH912=5,"消防","市長")),"対象外"))</f>
        <v/>
      </c>
    </row>
    <row r="913" customFormat="false" ht="15" hidden="false" customHeight="false" outlineLevel="0" collapsed="false">
      <c r="DB913" s="0" t="str">
        <f aca="false">IF($A913="","",IF(AND($A913=21,$AE913&amp;""="00000000"),IF($AH913=20,"病院",IF($AH913=5,"消防","市長")),"対象外"))</f>
        <v/>
      </c>
    </row>
    <row r="914" customFormat="false" ht="15" hidden="false" customHeight="false" outlineLevel="0" collapsed="false">
      <c r="DB914" s="0" t="str">
        <f aca="false">IF($A914="","",IF(AND($A914=21,$AE914&amp;""="00000000"),IF($AH914=20,"病院",IF($AH914=5,"消防","市長")),"対象外"))</f>
        <v/>
      </c>
    </row>
    <row r="915" customFormat="false" ht="15" hidden="false" customHeight="false" outlineLevel="0" collapsed="false">
      <c r="DB915" s="0" t="str">
        <f aca="false">IF($A915="","",IF(AND($A915=21,$AE915&amp;""="00000000"),IF($AH915=20,"病院",IF($AH915=5,"消防","市長")),"対象外"))</f>
        <v/>
      </c>
    </row>
    <row r="916" customFormat="false" ht="15" hidden="false" customHeight="false" outlineLevel="0" collapsed="false">
      <c r="DB916" s="0" t="str">
        <f aca="false">IF($A916="","",IF(AND($A916=21,$AE916&amp;""="00000000"),IF($AH916=20,"病院",IF($AH916=5,"消防","市長")),"対象外"))</f>
        <v/>
      </c>
    </row>
    <row r="917" customFormat="false" ht="15" hidden="false" customHeight="false" outlineLevel="0" collapsed="false">
      <c r="DB917" s="0" t="str">
        <f aca="false">IF($A917="","",IF(AND($A917=21,$AE917&amp;""="00000000"),IF($AH917=20,"病院",IF($AH917=5,"消防","市長")),"対象外"))</f>
        <v/>
      </c>
    </row>
    <row r="918" customFormat="false" ht="15" hidden="false" customHeight="false" outlineLevel="0" collapsed="false">
      <c r="DB918" s="0" t="str">
        <f aca="false">IF($A918="","",IF(AND($A918=21,$AE918&amp;""="00000000"),IF($AH918=20,"病院",IF($AH918=5,"消防","市長")),"対象外"))</f>
        <v/>
      </c>
    </row>
    <row r="919" customFormat="false" ht="15" hidden="false" customHeight="false" outlineLevel="0" collapsed="false">
      <c r="DB919" s="0" t="str">
        <f aca="false">IF($A919="","",IF(AND($A919=21,$AE919&amp;""="00000000"),IF($AH919=20,"病院",IF($AH919=5,"消防","市長")),"対象外"))</f>
        <v/>
      </c>
    </row>
    <row r="920" customFormat="false" ht="15" hidden="false" customHeight="false" outlineLevel="0" collapsed="false">
      <c r="DB920" s="0" t="str">
        <f aca="false">IF($A920="","",IF(AND($A920=21,$AE920&amp;""="00000000"),IF($AH920=20,"病院",IF($AH920=5,"消防","市長")),"対象外"))</f>
        <v/>
      </c>
    </row>
    <row r="921" customFormat="false" ht="15" hidden="false" customHeight="false" outlineLevel="0" collapsed="false">
      <c r="DB921" s="0" t="str">
        <f aca="false">IF($A921="","",IF(AND($A921=21,$AE921&amp;""="00000000"),IF($AH921=20,"病院",IF($AH921=5,"消防","市長")),"対象外"))</f>
        <v/>
      </c>
    </row>
    <row r="922" customFormat="false" ht="15" hidden="false" customHeight="false" outlineLevel="0" collapsed="false">
      <c r="DB922" s="0" t="str">
        <f aca="false">IF($A922="","",IF(AND($A922=21,$AE922&amp;""="00000000"),IF($AH922=20,"病院",IF($AH922=5,"消防","市長")),"対象外"))</f>
        <v/>
      </c>
    </row>
    <row r="923" customFormat="false" ht="15" hidden="false" customHeight="false" outlineLevel="0" collapsed="false">
      <c r="DB923" s="0" t="str">
        <f aca="false">IF($A923="","",IF(AND($A923=21,$AE923&amp;""="00000000"),IF($AH923=20,"病院",IF($AH923=5,"消防","市長")),"対象外"))</f>
        <v/>
      </c>
    </row>
    <row r="924" customFormat="false" ht="15" hidden="false" customHeight="false" outlineLevel="0" collapsed="false">
      <c r="DB924" s="0" t="str">
        <f aca="false">IF($A924="","",IF(AND($A924=21,$AE924&amp;""="00000000"),IF($AH924=20,"病院",IF($AH924=5,"消防","市長")),"対象外"))</f>
        <v/>
      </c>
    </row>
    <row r="925" customFormat="false" ht="15" hidden="false" customHeight="false" outlineLevel="0" collapsed="false">
      <c r="DB925" s="0" t="str">
        <f aca="false">IF($A925="","",IF(AND($A925=21,$AE925&amp;""="00000000"),IF($AH925=20,"病院",IF($AH925=5,"消防","市長")),"対象外"))</f>
        <v/>
      </c>
    </row>
    <row r="926" customFormat="false" ht="15" hidden="false" customHeight="false" outlineLevel="0" collapsed="false">
      <c r="DB926" s="0" t="str">
        <f aca="false">IF($A926="","",IF(AND($A926=21,$AE926&amp;""="00000000"),IF($AH926=20,"病院",IF($AH926=5,"消防","市長")),"対象外"))</f>
        <v/>
      </c>
    </row>
    <row r="927" customFormat="false" ht="15" hidden="false" customHeight="false" outlineLevel="0" collapsed="false">
      <c r="DB927" s="0" t="str">
        <f aca="false">IF($A927="","",IF(AND($A927=21,$AE927&amp;""="00000000"),IF($AH927=20,"病院",IF($AH927=5,"消防","市長")),"対象外"))</f>
        <v/>
      </c>
    </row>
    <row r="928" customFormat="false" ht="15" hidden="false" customHeight="false" outlineLevel="0" collapsed="false">
      <c r="DB928" s="0" t="str">
        <f aca="false">IF($A928="","",IF(AND($A928=21,$AE928&amp;""="00000000"),IF($AH928=20,"病院",IF($AH928=5,"消防","市長")),"対象外"))</f>
        <v/>
      </c>
    </row>
    <row r="929" customFormat="false" ht="15" hidden="false" customHeight="false" outlineLevel="0" collapsed="false">
      <c r="DB929" s="0" t="str">
        <f aca="false">IF($A929="","",IF(AND($A929=21,$AE929&amp;""="00000000"),IF($AH929=20,"病院",IF($AH929=5,"消防","市長")),"対象外"))</f>
        <v/>
      </c>
    </row>
    <row r="930" customFormat="false" ht="15" hidden="false" customHeight="false" outlineLevel="0" collapsed="false">
      <c r="DB930" s="0" t="str">
        <f aca="false">IF($A930="","",IF(AND($A930=21,$AE930&amp;""="00000000"),IF($AH930=20,"病院",IF($AH930=5,"消防","市長")),"対象外"))</f>
        <v/>
      </c>
    </row>
    <row r="931" customFormat="false" ht="15" hidden="false" customHeight="false" outlineLevel="0" collapsed="false">
      <c r="DB931" s="0" t="str">
        <f aca="false">IF($A931="","",IF(AND($A931=21,$AE931&amp;""="00000000"),IF($AH931=20,"病院",IF($AH931=5,"消防","市長")),"対象外"))</f>
        <v/>
      </c>
    </row>
    <row r="932" customFormat="false" ht="15" hidden="false" customHeight="false" outlineLevel="0" collapsed="false">
      <c r="DB932" s="0" t="str">
        <f aca="false">IF($A932="","",IF(AND($A932=21,$AE932&amp;""="00000000"),IF($AH932=20,"病院",IF($AH932=5,"消防","市長")),"対象外"))</f>
        <v/>
      </c>
    </row>
    <row r="933" customFormat="false" ht="15" hidden="false" customHeight="false" outlineLevel="0" collapsed="false">
      <c r="DB933" s="0" t="str">
        <f aca="false">IF($A933="","",IF(AND($A933=21,$AE933&amp;""="00000000"),IF($AH933=20,"病院",IF($AH933=5,"消防","市長")),"対象外"))</f>
        <v/>
      </c>
    </row>
    <row r="934" customFormat="false" ht="15" hidden="false" customHeight="false" outlineLevel="0" collapsed="false">
      <c r="DB934" s="0" t="str">
        <f aca="false">IF($A934="","",IF(AND($A934=21,$AE934&amp;""="00000000"),IF($AH934=20,"病院",IF($AH934=5,"消防","市長")),"対象外"))</f>
        <v/>
      </c>
    </row>
    <row r="935" customFormat="false" ht="15" hidden="false" customHeight="false" outlineLevel="0" collapsed="false">
      <c r="DB935" s="0" t="str">
        <f aca="false">IF($A935="","",IF(AND($A935=21,$AE935&amp;""="00000000"),IF($AH935=20,"病院",IF($AH935=5,"消防","市長")),"対象外"))</f>
        <v/>
      </c>
    </row>
    <row r="936" customFormat="false" ht="15" hidden="false" customHeight="false" outlineLevel="0" collapsed="false">
      <c r="DB936" s="0" t="str">
        <f aca="false">IF($A936="","",IF(AND($A936=21,$AE936&amp;""="00000000"),IF($AH936=20,"病院",IF($AH936=5,"消防","市長")),"対象外"))</f>
        <v/>
      </c>
    </row>
    <row r="937" customFormat="false" ht="15" hidden="false" customHeight="false" outlineLevel="0" collapsed="false">
      <c r="DB937" s="0" t="str">
        <f aca="false">IF($A937="","",IF(AND($A937=21,$AE937&amp;""="00000000"),IF($AH937=20,"病院",IF($AH937=5,"消防","市長")),"対象外"))</f>
        <v/>
      </c>
    </row>
    <row r="938" customFormat="false" ht="15" hidden="false" customHeight="false" outlineLevel="0" collapsed="false">
      <c r="DB938" s="0" t="str">
        <f aca="false">IF($A938="","",IF(AND($A938=21,$AE938&amp;""="00000000"),IF($AH938=20,"病院",IF($AH938=5,"消防","市長")),"対象外"))</f>
        <v/>
      </c>
    </row>
    <row r="939" customFormat="false" ht="15" hidden="false" customHeight="false" outlineLevel="0" collapsed="false">
      <c r="DB939" s="0" t="str">
        <f aca="false">IF($A939="","",IF(AND($A939=21,$AE939&amp;""="00000000"),IF($AH939=20,"病院",IF($AH939=5,"消防","市長")),"対象外"))</f>
        <v/>
      </c>
    </row>
    <row r="940" customFormat="false" ht="15" hidden="false" customHeight="false" outlineLevel="0" collapsed="false">
      <c r="DB940" s="0" t="str">
        <f aca="false">IF($A940="","",IF(AND($A940=21,$AE940&amp;""="00000000"),IF($AH940=20,"病院",IF($AH940=5,"消防","市長")),"対象外"))</f>
        <v/>
      </c>
    </row>
    <row r="941" customFormat="false" ht="15" hidden="false" customHeight="false" outlineLevel="0" collapsed="false">
      <c r="DB941" s="0" t="str">
        <f aca="false">IF($A941="","",IF(AND($A941=21,$AE941&amp;""="00000000"),IF($AH941=20,"病院",IF($AH941=5,"消防","市長")),"対象外"))</f>
        <v/>
      </c>
    </row>
    <row r="942" customFormat="false" ht="15" hidden="false" customHeight="false" outlineLevel="0" collapsed="false">
      <c r="DB942" s="0" t="str">
        <f aca="false">IF($A942="","",IF(AND($A942=21,$AE942&amp;""="00000000"),IF($AH942=20,"病院",IF($AH942=5,"消防","市長")),"対象外"))</f>
        <v/>
      </c>
    </row>
    <row r="943" customFormat="false" ht="15" hidden="false" customHeight="false" outlineLevel="0" collapsed="false">
      <c r="DB943" s="0" t="str">
        <f aca="false">IF($A943="","",IF(AND($A943=21,$AE943&amp;""="00000000"),IF($AH943=20,"病院",IF($AH943=5,"消防","市長")),"対象外"))</f>
        <v/>
      </c>
    </row>
    <row r="944" customFormat="false" ht="15" hidden="false" customHeight="false" outlineLevel="0" collapsed="false">
      <c r="DB944" s="0" t="str">
        <f aca="false">IF($A944="","",IF(AND($A944=21,$AE944&amp;""="00000000"),IF($AH944=20,"病院",IF($AH944=5,"消防","市長")),"対象外"))</f>
        <v/>
      </c>
    </row>
    <row r="945" customFormat="false" ht="15" hidden="false" customHeight="false" outlineLevel="0" collapsed="false">
      <c r="DB945" s="0" t="str">
        <f aca="false">IF($A945="","",IF(AND($A945=21,$AE945&amp;""="00000000"),IF($AH945=20,"病院",IF($AH945=5,"消防","市長")),"対象外"))</f>
        <v/>
      </c>
    </row>
    <row r="946" customFormat="false" ht="15" hidden="false" customHeight="false" outlineLevel="0" collapsed="false">
      <c r="DB946" s="0" t="str">
        <f aca="false">IF($A946="","",IF(AND($A946=21,$AE946&amp;""="00000000"),IF($AH946=20,"病院",IF($AH946=5,"消防","市長")),"対象外"))</f>
        <v/>
      </c>
    </row>
    <row r="947" customFormat="false" ht="15" hidden="false" customHeight="false" outlineLevel="0" collapsed="false">
      <c r="DB947" s="0" t="str">
        <f aca="false">IF($A947="","",IF(AND($A947=21,$AE947&amp;""="00000000"),IF($AH947=20,"病院",IF($AH947=5,"消防","市長")),"対象外"))</f>
        <v/>
      </c>
    </row>
    <row r="948" customFormat="false" ht="15" hidden="false" customHeight="false" outlineLevel="0" collapsed="false">
      <c r="DB948" s="0" t="str">
        <f aca="false">IF($A948="","",IF(AND($A948=21,$AE948&amp;""="00000000"),IF($AH948=20,"病院",IF($AH948=5,"消防","市長")),"対象外"))</f>
        <v/>
      </c>
    </row>
    <row r="949" customFormat="false" ht="15" hidden="false" customHeight="false" outlineLevel="0" collapsed="false">
      <c r="DB949" s="0" t="str">
        <f aca="false">IF($A949="","",IF(AND($A949=21,$AE949&amp;""="00000000"),IF($AH949=20,"病院",IF($AH949=5,"消防","市長")),"対象外"))</f>
        <v/>
      </c>
    </row>
    <row r="950" customFormat="false" ht="15" hidden="false" customHeight="false" outlineLevel="0" collapsed="false">
      <c r="DB950" s="0" t="str">
        <f aca="false">IF($A950="","",IF(AND($A950=21,$AE950&amp;""="00000000"),IF($AH950=20,"病院",IF($AH950=5,"消防","市長")),"対象外"))</f>
        <v/>
      </c>
    </row>
    <row r="951" customFormat="false" ht="15" hidden="false" customHeight="false" outlineLevel="0" collapsed="false">
      <c r="DB951" s="0" t="str">
        <f aca="false">IF($A951="","",IF(AND($A951=21,$AE951&amp;""="00000000"),IF($AH951=20,"病院",IF($AH951=5,"消防","市長")),"対象外"))</f>
        <v/>
      </c>
    </row>
    <row r="952" customFormat="false" ht="15" hidden="false" customHeight="false" outlineLevel="0" collapsed="false">
      <c r="DB952" s="0" t="str">
        <f aca="false">IF($A952="","",IF(AND($A952=21,$AE952&amp;""="00000000"),IF($AH952=20,"病院",IF($AH952=5,"消防","市長")),"対象外"))</f>
        <v/>
      </c>
    </row>
    <row r="953" customFormat="false" ht="15" hidden="false" customHeight="false" outlineLevel="0" collapsed="false">
      <c r="DB953" s="0" t="str">
        <f aca="false">IF($A953="","",IF(AND($A953=21,$AE953&amp;""="00000000"),IF($AH953=20,"病院",IF($AH953=5,"消防","市長")),"対象外"))</f>
        <v/>
      </c>
    </row>
    <row r="954" customFormat="false" ht="15" hidden="false" customHeight="false" outlineLevel="0" collapsed="false">
      <c r="DB954" s="0" t="str">
        <f aca="false">IF($A954="","",IF(AND($A954=21,$AE954&amp;""="00000000"),IF($AH954=20,"病院",IF($AH954=5,"消防","市長")),"対象外"))</f>
        <v/>
      </c>
    </row>
    <row r="955" customFormat="false" ht="15" hidden="false" customHeight="false" outlineLevel="0" collapsed="false">
      <c r="DB955" s="0" t="str">
        <f aca="false">IF($A955="","",IF(AND($A955=21,$AE955&amp;""="00000000"),IF($AH955=20,"病院",IF($AH955=5,"消防","市長")),"対象外"))</f>
        <v/>
      </c>
    </row>
    <row r="956" customFormat="false" ht="15" hidden="false" customHeight="false" outlineLevel="0" collapsed="false">
      <c r="DB956" s="0" t="str">
        <f aca="false">IF($A956="","",IF(AND($A956=21,$AE956&amp;""="00000000"),IF($AH956=20,"病院",IF($AH956=5,"消防","市長")),"対象外"))</f>
        <v/>
      </c>
    </row>
    <row r="957" customFormat="false" ht="15" hidden="false" customHeight="false" outlineLevel="0" collapsed="false">
      <c r="DB957" s="0" t="str">
        <f aca="false">IF($A957="","",IF(AND($A957=21,$AE957&amp;""="00000000"),IF($AH957=20,"病院",IF($AH957=5,"消防","市長")),"対象外"))</f>
        <v/>
      </c>
    </row>
    <row r="958" customFormat="false" ht="15" hidden="false" customHeight="false" outlineLevel="0" collapsed="false">
      <c r="DB958" s="0" t="str">
        <f aca="false">IF($A958="","",IF(AND($A958=21,$AE958&amp;""="00000000"),IF($AH958=20,"病院",IF($AH958=5,"消防","市長")),"対象外"))</f>
        <v/>
      </c>
    </row>
    <row r="959" customFormat="false" ht="15" hidden="false" customHeight="false" outlineLevel="0" collapsed="false">
      <c r="DB959" s="0" t="str">
        <f aca="false">IF($A959="","",IF(AND($A959=21,$AE959&amp;""="00000000"),IF($AH959=20,"病院",IF($AH959=5,"消防","市長")),"対象外"))</f>
        <v/>
      </c>
    </row>
    <row r="960" customFormat="false" ht="15" hidden="false" customHeight="false" outlineLevel="0" collapsed="false">
      <c r="DB960" s="0" t="str">
        <f aca="false">IF($A960="","",IF(AND($A960=21,$AE960&amp;""="00000000"),IF($AH960=20,"病院",IF($AH960=5,"消防","市長")),"対象外"))</f>
        <v/>
      </c>
    </row>
    <row r="961" customFormat="false" ht="15" hidden="false" customHeight="false" outlineLevel="0" collapsed="false">
      <c r="DB961" s="0" t="str">
        <f aca="false">IF($A961="","",IF(AND($A961=21,$AE961&amp;""="00000000"),IF($AH961=20,"病院",IF($AH961=5,"消防","市長")),"対象外"))</f>
        <v/>
      </c>
    </row>
    <row r="962" customFormat="false" ht="15" hidden="false" customHeight="false" outlineLevel="0" collapsed="false">
      <c r="DB962" s="0" t="str">
        <f aca="false">IF($A962="","",IF(AND($A962=21,$AE962&amp;""="00000000"),IF($AH962=20,"病院",IF($AH962=5,"消防","市長")),"対象外"))</f>
        <v/>
      </c>
    </row>
    <row r="963" customFormat="false" ht="15" hidden="false" customHeight="false" outlineLevel="0" collapsed="false">
      <c r="DB963" s="0" t="str">
        <f aca="false">IF($A963="","",IF(AND($A963=21,$AE963&amp;""="00000000"),IF($AH963=20,"病院",IF($AH963=5,"消防","市長")),"対象外"))</f>
        <v/>
      </c>
    </row>
    <row r="964" customFormat="false" ht="15" hidden="false" customHeight="false" outlineLevel="0" collapsed="false">
      <c r="DB964" s="0" t="str">
        <f aca="false">IF($A964="","",IF(AND($A964=21,$AE964&amp;""="00000000"),IF($AH964=20,"病院",IF($AH964=5,"消防","市長")),"対象外"))</f>
        <v/>
      </c>
    </row>
    <row r="965" customFormat="false" ht="15" hidden="false" customHeight="false" outlineLevel="0" collapsed="false">
      <c r="DB965" s="0" t="str">
        <f aca="false">IF($A965="","",IF(AND($A965=21,$AE965&amp;""="00000000"),IF($AH965=20,"病院",IF($AH965=5,"消防","市長")),"対象外"))</f>
        <v/>
      </c>
    </row>
    <row r="966" customFormat="false" ht="15" hidden="false" customHeight="false" outlineLevel="0" collapsed="false">
      <c r="DB966" s="0" t="str">
        <f aca="false">IF($A966="","",IF(AND($A966=21,$AE966&amp;""="00000000"),IF($AH966=20,"病院",IF($AH966=5,"消防","市長")),"対象外"))</f>
        <v/>
      </c>
    </row>
    <row r="967" customFormat="false" ht="15" hidden="false" customHeight="false" outlineLevel="0" collapsed="false">
      <c r="DB967" s="0" t="str">
        <f aca="false">IF($A967="","",IF(AND($A967=21,$AE967&amp;""="00000000"),IF($AH967=20,"病院",IF($AH967=5,"消防","市長")),"対象外"))</f>
        <v/>
      </c>
    </row>
    <row r="968" customFormat="false" ht="15" hidden="false" customHeight="false" outlineLevel="0" collapsed="false">
      <c r="DB968" s="0" t="str">
        <f aca="false">IF($A968="","",IF(AND($A968=21,$AE968&amp;""="00000000"),IF($AH968=20,"病院",IF($AH968=5,"消防","市長")),"対象外"))</f>
        <v/>
      </c>
    </row>
    <row r="969" customFormat="false" ht="15" hidden="false" customHeight="false" outlineLevel="0" collapsed="false">
      <c r="DB969" s="0" t="str">
        <f aca="false">IF($A969="","",IF(AND($A969=21,$AE969&amp;""="00000000"),IF($AH969=20,"病院",IF($AH969=5,"消防","市長")),"対象外"))</f>
        <v/>
      </c>
    </row>
    <row r="970" customFormat="false" ht="15" hidden="false" customHeight="false" outlineLevel="0" collapsed="false">
      <c r="DB970" s="0" t="str">
        <f aca="false">IF($A970="","",IF(AND($A970=21,$AE970&amp;""="00000000"),IF($AH970=20,"病院",IF($AH970=5,"消防","市長")),"対象外"))</f>
        <v/>
      </c>
    </row>
    <row r="971" customFormat="false" ht="15" hidden="false" customHeight="false" outlineLevel="0" collapsed="false">
      <c r="DB971" s="0" t="str">
        <f aca="false">IF($A971="","",IF(AND($A971=21,$AE971&amp;""="00000000"),IF($AH971=20,"病院",IF($AH971=5,"消防","市長")),"対象外"))</f>
        <v/>
      </c>
    </row>
    <row r="972" customFormat="false" ht="15" hidden="false" customHeight="false" outlineLevel="0" collapsed="false">
      <c r="DB972" s="0" t="str">
        <f aca="false">IF($A972="","",IF(AND($A972=21,$AE972&amp;""="00000000"),IF($AH972=20,"病院",IF($AH972=5,"消防","市長")),"対象外"))</f>
        <v/>
      </c>
    </row>
    <row r="973" customFormat="false" ht="15" hidden="false" customHeight="false" outlineLevel="0" collapsed="false">
      <c r="DB973" s="0" t="str">
        <f aca="false">IF($A973="","",IF(AND($A973=21,$AE973&amp;""="00000000"),IF($AH973=20,"病院",IF($AH973=5,"消防","市長")),"対象外"))</f>
        <v/>
      </c>
    </row>
    <row r="974" customFormat="false" ht="15" hidden="false" customHeight="false" outlineLevel="0" collapsed="false">
      <c r="DB974" s="0" t="str">
        <f aca="false">IF($A974="","",IF(AND($A974=21,$AE974&amp;""="00000000"),IF($AH974=20,"病院",IF($AH974=5,"消防","市長")),"対象外"))</f>
        <v/>
      </c>
    </row>
    <row r="975" customFormat="false" ht="15" hidden="false" customHeight="false" outlineLevel="0" collapsed="false">
      <c r="DB975" s="0" t="str">
        <f aca="false">IF($A975="","",IF(AND($A975=21,$AE975&amp;""="00000000"),IF($AH975=20,"病院",IF($AH975=5,"消防","市長")),"対象外"))</f>
        <v/>
      </c>
    </row>
    <row r="976" customFormat="false" ht="15" hidden="false" customHeight="false" outlineLevel="0" collapsed="false">
      <c r="DB976" s="0" t="str">
        <f aca="false">IF($A976="","",IF(AND($A976=21,$AE976&amp;""="00000000"),IF($AH976=20,"病院",IF($AH976=5,"消防","市長")),"対象外"))</f>
        <v/>
      </c>
    </row>
    <row r="977" customFormat="false" ht="15" hidden="false" customHeight="false" outlineLevel="0" collapsed="false">
      <c r="DB977" s="0" t="str">
        <f aca="false">IF($A977="","",IF(AND($A977=21,$AE977&amp;""="00000000"),IF($AH977=20,"病院",IF($AH977=5,"消防","市長")),"対象外"))</f>
        <v/>
      </c>
    </row>
    <row r="978" customFormat="false" ht="15" hidden="false" customHeight="false" outlineLevel="0" collapsed="false">
      <c r="DB978" s="0" t="str">
        <f aca="false">IF($A978="","",IF(AND($A978=21,$AE978&amp;""="00000000"),IF($AH978=20,"病院",IF($AH978=5,"消防","市長")),"対象外"))</f>
        <v/>
      </c>
    </row>
    <row r="979" customFormat="false" ht="15" hidden="false" customHeight="false" outlineLevel="0" collapsed="false">
      <c r="DB979" s="0" t="str">
        <f aca="false">IF($A979="","",IF(AND($A979=21,$AE979&amp;""="00000000"),IF($AH979=20,"病院",IF($AH979=5,"消防","市長")),"対象外"))</f>
        <v/>
      </c>
    </row>
    <row r="980" customFormat="false" ht="15" hidden="false" customHeight="false" outlineLevel="0" collapsed="false">
      <c r="DB980" s="0" t="str">
        <f aca="false">IF($A980="","",IF(AND($A980=21,$AE980&amp;""="00000000"),IF($AH980=20,"病院",IF($AH980=5,"消防","市長")),"対象外"))</f>
        <v/>
      </c>
    </row>
    <row r="981" customFormat="false" ht="15" hidden="false" customHeight="false" outlineLevel="0" collapsed="false">
      <c r="DB981" s="0" t="str">
        <f aca="false">IF($A981="","",IF(AND($A981=21,$AE981&amp;""="00000000"),IF($AH981=20,"病院",IF($AH981=5,"消防","市長")),"対象外"))</f>
        <v/>
      </c>
    </row>
    <row r="982" customFormat="false" ht="15" hidden="false" customHeight="false" outlineLevel="0" collapsed="false">
      <c r="DB982" s="0" t="str">
        <f aca="false">IF($A982="","",IF(AND($A982=21,$AE982&amp;""="00000000"),IF($AH982=20,"病院",IF($AH982=5,"消防","市長")),"対象外"))</f>
        <v/>
      </c>
    </row>
    <row r="983" customFormat="false" ht="15" hidden="false" customHeight="false" outlineLevel="0" collapsed="false">
      <c r="DB983" s="0" t="str">
        <f aca="false">IF($A983="","",IF(AND($A983=21,$AE983&amp;""="00000000"),IF($AH983=20,"病院",IF($AH983=5,"消防","市長")),"対象外"))</f>
        <v/>
      </c>
    </row>
    <row r="984" customFormat="false" ht="15" hidden="false" customHeight="false" outlineLevel="0" collapsed="false">
      <c r="DB984" s="0" t="str">
        <f aca="false">IF($A984="","",IF(AND($A984=21,$AE984&amp;""="00000000"),IF($AH984=20,"病院",IF($AH984=5,"消防","市長")),"対象外"))</f>
        <v/>
      </c>
    </row>
    <row r="985" customFormat="false" ht="15" hidden="false" customHeight="false" outlineLevel="0" collapsed="false">
      <c r="DB985" s="0" t="str">
        <f aca="false">IF($A985="","",IF(AND($A985=21,$AE985&amp;""="00000000"),IF($AH985=20,"病院",IF($AH985=5,"消防","市長")),"対象外"))</f>
        <v/>
      </c>
    </row>
    <row r="986" customFormat="false" ht="15" hidden="false" customHeight="false" outlineLevel="0" collapsed="false">
      <c r="DB986" s="0" t="str">
        <f aca="false">IF($A986="","",IF(AND($A986=21,$AE986&amp;""="00000000"),IF($AH986=20,"病院",IF($AH986=5,"消防","市長")),"対象外"))</f>
        <v/>
      </c>
    </row>
    <row r="987" customFormat="false" ht="15" hidden="false" customHeight="false" outlineLevel="0" collapsed="false">
      <c r="DB987" s="0" t="str">
        <f aca="false">IF($A987="","",IF(AND($A987=21,$AE987&amp;""="00000000"),IF($AH987=20,"病院",IF($AH987=5,"消防","市長")),"対象外"))</f>
        <v/>
      </c>
    </row>
    <row r="988" customFormat="false" ht="15" hidden="false" customHeight="false" outlineLevel="0" collapsed="false">
      <c r="DB988" s="0" t="str">
        <f aca="false">IF($A988="","",IF(AND($A988=21,$AE988&amp;""="00000000"),IF($AH988=20,"病院",IF($AH988=5,"消防","市長")),"対象外"))</f>
        <v/>
      </c>
    </row>
    <row r="989" customFormat="false" ht="15" hidden="false" customHeight="false" outlineLevel="0" collapsed="false">
      <c r="DB989" s="0" t="str">
        <f aca="false">IF($A989="","",IF(AND($A989=21,$AE989&amp;""="00000000"),IF($AH989=20,"病院",IF($AH989=5,"消防","市長")),"対象外"))</f>
        <v/>
      </c>
    </row>
    <row r="990" customFormat="false" ht="15" hidden="false" customHeight="false" outlineLevel="0" collapsed="false">
      <c r="DB990" s="0" t="str">
        <f aca="false">IF($A990="","",IF(AND($A990=21,$AE990&amp;""="00000000"),IF($AH990=20,"病院",IF($AH990=5,"消防","市長")),"対象外"))</f>
        <v/>
      </c>
    </row>
    <row r="991" customFormat="false" ht="15" hidden="false" customHeight="false" outlineLevel="0" collapsed="false">
      <c r="DB991" s="0" t="str">
        <f aca="false">IF($A991="","",IF(AND($A991=21,$AE991&amp;""="00000000"),IF($AH991=20,"病院",IF($AH991=5,"消防","市長")),"対象外"))</f>
        <v/>
      </c>
    </row>
    <row r="992" customFormat="false" ht="15" hidden="false" customHeight="false" outlineLevel="0" collapsed="false">
      <c r="DB992" s="0" t="str">
        <f aca="false">IF($A992="","",IF(AND($A992=21,$AE992&amp;""="00000000"),IF($AH992=20,"病院",IF($AH992=5,"消防","市長")),"対象外"))</f>
        <v/>
      </c>
    </row>
    <row r="993" customFormat="false" ht="15" hidden="false" customHeight="false" outlineLevel="0" collapsed="false">
      <c r="DB993" s="0" t="str">
        <f aca="false">IF($A993="","",IF(AND($A993=21,$AE993&amp;""="00000000"),IF($AH993=20,"病院",IF($AH993=5,"消防","市長")),"対象外"))</f>
        <v/>
      </c>
    </row>
    <row r="994" customFormat="false" ht="15" hidden="false" customHeight="false" outlineLevel="0" collapsed="false">
      <c r="DB994" s="0" t="str">
        <f aca="false">IF($A994="","",IF(AND($A994=21,$AE994&amp;""="00000000"),IF($AH994=20,"病院",IF($AH994=5,"消防","市長")),"対象外"))</f>
        <v/>
      </c>
    </row>
    <row r="995" customFormat="false" ht="15" hidden="false" customHeight="false" outlineLevel="0" collapsed="false">
      <c r="DB995" s="0" t="str">
        <f aca="false">IF($A995="","",IF(AND($A995=21,$AE995&amp;""="00000000"),IF($AH995=20,"病院",IF($AH995=5,"消防","市長")),"対象外"))</f>
        <v/>
      </c>
    </row>
    <row r="996" customFormat="false" ht="15" hidden="false" customHeight="false" outlineLevel="0" collapsed="false">
      <c r="DB996" s="0" t="str">
        <f aca="false">IF($A996="","",IF(AND($A996=21,$AE996&amp;""="00000000"),IF($AH996=20,"病院",IF($AH996=5,"消防","市長")),"対象外"))</f>
        <v/>
      </c>
    </row>
    <row r="997" customFormat="false" ht="15" hidden="false" customHeight="false" outlineLevel="0" collapsed="false">
      <c r="DB997" s="0" t="str">
        <f aca="false">IF($A997="","",IF(AND($A997=21,$AE997&amp;""="00000000"),IF($AH997=20,"病院",IF($AH997=5,"消防","市長")),"対象外"))</f>
        <v/>
      </c>
    </row>
    <row r="998" customFormat="false" ht="15" hidden="false" customHeight="false" outlineLevel="0" collapsed="false">
      <c r="DB998" s="0" t="str">
        <f aca="false">IF($A998="","",IF(AND($A998=21,$AE998&amp;""="00000000"),IF($AH998=20,"病院",IF($AH998=5,"消防","市長")),"対象外"))</f>
        <v/>
      </c>
    </row>
    <row r="999" customFormat="false" ht="15" hidden="false" customHeight="false" outlineLevel="0" collapsed="false">
      <c r="DB999" s="0" t="str">
        <f aca="false">IF($A999="","",IF(AND($A999=21,$AE999&amp;""="00000000"),IF($AH999=20,"病院",IF($AH999=5,"消防","市長")),"対象外"))</f>
        <v/>
      </c>
    </row>
    <row r="1000" customFormat="false" ht="15" hidden="false" customHeight="false" outlineLevel="0" collapsed="false">
      <c r="DB1000" s="0" t="str">
        <f aca="false">IF($A1000="","",IF(AND($A1000=21,$AE1000&amp;""="00000000"),IF($AH1000=20,"病院",IF($AH1000=5,"消防","市長")),"対象外"))</f>
        <v/>
      </c>
    </row>
    <row r="1001" customFormat="false" ht="15" hidden="false" customHeight="false" outlineLevel="0" collapsed="false">
      <c r="DB1001" s="0" t="str">
        <f aca="false">IF($A1001="","",IF(AND($A1001=21,$AE1001&amp;""="00000000"),IF($AH1001=20,"病院",IF($AH1001=5,"消防","市長")),"対象外"))</f>
        <v/>
      </c>
    </row>
    <row r="1002" customFormat="false" ht="15" hidden="false" customHeight="false" outlineLevel="0" collapsed="false">
      <c r="DB1002" s="0" t="str">
        <f aca="false">IF($A1002="","",IF(AND($A1002=21,$AE1002&amp;""="00000000"),IF($AH1002=20,"病院",IF($AH1002=5,"消防","市長")),"対象外"))</f>
        <v/>
      </c>
    </row>
    <row r="1003" customFormat="false" ht="15" hidden="false" customHeight="false" outlineLevel="0" collapsed="false">
      <c r="DB1003" s="0" t="str">
        <f aca="false">IF($A1003="","",IF(AND($A1003=21,$AE1003&amp;""="00000000"),IF($AH1003=20,"病院",IF($AH1003=5,"消防","市長")),"対象外"))</f>
        <v/>
      </c>
    </row>
    <row r="1004" customFormat="false" ht="15" hidden="false" customHeight="false" outlineLevel="0" collapsed="false">
      <c r="DB1004" s="0" t="str">
        <f aca="false">IF($A1004="","",IF(AND($A1004=21,$AE1004&amp;""="00000000"),IF($AH1004=20,"病院",IF($AH1004=5,"消防","市長")),"対象外"))</f>
        <v/>
      </c>
    </row>
    <row r="1005" customFormat="false" ht="15" hidden="false" customHeight="false" outlineLevel="0" collapsed="false">
      <c r="DB1005" s="0" t="str">
        <f aca="false">IF($A1005="","",IF(AND($A1005=21,$AE1005&amp;""="00000000"),IF($AH1005=20,"病院",IF($AH1005=5,"消防","市長")),"対象外"))</f>
        <v/>
      </c>
    </row>
    <row r="1006" customFormat="false" ht="15" hidden="false" customHeight="false" outlineLevel="0" collapsed="false">
      <c r="DB1006" s="0" t="str">
        <f aca="false">IF($A1006="","",IF(AND($A1006=21,$AE1006&amp;""="00000000"),IF($AH1006=20,"病院",IF($AH1006=5,"消防","市長")),"対象外"))</f>
        <v/>
      </c>
    </row>
    <row r="1007" customFormat="false" ht="15" hidden="false" customHeight="false" outlineLevel="0" collapsed="false">
      <c r="DB1007" s="0" t="str">
        <f aca="false">IF($A1007="","",IF(AND($A1007=21,$AE1007&amp;""="00000000"),IF($AH1007=20,"病院",IF($AH1007=5,"消防","市長")),"対象外"))</f>
        <v/>
      </c>
    </row>
    <row r="1008" customFormat="false" ht="15" hidden="false" customHeight="false" outlineLevel="0" collapsed="false">
      <c r="DB1008" s="0" t="str">
        <f aca="false">IF($A1008="","",IF(AND($A1008=21,$AE1008&amp;""="00000000"),IF($AH1008=20,"病院",IF($AH1008=5,"消防","市長")),"対象外"))</f>
        <v/>
      </c>
    </row>
    <row r="1009" customFormat="false" ht="15" hidden="false" customHeight="false" outlineLevel="0" collapsed="false">
      <c r="DB1009" s="0" t="str">
        <f aca="false">IF($A1009="","",IF(AND($A1009=21,$AE1009&amp;""="00000000"),IF($AH1009=20,"病院",IF($AH1009=5,"消防","市長")),"対象外"))</f>
        <v/>
      </c>
    </row>
    <row r="1010" customFormat="false" ht="15" hidden="false" customHeight="false" outlineLevel="0" collapsed="false">
      <c r="DB1010" s="0" t="str">
        <f aca="false">IF($A1010="","",IF(AND($A1010=21,$AE1010&amp;""="00000000"),IF($AH1010=20,"病院",IF($AH1010=5,"消防","市長")),"対象外"))</f>
        <v/>
      </c>
    </row>
    <row r="1011" customFormat="false" ht="15" hidden="false" customHeight="false" outlineLevel="0" collapsed="false">
      <c r="DB1011" s="0" t="str">
        <f aca="false">IF($A1011="","",IF(AND($A1011=21,$AE1011&amp;""="00000000"),IF($AH1011=20,"病院",IF($AH1011=5,"消防","市長")),"対象外"))</f>
        <v/>
      </c>
    </row>
    <row r="1012" customFormat="false" ht="15" hidden="false" customHeight="false" outlineLevel="0" collapsed="false">
      <c r="DB1012" s="0" t="str">
        <f aca="false">IF($A1012="","",IF(AND($A1012=21,$AE1012&amp;""="00000000"),IF($AH1012=20,"病院",IF($AH1012=5,"消防","市長")),"対象外"))</f>
        <v/>
      </c>
    </row>
    <row r="1013" customFormat="false" ht="15" hidden="false" customHeight="false" outlineLevel="0" collapsed="false">
      <c r="DB1013" s="0" t="str">
        <f aca="false">IF($A1013="","",IF(AND($A1013=21,$AE1013&amp;""="00000000"),IF($AH1013=20,"病院",IF($AH1013=5,"消防","市長")),"対象外"))</f>
        <v/>
      </c>
    </row>
    <row r="1014" customFormat="false" ht="15" hidden="false" customHeight="false" outlineLevel="0" collapsed="false">
      <c r="DB1014" s="0" t="str">
        <f aca="false">IF($A1014="","",IF(AND($A1014=21,$AE1014&amp;""="00000000"),IF($AH1014=20,"病院",IF($AH1014=5,"消防","市長")),"対象外"))</f>
        <v/>
      </c>
    </row>
    <row r="1015" customFormat="false" ht="15" hidden="false" customHeight="false" outlineLevel="0" collapsed="false">
      <c r="DB1015" s="0" t="str">
        <f aca="false">IF($A1015="","",IF(AND($A1015=21,$AE1015&amp;""="00000000"),IF($AH1015=20,"病院",IF($AH1015=5,"消防","市長")),"対象外"))</f>
        <v/>
      </c>
    </row>
    <row r="1016" customFormat="false" ht="15" hidden="false" customHeight="false" outlineLevel="0" collapsed="false">
      <c r="DB1016" s="0" t="str">
        <f aca="false">IF($A1016="","",IF(AND($A1016=21,$AE1016&amp;""="00000000"),IF($AH1016=20,"病院",IF($AH1016=5,"消防","市長")),"対象外"))</f>
        <v/>
      </c>
    </row>
    <row r="1017" customFormat="false" ht="15" hidden="false" customHeight="false" outlineLevel="0" collapsed="false">
      <c r="DB1017" s="0" t="str">
        <f aca="false">IF($A1017="","",IF(AND($A1017=21,$AE1017&amp;""="00000000"),IF($AH1017=20,"病院",IF($AH1017=5,"消防","市長")),"対象外"))</f>
        <v/>
      </c>
    </row>
    <row r="1018" customFormat="false" ht="15" hidden="false" customHeight="false" outlineLevel="0" collapsed="false">
      <c r="DB1018" s="0" t="str">
        <f aca="false">IF($A1018="","",IF(AND($A1018=21,$AE1018&amp;""="00000000"),IF($AH1018=20,"病院",IF($AH1018=5,"消防","市長")),"対象外"))</f>
        <v/>
      </c>
    </row>
    <row r="1019" customFormat="false" ht="15" hidden="false" customHeight="false" outlineLevel="0" collapsed="false">
      <c r="DB1019" s="0" t="str">
        <f aca="false">IF($A1019="","",IF(AND($A1019=21,$AE1019&amp;""="00000000"),IF($AH1019=20,"病院",IF($AH1019=5,"消防","市長")),"対象外"))</f>
        <v/>
      </c>
    </row>
    <row r="1020" customFormat="false" ht="15" hidden="false" customHeight="false" outlineLevel="0" collapsed="false">
      <c r="DB1020" s="0" t="str">
        <f aca="false">IF($A1020="","",IF(AND($A1020=21,$AE1020&amp;""="00000000"),IF($AH1020=20,"病院",IF($AH1020=5,"消防","市長")),"対象外"))</f>
        <v/>
      </c>
    </row>
    <row r="1021" customFormat="false" ht="15" hidden="false" customHeight="false" outlineLevel="0" collapsed="false">
      <c r="DB1021" s="0" t="str">
        <f aca="false">IF($A1021="","",IF(AND($A1021=21,$AE1021&amp;""="00000000"),IF($AH1021=20,"病院",IF($AH1021=5,"消防","市長")),"対象外"))</f>
        <v/>
      </c>
    </row>
    <row r="1022" customFormat="false" ht="15" hidden="false" customHeight="false" outlineLevel="0" collapsed="false">
      <c r="DB1022" s="0" t="str">
        <f aca="false">IF($A1022="","",IF(AND($A1022=21,$AE1022&amp;""="00000000"),IF($AH1022=20,"病院",IF($AH1022=5,"消防","市長")),"対象外"))</f>
        <v/>
      </c>
    </row>
    <row r="1023" customFormat="false" ht="15" hidden="false" customHeight="false" outlineLevel="0" collapsed="false">
      <c r="DB1023" s="0" t="str">
        <f aca="false">IF($A1023="","",IF(AND($A1023=21,$AE1023&amp;""="00000000"),IF($AH1023=20,"病院",IF($AH1023=5,"消防","市長")),"対象外"))</f>
        <v/>
      </c>
    </row>
    <row r="1024" customFormat="false" ht="15" hidden="false" customHeight="false" outlineLevel="0" collapsed="false">
      <c r="DB1024" s="0" t="str">
        <f aca="false">IF($A1024="","",IF(AND($A1024=21,$AE1024&amp;""="00000000"),IF($AH1024=20,"病院",IF($AH1024=5,"消防","市長")),"対象外"))</f>
        <v/>
      </c>
    </row>
    <row r="1025" customFormat="false" ht="15" hidden="false" customHeight="false" outlineLevel="0" collapsed="false">
      <c r="DB1025" s="0" t="str">
        <f aca="false">IF($A1025="","",IF(AND($A1025=21,$AE1025&amp;""="00000000"),IF($AH1025=20,"病院",IF($AH1025=5,"消防","市長")),"対象外"))</f>
        <v/>
      </c>
    </row>
    <row r="1026" customFormat="false" ht="15" hidden="false" customHeight="false" outlineLevel="0" collapsed="false">
      <c r="DB1026" s="0" t="str">
        <f aca="false">IF($A1026="","",IF(AND($A1026=21,$AE1026&amp;""="00000000"),IF($AH1026=20,"病院",IF($AH1026=5,"消防","市長")),"対象外"))</f>
        <v/>
      </c>
    </row>
    <row r="1027" customFormat="false" ht="15" hidden="false" customHeight="false" outlineLevel="0" collapsed="false">
      <c r="DB1027" s="0" t="str">
        <f aca="false">IF($A1027="","",IF(AND($A1027=21,$AE1027&amp;""="00000000"),IF($AH1027=20,"病院",IF($AH1027=5,"消防","市長")),"対象外"))</f>
        <v/>
      </c>
    </row>
    <row r="1028" customFormat="false" ht="15" hidden="false" customHeight="false" outlineLevel="0" collapsed="false">
      <c r="DB1028" s="0" t="str">
        <f aca="false">IF($A1028="","",IF(AND($A1028=21,$AE1028&amp;""="00000000"),IF($AH1028=20,"病院",IF($AH1028=5,"消防","市長")),"対象外"))</f>
        <v/>
      </c>
    </row>
    <row r="1029" customFormat="false" ht="15" hidden="false" customHeight="false" outlineLevel="0" collapsed="false">
      <c r="DB1029" s="0" t="str">
        <f aca="false">IF($A1029="","",IF(AND($A1029=21,$AE1029&amp;""="00000000"),IF($AH1029=20,"病院",IF($AH1029=5,"消防","市長")),"対象外"))</f>
        <v/>
      </c>
    </row>
    <row r="1030" customFormat="false" ht="15" hidden="false" customHeight="false" outlineLevel="0" collapsed="false">
      <c r="DB1030" s="0" t="str">
        <f aca="false">IF($A1030="","",IF(AND($A1030=21,$AE1030&amp;""="00000000"),IF($AH1030=20,"病院",IF($AH1030=5,"消防","市長")),"対象外"))</f>
        <v/>
      </c>
    </row>
    <row r="1031" customFormat="false" ht="15" hidden="false" customHeight="false" outlineLevel="0" collapsed="false">
      <c r="DB1031" s="0" t="str">
        <f aca="false">IF($A1031="","",IF(AND($A1031=21,$AE1031&amp;""="00000000"),IF($AH1031=20,"病院",IF($AH1031=5,"消防","市長")),"対象外"))</f>
        <v/>
      </c>
    </row>
    <row r="1032" customFormat="false" ht="15" hidden="false" customHeight="false" outlineLevel="0" collapsed="false">
      <c r="DB1032" s="0" t="str">
        <f aca="false">IF($A1032="","",IF(AND($A1032=21,$AE1032&amp;""="00000000"),IF($AH1032=20,"病院",IF($AH1032=5,"消防","市長")),"対象外"))</f>
        <v/>
      </c>
    </row>
    <row r="1033" customFormat="false" ht="15" hidden="false" customHeight="false" outlineLevel="0" collapsed="false">
      <c r="DB1033" s="0" t="str">
        <f aca="false">IF($A1033="","",IF(AND($A1033=21,$AE1033&amp;""="00000000"),IF($AH1033=20,"病院",IF($AH1033=5,"消防","市長")),"対象外"))</f>
        <v/>
      </c>
    </row>
    <row r="1034" customFormat="false" ht="15" hidden="false" customHeight="false" outlineLevel="0" collapsed="false">
      <c r="DB1034" s="0" t="str">
        <f aca="false">IF($A1034="","",IF(AND($A1034=21,$AE1034&amp;""="00000000"),IF($AH1034=20,"病院",IF($AH1034=5,"消防","市長")),"対象外"))</f>
        <v/>
      </c>
    </row>
    <row r="1035" customFormat="false" ht="15" hidden="false" customHeight="false" outlineLevel="0" collapsed="false">
      <c r="DB1035" s="0" t="str">
        <f aca="false">IF($A1035="","",IF(AND($A1035=21,$AE1035&amp;""="00000000"),IF($AH1035=20,"病院",IF($AH1035=5,"消防","市長")),"対象外"))</f>
        <v/>
      </c>
    </row>
    <row r="1036" customFormat="false" ht="15" hidden="false" customHeight="false" outlineLevel="0" collapsed="false">
      <c r="DB1036" s="0" t="str">
        <f aca="false">IF($A1036="","",IF(AND($A1036=21,$AE1036&amp;""="00000000"),IF($AH1036=20,"病院",IF($AH1036=5,"消防","市長")),"対象外"))</f>
        <v/>
      </c>
    </row>
    <row r="1037" customFormat="false" ht="15" hidden="false" customHeight="false" outlineLevel="0" collapsed="false">
      <c r="DB1037" s="0" t="str">
        <f aca="false">IF($A1037="","",IF(AND($A1037=21,$AE1037&amp;""="00000000"),IF($AH1037=20,"病院",IF($AH1037=5,"消防","市長")),"対象外"))</f>
        <v/>
      </c>
    </row>
    <row r="1038" customFormat="false" ht="15" hidden="false" customHeight="false" outlineLevel="0" collapsed="false">
      <c r="DB1038" s="0" t="str">
        <f aca="false">IF($A1038="","",IF(AND($A1038=21,$AE1038&amp;""="00000000"),IF($AH1038=20,"病院",IF($AH1038=5,"消防","市長")),"対象外"))</f>
        <v/>
      </c>
    </row>
    <row r="1039" customFormat="false" ht="15" hidden="false" customHeight="false" outlineLevel="0" collapsed="false">
      <c r="DB1039" s="0" t="str">
        <f aca="false">IF($A1039="","",IF(AND($A1039=21,$AE1039&amp;""="00000000"),IF($AH1039=20,"病院",IF($AH1039=5,"消防","市長")),"対象外"))</f>
        <v/>
      </c>
    </row>
    <row r="1040" customFormat="false" ht="15" hidden="false" customHeight="false" outlineLevel="0" collapsed="false">
      <c r="DB1040" s="0" t="str">
        <f aca="false">IF($A1040="","",IF(AND($A1040=21,$AE1040&amp;""="00000000"),IF($AH1040=20,"病院",IF($AH1040=5,"消防","市長")),"対象外"))</f>
        <v/>
      </c>
    </row>
    <row r="1041" customFormat="false" ht="15" hidden="false" customHeight="false" outlineLevel="0" collapsed="false">
      <c r="DB1041" s="0" t="str">
        <f aca="false">IF($A1041="","",IF(AND($A1041=21,$AE1041&amp;""="00000000"),IF($AH1041=20,"病院",IF($AH1041=5,"消防","市長")),"対象外"))</f>
        <v/>
      </c>
    </row>
    <row r="1042" customFormat="false" ht="15" hidden="false" customHeight="false" outlineLevel="0" collapsed="false">
      <c r="DB1042" s="0" t="str">
        <f aca="false">IF($A1042="","",IF(AND($A1042=21,$AE1042&amp;""="00000000"),IF($AH1042=20,"病院",IF($AH1042=5,"消防","市長")),"対象外"))</f>
        <v/>
      </c>
    </row>
    <row r="1043" customFormat="false" ht="15" hidden="false" customHeight="false" outlineLevel="0" collapsed="false">
      <c r="DB1043" s="0" t="str">
        <f aca="false">IF($A1043="","",IF(AND($A1043=21,$AE1043&amp;""="00000000"),IF($AH1043=20,"病院",IF($AH1043=5,"消防","市長")),"対象外"))</f>
        <v/>
      </c>
    </row>
    <row r="1044" customFormat="false" ht="15" hidden="false" customHeight="false" outlineLevel="0" collapsed="false">
      <c r="DB1044" s="0" t="str">
        <f aca="false">IF($A1044="","",IF(AND($A1044=21,$AE1044&amp;""="00000000"),IF($AH1044=20,"病院",IF($AH1044=5,"消防","市長")),"対象外"))</f>
        <v/>
      </c>
    </row>
    <row r="1045" customFormat="false" ht="15" hidden="false" customHeight="false" outlineLevel="0" collapsed="false">
      <c r="DB1045" s="0" t="str">
        <f aca="false">IF($A1045="","",IF(AND($A1045=21,$AE1045&amp;""="00000000"),IF($AH1045=20,"病院",IF($AH1045=5,"消防","市長")),"対象外"))</f>
        <v/>
      </c>
    </row>
    <row r="1046" customFormat="false" ht="15" hidden="false" customHeight="false" outlineLevel="0" collapsed="false">
      <c r="DB1046" s="0" t="str">
        <f aca="false">IF($A1046="","",IF(AND($A1046=21,$AE1046&amp;""="00000000"),IF($AH1046=20,"病院",IF($AH1046=5,"消防","市長")),"対象外"))</f>
        <v/>
      </c>
    </row>
    <row r="1047" customFormat="false" ht="15" hidden="false" customHeight="false" outlineLevel="0" collapsed="false">
      <c r="DB1047" s="0" t="str">
        <f aca="false">IF($A1047="","",IF(AND($A1047=21,$AE1047&amp;""="00000000"),IF($AH1047=20,"病院",IF($AH1047=5,"消防","市長")),"対象外"))</f>
        <v/>
      </c>
    </row>
    <row r="1048" customFormat="false" ht="15" hidden="false" customHeight="false" outlineLevel="0" collapsed="false">
      <c r="DB1048" s="0" t="str">
        <f aca="false">IF($A1048="","",IF(AND($A1048=21,$AE1048&amp;""="00000000"),IF($AH1048=20,"病院",IF($AH1048=5,"消防","市長")),"対象外"))</f>
        <v/>
      </c>
    </row>
    <row r="1049" customFormat="false" ht="15" hidden="false" customHeight="false" outlineLevel="0" collapsed="false">
      <c r="DB1049" s="0" t="str">
        <f aca="false">IF($A1049="","",IF(AND($A1049=21,$AE1049&amp;""="00000000"),IF($AH1049=20,"病院",IF($AH1049=5,"消防","市長")),"対象外"))</f>
        <v/>
      </c>
    </row>
    <row r="1050" customFormat="false" ht="15" hidden="false" customHeight="false" outlineLevel="0" collapsed="false">
      <c r="DB1050" s="0" t="str">
        <f aca="false">IF($A1050="","",IF(AND($A1050=21,$AE1050&amp;""="00000000"),IF($AH1050=20,"病院",IF($AH1050=5,"消防","市長")),"対象外"))</f>
        <v/>
      </c>
    </row>
    <row r="1051" customFormat="false" ht="15" hidden="false" customHeight="false" outlineLevel="0" collapsed="false">
      <c r="DB1051" s="0" t="str">
        <f aca="false">IF($A1051="","",IF(AND($A1051=21,$AE1051&amp;""="00000000"),IF($AH1051=20,"病院",IF($AH1051=5,"消防","市長")),"対象外"))</f>
        <v/>
      </c>
    </row>
    <row r="1052" customFormat="false" ht="15" hidden="false" customHeight="false" outlineLevel="0" collapsed="false">
      <c r="DB1052" s="0" t="str">
        <f aca="false">IF($A1052="","",IF(AND($A1052=21,$AE1052&amp;""="00000000"),IF($AH1052=20,"病院",IF($AH1052=5,"消防","市長")),"対象外"))</f>
        <v/>
      </c>
    </row>
    <row r="1053" customFormat="false" ht="15" hidden="false" customHeight="false" outlineLevel="0" collapsed="false">
      <c r="DB1053" s="0" t="str">
        <f aca="false">IF($A1053="","",IF(AND($A1053=21,$AE1053&amp;""="00000000"),IF($AH1053=20,"病院",IF($AH1053=5,"消防","市長")),"対象外"))</f>
        <v/>
      </c>
    </row>
    <row r="1054" customFormat="false" ht="15" hidden="false" customHeight="false" outlineLevel="0" collapsed="false">
      <c r="DB1054" s="0" t="str">
        <f aca="false">IF($A1054="","",IF(AND($A1054=21,$AE1054&amp;""="00000000"),IF($AH1054=20,"病院",IF($AH1054=5,"消防","市長")),"対象外"))</f>
        <v/>
      </c>
    </row>
    <row r="1055" customFormat="false" ht="15" hidden="false" customHeight="false" outlineLevel="0" collapsed="false">
      <c r="DB1055" s="0" t="str">
        <f aca="false">IF($A1055="","",IF(AND($A1055=21,$AE1055&amp;""="00000000"),IF($AH1055=20,"病院",IF($AH1055=5,"消防","市長")),"対象外"))</f>
        <v/>
      </c>
    </row>
    <row r="1056" customFormat="false" ht="15" hidden="false" customHeight="false" outlineLevel="0" collapsed="false">
      <c r="DB1056" s="0" t="str">
        <f aca="false">IF($A1056="","",IF(AND($A1056=21,$AE1056&amp;""="00000000"),IF($AH1056=20,"病院",IF($AH1056=5,"消防","市長")),"対象外"))</f>
        <v/>
      </c>
    </row>
    <row r="1057" customFormat="false" ht="15" hidden="false" customHeight="false" outlineLevel="0" collapsed="false">
      <c r="DB1057" s="0" t="str">
        <f aca="false">IF($A1057="","",IF(AND($A1057=21,$AE1057&amp;""="00000000"),IF($AH1057=20,"病院",IF($AH1057=5,"消防","市長")),"対象外"))</f>
        <v/>
      </c>
    </row>
    <row r="1058" customFormat="false" ht="15" hidden="false" customHeight="false" outlineLevel="0" collapsed="false">
      <c r="DB1058" s="0" t="str">
        <f aca="false">IF($A1058="","",IF(AND($A1058=21,$AE1058&amp;""="00000000"),IF($AH1058=20,"病院",IF($AH1058=5,"消防","市長")),"対象外"))</f>
        <v/>
      </c>
    </row>
    <row r="1059" customFormat="false" ht="15" hidden="false" customHeight="false" outlineLevel="0" collapsed="false">
      <c r="DB1059" s="0" t="str">
        <f aca="false">IF($A1059="","",IF(AND($A1059=21,$AE1059&amp;""="00000000"),IF($AH1059=20,"病院",IF($AH1059=5,"消防","市長")),"対象外"))</f>
        <v/>
      </c>
    </row>
    <row r="1060" customFormat="false" ht="15" hidden="false" customHeight="false" outlineLevel="0" collapsed="false">
      <c r="DB1060" s="0" t="str">
        <f aca="false">IF($A1060="","",IF(AND($A1060=21,$AE1060&amp;""="00000000"),IF($AH1060=20,"病院",IF($AH1060=5,"消防","市長")),"対象外"))</f>
        <v/>
      </c>
    </row>
    <row r="1061" customFormat="false" ht="15" hidden="false" customHeight="false" outlineLevel="0" collapsed="false">
      <c r="DB1061" s="0" t="str">
        <f aca="false">IF($A1061="","",IF(AND($A1061=21,$AE1061&amp;""="00000000"),IF($AH1061=20,"病院",IF($AH1061=5,"消防","市長")),"対象外"))</f>
        <v/>
      </c>
    </row>
    <row r="1062" customFormat="false" ht="15" hidden="false" customHeight="false" outlineLevel="0" collapsed="false">
      <c r="DB1062" s="0" t="str">
        <f aca="false">IF($A1062="","",IF(AND($A1062=21,$AE1062&amp;""="00000000"),IF($AH1062=20,"病院",IF($AH1062=5,"消防","市長")),"対象外"))</f>
        <v/>
      </c>
    </row>
    <row r="1063" customFormat="false" ht="15" hidden="false" customHeight="false" outlineLevel="0" collapsed="false">
      <c r="DB1063" s="0" t="str">
        <f aca="false">IF($A1063="","",IF(AND($A1063=21,$AE1063&amp;""="00000000"),IF($AH1063=20,"病院",IF($AH1063=5,"消防","市長")),"対象外"))</f>
        <v/>
      </c>
    </row>
    <row r="1064" customFormat="false" ht="15" hidden="false" customHeight="false" outlineLevel="0" collapsed="false">
      <c r="DB1064" s="0" t="str">
        <f aca="false">IF($A1064="","",IF(AND($A1064=21,$AE1064&amp;""="00000000"),IF($AH1064=20,"病院",IF($AH1064=5,"消防","市長")),"対象外"))</f>
        <v/>
      </c>
    </row>
    <row r="1065" customFormat="false" ht="15" hidden="false" customHeight="false" outlineLevel="0" collapsed="false">
      <c r="DB1065" s="0" t="str">
        <f aca="false">IF($A1065="","",IF(AND($A1065=21,$AE1065&amp;""="00000000"),IF($AH1065=20,"病院",IF($AH1065=5,"消防","市長")),"対象外"))</f>
        <v/>
      </c>
    </row>
    <row r="1066" customFormat="false" ht="15" hidden="false" customHeight="false" outlineLevel="0" collapsed="false">
      <c r="DB1066" s="0" t="str">
        <f aca="false">IF($A1066="","",IF(AND($A1066=21,$AE1066&amp;""="00000000"),IF($AH1066=20,"病院",IF($AH1066=5,"消防","市長")),"対象外"))</f>
        <v/>
      </c>
    </row>
    <row r="1067" customFormat="false" ht="15" hidden="false" customHeight="false" outlineLevel="0" collapsed="false">
      <c r="DB1067" s="0" t="str">
        <f aca="false">IF($A1067="","",IF(AND($A1067=21,$AE1067&amp;""="00000000"),IF($AH1067=20,"病院",IF($AH1067=5,"消防","市長")),"対象外"))</f>
        <v/>
      </c>
    </row>
    <row r="1068" customFormat="false" ht="15" hidden="false" customHeight="false" outlineLevel="0" collapsed="false">
      <c r="DB1068" s="0" t="str">
        <f aca="false">IF($A1068="","",IF(AND($A1068=21,$AE1068&amp;""="00000000"),IF($AH1068=20,"病院",IF($AH1068=5,"消防","市長")),"対象外"))</f>
        <v/>
      </c>
    </row>
    <row r="1069" customFormat="false" ht="15" hidden="false" customHeight="false" outlineLevel="0" collapsed="false">
      <c r="DB1069" s="0" t="str">
        <f aca="false">IF($A1069="","",IF(AND($A1069=21,$AE1069&amp;""="00000000"),IF($AH1069=20,"病院",IF($AH1069=5,"消防","市長")),"対象外"))</f>
        <v/>
      </c>
    </row>
    <row r="1070" customFormat="false" ht="15" hidden="false" customHeight="false" outlineLevel="0" collapsed="false">
      <c r="DB1070" s="0" t="str">
        <f aca="false">IF($A1070="","",IF(AND($A1070=21,$AE1070&amp;""="00000000"),IF($AH1070=20,"病院",IF($AH1070=5,"消防","市長")),"対象外"))</f>
        <v/>
      </c>
    </row>
    <row r="1071" customFormat="false" ht="15" hidden="false" customHeight="false" outlineLevel="0" collapsed="false">
      <c r="DB1071" s="0" t="str">
        <f aca="false">IF($A1071="","",IF(AND($A1071=21,$AE1071&amp;""="00000000"),IF($AH1071=20,"病院",IF($AH1071=5,"消防","市長")),"対象外"))</f>
        <v/>
      </c>
    </row>
    <row r="1072" customFormat="false" ht="15" hidden="false" customHeight="false" outlineLevel="0" collapsed="false">
      <c r="DB1072" s="0" t="str">
        <f aca="false">IF($A1072="","",IF(AND($A1072=21,$AE1072&amp;""="00000000"),IF($AH1072=20,"病院",IF($AH1072=5,"消防","市長")),"対象外"))</f>
        <v/>
      </c>
    </row>
    <row r="1073" customFormat="false" ht="15" hidden="false" customHeight="false" outlineLevel="0" collapsed="false">
      <c r="DB1073" s="0" t="str">
        <f aca="false">IF($A1073="","",IF(AND($A1073=21,$AE1073&amp;""="00000000"),IF($AH1073=20,"病院",IF($AH1073=5,"消防","市長")),"対象外"))</f>
        <v/>
      </c>
    </row>
    <row r="1074" customFormat="false" ht="15" hidden="false" customHeight="false" outlineLevel="0" collapsed="false">
      <c r="DB1074" s="0" t="str">
        <f aca="false">IF($A1074="","",IF(AND($A1074=21,$AE1074&amp;""="00000000"),IF($AH1074=20,"病院",IF($AH1074=5,"消防","市長")),"対象外"))</f>
        <v/>
      </c>
    </row>
    <row r="1075" customFormat="false" ht="15" hidden="false" customHeight="false" outlineLevel="0" collapsed="false">
      <c r="DB1075" s="0" t="str">
        <f aca="false">IF($A1075="","",IF(AND($A1075=21,$AE1075&amp;""="00000000"),IF($AH1075=20,"病院",IF($AH1075=5,"消防","市長")),"対象外"))</f>
        <v/>
      </c>
    </row>
    <row r="1076" customFormat="false" ht="15" hidden="false" customHeight="false" outlineLevel="0" collapsed="false">
      <c r="DB1076" s="0" t="str">
        <f aca="false">IF($A1076="","",IF(AND($A1076=21,$AE1076&amp;""="00000000"),IF($AH1076=20,"病院",IF($AH1076=5,"消防","市長")),"対象外"))</f>
        <v/>
      </c>
    </row>
    <row r="1077" customFormat="false" ht="15" hidden="false" customHeight="false" outlineLevel="0" collapsed="false">
      <c r="DB1077" s="0" t="str">
        <f aca="false">IF($A1077="","",IF(AND($A1077=21,$AE1077&amp;""="00000000"),IF($AH1077=20,"病院",IF($AH1077=5,"消防","市長")),"対象外"))</f>
        <v/>
      </c>
    </row>
    <row r="1078" customFormat="false" ht="15" hidden="false" customHeight="false" outlineLevel="0" collapsed="false">
      <c r="DB1078" s="0" t="str">
        <f aca="false">IF($A1078="","",IF(AND($A1078=21,$AE1078&amp;""="00000000"),IF($AH1078=20,"病院",IF($AH1078=5,"消防","市長")),"対象外"))</f>
        <v/>
      </c>
    </row>
    <row r="1079" customFormat="false" ht="15" hidden="false" customHeight="false" outlineLevel="0" collapsed="false">
      <c r="DB1079" s="0" t="str">
        <f aca="false">IF($A1079="","",IF(AND($A1079=21,$AE1079&amp;""="00000000"),IF($AH1079=20,"病院",IF($AH1079=5,"消防","市長")),"対象外"))</f>
        <v/>
      </c>
    </row>
    <row r="1080" customFormat="false" ht="15" hidden="false" customHeight="false" outlineLevel="0" collapsed="false">
      <c r="DB1080" s="0" t="str">
        <f aca="false">IF($A1080="","",IF(AND($A1080=21,$AE1080&amp;""="00000000"),IF($AH1080=20,"病院",IF($AH1080=5,"消防","市長")),"対象外"))</f>
        <v/>
      </c>
    </row>
    <row r="1081" customFormat="false" ht="15" hidden="false" customHeight="false" outlineLevel="0" collapsed="false">
      <c r="DB1081" s="0" t="str">
        <f aca="false">IF($A1081="","",IF(AND($A1081=21,$AE1081&amp;""="00000000"),IF($AH1081=20,"病院",IF($AH1081=5,"消防","市長")),"対象外"))</f>
        <v/>
      </c>
    </row>
    <row r="1082" customFormat="false" ht="15" hidden="false" customHeight="false" outlineLevel="0" collapsed="false">
      <c r="DB1082" s="0" t="str">
        <f aca="false">IF($A1082="","",IF(AND($A1082=21,$AE1082&amp;""="00000000"),IF($AH1082=20,"病院",IF($AH1082=5,"消防","市長")),"対象外"))</f>
        <v/>
      </c>
    </row>
    <row r="1083" customFormat="false" ht="15" hidden="false" customHeight="false" outlineLevel="0" collapsed="false">
      <c r="DB1083" s="0" t="str">
        <f aca="false">IF($A1083="","",IF(AND($A1083=21,$AE1083&amp;""="00000000"),IF($AH1083=20,"病院",IF($AH1083=5,"消防","市長")),"対象外"))</f>
        <v/>
      </c>
    </row>
    <row r="1084" customFormat="false" ht="15" hidden="false" customHeight="false" outlineLevel="0" collapsed="false">
      <c r="DB1084" s="0" t="str">
        <f aca="false">IF($A1084="","",IF(AND($A1084=21,$AE1084&amp;""="00000000"),IF($AH1084=20,"病院",IF($AH1084=5,"消防","市長")),"対象外"))</f>
        <v/>
      </c>
    </row>
    <row r="1085" customFormat="false" ht="15" hidden="false" customHeight="false" outlineLevel="0" collapsed="false">
      <c r="DB1085" s="0" t="str">
        <f aca="false">IF($A1085="","",IF(AND($A1085=21,$AE1085&amp;""="00000000"),IF($AH1085=20,"病院",IF($AH1085=5,"消防","市長")),"対象外"))</f>
        <v/>
      </c>
    </row>
    <row r="1086" customFormat="false" ht="15" hidden="false" customHeight="false" outlineLevel="0" collapsed="false">
      <c r="DB1086" s="0" t="str">
        <f aca="false">IF($A1086="","",IF(AND($A1086=21,$AE1086&amp;""="00000000"),IF($AH1086=20,"病院",IF($AH1086=5,"消防","市長")),"対象外"))</f>
        <v/>
      </c>
    </row>
    <row r="1087" customFormat="false" ht="15" hidden="false" customHeight="false" outlineLevel="0" collapsed="false">
      <c r="DB1087" s="0" t="str">
        <f aca="false">IF($A1087="","",IF(AND($A1087=21,$AE1087&amp;""="00000000"),IF($AH1087=20,"病院",IF($AH1087=5,"消防","市長")),"対象外"))</f>
        <v/>
      </c>
    </row>
    <row r="1088" customFormat="false" ht="15" hidden="false" customHeight="false" outlineLevel="0" collapsed="false">
      <c r="DB1088" s="0" t="str">
        <f aca="false">IF($A1088="","",IF(AND($A1088=21,$AE1088&amp;""="00000000"),IF($AH1088=20,"病院",IF($AH1088=5,"消防","市長")),"対象外"))</f>
        <v/>
      </c>
    </row>
    <row r="1089" customFormat="false" ht="15" hidden="false" customHeight="false" outlineLevel="0" collapsed="false">
      <c r="DB1089" s="0" t="str">
        <f aca="false">IF($A1089="","",IF(AND($A1089=21,$AE1089&amp;""="00000000"),IF($AH1089=20,"病院",IF($AH1089=5,"消防","市長")),"対象外"))</f>
        <v/>
      </c>
    </row>
    <row r="1090" customFormat="false" ht="15" hidden="false" customHeight="false" outlineLevel="0" collapsed="false">
      <c r="DB1090" s="0" t="str">
        <f aca="false">IF($A1090="","",IF(AND($A1090=21,$AE1090&amp;""="00000000"),IF($AH1090=20,"病院",IF($AH1090=5,"消防","市長")),"対象外"))</f>
        <v/>
      </c>
    </row>
    <row r="1091" customFormat="false" ht="15" hidden="false" customHeight="false" outlineLevel="0" collapsed="false">
      <c r="DB1091" s="0" t="str">
        <f aca="false">IF($A1091="","",IF(AND($A1091=21,$AE1091&amp;""="00000000"),IF($AH1091=20,"病院",IF($AH1091=5,"消防","市長")),"対象外"))</f>
        <v/>
      </c>
    </row>
    <row r="1092" customFormat="false" ht="15" hidden="false" customHeight="false" outlineLevel="0" collapsed="false">
      <c r="DB1092" s="0" t="str">
        <f aca="false">IF($A1092="","",IF(AND($A1092=21,$AE1092&amp;""="00000000"),IF($AH1092=20,"病院",IF($AH1092=5,"消防","市長")),"対象外"))</f>
        <v/>
      </c>
    </row>
    <row r="1093" customFormat="false" ht="15" hidden="false" customHeight="false" outlineLevel="0" collapsed="false">
      <c r="DB1093" s="0" t="str">
        <f aca="false">IF($A1093="","",IF(AND($A1093=21,$AE1093&amp;""="00000000"),IF($AH1093=20,"病院",IF($AH1093=5,"消防","市長")),"対象外"))</f>
        <v/>
      </c>
    </row>
    <row r="1094" customFormat="false" ht="15" hidden="false" customHeight="false" outlineLevel="0" collapsed="false">
      <c r="DB1094" s="0" t="str">
        <f aca="false">IF($A1094="","",IF(AND($A1094=21,$AE1094&amp;""="00000000"),IF($AH1094=20,"病院",IF($AH1094=5,"消防","市長")),"対象外"))</f>
        <v/>
      </c>
    </row>
    <row r="1095" customFormat="false" ht="15" hidden="false" customHeight="false" outlineLevel="0" collapsed="false">
      <c r="DB1095" s="0" t="str">
        <f aca="false">IF($A1095="","",IF(AND($A1095=21,$AE1095&amp;""="00000000"),IF($AH1095=20,"病院",IF($AH1095=5,"消防","市長")),"対象外"))</f>
        <v/>
      </c>
    </row>
    <row r="1096" customFormat="false" ht="15" hidden="false" customHeight="false" outlineLevel="0" collapsed="false">
      <c r="DB1096" s="0" t="str">
        <f aca="false">IF($A1096="","",IF(AND($A1096=21,$AE1096&amp;""="00000000"),IF($AH1096=20,"病院",IF($AH1096=5,"消防","市長")),"対象外"))</f>
        <v/>
      </c>
    </row>
    <row r="1097" customFormat="false" ht="15" hidden="false" customHeight="false" outlineLevel="0" collapsed="false">
      <c r="DB1097" s="0" t="str">
        <f aca="false">IF($A1097="","",IF(AND($A1097=21,$AE1097&amp;""="00000000"),IF($AH1097=20,"病院",IF($AH1097=5,"消防","市長")),"対象外"))</f>
        <v/>
      </c>
    </row>
    <row r="1098" customFormat="false" ht="15" hidden="false" customHeight="false" outlineLevel="0" collapsed="false">
      <c r="DB1098" s="0" t="str">
        <f aca="false">IF($A1098="","",IF(AND($A1098=21,$AE1098&amp;""="00000000"),IF($AH1098=20,"病院",IF($AH1098=5,"消防","市長")),"対象外"))</f>
        <v/>
      </c>
    </row>
    <row r="1099" customFormat="false" ht="15" hidden="false" customHeight="false" outlineLevel="0" collapsed="false">
      <c r="DB1099" s="0" t="str">
        <f aca="false">IF($A1099="","",IF(AND($A1099=21,$AE1099&amp;""="00000000"),IF($AH1099=20,"病院",IF($AH1099=5,"消防","市長")),"対象外"))</f>
        <v/>
      </c>
    </row>
    <row r="1100" customFormat="false" ht="15" hidden="false" customHeight="false" outlineLevel="0" collapsed="false">
      <c r="DB1100" s="0" t="str">
        <f aca="false">IF($A1100="","",IF(AND($A1100=21,$AE1100&amp;""="00000000"),IF($AH1100=20,"病院",IF($AH1100=5,"消防","市長")),"対象外"))</f>
        <v/>
      </c>
    </row>
    <row r="1101" customFormat="false" ht="15" hidden="false" customHeight="false" outlineLevel="0" collapsed="false">
      <c r="DB1101" s="0" t="str">
        <f aca="false">IF($A1101="","",IF(AND($A1101=21,$AE1101&amp;""="00000000"),IF($AH1101=20,"病院",IF($AH1101=5,"消防","市長")),"対象外"))</f>
        <v/>
      </c>
    </row>
    <row r="1102" customFormat="false" ht="15" hidden="false" customHeight="false" outlineLevel="0" collapsed="false">
      <c r="DB1102" s="0" t="str">
        <f aca="false">IF($A1102="","",IF(AND($A1102=21,$AE1102&amp;""="00000000"),IF($AH1102=20,"病院",IF($AH1102=5,"消防","市長")),"対象外"))</f>
        <v/>
      </c>
    </row>
    <row r="1103" customFormat="false" ht="15" hidden="false" customHeight="false" outlineLevel="0" collapsed="false">
      <c r="DB1103" s="0" t="str">
        <f aca="false">IF($A1103="","",IF(AND($A1103=21,$AE1103&amp;""="00000000"),IF($AH1103=20,"病院",IF($AH1103=5,"消防","市長")),"対象外"))</f>
        <v/>
      </c>
    </row>
    <row r="1104" customFormat="false" ht="15" hidden="false" customHeight="false" outlineLevel="0" collapsed="false">
      <c r="DB1104" s="0" t="str">
        <f aca="false">IF($A1104="","",IF(AND($A1104=21,$AE1104&amp;""="00000000"),IF($AH1104=20,"病院",IF($AH1104=5,"消防","市長")),"対象外"))</f>
        <v/>
      </c>
    </row>
    <row r="1105" customFormat="false" ht="15" hidden="false" customHeight="false" outlineLevel="0" collapsed="false">
      <c r="DB1105" s="0" t="str">
        <f aca="false">IF($A1105="","",IF(AND($A1105=21,$AE1105&amp;""="00000000"),IF($AH1105=20,"病院",IF($AH1105=5,"消防","市長")),"対象外"))</f>
        <v/>
      </c>
    </row>
    <row r="1106" customFormat="false" ht="15" hidden="false" customHeight="false" outlineLevel="0" collapsed="false">
      <c r="DB1106" s="0" t="str">
        <f aca="false">IF($A1106="","",IF(AND($A1106=21,$AE1106&amp;""="00000000"),IF($AH1106=20,"病院",IF($AH1106=5,"消防","市長")),"対象外"))</f>
        <v/>
      </c>
    </row>
    <row r="1107" customFormat="false" ht="15" hidden="false" customHeight="false" outlineLevel="0" collapsed="false">
      <c r="DB1107" s="0" t="str">
        <f aca="false">IF($A1107="","",IF(AND($A1107=21,$AE1107&amp;""="00000000"),IF($AH1107=20,"病院",IF($AH1107=5,"消防","市長")),"対象外"))</f>
        <v/>
      </c>
    </row>
    <row r="1108" customFormat="false" ht="15" hidden="false" customHeight="false" outlineLevel="0" collapsed="false">
      <c r="DB1108" s="0" t="str">
        <f aca="false">IF($A1108="","",IF(AND($A1108=21,$AE1108&amp;""="00000000"),IF($AH1108=20,"病院",IF($AH1108=5,"消防","市長")),"対象外"))</f>
        <v/>
      </c>
    </row>
    <row r="1109" customFormat="false" ht="15" hidden="false" customHeight="false" outlineLevel="0" collapsed="false">
      <c r="DB1109" s="0" t="str">
        <f aca="false">IF($A1109="","",IF(AND($A1109=21,$AE1109&amp;""="00000000"),IF($AH1109=20,"病院",IF($AH1109=5,"消防","市長")),"対象外"))</f>
        <v/>
      </c>
    </row>
    <row r="1110" customFormat="false" ht="15" hidden="false" customHeight="false" outlineLevel="0" collapsed="false">
      <c r="DB1110" s="0" t="str">
        <f aca="false">IF($A1110="","",IF(AND($A1110=21,$AE1110&amp;""="00000000"),IF($AH1110=20,"病院",IF($AH1110=5,"消防","市長")),"対象外"))</f>
        <v/>
      </c>
    </row>
    <row r="1111" customFormat="false" ht="15" hidden="false" customHeight="false" outlineLevel="0" collapsed="false">
      <c r="DB1111" s="0" t="str">
        <f aca="false">IF($A1111="","",IF(AND($A1111=21,$AE1111&amp;""="00000000"),IF($AH1111=20,"病院",IF($AH1111=5,"消防","市長")),"対象外"))</f>
        <v/>
      </c>
    </row>
    <row r="1112" customFormat="false" ht="15" hidden="false" customHeight="false" outlineLevel="0" collapsed="false">
      <c r="DB1112" s="0" t="str">
        <f aca="false">IF($A1112="","",IF(AND($A1112=21,$AE1112&amp;""="00000000"),IF($AH1112=20,"病院",IF($AH1112=5,"消防","市長")),"対象外"))</f>
        <v/>
      </c>
    </row>
    <row r="1113" customFormat="false" ht="15" hidden="false" customHeight="false" outlineLevel="0" collapsed="false">
      <c r="DB1113" s="0" t="str">
        <f aca="false">IF($A1113="","",IF(AND($A1113=21,$AE1113&amp;""="00000000"),IF($AH1113=20,"病院",IF($AH1113=5,"消防","市長")),"対象外"))</f>
        <v/>
      </c>
    </row>
    <row r="1114" customFormat="false" ht="15" hidden="false" customHeight="false" outlineLevel="0" collapsed="false">
      <c r="DB1114" s="0" t="str">
        <f aca="false">IF($A1114="","",IF(AND($A1114=21,$AE1114&amp;""="00000000"),IF($AH1114=20,"病院",IF($AH1114=5,"消防","市長")),"対象外"))</f>
        <v/>
      </c>
    </row>
    <row r="1115" customFormat="false" ht="15" hidden="false" customHeight="false" outlineLevel="0" collapsed="false">
      <c r="DB1115" s="0" t="str">
        <f aca="false">IF($A1115="","",IF(AND($A1115=21,$AE1115&amp;""="00000000"),IF($AH1115=20,"病院",IF($AH1115=5,"消防","市長")),"対象外"))</f>
        <v/>
      </c>
    </row>
    <row r="1116" customFormat="false" ht="15" hidden="false" customHeight="false" outlineLevel="0" collapsed="false">
      <c r="DB1116" s="0" t="str">
        <f aca="false">IF($A1116="","",IF(AND($A1116=21,$AE1116&amp;""="00000000"),IF($AH1116=20,"病院",IF($AH1116=5,"消防","市長")),"対象外"))</f>
        <v/>
      </c>
    </row>
    <row r="1117" customFormat="false" ht="15" hidden="false" customHeight="false" outlineLevel="0" collapsed="false">
      <c r="DB1117" s="0" t="str">
        <f aca="false">IF($A1117="","",IF(AND($A1117=21,$AE1117&amp;""="00000000"),IF($AH1117=20,"病院",IF($AH1117=5,"消防","市長")),"対象外"))</f>
        <v/>
      </c>
    </row>
    <row r="1118" customFormat="false" ht="15" hidden="false" customHeight="false" outlineLevel="0" collapsed="false">
      <c r="DB1118" s="0" t="str">
        <f aca="false">IF($A1118="","",IF(AND($A1118=21,$AE1118&amp;""="00000000"),IF($AH1118=20,"病院",IF($AH1118=5,"消防","市長")),"対象外"))</f>
        <v/>
      </c>
    </row>
    <row r="1119" customFormat="false" ht="15" hidden="false" customHeight="false" outlineLevel="0" collapsed="false">
      <c r="DB1119" s="0" t="str">
        <f aca="false">IF($A1119="","",IF(AND($A1119=21,$AE1119&amp;""="00000000"),IF($AH1119=20,"病院",IF($AH1119=5,"消防","市長")),"対象外"))</f>
        <v/>
      </c>
    </row>
    <row r="1120" customFormat="false" ht="15" hidden="false" customHeight="false" outlineLevel="0" collapsed="false">
      <c r="DB1120" s="0" t="str">
        <f aca="false">IF($A1120="","",IF(AND($A1120=21,$AE1120&amp;""="00000000"),IF($AH1120=20,"病院",IF($AH1120=5,"消防","市長")),"対象外"))</f>
        <v/>
      </c>
    </row>
    <row r="1121" customFormat="false" ht="15" hidden="false" customHeight="false" outlineLevel="0" collapsed="false">
      <c r="DB1121" s="0" t="str">
        <f aca="false">IF($A1121="","",IF(AND($A1121=21,$AE1121&amp;""="00000000"),IF($AH1121=20,"病院",IF($AH1121=5,"消防","市長")),"対象外"))</f>
        <v/>
      </c>
    </row>
    <row r="1122" customFormat="false" ht="15" hidden="false" customHeight="false" outlineLevel="0" collapsed="false">
      <c r="DB1122" s="0" t="str">
        <f aca="false">IF($A1122="","",IF(AND($A1122=21,$AE1122&amp;""="00000000"),IF($AH1122=20,"病院",IF($AH1122=5,"消防","市長")),"対象外"))</f>
        <v/>
      </c>
    </row>
    <row r="1123" customFormat="false" ht="15" hidden="false" customHeight="false" outlineLevel="0" collapsed="false">
      <c r="DB1123" s="0" t="str">
        <f aca="false">IF($A1123="","",IF(AND($A1123=21,$AE1123&amp;""="00000000"),IF($AH1123=20,"病院",IF($AH1123=5,"消防","市長")),"対象外"))</f>
        <v/>
      </c>
    </row>
    <row r="1124" customFormat="false" ht="15" hidden="false" customHeight="false" outlineLevel="0" collapsed="false">
      <c r="DB1124" s="0" t="str">
        <f aca="false">IF($A1124="","",IF(AND($A1124=21,$AE1124&amp;""="00000000"),IF($AH1124=20,"病院",IF($AH1124=5,"消防","市長")),"対象外"))</f>
        <v/>
      </c>
    </row>
    <row r="1125" customFormat="false" ht="15" hidden="false" customHeight="false" outlineLevel="0" collapsed="false">
      <c r="DB1125" s="0" t="str">
        <f aca="false">IF($A1125="","",IF(AND($A1125=21,$AE1125&amp;""="00000000"),IF($AH1125=20,"病院",IF($AH1125=5,"消防","市長")),"対象外"))</f>
        <v/>
      </c>
    </row>
    <row r="1126" customFormat="false" ht="15" hidden="false" customHeight="false" outlineLevel="0" collapsed="false">
      <c r="DB1126" s="0" t="str">
        <f aca="false">IF($A1126="","",IF(AND($A1126=21,$AE1126&amp;""="00000000"),IF($AH1126=20,"病院",IF($AH1126=5,"消防","市長")),"対象外"))</f>
        <v/>
      </c>
    </row>
    <row r="1127" customFormat="false" ht="15" hidden="false" customHeight="false" outlineLevel="0" collapsed="false">
      <c r="DB1127" s="0" t="str">
        <f aca="false">IF($A1127="","",IF(AND($A1127=21,$AE1127&amp;""="00000000"),IF($AH1127=20,"病院",IF($AH1127=5,"消防","市長")),"対象外"))</f>
        <v/>
      </c>
    </row>
    <row r="1128" customFormat="false" ht="15" hidden="false" customHeight="false" outlineLevel="0" collapsed="false">
      <c r="DB1128" s="0" t="str">
        <f aca="false">IF($A1128="","",IF(AND($A1128=21,$AE1128&amp;""="00000000"),IF($AH1128=20,"病院",IF($AH1128=5,"消防","市長")),"対象外"))</f>
        <v/>
      </c>
    </row>
    <row r="1129" customFormat="false" ht="15" hidden="false" customHeight="false" outlineLevel="0" collapsed="false">
      <c r="DB1129" s="0" t="str">
        <f aca="false">IF($A1129="","",IF(AND($A1129=21,$AE1129&amp;""="00000000"),IF($AH1129=20,"病院",IF($AH1129=5,"消防","市長")),"対象外"))</f>
        <v/>
      </c>
    </row>
    <row r="1130" customFormat="false" ht="15" hidden="false" customHeight="false" outlineLevel="0" collapsed="false">
      <c r="DB1130" s="0" t="str">
        <f aca="false">IF($A1130="","",IF(AND($A1130=21,$AE1130&amp;""="00000000"),IF($AH1130=20,"病院",IF($AH1130=5,"消防","市長")),"対象外"))</f>
        <v/>
      </c>
    </row>
    <row r="1131" customFormat="false" ht="15" hidden="false" customHeight="false" outlineLevel="0" collapsed="false">
      <c r="DB1131" s="0" t="str">
        <f aca="false">IF($A1131="","",IF(AND($A1131=21,$AE1131&amp;""="00000000"),IF($AH1131=20,"病院",IF($AH1131=5,"消防","市長")),"対象外"))</f>
        <v/>
      </c>
    </row>
    <row r="1132" customFormat="false" ht="15" hidden="false" customHeight="false" outlineLevel="0" collapsed="false">
      <c r="DB1132" s="0" t="str">
        <f aca="false">IF($A1132="","",IF(AND($A1132=21,$AE1132&amp;""="00000000"),IF($AH1132=20,"病院",IF($AH1132=5,"消防","市長")),"対象外"))</f>
        <v/>
      </c>
    </row>
    <row r="1133" customFormat="false" ht="15" hidden="false" customHeight="false" outlineLevel="0" collapsed="false">
      <c r="DB1133" s="0" t="str">
        <f aca="false">IF($A1133="","",IF(AND($A1133=21,$AE1133&amp;""="00000000"),IF($AH1133=20,"病院",IF($AH1133=5,"消防","市長")),"対象外"))</f>
        <v/>
      </c>
    </row>
    <row r="1134" customFormat="false" ht="15" hidden="false" customHeight="false" outlineLevel="0" collapsed="false">
      <c r="DB1134" s="0" t="str">
        <f aca="false">IF($A1134="","",IF(AND($A1134=21,$AE1134&amp;""="00000000"),IF($AH1134=20,"病院",IF($AH1134=5,"消防","市長")),"対象外"))</f>
        <v/>
      </c>
    </row>
    <row r="1135" customFormat="false" ht="15" hidden="false" customHeight="false" outlineLevel="0" collapsed="false">
      <c r="DB1135" s="0" t="str">
        <f aca="false">IF($A1135="","",IF(AND($A1135=21,$AE1135&amp;""="00000000"),IF($AH1135=20,"病院",IF($AH1135=5,"消防","市長")),"対象外"))</f>
        <v/>
      </c>
    </row>
    <row r="1136" customFormat="false" ht="15" hidden="false" customHeight="false" outlineLevel="0" collapsed="false">
      <c r="DB1136" s="0" t="str">
        <f aca="false">IF($A1136="","",IF(AND($A1136=21,$AE1136&amp;""="00000000"),IF($AH1136=20,"病院",IF($AH1136=5,"消防","市長")),"対象外"))</f>
        <v/>
      </c>
    </row>
    <row r="1137" customFormat="false" ht="15" hidden="false" customHeight="false" outlineLevel="0" collapsed="false">
      <c r="DB1137" s="0" t="str">
        <f aca="false">IF($A1137="","",IF(AND($A1137=21,$AE1137&amp;""="00000000"),IF($AH1137=20,"病院",IF($AH1137=5,"消防","市長")),"対象外"))</f>
        <v/>
      </c>
    </row>
    <row r="1138" customFormat="false" ht="15" hidden="false" customHeight="false" outlineLevel="0" collapsed="false">
      <c r="DB1138" s="0" t="str">
        <f aca="false">IF($A1138="","",IF(AND($A1138=21,$AE1138&amp;""="00000000"),IF($AH1138=20,"病院",IF($AH1138=5,"消防","市長")),"対象外"))</f>
        <v/>
      </c>
    </row>
    <row r="1139" customFormat="false" ht="15" hidden="false" customHeight="false" outlineLevel="0" collapsed="false">
      <c r="DB1139" s="0" t="str">
        <f aca="false">IF($A1139="","",IF(AND($A1139=21,$AE1139&amp;""="00000000"),IF($AH1139=20,"病院",IF($AH1139=5,"消防","市長")),"対象外"))</f>
        <v/>
      </c>
    </row>
    <row r="1140" customFormat="false" ht="15" hidden="false" customHeight="false" outlineLevel="0" collapsed="false">
      <c r="DB1140" s="0" t="str">
        <f aca="false">IF($A1140="","",IF(AND($A1140=21,$AE1140&amp;""="00000000"),IF($AH1140=20,"病院",IF($AH1140=5,"消防","市長")),"対象外"))</f>
        <v/>
      </c>
    </row>
    <row r="1141" customFormat="false" ht="15" hidden="false" customHeight="false" outlineLevel="0" collapsed="false">
      <c r="DB1141" s="0" t="str">
        <f aca="false">IF($A1141="","",IF(AND($A1141=21,$AE1141&amp;""="00000000"),IF($AH1141=20,"病院",IF($AH1141=5,"消防","市長")),"対象外"))</f>
        <v/>
      </c>
    </row>
    <row r="1142" customFormat="false" ht="15" hidden="false" customHeight="false" outlineLevel="0" collapsed="false">
      <c r="DB1142" s="0" t="str">
        <f aca="false">IF($A1142="","",IF(AND($A1142=21,$AE1142&amp;""="00000000"),IF($AH1142=20,"病院",IF($AH1142=5,"消防","市長")),"対象外"))</f>
        <v/>
      </c>
    </row>
    <row r="1143" customFormat="false" ht="15" hidden="false" customHeight="false" outlineLevel="0" collapsed="false">
      <c r="DB1143" s="0" t="str">
        <f aca="false">IF($A1143="","",IF(AND($A1143=21,$AE1143&amp;""="00000000"),IF($AH1143=20,"病院",IF($AH1143=5,"消防","市長")),"対象外"))</f>
        <v/>
      </c>
    </row>
    <row r="1144" customFormat="false" ht="15" hidden="false" customHeight="false" outlineLevel="0" collapsed="false">
      <c r="DB1144" s="0" t="str">
        <f aca="false">IF($A1144="","",IF(AND($A1144=21,$AE1144&amp;""="00000000"),IF($AH1144=20,"病院",IF($AH1144=5,"消防","市長")),"対象外"))</f>
        <v/>
      </c>
    </row>
    <row r="1145" customFormat="false" ht="15" hidden="false" customHeight="false" outlineLevel="0" collapsed="false">
      <c r="DB1145" s="0" t="str">
        <f aca="false">IF($A1145="","",IF(AND($A1145=21,$AE1145&amp;""="00000000"),IF($AH1145=20,"病院",IF($AH1145=5,"消防","市長")),"対象外"))</f>
        <v/>
      </c>
    </row>
    <row r="1146" customFormat="false" ht="15" hidden="false" customHeight="false" outlineLevel="0" collapsed="false">
      <c r="DB1146" s="0" t="str">
        <f aca="false">IF($A1146="","",IF(AND($A1146=21,$AE1146&amp;""="00000000"),IF($AH1146=20,"病院",IF($AH1146=5,"消防","市長")),"対象外"))</f>
        <v/>
      </c>
    </row>
    <row r="1147" customFormat="false" ht="15" hidden="false" customHeight="false" outlineLevel="0" collapsed="false">
      <c r="DB1147" s="0" t="str">
        <f aca="false">IF($A1147="","",IF(AND($A1147=21,$AE1147&amp;""="00000000"),IF($AH1147=20,"病院",IF($AH1147=5,"消防","市長")),"対象外"))</f>
        <v/>
      </c>
    </row>
    <row r="1148" customFormat="false" ht="15" hidden="false" customHeight="false" outlineLevel="0" collapsed="false">
      <c r="DB1148" s="0" t="str">
        <f aca="false">IF($A1148="","",IF(AND($A1148=21,$AE1148&amp;""="00000000"),IF($AH1148=20,"病院",IF($AH1148=5,"消防","市長")),"対象外"))</f>
        <v/>
      </c>
    </row>
    <row r="1149" customFormat="false" ht="15" hidden="false" customHeight="false" outlineLevel="0" collapsed="false">
      <c r="DB1149" s="0" t="str">
        <f aca="false">IF($A1149="","",IF(AND($A1149=21,$AE1149&amp;""="00000000"),IF($AH1149=20,"病院",IF($AH1149=5,"消防","市長")),"対象外"))</f>
        <v/>
      </c>
    </row>
    <row r="1150" customFormat="false" ht="15" hidden="false" customHeight="false" outlineLevel="0" collapsed="false">
      <c r="DB1150" s="0" t="str">
        <f aca="false">IF($A1150="","",IF(AND($A1150=21,$AE1150&amp;""="00000000"),IF($AH1150=20,"病院",IF($AH1150=5,"消防","市長")),"対象外"))</f>
        <v/>
      </c>
    </row>
    <row r="1151" customFormat="false" ht="15" hidden="false" customHeight="false" outlineLevel="0" collapsed="false">
      <c r="DB1151" s="0" t="str">
        <f aca="false">IF($A1151="","",IF(AND($A1151=21,$AE1151&amp;""="00000000"),IF($AH1151=20,"病院",IF($AH1151=5,"消防","市長")),"対象外"))</f>
        <v/>
      </c>
    </row>
    <row r="1152" customFormat="false" ht="15" hidden="false" customHeight="false" outlineLevel="0" collapsed="false">
      <c r="DB1152" s="0" t="str">
        <f aca="false">IF($A1152="","",IF(AND($A1152=21,$AE1152&amp;""="00000000"),IF($AH1152=20,"病院",IF($AH1152=5,"消防","市長")),"対象外"))</f>
        <v/>
      </c>
    </row>
    <row r="1153" customFormat="false" ht="15" hidden="false" customHeight="false" outlineLevel="0" collapsed="false">
      <c r="DB1153" s="0" t="str">
        <f aca="false">IF($A1153="","",IF(AND($A1153=21,$AE1153&amp;""="00000000"),IF($AH1153=20,"病院",IF($AH1153=5,"消防","市長")),"対象外"))</f>
        <v/>
      </c>
    </row>
    <row r="1154" customFormat="false" ht="15" hidden="false" customHeight="false" outlineLevel="0" collapsed="false">
      <c r="DB1154" s="0" t="str">
        <f aca="false">IF($A1154="","",IF(AND($A1154=21,$AE1154&amp;""="00000000"),IF($AH1154=20,"病院",IF($AH1154=5,"消防","市長")),"対象外"))</f>
        <v/>
      </c>
    </row>
    <row r="1155" customFormat="false" ht="15" hidden="false" customHeight="false" outlineLevel="0" collapsed="false">
      <c r="DB1155" s="0" t="str">
        <f aca="false">IF($A1155="","",IF(AND($A1155=21,$AE1155&amp;""="00000000"),IF($AH1155=20,"病院",IF($AH1155=5,"消防","市長")),"対象外"))</f>
        <v/>
      </c>
    </row>
    <row r="1156" customFormat="false" ht="15" hidden="false" customHeight="false" outlineLevel="0" collapsed="false">
      <c r="DB1156" s="0" t="str">
        <f aca="false">IF($A1156="","",IF(AND($A1156=21,$AE1156&amp;""="00000000"),IF($AH1156=20,"病院",IF($AH1156=5,"消防","市長")),"対象外"))</f>
        <v/>
      </c>
    </row>
    <row r="1157" customFormat="false" ht="15" hidden="false" customHeight="false" outlineLevel="0" collapsed="false">
      <c r="DB1157" s="0" t="str">
        <f aca="false">IF($A1157="","",IF(AND($A1157=21,$AE1157&amp;""="00000000"),IF($AH1157=20,"病院",IF($AH1157=5,"消防","市長")),"対象外"))</f>
        <v/>
      </c>
    </row>
    <row r="1158" customFormat="false" ht="15" hidden="false" customHeight="false" outlineLevel="0" collapsed="false">
      <c r="DB1158" s="0" t="str">
        <f aca="false">IF($A1158="","",IF(AND($A1158=21,$AE1158&amp;""="00000000"),IF($AH1158=20,"病院",IF($AH1158=5,"消防","市長")),"対象外"))</f>
        <v/>
      </c>
    </row>
    <row r="1159" customFormat="false" ht="15" hidden="false" customHeight="false" outlineLevel="0" collapsed="false">
      <c r="DB1159" s="0" t="str">
        <f aca="false">IF($A1159="","",IF(AND($A1159=21,$AE1159&amp;""="00000000"),IF($AH1159=20,"病院",IF($AH1159=5,"消防","市長")),"対象外"))</f>
        <v/>
      </c>
    </row>
    <row r="1160" customFormat="false" ht="15" hidden="false" customHeight="false" outlineLevel="0" collapsed="false">
      <c r="DB1160" s="0" t="str">
        <f aca="false">IF($A1160="","",IF(AND($A1160=21,$AE1160&amp;""="00000000"),IF($AH1160=20,"病院",IF($AH1160=5,"消防","市長")),"対象外"))</f>
        <v/>
      </c>
    </row>
    <row r="1161" customFormat="false" ht="15" hidden="false" customHeight="false" outlineLevel="0" collapsed="false">
      <c r="DB1161" s="0" t="str">
        <f aca="false">IF($A1161="","",IF(AND($A1161=21,$AE1161&amp;""="00000000"),IF($AH1161=20,"病院",IF($AH1161=5,"消防","市長")),"対象外"))</f>
        <v/>
      </c>
    </row>
    <row r="1162" customFormat="false" ht="15" hidden="false" customHeight="false" outlineLevel="0" collapsed="false">
      <c r="DB1162" s="0" t="str">
        <f aca="false">IF($A1162="","",IF(AND($A1162=21,$AE1162&amp;""="00000000"),IF($AH1162=20,"病院",IF($AH1162=5,"消防","市長")),"対象外"))</f>
        <v/>
      </c>
    </row>
    <row r="1163" customFormat="false" ht="15" hidden="false" customHeight="false" outlineLevel="0" collapsed="false">
      <c r="DB1163" s="0" t="str">
        <f aca="false">IF($A1163="","",IF(AND($A1163=21,$AE1163&amp;""="00000000"),IF($AH1163=20,"病院",IF($AH1163=5,"消防","市長")),"対象外"))</f>
        <v/>
      </c>
    </row>
    <row r="1164" customFormat="false" ht="15" hidden="false" customHeight="false" outlineLevel="0" collapsed="false">
      <c r="DB1164" s="0" t="str">
        <f aca="false">IF($A1164="","",IF(AND($A1164=21,$AE1164&amp;""="00000000"),IF($AH1164=20,"病院",IF($AH1164=5,"消防","市長")),"対象外"))</f>
        <v/>
      </c>
    </row>
    <row r="1165" customFormat="false" ht="15" hidden="false" customHeight="false" outlineLevel="0" collapsed="false">
      <c r="DB1165" s="0" t="str">
        <f aca="false">IF($A1165="","",IF(AND($A1165=21,$AE1165&amp;""="00000000"),IF($AH1165=20,"病院",IF($AH1165=5,"消防","市長")),"対象外"))</f>
        <v/>
      </c>
    </row>
    <row r="1166" customFormat="false" ht="15" hidden="false" customHeight="false" outlineLevel="0" collapsed="false">
      <c r="DB1166" s="0" t="str">
        <f aca="false">IF($A1166="","",IF(AND($A1166=21,$AE1166&amp;""="00000000"),IF($AH1166=20,"病院",IF($AH1166=5,"消防","市長")),"対象外"))</f>
        <v/>
      </c>
    </row>
    <row r="1167" customFormat="false" ht="15" hidden="false" customHeight="false" outlineLevel="0" collapsed="false">
      <c r="DB1167" s="0" t="str">
        <f aca="false">IF($A1167="","",IF(AND($A1167=21,$AE1167&amp;""="00000000"),IF($AH1167=20,"病院",IF($AH1167=5,"消防","市長")),"対象外"))</f>
        <v/>
      </c>
    </row>
    <row r="1168" customFormat="false" ht="15" hidden="false" customHeight="false" outlineLevel="0" collapsed="false">
      <c r="DB1168" s="0" t="str">
        <f aca="false">IF($A1168="","",IF(AND($A1168=21,$AE1168&amp;""="00000000"),IF($AH1168=20,"病院",IF($AH1168=5,"消防","市長")),"対象外"))</f>
        <v/>
      </c>
    </row>
    <row r="1169" customFormat="false" ht="15" hidden="false" customHeight="false" outlineLevel="0" collapsed="false">
      <c r="DB1169" s="0" t="str">
        <f aca="false">IF($A1169="","",IF(AND($A1169=21,$AE1169&amp;""="00000000"),IF($AH1169=20,"病院",IF($AH1169=5,"消防","市長")),"対象外"))</f>
        <v/>
      </c>
    </row>
    <row r="1170" customFormat="false" ht="15" hidden="false" customHeight="false" outlineLevel="0" collapsed="false">
      <c r="DB1170" s="0" t="str">
        <f aca="false">IF($A1170="","",IF(AND($A1170=21,$AE1170&amp;""="00000000"),IF($AH1170=20,"病院",IF($AH1170=5,"消防","市長")),"対象外"))</f>
        <v/>
      </c>
    </row>
    <row r="1171" customFormat="false" ht="15" hidden="false" customHeight="false" outlineLevel="0" collapsed="false">
      <c r="DB1171" s="0" t="str">
        <f aca="false">IF($A1171="","",IF(AND($A1171=21,$AE1171&amp;""="00000000"),IF($AH1171=20,"病院",IF($AH1171=5,"消防","市長")),"対象外"))</f>
        <v/>
      </c>
    </row>
    <row r="1172" customFormat="false" ht="15" hidden="false" customHeight="false" outlineLevel="0" collapsed="false">
      <c r="DB1172" s="0" t="str">
        <f aca="false">IF($A1172="","",IF(AND($A1172=21,$AE1172&amp;""="00000000"),IF($AH1172=20,"病院",IF($AH1172=5,"消防","市長")),"対象外"))</f>
        <v/>
      </c>
    </row>
    <row r="1173" customFormat="false" ht="15" hidden="false" customHeight="false" outlineLevel="0" collapsed="false">
      <c r="DB1173" s="0" t="str">
        <f aca="false">IF($A1173="","",IF(AND($A1173=21,$AE1173&amp;""="00000000"),IF($AH1173=20,"病院",IF($AH1173=5,"消防","市長")),"対象外"))</f>
        <v/>
      </c>
    </row>
    <row r="1174" customFormat="false" ht="15" hidden="false" customHeight="false" outlineLevel="0" collapsed="false">
      <c r="DB1174" s="0" t="str">
        <f aca="false">IF($A1174="","",IF(AND($A1174=21,$AE1174&amp;""="00000000"),IF($AH1174=20,"病院",IF($AH1174=5,"消防","市長")),"対象外"))</f>
        <v/>
      </c>
    </row>
    <row r="1175" customFormat="false" ht="15" hidden="false" customHeight="false" outlineLevel="0" collapsed="false">
      <c r="DB1175" s="0" t="str">
        <f aca="false">IF($A1175="","",IF(AND($A1175=21,$AE1175&amp;""="00000000"),IF($AH1175=20,"病院",IF($AH1175=5,"消防","市長")),"対象外"))</f>
        <v/>
      </c>
    </row>
    <row r="1176" customFormat="false" ht="15" hidden="false" customHeight="false" outlineLevel="0" collapsed="false">
      <c r="DB1176" s="0" t="str">
        <f aca="false">IF($A1176="","",IF(AND($A1176=21,$AE1176&amp;""="00000000"),IF($AH1176=20,"病院",IF($AH1176=5,"消防","市長")),"対象外"))</f>
        <v/>
      </c>
    </row>
    <row r="1177" customFormat="false" ht="15" hidden="false" customHeight="false" outlineLevel="0" collapsed="false">
      <c r="DB1177" s="0" t="str">
        <f aca="false">IF($A1177="","",IF(AND($A1177=21,$AE1177&amp;""="00000000"),IF($AH1177=20,"病院",IF($AH1177=5,"消防","市長")),"対象外"))</f>
        <v/>
      </c>
    </row>
    <row r="1178" customFormat="false" ht="15" hidden="false" customHeight="false" outlineLevel="0" collapsed="false">
      <c r="DB1178" s="0" t="str">
        <f aca="false">IF($A1178="","",IF(AND($A1178=21,$AE1178&amp;""="00000000"),IF($AH1178=20,"病院",IF($AH1178=5,"消防","市長")),"対象外"))</f>
        <v/>
      </c>
    </row>
    <row r="1179" customFormat="false" ht="15" hidden="false" customHeight="false" outlineLevel="0" collapsed="false">
      <c r="DB1179" s="0" t="str">
        <f aca="false">IF($A1179="","",IF(AND($A1179=21,$AE1179&amp;""="00000000"),IF($AH1179=20,"病院",IF($AH1179=5,"消防","市長")),"対象外"))</f>
        <v/>
      </c>
    </row>
    <row r="1180" customFormat="false" ht="15" hidden="false" customHeight="false" outlineLevel="0" collapsed="false">
      <c r="DB1180" s="0" t="str">
        <f aca="false">IF($A1180="","",IF(AND($A1180=21,$AE1180&amp;""="00000000"),IF($AH1180=20,"病院",IF($AH1180=5,"消防","市長")),"対象外"))</f>
        <v/>
      </c>
    </row>
    <row r="1181" customFormat="false" ht="15" hidden="false" customHeight="false" outlineLevel="0" collapsed="false">
      <c r="DB1181" s="0" t="str">
        <f aca="false">IF($A1181="","",IF(AND($A1181=21,$AE1181&amp;""="00000000"),IF($AH1181=20,"病院",IF($AH1181=5,"消防","市長")),"対象外"))</f>
        <v/>
      </c>
    </row>
    <row r="1182" customFormat="false" ht="15" hidden="false" customHeight="false" outlineLevel="0" collapsed="false">
      <c r="DB1182" s="0" t="str">
        <f aca="false">IF($A1182="","",IF(AND($A1182=21,$AE1182&amp;""="00000000"),IF($AH1182=20,"病院",IF($AH1182=5,"消防","市長")),"対象外"))</f>
        <v/>
      </c>
    </row>
    <row r="1183" customFormat="false" ht="15" hidden="false" customHeight="false" outlineLevel="0" collapsed="false">
      <c r="DB1183" s="0" t="str">
        <f aca="false">IF($A1183="","",IF(AND($A1183=21,$AE1183&amp;""="00000000"),IF($AH1183=20,"病院",IF($AH1183=5,"消防","市長")),"対象外"))</f>
        <v/>
      </c>
    </row>
    <row r="1184" customFormat="false" ht="15" hidden="false" customHeight="false" outlineLevel="0" collapsed="false">
      <c r="DB1184" s="0" t="str">
        <f aca="false">IF($A1184="","",IF(AND($A1184=21,$AE1184&amp;""="00000000"),IF($AH1184=20,"病院",IF($AH1184=5,"消防","市長")),"対象外"))</f>
        <v/>
      </c>
    </row>
    <row r="1185" customFormat="false" ht="15" hidden="false" customHeight="false" outlineLevel="0" collapsed="false">
      <c r="DB1185" s="0" t="str">
        <f aca="false">IF($A1185="","",IF(AND($A1185=21,$AE1185&amp;""="00000000"),IF($AH1185=20,"病院",IF($AH1185=5,"消防","市長")),"対象外"))</f>
        <v/>
      </c>
    </row>
    <row r="1186" customFormat="false" ht="15" hidden="false" customHeight="false" outlineLevel="0" collapsed="false">
      <c r="DB1186" s="0" t="str">
        <f aca="false">IF($A1186="","",IF(AND($A1186=21,$AE1186&amp;""="00000000"),IF($AH1186=20,"病院",IF($AH1186=5,"消防","市長")),"対象外"))</f>
        <v/>
      </c>
    </row>
    <row r="1187" customFormat="false" ht="15" hidden="false" customHeight="false" outlineLevel="0" collapsed="false">
      <c r="DB1187" s="0" t="str">
        <f aca="false">IF($A1187="","",IF(AND($A1187=21,$AE1187&amp;""="00000000"),IF($AH1187=20,"病院",IF($AH1187=5,"消防","市長")),"対象外"))</f>
        <v/>
      </c>
    </row>
    <row r="1188" customFormat="false" ht="15" hidden="false" customHeight="false" outlineLevel="0" collapsed="false">
      <c r="DB1188" s="0" t="str">
        <f aca="false">IF($A1188="","",IF(AND($A1188=21,$AE1188&amp;""="00000000"),IF($AH1188=20,"病院",IF($AH1188=5,"消防","市長")),"対象外"))</f>
        <v/>
      </c>
    </row>
    <row r="1189" customFormat="false" ht="15" hidden="false" customHeight="false" outlineLevel="0" collapsed="false">
      <c r="DB1189" s="0" t="str">
        <f aca="false">IF($A1189="","",IF(AND($A1189=21,$AE1189&amp;""="00000000"),IF($AH1189=20,"病院",IF($AH1189=5,"消防","市長")),"対象外"))</f>
        <v/>
      </c>
    </row>
    <row r="1190" customFormat="false" ht="15" hidden="false" customHeight="false" outlineLevel="0" collapsed="false">
      <c r="DB1190" s="0" t="str">
        <f aca="false">IF($A1190="","",IF(AND($A1190=21,$AE1190&amp;""="00000000"),IF($AH1190=20,"病院",IF($AH1190=5,"消防","市長")),"対象外"))</f>
        <v/>
      </c>
    </row>
    <row r="1191" customFormat="false" ht="15" hidden="false" customHeight="false" outlineLevel="0" collapsed="false">
      <c r="DB1191" s="0" t="str">
        <f aca="false">IF($A1191="","",IF(AND($A1191=21,$AE1191&amp;""="00000000"),IF($AH1191=20,"病院",IF($AH1191=5,"消防","市長")),"対象外"))</f>
        <v/>
      </c>
    </row>
    <row r="1192" customFormat="false" ht="15" hidden="false" customHeight="false" outlineLevel="0" collapsed="false">
      <c r="DB1192" s="0" t="str">
        <f aca="false">IF($A1192="","",IF(AND($A1192=21,$AE1192&amp;""="00000000"),IF($AH1192=20,"病院",IF($AH1192=5,"消防","市長")),"対象外"))</f>
        <v/>
      </c>
    </row>
    <row r="1193" customFormat="false" ht="15" hidden="false" customHeight="false" outlineLevel="0" collapsed="false">
      <c r="DB1193" s="0" t="str">
        <f aca="false">IF($A1193="","",IF(AND($A1193=21,$AE1193&amp;""="00000000"),IF($AH1193=20,"病院",IF($AH1193=5,"消防","市長")),"対象外"))</f>
        <v/>
      </c>
    </row>
    <row r="1194" customFormat="false" ht="15" hidden="false" customHeight="false" outlineLevel="0" collapsed="false">
      <c r="DB1194" s="0" t="str">
        <f aca="false">IF($A1194="","",IF(AND($A1194=21,$AE1194&amp;""="00000000"),IF($AH1194=20,"病院",IF($AH1194=5,"消防","市長")),"対象外"))</f>
        <v/>
      </c>
    </row>
    <row r="1195" customFormat="false" ht="15" hidden="false" customHeight="false" outlineLevel="0" collapsed="false">
      <c r="DB1195" s="0" t="str">
        <f aca="false">IF($A1195="","",IF(AND($A1195=21,$AE1195&amp;""="00000000"),IF($AH1195=20,"病院",IF($AH1195=5,"消防","市長")),"対象外"))</f>
        <v/>
      </c>
    </row>
    <row r="1196" customFormat="false" ht="15" hidden="false" customHeight="false" outlineLevel="0" collapsed="false">
      <c r="DB1196" s="0" t="str">
        <f aca="false">IF($A1196="","",IF(AND($A1196=21,$AE1196&amp;""="00000000"),IF($AH1196=20,"病院",IF($AH1196=5,"消防","市長")),"対象外"))</f>
        <v/>
      </c>
    </row>
    <row r="1197" customFormat="false" ht="15" hidden="false" customHeight="false" outlineLevel="0" collapsed="false">
      <c r="DB1197" s="0" t="str">
        <f aca="false">IF($A1197="","",IF(AND($A1197=21,$AE1197&amp;""="00000000"),IF($AH1197=20,"病院",IF($AH1197=5,"消防","市長")),"対象外"))</f>
        <v/>
      </c>
    </row>
    <row r="1198" customFormat="false" ht="15" hidden="false" customHeight="false" outlineLevel="0" collapsed="false">
      <c r="DB1198" s="0" t="str">
        <f aca="false">IF($A1198="","",IF(AND($A1198=21,$AE1198&amp;""="00000000"),IF($AH1198=20,"病院",IF($AH1198=5,"消防","市長")),"対象外"))</f>
        <v/>
      </c>
    </row>
    <row r="1199" customFormat="false" ht="15" hidden="false" customHeight="false" outlineLevel="0" collapsed="false">
      <c r="DB1199" s="0" t="str">
        <f aca="false">IF($A1199="","",IF(AND($A1199=21,$AE1199&amp;""="00000000"),IF($AH1199=20,"病院",IF($AH1199=5,"消防","市長")),"対象外"))</f>
        <v/>
      </c>
    </row>
    <row r="1200" customFormat="false" ht="15" hidden="false" customHeight="false" outlineLevel="0" collapsed="false">
      <c r="DB1200" s="0" t="str">
        <f aca="false">IF($A1200="","",IF(AND($A1200=21,$AE1200&amp;""="00000000"),IF($AH1200=20,"病院",IF($AH1200=5,"消防","市長")),"対象外"))</f>
        <v/>
      </c>
    </row>
    <row r="1201" customFormat="false" ht="15" hidden="false" customHeight="false" outlineLevel="0" collapsed="false">
      <c r="DB1201" s="0" t="str">
        <f aca="false">IF($A1201="","",IF(AND($A1201=21,$AE1201&amp;""="00000000"),IF($AH1201=20,"病院",IF($AH1201=5,"消防","市長")),"対象外"))</f>
        <v/>
      </c>
    </row>
    <row r="1202" customFormat="false" ht="15" hidden="false" customHeight="false" outlineLevel="0" collapsed="false">
      <c r="DB1202" s="0" t="str">
        <f aca="false">IF($A1202="","",IF(AND($A1202=21,$AE1202&amp;""="00000000"),IF($AH1202=20,"病院",IF($AH1202=5,"消防","市長")),"対象外"))</f>
        <v/>
      </c>
    </row>
    <row r="1203" customFormat="false" ht="15" hidden="false" customHeight="false" outlineLevel="0" collapsed="false">
      <c r="DB1203" s="0" t="str">
        <f aca="false">IF($A1203="","",IF(AND($A1203=21,$AE1203&amp;""="00000000"),IF($AH1203=20,"病院",IF($AH1203=5,"消防","市長")),"対象外"))</f>
        <v/>
      </c>
    </row>
    <row r="1204" customFormat="false" ht="15" hidden="false" customHeight="false" outlineLevel="0" collapsed="false">
      <c r="DB1204" s="0" t="str">
        <f aca="false">IF($A1204="","",IF(AND($A1204=21,$AE1204&amp;""="00000000"),IF($AH1204=20,"病院",IF($AH1204=5,"消防","市長")),"対象外"))</f>
        <v/>
      </c>
    </row>
    <row r="1205" customFormat="false" ht="15" hidden="false" customHeight="false" outlineLevel="0" collapsed="false">
      <c r="DB1205" s="0" t="str">
        <f aca="false">IF($A1205="","",IF(AND($A1205=21,$AE1205&amp;""="00000000"),IF($AH1205=20,"病院",IF($AH1205=5,"消防","市長")),"対象外"))</f>
        <v/>
      </c>
    </row>
    <row r="1206" customFormat="false" ht="15" hidden="false" customHeight="false" outlineLevel="0" collapsed="false">
      <c r="DB1206" s="0" t="str">
        <f aca="false">IF($A1206="","",IF(AND($A1206=21,$AE1206&amp;""="00000000"),IF($AH1206=20,"病院",IF($AH1206=5,"消防","市長")),"対象外"))</f>
        <v/>
      </c>
    </row>
    <row r="1207" customFormat="false" ht="15" hidden="false" customHeight="false" outlineLevel="0" collapsed="false">
      <c r="DB1207" s="0" t="str">
        <f aca="false">IF($A1207="","",IF(AND($A1207=21,$AE1207&amp;""="00000000"),IF($AH1207=20,"病院",IF($AH1207=5,"消防","市長")),"対象外"))</f>
        <v/>
      </c>
    </row>
    <row r="1208" customFormat="false" ht="15" hidden="false" customHeight="false" outlineLevel="0" collapsed="false">
      <c r="DB1208" s="0" t="str">
        <f aca="false">IF($A1208="","",IF(AND($A1208=21,$AE1208&amp;""="00000000"),IF($AH1208=20,"病院",IF($AH1208=5,"消防","市長")),"対象外"))</f>
        <v/>
      </c>
    </row>
    <row r="1209" customFormat="false" ht="15" hidden="false" customHeight="false" outlineLevel="0" collapsed="false">
      <c r="DB1209" s="0" t="str">
        <f aca="false">IF($A1209="","",IF(AND($A1209=21,$AE1209&amp;""="00000000"),IF($AH1209=20,"病院",IF($AH1209=5,"消防","市長")),"対象外"))</f>
        <v/>
      </c>
    </row>
    <row r="1210" customFormat="false" ht="15" hidden="false" customHeight="false" outlineLevel="0" collapsed="false">
      <c r="DB1210" s="0" t="str">
        <f aca="false">IF($A1210="","",IF(AND($A1210=21,$AE1210&amp;""="00000000"),IF($AH1210=20,"病院",IF($AH1210=5,"消防","市長")),"対象外"))</f>
        <v/>
      </c>
    </row>
    <row r="1211" customFormat="false" ht="15" hidden="false" customHeight="false" outlineLevel="0" collapsed="false">
      <c r="DB1211" s="0" t="str">
        <f aca="false">IF($A1211="","",IF(AND($A1211=21,$AE1211&amp;""="00000000"),IF($AH1211=20,"病院",IF($AH1211=5,"消防","市長")),"対象外"))</f>
        <v/>
      </c>
    </row>
    <row r="1212" customFormat="false" ht="15" hidden="false" customHeight="false" outlineLevel="0" collapsed="false">
      <c r="DB1212" s="0" t="str">
        <f aca="false">IF($A1212="","",IF(AND($A1212=21,$AE1212&amp;""="00000000"),IF($AH1212=20,"病院",IF($AH1212=5,"消防","市長")),"対象外"))</f>
        <v/>
      </c>
    </row>
    <row r="1213" customFormat="false" ht="15" hidden="false" customHeight="false" outlineLevel="0" collapsed="false">
      <c r="DB1213" s="0" t="str">
        <f aca="false">IF($A1213="","",IF(AND($A1213=21,$AE1213&amp;""="00000000"),IF($AH1213=20,"病院",IF($AH1213=5,"消防","市長")),"対象外"))</f>
        <v/>
      </c>
    </row>
    <row r="1214" customFormat="false" ht="15" hidden="false" customHeight="false" outlineLevel="0" collapsed="false">
      <c r="DB1214" s="0" t="str">
        <f aca="false">IF($A1214="","",IF(AND($A1214=21,$AE1214&amp;""="00000000"),IF($AH1214=20,"病院",IF($AH1214=5,"消防","市長")),"対象外"))</f>
        <v/>
      </c>
    </row>
    <row r="1215" customFormat="false" ht="15" hidden="false" customHeight="false" outlineLevel="0" collapsed="false">
      <c r="DB1215" s="0" t="str">
        <f aca="false">IF($A1215="","",IF(AND($A1215=21,$AE1215&amp;""="00000000"),IF($AH1215=20,"病院",IF($AH1215=5,"消防","市長")),"対象外"))</f>
        <v/>
      </c>
    </row>
    <row r="1216" customFormat="false" ht="15" hidden="false" customHeight="false" outlineLevel="0" collapsed="false">
      <c r="DB1216" s="0" t="str">
        <f aca="false">IF($A1216="","",IF(AND($A1216=21,$AE1216&amp;""="00000000"),IF($AH1216=20,"病院",IF($AH1216=5,"消防","市長")),"対象外"))</f>
        <v/>
      </c>
    </row>
    <row r="1217" customFormat="false" ht="15" hidden="false" customHeight="false" outlineLevel="0" collapsed="false">
      <c r="DB1217" s="0" t="str">
        <f aca="false">IF($A1217="","",IF(AND($A1217=21,$AE1217&amp;""="00000000"),IF($AH1217=20,"病院",IF($AH1217=5,"消防","市長")),"対象外"))</f>
        <v/>
      </c>
    </row>
    <row r="1218" customFormat="false" ht="15" hidden="false" customHeight="false" outlineLevel="0" collapsed="false">
      <c r="DB1218" s="0" t="str">
        <f aca="false">IF($A1218="","",IF(AND($A1218=21,$AE1218&amp;""="00000000"),IF($AH1218=20,"病院",IF($AH1218=5,"消防","市長")),"対象外"))</f>
        <v/>
      </c>
    </row>
    <row r="1219" customFormat="false" ht="15" hidden="false" customHeight="false" outlineLevel="0" collapsed="false">
      <c r="DB1219" s="0" t="str">
        <f aca="false">IF($A1219="","",IF(AND($A1219=21,$AE1219&amp;""="00000000"),IF($AH1219=20,"病院",IF($AH1219=5,"消防","市長")),"対象外"))</f>
        <v/>
      </c>
    </row>
    <row r="1220" customFormat="false" ht="15" hidden="false" customHeight="false" outlineLevel="0" collapsed="false">
      <c r="DB1220" s="0" t="str">
        <f aca="false">IF($A1220="","",IF(AND($A1220=21,$AE1220&amp;""="00000000"),IF($AH1220=20,"病院",IF($AH1220=5,"消防","市長")),"対象外"))</f>
        <v/>
      </c>
    </row>
    <row r="1221" customFormat="false" ht="15" hidden="false" customHeight="false" outlineLevel="0" collapsed="false">
      <c r="DB1221" s="0" t="str">
        <f aca="false">IF($A1221="","",IF(AND($A1221=21,$AE1221&amp;""="00000000"),IF($AH1221=20,"病院",IF($AH1221=5,"消防","市長")),"対象外"))</f>
        <v/>
      </c>
    </row>
    <row r="1222" customFormat="false" ht="15" hidden="false" customHeight="false" outlineLevel="0" collapsed="false">
      <c r="DB1222" s="0" t="str">
        <f aca="false">IF($A1222="","",IF(AND($A1222=21,$AE1222&amp;""="00000000"),IF($AH1222=20,"病院",IF($AH1222=5,"消防","市長")),"対象外"))</f>
        <v/>
      </c>
    </row>
    <row r="1223" customFormat="false" ht="15" hidden="false" customHeight="false" outlineLevel="0" collapsed="false">
      <c r="DB1223" s="0" t="str">
        <f aca="false">IF($A1223="","",IF(AND($A1223=21,$AE1223&amp;""="00000000"),IF($AH1223=20,"病院",IF($AH1223=5,"消防","市長")),"対象外"))</f>
        <v/>
      </c>
    </row>
    <row r="1224" customFormat="false" ht="15" hidden="false" customHeight="false" outlineLevel="0" collapsed="false">
      <c r="DB1224" s="0" t="str">
        <f aca="false">IF($A1224="","",IF(AND($A1224=21,$AE1224&amp;""="00000000"),IF($AH1224=20,"病院",IF($AH1224=5,"消防","市長")),"対象外"))</f>
        <v/>
      </c>
    </row>
    <row r="1225" customFormat="false" ht="15" hidden="false" customHeight="false" outlineLevel="0" collapsed="false">
      <c r="DB1225" s="0" t="str">
        <f aca="false">IF($A1225="","",IF(AND($A1225=21,$AE1225&amp;""="00000000"),IF($AH1225=20,"病院",IF($AH1225=5,"消防","市長")),"対象外"))</f>
        <v/>
      </c>
    </row>
    <row r="1226" customFormat="false" ht="15" hidden="false" customHeight="false" outlineLevel="0" collapsed="false">
      <c r="DB1226" s="0" t="str">
        <f aca="false">IF($A1226="","",IF(AND($A1226=21,$AE1226&amp;""="00000000"),IF($AH1226=20,"病院",IF($AH1226=5,"消防","市長")),"対象外"))</f>
        <v/>
      </c>
    </row>
    <row r="1227" customFormat="false" ht="15" hidden="false" customHeight="false" outlineLevel="0" collapsed="false">
      <c r="DB1227" s="0" t="str">
        <f aca="false">IF($A1227="","",IF(AND($A1227=21,$AE1227&amp;""="00000000"),IF($AH1227=20,"病院",IF($AH1227=5,"消防","市長")),"対象外"))</f>
        <v/>
      </c>
    </row>
    <row r="1228" customFormat="false" ht="15" hidden="false" customHeight="false" outlineLevel="0" collapsed="false">
      <c r="DB1228" s="0" t="str">
        <f aca="false">IF($A1228="","",IF(AND($A1228=21,$AE1228&amp;""="00000000"),IF($AH1228=20,"病院",IF($AH1228=5,"消防","市長")),"対象外"))</f>
        <v/>
      </c>
    </row>
    <row r="1229" customFormat="false" ht="15" hidden="false" customHeight="false" outlineLevel="0" collapsed="false">
      <c r="DB1229" s="0" t="str">
        <f aca="false">IF($A1229="","",IF(AND($A1229=21,$AE1229&amp;""="00000000"),IF($AH1229=20,"病院",IF($AH1229=5,"消防","市長")),"対象外"))</f>
        <v/>
      </c>
    </row>
    <row r="1230" customFormat="false" ht="15" hidden="false" customHeight="false" outlineLevel="0" collapsed="false">
      <c r="DB1230" s="0" t="str">
        <f aca="false">IF($A1230="","",IF(AND($A1230=21,$AE1230&amp;""="00000000"),IF($AH1230=20,"病院",IF($AH1230=5,"消防","市長")),"対象外"))</f>
        <v/>
      </c>
    </row>
    <row r="1231" customFormat="false" ht="15" hidden="false" customHeight="false" outlineLevel="0" collapsed="false">
      <c r="DB1231" s="0" t="str">
        <f aca="false">IF($A1231="","",IF(AND($A1231=21,$AE1231&amp;""="00000000"),IF($AH1231=20,"病院",IF($AH1231=5,"消防","市長")),"対象外"))</f>
        <v/>
      </c>
    </row>
    <row r="1232" customFormat="false" ht="15" hidden="false" customHeight="false" outlineLevel="0" collapsed="false">
      <c r="DB1232" s="0" t="str">
        <f aca="false">IF($A1232="","",IF(AND($A1232=21,$AE1232&amp;""="00000000"),IF($AH1232=20,"病院",IF($AH1232=5,"消防","市長")),"対象外"))</f>
        <v/>
      </c>
    </row>
    <row r="1233" customFormat="false" ht="15" hidden="false" customHeight="false" outlineLevel="0" collapsed="false">
      <c r="DB1233" s="0" t="str">
        <f aca="false">IF($A1233="","",IF(AND($A1233=21,$AE1233&amp;""="00000000"),IF($AH1233=20,"病院",IF($AH1233=5,"消防","市長")),"対象外"))</f>
        <v/>
      </c>
    </row>
    <row r="1234" customFormat="false" ht="15" hidden="false" customHeight="false" outlineLevel="0" collapsed="false">
      <c r="DB1234" s="0" t="str">
        <f aca="false">IF($A1234="","",IF(AND($A1234=21,$AE1234&amp;""="00000000"),IF($AH1234=20,"病院",IF($AH1234=5,"消防","市長")),"対象外"))</f>
        <v/>
      </c>
    </row>
    <row r="1235" customFormat="false" ht="15" hidden="false" customHeight="false" outlineLevel="0" collapsed="false">
      <c r="DB1235" s="0" t="str">
        <f aca="false">IF($A1235="","",IF(AND($A1235=21,$AE1235&amp;""="00000000"),IF($AH1235=20,"病院",IF($AH1235=5,"消防","市長")),"対象外"))</f>
        <v/>
      </c>
    </row>
    <row r="1236" customFormat="false" ht="15" hidden="false" customHeight="false" outlineLevel="0" collapsed="false">
      <c r="DB1236" s="0" t="str">
        <f aca="false">IF($A1236="","",IF(AND($A1236=21,$AE1236&amp;""="00000000"),IF($AH1236=20,"病院",IF($AH1236=5,"消防","市長")),"対象外"))</f>
        <v/>
      </c>
    </row>
    <row r="1237" customFormat="false" ht="15" hidden="false" customHeight="false" outlineLevel="0" collapsed="false">
      <c r="DB1237" s="0" t="str">
        <f aca="false">IF($A1237="","",IF(AND($A1237=21,$AE1237&amp;""="00000000"),IF($AH1237=20,"病院",IF($AH1237=5,"消防","市長")),"対象外"))</f>
        <v/>
      </c>
    </row>
    <row r="1238" customFormat="false" ht="15" hidden="false" customHeight="false" outlineLevel="0" collapsed="false">
      <c r="DB1238" s="0" t="str">
        <f aca="false">IF($A1238="","",IF(AND($A1238=21,$AE1238&amp;""="00000000"),IF($AH1238=20,"病院",IF($AH1238=5,"消防","市長")),"対象外"))</f>
        <v/>
      </c>
    </row>
    <row r="1239" customFormat="false" ht="15" hidden="false" customHeight="false" outlineLevel="0" collapsed="false">
      <c r="DB1239" s="0" t="str">
        <f aca="false">IF($A1239="","",IF(AND($A1239=21,$AE1239&amp;""="00000000"),IF($AH1239=20,"病院",IF($AH1239=5,"消防","市長")),"対象外"))</f>
        <v/>
      </c>
    </row>
    <row r="1240" customFormat="false" ht="15" hidden="false" customHeight="false" outlineLevel="0" collapsed="false">
      <c r="DB1240" s="0" t="str">
        <f aca="false">IF($A1240="","",IF(AND($A1240=21,$AE1240&amp;""="00000000"),IF($AH1240=20,"病院",IF($AH1240=5,"消防","市長")),"対象外"))</f>
        <v/>
      </c>
    </row>
    <row r="1241" customFormat="false" ht="15" hidden="false" customHeight="false" outlineLevel="0" collapsed="false">
      <c r="DB1241" s="0" t="str">
        <f aca="false">IF($A1241="","",IF(AND($A1241=21,$AE1241&amp;""="00000000"),IF($AH1241=20,"病院",IF($AH1241=5,"消防","市長")),"対象外"))</f>
        <v/>
      </c>
    </row>
    <row r="1242" customFormat="false" ht="15" hidden="false" customHeight="false" outlineLevel="0" collapsed="false">
      <c r="DB1242" s="0" t="str">
        <f aca="false">IF($A1242="","",IF(AND($A1242=21,$AE1242&amp;""="00000000"),IF($AH1242=20,"病院",IF($AH1242=5,"消防","市長")),"対象外"))</f>
        <v/>
      </c>
    </row>
    <row r="1243" customFormat="false" ht="15" hidden="false" customHeight="false" outlineLevel="0" collapsed="false">
      <c r="DB1243" s="0" t="str">
        <f aca="false">IF($A1243="","",IF(AND($A1243=21,$AE1243&amp;""="00000000"),IF($AH1243=20,"病院",IF($AH1243=5,"消防","市長")),"対象外"))</f>
        <v/>
      </c>
    </row>
    <row r="1244" customFormat="false" ht="15" hidden="false" customHeight="false" outlineLevel="0" collapsed="false">
      <c r="DB1244" s="0" t="str">
        <f aca="false">IF($A1244="","",IF(AND($A1244=21,$AE1244&amp;""="00000000"),IF($AH1244=20,"病院",IF($AH1244=5,"消防","市長")),"対象外"))</f>
        <v/>
      </c>
    </row>
    <row r="1245" customFormat="false" ht="15" hidden="false" customHeight="false" outlineLevel="0" collapsed="false">
      <c r="DB1245" s="0" t="str">
        <f aca="false">IF($A1245="","",IF(AND($A1245=21,$AE1245&amp;""="00000000"),IF($AH1245=20,"病院",IF($AH1245=5,"消防","市長")),"対象外"))</f>
        <v/>
      </c>
    </row>
    <row r="1246" customFormat="false" ht="15" hidden="false" customHeight="false" outlineLevel="0" collapsed="false">
      <c r="DB1246" s="0" t="str">
        <f aca="false">IF($A1246="","",IF(AND($A1246=21,$AE1246&amp;""="00000000"),IF($AH1246=20,"病院",IF($AH1246=5,"消防","市長")),"対象外"))</f>
        <v/>
      </c>
    </row>
    <row r="1247" customFormat="false" ht="15" hidden="false" customHeight="false" outlineLevel="0" collapsed="false">
      <c r="DB1247" s="0" t="str">
        <f aca="false">IF($A1247="","",IF(AND($A1247=21,$AE1247&amp;""="00000000"),IF($AH1247=20,"病院",IF($AH1247=5,"消防","市長")),"対象外"))</f>
        <v/>
      </c>
    </row>
    <row r="1248" customFormat="false" ht="15" hidden="false" customHeight="false" outlineLevel="0" collapsed="false">
      <c r="DB1248" s="0" t="str">
        <f aca="false">IF($A1248="","",IF(AND($A1248=21,$AE1248&amp;""="00000000"),IF($AH1248=20,"病院",IF($AH1248=5,"消防","市長")),"対象外"))</f>
        <v/>
      </c>
    </row>
    <row r="1249" customFormat="false" ht="15" hidden="false" customHeight="false" outlineLevel="0" collapsed="false">
      <c r="DB1249" s="0" t="str">
        <f aca="false">IF($A1249="","",IF(AND($A1249=21,$AE1249&amp;""="00000000"),IF($AH1249=20,"病院",IF($AH1249=5,"消防","市長")),"対象外"))</f>
        <v/>
      </c>
    </row>
    <row r="1250" customFormat="false" ht="15" hidden="false" customHeight="false" outlineLevel="0" collapsed="false">
      <c r="DB1250" s="0" t="str">
        <f aca="false">IF($A1250="","",IF(AND($A1250=21,$AE1250&amp;""="00000000"),IF($AH1250=20,"病院",IF($AH1250=5,"消防","市長")),"対象外"))</f>
        <v/>
      </c>
    </row>
    <row r="1251" customFormat="false" ht="15" hidden="false" customHeight="false" outlineLevel="0" collapsed="false">
      <c r="DB1251" s="0" t="str">
        <f aca="false">IF($A1251="","",IF(AND($A1251=21,$AE1251&amp;""="00000000"),IF($AH1251=20,"病院",IF($AH1251=5,"消防","市長")),"対象外"))</f>
        <v/>
      </c>
    </row>
    <row r="1252" customFormat="false" ht="15" hidden="false" customHeight="false" outlineLevel="0" collapsed="false">
      <c r="DB1252" s="0" t="str">
        <f aca="false">IF($A1252="","",IF(AND($A1252=21,$AE1252&amp;""="00000000"),IF($AH1252=20,"病院",IF($AH1252=5,"消防","市長")),"対象外"))</f>
        <v/>
      </c>
    </row>
    <row r="1253" customFormat="false" ht="15" hidden="false" customHeight="false" outlineLevel="0" collapsed="false">
      <c r="DB1253" s="0" t="str">
        <f aca="false">IF($A1253="","",IF(AND($A1253=21,$AE1253&amp;""="00000000"),IF($AH1253=20,"病院",IF($AH1253=5,"消防","市長")),"対象外"))</f>
        <v/>
      </c>
    </row>
    <row r="1254" customFormat="false" ht="15" hidden="false" customHeight="false" outlineLevel="0" collapsed="false">
      <c r="DB1254" s="0" t="str">
        <f aca="false">IF($A1254="","",IF(AND($A1254=21,$AE1254&amp;""="00000000"),IF($AH1254=20,"病院",IF($AH1254=5,"消防","市長")),"対象外"))</f>
        <v/>
      </c>
    </row>
    <row r="1255" customFormat="false" ht="15" hidden="false" customHeight="false" outlineLevel="0" collapsed="false">
      <c r="DB1255" s="0" t="str">
        <f aca="false">IF($A1255="","",IF(AND($A1255=21,$AE1255&amp;""="00000000"),IF($AH1255=20,"病院",IF($AH1255=5,"消防","市長")),"対象外"))</f>
        <v/>
      </c>
    </row>
    <row r="1256" customFormat="false" ht="15" hidden="false" customHeight="false" outlineLevel="0" collapsed="false">
      <c r="DB1256" s="0" t="str">
        <f aca="false">IF($A1256="","",IF(AND($A1256=21,$AE1256&amp;""="00000000"),IF($AH1256=20,"病院",IF($AH1256=5,"消防","市長")),"対象外"))</f>
        <v/>
      </c>
    </row>
    <row r="1257" customFormat="false" ht="15" hidden="false" customHeight="false" outlineLevel="0" collapsed="false">
      <c r="DB1257" s="0" t="str">
        <f aca="false">IF($A1257="","",IF(AND($A1257=21,$AE1257&amp;""="00000000"),IF($AH1257=20,"病院",IF($AH1257=5,"消防","市長")),"対象外"))</f>
        <v/>
      </c>
    </row>
    <row r="1258" customFormat="false" ht="15" hidden="false" customHeight="false" outlineLevel="0" collapsed="false">
      <c r="DB1258" s="0" t="str">
        <f aca="false">IF($A1258="","",IF(AND($A1258=21,$AE1258&amp;""="00000000"),IF($AH1258=20,"病院",IF($AH1258=5,"消防","市長")),"対象外"))</f>
        <v/>
      </c>
    </row>
    <row r="1259" customFormat="false" ht="15" hidden="false" customHeight="false" outlineLevel="0" collapsed="false">
      <c r="DB1259" s="0" t="str">
        <f aca="false">IF($A1259="","",IF(AND($A1259=21,$AE1259&amp;""="00000000"),IF($AH1259=20,"病院",IF($AH1259=5,"消防","市長")),"対象外"))</f>
        <v/>
      </c>
    </row>
    <row r="1260" customFormat="false" ht="15" hidden="false" customHeight="false" outlineLevel="0" collapsed="false">
      <c r="DB1260" s="0" t="str">
        <f aca="false">IF($A1260="","",IF(AND($A1260=21,$AE1260&amp;""="00000000"),IF($AH1260=20,"病院",IF($AH1260=5,"消防","市長")),"対象外"))</f>
        <v/>
      </c>
    </row>
    <row r="1261" customFormat="false" ht="15" hidden="false" customHeight="false" outlineLevel="0" collapsed="false">
      <c r="DB1261" s="0" t="str">
        <f aca="false">IF($A1261="","",IF(AND($A1261=21,$AE1261&amp;""="00000000"),IF($AH1261=20,"病院",IF($AH1261=5,"消防","市長")),"対象外"))</f>
        <v/>
      </c>
    </row>
    <row r="1262" customFormat="false" ht="15" hidden="false" customHeight="false" outlineLevel="0" collapsed="false">
      <c r="DB1262" s="0" t="str">
        <f aca="false">IF($A1262="","",IF(AND($A1262=21,$AE1262&amp;""="00000000"),IF($AH1262=20,"病院",IF($AH1262=5,"消防","市長")),"対象外"))</f>
        <v/>
      </c>
    </row>
    <row r="1263" customFormat="false" ht="15" hidden="false" customHeight="false" outlineLevel="0" collapsed="false">
      <c r="DB1263" s="0" t="str">
        <f aca="false">IF($A1263="","",IF(AND($A1263=21,$AE1263&amp;""="00000000"),IF($AH1263=20,"病院",IF($AH1263=5,"消防","市長")),"対象外"))</f>
        <v/>
      </c>
    </row>
    <row r="1264" customFormat="false" ht="15" hidden="false" customHeight="false" outlineLevel="0" collapsed="false">
      <c r="DB1264" s="0" t="str">
        <f aca="false">IF($A1264="","",IF(AND($A1264=21,$AE1264&amp;""="00000000"),IF($AH1264=20,"病院",IF($AH1264=5,"消防","市長")),"対象外"))</f>
        <v/>
      </c>
    </row>
    <row r="1265" customFormat="false" ht="15" hidden="false" customHeight="false" outlineLevel="0" collapsed="false">
      <c r="DB1265" s="0" t="str">
        <f aca="false">IF($A1265="","",IF(AND($A1265=21,$AE1265&amp;""="00000000"),IF($AH1265=20,"病院",IF($AH1265=5,"消防","市長")),"対象外"))</f>
        <v/>
      </c>
    </row>
    <row r="1266" customFormat="false" ht="15" hidden="false" customHeight="false" outlineLevel="0" collapsed="false">
      <c r="DB1266" s="0" t="str">
        <f aca="false">IF($A1266="","",IF(AND($A1266=21,$AE1266&amp;""="00000000"),IF($AH1266=20,"病院",IF($AH1266=5,"消防","市長")),"対象外"))</f>
        <v/>
      </c>
    </row>
    <row r="1267" customFormat="false" ht="15" hidden="false" customHeight="false" outlineLevel="0" collapsed="false">
      <c r="DB1267" s="0" t="str">
        <f aca="false">IF($A1267="","",IF(AND($A1267=21,$AE1267&amp;""="00000000"),IF($AH1267=20,"病院",IF($AH1267=5,"消防","市長")),"対象外"))</f>
        <v/>
      </c>
    </row>
    <row r="1268" customFormat="false" ht="15" hidden="false" customHeight="false" outlineLevel="0" collapsed="false">
      <c r="DB1268" s="0" t="str">
        <f aca="false">IF($A1268="","",IF(AND($A1268=21,$AE1268&amp;""="00000000"),IF($AH1268=20,"病院",IF($AH1268=5,"消防","市長")),"対象外"))</f>
        <v/>
      </c>
    </row>
    <row r="1269" customFormat="false" ht="15" hidden="false" customHeight="false" outlineLevel="0" collapsed="false">
      <c r="DB1269" s="0" t="str">
        <f aca="false">IF($A1269="","",IF(AND($A1269=21,$AE1269&amp;""="00000000"),IF($AH1269=20,"病院",IF($AH1269=5,"消防","市長")),"対象外"))</f>
        <v/>
      </c>
    </row>
    <row r="1270" customFormat="false" ht="15" hidden="false" customHeight="false" outlineLevel="0" collapsed="false">
      <c r="DB1270" s="0" t="str">
        <f aca="false">IF($A1270="","",IF(AND($A1270=21,$AE1270&amp;""="00000000"),IF($AH1270=20,"病院",IF($AH1270=5,"消防","市長")),"対象外"))</f>
        <v/>
      </c>
    </row>
    <row r="1271" customFormat="false" ht="15" hidden="false" customHeight="false" outlineLevel="0" collapsed="false">
      <c r="DB1271" s="0" t="str">
        <f aca="false">IF($A1271="","",IF(AND($A1271=21,$AE1271&amp;""="00000000"),IF($AH1271=20,"病院",IF($AH1271=5,"消防","市長")),"対象外"))</f>
        <v/>
      </c>
    </row>
    <row r="1272" customFormat="false" ht="15" hidden="false" customHeight="false" outlineLevel="0" collapsed="false">
      <c r="DB1272" s="0" t="str">
        <f aca="false">IF($A1272="","",IF(AND($A1272=21,$AE1272&amp;""="00000000"),IF($AH1272=20,"病院",IF($AH1272=5,"消防","市長")),"対象外"))</f>
        <v/>
      </c>
    </row>
    <row r="1273" customFormat="false" ht="15" hidden="false" customHeight="false" outlineLevel="0" collapsed="false">
      <c r="DB1273" s="0" t="str">
        <f aca="false">IF($A1273="","",IF(AND($A1273=21,$AE1273&amp;""="00000000"),IF($AH1273=20,"病院",IF($AH1273=5,"消防","市長")),"対象外"))</f>
        <v/>
      </c>
    </row>
    <row r="1274" customFormat="false" ht="15" hidden="false" customHeight="false" outlineLevel="0" collapsed="false">
      <c r="DB1274" s="0" t="str">
        <f aca="false">IF($A1274="","",IF(AND($A1274=21,$AE1274&amp;""="00000000"),IF($AH1274=20,"病院",IF($AH1274=5,"消防","市長")),"対象外"))</f>
        <v/>
      </c>
    </row>
    <row r="1275" customFormat="false" ht="15" hidden="false" customHeight="false" outlineLevel="0" collapsed="false">
      <c r="DB1275" s="0" t="str">
        <f aca="false">IF($A1275="","",IF(AND($A1275=21,$AE1275&amp;""="00000000"),IF($AH1275=20,"病院",IF($AH1275=5,"消防","市長")),"対象外"))</f>
        <v/>
      </c>
    </row>
    <row r="1276" customFormat="false" ht="15" hidden="false" customHeight="false" outlineLevel="0" collapsed="false">
      <c r="DB1276" s="0" t="str">
        <f aca="false">IF($A1276="","",IF(AND($A1276=21,$AE1276&amp;""="00000000"),IF($AH1276=20,"病院",IF($AH1276=5,"消防","市長")),"対象外"))</f>
        <v/>
      </c>
    </row>
    <row r="1277" customFormat="false" ht="15" hidden="false" customHeight="false" outlineLevel="0" collapsed="false">
      <c r="DB1277" s="0" t="str">
        <f aca="false">IF($A1277="","",IF(AND($A1277=21,$AE1277&amp;""="00000000"),IF($AH1277=20,"病院",IF($AH1277=5,"消防","市長")),"対象外"))</f>
        <v/>
      </c>
    </row>
    <row r="1278" customFormat="false" ht="15" hidden="false" customHeight="false" outlineLevel="0" collapsed="false">
      <c r="DB1278" s="0" t="str">
        <f aca="false">IF($A1278="","",IF(AND($A1278=21,$AE1278&amp;""="00000000"),IF($AH1278=20,"病院",IF($AH1278=5,"消防","市長")),"対象外"))</f>
        <v/>
      </c>
    </row>
    <row r="1279" customFormat="false" ht="15" hidden="false" customHeight="false" outlineLevel="0" collapsed="false">
      <c r="DB1279" s="0" t="str">
        <f aca="false">IF($A1279="","",IF(AND($A1279=21,$AE1279&amp;""="00000000"),IF($AH1279=20,"病院",IF($AH1279=5,"消防","市長")),"対象外"))</f>
        <v/>
      </c>
    </row>
    <row r="1280" customFormat="false" ht="15" hidden="false" customHeight="false" outlineLevel="0" collapsed="false">
      <c r="DB1280" s="0" t="str">
        <f aca="false">IF($A1280="","",IF(AND($A1280=21,$AE1280&amp;""="00000000"),IF($AH1280=20,"病院",IF($AH1280=5,"消防","市長")),"対象外"))</f>
        <v/>
      </c>
    </row>
    <row r="1281" customFormat="false" ht="15" hidden="false" customHeight="false" outlineLevel="0" collapsed="false">
      <c r="DB1281" s="0" t="str">
        <f aca="false">IF($A1281="","",IF(AND($A1281=21,$AE1281&amp;""="00000000"),IF($AH1281=20,"病院",IF($AH1281=5,"消防","市長")),"対象外"))</f>
        <v/>
      </c>
    </row>
    <row r="1282" customFormat="false" ht="15" hidden="false" customHeight="false" outlineLevel="0" collapsed="false">
      <c r="DB1282" s="0" t="str">
        <f aca="false">IF($A1282="","",IF(AND($A1282=21,$AE1282&amp;""="00000000"),IF($AH1282=20,"病院",IF($AH1282=5,"消防","市長")),"対象外"))</f>
        <v/>
      </c>
    </row>
    <row r="1283" customFormat="false" ht="15" hidden="false" customHeight="false" outlineLevel="0" collapsed="false">
      <c r="DB1283" s="0" t="str">
        <f aca="false">IF($A1283="","",IF(AND($A1283=21,$AE1283&amp;""="00000000"),IF($AH1283=20,"病院",IF($AH1283=5,"消防","市長")),"対象外"))</f>
        <v/>
      </c>
    </row>
    <row r="1284" customFormat="false" ht="15" hidden="false" customHeight="false" outlineLevel="0" collapsed="false">
      <c r="DB1284" s="0" t="str">
        <f aca="false">IF($A1284="","",IF(AND($A1284=21,$AE1284&amp;""="00000000"),IF($AH1284=20,"病院",IF($AH1284=5,"消防","市長")),"対象外"))</f>
        <v/>
      </c>
    </row>
    <row r="1285" customFormat="false" ht="15" hidden="false" customHeight="false" outlineLevel="0" collapsed="false">
      <c r="DB1285" s="0" t="str">
        <f aca="false">IF($A1285="","",IF(AND($A1285=21,$AE1285&amp;""="00000000"),IF($AH1285=20,"病院",IF($AH1285=5,"消防","市長")),"対象外"))</f>
        <v/>
      </c>
    </row>
    <row r="1286" customFormat="false" ht="15" hidden="false" customHeight="false" outlineLevel="0" collapsed="false">
      <c r="DB1286" s="0" t="str">
        <f aca="false">IF($A1286="","",IF(AND($A1286=21,$AE1286&amp;""="00000000"),IF($AH1286=20,"病院",IF($AH1286=5,"消防","市長")),"対象外"))</f>
        <v/>
      </c>
    </row>
    <row r="1287" customFormat="false" ht="15" hidden="false" customHeight="false" outlineLevel="0" collapsed="false">
      <c r="DB1287" s="0" t="str">
        <f aca="false">IF($A1287="","",IF(AND($A1287=21,$AE1287&amp;""="00000000"),IF($AH1287=20,"病院",IF($AH1287=5,"消防","市長")),"対象外"))</f>
        <v/>
      </c>
    </row>
    <row r="1288" customFormat="false" ht="15" hidden="false" customHeight="false" outlineLevel="0" collapsed="false">
      <c r="DB1288" s="0" t="str">
        <f aca="false">IF($A1288="","",IF(AND($A1288=21,$AE1288&amp;""="00000000"),IF($AH1288=20,"病院",IF($AH1288=5,"消防","市長")),"対象外"))</f>
        <v/>
      </c>
    </row>
    <row r="1289" customFormat="false" ht="15" hidden="false" customHeight="false" outlineLevel="0" collapsed="false">
      <c r="DB1289" s="0" t="str">
        <f aca="false">IF($A1289="","",IF(AND($A1289=21,$AE1289&amp;""="00000000"),IF($AH1289=20,"病院",IF($AH1289=5,"消防","市長")),"対象外"))</f>
        <v/>
      </c>
    </row>
    <row r="1290" customFormat="false" ht="15" hidden="false" customHeight="false" outlineLevel="0" collapsed="false">
      <c r="DB1290" s="0" t="str">
        <f aca="false">IF($A1290="","",IF(AND($A1290=21,$AE1290&amp;""="00000000"),IF($AH1290=20,"病院",IF($AH1290=5,"消防","市長")),"対象外"))</f>
        <v/>
      </c>
    </row>
    <row r="1291" customFormat="false" ht="15" hidden="false" customHeight="false" outlineLevel="0" collapsed="false">
      <c r="DB1291" s="0" t="str">
        <f aca="false">IF($A1291="","",IF(AND($A1291=21,$AE1291&amp;""="00000000"),IF($AH1291=20,"病院",IF($AH1291=5,"消防","市長")),"対象外"))</f>
        <v/>
      </c>
    </row>
    <row r="1292" customFormat="false" ht="15" hidden="false" customHeight="false" outlineLevel="0" collapsed="false">
      <c r="DB1292" s="0" t="str">
        <f aca="false">IF($A1292="","",IF(AND($A1292=21,$AE1292&amp;""="00000000"),IF($AH1292=20,"病院",IF($AH1292=5,"消防","市長")),"対象外"))</f>
        <v/>
      </c>
    </row>
    <row r="1293" customFormat="false" ht="15" hidden="false" customHeight="false" outlineLevel="0" collapsed="false">
      <c r="DB1293" s="0" t="str">
        <f aca="false">IF($A1293="","",IF(AND($A1293=21,$AE1293&amp;""="00000000"),IF($AH1293=20,"病院",IF($AH1293=5,"消防","市長")),"対象外"))</f>
        <v/>
      </c>
    </row>
    <row r="1294" customFormat="false" ht="15" hidden="false" customHeight="false" outlineLevel="0" collapsed="false">
      <c r="DB1294" s="0" t="str">
        <f aca="false">IF($A1294="","",IF(AND($A1294=21,$AE1294&amp;""="00000000"),IF($AH1294=20,"病院",IF($AH1294=5,"消防","市長")),"対象外"))</f>
        <v/>
      </c>
    </row>
    <row r="1295" customFormat="false" ht="15" hidden="false" customHeight="false" outlineLevel="0" collapsed="false">
      <c r="DB1295" s="0" t="str">
        <f aca="false">IF($A1295="","",IF(AND($A1295=21,$AE1295&amp;""="00000000"),IF($AH1295=20,"病院",IF($AH1295=5,"消防","市長")),"対象外"))</f>
        <v/>
      </c>
    </row>
    <row r="1296" customFormat="false" ht="15" hidden="false" customHeight="false" outlineLevel="0" collapsed="false">
      <c r="DB1296" s="0" t="str">
        <f aca="false">IF($A1296="","",IF(AND($A1296=21,$AE1296&amp;""="00000000"),IF($AH1296=20,"病院",IF($AH1296=5,"消防","市長")),"対象外"))</f>
        <v/>
      </c>
    </row>
    <row r="1297" customFormat="false" ht="15" hidden="false" customHeight="false" outlineLevel="0" collapsed="false">
      <c r="DB1297" s="0" t="str">
        <f aca="false">IF($A1297="","",IF(AND($A1297=21,$AE1297&amp;""="00000000"),IF($AH1297=20,"病院",IF($AH1297=5,"消防","市長")),"対象外"))</f>
        <v/>
      </c>
    </row>
    <row r="1298" customFormat="false" ht="15" hidden="false" customHeight="false" outlineLevel="0" collapsed="false">
      <c r="DB1298" s="0" t="str">
        <f aca="false">IF($A1298="","",IF(AND($A1298=21,$AE1298&amp;""="00000000"),IF($AH1298=20,"病院",IF($AH1298=5,"消防","市長")),"対象外"))</f>
        <v/>
      </c>
    </row>
    <row r="1299" customFormat="false" ht="15" hidden="false" customHeight="false" outlineLevel="0" collapsed="false">
      <c r="DB1299" s="0" t="str">
        <f aca="false">IF($A1299="","",IF(AND($A1299=21,$AE1299&amp;""="00000000"),IF($AH1299=20,"病院",IF($AH1299=5,"消防","市長")),"対象外"))</f>
        <v/>
      </c>
    </row>
    <row r="1300" customFormat="false" ht="15" hidden="false" customHeight="false" outlineLevel="0" collapsed="false">
      <c r="DB1300" s="0" t="str">
        <f aca="false">IF($A1300="","",IF(AND($A1300=21,$AE1300&amp;""="00000000"),IF($AH1300=20,"病院",IF($AH1300=5,"消防","市長")),"対象外"))</f>
        <v/>
      </c>
    </row>
    <row r="1301" customFormat="false" ht="15" hidden="false" customHeight="false" outlineLevel="0" collapsed="false">
      <c r="DB1301" s="0" t="str">
        <f aca="false">IF($A1301="","",IF(AND($A1301=21,$AE1301&amp;""="00000000"),IF($AH1301=20,"病院",IF($AH1301=5,"消防","市長")),"対象外"))</f>
        <v/>
      </c>
    </row>
    <row r="1302" customFormat="false" ht="15" hidden="false" customHeight="false" outlineLevel="0" collapsed="false">
      <c r="DB1302" s="0" t="str">
        <f aca="false">IF($A1302="","",IF(AND($A1302=21,$AE1302&amp;""="00000000"),IF($AH1302=20,"病院",IF($AH1302=5,"消防","市長")),"対象外"))</f>
        <v/>
      </c>
    </row>
    <row r="1303" customFormat="false" ht="15" hidden="false" customHeight="false" outlineLevel="0" collapsed="false">
      <c r="DB1303" s="0" t="str">
        <f aca="false">IF($A1303="","",IF(AND($A1303=21,$AE1303&amp;""="00000000"),IF($AH1303=20,"病院",IF($AH1303=5,"消防","市長")),"対象外"))</f>
        <v/>
      </c>
    </row>
    <row r="1304" customFormat="false" ht="15" hidden="false" customHeight="false" outlineLevel="0" collapsed="false">
      <c r="DB1304" s="0" t="str">
        <f aca="false">IF($A1304="","",IF(AND($A1304=21,$AE1304&amp;""="00000000"),IF($AH1304=20,"病院",IF($AH1304=5,"消防","市長")),"対象外"))</f>
        <v/>
      </c>
    </row>
    <row r="1305" customFormat="false" ht="15" hidden="false" customHeight="false" outlineLevel="0" collapsed="false">
      <c r="DB1305" s="0" t="str">
        <f aca="false">IF($A1305="","",IF(AND($A1305=21,$AE1305&amp;""="00000000"),IF($AH1305=20,"病院",IF($AH1305=5,"消防","市長")),"対象外"))</f>
        <v/>
      </c>
    </row>
    <row r="1306" customFormat="false" ht="15" hidden="false" customHeight="false" outlineLevel="0" collapsed="false">
      <c r="DB1306" s="0" t="str">
        <f aca="false">IF($A1306="","",IF(AND($A1306=21,$AE1306&amp;""="00000000"),IF($AH1306=20,"病院",IF($AH1306=5,"消防","市長")),"対象外"))</f>
        <v/>
      </c>
    </row>
    <row r="1307" customFormat="false" ht="15" hidden="false" customHeight="false" outlineLevel="0" collapsed="false">
      <c r="DB1307" s="0" t="str">
        <f aca="false">IF($A1307="","",IF(AND($A1307=21,$AE1307&amp;""="00000000"),IF($AH1307=20,"病院",IF($AH1307=5,"消防","市長")),"対象外"))</f>
        <v/>
      </c>
    </row>
    <row r="1308" customFormat="false" ht="15" hidden="false" customHeight="false" outlineLevel="0" collapsed="false">
      <c r="DB1308" s="0" t="str">
        <f aca="false">IF($A1308="","",IF(AND($A1308=21,$AE1308&amp;""="00000000"),IF($AH1308=20,"病院",IF($AH1308=5,"消防","市長")),"対象外"))</f>
        <v/>
      </c>
    </row>
    <row r="1309" customFormat="false" ht="15" hidden="false" customHeight="false" outlineLevel="0" collapsed="false">
      <c r="DB1309" s="0" t="str">
        <f aca="false">IF($A1309="","",IF(AND($A1309=21,$AE1309&amp;""="00000000"),IF($AH1309=20,"病院",IF($AH1309=5,"消防","市長")),"対象外"))</f>
        <v/>
      </c>
    </row>
    <row r="1310" customFormat="false" ht="15" hidden="false" customHeight="false" outlineLevel="0" collapsed="false">
      <c r="DB1310" s="0" t="str">
        <f aca="false">IF($A1310="","",IF(AND($A1310=21,$AE1310&amp;""="00000000"),IF($AH1310=20,"病院",IF($AH1310=5,"消防","市長")),"対象外"))</f>
        <v/>
      </c>
    </row>
    <row r="1311" customFormat="false" ht="15" hidden="false" customHeight="false" outlineLevel="0" collapsed="false">
      <c r="DB1311" s="0" t="str">
        <f aca="false">IF($A1311="","",IF(AND($A1311=21,$AE1311&amp;""="00000000"),IF($AH1311=20,"病院",IF($AH1311=5,"消防","市長")),"対象外"))</f>
        <v/>
      </c>
    </row>
    <row r="1312" customFormat="false" ht="15" hidden="false" customHeight="false" outlineLevel="0" collapsed="false">
      <c r="DB1312" s="0" t="str">
        <f aca="false">IF($A1312="","",IF(AND($A1312=21,$AE1312&amp;""="00000000"),IF($AH1312=20,"病院",IF($AH1312=5,"消防","市長")),"対象外"))</f>
        <v/>
      </c>
    </row>
    <row r="1313" customFormat="false" ht="15" hidden="false" customHeight="false" outlineLevel="0" collapsed="false">
      <c r="DB1313" s="0" t="str">
        <f aca="false">IF($A1313="","",IF(AND($A1313=21,$AE1313&amp;""="00000000"),IF($AH1313=20,"病院",IF($AH1313=5,"消防","市長")),"対象外"))</f>
        <v/>
      </c>
    </row>
    <row r="1314" customFormat="false" ht="15" hidden="false" customHeight="false" outlineLevel="0" collapsed="false">
      <c r="DB1314" s="0" t="str">
        <f aca="false">IF($A1314="","",IF(AND($A1314=21,$AE1314&amp;""="00000000"),IF($AH1314=20,"病院",IF($AH1314=5,"消防","市長")),"対象外"))</f>
        <v/>
      </c>
    </row>
    <row r="1315" customFormat="false" ht="15" hidden="false" customHeight="false" outlineLevel="0" collapsed="false">
      <c r="DB1315" s="0" t="str">
        <f aca="false">IF($A1315="","",IF(AND($A1315=21,$AE1315&amp;""="00000000"),IF($AH1315=20,"病院",IF($AH1315=5,"消防","市長")),"対象外"))</f>
        <v/>
      </c>
    </row>
    <row r="1316" customFormat="false" ht="15" hidden="false" customHeight="false" outlineLevel="0" collapsed="false">
      <c r="DB1316" s="0" t="str">
        <f aca="false">IF($A1316="","",IF(AND($A1316=21,$AE1316&amp;""="00000000"),IF($AH1316=20,"病院",IF($AH1316=5,"消防","市長")),"対象外"))</f>
        <v/>
      </c>
    </row>
    <row r="1317" customFormat="false" ht="15" hidden="false" customHeight="false" outlineLevel="0" collapsed="false">
      <c r="DB1317" s="0" t="str">
        <f aca="false">IF($A1317="","",IF(AND($A1317=21,$AE1317&amp;""="00000000"),IF($AH1317=20,"病院",IF($AH1317=5,"消防","市長")),"対象外"))</f>
        <v/>
      </c>
    </row>
    <row r="1318" customFormat="false" ht="15" hidden="false" customHeight="false" outlineLevel="0" collapsed="false">
      <c r="DB1318" s="0" t="str">
        <f aca="false">IF($A1318="","",IF(AND($A1318=21,$AE1318&amp;""="00000000"),IF($AH1318=20,"病院",IF($AH1318=5,"消防","市長")),"対象外"))</f>
        <v/>
      </c>
    </row>
    <row r="1319" customFormat="false" ht="15" hidden="false" customHeight="false" outlineLevel="0" collapsed="false">
      <c r="DB1319" s="0" t="str">
        <f aca="false">IF($A1319="","",IF(AND($A1319=21,$AE1319&amp;""="00000000"),IF($AH1319=20,"病院",IF($AH1319=5,"消防","市長")),"対象外"))</f>
        <v/>
      </c>
    </row>
    <row r="1320" customFormat="false" ht="15" hidden="false" customHeight="false" outlineLevel="0" collapsed="false">
      <c r="DB1320" s="0" t="str">
        <f aca="false">IF($A1320="","",IF(AND($A1320=21,$AE1320&amp;""="00000000"),IF($AH1320=20,"病院",IF($AH1320=5,"消防","市長")),"対象外"))</f>
        <v/>
      </c>
    </row>
    <row r="1321" customFormat="false" ht="15" hidden="false" customHeight="false" outlineLevel="0" collapsed="false">
      <c r="DB1321" s="0" t="str">
        <f aca="false">IF($A1321="","",IF(AND($A1321=21,$AE1321&amp;""="00000000"),IF($AH1321=20,"病院",IF($AH1321=5,"消防","市長")),"対象外"))</f>
        <v/>
      </c>
    </row>
    <row r="1322" customFormat="false" ht="15" hidden="false" customHeight="false" outlineLevel="0" collapsed="false">
      <c r="DB1322" s="0" t="str">
        <f aca="false">IF($A1322="","",IF(AND($A1322=21,$AE1322&amp;""="00000000"),IF($AH1322=20,"病院",IF($AH1322=5,"消防","市長")),"対象外"))</f>
        <v/>
      </c>
    </row>
    <row r="1323" customFormat="false" ht="15" hidden="false" customHeight="false" outlineLevel="0" collapsed="false">
      <c r="DB1323" s="0" t="str">
        <f aca="false">IF($A1323="","",IF(AND($A1323=21,$AE1323&amp;""="00000000"),IF($AH1323=20,"病院",IF($AH1323=5,"消防","市長")),"対象外"))</f>
        <v/>
      </c>
    </row>
    <row r="1324" customFormat="false" ht="15" hidden="false" customHeight="false" outlineLevel="0" collapsed="false">
      <c r="DB1324" s="0" t="str">
        <f aca="false">IF($A1324="","",IF(AND($A1324=21,$AE1324&amp;""="00000000"),IF($AH1324=20,"病院",IF($AH1324=5,"消防","市長")),"対象外"))</f>
        <v/>
      </c>
    </row>
    <row r="1325" customFormat="false" ht="15" hidden="false" customHeight="false" outlineLevel="0" collapsed="false">
      <c r="DB1325" s="0" t="str">
        <f aca="false">IF($A1325="","",IF(AND($A1325=21,$AE1325&amp;""="00000000"),IF($AH1325=20,"病院",IF($AH1325=5,"消防","市長")),"対象外"))</f>
        <v/>
      </c>
    </row>
    <row r="1326" customFormat="false" ht="15" hidden="false" customHeight="false" outlineLevel="0" collapsed="false">
      <c r="DB1326" s="0" t="str">
        <f aca="false">IF($A1326="","",IF(AND($A1326=21,$AE1326&amp;""="00000000"),IF($AH1326=20,"病院",IF($AH1326=5,"消防","市長")),"対象外"))</f>
        <v/>
      </c>
    </row>
    <row r="1327" customFormat="false" ht="15" hidden="false" customHeight="false" outlineLevel="0" collapsed="false">
      <c r="DB1327" s="0" t="str">
        <f aca="false">IF($A1327="","",IF(AND($A1327=21,$AE1327&amp;""="00000000"),IF($AH1327=20,"病院",IF($AH1327=5,"消防","市長")),"対象外"))</f>
        <v/>
      </c>
    </row>
    <row r="1328" customFormat="false" ht="15" hidden="false" customHeight="false" outlineLevel="0" collapsed="false">
      <c r="DB1328" s="0" t="str">
        <f aca="false">IF($A1328="","",IF(AND($A1328=21,$AE1328&amp;""="00000000"),IF($AH1328=20,"病院",IF($AH1328=5,"消防","市長")),"対象外"))</f>
        <v/>
      </c>
    </row>
    <row r="1329" customFormat="false" ht="15" hidden="false" customHeight="false" outlineLevel="0" collapsed="false">
      <c r="DB1329" s="0" t="str">
        <f aca="false">IF($A1329="","",IF(AND($A1329=21,$AE1329&amp;""="00000000"),IF($AH1329=20,"病院",IF($AH1329=5,"消防","市長")),"対象外"))</f>
        <v/>
      </c>
    </row>
    <row r="1330" customFormat="false" ht="15" hidden="false" customHeight="false" outlineLevel="0" collapsed="false">
      <c r="DB1330" s="0" t="str">
        <f aca="false">IF($A1330="","",IF(AND($A1330=21,$AE1330&amp;""="00000000"),IF($AH1330=20,"病院",IF($AH1330=5,"消防","市長")),"対象外"))</f>
        <v/>
      </c>
    </row>
    <row r="1331" customFormat="false" ht="15" hidden="false" customHeight="false" outlineLevel="0" collapsed="false">
      <c r="DB1331" s="0" t="str">
        <f aca="false">IF($A1331="","",IF(AND($A1331=21,$AE1331&amp;""="00000000"),IF($AH1331=20,"病院",IF($AH1331=5,"消防","市長")),"対象外"))</f>
        <v/>
      </c>
    </row>
    <row r="1332" customFormat="false" ht="15" hidden="false" customHeight="false" outlineLevel="0" collapsed="false">
      <c r="DB1332" s="0" t="str">
        <f aca="false">IF($A1332="","",IF(AND($A1332=21,$AE1332&amp;""="00000000"),IF($AH1332=20,"病院",IF($AH1332=5,"消防","市長")),"対象外"))</f>
        <v/>
      </c>
    </row>
    <row r="1333" customFormat="false" ht="15" hidden="false" customHeight="false" outlineLevel="0" collapsed="false">
      <c r="DB1333" s="0" t="str">
        <f aca="false">IF($A1333="","",IF(AND($A1333=21,$AE1333&amp;""="00000000"),IF($AH1333=20,"病院",IF($AH1333=5,"消防","市長")),"対象外"))</f>
        <v/>
      </c>
    </row>
    <row r="1334" customFormat="false" ht="15" hidden="false" customHeight="false" outlineLevel="0" collapsed="false">
      <c r="DB1334" s="0" t="str">
        <f aca="false">IF($A1334="","",IF(AND($A1334=21,$AE1334&amp;""="00000000"),IF($AH1334=20,"病院",IF($AH1334=5,"消防","市長")),"対象外"))</f>
        <v/>
      </c>
    </row>
    <row r="1335" customFormat="false" ht="15" hidden="false" customHeight="false" outlineLevel="0" collapsed="false">
      <c r="DB1335" s="0" t="str">
        <f aca="false">IF($A1335="","",IF(AND($A1335=21,$AE1335&amp;""="00000000"),IF($AH1335=20,"病院",IF($AH1335=5,"消防","市長")),"対象外"))</f>
        <v/>
      </c>
    </row>
    <row r="1336" customFormat="false" ht="15" hidden="false" customHeight="false" outlineLevel="0" collapsed="false">
      <c r="DB1336" s="0" t="str">
        <f aca="false">IF($A1336="","",IF(AND($A1336=21,$AE1336&amp;""="00000000"),IF($AH1336=20,"病院",IF($AH1336=5,"消防","市長")),"対象外"))</f>
        <v/>
      </c>
    </row>
    <row r="1337" customFormat="false" ht="15" hidden="false" customHeight="false" outlineLevel="0" collapsed="false">
      <c r="DB1337" s="0" t="str">
        <f aca="false">IF($A1337="","",IF(AND($A1337=21,$AE1337&amp;""="00000000"),IF($AH1337=20,"病院",IF($AH1337=5,"消防","市長")),"対象外"))</f>
        <v/>
      </c>
    </row>
    <row r="1338" customFormat="false" ht="15" hidden="false" customHeight="false" outlineLevel="0" collapsed="false">
      <c r="DB1338" s="0" t="str">
        <f aca="false">IF($A1338="","",IF(AND($A1338=21,$AE1338&amp;""="00000000"),IF($AH1338=20,"病院",IF($AH1338=5,"消防","市長")),"対象外"))</f>
        <v/>
      </c>
    </row>
    <row r="1339" customFormat="false" ht="15" hidden="false" customHeight="false" outlineLevel="0" collapsed="false">
      <c r="DB1339" s="0" t="str">
        <f aca="false">IF($A1339="","",IF(AND($A1339=21,$AE1339&amp;""="00000000"),IF($AH1339=20,"病院",IF($AH1339=5,"消防","市長")),"対象外"))</f>
        <v/>
      </c>
    </row>
    <row r="1340" customFormat="false" ht="15" hidden="false" customHeight="false" outlineLevel="0" collapsed="false">
      <c r="DB1340" s="0" t="str">
        <f aca="false">IF($A1340="","",IF(AND($A1340=21,$AE1340&amp;""="00000000"),IF($AH1340=20,"病院",IF($AH1340=5,"消防","市長")),"対象外"))</f>
        <v/>
      </c>
    </row>
    <row r="1341" customFormat="false" ht="15" hidden="false" customHeight="false" outlineLevel="0" collapsed="false">
      <c r="DB1341" s="0" t="str">
        <f aca="false">IF($A1341="","",IF(AND($A1341=21,$AE1341&amp;""="00000000"),IF($AH1341=20,"病院",IF($AH1341=5,"消防","市長")),"対象外"))</f>
        <v/>
      </c>
    </row>
    <row r="1342" customFormat="false" ht="15" hidden="false" customHeight="false" outlineLevel="0" collapsed="false">
      <c r="DB1342" s="0" t="str">
        <f aca="false">IF($A1342="","",IF(AND($A1342=21,$AE1342&amp;""="00000000"),IF($AH1342=20,"病院",IF($AH1342=5,"消防","市長")),"対象外"))</f>
        <v/>
      </c>
    </row>
    <row r="1343" customFormat="false" ht="15" hidden="false" customHeight="false" outlineLevel="0" collapsed="false">
      <c r="DB1343" s="0" t="str">
        <f aca="false">IF($A1343="","",IF(AND($A1343=21,$AE1343&amp;""="00000000"),IF($AH1343=20,"病院",IF($AH1343=5,"消防","市長")),"対象外"))</f>
        <v/>
      </c>
    </row>
    <row r="1344" customFormat="false" ht="15" hidden="false" customHeight="false" outlineLevel="0" collapsed="false">
      <c r="DB1344" s="0" t="str">
        <f aca="false">IF($A1344="","",IF(AND($A1344=21,$AE1344&amp;""="00000000"),IF($AH1344=20,"病院",IF($AH1344=5,"消防","市長")),"対象外"))</f>
        <v/>
      </c>
    </row>
    <row r="1345" customFormat="false" ht="15" hidden="false" customHeight="false" outlineLevel="0" collapsed="false">
      <c r="DB1345" s="0" t="str">
        <f aca="false">IF($A1345="","",IF(AND($A1345=21,$AE1345&amp;""="00000000"),IF($AH1345=20,"病院",IF($AH1345=5,"消防","市長")),"対象外"))</f>
        <v/>
      </c>
    </row>
    <row r="1346" customFormat="false" ht="15" hidden="false" customHeight="false" outlineLevel="0" collapsed="false">
      <c r="DB1346" s="0" t="str">
        <f aca="false">IF($A1346="","",IF(AND($A1346=21,$AE1346&amp;""="00000000"),IF($AH1346=20,"病院",IF($AH1346=5,"消防","市長")),"対象外"))</f>
        <v/>
      </c>
    </row>
    <row r="1347" customFormat="false" ht="15" hidden="false" customHeight="false" outlineLevel="0" collapsed="false">
      <c r="DB1347" s="0" t="str">
        <f aca="false">IF($A1347="","",IF(AND($A1347=21,$AE1347&amp;""="00000000"),IF($AH1347=20,"病院",IF($AH1347=5,"消防","市長")),"対象外"))</f>
        <v/>
      </c>
    </row>
    <row r="1348" customFormat="false" ht="15" hidden="false" customHeight="false" outlineLevel="0" collapsed="false">
      <c r="DB1348" s="0" t="str">
        <f aca="false">IF($A1348="","",IF(AND($A1348=21,$AE1348&amp;""="00000000"),IF($AH1348=20,"病院",IF($AH1348=5,"消防","市長")),"対象外"))</f>
        <v/>
      </c>
    </row>
    <row r="1349" customFormat="false" ht="15" hidden="false" customHeight="false" outlineLevel="0" collapsed="false">
      <c r="DB1349" s="0" t="str">
        <f aca="false">IF($A1349="","",IF(AND($A1349=21,$AE1349&amp;""="00000000"),IF($AH1349=20,"病院",IF($AH1349=5,"消防","市長")),"対象外"))</f>
        <v/>
      </c>
    </row>
    <row r="1350" customFormat="false" ht="15" hidden="false" customHeight="false" outlineLevel="0" collapsed="false">
      <c r="DB1350" s="0" t="str">
        <f aca="false">IF($A1350="","",IF(AND($A1350=21,$AE1350&amp;""="00000000"),IF($AH1350=20,"病院",IF($AH1350=5,"消防","市長")),"対象外"))</f>
        <v/>
      </c>
    </row>
    <row r="1351" customFormat="false" ht="15" hidden="false" customHeight="false" outlineLevel="0" collapsed="false">
      <c r="DB1351" s="0" t="str">
        <f aca="false">IF($A1351="","",IF(AND($A1351=21,$AE1351&amp;""="00000000"),IF($AH1351=20,"病院",IF($AH1351=5,"消防","市長")),"対象外"))</f>
        <v/>
      </c>
    </row>
    <row r="1352" customFormat="false" ht="15" hidden="false" customHeight="false" outlineLevel="0" collapsed="false">
      <c r="DB1352" s="0" t="str">
        <f aca="false">IF($A1352="","",IF(AND($A1352=21,$AE1352&amp;""="00000000"),IF($AH1352=20,"病院",IF($AH1352=5,"消防","市長")),"対象外"))</f>
        <v/>
      </c>
    </row>
    <row r="1353" customFormat="false" ht="15" hidden="false" customHeight="false" outlineLevel="0" collapsed="false">
      <c r="DB1353" s="0" t="str">
        <f aca="false">IF($A1353="","",IF(AND($A1353=21,$AE1353&amp;""="00000000"),IF($AH1353=20,"病院",IF($AH1353=5,"消防","市長")),"対象外"))</f>
        <v/>
      </c>
    </row>
    <row r="1354" customFormat="false" ht="15" hidden="false" customHeight="false" outlineLevel="0" collapsed="false">
      <c r="DB1354" s="0" t="str">
        <f aca="false">IF($A1354="","",IF(AND($A1354=21,$AE1354&amp;""="00000000"),IF($AH1354=20,"病院",IF($AH1354=5,"消防","市長")),"対象外"))</f>
        <v/>
      </c>
    </row>
    <row r="1355" customFormat="false" ht="15" hidden="false" customHeight="false" outlineLevel="0" collapsed="false">
      <c r="DB1355" s="0" t="str">
        <f aca="false">IF($A1355="","",IF(AND($A1355=21,$AE1355&amp;""="00000000"),IF($AH1355=20,"病院",IF($AH1355=5,"消防","市長")),"対象外"))</f>
        <v/>
      </c>
    </row>
    <row r="1356" customFormat="false" ht="15" hidden="false" customHeight="false" outlineLevel="0" collapsed="false">
      <c r="DB1356" s="0" t="str">
        <f aca="false">IF($A1356="","",IF(AND($A1356=21,$AE1356&amp;""="00000000"),IF($AH1356=20,"病院",IF($AH1356=5,"消防","市長")),"対象外"))</f>
        <v/>
      </c>
    </row>
    <row r="1357" customFormat="false" ht="15" hidden="false" customHeight="false" outlineLevel="0" collapsed="false">
      <c r="DB1357" s="0" t="str">
        <f aca="false">IF($A1357="","",IF(AND($A1357=21,$AE1357&amp;""="00000000"),IF($AH1357=20,"病院",IF($AH1357=5,"消防","市長")),"対象外"))</f>
        <v/>
      </c>
    </row>
    <row r="1358" customFormat="false" ht="15" hidden="false" customHeight="false" outlineLevel="0" collapsed="false">
      <c r="DB1358" s="0" t="str">
        <f aca="false">IF($A1358="","",IF(AND($A1358=21,$AE1358&amp;""="00000000"),IF($AH1358=20,"病院",IF($AH1358=5,"消防","市長")),"対象外"))</f>
        <v/>
      </c>
    </row>
    <row r="1359" customFormat="false" ht="15" hidden="false" customHeight="false" outlineLevel="0" collapsed="false">
      <c r="DB1359" s="0" t="str">
        <f aca="false">IF($A1359="","",IF(AND($A1359=21,$AE1359&amp;""="00000000"),IF($AH1359=20,"病院",IF($AH1359=5,"消防","市長")),"対象外"))</f>
        <v/>
      </c>
    </row>
    <row r="1360" customFormat="false" ht="15" hidden="false" customHeight="false" outlineLevel="0" collapsed="false">
      <c r="DB1360" s="0" t="str">
        <f aca="false">IF($A1360="","",IF(AND($A1360=21,$AE1360&amp;""="00000000"),IF($AH1360=20,"病院",IF($AH1360=5,"消防","市長")),"対象外"))</f>
        <v/>
      </c>
    </row>
    <row r="1361" customFormat="false" ht="15" hidden="false" customHeight="false" outlineLevel="0" collapsed="false">
      <c r="DB1361" s="0" t="str">
        <f aca="false">IF($A1361="","",IF(AND($A1361=21,$AE1361&amp;""="00000000"),IF($AH1361=20,"病院",IF($AH1361=5,"消防","市長")),"対象外"))</f>
        <v/>
      </c>
    </row>
    <row r="1362" customFormat="false" ht="15" hidden="false" customHeight="false" outlineLevel="0" collapsed="false">
      <c r="DB1362" s="0" t="str">
        <f aca="false">IF($A1362="","",IF(AND($A1362=21,$AE1362&amp;""="00000000"),IF($AH1362=20,"病院",IF($AH1362=5,"消防","市長")),"対象外"))</f>
        <v/>
      </c>
    </row>
    <row r="1363" customFormat="false" ht="15" hidden="false" customHeight="false" outlineLevel="0" collapsed="false">
      <c r="DB1363" s="0" t="str">
        <f aca="false">IF($A1363="","",IF(AND($A1363=21,$AE1363&amp;""="00000000"),IF($AH1363=20,"病院",IF($AH1363=5,"消防","市長")),"対象外"))</f>
        <v/>
      </c>
    </row>
    <row r="1364" customFormat="false" ht="15" hidden="false" customHeight="false" outlineLevel="0" collapsed="false">
      <c r="DB1364" s="0" t="str">
        <f aca="false">IF($A1364="","",IF(AND($A1364=21,$AE1364&amp;""="00000000"),IF($AH1364=20,"病院",IF($AH1364=5,"消防","市長")),"対象外"))</f>
        <v/>
      </c>
    </row>
    <row r="1365" customFormat="false" ht="15" hidden="false" customHeight="false" outlineLevel="0" collapsed="false">
      <c r="DB1365" s="0" t="str">
        <f aca="false">IF($A1365="","",IF(AND($A1365=21,$AE1365&amp;""="00000000"),IF($AH1365=20,"病院",IF($AH1365=5,"消防","市長")),"対象外"))</f>
        <v/>
      </c>
    </row>
    <row r="1366" customFormat="false" ht="15" hidden="false" customHeight="false" outlineLevel="0" collapsed="false">
      <c r="DB1366" s="0" t="str">
        <f aca="false">IF($A1366="","",IF(AND($A1366=21,$AE1366&amp;""="00000000"),IF($AH1366=20,"病院",IF($AH1366=5,"消防","市長")),"対象外"))</f>
        <v/>
      </c>
    </row>
    <row r="1367" customFormat="false" ht="15" hidden="false" customHeight="false" outlineLevel="0" collapsed="false">
      <c r="DB1367" s="0" t="str">
        <f aca="false">IF($A1367="","",IF(AND($A1367=21,$AE1367&amp;""="00000000"),IF($AH1367=20,"病院",IF($AH1367=5,"消防","市長")),"対象外"))</f>
        <v/>
      </c>
    </row>
    <row r="1368" customFormat="false" ht="15" hidden="false" customHeight="false" outlineLevel="0" collapsed="false">
      <c r="DB1368" s="0" t="str">
        <f aca="false">IF($A1368="","",IF(AND($A1368=21,$AE1368&amp;""="00000000"),IF($AH1368=20,"病院",IF($AH1368=5,"消防","市長")),"対象外"))</f>
        <v/>
      </c>
    </row>
    <row r="1369" customFormat="false" ht="15" hidden="false" customHeight="false" outlineLevel="0" collapsed="false">
      <c r="DB1369" s="0" t="str">
        <f aca="false">IF($A1369="","",IF(AND($A1369=21,$AE1369&amp;""="00000000"),IF($AH1369=20,"病院",IF($AH1369=5,"消防","市長")),"対象外"))</f>
        <v/>
      </c>
    </row>
    <row r="1370" customFormat="false" ht="15" hidden="false" customHeight="false" outlineLevel="0" collapsed="false">
      <c r="DB1370" s="0" t="str">
        <f aca="false">IF($A1370="","",IF(AND($A1370=21,$AE1370&amp;""="00000000"),IF($AH1370=20,"病院",IF($AH1370=5,"消防","市長")),"対象外"))</f>
        <v/>
      </c>
    </row>
    <row r="1371" customFormat="false" ht="15" hidden="false" customHeight="false" outlineLevel="0" collapsed="false">
      <c r="DB1371" s="0" t="str">
        <f aca="false">IF($A1371="","",IF(AND($A1371=21,$AE1371&amp;""="00000000"),IF($AH1371=20,"病院",IF($AH1371=5,"消防","市長")),"対象外"))</f>
        <v/>
      </c>
    </row>
    <row r="1372" customFormat="false" ht="15" hidden="false" customHeight="false" outlineLevel="0" collapsed="false">
      <c r="DB1372" s="0" t="str">
        <f aca="false">IF($A1372="","",IF(AND($A1372=21,$AE1372&amp;""="00000000"),IF($AH1372=20,"病院",IF($AH1372=5,"消防","市長")),"対象外"))</f>
        <v/>
      </c>
    </row>
    <row r="1373" customFormat="false" ht="15" hidden="false" customHeight="false" outlineLevel="0" collapsed="false">
      <c r="DB1373" s="0" t="str">
        <f aca="false">IF($A1373="","",IF(AND($A1373=21,$AE1373&amp;""="00000000"),IF($AH1373=20,"病院",IF($AH1373=5,"消防","市長")),"対象外"))</f>
        <v/>
      </c>
    </row>
    <row r="1374" customFormat="false" ht="15" hidden="false" customHeight="false" outlineLevel="0" collapsed="false">
      <c r="DB1374" s="0" t="str">
        <f aca="false">IF($A1374="","",IF(AND($A1374=21,$AE1374&amp;""="00000000"),IF($AH1374=20,"病院",IF($AH1374=5,"消防","市長")),"対象外"))</f>
        <v/>
      </c>
    </row>
    <row r="1375" customFormat="false" ht="15" hidden="false" customHeight="false" outlineLevel="0" collapsed="false">
      <c r="DB1375" s="0" t="str">
        <f aca="false">IF($A1375="","",IF(AND($A1375=21,$AE1375&amp;""="00000000"),IF($AH1375=20,"病院",IF($AH1375=5,"消防","市長")),"対象外"))</f>
        <v/>
      </c>
    </row>
    <row r="1376" customFormat="false" ht="15" hidden="false" customHeight="false" outlineLevel="0" collapsed="false">
      <c r="DB1376" s="0" t="str">
        <f aca="false">IF($A1376="","",IF(AND($A1376=21,$AE1376&amp;""="00000000"),IF($AH1376=20,"病院",IF($AH1376=5,"消防","市長")),"対象外"))</f>
        <v/>
      </c>
    </row>
    <row r="1377" customFormat="false" ht="15" hidden="false" customHeight="false" outlineLevel="0" collapsed="false">
      <c r="DB1377" s="0" t="str">
        <f aca="false">IF($A1377="","",IF(AND($A1377=21,$AE1377&amp;""="00000000"),IF($AH1377=20,"病院",IF($AH1377=5,"消防","市長")),"対象外"))</f>
        <v/>
      </c>
    </row>
    <row r="1378" customFormat="false" ht="15" hidden="false" customHeight="false" outlineLevel="0" collapsed="false">
      <c r="DB1378" s="0" t="str">
        <f aca="false">IF($A1378="","",IF(AND($A1378=21,$AE1378&amp;""="00000000"),IF($AH1378=20,"病院",IF($AH1378=5,"消防","市長")),"対象外"))</f>
        <v/>
      </c>
    </row>
    <row r="1379" customFormat="false" ht="15" hidden="false" customHeight="false" outlineLevel="0" collapsed="false">
      <c r="DB1379" s="0" t="str">
        <f aca="false">IF($A1379="","",IF(AND($A1379=21,$AE1379&amp;""="00000000"),IF($AH1379=20,"病院",IF($AH1379=5,"消防","市長")),"対象外"))</f>
        <v/>
      </c>
    </row>
    <row r="1380" customFormat="false" ht="15" hidden="false" customHeight="false" outlineLevel="0" collapsed="false">
      <c r="DB1380" s="0" t="str">
        <f aca="false">IF($A1380="","",IF(AND($A1380=21,$AE1380&amp;""="00000000"),IF($AH1380=20,"病院",IF($AH1380=5,"消防","市長")),"対象外"))</f>
        <v/>
      </c>
    </row>
    <row r="1381" customFormat="false" ht="15" hidden="false" customHeight="false" outlineLevel="0" collapsed="false">
      <c r="DB1381" s="0" t="str">
        <f aca="false">IF($A1381="","",IF(AND($A1381=21,$AE1381&amp;""="00000000"),IF($AH1381=20,"病院",IF($AH1381=5,"消防","市長")),"対象外"))</f>
        <v/>
      </c>
    </row>
    <row r="1382" customFormat="false" ht="15" hidden="false" customHeight="false" outlineLevel="0" collapsed="false">
      <c r="DB1382" s="0" t="str">
        <f aca="false">IF($A1382="","",IF(AND($A1382=21,$AE1382&amp;""="00000000"),IF($AH1382=20,"病院",IF($AH1382=5,"消防","市長")),"対象外"))</f>
        <v/>
      </c>
    </row>
    <row r="1383" customFormat="false" ht="15" hidden="false" customHeight="false" outlineLevel="0" collapsed="false">
      <c r="DB1383" s="0" t="str">
        <f aca="false">IF($A1383="","",IF(AND($A1383=21,$AE1383&amp;""="00000000"),IF($AH1383=20,"病院",IF($AH1383=5,"消防","市長")),"対象外"))</f>
        <v/>
      </c>
    </row>
    <row r="1384" customFormat="false" ht="15" hidden="false" customHeight="false" outlineLevel="0" collapsed="false">
      <c r="DB1384" s="0" t="str">
        <f aca="false">IF($A1384="","",IF(AND($A1384=21,$AE1384&amp;""="00000000"),IF($AH1384=20,"病院",IF($AH1384=5,"消防","市長")),"対象外"))</f>
        <v/>
      </c>
    </row>
    <row r="1385" customFormat="false" ht="15" hidden="false" customHeight="false" outlineLevel="0" collapsed="false">
      <c r="DB1385" s="0" t="str">
        <f aca="false">IF($A1385="","",IF(AND($A1385=21,$AE1385&amp;""="00000000"),IF($AH1385=20,"病院",IF($AH1385=5,"消防","市長")),"対象外"))</f>
        <v/>
      </c>
    </row>
    <row r="1386" customFormat="false" ht="15" hidden="false" customHeight="false" outlineLevel="0" collapsed="false">
      <c r="DB1386" s="0" t="str">
        <f aca="false">IF($A1386="","",IF(AND($A1386=21,$AE1386&amp;""="00000000"),IF($AH1386=20,"病院",IF($AH1386=5,"消防","市長")),"対象外"))</f>
        <v/>
      </c>
    </row>
    <row r="1387" customFormat="false" ht="15" hidden="false" customHeight="false" outlineLevel="0" collapsed="false">
      <c r="DB1387" s="0" t="str">
        <f aca="false">IF($A1387="","",IF(AND($A1387=21,$AE1387&amp;""="00000000"),IF($AH1387=20,"病院",IF($AH1387=5,"消防","市長")),"対象外"))</f>
        <v/>
      </c>
    </row>
    <row r="1388" customFormat="false" ht="15" hidden="false" customHeight="false" outlineLevel="0" collapsed="false">
      <c r="DB1388" s="0" t="str">
        <f aca="false">IF($A1388="","",IF(AND($A1388=21,$AE1388&amp;""="00000000"),IF($AH1388=20,"病院",IF($AH1388=5,"消防","市長")),"対象外"))</f>
        <v/>
      </c>
    </row>
    <row r="1389" customFormat="false" ht="15" hidden="false" customHeight="false" outlineLevel="0" collapsed="false">
      <c r="DB1389" s="0" t="str">
        <f aca="false">IF($A1389="","",IF(AND($A1389=21,$AE1389&amp;""="00000000"),IF($AH1389=20,"病院",IF($AH1389=5,"消防","市長")),"対象外"))</f>
        <v/>
      </c>
    </row>
    <row r="1390" customFormat="false" ht="15" hidden="false" customHeight="false" outlineLevel="0" collapsed="false">
      <c r="DB1390" s="0" t="str">
        <f aca="false">IF($A1390="","",IF(AND($A1390=21,$AE1390&amp;""="00000000"),IF($AH1390=20,"病院",IF($AH1390=5,"消防","市長")),"対象外"))</f>
        <v/>
      </c>
    </row>
    <row r="1391" customFormat="false" ht="15" hidden="false" customHeight="false" outlineLevel="0" collapsed="false">
      <c r="DB1391" s="0" t="str">
        <f aca="false">IF($A1391="","",IF(AND($A1391=21,$AE1391&amp;""="00000000"),IF($AH1391=20,"病院",IF($AH1391=5,"消防","市長")),"対象外"))</f>
        <v/>
      </c>
    </row>
    <row r="1392" customFormat="false" ht="15" hidden="false" customHeight="false" outlineLevel="0" collapsed="false">
      <c r="DB1392" s="0" t="str">
        <f aca="false">IF($A1392="","",IF(AND($A1392=21,$AE1392&amp;""="00000000"),IF($AH1392=20,"病院",IF($AH1392=5,"消防","市長")),"対象外"))</f>
        <v/>
      </c>
    </row>
    <row r="1393" customFormat="false" ht="15" hidden="false" customHeight="false" outlineLevel="0" collapsed="false">
      <c r="DB1393" s="0" t="str">
        <f aca="false">IF($A1393="","",IF(AND($A1393=21,$AE1393&amp;""="00000000"),IF($AH1393=20,"病院",IF($AH1393=5,"消防","市長")),"対象外"))</f>
        <v/>
      </c>
    </row>
    <row r="1394" customFormat="false" ht="15" hidden="false" customHeight="false" outlineLevel="0" collapsed="false">
      <c r="DB1394" s="0" t="str">
        <f aca="false">IF($A1394="","",IF(AND($A1394=21,$AE1394&amp;""="00000000"),IF($AH1394=20,"病院",IF($AH1394=5,"消防","市長")),"対象外"))</f>
        <v/>
      </c>
    </row>
    <row r="1395" customFormat="false" ht="15" hidden="false" customHeight="false" outlineLevel="0" collapsed="false">
      <c r="DB1395" s="0" t="str">
        <f aca="false">IF($A1395="","",IF(AND($A1395=21,$AE1395&amp;""="00000000"),IF($AH1395=20,"病院",IF($AH1395=5,"消防","市長")),"対象外"))</f>
        <v/>
      </c>
    </row>
    <row r="1396" customFormat="false" ht="15" hidden="false" customHeight="false" outlineLevel="0" collapsed="false">
      <c r="DB1396" s="0" t="str">
        <f aca="false">IF($A1396="","",IF(AND($A1396=21,$AE1396&amp;""="00000000"),IF($AH1396=20,"病院",IF($AH1396=5,"消防","市長")),"対象外"))</f>
        <v/>
      </c>
    </row>
    <row r="1397" customFormat="false" ht="15" hidden="false" customHeight="false" outlineLevel="0" collapsed="false">
      <c r="DB1397" s="0" t="str">
        <f aca="false">IF($A1397="","",IF(AND($A1397=21,$AE1397&amp;""="00000000"),IF($AH1397=20,"病院",IF($AH1397=5,"消防","市長")),"対象外"))</f>
        <v/>
      </c>
    </row>
    <row r="1398" customFormat="false" ht="15" hidden="false" customHeight="false" outlineLevel="0" collapsed="false">
      <c r="DB1398" s="0" t="str">
        <f aca="false">IF($A1398="","",IF(AND($A1398=21,$AE1398&amp;""="00000000"),IF($AH1398=20,"病院",IF($AH1398=5,"消防","市長")),"対象外"))</f>
        <v/>
      </c>
    </row>
    <row r="1399" customFormat="false" ht="15" hidden="false" customHeight="false" outlineLevel="0" collapsed="false">
      <c r="DB1399" s="0" t="str">
        <f aca="false">IF($A1399="","",IF(AND($A1399=21,$AE1399&amp;""="00000000"),IF($AH1399=20,"病院",IF($AH1399=5,"消防","市長")),"対象外"))</f>
        <v/>
      </c>
    </row>
    <row r="1400" customFormat="false" ht="15" hidden="false" customHeight="false" outlineLevel="0" collapsed="false">
      <c r="DB1400" s="0" t="str">
        <f aca="false">IF($A1400="","",IF(AND($A1400=21,$AE1400&amp;""="00000000"),IF($AH1400=20,"病院",IF($AH1400=5,"消防","市長")),"対象外"))</f>
        <v/>
      </c>
    </row>
    <row r="1401" customFormat="false" ht="15" hidden="false" customHeight="false" outlineLevel="0" collapsed="false">
      <c r="DB1401" s="0" t="str">
        <f aca="false">IF($A1401="","",IF(AND($A1401=21,$AE1401&amp;""="00000000"),IF($AH1401=20,"病院",IF($AH1401=5,"消防","市長")),"対象外"))</f>
        <v/>
      </c>
    </row>
    <row r="1402" customFormat="false" ht="15" hidden="false" customHeight="false" outlineLevel="0" collapsed="false">
      <c r="DB1402" s="0" t="str">
        <f aca="false">IF($A1402="","",IF(AND($A1402=21,$AE1402&amp;""="00000000"),IF($AH1402=20,"病院",IF($AH1402=5,"消防","市長")),"対象外"))</f>
        <v/>
      </c>
    </row>
    <row r="1403" customFormat="false" ht="15" hidden="false" customHeight="false" outlineLevel="0" collapsed="false">
      <c r="DB1403" s="0" t="str">
        <f aca="false">IF($A1403="","",IF(AND($A1403=21,$AE1403&amp;""="00000000"),IF($AH1403=20,"病院",IF($AH1403=5,"消防","市長")),"対象外"))</f>
        <v/>
      </c>
    </row>
    <row r="1404" customFormat="false" ht="15" hidden="false" customHeight="false" outlineLevel="0" collapsed="false">
      <c r="DB1404" s="0" t="str">
        <f aca="false">IF($A1404="","",IF(AND($A1404=21,$AE1404&amp;""="00000000"),IF($AH1404=20,"病院",IF($AH1404=5,"消防","市長")),"対象外"))</f>
        <v/>
      </c>
    </row>
    <row r="1405" customFormat="false" ht="15" hidden="false" customHeight="false" outlineLevel="0" collapsed="false">
      <c r="DB1405" s="0" t="str">
        <f aca="false">IF($A1405="","",IF(AND($A1405=21,$AE1405&amp;""="00000000"),IF($AH1405=20,"病院",IF($AH1405=5,"消防","市長")),"対象外"))</f>
        <v/>
      </c>
    </row>
    <row r="1406" customFormat="false" ht="15" hidden="false" customHeight="false" outlineLevel="0" collapsed="false">
      <c r="DB1406" s="0" t="str">
        <f aca="false">IF($A1406="","",IF(AND($A1406=21,$AE1406&amp;""="00000000"),IF($AH1406=20,"病院",IF($AH1406=5,"消防","市長")),"対象外"))</f>
        <v/>
      </c>
    </row>
    <row r="1407" customFormat="false" ht="15" hidden="false" customHeight="false" outlineLevel="0" collapsed="false">
      <c r="DB1407" s="0" t="str">
        <f aca="false">IF($A1407="","",IF(AND($A1407=21,$AE1407&amp;""="00000000"),IF($AH1407=20,"病院",IF($AH1407=5,"消防","市長")),"対象外"))</f>
        <v/>
      </c>
    </row>
    <row r="1408" customFormat="false" ht="15" hidden="false" customHeight="false" outlineLevel="0" collapsed="false">
      <c r="DB1408" s="0" t="str">
        <f aca="false">IF($A1408="","",IF(AND($A1408=21,$AE1408&amp;""="00000000"),IF($AH1408=20,"病院",IF($AH1408=5,"消防","市長")),"対象外"))</f>
        <v/>
      </c>
    </row>
    <row r="1409" customFormat="false" ht="15" hidden="false" customHeight="false" outlineLevel="0" collapsed="false">
      <c r="DB1409" s="0" t="str">
        <f aca="false">IF($A1409="","",IF(AND($A1409=21,$AE1409&amp;""="00000000"),IF($AH1409=20,"病院",IF($AH1409=5,"消防","市長")),"対象外"))</f>
        <v/>
      </c>
    </row>
    <row r="1410" customFormat="false" ht="15" hidden="false" customHeight="false" outlineLevel="0" collapsed="false">
      <c r="DB1410" s="0" t="str">
        <f aca="false">IF($A1410="","",IF(AND($A1410=21,$AE1410&amp;""="00000000"),IF($AH1410=20,"病院",IF($AH1410=5,"消防","市長")),"対象外"))</f>
        <v/>
      </c>
    </row>
    <row r="1411" customFormat="false" ht="15" hidden="false" customHeight="false" outlineLevel="0" collapsed="false">
      <c r="DB1411" s="0" t="str">
        <f aca="false">IF($A1411="","",IF(AND($A1411=21,$AE1411&amp;""="00000000"),IF($AH1411=20,"病院",IF($AH1411=5,"消防","市長")),"対象外"))</f>
        <v/>
      </c>
    </row>
    <row r="1412" customFormat="false" ht="15" hidden="false" customHeight="false" outlineLevel="0" collapsed="false">
      <c r="DB1412" s="0" t="str">
        <f aca="false">IF($A1412="","",IF(AND($A1412=21,$AE1412&amp;""="00000000"),IF($AH1412=20,"病院",IF($AH1412=5,"消防","市長")),"対象外"))</f>
        <v/>
      </c>
    </row>
    <row r="1413" customFormat="false" ht="15" hidden="false" customHeight="false" outlineLevel="0" collapsed="false">
      <c r="DB1413" s="0" t="str">
        <f aca="false">IF($A1413="","",IF(AND($A1413=21,$AE1413&amp;""="00000000"),IF($AH1413=20,"病院",IF($AH1413=5,"消防","市長")),"対象外"))</f>
        <v/>
      </c>
    </row>
    <row r="1414" customFormat="false" ht="15" hidden="false" customHeight="false" outlineLevel="0" collapsed="false">
      <c r="DB1414" s="0" t="str">
        <f aca="false">IF($A1414="","",IF(AND($A1414=21,$AE1414&amp;""="00000000"),IF($AH1414=20,"病院",IF($AH1414=5,"消防","市長")),"対象外"))</f>
        <v/>
      </c>
    </row>
    <row r="1415" customFormat="false" ht="15" hidden="false" customHeight="false" outlineLevel="0" collapsed="false">
      <c r="DB1415" s="0" t="str">
        <f aca="false">IF($A1415="","",IF(AND($A1415=21,$AE1415&amp;""="00000000"),IF($AH1415=20,"病院",IF($AH1415=5,"消防","市長")),"対象外"))</f>
        <v/>
      </c>
    </row>
    <row r="1416" customFormat="false" ht="15" hidden="false" customHeight="false" outlineLevel="0" collapsed="false">
      <c r="DB1416" s="0" t="str">
        <f aca="false">IF($A1416="","",IF(AND($A1416=21,$AE1416&amp;""="00000000"),IF($AH1416=20,"病院",IF($AH1416=5,"消防","市長")),"対象外"))</f>
        <v/>
      </c>
    </row>
    <row r="1417" customFormat="false" ht="15" hidden="false" customHeight="false" outlineLevel="0" collapsed="false">
      <c r="DB1417" s="0" t="str">
        <f aca="false">IF($A1417="","",IF(AND($A1417=21,$AE1417&amp;""="00000000"),IF($AH1417=20,"病院",IF($AH1417=5,"消防","市長")),"対象外"))</f>
        <v/>
      </c>
    </row>
    <row r="1418" customFormat="false" ht="15" hidden="false" customHeight="false" outlineLevel="0" collapsed="false">
      <c r="DB1418" s="0" t="str">
        <f aca="false">IF($A1418="","",IF(AND($A1418=21,$AE1418&amp;""="00000000"),IF($AH1418=20,"病院",IF($AH1418=5,"消防","市長")),"対象外"))</f>
        <v/>
      </c>
    </row>
    <row r="1419" customFormat="false" ht="15" hidden="false" customHeight="false" outlineLevel="0" collapsed="false">
      <c r="DB1419" s="0" t="str">
        <f aca="false">IF($A1419="","",IF(AND($A1419=21,$AE1419&amp;""="00000000"),IF($AH1419=20,"病院",IF($AH1419=5,"消防","市長")),"対象外"))</f>
        <v/>
      </c>
    </row>
    <row r="1420" customFormat="false" ht="15" hidden="false" customHeight="false" outlineLevel="0" collapsed="false">
      <c r="DB1420" s="0" t="str">
        <f aca="false">IF($A1420="","",IF(AND($A1420=21,$AE1420&amp;""="00000000"),IF($AH1420=20,"病院",IF($AH1420=5,"消防","市長")),"対象外"))</f>
        <v/>
      </c>
    </row>
    <row r="1421" customFormat="false" ht="15" hidden="false" customHeight="false" outlineLevel="0" collapsed="false">
      <c r="DB1421" s="0" t="str">
        <f aca="false">IF($A1421="","",IF(AND($A1421=21,$AE1421&amp;""="00000000"),IF($AH1421=20,"病院",IF($AH1421=5,"消防","市長")),"対象外"))</f>
        <v/>
      </c>
    </row>
    <row r="1422" customFormat="false" ht="15" hidden="false" customHeight="false" outlineLevel="0" collapsed="false">
      <c r="DB1422" s="0" t="str">
        <f aca="false">IF($A1422="","",IF(AND($A1422=21,$AE1422&amp;""="00000000"),IF($AH1422=20,"病院",IF($AH1422=5,"消防","市長")),"対象外"))</f>
        <v/>
      </c>
    </row>
    <row r="1423" customFormat="false" ht="15" hidden="false" customHeight="false" outlineLevel="0" collapsed="false">
      <c r="DB1423" s="0" t="str">
        <f aca="false">IF($A1423="","",IF(AND($A1423=21,$AE1423&amp;""="00000000"),IF($AH1423=20,"病院",IF($AH1423=5,"消防","市長")),"対象外"))</f>
        <v/>
      </c>
    </row>
    <row r="1424" customFormat="false" ht="15" hidden="false" customHeight="false" outlineLevel="0" collapsed="false">
      <c r="DB1424" s="0" t="str">
        <f aca="false">IF($A1424="","",IF(AND($A1424=21,$AE1424&amp;""="00000000"),IF($AH1424=20,"病院",IF($AH1424=5,"消防","市長")),"対象外"))</f>
        <v/>
      </c>
    </row>
    <row r="1425" customFormat="false" ht="15" hidden="false" customHeight="false" outlineLevel="0" collapsed="false">
      <c r="DB1425" s="0" t="str">
        <f aca="false">IF($A1425="","",IF(AND($A1425=21,$AE1425&amp;""="00000000"),IF($AH1425=20,"病院",IF($AH1425=5,"消防","市長")),"対象外"))</f>
        <v/>
      </c>
    </row>
    <row r="1426" customFormat="false" ht="15" hidden="false" customHeight="false" outlineLevel="0" collapsed="false">
      <c r="DB1426" s="0" t="str">
        <f aca="false">IF($A1426="","",IF(AND($A1426=21,$AE1426&amp;""="00000000"),IF($AH1426=20,"病院",IF($AH1426=5,"消防","市長")),"対象外"))</f>
        <v/>
      </c>
    </row>
    <row r="1427" customFormat="false" ht="15" hidden="false" customHeight="false" outlineLevel="0" collapsed="false">
      <c r="DB1427" s="0" t="str">
        <f aca="false">IF($A1427="","",IF(AND($A1427=21,$AE1427&amp;""="00000000"),IF($AH1427=20,"病院",IF($AH1427=5,"消防","市長")),"対象外"))</f>
        <v/>
      </c>
    </row>
    <row r="1428" customFormat="false" ht="15" hidden="false" customHeight="false" outlineLevel="0" collapsed="false">
      <c r="DB1428" s="0" t="str">
        <f aca="false">IF($A1428="","",IF(AND($A1428=21,$AE1428&amp;""="00000000"),IF($AH1428=20,"病院",IF($AH1428=5,"消防","市長")),"対象外"))</f>
        <v/>
      </c>
    </row>
    <row r="1429" customFormat="false" ht="15" hidden="false" customHeight="false" outlineLevel="0" collapsed="false">
      <c r="DB1429" s="0" t="str">
        <f aca="false">IF($A1429="","",IF(AND($A1429=21,$AE1429&amp;""="00000000"),IF($AH1429=20,"病院",IF($AH1429=5,"消防","市長")),"対象外"))</f>
        <v/>
      </c>
    </row>
    <row r="1430" customFormat="false" ht="15" hidden="false" customHeight="false" outlineLevel="0" collapsed="false">
      <c r="DB1430" s="0" t="str">
        <f aca="false">IF($A1430="","",IF(AND($A1430=21,$AE1430&amp;""="00000000"),IF($AH1430=20,"病院",IF($AH1430=5,"消防","市長")),"対象外"))</f>
        <v/>
      </c>
    </row>
    <row r="1431" customFormat="false" ht="15" hidden="false" customHeight="false" outlineLevel="0" collapsed="false">
      <c r="DB1431" s="0" t="str">
        <f aca="false">IF($A1431="","",IF(AND($A1431=21,$AE1431&amp;""="00000000"),IF($AH1431=20,"病院",IF($AH1431=5,"消防","市長")),"対象外"))</f>
        <v/>
      </c>
    </row>
    <row r="1432" customFormat="false" ht="15" hidden="false" customHeight="false" outlineLevel="0" collapsed="false">
      <c r="DB1432" s="0" t="str">
        <f aca="false">IF($A1432="","",IF(AND($A1432=21,$AE1432&amp;""="00000000"),IF($AH1432=20,"病院",IF($AH1432=5,"消防","市長")),"対象外"))</f>
        <v/>
      </c>
    </row>
    <row r="1433" customFormat="false" ht="15" hidden="false" customHeight="false" outlineLevel="0" collapsed="false">
      <c r="DB1433" s="0" t="str">
        <f aca="false">IF($A1433="","",IF(AND($A1433=21,$AE1433&amp;""="00000000"),IF($AH1433=20,"病院",IF($AH1433=5,"消防","市長")),"対象外"))</f>
        <v/>
      </c>
    </row>
    <row r="1434" customFormat="false" ht="15" hidden="false" customHeight="false" outlineLevel="0" collapsed="false">
      <c r="DB1434" s="0" t="str">
        <f aca="false">IF($A1434="","",IF(AND($A1434=21,$AE1434&amp;""="00000000"),IF($AH1434=20,"病院",IF($AH1434=5,"消防","市長")),"対象外"))</f>
        <v/>
      </c>
    </row>
    <row r="1435" customFormat="false" ht="15" hidden="false" customHeight="false" outlineLevel="0" collapsed="false">
      <c r="DB1435" s="0" t="str">
        <f aca="false">IF($A1435="","",IF(AND($A1435=21,$AE1435&amp;""="00000000"),IF($AH1435=20,"病院",IF($AH1435=5,"消防","市長")),"対象外"))</f>
        <v/>
      </c>
    </row>
    <row r="1436" customFormat="false" ht="15" hidden="false" customHeight="false" outlineLevel="0" collapsed="false">
      <c r="DB1436" s="0" t="str">
        <f aca="false">IF($A1436="","",IF(AND($A1436=21,$AE1436&amp;""="00000000"),IF($AH1436=20,"病院",IF($AH1436=5,"消防","市長")),"対象外"))</f>
        <v/>
      </c>
    </row>
    <row r="1437" customFormat="false" ht="15" hidden="false" customHeight="false" outlineLevel="0" collapsed="false">
      <c r="DB1437" s="0" t="str">
        <f aca="false">IF($A1437="","",IF(AND($A1437=21,$AE1437&amp;""="00000000"),IF($AH1437=20,"病院",IF($AH1437=5,"消防","市長")),"対象外"))</f>
        <v/>
      </c>
    </row>
    <row r="1438" customFormat="false" ht="15" hidden="false" customHeight="false" outlineLevel="0" collapsed="false">
      <c r="DB1438" s="0" t="str">
        <f aca="false">IF($A1438="","",IF(AND($A1438=21,$AE1438&amp;""="00000000"),IF($AH1438=20,"病院",IF($AH1438=5,"消防","市長")),"対象外"))</f>
        <v/>
      </c>
    </row>
    <row r="1439" customFormat="false" ht="15" hidden="false" customHeight="false" outlineLevel="0" collapsed="false">
      <c r="DB1439" s="0" t="str">
        <f aca="false">IF($A1439="","",IF(AND($A1439=21,$AE1439&amp;""="00000000"),IF($AH1439=20,"病院",IF($AH1439=5,"消防","市長")),"対象外"))</f>
        <v/>
      </c>
    </row>
    <row r="1440" customFormat="false" ht="15" hidden="false" customHeight="false" outlineLevel="0" collapsed="false">
      <c r="DB1440" s="0" t="str">
        <f aca="false">IF($A1440="","",IF(AND($A1440=21,$AE1440&amp;""="00000000"),IF($AH1440=20,"病院",IF($AH1440=5,"消防","市長")),"対象外"))</f>
        <v/>
      </c>
    </row>
    <row r="1441" customFormat="false" ht="15" hidden="false" customHeight="false" outlineLevel="0" collapsed="false">
      <c r="DB1441" s="0" t="str">
        <f aca="false">IF($A1441="","",IF(AND($A1441=21,$AE1441&amp;""="00000000"),IF($AH1441=20,"病院",IF($AH1441=5,"消防","市長")),"対象外"))</f>
        <v/>
      </c>
    </row>
    <row r="1442" customFormat="false" ht="15" hidden="false" customHeight="false" outlineLevel="0" collapsed="false">
      <c r="DB1442" s="0" t="str">
        <f aca="false">IF($A1442="","",IF(AND($A1442=21,$AE1442&amp;""="00000000"),IF($AH1442=20,"病院",IF($AH1442=5,"消防","市長")),"対象外"))</f>
        <v/>
      </c>
    </row>
    <row r="1443" customFormat="false" ht="15" hidden="false" customHeight="false" outlineLevel="0" collapsed="false">
      <c r="DB1443" s="0" t="str">
        <f aca="false">IF($A1443="","",IF(AND($A1443=21,$AE1443&amp;""="00000000"),IF($AH1443=20,"病院",IF($AH1443=5,"消防","市長")),"対象外"))</f>
        <v/>
      </c>
    </row>
    <row r="1444" customFormat="false" ht="15" hidden="false" customHeight="false" outlineLevel="0" collapsed="false">
      <c r="DB1444" s="0" t="str">
        <f aca="false">IF($A1444="","",IF(AND($A1444=21,$AE1444&amp;""="00000000"),IF($AH1444=20,"病院",IF($AH1444=5,"消防","市長")),"対象外"))</f>
        <v/>
      </c>
    </row>
    <row r="1445" customFormat="false" ht="15" hidden="false" customHeight="false" outlineLevel="0" collapsed="false">
      <c r="DB1445" s="0" t="str">
        <f aca="false">IF($A1445="","",IF(AND($A1445=21,$AE1445&amp;""="00000000"),IF($AH1445=20,"病院",IF($AH1445=5,"消防","市長")),"対象外"))</f>
        <v/>
      </c>
    </row>
    <row r="1446" customFormat="false" ht="15" hidden="false" customHeight="false" outlineLevel="0" collapsed="false">
      <c r="DB1446" s="0" t="str">
        <f aca="false">IF($A1446="","",IF(AND($A1446=21,$AE1446&amp;""="00000000"),IF($AH1446=20,"病院",IF($AH1446=5,"消防","市長")),"対象外"))</f>
        <v/>
      </c>
    </row>
    <row r="1447" customFormat="false" ht="15" hidden="false" customHeight="false" outlineLevel="0" collapsed="false">
      <c r="DB1447" s="0" t="str">
        <f aca="false">IF($A1447="","",IF(AND($A1447=21,$AE1447&amp;""="00000000"),IF($AH1447=20,"病院",IF($AH1447=5,"消防","市長")),"対象外"))</f>
        <v/>
      </c>
    </row>
    <row r="1448" customFormat="false" ht="15" hidden="false" customHeight="false" outlineLevel="0" collapsed="false">
      <c r="DB1448" s="0" t="str">
        <f aca="false">IF($A1448="","",IF(AND($A1448=21,$AE1448&amp;""="00000000"),IF($AH1448=20,"病院",IF($AH1448=5,"消防","市長")),"対象外"))</f>
        <v/>
      </c>
    </row>
    <row r="1449" customFormat="false" ht="15" hidden="false" customHeight="false" outlineLevel="0" collapsed="false">
      <c r="DB1449" s="0" t="str">
        <f aca="false">IF($A1449="","",IF(AND($A1449=21,$AE1449&amp;""="00000000"),IF($AH1449=20,"病院",IF($AH1449=5,"消防","市長")),"対象外"))</f>
        <v/>
      </c>
    </row>
    <row r="1450" customFormat="false" ht="15" hidden="false" customHeight="false" outlineLevel="0" collapsed="false">
      <c r="DB1450" s="0" t="str">
        <f aca="false">IF($A1450="","",IF(AND($A1450=21,$AE1450&amp;""="00000000"),IF($AH1450=20,"病院",IF($AH1450=5,"消防","市長")),"対象外"))</f>
        <v/>
      </c>
    </row>
    <row r="1451" customFormat="false" ht="15" hidden="false" customHeight="false" outlineLevel="0" collapsed="false">
      <c r="DB1451" s="0" t="str">
        <f aca="false">IF($A1451="","",IF(AND($A1451=21,$AE1451&amp;""="00000000"),IF($AH1451=20,"病院",IF($AH1451=5,"消防","市長")),"対象外"))</f>
        <v/>
      </c>
    </row>
    <row r="1452" customFormat="false" ht="15" hidden="false" customHeight="false" outlineLevel="0" collapsed="false">
      <c r="DB1452" s="0" t="str">
        <f aca="false">IF($A1452="","",IF(AND($A1452=21,$AE1452&amp;""="00000000"),IF($AH1452=20,"病院",IF($AH1452=5,"消防","市長")),"対象外"))</f>
        <v/>
      </c>
    </row>
    <row r="1453" customFormat="false" ht="15" hidden="false" customHeight="false" outlineLevel="0" collapsed="false">
      <c r="DB1453" s="0" t="str">
        <f aca="false">IF($A1453="","",IF(AND($A1453=21,$AE1453&amp;""="00000000"),IF($AH1453=20,"病院",IF($AH1453=5,"消防","市長")),"対象外"))</f>
        <v/>
      </c>
    </row>
    <row r="1454" customFormat="false" ht="15" hidden="false" customHeight="false" outlineLevel="0" collapsed="false">
      <c r="DB1454" s="0" t="str">
        <f aca="false">IF($A1454="","",IF(AND($A1454=21,$AE1454&amp;""="00000000"),IF($AH1454=20,"病院",IF($AH1454=5,"消防","市長")),"対象外"))</f>
        <v/>
      </c>
    </row>
    <row r="1455" customFormat="false" ht="15" hidden="false" customHeight="false" outlineLevel="0" collapsed="false">
      <c r="DB1455" s="0" t="str">
        <f aca="false">IF($A1455="","",IF(AND($A1455=21,$AE1455&amp;""="00000000"),IF($AH1455=20,"病院",IF($AH1455=5,"消防","市長")),"対象外"))</f>
        <v/>
      </c>
    </row>
    <row r="1456" customFormat="false" ht="15" hidden="false" customHeight="false" outlineLevel="0" collapsed="false">
      <c r="DB1456" s="0" t="str">
        <f aca="false">IF($A1456="","",IF(AND($A1456=21,$AE1456&amp;""="00000000"),IF($AH1456=20,"病院",IF($AH1456=5,"消防","市長")),"対象外"))</f>
        <v/>
      </c>
    </row>
    <row r="1457" customFormat="false" ht="15" hidden="false" customHeight="false" outlineLevel="0" collapsed="false">
      <c r="DB1457" s="0" t="str">
        <f aca="false">IF($A1457="","",IF(AND($A1457=21,$AE1457&amp;""="00000000"),IF($AH1457=20,"病院",IF($AH1457=5,"消防","市長")),"対象外"))</f>
        <v/>
      </c>
    </row>
    <row r="1458" customFormat="false" ht="15" hidden="false" customHeight="false" outlineLevel="0" collapsed="false">
      <c r="DB1458" s="0" t="str">
        <f aca="false">IF($A1458="","",IF(AND($A1458=21,$AE1458&amp;""="00000000"),IF($AH1458=20,"病院",IF($AH1458=5,"消防","市長")),"対象外"))</f>
        <v/>
      </c>
    </row>
    <row r="1459" customFormat="false" ht="15" hidden="false" customHeight="false" outlineLevel="0" collapsed="false">
      <c r="DB1459" s="0" t="str">
        <f aca="false">IF($A1459="","",IF(AND($A1459=21,$AE1459&amp;""="00000000"),IF($AH1459=20,"病院",IF($AH1459=5,"消防","市長")),"対象外"))</f>
        <v/>
      </c>
    </row>
    <row r="1460" customFormat="false" ht="15" hidden="false" customHeight="false" outlineLevel="0" collapsed="false">
      <c r="DB1460" s="0" t="str">
        <f aca="false">IF($A1460="","",IF(AND($A1460=21,$AE1460&amp;""="00000000"),IF($AH1460=20,"病院",IF($AH1460=5,"消防","市長")),"対象外"))</f>
        <v/>
      </c>
    </row>
    <row r="1461" customFormat="false" ht="15" hidden="false" customHeight="false" outlineLevel="0" collapsed="false">
      <c r="DB1461" s="0" t="str">
        <f aca="false">IF($A1461="","",IF(AND($A1461=21,$AE1461&amp;""="00000000"),IF($AH1461=20,"病院",IF($AH1461=5,"消防","市長")),"対象外"))</f>
        <v/>
      </c>
    </row>
    <row r="1462" customFormat="false" ht="15" hidden="false" customHeight="false" outlineLevel="0" collapsed="false">
      <c r="DB1462" s="0" t="str">
        <f aca="false">IF($A1462="","",IF(AND($A1462=21,$AE1462&amp;""="00000000"),IF($AH1462=20,"病院",IF($AH1462=5,"消防","市長")),"対象外"))</f>
        <v/>
      </c>
    </row>
    <row r="1463" customFormat="false" ht="15" hidden="false" customHeight="false" outlineLevel="0" collapsed="false">
      <c r="DB1463" s="0" t="str">
        <f aca="false">IF($A1463="","",IF(AND($A1463=21,$AE1463&amp;""="00000000"),IF($AH1463=20,"病院",IF($AH1463=5,"消防","市長")),"対象外"))</f>
        <v/>
      </c>
    </row>
    <row r="1464" customFormat="false" ht="15" hidden="false" customHeight="false" outlineLevel="0" collapsed="false">
      <c r="DB1464" s="0" t="str">
        <f aca="false">IF($A1464="","",IF(AND($A1464=21,$AE1464&amp;""="00000000"),IF($AH1464=20,"病院",IF($AH1464=5,"消防","市長")),"対象外"))</f>
        <v/>
      </c>
    </row>
    <row r="1465" customFormat="false" ht="15" hidden="false" customHeight="false" outlineLevel="0" collapsed="false">
      <c r="DB1465" s="0" t="str">
        <f aca="false">IF($A1465="","",IF(AND($A1465=21,$AE1465&amp;""="00000000"),IF($AH1465=20,"病院",IF($AH1465=5,"消防","市長")),"対象外"))</f>
        <v/>
      </c>
    </row>
    <row r="1466" customFormat="false" ht="15" hidden="false" customHeight="false" outlineLevel="0" collapsed="false">
      <c r="DB1466" s="0" t="str">
        <f aca="false">IF($A1466="","",IF(AND($A1466=21,$AE1466&amp;""="00000000"),IF($AH1466=20,"病院",IF($AH1466=5,"消防","市長")),"対象外"))</f>
        <v/>
      </c>
    </row>
    <row r="1467" customFormat="false" ht="15" hidden="false" customHeight="false" outlineLevel="0" collapsed="false">
      <c r="DB1467" s="0" t="str">
        <f aca="false">IF($A1467="","",IF(AND($A1467=21,$AE1467&amp;""="00000000"),IF($AH1467=20,"病院",IF($AH1467=5,"消防","市長")),"対象外"))</f>
        <v/>
      </c>
    </row>
    <row r="1468" customFormat="false" ht="15" hidden="false" customHeight="false" outlineLevel="0" collapsed="false">
      <c r="DB1468" s="0" t="str">
        <f aca="false">IF($A1468="","",IF(AND($A1468=21,$AE1468&amp;""="00000000"),IF($AH1468=20,"病院",IF($AH1468=5,"消防","市長")),"対象外"))</f>
        <v/>
      </c>
    </row>
    <row r="1469" customFormat="false" ht="15" hidden="false" customHeight="false" outlineLevel="0" collapsed="false">
      <c r="DB1469" s="0" t="str">
        <f aca="false">IF($A1469="","",IF(AND($A1469=21,$AE1469&amp;""="00000000"),IF($AH1469=20,"病院",IF($AH1469=5,"消防","市長")),"対象外"))</f>
        <v/>
      </c>
    </row>
    <row r="1470" customFormat="false" ht="15" hidden="false" customHeight="false" outlineLevel="0" collapsed="false">
      <c r="DB1470" s="0" t="str">
        <f aca="false">IF($A1470="","",IF(AND($A1470=21,$AE1470&amp;""="00000000"),IF($AH1470=20,"病院",IF($AH1470=5,"消防","市長")),"対象外"))</f>
        <v/>
      </c>
    </row>
    <row r="1471" customFormat="false" ht="15" hidden="false" customHeight="false" outlineLevel="0" collapsed="false">
      <c r="DB1471" s="0" t="str">
        <f aca="false">IF($A1471="","",IF(AND($A1471=21,$AE1471&amp;""="00000000"),IF($AH1471=20,"病院",IF($AH1471=5,"消防","市長")),"対象外"))</f>
        <v/>
      </c>
    </row>
    <row r="1472" customFormat="false" ht="15" hidden="false" customHeight="false" outlineLevel="0" collapsed="false">
      <c r="DB1472" s="0" t="str">
        <f aca="false">IF($A1472="","",IF(AND($A1472=21,$AE1472&amp;""="00000000"),IF($AH1472=20,"病院",IF($AH1472=5,"消防","市長")),"対象外"))</f>
        <v/>
      </c>
    </row>
    <row r="1473" customFormat="false" ht="15" hidden="false" customHeight="false" outlineLevel="0" collapsed="false">
      <c r="DB1473" s="0" t="str">
        <f aca="false">IF($A1473="","",IF(AND($A1473=21,$AE1473&amp;""="00000000"),IF($AH1473=20,"病院",IF($AH1473=5,"消防","市長")),"対象外"))</f>
        <v/>
      </c>
    </row>
    <row r="1474" customFormat="false" ht="15" hidden="false" customHeight="false" outlineLevel="0" collapsed="false">
      <c r="DB1474" s="0" t="str">
        <f aca="false">IF($A1474="","",IF(AND($A1474=21,$AE1474&amp;""="00000000"),IF($AH1474=20,"病院",IF($AH1474=5,"消防","市長")),"対象外"))</f>
        <v/>
      </c>
    </row>
    <row r="1475" customFormat="false" ht="15" hidden="false" customHeight="false" outlineLevel="0" collapsed="false">
      <c r="DB1475" s="0" t="str">
        <f aca="false">IF($A1475="","",IF(AND($A1475=21,$AE1475&amp;""="00000000"),IF($AH1475=20,"病院",IF($AH1475=5,"消防","市長")),"対象外"))</f>
        <v/>
      </c>
    </row>
    <row r="1476" customFormat="false" ht="15" hidden="false" customHeight="false" outlineLevel="0" collapsed="false">
      <c r="DB1476" s="0" t="str">
        <f aca="false">IF($A1476="","",IF(AND($A1476=21,$AE1476&amp;""="00000000"),IF($AH1476=20,"病院",IF($AH1476=5,"消防","市長")),"対象外"))</f>
        <v/>
      </c>
    </row>
    <row r="1477" customFormat="false" ht="15" hidden="false" customHeight="false" outlineLevel="0" collapsed="false">
      <c r="DB1477" s="0" t="str">
        <f aca="false">IF($A1477="","",IF(AND($A1477=21,$AE1477&amp;""="00000000"),IF($AH1477=20,"病院",IF($AH1477=5,"消防","市長")),"対象外"))</f>
        <v/>
      </c>
    </row>
    <row r="1478" customFormat="false" ht="15" hidden="false" customHeight="false" outlineLevel="0" collapsed="false">
      <c r="DB1478" s="0" t="str">
        <f aca="false">IF($A1478="","",IF(AND($A1478=21,$AE1478&amp;""="00000000"),IF($AH1478=20,"病院",IF($AH1478=5,"消防","市長")),"対象外"))</f>
        <v/>
      </c>
    </row>
    <row r="1479" customFormat="false" ht="15" hidden="false" customHeight="false" outlineLevel="0" collapsed="false">
      <c r="DB1479" s="0" t="str">
        <f aca="false">IF($A1479="","",IF(AND($A1479=21,$AE1479&amp;""="00000000"),IF($AH1479=20,"病院",IF($AH1479=5,"消防","市長")),"対象外"))</f>
        <v/>
      </c>
    </row>
    <row r="1480" customFormat="false" ht="15" hidden="false" customHeight="false" outlineLevel="0" collapsed="false">
      <c r="DB1480" s="0" t="str">
        <f aca="false">IF($A1480="","",IF(AND($A1480=21,$AE1480&amp;""="00000000"),IF($AH1480=20,"病院",IF($AH1480=5,"消防","市長")),"対象外"))</f>
        <v/>
      </c>
    </row>
    <row r="1481" customFormat="false" ht="15" hidden="false" customHeight="false" outlineLevel="0" collapsed="false">
      <c r="DB1481" s="0" t="str">
        <f aca="false">IF($A1481="","",IF(AND($A1481=21,$AE1481&amp;""="00000000"),IF($AH1481=20,"病院",IF($AH1481=5,"消防","市長")),"対象外"))</f>
        <v/>
      </c>
    </row>
    <row r="1482" customFormat="false" ht="15" hidden="false" customHeight="false" outlineLevel="0" collapsed="false">
      <c r="DB1482" s="0" t="str">
        <f aca="false">IF($A1482="","",IF(AND($A1482=21,$AE1482&amp;""="00000000"),IF($AH1482=20,"病院",IF($AH1482=5,"消防","市長")),"対象外"))</f>
        <v/>
      </c>
    </row>
    <row r="1483" customFormat="false" ht="15" hidden="false" customHeight="false" outlineLevel="0" collapsed="false">
      <c r="DB1483" s="0" t="str">
        <f aca="false">IF($A1483="","",IF(AND($A1483=21,$AE1483&amp;""="00000000"),IF($AH1483=20,"病院",IF($AH1483=5,"消防","市長")),"対象外"))</f>
        <v/>
      </c>
    </row>
    <row r="1484" customFormat="false" ht="15" hidden="false" customHeight="false" outlineLevel="0" collapsed="false">
      <c r="DB1484" s="0" t="str">
        <f aca="false">IF($A1484="","",IF(AND($A1484=21,$AE1484&amp;""="00000000"),IF($AH1484=20,"病院",IF($AH1484=5,"消防","市長")),"対象外"))</f>
        <v/>
      </c>
    </row>
    <row r="1485" customFormat="false" ht="15" hidden="false" customHeight="false" outlineLevel="0" collapsed="false">
      <c r="DB1485" s="0" t="str">
        <f aca="false">IF($A1485="","",IF(AND($A1485=21,$AE1485&amp;""="00000000"),IF($AH1485=20,"病院",IF($AH1485=5,"消防","市長")),"対象外"))</f>
        <v/>
      </c>
    </row>
    <row r="1486" customFormat="false" ht="15" hidden="false" customHeight="false" outlineLevel="0" collapsed="false">
      <c r="DB1486" s="0" t="str">
        <f aca="false">IF($A1486="","",IF(AND($A1486=21,$AE1486&amp;""="00000000"),IF($AH1486=20,"病院",IF($AH1486=5,"消防","市長")),"対象外"))</f>
        <v/>
      </c>
    </row>
    <row r="1487" customFormat="false" ht="15" hidden="false" customHeight="false" outlineLevel="0" collapsed="false">
      <c r="DB1487" s="0" t="str">
        <f aca="false">IF($A1487="","",IF(AND($A1487=21,$AE1487&amp;""="00000000"),IF($AH1487=20,"病院",IF($AH1487=5,"消防","市長")),"対象外"))</f>
        <v/>
      </c>
    </row>
    <row r="1488" customFormat="false" ht="15" hidden="false" customHeight="false" outlineLevel="0" collapsed="false">
      <c r="DB1488" s="0" t="str">
        <f aca="false">IF($A1488="","",IF(AND($A1488=21,$AE1488&amp;""="00000000"),IF($AH1488=20,"病院",IF($AH1488=5,"消防","市長")),"対象外"))</f>
        <v/>
      </c>
    </row>
    <row r="1489" customFormat="false" ht="15" hidden="false" customHeight="false" outlineLevel="0" collapsed="false">
      <c r="DB1489" s="0" t="str">
        <f aca="false">IF($A1489="","",IF(AND($A1489=21,$AE1489&amp;""="00000000"),IF($AH1489=20,"病院",IF($AH1489=5,"消防","市長")),"対象外"))</f>
        <v/>
      </c>
    </row>
    <row r="1490" customFormat="false" ht="15" hidden="false" customHeight="false" outlineLevel="0" collapsed="false">
      <c r="DB1490" s="0" t="str">
        <f aca="false">IF($A1490="","",IF(AND($A1490=21,$AE1490&amp;""="00000000"),IF($AH1490=20,"病院",IF($AH1490=5,"消防","市長")),"対象外"))</f>
        <v/>
      </c>
    </row>
    <row r="1491" customFormat="false" ht="15" hidden="false" customHeight="false" outlineLevel="0" collapsed="false">
      <c r="DB1491" s="0" t="str">
        <f aca="false">IF($A1491="","",IF(AND($A1491=21,$AE1491&amp;""="00000000"),IF($AH1491=20,"病院",IF($AH1491=5,"消防","市長")),"対象外"))</f>
        <v/>
      </c>
    </row>
    <row r="1492" customFormat="false" ht="15" hidden="false" customHeight="false" outlineLevel="0" collapsed="false">
      <c r="DB1492" s="0" t="str">
        <f aca="false">IF($A1492="","",IF(AND($A1492=21,$AE1492&amp;""="00000000"),IF($AH1492=20,"病院",IF($AH1492=5,"消防","市長")),"対象外"))</f>
        <v/>
      </c>
    </row>
    <row r="1493" customFormat="false" ht="15" hidden="false" customHeight="false" outlineLevel="0" collapsed="false">
      <c r="DB1493" s="0" t="str">
        <f aca="false">IF($A1493="","",IF(AND($A1493=21,$AE1493&amp;""="00000000"),IF($AH1493=20,"病院",IF($AH1493=5,"消防","市長")),"対象外"))</f>
        <v/>
      </c>
    </row>
    <row r="1494" customFormat="false" ht="15" hidden="false" customHeight="false" outlineLevel="0" collapsed="false">
      <c r="DB1494" s="0" t="str">
        <f aca="false">IF($A1494="","",IF(AND($A1494=21,$AE1494&amp;""="00000000"),IF($AH1494=20,"病院",IF($AH1494=5,"消防","市長")),"対象外"))</f>
        <v/>
      </c>
    </row>
    <row r="1495" customFormat="false" ht="15" hidden="false" customHeight="false" outlineLevel="0" collapsed="false">
      <c r="DB1495" s="0" t="str">
        <f aca="false">IF($A1495="","",IF(AND($A1495=21,$AE1495&amp;""="00000000"),IF($AH1495=20,"病院",IF($AH1495=5,"消防","市長")),"対象外"))</f>
        <v/>
      </c>
    </row>
    <row r="1496" customFormat="false" ht="15" hidden="false" customHeight="false" outlineLevel="0" collapsed="false">
      <c r="DB1496" s="0" t="str">
        <f aca="false">IF($A1496="","",IF(AND($A1496=21,$AE1496&amp;""="00000000"),IF($AH1496=20,"病院",IF($AH1496=5,"消防","市長")),"対象外"))</f>
        <v/>
      </c>
    </row>
    <row r="1497" customFormat="false" ht="15" hidden="false" customHeight="false" outlineLevel="0" collapsed="false">
      <c r="DB1497" s="0" t="str">
        <f aca="false">IF($A1497="","",IF(AND($A1497=21,$AE1497&amp;""="00000000"),IF($AH1497=20,"病院",IF($AH1497=5,"消防","市長")),"対象外"))</f>
        <v/>
      </c>
    </row>
    <row r="1498" customFormat="false" ht="15" hidden="false" customHeight="false" outlineLevel="0" collapsed="false">
      <c r="DB1498" s="0" t="str">
        <f aca="false">IF($A1498="","",IF(AND($A1498=21,$AE1498&amp;""="00000000"),IF($AH1498=20,"病院",IF($AH1498=5,"消防","市長")),"対象外"))</f>
        <v/>
      </c>
    </row>
    <row r="1499" customFormat="false" ht="15" hidden="false" customHeight="false" outlineLevel="0" collapsed="false">
      <c r="DB1499" s="0" t="str">
        <f aca="false">IF($A1499="","",IF(AND($A1499=21,$AE1499&amp;""="00000000"),IF($AH1499=20,"病院",IF($AH1499=5,"消防","市長")),"対象外"))</f>
        <v/>
      </c>
    </row>
    <row r="1500" customFormat="false" ht="15" hidden="false" customHeight="false" outlineLevel="0" collapsed="false">
      <c r="DB1500" s="0" t="str">
        <f aca="false">IF($A1500="","",IF(AND($A1500=21,$AE1500&amp;""="00000000"),IF($AH1500=20,"病院",IF($AH1500=5,"消防","市長")),"対象外"))</f>
        <v/>
      </c>
    </row>
    <row r="1501" customFormat="false" ht="15" hidden="false" customHeight="false" outlineLevel="0" collapsed="false">
      <c r="DB1501" s="0" t="str">
        <f aca="false">IF($A1501="","",IF(AND($A1501=21,$AE1501&amp;""="00000000"),IF($AH1501=20,"病院",IF($AH1501=5,"消防","市長")),"対象外"))</f>
        <v/>
      </c>
    </row>
    <row r="1502" customFormat="false" ht="15" hidden="false" customHeight="false" outlineLevel="0" collapsed="false">
      <c r="DB1502" s="0" t="str">
        <f aca="false">IF($A1502="","",IF(AND($A1502=21,$AE1502&amp;""="00000000"),IF($AH1502=20,"病院",IF($AH1502=5,"消防","市長")),"対象外"))</f>
        <v/>
      </c>
    </row>
    <row r="1503" customFormat="false" ht="15" hidden="false" customHeight="false" outlineLevel="0" collapsed="false">
      <c r="DB1503" s="0" t="str">
        <f aca="false">IF($A1503="","",IF(AND($A1503=21,$AE1503&amp;""="00000000"),IF($AH1503=20,"病院",IF($AH1503=5,"消防","市長")),"対象外"))</f>
        <v/>
      </c>
    </row>
    <row r="1504" customFormat="false" ht="15" hidden="false" customHeight="false" outlineLevel="0" collapsed="false">
      <c r="DB1504" s="0" t="str">
        <f aca="false">IF($A1504="","",IF(AND($A1504=21,$AE1504&amp;""="00000000"),IF($AH1504=20,"病院",IF($AH1504=5,"消防","市長")),"対象外"))</f>
        <v/>
      </c>
    </row>
    <row r="1505" customFormat="false" ht="15" hidden="false" customHeight="false" outlineLevel="0" collapsed="false">
      <c r="DB1505" s="0" t="str">
        <f aca="false">IF($A1505="","",IF(AND($A1505=21,$AE1505&amp;""="00000000"),IF($AH1505=20,"病院",IF($AH1505=5,"消防","市長")),"対象外"))</f>
        <v/>
      </c>
    </row>
    <row r="1506" customFormat="false" ht="15" hidden="false" customHeight="false" outlineLevel="0" collapsed="false">
      <c r="DB1506" s="0" t="str">
        <f aca="false">IF($A1506="","",IF(AND($A1506=21,$AE1506&amp;""="00000000"),IF($AH1506=20,"病院",IF($AH1506=5,"消防","市長")),"対象外"))</f>
        <v/>
      </c>
    </row>
    <row r="1507" customFormat="false" ht="15" hidden="false" customHeight="false" outlineLevel="0" collapsed="false">
      <c r="DB1507" s="0" t="str">
        <f aca="false">IF($A1507="","",IF(AND($A1507=21,$AE1507&amp;""="00000000"),IF($AH1507=20,"病院",IF($AH1507=5,"消防","市長")),"対象外"))</f>
        <v/>
      </c>
    </row>
    <row r="1508" customFormat="false" ht="15" hidden="false" customHeight="false" outlineLevel="0" collapsed="false">
      <c r="DB1508" s="0" t="str">
        <f aca="false">IF($A1508="","",IF(AND($A1508=21,$AE1508&amp;""="00000000"),IF($AH1508=20,"病院",IF($AH1508=5,"消防","市長")),"対象外"))</f>
        <v/>
      </c>
    </row>
    <row r="1509" customFormat="false" ht="15" hidden="false" customHeight="false" outlineLevel="0" collapsed="false">
      <c r="DB1509" s="0" t="str">
        <f aca="false">IF($A1509="","",IF(AND($A1509=21,$AE1509&amp;""="00000000"),IF($AH1509=20,"病院",IF($AH1509=5,"消防","市長")),"対象外"))</f>
        <v/>
      </c>
    </row>
    <row r="1510" customFormat="false" ht="15" hidden="false" customHeight="false" outlineLevel="0" collapsed="false">
      <c r="DB1510" s="0" t="str">
        <f aca="false">IF($A1510="","",IF(AND($A1510=21,$AE1510&amp;""="00000000"),IF($AH1510=20,"病院",IF($AH1510=5,"消防","市長")),"対象外"))</f>
        <v/>
      </c>
    </row>
    <row r="1511" customFormat="false" ht="15" hidden="false" customHeight="false" outlineLevel="0" collapsed="false">
      <c r="DB1511" s="0" t="str">
        <f aca="false">IF($A1511="","",IF(AND($A1511=21,$AE1511&amp;""="00000000"),IF($AH1511=20,"病院",IF($AH1511=5,"消防","市長")),"対象外"))</f>
        <v/>
      </c>
    </row>
    <row r="1512" customFormat="false" ht="15" hidden="false" customHeight="false" outlineLevel="0" collapsed="false">
      <c r="DB1512" s="0" t="str">
        <f aca="false">IF($A1512="","",IF(AND($A1512=21,$AE1512&amp;""="00000000"),IF($AH1512=20,"病院",IF($AH1512=5,"消防","市長")),"対象外"))</f>
        <v/>
      </c>
    </row>
    <row r="1513" customFormat="false" ht="15" hidden="false" customHeight="false" outlineLevel="0" collapsed="false">
      <c r="DB1513" s="0" t="str">
        <f aca="false">IF($A1513="","",IF(AND($A1513=21,$AE1513&amp;""="00000000"),IF($AH1513=20,"病院",IF($AH1513=5,"消防","市長")),"対象外"))</f>
        <v/>
      </c>
    </row>
    <row r="1514" customFormat="false" ht="15" hidden="false" customHeight="false" outlineLevel="0" collapsed="false">
      <c r="DB1514" s="0" t="str">
        <f aca="false">IF($A1514="","",IF(AND($A1514=21,$AE1514&amp;""="00000000"),IF($AH1514=20,"病院",IF($AH1514=5,"消防","市長")),"対象外"))</f>
        <v/>
      </c>
    </row>
    <row r="1515" customFormat="false" ht="15" hidden="false" customHeight="false" outlineLevel="0" collapsed="false">
      <c r="DB1515" s="0" t="str">
        <f aca="false">IF($A1515="","",IF(AND($A1515=21,$AE1515&amp;""="00000000"),IF($AH1515=20,"病院",IF($AH1515=5,"消防","市長")),"対象外"))</f>
        <v/>
      </c>
    </row>
    <row r="1516" customFormat="false" ht="15" hidden="false" customHeight="false" outlineLevel="0" collapsed="false">
      <c r="DB1516" s="0" t="str">
        <f aca="false">IF($A1516="","",IF(AND($A1516=21,$AE1516&amp;""="00000000"),IF($AH1516=20,"病院",IF($AH1516=5,"消防","市長")),"対象外"))</f>
        <v/>
      </c>
    </row>
    <row r="1517" customFormat="false" ht="15" hidden="false" customHeight="false" outlineLevel="0" collapsed="false">
      <c r="DB1517" s="0" t="str">
        <f aca="false">IF($A1517="","",IF(AND($A1517=21,$AE1517&amp;""="00000000"),IF($AH1517=20,"病院",IF($AH1517=5,"消防","市長")),"対象外"))</f>
        <v/>
      </c>
    </row>
    <row r="1518" customFormat="false" ht="15" hidden="false" customHeight="false" outlineLevel="0" collapsed="false">
      <c r="DB1518" s="0" t="str">
        <f aca="false">IF($A1518="","",IF(AND($A1518=21,$AE1518&amp;""="00000000"),IF($AH1518=20,"病院",IF($AH1518=5,"消防","市長")),"対象外"))</f>
        <v/>
      </c>
    </row>
    <row r="1519" customFormat="false" ht="15" hidden="false" customHeight="false" outlineLevel="0" collapsed="false">
      <c r="DB1519" s="0" t="str">
        <f aca="false">IF($A1519="","",IF(AND($A1519=21,$AE1519&amp;""="00000000"),IF($AH1519=20,"病院",IF($AH1519=5,"消防","市長")),"対象外"))</f>
        <v/>
      </c>
    </row>
    <row r="1520" customFormat="false" ht="15" hidden="false" customHeight="false" outlineLevel="0" collapsed="false">
      <c r="DB1520" s="0" t="str">
        <f aca="false">IF($A1520="","",IF(AND($A1520=21,$AE1520&amp;""="00000000"),IF($AH1520=20,"病院",IF($AH1520=5,"消防","市長")),"対象外"))</f>
        <v/>
      </c>
    </row>
    <row r="1521" customFormat="false" ht="15" hidden="false" customHeight="false" outlineLevel="0" collapsed="false">
      <c r="DB1521" s="0" t="str">
        <f aca="false">IF($A1521="","",IF(AND($A1521=21,$AE1521&amp;""="00000000"),IF($AH1521=20,"病院",IF($AH1521=5,"消防","市長")),"対象外"))</f>
        <v/>
      </c>
    </row>
    <row r="1522" customFormat="false" ht="15" hidden="false" customHeight="false" outlineLevel="0" collapsed="false">
      <c r="DB1522" s="0" t="str">
        <f aca="false">IF($A1522="","",IF(AND($A1522=21,$AE1522&amp;""="00000000"),IF($AH1522=20,"病院",IF($AH1522=5,"消防","市長")),"対象外"))</f>
        <v/>
      </c>
    </row>
    <row r="1523" customFormat="false" ht="15" hidden="false" customHeight="false" outlineLevel="0" collapsed="false">
      <c r="DB1523" s="0" t="str">
        <f aca="false">IF($A1523="","",IF(AND($A1523=21,$AE1523&amp;""="00000000"),IF($AH1523=20,"病院",IF($AH1523=5,"消防","市長")),"対象外"))</f>
        <v/>
      </c>
    </row>
    <row r="1524" customFormat="false" ht="15" hidden="false" customHeight="false" outlineLevel="0" collapsed="false">
      <c r="DB1524" s="0" t="str">
        <f aca="false">IF($A1524="","",IF(AND($A1524=21,$AE1524&amp;""="00000000"),IF($AH1524=20,"病院",IF($AH1524=5,"消防","市長")),"対象外"))</f>
        <v/>
      </c>
    </row>
    <row r="1525" customFormat="false" ht="15" hidden="false" customHeight="false" outlineLevel="0" collapsed="false">
      <c r="DB1525" s="0" t="str">
        <f aca="false">IF($A1525="","",IF(AND($A1525=21,$AE1525&amp;""="00000000"),IF($AH1525=20,"病院",IF($AH1525=5,"消防","市長")),"対象外"))</f>
        <v/>
      </c>
    </row>
    <row r="1526" customFormat="false" ht="15" hidden="false" customHeight="false" outlineLevel="0" collapsed="false">
      <c r="DB1526" s="0" t="str">
        <f aca="false">IF($A1526="","",IF(AND($A1526=21,$AE1526&amp;""="00000000"),IF($AH1526=20,"病院",IF($AH1526=5,"消防","市長")),"対象外"))</f>
        <v/>
      </c>
    </row>
    <row r="1527" customFormat="false" ht="15" hidden="false" customHeight="false" outlineLevel="0" collapsed="false">
      <c r="DB1527" s="0" t="str">
        <f aca="false">IF($A1527="","",IF(AND($A1527=21,$AE1527&amp;""="00000000"),IF($AH1527=20,"病院",IF($AH1527=5,"消防","市長")),"対象外"))</f>
        <v/>
      </c>
    </row>
    <row r="1528" customFormat="false" ht="15" hidden="false" customHeight="false" outlineLevel="0" collapsed="false">
      <c r="DB1528" s="0" t="str">
        <f aca="false">IF($A1528="","",IF(AND($A1528=21,$AE1528&amp;""="00000000"),IF($AH1528=20,"病院",IF($AH1528=5,"消防","市長")),"対象外"))</f>
        <v/>
      </c>
    </row>
    <row r="1529" customFormat="false" ht="15" hidden="false" customHeight="false" outlineLevel="0" collapsed="false">
      <c r="DB1529" s="0" t="str">
        <f aca="false">IF($A1529="","",IF(AND($A1529=21,$AE1529&amp;""="00000000"),IF($AH1529=20,"病院",IF($AH1529=5,"消防","市長")),"対象外"))</f>
        <v/>
      </c>
    </row>
    <row r="1530" customFormat="false" ht="15" hidden="false" customHeight="false" outlineLevel="0" collapsed="false">
      <c r="DB1530" s="0" t="str">
        <f aca="false">IF($A1530="","",IF(AND($A1530=21,$AE1530&amp;""="00000000"),IF($AH1530=20,"病院",IF($AH1530=5,"消防","市長")),"対象外"))</f>
        <v/>
      </c>
    </row>
    <row r="1531" customFormat="false" ht="15" hidden="false" customHeight="false" outlineLevel="0" collapsed="false">
      <c r="DB1531" s="0" t="str">
        <f aca="false">IF($A1531="","",IF(AND($A1531=21,$AE1531&amp;""="00000000"),IF($AH1531=20,"病院",IF($AH1531=5,"消防","市長")),"対象外"))</f>
        <v/>
      </c>
    </row>
    <row r="1532" customFormat="false" ht="15" hidden="false" customHeight="false" outlineLevel="0" collapsed="false">
      <c r="DB1532" s="0" t="str">
        <f aca="false">IF($A1532="","",IF(AND($A1532=21,$AE1532&amp;""="00000000"),IF($AH1532=20,"病院",IF($AH1532=5,"消防","市長")),"対象外"))</f>
        <v/>
      </c>
    </row>
    <row r="1533" customFormat="false" ht="15" hidden="false" customHeight="false" outlineLevel="0" collapsed="false">
      <c r="DB1533" s="0" t="str">
        <f aca="false">IF($A1533="","",IF(AND($A1533=21,$AE1533&amp;""="00000000"),IF($AH1533=20,"病院",IF($AH1533=5,"消防","市長")),"対象外"))</f>
        <v/>
      </c>
    </row>
    <row r="1534" customFormat="false" ht="15" hidden="false" customHeight="false" outlineLevel="0" collapsed="false">
      <c r="DB1534" s="0" t="str">
        <f aca="false">IF($A1534="","",IF(AND($A1534=21,$AE1534&amp;""="00000000"),IF($AH1534=20,"病院",IF($AH1534=5,"消防","市長")),"対象外"))</f>
        <v/>
      </c>
    </row>
    <row r="1535" customFormat="false" ht="15" hidden="false" customHeight="false" outlineLevel="0" collapsed="false">
      <c r="DB1535" s="0" t="str">
        <f aca="false">IF($A1535="","",IF(AND($A1535=21,$AE1535&amp;""="00000000"),IF($AH1535=20,"病院",IF($AH1535=5,"消防","市長")),"対象外"))</f>
        <v/>
      </c>
    </row>
    <row r="1536" customFormat="false" ht="15" hidden="false" customHeight="false" outlineLevel="0" collapsed="false">
      <c r="DB1536" s="0" t="str">
        <f aca="false">IF($A1536="","",IF(AND($A1536=21,$AE1536&amp;""="00000000"),IF($AH1536=20,"病院",IF($AH1536=5,"消防","市長")),"対象外"))</f>
        <v/>
      </c>
    </row>
    <row r="1537" customFormat="false" ht="15" hidden="false" customHeight="false" outlineLevel="0" collapsed="false">
      <c r="DB1537" s="0" t="str">
        <f aca="false">IF($A1537="","",IF(AND($A1537=21,$AE1537&amp;""="00000000"),IF($AH1537=20,"病院",IF($AH1537=5,"消防","市長")),"対象外"))</f>
        <v/>
      </c>
    </row>
    <row r="1538" customFormat="false" ht="15" hidden="false" customHeight="false" outlineLevel="0" collapsed="false">
      <c r="DB1538" s="0" t="str">
        <f aca="false">IF($A1538="","",IF(AND($A1538=21,$AE1538&amp;""="00000000"),IF($AH1538=20,"病院",IF($AH1538=5,"消防","市長")),"対象外"))</f>
        <v/>
      </c>
    </row>
    <row r="1539" customFormat="false" ht="15" hidden="false" customHeight="false" outlineLevel="0" collapsed="false">
      <c r="DB1539" s="0" t="str">
        <f aca="false">IF($A1539="","",IF(AND($A1539=21,$AE1539&amp;""="00000000"),IF($AH1539=20,"病院",IF($AH1539=5,"消防","市長")),"対象外"))</f>
        <v/>
      </c>
    </row>
    <row r="1540" customFormat="false" ht="15" hidden="false" customHeight="false" outlineLevel="0" collapsed="false">
      <c r="DB1540" s="0" t="str">
        <f aca="false">IF($A1540="","",IF(AND($A1540=21,$AE1540&amp;""="00000000"),IF($AH1540=20,"病院",IF($AH1540=5,"消防","市長")),"対象外"))</f>
        <v/>
      </c>
    </row>
    <row r="1541" customFormat="false" ht="15" hidden="false" customHeight="false" outlineLevel="0" collapsed="false">
      <c r="DB1541" s="0" t="str">
        <f aca="false">IF($A1541="","",IF(AND($A1541=21,$AE1541&amp;""="00000000"),IF($AH1541=20,"病院",IF($AH1541=5,"消防","市長")),"対象外"))</f>
        <v/>
      </c>
    </row>
    <row r="1542" customFormat="false" ht="15" hidden="false" customHeight="false" outlineLevel="0" collapsed="false">
      <c r="DB1542" s="0" t="str">
        <f aca="false">IF($A1542="","",IF(AND($A1542=21,$AE1542&amp;""="00000000"),IF($AH1542=20,"病院",IF($AH1542=5,"消防","市長")),"対象外"))</f>
        <v/>
      </c>
    </row>
    <row r="1543" customFormat="false" ht="15" hidden="false" customHeight="false" outlineLevel="0" collapsed="false">
      <c r="DB1543" s="0" t="str">
        <f aca="false">IF($A1543="","",IF(AND($A1543=21,$AE1543&amp;""="00000000"),IF($AH1543=20,"病院",IF($AH1543=5,"消防","市長")),"対象外"))</f>
        <v/>
      </c>
    </row>
    <row r="1544" customFormat="false" ht="15" hidden="false" customHeight="false" outlineLevel="0" collapsed="false">
      <c r="DB1544" s="0" t="str">
        <f aca="false">IF($A1544="","",IF(AND($A1544=21,$AE1544&amp;""="00000000"),IF($AH1544=20,"病院",IF($AH1544=5,"消防","市長")),"対象外"))</f>
        <v/>
      </c>
    </row>
    <row r="1545" customFormat="false" ht="15" hidden="false" customHeight="false" outlineLevel="0" collapsed="false">
      <c r="DB1545" s="0" t="str">
        <f aca="false">IF($A1545="","",IF(AND($A1545=21,$AE1545&amp;""="00000000"),IF($AH1545=20,"病院",IF($AH1545=5,"消防","市長")),"対象外"))</f>
        <v/>
      </c>
    </row>
    <row r="1546" customFormat="false" ht="15" hidden="false" customHeight="false" outlineLevel="0" collapsed="false">
      <c r="DB1546" s="0" t="str">
        <f aca="false">IF($A1546="","",IF(AND($A1546=21,$AE1546&amp;""="00000000"),IF($AH1546=20,"病院",IF($AH1546=5,"消防","市長")),"対象外"))</f>
        <v/>
      </c>
    </row>
    <row r="1547" customFormat="false" ht="15" hidden="false" customHeight="false" outlineLevel="0" collapsed="false">
      <c r="DB1547" s="0" t="str">
        <f aca="false">IF($A1547="","",IF(AND($A1547=21,$AE1547&amp;""="00000000"),IF($AH1547=20,"病院",IF($AH1547=5,"消防","市長")),"対象外"))</f>
        <v/>
      </c>
    </row>
    <row r="1548" customFormat="false" ht="15" hidden="false" customHeight="false" outlineLevel="0" collapsed="false">
      <c r="DB1548" s="0" t="str">
        <f aca="false">IF($A1548="","",IF(AND($A1548=21,$AE1548&amp;""="00000000"),IF($AH1548=20,"病院",IF($AH1548=5,"消防","市長")),"対象外"))</f>
        <v/>
      </c>
    </row>
    <row r="1549" customFormat="false" ht="15" hidden="false" customHeight="false" outlineLevel="0" collapsed="false">
      <c r="DB1549" s="0" t="str">
        <f aca="false">IF($A1549="","",IF(AND($A1549=21,$AE1549&amp;""="00000000"),IF($AH1549=20,"病院",IF($AH1549=5,"消防","市長")),"対象外"))</f>
        <v/>
      </c>
    </row>
    <row r="1550" customFormat="false" ht="15" hidden="false" customHeight="false" outlineLevel="0" collapsed="false">
      <c r="DB1550" s="0" t="str">
        <f aca="false">IF($A1550="","",IF(AND($A1550=21,$AE1550&amp;""="00000000"),IF($AH1550=20,"病院",IF($AH1550=5,"消防","市長")),"対象外"))</f>
        <v/>
      </c>
    </row>
    <row r="1551" customFormat="false" ht="15" hidden="false" customHeight="false" outlineLevel="0" collapsed="false">
      <c r="DB1551" s="0" t="str">
        <f aca="false">IF($A1551="","",IF(AND($A1551=21,$AE1551&amp;""="00000000"),IF($AH1551=20,"病院",IF($AH1551=5,"消防","市長")),"対象外"))</f>
        <v/>
      </c>
    </row>
    <row r="1552" customFormat="false" ht="15" hidden="false" customHeight="false" outlineLevel="0" collapsed="false">
      <c r="DB1552" s="0" t="str">
        <f aca="false">IF($A1552="","",IF(AND($A1552=21,$AE1552&amp;""="00000000"),IF($AH1552=20,"病院",IF($AH1552=5,"消防","市長")),"対象外"))</f>
        <v/>
      </c>
    </row>
    <row r="1553" customFormat="false" ht="15" hidden="false" customHeight="false" outlineLevel="0" collapsed="false">
      <c r="DB1553" s="0" t="str">
        <f aca="false">IF($A1553="","",IF(AND($A1553=21,$AE1553&amp;""="00000000"),IF($AH1553=20,"病院",IF($AH1553=5,"消防","市長")),"対象外"))</f>
        <v/>
      </c>
    </row>
    <row r="1554" customFormat="false" ht="15" hidden="false" customHeight="false" outlineLevel="0" collapsed="false">
      <c r="DB1554" s="0" t="str">
        <f aca="false">IF($A1554="","",IF(AND($A1554=21,$AE1554&amp;""="00000000"),IF($AH1554=20,"病院",IF($AH1554=5,"消防","市長")),"対象外"))</f>
        <v/>
      </c>
    </row>
    <row r="1555" customFormat="false" ht="15" hidden="false" customHeight="false" outlineLevel="0" collapsed="false">
      <c r="DB1555" s="0" t="str">
        <f aca="false">IF($A1555="","",IF(AND($A1555=21,$AE1555&amp;""="00000000"),IF($AH1555=20,"病院",IF($AH1555=5,"消防","市長")),"対象外"))</f>
        <v/>
      </c>
    </row>
    <row r="1556" customFormat="false" ht="15" hidden="false" customHeight="false" outlineLevel="0" collapsed="false">
      <c r="DB1556" s="0" t="str">
        <f aca="false">IF($A1556="","",IF(AND($A1556=21,$AE1556&amp;""="00000000"),IF($AH1556=20,"病院",IF($AH1556=5,"消防","市長")),"対象外"))</f>
        <v/>
      </c>
    </row>
    <row r="1557" customFormat="false" ht="15" hidden="false" customHeight="false" outlineLevel="0" collapsed="false">
      <c r="DB1557" s="0" t="str">
        <f aca="false">IF($A1557="","",IF(AND($A1557=21,$AE1557&amp;""="00000000"),IF($AH1557=20,"病院",IF($AH1557=5,"消防","市長")),"対象外"))</f>
        <v/>
      </c>
    </row>
    <row r="1558" customFormat="false" ht="15" hidden="false" customHeight="false" outlineLevel="0" collapsed="false">
      <c r="DB1558" s="0" t="str">
        <f aca="false">IF($A1558="","",IF(AND($A1558=21,$AE1558&amp;""="00000000"),IF($AH1558=20,"病院",IF($AH1558=5,"消防","市長")),"対象外"))</f>
        <v/>
      </c>
    </row>
    <row r="1559" customFormat="false" ht="15" hidden="false" customHeight="false" outlineLevel="0" collapsed="false">
      <c r="DB1559" s="0" t="str">
        <f aca="false">IF($A1559="","",IF(AND($A1559=21,$AE1559&amp;""="00000000"),IF($AH1559=20,"病院",IF($AH1559=5,"消防","市長")),"対象外"))</f>
        <v/>
      </c>
    </row>
    <row r="1560" customFormat="false" ht="15" hidden="false" customHeight="false" outlineLevel="0" collapsed="false">
      <c r="DB1560" s="0" t="str">
        <f aca="false">IF($A1560="","",IF(AND($A1560=21,$AE1560&amp;""="00000000"),IF($AH1560=20,"病院",IF($AH1560=5,"消防","市長")),"対象外"))</f>
        <v/>
      </c>
    </row>
    <row r="1561" customFormat="false" ht="15" hidden="false" customHeight="false" outlineLevel="0" collapsed="false">
      <c r="DB1561" s="0" t="str">
        <f aca="false">IF($A1561="","",IF(AND($A1561=21,$AE1561&amp;""="00000000"),IF($AH1561=20,"病院",IF($AH1561=5,"消防","市長")),"対象外"))</f>
        <v/>
      </c>
    </row>
    <row r="1562" customFormat="false" ht="15" hidden="false" customHeight="false" outlineLevel="0" collapsed="false">
      <c r="DB1562" s="0" t="str">
        <f aca="false">IF($A1562="","",IF(AND($A1562=21,$AE1562&amp;""="00000000"),IF($AH1562=20,"病院",IF($AH1562=5,"消防","市長")),"対象外"))</f>
        <v/>
      </c>
    </row>
    <row r="1563" customFormat="false" ht="15" hidden="false" customHeight="false" outlineLevel="0" collapsed="false">
      <c r="DB1563" s="0" t="str">
        <f aca="false">IF($A1563="","",IF(AND($A1563=21,$AE1563&amp;""="00000000"),IF($AH1563=20,"病院",IF($AH1563=5,"消防","市長")),"対象外"))</f>
        <v/>
      </c>
    </row>
    <row r="1564" customFormat="false" ht="15" hidden="false" customHeight="false" outlineLevel="0" collapsed="false">
      <c r="DB1564" s="0" t="str">
        <f aca="false">IF($A1564="","",IF(AND($A1564=21,$AE1564&amp;""="00000000"),IF($AH1564=20,"病院",IF($AH1564=5,"消防","市長")),"対象外"))</f>
        <v/>
      </c>
    </row>
    <row r="1565" customFormat="false" ht="15" hidden="false" customHeight="false" outlineLevel="0" collapsed="false">
      <c r="DB1565" s="0" t="str">
        <f aca="false">IF($A1565="","",IF(AND($A1565=21,$AE1565&amp;""="00000000"),IF($AH1565=20,"病院",IF($AH1565=5,"消防","市長")),"対象外"))</f>
        <v/>
      </c>
    </row>
    <row r="1566" customFormat="false" ht="15" hidden="false" customHeight="false" outlineLevel="0" collapsed="false">
      <c r="DB1566" s="0" t="str">
        <f aca="false">IF($A1566="","",IF(AND($A1566=21,$AE1566&amp;""="00000000"),IF($AH1566=20,"病院",IF($AH1566=5,"消防","市長")),"対象外"))</f>
        <v/>
      </c>
    </row>
    <row r="1567" customFormat="false" ht="15" hidden="false" customHeight="false" outlineLevel="0" collapsed="false">
      <c r="DB1567" s="0" t="str">
        <f aca="false">IF($A1567="","",IF(AND($A1567=21,$AE1567&amp;""="00000000"),IF($AH1567=20,"病院",IF($AH1567=5,"消防","市長")),"対象外"))</f>
        <v/>
      </c>
    </row>
    <row r="1568" customFormat="false" ht="15" hidden="false" customHeight="false" outlineLevel="0" collapsed="false">
      <c r="DB1568" s="0" t="str">
        <f aca="false">IF($A1568="","",IF(AND($A1568=21,$AE1568&amp;""="00000000"),IF($AH1568=20,"病院",IF($AH1568=5,"消防","市長")),"対象外"))</f>
        <v/>
      </c>
    </row>
    <row r="1569" customFormat="false" ht="15" hidden="false" customHeight="false" outlineLevel="0" collapsed="false">
      <c r="DB1569" s="0" t="str">
        <f aca="false">IF($A1569="","",IF(AND($A1569=21,$AE1569&amp;""="00000000"),IF($AH1569=20,"病院",IF($AH1569=5,"消防","市長")),"対象外"))</f>
        <v/>
      </c>
    </row>
    <row r="1570" customFormat="false" ht="15" hidden="false" customHeight="false" outlineLevel="0" collapsed="false">
      <c r="DB1570" s="0" t="str">
        <f aca="false">IF($A1570="","",IF(AND($A1570=21,$AE1570&amp;""="00000000"),IF($AH1570=20,"病院",IF($AH1570=5,"消防","市長")),"対象外"))</f>
        <v/>
      </c>
    </row>
    <row r="1571" customFormat="false" ht="15" hidden="false" customHeight="false" outlineLevel="0" collapsed="false">
      <c r="DB1571" s="0" t="str">
        <f aca="false">IF($A1571="","",IF(AND($A1571=21,$AE1571&amp;""="00000000"),IF($AH1571=20,"病院",IF($AH1571=5,"消防","市長")),"対象外"))</f>
        <v/>
      </c>
    </row>
    <row r="1572" customFormat="false" ht="15" hidden="false" customHeight="false" outlineLevel="0" collapsed="false">
      <c r="DB1572" s="0" t="str">
        <f aca="false">IF($A1572="","",IF(AND($A1572=21,$AE1572&amp;""="00000000"),IF($AH1572=20,"病院",IF($AH1572=5,"消防","市長")),"対象外"))</f>
        <v/>
      </c>
    </row>
    <row r="1573" customFormat="false" ht="15" hidden="false" customHeight="false" outlineLevel="0" collapsed="false">
      <c r="DB1573" s="0" t="str">
        <f aca="false">IF($A1573="","",IF(AND($A1573=21,$AE1573&amp;""="00000000"),IF($AH1573=20,"病院",IF($AH1573=5,"消防","市長")),"対象外"))</f>
        <v/>
      </c>
    </row>
    <row r="1574" customFormat="false" ht="15" hidden="false" customHeight="false" outlineLevel="0" collapsed="false">
      <c r="DB1574" s="0" t="str">
        <f aca="false">IF($A1574="","",IF(AND($A1574=21,$AE1574&amp;""="00000000"),IF($AH1574=20,"病院",IF($AH1574=5,"消防","市長")),"対象外"))</f>
        <v/>
      </c>
    </row>
    <row r="1575" customFormat="false" ht="15" hidden="false" customHeight="false" outlineLevel="0" collapsed="false">
      <c r="DB1575" s="0" t="str">
        <f aca="false">IF($A1575="","",IF(AND($A1575=21,$AE1575&amp;""="00000000"),IF($AH1575=20,"病院",IF($AH1575=5,"消防","市長")),"対象外"))</f>
        <v/>
      </c>
    </row>
    <row r="1576" customFormat="false" ht="15" hidden="false" customHeight="false" outlineLevel="0" collapsed="false">
      <c r="DB1576" s="0" t="str">
        <f aca="false">IF($A1576="","",IF(AND($A1576=21,$AE1576&amp;""="00000000"),IF($AH1576=20,"病院",IF($AH1576=5,"消防","市長")),"対象外"))</f>
        <v/>
      </c>
    </row>
    <row r="1577" customFormat="false" ht="15" hidden="false" customHeight="false" outlineLevel="0" collapsed="false">
      <c r="DB1577" s="0" t="str">
        <f aca="false">IF($A1577="","",IF(AND($A1577=21,$AE1577&amp;""="00000000"),IF($AH1577=20,"病院",IF($AH1577=5,"消防","市長")),"対象外"))</f>
        <v/>
      </c>
    </row>
    <row r="1578" customFormat="false" ht="15" hidden="false" customHeight="false" outlineLevel="0" collapsed="false">
      <c r="DB1578" s="0" t="str">
        <f aca="false">IF($A1578="","",IF(AND($A1578=21,$AE1578&amp;""="00000000"),IF($AH1578=20,"病院",IF($AH1578=5,"消防","市長")),"対象外"))</f>
        <v/>
      </c>
    </row>
    <row r="1579" customFormat="false" ht="15" hidden="false" customHeight="false" outlineLevel="0" collapsed="false">
      <c r="DB1579" s="0" t="str">
        <f aca="false">IF($A1579="","",IF(AND($A1579=21,$AE1579&amp;""="00000000"),IF($AH1579=20,"病院",IF($AH1579=5,"消防","市長")),"対象外"))</f>
        <v/>
      </c>
    </row>
    <row r="1580" customFormat="false" ht="15" hidden="false" customHeight="false" outlineLevel="0" collapsed="false">
      <c r="DB1580" s="0" t="str">
        <f aca="false">IF($A1580="","",IF(AND($A1580=21,$AE1580&amp;""="00000000"),IF($AH1580=20,"病院",IF($AH1580=5,"消防","市長")),"対象外"))</f>
        <v/>
      </c>
    </row>
    <row r="1581" customFormat="false" ht="15" hidden="false" customHeight="false" outlineLevel="0" collapsed="false">
      <c r="DB1581" s="0" t="str">
        <f aca="false">IF($A1581="","",IF(AND($A1581=21,$AE1581&amp;""="00000000"),IF($AH1581=20,"病院",IF($AH1581=5,"消防","市長")),"対象外"))</f>
        <v/>
      </c>
    </row>
    <row r="1582" customFormat="false" ht="15" hidden="false" customHeight="false" outlineLevel="0" collapsed="false">
      <c r="DB1582" s="0" t="str">
        <f aca="false">IF($A1582="","",IF(AND($A1582=21,$AE1582&amp;""="00000000"),IF($AH1582=20,"病院",IF($AH1582=5,"消防","市長")),"対象外"))</f>
        <v/>
      </c>
    </row>
    <row r="1583" customFormat="false" ht="15" hidden="false" customHeight="false" outlineLevel="0" collapsed="false">
      <c r="DB1583" s="0" t="str">
        <f aca="false">IF($A1583="","",IF(AND($A1583=21,$AE1583&amp;""="00000000"),IF($AH1583=20,"病院",IF($AH1583=5,"消防","市長")),"対象外"))</f>
        <v/>
      </c>
    </row>
    <row r="1584" customFormat="false" ht="15" hidden="false" customHeight="false" outlineLevel="0" collapsed="false">
      <c r="DB1584" s="0" t="str">
        <f aca="false">IF($A1584="","",IF(AND($A1584=21,$AE1584&amp;""="00000000"),IF($AH1584=20,"病院",IF($AH1584=5,"消防","市長")),"対象外"))</f>
        <v/>
      </c>
    </row>
    <row r="1585" customFormat="false" ht="15" hidden="false" customHeight="false" outlineLevel="0" collapsed="false">
      <c r="DB1585" s="0" t="str">
        <f aca="false">IF($A1585="","",IF(AND($A1585=21,$AE1585&amp;""="00000000"),IF($AH1585=20,"病院",IF($AH1585=5,"消防","市長")),"対象外"))</f>
        <v/>
      </c>
    </row>
    <row r="1586" customFormat="false" ht="15" hidden="false" customHeight="false" outlineLevel="0" collapsed="false">
      <c r="DB1586" s="0" t="str">
        <f aca="false">IF($A1586="","",IF(AND($A1586=21,$AE1586&amp;""="00000000"),IF($AH1586=20,"病院",IF($AH1586=5,"消防","市長")),"対象外"))</f>
        <v/>
      </c>
    </row>
    <row r="1587" customFormat="false" ht="15" hidden="false" customHeight="false" outlineLevel="0" collapsed="false">
      <c r="DB1587" s="0" t="str">
        <f aca="false">IF($A1587="","",IF(AND($A1587=21,$AE1587&amp;""="00000000"),IF($AH1587=20,"病院",IF($AH1587=5,"消防","市長")),"対象外"))</f>
        <v/>
      </c>
    </row>
    <row r="1588" customFormat="false" ht="15" hidden="false" customHeight="false" outlineLevel="0" collapsed="false">
      <c r="DB1588" s="0" t="str">
        <f aca="false">IF($A1588="","",IF(AND($A1588=21,$AE1588&amp;""="00000000"),IF($AH1588=20,"病院",IF($AH1588=5,"消防","市長")),"対象外"))</f>
        <v/>
      </c>
    </row>
    <row r="1589" customFormat="false" ht="15" hidden="false" customHeight="false" outlineLevel="0" collapsed="false">
      <c r="DB1589" s="0" t="str">
        <f aca="false">IF($A1589="","",IF(AND($A1589=21,$AE1589&amp;""="00000000"),IF($AH1589=20,"病院",IF($AH1589=5,"消防","市長")),"対象外"))</f>
        <v/>
      </c>
    </row>
    <row r="1590" customFormat="false" ht="15" hidden="false" customHeight="false" outlineLevel="0" collapsed="false">
      <c r="DB1590" s="0" t="str">
        <f aca="false">IF($A1590="","",IF(AND($A1590=21,$AE1590&amp;""="00000000"),IF($AH1590=20,"病院",IF($AH1590=5,"消防","市長")),"対象外"))</f>
        <v/>
      </c>
    </row>
    <row r="1591" customFormat="false" ht="15" hidden="false" customHeight="false" outlineLevel="0" collapsed="false">
      <c r="DB1591" s="0" t="str">
        <f aca="false">IF($A1591="","",IF(AND($A1591=21,$AE1591&amp;""="00000000"),IF($AH1591=20,"病院",IF($AH1591=5,"消防","市長")),"対象外"))</f>
        <v/>
      </c>
    </row>
    <row r="1592" customFormat="false" ht="15" hidden="false" customHeight="false" outlineLevel="0" collapsed="false">
      <c r="DB1592" s="0" t="str">
        <f aca="false">IF($A1592="","",IF(AND($A1592=21,$AE1592&amp;""="00000000"),IF($AH1592=20,"病院",IF($AH1592=5,"消防","市長")),"対象外"))</f>
        <v/>
      </c>
    </row>
    <row r="1593" customFormat="false" ht="15" hidden="false" customHeight="false" outlineLevel="0" collapsed="false">
      <c r="DB1593" s="0" t="str">
        <f aca="false">IF($A1593="","",IF(AND($A1593=21,$AE1593&amp;""="00000000"),IF($AH1593=20,"病院",IF($AH1593=5,"消防","市長")),"対象外"))</f>
        <v/>
      </c>
    </row>
    <row r="1594" customFormat="false" ht="15" hidden="false" customHeight="false" outlineLevel="0" collapsed="false">
      <c r="DB1594" s="0" t="str">
        <f aca="false">IF($A1594="","",IF(AND($A1594=21,$AE1594&amp;""="00000000"),IF($AH1594=20,"病院",IF($AH1594=5,"消防","市長")),"対象外"))</f>
        <v/>
      </c>
    </row>
    <row r="1595" customFormat="false" ht="15" hidden="false" customHeight="false" outlineLevel="0" collapsed="false">
      <c r="DB1595" s="0" t="str">
        <f aca="false">IF($A1595="","",IF(AND($A1595=21,$AE1595&amp;""="00000000"),IF($AH1595=20,"病院",IF($AH1595=5,"消防","市長")),"対象外"))</f>
        <v/>
      </c>
    </row>
    <row r="1596" customFormat="false" ht="15" hidden="false" customHeight="false" outlineLevel="0" collapsed="false">
      <c r="DB1596" s="0" t="str">
        <f aca="false">IF($A1596="","",IF(AND($A1596=21,$AE1596&amp;""="00000000"),IF($AH1596=20,"病院",IF($AH1596=5,"消防","市長")),"対象外"))</f>
        <v/>
      </c>
    </row>
    <row r="1597" customFormat="false" ht="15" hidden="false" customHeight="false" outlineLevel="0" collapsed="false">
      <c r="DB1597" s="0" t="str">
        <f aca="false">IF($A1597="","",IF(AND($A1597=21,$AE1597&amp;""="00000000"),IF($AH1597=20,"病院",IF($AH1597=5,"消防","市長")),"対象外"))</f>
        <v/>
      </c>
    </row>
    <row r="1598" customFormat="false" ht="15" hidden="false" customHeight="false" outlineLevel="0" collapsed="false">
      <c r="DB1598" s="0" t="str">
        <f aca="false">IF($A1598="","",IF(AND($A1598=21,$AE1598&amp;""="00000000"),IF($AH1598=20,"病院",IF($AH1598=5,"消防","市長")),"対象外"))</f>
        <v/>
      </c>
    </row>
    <row r="1599" customFormat="false" ht="15" hidden="false" customHeight="false" outlineLevel="0" collapsed="false">
      <c r="DB1599" s="0" t="str">
        <f aca="false">IF($A1599="","",IF(AND($A1599=21,$AE1599&amp;""="00000000"),IF($AH1599=20,"病院",IF($AH1599=5,"消防","市長")),"対象外"))</f>
        <v/>
      </c>
    </row>
    <row r="1600" customFormat="false" ht="15" hidden="false" customHeight="false" outlineLevel="0" collapsed="false">
      <c r="DB1600" s="0" t="str">
        <f aca="false">IF($A1600="","",IF(AND($A1600=21,$AE1600&amp;""="00000000"),IF($AH1600=20,"病院",IF($AH1600=5,"消防","市長")),"対象外"))</f>
        <v/>
      </c>
    </row>
    <row r="1601" customFormat="false" ht="15" hidden="false" customHeight="false" outlineLevel="0" collapsed="false">
      <c r="DB1601" s="0" t="str">
        <f aca="false">IF($A1601="","",IF(AND($A1601=21,$AE1601&amp;""="00000000"),IF($AH1601=20,"病院",IF($AH1601=5,"消防","市長")),"対象外"))</f>
        <v/>
      </c>
    </row>
    <row r="1602" customFormat="false" ht="15" hidden="false" customHeight="false" outlineLevel="0" collapsed="false">
      <c r="DB1602" s="0" t="str">
        <f aca="false">IF($A1602="","",IF(AND($A1602=21,$AE1602&amp;""="00000000"),IF($AH1602=20,"病院",IF($AH1602=5,"消防","市長")),"対象外"))</f>
        <v/>
      </c>
    </row>
    <row r="1603" customFormat="false" ht="15" hidden="false" customHeight="false" outlineLevel="0" collapsed="false">
      <c r="DB1603" s="0" t="str">
        <f aca="false">IF($A1603="","",IF(AND($A1603=21,$AE1603&amp;""="00000000"),IF($AH1603=20,"病院",IF($AH1603=5,"消防","市長")),"対象外"))</f>
        <v/>
      </c>
    </row>
    <row r="1604" customFormat="false" ht="15" hidden="false" customHeight="false" outlineLevel="0" collapsed="false">
      <c r="DB1604" s="0" t="str">
        <f aca="false">IF($A1604="","",IF(AND($A1604=21,$AE1604&amp;""="00000000"),IF($AH1604=20,"病院",IF($AH1604=5,"消防","市長")),"対象外"))</f>
        <v/>
      </c>
    </row>
    <row r="1605" customFormat="false" ht="15" hidden="false" customHeight="false" outlineLevel="0" collapsed="false">
      <c r="DB1605" s="0" t="str">
        <f aca="false">IF($A1605="","",IF(AND($A1605=21,$AE1605&amp;""="00000000"),IF($AH1605=20,"病院",IF($AH1605=5,"消防","市長")),"対象外"))</f>
        <v/>
      </c>
    </row>
    <row r="1606" customFormat="false" ht="15" hidden="false" customHeight="false" outlineLevel="0" collapsed="false">
      <c r="DB1606" s="0" t="str">
        <f aca="false">IF($A1606="","",IF(AND($A1606=21,$AE1606&amp;""="00000000"),IF($AH1606=20,"病院",IF($AH1606=5,"消防","市長")),"対象外"))</f>
        <v/>
      </c>
    </row>
    <row r="1607" customFormat="false" ht="15" hidden="false" customHeight="false" outlineLevel="0" collapsed="false">
      <c r="DB1607" s="0" t="str">
        <f aca="false">IF($A1607="","",IF(AND($A1607=21,$AE1607&amp;""="00000000"),IF($AH1607=20,"病院",IF($AH1607=5,"消防","市長")),"対象外"))</f>
        <v/>
      </c>
    </row>
    <row r="1608" customFormat="false" ht="15" hidden="false" customHeight="false" outlineLevel="0" collapsed="false">
      <c r="DB1608" s="0" t="str">
        <f aca="false">IF($A1608="","",IF(AND($A1608=21,$AE1608&amp;""="00000000"),IF($AH1608=20,"病院",IF($AH1608=5,"消防","市長")),"対象外"))</f>
        <v/>
      </c>
    </row>
    <row r="1609" customFormat="false" ht="15" hidden="false" customHeight="false" outlineLevel="0" collapsed="false">
      <c r="DB1609" s="0" t="str">
        <f aca="false">IF($A1609="","",IF(AND($A1609=21,$AE1609&amp;""="00000000"),IF($AH1609=20,"病院",IF($AH1609=5,"消防","市長")),"対象外"))</f>
        <v/>
      </c>
    </row>
    <row r="1610" customFormat="false" ht="15" hidden="false" customHeight="false" outlineLevel="0" collapsed="false">
      <c r="DB1610" s="0" t="str">
        <f aca="false">IF($A1610="","",IF(AND($A1610=21,$AE1610&amp;""="00000000"),IF($AH1610=20,"病院",IF($AH1610=5,"消防","市長")),"対象外"))</f>
        <v/>
      </c>
    </row>
    <row r="1611" customFormat="false" ht="15" hidden="false" customHeight="false" outlineLevel="0" collapsed="false">
      <c r="DB1611" s="0" t="str">
        <f aca="false">IF($A1611="","",IF(AND($A1611=21,$AE1611&amp;""="00000000"),IF($AH1611=20,"病院",IF($AH1611=5,"消防","市長")),"対象外"))</f>
        <v/>
      </c>
    </row>
    <row r="1612" customFormat="false" ht="15" hidden="false" customHeight="false" outlineLevel="0" collapsed="false">
      <c r="DB1612" s="0" t="str">
        <f aca="false">IF($A1612="","",IF(AND($A1612=21,$AE1612&amp;""="00000000"),IF($AH1612=20,"病院",IF($AH1612=5,"消防","市長")),"対象外"))</f>
        <v/>
      </c>
    </row>
    <row r="1613" customFormat="false" ht="15" hidden="false" customHeight="false" outlineLevel="0" collapsed="false">
      <c r="DB1613" s="0" t="str">
        <f aca="false">IF($A1613="","",IF(AND($A1613=21,$AE1613&amp;""="00000000"),IF($AH1613=20,"病院",IF($AH1613=5,"消防","市長")),"対象外"))</f>
        <v/>
      </c>
    </row>
    <row r="1614" customFormat="false" ht="15" hidden="false" customHeight="false" outlineLevel="0" collapsed="false">
      <c r="DB1614" s="0" t="str">
        <f aca="false">IF($A1614="","",IF(AND($A1614=21,$AE1614&amp;""="00000000"),IF($AH1614=20,"病院",IF($AH1614=5,"消防","市長")),"対象外"))</f>
        <v/>
      </c>
    </row>
    <row r="1615" customFormat="false" ht="15" hidden="false" customHeight="false" outlineLevel="0" collapsed="false">
      <c r="DB1615" s="0" t="str">
        <f aca="false">IF($A1615="","",IF(AND($A1615=21,$AE1615&amp;""="00000000"),IF($AH1615=20,"病院",IF($AH1615=5,"消防","市長")),"対象外"))</f>
        <v/>
      </c>
    </row>
    <row r="1616" customFormat="false" ht="15" hidden="false" customHeight="false" outlineLevel="0" collapsed="false">
      <c r="DB1616" s="0" t="str">
        <f aca="false">IF($A1616="","",IF(AND($A1616=21,$AE1616&amp;""="00000000"),IF($AH1616=20,"病院",IF($AH1616=5,"消防","市長")),"対象外"))</f>
        <v/>
      </c>
    </row>
    <row r="1617" customFormat="false" ht="15" hidden="false" customHeight="false" outlineLevel="0" collapsed="false">
      <c r="DB1617" s="0" t="str">
        <f aca="false">IF($A1617="","",IF(AND($A1617=21,$AE1617&amp;""="00000000"),IF($AH1617=20,"病院",IF($AH1617=5,"消防","市長")),"対象外"))</f>
        <v/>
      </c>
    </row>
    <row r="1618" customFormat="false" ht="15" hidden="false" customHeight="false" outlineLevel="0" collapsed="false">
      <c r="DB1618" s="0" t="str">
        <f aca="false">IF($A1618="","",IF(AND($A1618=21,$AE1618&amp;""="00000000"),IF($AH1618=20,"病院",IF($AH1618=5,"消防","市長")),"対象外"))</f>
        <v/>
      </c>
    </row>
    <row r="1619" customFormat="false" ht="15" hidden="false" customHeight="false" outlineLevel="0" collapsed="false">
      <c r="DB1619" s="0" t="str">
        <f aca="false">IF($A1619="","",IF(AND($A1619=21,$AE1619&amp;""="00000000"),IF($AH1619=20,"病院",IF($AH1619=5,"消防","市長")),"対象外"))</f>
        <v/>
      </c>
    </row>
    <row r="1620" customFormat="false" ht="15" hidden="false" customHeight="false" outlineLevel="0" collapsed="false">
      <c r="DB1620" s="0" t="str">
        <f aca="false">IF($A1620="","",IF(AND($A1620=21,$AE1620&amp;""="00000000"),IF($AH1620=20,"病院",IF($AH1620=5,"消防","市長")),"対象外"))</f>
        <v/>
      </c>
    </row>
    <row r="1621" customFormat="false" ht="15" hidden="false" customHeight="false" outlineLevel="0" collapsed="false">
      <c r="DB1621" s="0" t="str">
        <f aca="false">IF($A1621="","",IF(AND($A1621=21,$AE1621&amp;""="00000000"),IF($AH1621=20,"病院",IF($AH1621=5,"消防","市長")),"対象外"))</f>
        <v/>
      </c>
    </row>
    <row r="1622" customFormat="false" ht="15" hidden="false" customHeight="false" outlineLevel="0" collapsed="false">
      <c r="DB1622" s="0" t="str">
        <f aca="false">IF($A1622="","",IF(AND($A1622=21,$AE1622&amp;""="00000000"),IF($AH1622=20,"病院",IF($AH1622=5,"消防","市長")),"対象外"))</f>
        <v/>
      </c>
    </row>
    <row r="1623" customFormat="false" ht="15" hidden="false" customHeight="false" outlineLevel="0" collapsed="false">
      <c r="DB1623" s="0" t="str">
        <f aca="false">IF($A1623="","",IF(AND($A1623=21,$AE1623&amp;""="00000000"),IF($AH1623=20,"病院",IF($AH1623=5,"消防","市長")),"対象外"))</f>
        <v/>
      </c>
    </row>
    <row r="1624" customFormat="false" ht="15" hidden="false" customHeight="false" outlineLevel="0" collapsed="false">
      <c r="DB1624" s="0" t="str">
        <f aca="false">IF($A1624="","",IF(AND($A1624=21,$AE1624&amp;""="00000000"),IF($AH1624=20,"病院",IF($AH1624=5,"消防","市長")),"対象外"))</f>
        <v/>
      </c>
    </row>
    <row r="1625" customFormat="false" ht="15" hidden="false" customHeight="false" outlineLevel="0" collapsed="false">
      <c r="DB1625" s="0" t="str">
        <f aca="false">IF($A1625="","",IF(AND($A1625=21,$AE1625&amp;""="00000000"),IF($AH1625=20,"病院",IF($AH1625=5,"消防","市長")),"対象外"))</f>
        <v/>
      </c>
    </row>
    <row r="1626" customFormat="false" ht="15" hidden="false" customHeight="false" outlineLevel="0" collapsed="false">
      <c r="DB1626" s="0" t="str">
        <f aca="false">IF($A1626="","",IF(AND($A1626=21,$AE1626&amp;""="00000000"),IF($AH1626=20,"病院",IF($AH1626=5,"消防","市長")),"対象外"))</f>
        <v/>
      </c>
    </row>
    <row r="1627" customFormat="false" ht="15" hidden="false" customHeight="false" outlineLevel="0" collapsed="false">
      <c r="DB1627" s="0" t="str">
        <f aca="false">IF($A1627="","",IF(AND($A1627=21,$AE1627&amp;""="00000000"),IF($AH1627=20,"病院",IF($AH1627=5,"消防","市長")),"対象外"))</f>
        <v/>
      </c>
    </row>
    <row r="1628" customFormat="false" ht="15" hidden="false" customHeight="false" outlineLevel="0" collapsed="false">
      <c r="DB1628" s="0" t="str">
        <f aca="false">IF($A1628="","",IF(AND($A1628=21,$AE1628&amp;""="00000000"),IF($AH1628=20,"病院",IF($AH1628=5,"消防","市長")),"対象外"))</f>
        <v/>
      </c>
    </row>
    <row r="1629" customFormat="false" ht="15" hidden="false" customHeight="false" outlineLevel="0" collapsed="false">
      <c r="DB1629" s="0" t="str">
        <f aca="false">IF($A1629="","",IF(AND($A1629=21,$AE1629&amp;""="00000000"),IF($AH1629=20,"病院",IF($AH1629=5,"消防","市長")),"対象外"))</f>
        <v/>
      </c>
    </row>
    <row r="1630" customFormat="false" ht="15" hidden="false" customHeight="false" outlineLevel="0" collapsed="false">
      <c r="DB1630" s="0" t="str">
        <f aca="false">IF($A1630="","",IF(AND($A1630=21,$AE1630&amp;""="00000000"),IF($AH1630=20,"病院",IF($AH1630=5,"消防","市長")),"対象外"))</f>
        <v/>
      </c>
    </row>
    <row r="1631" customFormat="false" ht="15" hidden="false" customHeight="false" outlineLevel="0" collapsed="false">
      <c r="DB1631" s="0" t="str">
        <f aca="false">IF($A1631="","",IF(AND($A1631=21,$AE1631&amp;""="00000000"),IF($AH1631=20,"病院",IF($AH1631=5,"消防","市長")),"対象外"))</f>
        <v/>
      </c>
    </row>
    <row r="1632" customFormat="false" ht="15" hidden="false" customHeight="false" outlineLevel="0" collapsed="false">
      <c r="DB1632" s="0" t="str">
        <f aca="false">IF($A1632="","",IF(AND($A1632=21,$AE1632&amp;""="00000000"),IF($AH1632=20,"病院",IF($AH1632=5,"消防","市長")),"対象外"))</f>
        <v/>
      </c>
    </row>
    <row r="1633" customFormat="false" ht="15" hidden="false" customHeight="false" outlineLevel="0" collapsed="false">
      <c r="DB1633" s="0" t="str">
        <f aca="false">IF($A1633="","",IF(AND($A1633=21,$AE1633&amp;""="00000000"),IF($AH1633=20,"病院",IF($AH1633=5,"消防","市長")),"対象外"))</f>
        <v/>
      </c>
    </row>
    <row r="1634" customFormat="false" ht="15" hidden="false" customHeight="false" outlineLevel="0" collapsed="false">
      <c r="DB1634" s="0" t="str">
        <f aca="false">IF($A1634="","",IF(AND($A1634=21,$AE1634&amp;""="00000000"),IF($AH1634=20,"病院",IF($AH1634=5,"消防","市長")),"対象外"))</f>
        <v/>
      </c>
    </row>
    <row r="1635" customFormat="false" ht="15" hidden="false" customHeight="false" outlineLevel="0" collapsed="false">
      <c r="DB1635" s="0" t="str">
        <f aca="false">IF($A1635="","",IF(AND($A1635=21,$AE1635&amp;""="00000000"),IF($AH1635=20,"病院",IF($AH1635=5,"消防","市長")),"対象外"))</f>
        <v/>
      </c>
    </row>
    <row r="1636" customFormat="false" ht="15" hidden="false" customHeight="false" outlineLevel="0" collapsed="false">
      <c r="DB1636" s="0" t="str">
        <f aca="false">IF($A1636="","",IF(AND($A1636=21,$AE1636&amp;""="00000000"),IF($AH1636=20,"病院",IF($AH1636=5,"消防","市長")),"対象外"))</f>
        <v/>
      </c>
    </row>
    <row r="1637" customFormat="false" ht="15" hidden="false" customHeight="false" outlineLevel="0" collapsed="false">
      <c r="DB1637" s="0" t="str">
        <f aca="false">IF($A1637="","",IF(AND($A1637=21,$AE1637&amp;""="00000000"),IF($AH1637=20,"病院",IF($AH1637=5,"消防","市長")),"対象外"))</f>
        <v/>
      </c>
    </row>
    <row r="1638" customFormat="false" ht="15" hidden="false" customHeight="false" outlineLevel="0" collapsed="false">
      <c r="DB1638" s="0" t="str">
        <f aca="false">IF($A1638="","",IF(AND($A1638=21,$AE1638&amp;""="00000000"),IF($AH1638=20,"病院",IF($AH1638=5,"消防","市長")),"対象外"))</f>
        <v/>
      </c>
    </row>
    <row r="1639" customFormat="false" ht="15" hidden="false" customHeight="false" outlineLevel="0" collapsed="false">
      <c r="DB1639" s="0" t="str">
        <f aca="false">IF($A1639="","",IF(AND($A1639=21,$AE1639&amp;""="00000000"),IF($AH1639=20,"病院",IF($AH1639=5,"消防","市長")),"対象外"))</f>
        <v/>
      </c>
    </row>
    <row r="1640" customFormat="false" ht="15" hidden="false" customHeight="false" outlineLevel="0" collapsed="false">
      <c r="DB1640" s="0" t="str">
        <f aca="false">IF($A1640="","",IF(AND($A1640=21,$AE1640&amp;""="00000000"),IF($AH1640=20,"病院",IF($AH1640=5,"消防","市長")),"対象外"))</f>
        <v/>
      </c>
    </row>
    <row r="1641" customFormat="false" ht="15" hidden="false" customHeight="false" outlineLevel="0" collapsed="false">
      <c r="DB1641" s="0" t="str">
        <f aca="false">IF($A1641="","",IF(AND($A1641=21,$AE1641&amp;""="00000000"),IF($AH1641=20,"病院",IF($AH1641=5,"消防","市長")),"対象外"))</f>
        <v/>
      </c>
    </row>
    <row r="1642" customFormat="false" ht="15" hidden="false" customHeight="false" outlineLevel="0" collapsed="false">
      <c r="DB1642" s="0" t="str">
        <f aca="false">IF($A1642="","",IF(AND($A1642=21,$AE1642&amp;""="00000000"),IF($AH1642=20,"病院",IF($AH1642=5,"消防","市長")),"対象外"))</f>
        <v/>
      </c>
    </row>
    <row r="1643" customFormat="false" ht="15" hidden="false" customHeight="false" outlineLevel="0" collapsed="false">
      <c r="DB1643" s="0" t="str">
        <f aca="false">IF($A1643="","",IF(AND($A1643=21,$AE1643&amp;""="00000000"),IF($AH1643=20,"病院",IF($AH1643=5,"消防","市長")),"対象外"))</f>
        <v/>
      </c>
    </row>
    <row r="1644" customFormat="false" ht="15" hidden="false" customHeight="false" outlineLevel="0" collapsed="false">
      <c r="DB1644" s="0" t="str">
        <f aca="false">IF($A1644="","",IF(AND($A1644=21,$AE1644&amp;""="00000000"),IF($AH1644=20,"病院",IF($AH1644=5,"消防","市長")),"対象外"))</f>
        <v/>
      </c>
    </row>
    <row r="1645" customFormat="false" ht="15" hidden="false" customHeight="false" outlineLevel="0" collapsed="false">
      <c r="DB1645" s="0" t="str">
        <f aca="false">IF($A1645="","",IF(AND($A1645=21,$AE1645&amp;""="00000000"),IF($AH1645=20,"病院",IF($AH1645=5,"消防","市長")),"対象外"))</f>
        <v/>
      </c>
    </row>
    <row r="1646" customFormat="false" ht="15" hidden="false" customHeight="false" outlineLevel="0" collapsed="false">
      <c r="DB1646" s="0" t="str">
        <f aca="false">IF($A1646="","",IF(AND($A1646=21,$AE1646&amp;""="00000000"),IF($AH1646=20,"病院",IF($AH1646=5,"消防","市長")),"対象外"))</f>
        <v/>
      </c>
    </row>
    <row r="1647" customFormat="false" ht="15" hidden="false" customHeight="false" outlineLevel="0" collapsed="false">
      <c r="DB1647" s="0" t="str">
        <f aca="false">IF($A1647="","",IF(AND($A1647=21,$AE1647&amp;""="00000000"),IF($AH1647=20,"病院",IF($AH1647=5,"消防","市長")),"対象外"))</f>
        <v/>
      </c>
    </row>
    <row r="1648" customFormat="false" ht="15" hidden="false" customHeight="false" outlineLevel="0" collapsed="false">
      <c r="DB1648" s="0" t="str">
        <f aca="false">IF($A1648="","",IF(AND($A1648=21,$AE1648&amp;""="00000000"),IF($AH1648=20,"病院",IF($AH1648=5,"消防","市長")),"対象外"))</f>
        <v/>
      </c>
    </row>
    <row r="1649" customFormat="false" ht="15" hidden="false" customHeight="false" outlineLevel="0" collapsed="false">
      <c r="DB1649" s="0" t="str">
        <f aca="false">IF($A1649="","",IF(AND($A1649=21,$AE1649&amp;""="00000000"),IF($AH1649=20,"病院",IF($AH1649=5,"消防","市長")),"対象外"))</f>
        <v/>
      </c>
    </row>
    <row r="1650" customFormat="false" ht="15" hidden="false" customHeight="false" outlineLevel="0" collapsed="false">
      <c r="DB1650" s="0" t="str">
        <f aca="false">IF($A1650="","",IF(AND($A1650=21,$AE1650&amp;""="00000000"),IF($AH1650=20,"病院",IF($AH1650=5,"消防","市長")),"対象外"))</f>
        <v/>
      </c>
    </row>
    <row r="1651" customFormat="false" ht="15" hidden="false" customHeight="false" outlineLevel="0" collapsed="false">
      <c r="DB1651" s="0" t="str">
        <f aca="false">IF($A1651="","",IF(AND($A1651=21,$AE1651&amp;""="00000000"),IF($AH1651=20,"病院",IF($AH1651=5,"消防","市長")),"対象外"))</f>
        <v/>
      </c>
    </row>
    <row r="1652" customFormat="false" ht="15" hidden="false" customHeight="false" outlineLevel="0" collapsed="false">
      <c r="DB1652" s="0" t="str">
        <f aca="false">IF($A1652="","",IF(AND($A1652=21,$AE1652&amp;""="00000000"),IF($AH1652=20,"病院",IF($AH1652=5,"消防","市長")),"対象外"))</f>
        <v/>
      </c>
    </row>
    <row r="1653" customFormat="false" ht="15" hidden="false" customHeight="false" outlineLevel="0" collapsed="false">
      <c r="DB1653" s="0" t="str">
        <f aca="false">IF($A1653="","",IF(AND($A1653=21,$AE1653&amp;""="00000000"),IF($AH1653=20,"病院",IF($AH1653=5,"消防","市長")),"対象外"))</f>
        <v/>
      </c>
    </row>
    <row r="1654" customFormat="false" ht="15" hidden="false" customHeight="false" outlineLevel="0" collapsed="false">
      <c r="DB1654" s="0" t="str">
        <f aca="false">IF($A1654="","",IF(AND($A1654=21,$AE1654&amp;""="00000000"),IF($AH1654=20,"病院",IF($AH1654=5,"消防","市長")),"対象外"))</f>
        <v/>
      </c>
    </row>
    <row r="1655" customFormat="false" ht="15" hidden="false" customHeight="false" outlineLevel="0" collapsed="false">
      <c r="DB1655" s="0" t="str">
        <f aca="false">IF($A1655="","",IF(AND($A1655=21,$AE1655&amp;""="00000000"),IF($AH1655=20,"病院",IF($AH1655=5,"消防","市長")),"対象外"))</f>
        <v/>
      </c>
    </row>
    <row r="1656" customFormat="false" ht="15" hidden="false" customHeight="false" outlineLevel="0" collapsed="false">
      <c r="DB1656" s="0" t="str">
        <f aca="false">IF($A1656="","",IF(AND($A1656=21,$AE1656&amp;""="00000000"),IF($AH1656=20,"病院",IF($AH1656=5,"消防","市長")),"対象外"))</f>
        <v/>
      </c>
    </row>
    <row r="1657" customFormat="false" ht="15" hidden="false" customHeight="false" outlineLevel="0" collapsed="false">
      <c r="DB1657" s="0" t="str">
        <f aca="false">IF($A1657="","",IF(AND($A1657=21,$AE1657&amp;""="00000000"),IF($AH1657=20,"病院",IF($AH1657=5,"消防","市長")),"対象外"))</f>
        <v/>
      </c>
    </row>
    <row r="1658" customFormat="false" ht="15" hidden="false" customHeight="false" outlineLevel="0" collapsed="false">
      <c r="DB1658" s="0" t="str">
        <f aca="false">IF($A1658="","",IF(AND($A1658=21,$AE1658&amp;""="00000000"),IF($AH1658=20,"病院",IF($AH1658=5,"消防","市長")),"対象外"))</f>
        <v/>
      </c>
    </row>
    <row r="1659" customFormat="false" ht="15" hidden="false" customHeight="false" outlineLevel="0" collapsed="false">
      <c r="DB1659" s="0" t="str">
        <f aca="false">IF($A1659="","",IF(AND($A1659=21,$AE1659&amp;""="00000000"),IF($AH1659=20,"病院",IF($AH1659=5,"消防","市長")),"対象外"))</f>
        <v/>
      </c>
    </row>
    <row r="1660" customFormat="false" ht="15" hidden="false" customHeight="false" outlineLevel="0" collapsed="false">
      <c r="DB1660" s="0" t="str">
        <f aca="false">IF($A1660="","",IF(AND($A1660=21,$AE1660&amp;""="00000000"),IF($AH1660=20,"病院",IF($AH1660=5,"消防","市長")),"対象外"))</f>
        <v/>
      </c>
    </row>
    <row r="1661" customFormat="false" ht="15" hidden="false" customHeight="false" outlineLevel="0" collapsed="false">
      <c r="DB1661" s="0" t="str">
        <f aca="false">IF($A1661="","",IF(AND($A1661=21,$AE1661&amp;""="00000000"),IF($AH1661=20,"病院",IF($AH1661=5,"消防","市長")),"対象外"))</f>
        <v/>
      </c>
    </row>
    <row r="1662" customFormat="false" ht="15" hidden="false" customHeight="false" outlineLevel="0" collapsed="false">
      <c r="DB1662" s="0" t="str">
        <f aca="false">IF($A1662="","",IF(AND($A1662=21,$AE1662&amp;""="00000000"),IF($AH1662=20,"病院",IF($AH1662=5,"消防","市長")),"対象外"))</f>
        <v/>
      </c>
    </row>
    <row r="1663" customFormat="false" ht="15" hidden="false" customHeight="false" outlineLevel="0" collapsed="false">
      <c r="DB1663" s="0" t="str">
        <f aca="false">IF($A1663="","",IF(AND($A1663=21,$AE1663&amp;""="00000000"),IF($AH1663=20,"病院",IF($AH1663=5,"消防","市長")),"対象外"))</f>
        <v/>
      </c>
    </row>
    <row r="1664" customFormat="false" ht="15" hidden="false" customHeight="false" outlineLevel="0" collapsed="false">
      <c r="DB1664" s="0" t="str">
        <f aca="false">IF($A1664="","",IF(AND($A1664=21,$AE1664&amp;""="00000000"),IF($AH1664=20,"病院",IF($AH1664=5,"消防","市長")),"対象外"))</f>
        <v/>
      </c>
    </row>
    <row r="1665" customFormat="false" ht="15" hidden="false" customHeight="false" outlineLevel="0" collapsed="false">
      <c r="DB1665" s="0" t="str">
        <f aca="false">IF($A1665="","",IF(AND($A1665=21,$AE1665&amp;""="00000000"),IF($AH1665=20,"病院",IF($AH1665=5,"消防","市長")),"対象外"))</f>
        <v/>
      </c>
    </row>
    <row r="1666" customFormat="false" ht="15" hidden="false" customHeight="false" outlineLevel="0" collapsed="false">
      <c r="DB1666" s="0" t="str">
        <f aca="false">IF($A1666="","",IF(AND($A1666=21,$AE1666&amp;""="00000000"),IF($AH1666=20,"病院",IF($AH1666=5,"消防","市長")),"対象外"))</f>
        <v/>
      </c>
    </row>
    <row r="1667" customFormat="false" ht="15" hidden="false" customHeight="false" outlineLevel="0" collapsed="false">
      <c r="DB1667" s="0" t="str">
        <f aca="false">IF($A1667="","",IF(AND($A1667=21,$AE1667&amp;""="00000000"),IF($AH1667=20,"病院",IF($AH1667=5,"消防","市長")),"対象外"))</f>
        <v/>
      </c>
    </row>
    <row r="1668" customFormat="false" ht="15" hidden="false" customHeight="false" outlineLevel="0" collapsed="false">
      <c r="DB1668" s="0" t="str">
        <f aca="false">IF($A1668="","",IF(AND($A1668=21,$AE1668&amp;""="00000000"),IF($AH1668=20,"病院",IF($AH1668=5,"消防","市長")),"対象外"))</f>
        <v/>
      </c>
    </row>
    <row r="1669" customFormat="false" ht="15" hidden="false" customHeight="false" outlineLevel="0" collapsed="false">
      <c r="DB1669" s="0" t="str">
        <f aca="false">IF($A1669="","",IF(AND($A1669=21,$AE1669&amp;""="00000000"),IF($AH1669=20,"病院",IF($AH1669=5,"消防","市長")),"対象外"))</f>
        <v/>
      </c>
    </row>
    <row r="1670" customFormat="false" ht="15" hidden="false" customHeight="false" outlineLevel="0" collapsed="false">
      <c r="DB1670" s="0" t="str">
        <f aca="false">IF($A1670="","",IF(AND($A1670=21,$AE1670&amp;""="00000000"),IF($AH1670=20,"病院",IF($AH1670=5,"消防","市長")),"対象外"))</f>
        <v/>
      </c>
    </row>
    <row r="1671" customFormat="false" ht="15" hidden="false" customHeight="false" outlineLevel="0" collapsed="false">
      <c r="DB1671" s="0" t="str">
        <f aca="false">IF($A1671="","",IF(AND($A1671=21,$AE1671&amp;""="00000000"),IF($AH1671=20,"病院",IF($AH1671=5,"消防","市長")),"対象外"))</f>
        <v/>
      </c>
    </row>
    <row r="1672" customFormat="false" ht="15" hidden="false" customHeight="false" outlineLevel="0" collapsed="false">
      <c r="DB1672" s="0" t="str">
        <f aca="false">IF($A1672="","",IF(AND($A1672=21,$AE1672&amp;""="00000000"),IF($AH1672=20,"病院",IF($AH1672=5,"消防","市長")),"対象外"))</f>
        <v/>
      </c>
    </row>
    <row r="1673" customFormat="false" ht="15" hidden="false" customHeight="false" outlineLevel="0" collapsed="false">
      <c r="DB1673" s="0" t="str">
        <f aca="false">IF($A1673="","",IF(AND($A1673=21,$AE1673&amp;""="00000000"),IF($AH1673=20,"病院",IF($AH1673=5,"消防","市長")),"対象外"))</f>
        <v/>
      </c>
    </row>
    <row r="1674" customFormat="false" ht="15" hidden="false" customHeight="false" outlineLevel="0" collapsed="false">
      <c r="DB1674" s="0" t="str">
        <f aca="false">IF($A1674="","",IF(AND($A1674=21,$AE1674&amp;""="00000000"),IF($AH1674=20,"病院",IF($AH1674=5,"消防","市長")),"対象外"))</f>
        <v/>
      </c>
    </row>
    <row r="1675" customFormat="false" ht="15" hidden="false" customHeight="false" outlineLevel="0" collapsed="false">
      <c r="DB1675" s="0" t="str">
        <f aca="false">IF($A1675="","",IF(AND($A1675=21,$AE1675&amp;""="00000000"),IF($AH1675=20,"病院",IF($AH1675=5,"消防","市長")),"対象外"))</f>
        <v/>
      </c>
    </row>
    <row r="1676" customFormat="false" ht="15" hidden="false" customHeight="false" outlineLevel="0" collapsed="false">
      <c r="DB1676" s="0" t="str">
        <f aca="false">IF($A1676="","",IF(AND($A1676=21,$AE1676&amp;""="00000000"),IF($AH1676=20,"病院",IF($AH1676=5,"消防","市長")),"対象外"))</f>
        <v/>
      </c>
    </row>
    <row r="1677" customFormat="false" ht="15" hidden="false" customHeight="false" outlineLevel="0" collapsed="false">
      <c r="DB1677" s="0" t="str">
        <f aca="false">IF($A1677="","",IF(AND($A1677=21,$AE1677&amp;""="00000000"),IF($AH1677=20,"病院",IF($AH1677=5,"消防","市長")),"対象外"))</f>
        <v/>
      </c>
    </row>
    <row r="1678" customFormat="false" ht="15" hidden="false" customHeight="false" outlineLevel="0" collapsed="false">
      <c r="DB1678" s="0" t="str">
        <f aca="false">IF($A1678="","",IF(AND($A1678=21,$AE1678&amp;""="00000000"),IF($AH1678=20,"病院",IF($AH1678=5,"消防","市長")),"対象外"))</f>
        <v/>
      </c>
    </row>
    <row r="1679" customFormat="false" ht="15" hidden="false" customHeight="false" outlineLevel="0" collapsed="false">
      <c r="DB1679" s="0" t="str">
        <f aca="false">IF($A1679="","",IF(AND($A1679=21,$AE1679&amp;""="00000000"),IF($AH1679=20,"病院",IF($AH1679=5,"消防","市長")),"対象外"))</f>
        <v/>
      </c>
    </row>
    <row r="1680" customFormat="false" ht="15" hidden="false" customHeight="false" outlineLevel="0" collapsed="false">
      <c r="DB1680" s="0" t="str">
        <f aca="false">IF($A1680="","",IF(AND($A1680=21,$AE1680&amp;""="00000000"),IF($AH1680=20,"病院",IF($AH1680=5,"消防","市長")),"対象外"))</f>
        <v/>
      </c>
    </row>
    <row r="1681" customFormat="false" ht="15" hidden="false" customHeight="false" outlineLevel="0" collapsed="false">
      <c r="DB1681" s="0" t="str">
        <f aca="false">IF($A1681="","",IF(AND($A1681=21,$AE1681&amp;""="00000000"),IF($AH1681=20,"病院",IF($AH1681=5,"消防","市長")),"対象外"))</f>
        <v/>
      </c>
    </row>
    <row r="1682" customFormat="false" ht="15" hidden="false" customHeight="false" outlineLevel="0" collapsed="false">
      <c r="DB1682" s="0" t="str">
        <f aca="false">IF($A1682="","",IF(AND($A1682=21,$AE1682&amp;""="00000000"),IF($AH1682=20,"病院",IF($AH1682=5,"消防","市長")),"対象外"))</f>
        <v/>
      </c>
    </row>
    <row r="1683" customFormat="false" ht="15" hidden="false" customHeight="false" outlineLevel="0" collapsed="false">
      <c r="DB1683" s="0" t="str">
        <f aca="false">IF($A1683="","",IF(AND($A1683=21,$AE1683&amp;""="00000000"),IF($AH1683=20,"病院",IF($AH1683=5,"消防","市長")),"対象外"))</f>
        <v/>
      </c>
    </row>
    <row r="1684" customFormat="false" ht="15" hidden="false" customHeight="false" outlineLevel="0" collapsed="false">
      <c r="DB1684" s="0" t="str">
        <f aca="false">IF($A1684="","",IF(AND($A1684=21,$AE1684&amp;""="00000000"),IF($AH1684=20,"病院",IF($AH1684=5,"消防","市長")),"対象外"))</f>
        <v/>
      </c>
    </row>
    <row r="1685" customFormat="false" ht="15" hidden="false" customHeight="false" outlineLevel="0" collapsed="false">
      <c r="DB1685" s="0" t="str">
        <f aca="false">IF($A1685="","",IF(AND($A1685=21,$AE1685&amp;""="00000000"),IF($AH1685=20,"病院",IF($AH1685=5,"消防","市長")),"対象外"))</f>
        <v/>
      </c>
    </row>
    <row r="1686" customFormat="false" ht="15" hidden="false" customHeight="false" outlineLevel="0" collapsed="false">
      <c r="DB1686" s="0" t="str">
        <f aca="false">IF($A1686="","",IF(AND($A1686=21,$AE1686&amp;""="00000000"),IF($AH1686=20,"病院",IF($AH1686=5,"消防","市長")),"対象外"))</f>
        <v/>
      </c>
    </row>
    <row r="1687" customFormat="false" ht="15" hidden="false" customHeight="false" outlineLevel="0" collapsed="false">
      <c r="DB1687" s="0" t="str">
        <f aca="false">IF($A1687="","",IF(AND($A1687=21,$AE1687&amp;""="00000000"),IF($AH1687=20,"病院",IF($AH1687=5,"消防","市長")),"対象外"))</f>
        <v/>
      </c>
    </row>
    <row r="1688" customFormat="false" ht="15" hidden="false" customHeight="false" outlineLevel="0" collapsed="false">
      <c r="DB1688" s="0" t="str">
        <f aca="false">IF($A1688="","",IF(AND($A1688=21,$AE1688&amp;""="00000000"),IF($AH1688=20,"病院",IF($AH1688=5,"消防","市長")),"対象外"))</f>
        <v/>
      </c>
    </row>
    <row r="1689" customFormat="false" ht="15" hidden="false" customHeight="false" outlineLevel="0" collapsed="false">
      <c r="DB1689" s="0" t="str">
        <f aca="false">IF($A1689="","",IF(AND($A1689=21,$AE1689&amp;""="00000000"),IF($AH1689=20,"病院",IF($AH1689=5,"消防","市長")),"対象外"))</f>
        <v/>
      </c>
    </row>
    <row r="1690" customFormat="false" ht="15" hidden="false" customHeight="false" outlineLevel="0" collapsed="false">
      <c r="DB1690" s="0" t="str">
        <f aca="false">IF($A1690="","",IF(AND($A1690=21,$AE1690&amp;""="00000000"),IF($AH1690=20,"病院",IF($AH1690=5,"消防","市長")),"対象外"))</f>
        <v/>
      </c>
    </row>
    <row r="1691" customFormat="false" ht="15" hidden="false" customHeight="false" outlineLevel="0" collapsed="false">
      <c r="DB1691" s="0" t="str">
        <f aca="false">IF($A1691="","",IF(AND($A1691=21,$AE1691&amp;""="00000000"),IF($AH1691=20,"病院",IF($AH1691=5,"消防","市長")),"対象外"))</f>
        <v/>
      </c>
    </row>
    <row r="1692" customFormat="false" ht="15" hidden="false" customHeight="false" outlineLevel="0" collapsed="false">
      <c r="DB1692" s="0" t="str">
        <f aca="false">IF($A1692="","",IF(AND($A1692=21,$AE1692&amp;""="00000000"),IF($AH1692=20,"病院",IF($AH1692=5,"消防","市長")),"対象外"))</f>
        <v/>
      </c>
    </row>
    <row r="1693" customFormat="false" ht="15" hidden="false" customHeight="false" outlineLevel="0" collapsed="false">
      <c r="DB1693" s="0" t="str">
        <f aca="false">IF($A1693="","",IF(AND($A1693=21,$AE1693&amp;""="00000000"),IF($AH1693=20,"病院",IF($AH1693=5,"消防","市長")),"対象外"))</f>
        <v/>
      </c>
    </row>
    <row r="1694" customFormat="false" ht="15" hidden="false" customHeight="false" outlineLevel="0" collapsed="false">
      <c r="DB1694" s="0" t="str">
        <f aca="false">IF($A1694="","",IF(AND($A1694=21,$AE1694&amp;""="00000000"),IF($AH1694=20,"病院",IF($AH1694=5,"消防","市長")),"対象外"))</f>
        <v/>
      </c>
    </row>
    <row r="1695" customFormat="false" ht="15" hidden="false" customHeight="false" outlineLevel="0" collapsed="false">
      <c r="DB1695" s="0" t="str">
        <f aca="false">IF($A1695="","",IF(AND($A1695=21,$AE1695&amp;""="00000000"),IF($AH1695=20,"病院",IF($AH1695=5,"消防","市長")),"対象外"))</f>
        <v/>
      </c>
    </row>
    <row r="1696" customFormat="false" ht="15" hidden="false" customHeight="false" outlineLevel="0" collapsed="false">
      <c r="DB1696" s="0" t="str">
        <f aca="false">IF($A1696="","",IF(AND($A1696=21,$AE1696&amp;""="00000000"),IF($AH1696=20,"病院",IF($AH1696=5,"消防","市長")),"対象外"))</f>
        <v/>
      </c>
    </row>
    <row r="1697" customFormat="false" ht="15" hidden="false" customHeight="false" outlineLevel="0" collapsed="false">
      <c r="DB1697" s="0" t="str">
        <f aca="false">IF($A1697="","",IF(AND($A1697=21,$AE1697&amp;""="00000000"),IF($AH1697=20,"病院",IF($AH1697=5,"消防","市長")),"対象外"))</f>
        <v/>
      </c>
    </row>
    <row r="1698" customFormat="false" ht="15" hidden="false" customHeight="false" outlineLevel="0" collapsed="false">
      <c r="DB1698" s="0" t="str">
        <f aca="false">IF($A1698="","",IF(AND($A1698=21,$AE1698&amp;""="00000000"),IF($AH1698=20,"病院",IF($AH1698=5,"消防","市長")),"対象外"))</f>
        <v/>
      </c>
    </row>
    <row r="1699" customFormat="false" ht="15" hidden="false" customHeight="false" outlineLevel="0" collapsed="false">
      <c r="DB1699" s="0" t="str">
        <f aca="false">IF($A1699="","",IF(AND($A1699=21,$AE1699&amp;""="00000000"),IF($AH1699=20,"病院",IF($AH1699=5,"消防","市長")),"対象外"))</f>
        <v/>
      </c>
    </row>
    <row r="1700" customFormat="false" ht="15" hidden="false" customHeight="false" outlineLevel="0" collapsed="false">
      <c r="DB1700" s="0" t="str">
        <f aca="false">IF($A1700="","",IF(AND($A1700=21,$AE1700&amp;""="00000000"),IF($AH1700=20,"病院",IF($AH1700=5,"消防","市長")),"対象外"))</f>
        <v/>
      </c>
    </row>
    <row r="1701" customFormat="false" ht="15" hidden="false" customHeight="false" outlineLevel="0" collapsed="false">
      <c r="DB1701" s="0" t="str">
        <f aca="false">IF($A1701="","",IF(AND($A1701=21,$AE1701&amp;""="00000000"),IF($AH1701=20,"病院",IF($AH1701=5,"消防","市長")),"対象外"))</f>
        <v/>
      </c>
    </row>
    <row r="1702" customFormat="false" ht="15" hidden="false" customHeight="false" outlineLevel="0" collapsed="false">
      <c r="DB1702" s="0" t="str">
        <f aca="false">IF($A1702="","",IF(AND($A1702=21,$AE1702&amp;""="00000000"),IF($AH1702=20,"病院",IF($AH1702=5,"消防","市長")),"対象外"))</f>
        <v/>
      </c>
    </row>
    <row r="1703" customFormat="false" ht="15" hidden="false" customHeight="false" outlineLevel="0" collapsed="false">
      <c r="DB1703" s="0" t="str">
        <f aca="false">IF($A1703="","",IF(AND($A1703=21,$AE1703&amp;""="00000000"),IF($AH1703=20,"病院",IF($AH1703=5,"消防","市長")),"対象外"))</f>
        <v/>
      </c>
    </row>
    <row r="1704" customFormat="false" ht="15" hidden="false" customHeight="false" outlineLevel="0" collapsed="false">
      <c r="DB1704" s="0" t="str">
        <f aca="false">IF($A1704="","",IF(AND($A1704=21,$AE1704&amp;""="00000000"),IF($AH1704=20,"病院",IF($AH1704=5,"消防","市長")),"対象外"))</f>
        <v/>
      </c>
    </row>
    <row r="1705" customFormat="false" ht="15" hidden="false" customHeight="false" outlineLevel="0" collapsed="false">
      <c r="DB1705" s="0" t="str">
        <f aca="false">IF($A1705="","",IF(AND($A1705=21,$AE1705&amp;""="00000000"),IF($AH1705=20,"病院",IF($AH1705=5,"消防","市長")),"対象外"))</f>
        <v/>
      </c>
    </row>
    <row r="1706" customFormat="false" ht="15" hidden="false" customHeight="false" outlineLevel="0" collapsed="false">
      <c r="DB1706" s="0" t="str">
        <f aca="false">IF($A1706="","",IF(AND($A1706=21,$AE1706&amp;""="00000000"),IF($AH1706=20,"病院",IF($AH1706=5,"消防","市長")),"対象外"))</f>
        <v/>
      </c>
    </row>
    <row r="1707" customFormat="false" ht="15" hidden="false" customHeight="false" outlineLevel="0" collapsed="false">
      <c r="DB1707" s="0" t="str">
        <f aca="false">IF($A1707="","",IF(AND($A1707=21,$AE1707&amp;""="00000000"),IF($AH1707=20,"病院",IF($AH1707=5,"消防","市長")),"対象外"))</f>
        <v/>
      </c>
    </row>
    <row r="1708" customFormat="false" ht="15" hidden="false" customHeight="false" outlineLevel="0" collapsed="false">
      <c r="DB1708" s="0" t="str">
        <f aca="false">IF($A1708="","",IF(AND($A1708=21,$AE1708&amp;""="00000000"),IF($AH1708=20,"病院",IF($AH1708=5,"消防","市長")),"対象外"))</f>
        <v/>
      </c>
    </row>
    <row r="1709" customFormat="false" ht="15" hidden="false" customHeight="false" outlineLevel="0" collapsed="false">
      <c r="DB1709" s="0" t="str">
        <f aca="false">IF($A1709="","",IF(AND($A1709=21,$AE1709&amp;""="00000000"),IF($AH1709=20,"病院",IF($AH1709=5,"消防","市長")),"対象外"))</f>
        <v/>
      </c>
    </row>
    <row r="1710" customFormat="false" ht="15" hidden="false" customHeight="false" outlineLevel="0" collapsed="false">
      <c r="DB1710" s="0" t="str">
        <f aca="false">IF($A1710="","",IF(AND($A1710=21,$AE1710&amp;""="00000000"),IF($AH1710=20,"病院",IF($AH1710=5,"消防","市長")),"対象外"))</f>
        <v/>
      </c>
    </row>
    <row r="1711" customFormat="false" ht="15" hidden="false" customHeight="false" outlineLevel="0" collapsed="false">
      <c r="DB1711" s="0" t="str">
        <f aca="false">IF($A1711="","",IF(AND($A1711=21,$AE1711&amp;""="00000000"),IF($AH1711=20,"病院",IF($AH1711=5,"消防","市長")),"対象外"))</f>
        <v/>
      </c>
    </row>
    <row r="1712" customFormat="false" ht="15" hidden="false" customHeight="false" outlineLevel="0" collapsed="false">
      <c r="DB1712" s="0" t="str">
        <f aca="false">IF($A1712="","",IF(AND($A1712=21,$AE1712&amp;""="00000000"),IF($AH1712=20,"病院",IF($AH1712=5,"消防","市長")),"対象外"))</f>
        <v/>
      </c>
    </row>
    <row r="1713" customFormat="false" ht="15" hidden="false" customHeight="false" outlineLevel="0" collapsed="false">
      <c r="DB1713" s="0" t="str">
        <f aca="false">IF($A1713="","",IF(AND($A1713=21,$AE1713&amp;""="00000000"),IF($AH1713=20,"病院",IF($AH1713=5,"消防","市長")),"対象外"))</f>
        <v/>
      </c>
    </row>
    <row r="1714" customFormat="false" ht="15" hidden="false" customHeight="false" outlineLevel="0" collapsed="false">
      <c r="DB1714" s="0" t="str">
        <f aca="false">IF($A1714="","",IF(AND($A1714=21,$AE1714&amp;""="00000000"),IF($AH1714=20,"病院",IF($AH1714=5,"消防","市長")),"対象外"))</f>
        <v/>
      </c>
    </row>
    <row r="1715" customFormat="false" ht="15" hidden="false" customHeight="false" outlineLevel="0" collapsed="false">
      <c r="DB1715" s="0" t="str">
        <f aca="false">IF($A1715="","",IF(AND($A1715=21,$AE1715&amp;""="00000000"),IF($AH1715=20,"病院",IF($AH1715=5,"消防","市長")),"対象外"))</f>
        <v/>
      </c>
    </row>
    <row r="1716" customFormat="false" ht="15" hidden="false" customHeight="false" outlineLevel="0" collapsed="false">
      <c r="DB1716" s="0" t="str">
        <f aca="false">IF($A1716="","",IF(AND($A1716=21,$AE1716&amp;""="00000000"),IF($AH1716=20,"病院",IF($AH1716=5,"消防","市長")),"対象外"))</f>
        <v/>
      </c>
    </row>
    <row r="1717" customFormat="false" ht="15" hidden="false" customHeight="false" outlineLevel="0" collapsed="false">
      <c r="DB1717" s="0" t="str">
        <f aca="false">IF($A1717="","",IF(AND($A1717=21,$AE1717&amp;""="00000000"),IF($AH1717=20,"病院",IF($AH1717=5,"消防","市長")),"対象外"))</f>
        <v/>
      </c>
    </row>
    <row r="1718" customFormat="false" ht="15" hidden="false" customHeight="false" outlineLevel="0" collapsed="false">
      <c r="DB1718" s="0" t="str">
        <f aca="false">IF($A1718="","",IF(AND($A1718=21,$AE1718&amp;""="00000000"),IF($AH1718=20,"病院",IF($AH1718=5,"消防","市長")),"対象外"))</f>
        <v/>
      </c>
    </row>
    <row r="1719" customFormat="false" ht="15" hidden="false" customHeight="false" outlineLevel="0" collapsed="false">
      <c r="DB1719" s="0" t="str">
        <f aca="false">IF($A1719="","",IF(AND($A1719=21,$AE1719&amp;""="00000000"),IF($AH1719=20,"病院",IF($AH1719=5,"消防","市長")),"対象外"))</f>
        <v/>
      </c>
    </row>
    <row r="1720" customFormat="false" ht="15" hidden="false" customHeight="false" outlineLevel="0" collapsed="false">
      <c r="DB1720" s="0" t="str">
        <f aca="false">IF($A1720="","",IF(AND($A1720=21,$AE1720&amp;""="00000000"),IF($AH1720=20,"病院",IF($AH1720=5,"消防","市長")),"対象外"))</f>
        <v/>
      </c>
    </row>
    <row r="1721" customFormat="false" ht="15" hidden="false" customHeight="false" outlineLevel="0" collapsed="false">
      <c r="DB1721" s="0" t="str">
        <f aca="false">IF($A1721="","",IF(AND($A1721=21,$AE1721&amp;""="00000000"),IF($AH1721=20,"病院",IF($AH1721=5,"消防","市長")),"対象外"))</f>
        <v/>
      </c>
    </row>
    <row r="1722" customFormat="false" ht="15" hidden="false" customHeight="false" outlineLevel="0" collapsed="false">
      <c r="DB1722" s="0" t="str">
        <f aca="false">IF($A1722="","",IF(AND($A1722=21,$AE1722&amp;""="00000000"),IF($AH1722=20,"病院",IF($AH1722=5,"消防","市長")),"対象外"))</f>
        <v/>
      </c>
    </row>
    <row r="1723" customFormat="false" ht="15" hidden="false" customHeight="false" outlineLevel="0" collapsed="false">
      <c r="DB1723" s="0" t="str">
        <f aca="false">IF($A1723="","",IF(AND($A1723=21,$AE1723&amp;""="00000000"),IF($AH1723=20,"病院",IF($AH1723=5,"消防","市長")),"対象外"))</f>
        <v/>
      </c>
    </row>
    <row r="1724" customFormat="false" ht="15" hidden="false" customHeight="false" outlineLevel="0" collapsed="false">
      <c r="DB1724" s="0" t="str">
        <f aca="false">IF($A1724="","",IF(AND($A1724=21,$AE1724&amp;""="00000000"),IF($AH1724=20,"病院",IF($AH1724=5,"消防","市長")),"対象外"))</f>
        <v/>
      </c>
    </row>
    <row r="1725" customFormat="false" ht="15" hidden="false" customHeight="false" outlineLevel="0" collapsed="false">
      <c r="DB1725" s="0" t="str">
        <f aca="false">IF($A1725="","",IF(AND($A1725=21,$AE1725&amp;""="00000000"),IF($AH1725=20,"病院",IF($AH1725=5,"消防","市長")),"対象外"))</f>
        <v/>
      </c>
    </row>
    <row r="1726" customFormat="false" ht="15" hidden="false" customHeight="false" outlineLevel="0" collapsed="false">
      <c r="DB1726" s="0" t="str">
        <f aca="false">IF($A1726="","",IF(AND($A1726=21,$AE1726&amp;""="00000000"),IF($AH1726=20,"病院",IF($AH1726=5,"消防","市長")),"対象外"))</f>
        <v/>
      </c>
    </row>
    <row r="1727" customFormat="false" ht="15" hidden="false" customHeight="false" outlineLevel="0" collapsed="false">
      <c r="DB1727" s="0" t="str">
        <f aca="false">IF($A1727="","",IF(AND($A1727=21,$AE1727&amp;""="00000000"),IF($AH1727=20,"病院",IF($AH1727=5,"消防","市長")),"対象外"))</f>
        <v/>
      </c>
    </row>
    <row r="1728" customFormat="false" ht="15" hidden="false" customHeight="false" outlineLevel="0" collapsed="false">
      <c r="DB1728" s="0" t="str">
        <f aca="false">IF($A1728="","",IF(AND($A1728=21,$AE1728&amp;""="00000000"),IF($AH1728=20,"病院",IF($AH1728=5,"消防","市長")),"対象外"))</f>
        <v/>
      </c>
    </row>
    <row r="1729" customFormat="false" ht="15" hidden="false" customHeight="false" outlineLevel="0" collapsed="false">
      <c r="DB1729" s="0" t="str">
        <f aca="false">IF($A1729="","",IF(AND($A1729=21,$AE1729&amp;""="00000000"),IF($AH1729=20,"病院",IF($AH1729=5,"消防","市長")),"対象外"))</f>
        <v/>
      </c>
    </row>
    <row r="1730" customFormat="false" ht="15" hidden="false" customHeight="false" outlineLevel="0" collapsed="false">
      <c r="DB1730" s="0" t="str">
        <f aca="false">IF($A1730="","",IF(AND($A1730=21,$AE1730&amp;""="00000000"),IF($AH1730=20,"病院",IF($AH1730=5,"消防","市長")),"対象外"))</f>
        <v/>
      </c>
    </row>
    <row r="1731" customFormat="false" ht="15" hidden="false" customHeight="false" outlineLevel="0" collapsed="false">
      <c r="DB1731" s="0" t="str">
        <f aca="false">IF($A1731="","",IF(AND($A1731=21,$AE1731&amp;""="00000000"),IF($AH1731=20,"病院",IF($AH1731=5,"消防","市長")),"対象外"))</f>
        <v/>
      </c>
    </row>
    <row r="1732" customFormat="false" ht="15" hidden="false" customHeight="false" outlineLevel="0" collapsed="false">
      <c r="DB1732" s="0" t="str">
        <f aca="false">IF($A1732="","",IF(AND($A1732=21,$AE1732&amp;""="00000000"),IF($AH1732=20,"病院",IF($AH1732=5,"消防","市長")),"対象外"))</f>
        <v/>
      </c>
    </row>
    <row r="1733" customFormat="false" ht="15" hidden="false" customHeight="false" outlineLevel="0" collapsed="false">
      <c r="DB1733" s="0" t="str">
        <f aca="false">IF($A1733="","",IF(AND($A1733=21,$AE1733&amp;""="00000000"),IF($AH1733=20,"病院",IF($AH1733=5,"消防","市長")),"対象外"))</f>
        <v/>
      </c>
    </row>
    <row r="1734" customFormat="false" ht="15" hidden="false" customHeight="false" outlineLevel="0" collapsed="false">
      <c r="DB1734" s="0" t="str">
        <f aca="false">IF($A1734="","",IF(AND($A1734=21,$AE1734&amp;""="00000000"),IF($AH1734=20,"病院",IF($AH1734=5,"消防","市長")),"対象外"))</f>
        <v/>
      </c>
    </row>
    <row r="1735" customFormat="false" ht="15" hidden="false" customHeight="false" outlineLevel="0" collapsed="false">
      <c r="DB1735" s="0" t="str">
        <f aca="false">IF($A1735="","",IF(AND($A1735=21,$AE1735&amp;""="00000000"),IF($AH1735=20,"病院",IF($AH1735=5,"消防","市長")),"対象外"))</f>
        <v/>
      </c>
    </row>
    <row r="1736" customFormat="false" ht="15" hidden="false" customHeight="false" outlineLevel="0" collapsed="false">
      <c r="DB1736" s="0" t="str">
        <f aca="false">IF($A1736="","",IF(AND($A1736=21,$AE1736&amp;""="00000000"),IF($AH1736=20,"病院",IF($AH1736=5,"消防","市長")),"対象外"))</f>
        <v/>
      </c>
    </row>
    <row r="1737" customFormat="false" ht="15" hidden="false" customHeight="false" outlineLevel="0" collapsed="false">
      <c r="DB1737" s="0" t="str">
        <f aca="false">IF($A1737="","",IF(AND($A1737=21,$AE1737&amp;""="00000000"),IF($AH1737=20,"病院",IF($AH1737=5,"消防","市長")),"対象外"))</f>
        <v/>
      </c>
    </row>
    <row r="1738" customFormat="false" ht="15" hidden="false" customHeight="false" outlineLevel="0" collapsed="false">
      <c r="DB1738" s="0" t="str">
        <f aca="false">IF($A1738="","",IF(AND($A1738=21,$AE1738&amp;""="00000000"),IF($AH1738=20,"病院",IF($AH1738=5,"消防","市長")),"対象外"))</f>
        <v/>
      </c>
    </row>
    <row r="1739" customFormat="false" ht="15" hidden="false" customHeight="false" outlineLevel="0" collapsed="false">
      <c r="DB1739" s="0" t="str">
        <f aca="false">IF($A1739="","",IF(AND($A1739=21,$AE1739&amp;""="00000000"),IF($AH1739=20,"病院",IF($AH1739=5,"消防","市長")),"対象外"))</f>
        <v/>
      </c>
    </row>
    <row r="1740" customFormat="false" ht="15" hidden="false" customHeight="false" outlineLevel="0" collapsed="false">
      <c r="DB1740" s="0" t="str">
        <f aca="false">IF($A1740="","",IF(AND($A1740=21,$AE1740&amp;""="00000000"),IF($AH1740=20,"病院",IF($AH1740=5,"消防","市長")),"対象外"))</f>
        <v/>
      </c>
    </row>
    <row r="1741" customFormat="false" ht="15" hidden="false" customHeight="false" outlineLevel="0" collapsed="false">
      <c r="DB1741" s="0" t="str">
        <f aca="false">IF($A1741="","",IF(AND($A1741=21,$AE1741&amp;""="00000000"),IF($AH1741=20,"病院",IF($AH1741=5,"消防","市長")),"対象外"))</f>
        <v/>
      </c>
    </row>
    <row r="1742" customFormat="false" ht="15" hidden="false" customHeight="false" outlineLevel="0" collapsed="false">
      <c r="DB1742" s="0" t="str">
        <f aca="false">IF($A1742="","",IF(AND($A1742=21,$AE1742&amp;""="00000000"),IF($AH1742=20,"病院",IF($AH1742=5,"消防","市長")),"対象外"))</f>
        <v/>
      </c>
    </row>
    <row r="1743" customFormat="false" ht="15" hidden="false" customHeight="false" outlineLevel="0" collapsed="false">
      <c r="DB1743" s="0" t="str">
        <f aca="false">IF($A1743="","",IF(AND($A1743=21,$AE1743&amp;""="00000000"),IF($AH1743=20,"病院",IF($AH1743=5,"消防","市長")),"対象外"))</f>
        <v/>
      </c>
    </row>
    <row r="1744" customFormat="false" ht="15" hidden="false" customHeight="false" outlineLevel="0" collapsed="false">
      <c r="DB1744" s="0" t="str">
        <f aca="false">IF($A1744="","",IF(AND($A1744=21,$AE1744&amp;""="00000000"),IF($AH1744=20,"病院",IF($AH1744=5,"消防","市長")),"対象外"))</f>
        <v/>
      </c>
    </row>
    <row r="1745" customFormat="false" ht="15" hidden="false" customHeight="false" outlineLevel="0" collapsed="false">
      <c r="DB1745" s="0" t="str">
        <f aca="false">IF($A1745="","",IF(AND($A1745=21,$AE1745&amp;""="00000000"),IF($AH1745=20,"病院",IF($AH1745=5,"消防","市長")),"対象外"))</f>
        <v/>
      </c>
    </row>
    <row r="1746" customFormat="false" ht="15" hidden="false" customHeight="false" outlineLevel="0" collapsed="false">
      <c r="DB1746" s="0" t="str">
        <f aca="false">IF($A1746="","",IF(AND($A1746=21,$AE1746&amp;""="00000000"),IF($AH1746=20,"病院",IF($AH1746=5,"消防","市長")),"対象外"))</f>
        <v/>
      </c>
    </row>
    <row r="1747" customFormat="false" ht="15" hidden="false" customHeight="false" outlineLevel="0" collapsed="false">
      <c r="DB1747" s="0" t="str">
        <f aca="false">IF($A1747="","",IF(AND($A1747=21,$AE1747&amp;""="00000000"),IF($AH1747=20,"病院",IF($AH1747=5,"消防","市長")),"対象外"))</f>
        <v/>
      </c>
    </row>
    <row r="1748" customFormat="false" ht="15" hidden="false" customHeight="false" outlineLevel="0" collapsed="false">
      <c r="DB1748" s="0" t="str">
        <f aca="false">IF($A1748="","",IF(AND($A1748=21,$AE1748&amp;""="00000000"),IF($AH1748=20,"病院",IF($AH1748=5,"消防","市長")),"対象外"))</f>
        <v/>
      </c>
    </row>
    <row r="1749" customFormat="false" ht="15" hidden="false" customHeight="false" outlineLevel="0" collapsed="false">
      <c r="DB1749" s="0" t="str">
        <f aca="false">IF($A1749="","",IF(AND($A1749=21,$AE1749&amp;""="00000000"),IF($AH1749=20,"病院",IF($AH1749=5,"消防","市長")),"対象外"))</f>
        <v/>
      </c>
    </row>
    <row r="1750" customFormat="false" ht="15" hidden="false" customHeight="false" outlineLevel="0" collapsed="false">
      <c r="DB1750" s="0" t="str">
        <f aca="false">IF($A1750="","",IF(AND($A1750=21,$AE1750&amp;""="00000000"),IF($AH1750=20,"病院",IF($AH1750=5,"消防","市長")),"対象外"))</f>
        <v/>
      </c>
    </row>
    <row r="1751" customFormat="false" ht="15" hidden="false" customHeight="false" outlineLevel="0" collapsed="false">
      <c r="DB1751" s="0" t="str">
        <f aca="false">IF($A1751="","",IF(AND($A1751=21,$AE1751&amp;""="00000000"),IF($AH1751=20,"病院",IF($AH1751=5,"消防","市長")),"対象外"))</f>
        <v/>
      </c>
    </row>
    <row r="1752" customFormat="false" ht="15" hidden="false" customHeight="false" outlineLevel="0" collapsed="false">
      <c r="DB1752" s="0" t="str">
        <f aca="false">IF($A1752="","",IF(AND($A1752=21,$AE1752&amp;""="00000000"),IF($AH1752=20,"病院",IF($AH1752=5,"消防","市長")),"対象外"))</f>
        <v/>
      </c>
    </row>
    <row r="1753" customFormat="false" ht="15" hidden="false" customHeight="false" outlineLevel="0" collapsed="false">
      <c r="DB1753" s="0" t="str">
        <f aca="false">IF($A1753="","",IF(AND($A1753=21,$AE1753&amp;""="00000000"),IF($AH1753=20,"病院",IF($AH1753=5,"消防","市長")),"対象外"))</f>
        <v/>
      </c>
    </row>
    <row r="1754" customFormat="false" ht="15" hidden="false" customHeight="false" outlineLevel="0" collapsed="false">
      <c r="DB1754" s="0" t="str">
        <f aca="false">IF($A1754="","",IF(AND($A1754=21,$AE1754&amp;""="00000000"),IF($AH1754=20,"病院",IF($AH1754=5,"消防","市長")),"対象外"))</f>
        <v/>
      </c>
    </row>
    <row r="1755" customFormat="false" ht="15" hidden="false" customHeight="false" outlineLevel="0" collapsed="false">
      <c r="DB1755" s="0" t="str">
        <f aca="false">IF($A1755="","",IF(AND($A1755=21,$AE1755&amp;""="00000000"),IF($AH1755=20,"病院",IF($AH1755=5,"消防","市長")),"対象外"))</f>
        <v/>
      </c>
    </row>
    <row r="1756" customFormat="false" ht="15" hidden="false" customHeight="false" outlineLevel="0" collapsed="false">
      <c r="DB1756" s="0" t="str">
        <f aca="false">IF($A1756="","",IF(AND($A1756=21,$AE1756&amp;""="00000000"),IF($AH1756=20,"病院",IF($AH1756=5,"消防","市長")),"対象外"))</f>
        <v/>
      </c>
    </row>
    <row r="1757" customFormat="false" ht="15" hidden="false" customHeight="false" outlineLevel="0" collapsed="false">
      <c r="DB1757" s="0" t="str">
        <f aca="false">IF($A1757="","",IF(AND($A1757=21,$AE1757&amp;""="00000000"),IF($AH1757=20,"病院",IF($AH1757=5,"消防","市長")),"対象外"))</f>
        <v/>
      </c>
    </row>
    <row r="1758" customFormat="false" ht="15" hidden="false" customHeight="false" outlineLevel="0" collapsed="false">
      <c r="DB1758" s="0" t="str">
        <f aca="false">IF($A1758="","",IF(AND($A1758=21,$AE1758&amp;""="00000000"),IF($AH1758=20,"病院",IF($AH1758=5,"消防","市長")),"対象外"))</f>
        <v/>
      </c>
    </row>
    <row r="1759" customFormat="false" ht="15" hidden="false" customHeight="false" outlineLevel="0" collapsed="false">
      <c r="DB1759" s="0" t="str">
        <f aca="false">IF($A1759="","",IF(AND($A1759=21,$AE1759&amp;""="00000000"),IF($AH1759=20,"病院",IF($AH1759=5,"消防","市長")),"対象外"))</f>
        <v/>
      </c>
    </row>
    <row r="1760" customFormat="false" ht="15" hidden="false" customHeight="false" outlineLevel="0" collapsed="false">
      <c r="DB1760" s="0" t="str">
        <f aca="false">IF($A1760="","",IF(AND($A1760=21,$AE1760&amp;""="00000000"),IF($AH1760=20,"病院",IF($AH1760=5,"消防","市長")),"対象外"))</f>
        <v/>
      </c>
    </row>
    <row r="1761" customFormat="false" ht="15" hidden="false" customHeight="false" outlineLevel="0" collapsed="false">
      <c r="DB1761" s="0" t="str">
        <f aca="false">IF($A1761="","",IF(AND($A1761=21,$AE1761&amp;""="00000000"),IF($AH1761=20,"病院",IF($AH1761=5,"消防","市長")),"対象外"))</f>
        <v/>
      </c>
    </row>
    <row r="1762" customFormat="false" ht="15" hidden="false" customHeight="false" outlineLevel="0" collapsed="false">
      <c r="DB1762" s="0" t="str">
        <f aca="false">IF($A1762="","",IF(AND($A1762=21,$AE1762&amp;""="00000000"),IF($AH1762=20,"病院",IF($AH1762=5,"消防","市長")),"対象外"))</f>
        <v/>
      </c>
    </row>
    <row r="1763" customFormat="false" ht="15" hidden="false" customHeight="false" outlineLevel="0" collapsed="false">
      <c r="DB1763" s="0" t="str">
        <f aca="false">IF($A1763="","",IF(AND($A1763=21,$AE1763&amp;""="00000000"),IF($AH1763=20,"病院",IF($AH1763=5,"消防","市長")),"対象外"))</f>
        <v/>
      </c>
    </row>
    <row r="1764" customFormat="false" ht="15" hidden="false" customHeight="false" outlineLevel="0" collapsed="false">
      <c r="DB1764" s="0" t="str">
        <f aca="false">IF($A1764="","",IF(AND($A1764=21,$AE1764&amp;""="00000000"),IF($AH1764=20,"病院",IF($AH1764=5,"消防","市長")),"対象外"))</f>
        <v/>
      </c>
    </row>
    <row r="1765" customFormat="false" ht="15" hidden="false" customHeight="false" outlineLevel="0" collapsed="false">
      <c r="DB1765" s="0" t="str">
        <f aca="false">IF($A1765="","",IF(AND($A1765=21,$AE1765&amp;""="00000000"),IF($AH1765=20,"病院",IF($AH1765=5,"消防","市長")),"対象外"))</f>
        <v/>
      </c>
    </row>
    <row r="1766" customFormat="false" ht="15" hidden="false" customHeight="false" outlineLevel="0" collapsed="false">
      <c r="DB1766" s="0" t="str">
        <f aca="false">IF($A1766="","",IF(AND($A1766=21,$AE1766&amp;""="00000000"),IF($AH1766=20,"病院",IF($AH1766=5,"消防","市長")),"対象外"))</f>
        <v/>
      </c>
    </row>
    <row r="1767" customFormat="false" ht="15" hidden="false" customHeight="false" outlineLevel="0" collapsed="false">
      <c r="DB1767" s="0" t="str">
        <f aca="false">IF($A1767="","",IF(AND($A1767=21,$AE1767&amp;""="00000000"),IF($AH1767=20,"病院",IF($AH1767=5,"消防","市長")),"対象外"))</f>
        <v/>
      </c>
    </row>
    <row r="1768" customFormat="false" ht="15" hidden="false" customHeight="false" outlineLevel="0" collapsed="false">
      <c r="DB1768" s="0" t="str">
        <f aca="false">IF($A1768="","",IF(AND($A1768=21,$AE1768&amp;""="00000000"),IF($AH1768=20,"病院",IF($AH1768=5,"消防","市長")),"対象外"))</f>
        <v/>
      </c>
    </row>
    <row r="1769" customFormat="false" ht="15" hidden="false" customHeight="false" outlineLevel="0" collapsed="false">
      <c r="DB1769" s="0" t="str">
        <f aca="false">IF($A1769="","",IF(AND($A1769=21,$AE1769&amp;""="00000000"),IF($AH1769=20,"病院",IF($AH1769=5,"消防","市長")),"対象外"))</f>
        <v/>
      </c>
    </row>
    <row r="1770" customFormat="false" ht="15" hidden="false" customHeight="false" outlineLevel="0" collapsed="false">
      <c r="DB1770" s="0" t="str">
        <f aca="false">IF($A1770="","",IF(AND($A1770=21,$AE1770&amp;""="00000000"),IF($AH1770=20,"病院",IF($AH1770=5,"消防","市長")),"対象外"))</f>
        <v/>
      </c>
    </row>
    <row r="1771" customFormat="false" ht="15" hidden="false" customHeight="false" outlineLevel="0" collapsed="false">
      <c r="DB1771" s="0" t="str">
        <f aca="false">IF($A1771="","",IF(AND($A1771=21,$AE1771&amp;""="00000000"),IF($AH1771=20,"病院",IF($AH1771=5,"消防","市長")),"対象外"))</f>
        <v/>
      </c>
    </row>
    <row r="1772" customFormat="false" ht="15" hidden="false" customHeight="false" outlineLevel="0" collapsed="false">
      <c r="DB1772" s="0" t="str">
        <f aca="false">IF($A1772="","",IF(AND($A1772=21,$AE1772&amp;""="00000000"),IF($AH1772=20,"病院",IF($AH1772=5,"消防","市長")),"対象外"))</f>
        <v/>
      </c>
    </row>
    <row r="1773" customFormat="false" ht="15" hidden="false" customHeight="false" outlineLevel="0" collapsed="false">
      <c r="DB1773" s="0" t="str">
        <f aca="false">IF($A1773="","",IF(AND($A1773=21,$AE1773&amp;""="00000000"),IF($AH1773=20,"病院",IF($AH1773=5,"消防","市長")),"対象外"))</f>
        <v/>
      </c>
    </row>
    <row r="1774" customFormat="false" ht="15" hidden="false" customHeight="false" outlineLevel="0" collapsed="false">
      <c r="DB1774" s="0" t="str">
        <f aca="false">IF($A1774="","",IF(AND($A1774=21,$AE1774&amp;""="00000000"),IF($AH1774=20,"病院",IF($AH1774=5,"消防","市長")),"対象外"))</f>
        <v/>
      </c>
    </row>
    <row r="1775" customFormat="false" ht="15" hidden="false" customHeight="false" outlineLevel="0" collapsed="false">
      <c r="DB1775" s="0" t="str">
        <f aca="false">IF($A1775="","",IF(AND($A1775=21,$AE1775&amp;""="00000000"),IF($AH1775=20,"病院",IF($AH1775=5,"消防","市長")),"対象外"))</f>
        <v/>
      </c>
    </row>
    <row r="1776" customFormat="false" ht="15" hidden="false" customHeight="false" outlineLevel="0" collapsed="false">
      <c r="DB1776" s="0" t="str">
        <f aca="false">IF($A1776="","",IF(AND($A1776=21,$AE1776&amp;""="00000000"),IF($AH1776=20,"病院",IF($AH1776=5,"消防","市長")),"対象外"))</f>
        <v/>
      </c>
    </row>
    <row r="1777" customFormat="false" ht="15" hidden="false" customHeight="false" outlineLevel="0" collapsed="false">
      <c r="DB1777" s="0" t="str">
        <f aca="false">IF($A1777="","",IF(AND($A1777=21,$AE1777&amp;""="00000000"),IF($AH1777=20,"病院",IF($AH1777=5,"消防","市長")),"対象外"))</f>
        <v/>
      </c>
    </row>
    <row r="1778" customFormat="false" ht="15" hidden="false" customHeight="false" outlineLevel="0" collapsed="false">
      <c r="DB1778" s="0" t="str">
        <f aca="false">IF($A1778="","",IF(AND($A1778=21,$AE1778&amp;""="00000000"),IF($AH1778=20,"病院",IF($AH1778=5,"消防","市長")),"対象外"))</f>
        <v/>
      </c>
    </row>
    <row r="1779" customFormat="false" ht="15" hidden="false" customHeight="false" outlineLevel="0" collapsed="false">
      <c r="DB1779" s="0" t="str">
        <f aca="false">IF($A1779="","",IF(AND($A1779=21,$AE1779&amp;""="00000000"),IF($AH1779=20,"病院",IF($AH1779=5,"消防","市長")),"対象外"))</f>
        <v/>
      </c>
    </row>
    <row r="1780" customFormat="false" ht="15" hidden="false" customHeight="false" outlineLevel="0" collapsed="false">
      <c r="DB1780" s="0" t="str">
        <f aca="false">IF($A1780="","",IF(AND($A1780=21,$AE1780&amp;""="00000000"),IF($AH1780=20,"病院",IF($AH1780=5,"消防","市長")),"対象外"))</f>
        <v/>
      </c>
    </row>
    <row r="1781" customFormat="false" ht="15" hidden="false" customHeight="false" outlineLevel="0" collapsed="false">
      <c r="DB1781" s="0" t="str">
        <f aca="false">IF($A1781="","",IF(AND($A1781=21,$AE1781&amp;""="00000000"),IF($AH1781=20,"病院",IF($AH1781=5,"消防","市長")),"対象外"))</f>
        <v/>
      </c>
    </row>
    <row r="1782" customFormat="false" ht="15" hidden="false" customHeight="false" outlineLevel="0" collapsed="false">
      <c r="DB1782" s="0" t="str">
        <f aca="false">IF($A1782="","",IF(AND($A1782=21,$AE1782&amp;""="00000000"),IF($AH1782=20,"病院",IF($AH1782=5,"消防","市長")),"対象外"))</f>
        <v/>
      </c>
    </row>
    <row r="1783" customFormat="false" ht="15" hidden="false" customHeight="false" outlineLevel="0" collapsed="false">
      <c r="DB1783" s="0" t="str">
        <f aca="false">IF($A1783="","",IF(AND($A1783=21,$AE1783&amp;""="00000000"),IF($AH1783=20,"病院",IF($AH1783=5,"消防","市長")),"対象外"))</f>
        <v/>
      </c>
    </row>
    <row r="1784" customFormat="false" ht="15" hidden="false" customHeight="false" outlineLevel="0" collapsed="false">
      <c r="DB1784" s="0" t="str">
        <f aca="false">IF($A1784="","",IF(AND($A1784=21,$AE1784&amp;""="00000000"),IF($AH1784=20,"病院",IF($AH1784=5,"消防","市長")),"対象外"))</f>
        <v/>
      </c>
    </row>
    <row r="1785" customFormat="false" ht="15" hidden="false" customHeight="false" outlineLevel="0" collapsed="false">
      <c r="DB1785" s="0" t="str">
        <f aca="false">IF($A1785="","",IF(AND($A1785=21,$AE1785&amp;""="00000000"),IF($AH1785=20,"病院",IF($AH1785=5,"消防","市長")),"対象外"))</f>
        <v/>
      </c>
    </row>
    <row r="1786" customFormat="false" ht="15" hidden="false" customHeight="false" outlineLevel="0" collapsed="false">
      <c r="DB1786" s="0" t="str">
        <f aca="false">IF($A1786="","",IF(AND($A1786=21,$AE1786&amp;""="00000000"),IF($AH1786=20,"病院",IF($AH1786=5,"消防","市長")),"対象外"))</f>
        <v/>
      </c>
    </row>
    <row r="1787" customFormat="false" ht="15" hidden="false" customHeight="false" outlineLevel="0" collapsed="false">
      <c r="DB1787" s="0" t="str">
        <f aca="false">IF($A1787="","",IF(AND($A1787=21,$AE1787&amp;""="00000000"),IF($AH1787=20,"病院",IF($AH1787=5,"消防","市長")),"対象外"))</f>
        <v/>
      </c>
    </row>
    <row r="1788" customFormat="false" ht="15" hidden="false" customHeight="false" outlineLevel="0" collapsed="false">
      <c r="DB1788" s="0" t="str">
        <f aca="false">IF($A1788="","",IF(AND($A1788=21,$AE1788&amp;""="00000000"),IF($AH1788=20,"病院",IF($AH1788=5,"消防","市長")),"対象外"))</f>
        <v/>
      </c>
    </row>
    <row r="1789" customFormat="false" ht="15" hidden="false" customHeight="false" outlineLevel="0" collapsed="false">
      <c r="DB1789" s="0" t="str">
        <f aca="false">IF($A1789="","",IF(AND($A1789=21,$AE1789&amp;""="00000000"),IF($AH1789=20,"病院",IF($AH1789=5,"消防","市長")),"対象外"))</f>
        <v/>
      </c>
    </row>
    <row r="1790" customFormat="false" ht="15" hidden="false" customHeight="false" outlineLevel="0" collapsed="false">
      <c r="DB1790" s="0" t="str">
        <f aca="false">IF($A1790="","",IF(AND($A1790=21,$AE1790&amp;""="00000000"),IF($AH1790=20,"病院",IF($AH1790=5,"消防","市長")),"対象外"))</f>
        <v/>
      </c>
    </row>
    <row r="1791" customFormat="false" ht="15" hidden="false" customHeight="false" outlineLevel="0" collapsed="false">
      <c r="DB1791" s="0" t="str">
        <f aca="false">IF($A1791="","",IF(AND($A1791=21,$AE1791&amp;""="00000000"),IF($AH1791=20,"病院",IF($AH1791=5,"消防","市長")),"対象外"))</f>
        <v/>
      </c>
    </row>
    <row r="1792" customFormat="false" ht="15" hidden="false" customHeight="false" outlineLevel="0" collapsed="false">
      <c r="DB1792" s="0" t="str">
        <f aca="false">IF($A1792="","",IF(AND($A1792=21,$AE1792&amp;""="00000000"),IF($AH1792=20,"病院",IF($AH1792=5,"消防","市長")),"対象外"))</f>
        <v/>
      </c>
    </row>
    <row r="1793" customFormat="false" ht="15" hidden="false" customHeight="false" outlineLevel="0" collapsed="false">
      <c r="DB1793" s="0" t="str">
        <f aca="false">IF($A1793="","",IF(AND($A1793=21,$AE1793&amp;""="00000000"),IF($AH1793=20,"病院",IF($AH1793=5,"消防","市長")),"対象外"))</f>
        <v/>
      </c>
    </row>
    <row r="1794" customFormat="false" ht="15" hidden="false" customHeight="false" outlineLevel="0" collapsed="false">
      <c r="DB1794" s="0" t="str">
        <f aca="false">IF($A1794="","",IF(AND($A1794=21,$AE1794&amp;""="00000000"),IF($AH1794=20,"病院",IF($AH1794=5,"消防","市長")),"対象外"))</f>
        <v/>
      </c>
    </row>
    <row r="1795" customFormat="false" ht="15" hidden="false" customHeight="false" outlineLevel="0" collapsed="false">
      <c r="DB1795" s="0" t="str">
        <f aca="false">IF($A1795="","",IF(AND($A1795=21,$AE1795&amp;""="00000000"),IF($AH1795=20,"病院",IF($AH1795=5,"消防","市長")),"対象外"))</f>
        <v/>
      </c>
    </row>
    <row r="1796" customFormat="false" ht="15" hidden="false" customHeight="false" outlineLevel="0" collapsed="false">
      <c r="DB1796" s="0" t="str">
        <f aca="false">IF($A1796="","",IF(AND($A1796=21,$AE1796&amp;""="00000000"),IF($AH1796=20,"病院",IF($AH1796=5,"消防","市長")),"対象外"))</f>
        <v/>
      </c>
    </row>
    <row r="1797" customFormat="false" ht="15" hidden="false" customHeight="false" outlineLevel="0" collapsed="false">
      <c r="DB1797" s="0" t="str">
        <f aca="false">IF($A1797="","",IF(AND($A1797=21,$AE1797&amp;""="00000000"),IF($AH1797=20,"病院",IF($AH1797=5,"消防","市長")),"対象外"))</f>
        <v/>
      </c>
    </row>
    <row r="1798" customFormat="false" ht="15" hidden="false" customHeight="false" outlineLevel="0" collapsed="false">
      <c r="DB1798" s="0" t="str">
        <f aca="false">IF($A1798="","",IF(AND($A1798=21,$AE1798&amp;""="00000000"),IF($AH1798=20,"病院",IF($AH1798=5,"消防","市長")),"対象外"))</f>
        <v/>
      </c>
    </row>
    <row r="1799" customFormat="false" ht="15" hidden="false" customHeight="false" outlineLevel="0" collapsed="false">
      <c r="DB1799" s="0" t="str">
        <f aca="false">IF($A1799="","",IF(AND($A1799=21,$AE1799&amp;""="00000000"),IF($AH1799=20,"病院",IF($AH1799=5,"消防","市長")),"対象外"))</f>
        <v/>
      </c>
    </row>
    <row r="1800" customFormat="false" ht="15" hidden="false" customHeight="false" outlineLevel="0" collapsed="false">
      <c r="DB1800" s="0" t="str">
        <f aca="false">IF($A1800="","",IF(AND($A1800=21,$AE1800&amp;""="00000000"),IF($AH1800=20,"病院",IF($AH1800=5,"消防","市長")),"対象外"))</f>
        <v/>
      </c>
    </row>
    <row r="1801" customFormat="false" ht="15" hidden="false" customHeight="false" outlineLevel="0" collapsed="false">
      <c r="DB1801" s="0" t="str">
        <f aca="false">IF($A1801="","",IF(AND($A1801=21,$AE1801&amp;""="00000000"),IF($AH1801=20,"病院",IF($AH1801=5,"消防","市長")),"対象外"))</f>
        <v/>
      </c>
    </row>
    <row r="1802" customFormat="false" ht="15" hidden="false" customHeight="false" outlineLevel="0" collapsed="false">
      <c r="DB1802" s="0" t="str">
        <f aca="false">IF($A1802="","",IF(AND($A1802=21,$AE1802&amp;""="00000000"),IF($AH1802=20,"病院",IF($AH1802=5,"消防","市長")),"対象外"))</f>
        <v/>
      </c>
    </row>
    <row r="1803" customFormat="false" ht="15" hidden="false" customHeight="false" outlineLevel="0" collapsed="false">
      <c r="DB1803" s="0" t="str">
        <f aca="false">IF($A1803="","",IF(AND($A1803=21,$AE1803&amp;""="00000000"),IF($AH1803=20,"病院",IF($AH1803=5,"消防","市長")),"対象外"))</f>
        <v/>
      </c>
    </row>
    <row r="1804" customFormat="false" ht="15" hidden="false" customHeight="false" outlineLevel="0" collapsed="false">
      <c r="DB1804" s="0" t="str">
        <f aca="false">IF($A1804="","",IF(AND($A1804=21,$AE1804&amp;""="00000000"),IF($AH1804=20,"病院",IF($AH1804=5,"消防","市長")),"対象外"))</f>
        <v/>
      </c>
    </row>
    <row r="1805" customFormat="false" ht="15" hidden="false" customHeight="false" outlineLevel="0" collapsed="false">
      <c r="DB1805" s="0" t="str">
        <f aca="false">IF($A1805="","",IF(AND($A1805=21,$AE1805&amp;""="00000000"),IF($AH1805=20,"病院",IF($AH1805=5,"消防","市長")),"対象外"))</f>
        <v/>
      </c>
    </row>
    <row r="1806" customFormat="false" ht="15" hidden="false" customHeight="false" outlineLevel="0" collapsed="false">
      <c r="DB1806" s="0" t="str">
        <f aca="false">IF($A1806="","",IF(AND($A1806=21,$AE1806&amp;""="00000000"),IF($AH1806=20,"病院",IF($AH1806=5,"消防","市長")),"対象外"))</f>
        <v/>
      </c>
    </row>
    <row r="1807" customFormat="false" ht="15" hidden="false" customHeight="false" outlineLevel="0" collapsed="false">
      <c r="DB1807" s="0" t="str">
        <f aca="false">IF($A1807="","",IF(AND($A1807=21,$AE1807&amp;""="00000000"),IF($AH1807=20,"病院",IF($AH1807=5,"消防","市長")),"対象外"))</f>
        <v/>
      </c>
    </row>
    <row r="1808" customFormat="false" ht="15" hidden="false" customHeight="false" outlineLevel="0" collapsed="false">
      <c r="DB1808" s="0" t="str">
        <f aca="false">IF($A1808="","",IF(AND($A1808=21,$AE1808&amp;""="00000000"),IF($AH1808=20,"病院",IF($AH1808=5,"消防","市長")),"対象外"))</f>
        <v/>
      </c>
    </row>
    <row r="1809" customFormat="false" ht="15" hidden="false" customHeight="false" outlineLevel="0" collapsed="false">
      <c r="DB1809" s="0" t="str">
        <f aca="false">IF($A1809="","",IF(AND($A1809=21,$AE1809&amp;""="00000000"),IF($AH1809=20,"病院",IF($AH1809=5,"消防","市長")),"対象外"))</f>
        <v/>
      </c>
    </row>
    <row r="1810" customFormat="false" ht="15" hidden="false" customHeight="false" outlineLevel="0" collapsed="false">
      <c r="DB1810" s="0" t="str">
        <f aca="false">IF($A1810="","",IF(AND($A1810=21,$AE1810&amp;""="00000000"),IF($AH1810=20,"病院",IF($AH1810=5,"消防","市長")),"対象外"))</f>
        <v/>
      </c>
    </row>
    <row r="1811" customFormat="false" ht="15" hidden="false" customHeight="false" outlineLevel="0" collapsed="false">
      <c r="DB1811" s="0" t="str">
        <f aca="false">IF($A1811="","",IF(AND($A1811=21,$AE1811&amp;""="00000000"),IF($AH1811=20,"病院",IF($AH1811=5,"消防","市長")),"対象外"))</f>
        <v/>
      </c>
    </row>
    <row r="1812" customFormat="false" ht="15" hidden="false" customHeight="false" outlineLevel="0" collapsed="false">
      <c r="DB1812" s="0" t="str">
        <f aca="false">IF($A1812="","",IF(AND($A1812=21,$AE1812&amp;""="00000000"),IF($AH1812=20,"病院",IF($AH1812=5,"消防","市長")),"対象外"))</f>
        <v/>
      </c>
    </row>
    <row r="1813" customFormat="false" ht="15" hidden="false" customHeight="false" outlineLevel="0" collapsed="false">
      <c r="DB1813" s="0" t="str">
        <f aca="false">IF($A1813="","",IF(AND($A1813=21,$AE1813&amp;""="00000000"),IF($AH1813=20,"病院",IF($AH1813=5,"消防","市長")),"対象外"))</f>
        <v/>
      </c>
    </row>
    <row r="1814" customFormat="false" ht="15" hidden="false" customHeight="false" outlineLevel="0" collapsed="false">
      <c r="DB1814" s="0" t="str">
        <f aca="false">IF($A1814="","",IF(AND($A1814=21,$AE1814&amp;""="00000000"),IF($AH1814=20,"病院",IF($AH1814=5,"消防","市長")),"対象外"))</f>
        <v/>
      </c>
    </row>
    <row r="1815" customFormat="false" ht="15" hidden="false" customHeight="false" outlineLevel="0" collapsed="false">
      <c r="DB1815" s="0" t="str">
        <f aca="false">IF($A1815="","",IF(AND($A1815=21,$AE1815&amp;""="00000000"),IF($AH1815=20,"病院",IF($AH1815=5,"消防","市長")),"対象外"))</f>
        <v/>
      </c>
    </row>
    <row r="1816" customFormat="false" ht="15" hidden="false" customHeight="false" outlineLevel="0" collapsed="false">
      <c r="DB1816" s="0" t="str">
        <f aca="false">IF($A1816="","",IF(AND($A1816=21,$AE1816&amp;""="00000000"),IF($AH1816=20,"病院",IF($AH1816=5,"消防","市長")),"対象外"))</f>
        <v/>
      </c>
    </row>
    <row r="1817" customFormat="false" ht="15" hidden="false" customHeight="false" outlineLevel="0" collapsed="false">
      <c r="DB1817" s="0" t="str">
        <f aca="false">IF($A1817="","",IF(AND($A1817=21,$AE1817&amp;""="00000000"),IF($AH1817=20,"病院",IF($AH1817=5,"消防","市長")),"対象外"))</f>
        <v/>
      </c>
    </row>
    <row r="1818" customFormat="false" ht="15" hidden="false" customHeight="false" outlineLevel="0" collapsed="false">
      <c r="DB1818" s="0" t="str">
        <f aca="false">IF($A1818="","",IF(AND($A1818=21,$AE1818&amp;""="00000000"),IF($AH1818=20,"病院",IF($AH1818=5,"消防","市長")),"対象外"))</f>
        <v/>
      </c>
    </row>
    <row r="1819" customFormat="false" ht="15" hidden="false" customHeight="false" outlineLevel="0" collapsed="false">
      <c r="DB1819" s="0" t="str">
        <f aca="false">IF($A1819="","",IF(AND($A1819=21,$AE1819&amp;""="00000000"),IF($AH1819=20,"病院",IF($AH1819=5,"消防","市長")),"対象外"))</f>
        <v/>
      </c>
    </row>
    <row r="1820" customFormat="false" ht="15" hidden="false" customHeight="false" outlineLevel="0" collapsed="false">
      <c r="DB1820" s="0" t="str">
        <f aca="false">IF($A1820="","",IF(AND($A1820=21,$AE1820&amp;""="00000000"),IF($AH1820=20,"病院",IF($AH1820=5,"消防","市長")),"対象外"))</f>
        <v/>
      </c>
    </row>
    <row r="1821" customFormat="false" ht="15" hidden="false" customHeight="false" outlineLevel="0" collapsed="false">
      <c r="DB1821" s="0" t="str">
        <f aca="false">IF($A1821="","",IF(AND($A1821=21,$AE1821&amp;""="00000000"),IF($AH1821=20,"病院",IF($AH1821=5,"消防","市長")),"対象外"))</f>
        <v/>
      </c>
    </row>
    <row r="1822" customFormat="false" ht="15" hidden="false" customHeight="false" outlineLevel="0" collapsed="false">
      <c r="DB1822" s="0" t="str">
        <f aca="false">IF($A1822="","",IF(AND($A1822=21,$AE1822&amp;""="00000000"),IF($AH1822=20,"病院",IF($AH1822=5,"消防","市長")),"対象外"))</f>
        <v/>
      </c>
    </row>
    <row r="1823" customFormat="false" ht="15" hidden="false" customHeight="false" outlineLevel="0" collapsed="false">
      <c r="DB1823" s="0" t="str">
        <f aca="false">IF($A1823="","",IF(AND($A1823=21,$AE1823&amp;""="00000000"),IF($AH1823=20,"病院",IF($AH1823=5,"消防","市長")),"対象外"))</f>
        <v/>
      </c>
    </row>
    <row r="1824" customFormat="false" ht="15" hidden="false" customHeight="false" outlineLevel="0" collapsed="false">
      <c r="DB1824" s="0" t="str">
        <f aca="false">IF($A1824="","",IF(AND($A1824=21,$AE1824&amp;""="00000000"),IF($AH1824=20,"病院",IF($AH1824=5,"消防","市長")),"対象外"))</f>
        <v/>
      </c>
    </row>
    <row r="1825" customFormat="false" ht="15" hidden="false" customHeight="false" outlineLevel="0" collapsed="false">
      <c r="DB1825" s="0" t="str">
        <f aca="false">IF($A1825="","",IF(AND($A1825=21,$AE1825&amp;""="00000000"),IF($AH1825=20,"病院",IF($AH1825=5,"消防","市長")),"対象外"))</f>
        <v/>
      </c>
    </row>
    <row r="1826" customFormat="false" ht="15" hidden="false" customHeight="false" outlineLevel="0" collapsed="false">
      <c r="DB1826" s="0" t="str">
        <f aca="false">IF($A1826="","",IF(AND($A1826=21,$AE1826&amp;""="00000000"),IF($AH1826=20,"病院",IF($AH1826=5,"消防","市長")),"対象外"))</f>
        <v/>
      </c>
    </row>
    <row r="1827" customFormat="false" ht="15" hidden="false" customHeight="false" outlineLevel="0" collapsed="false">
      <c r="DB1827" s="0" t="str">
        <f aca="false">IF($A1827="","",IF(AND($A1827=21,$AE1827&amp;""="00000000"),IF($AH1827=20,"病院",IF($AH1827=5,"消防","市長")),"対象外"))</f>
        <v/>
      </c>
    </row>
    <row r="1828" customFormat="false" ht="15" hidden="false" customHeight="false" outlineLevel="0" collapsed="false">
      <c r="DB1828" s="0" t="str">
        <f aca="false">IF($A1828="","",IF(AND($A1828=21,$AE1828&amp;""="00000000"),IF($AH1828=20,"病院",IF($AH1828=5,"消防","市長")),"対象外"))</f>
        <v/>
      </c>
    </row>
    <row r="1829" customFormat="false" ht="15" hidden="false" customHeight="false" outlineLevel="0" collapsed="false">
      <c r="DB1829" s="0" t="str">
        <f aca="false">IF($A1829="","",IF(AND($A1829=21,$AE1829&amp;""="00000000"),IF($AH1829=20,"病院",IF($AH1829=5,"消防","市長")),"対象外"))</f>
        <v/>
      </c>
    </row>
    <row r="1830" customFormat="false" ht="15" hidden="false" customHeight="false" outlineLevel="0" collapsed="false">
      <c r="DB1830" s="0" t="str">
        <f aca="false">IF($A1830="","",IF(AND($A1830=21,$AE1830&amp;""="00000000"),IF($AH1830=20,"病院",IF($AH1830=5,"消防","市長")),"対象外"))</f>
        <v/>
      </c>
    </row>
    <row r="1831" customFormat="false" ht="15" hidden="false" customHeight="false" outlineLevel="0" collapsed="false">
      <c r="DB1831" s="0" t="str">
        <f aca="false">IF($A1831="","",IF(AND($A1831=21,$AE1831&amp;""="00000000"),IF($AH1831=20,"病院",IF($AH1831=5,"消防","市長")),"対象外"))</f>
        <v/>
      </c>
    </row>
    <row r="1832" customFormat="false" ht="15" hidden="false" customHeight="false" outlineLevel="0" collapsed="false">
      <c r="DB1832" s="0" t="str">
        <f aca="false">IF($A1832="","",IF(AND($A1832=21,$AE1832&amp;""="00000000"),IF($AH1832=20,"病院",IF($AH1832=5,"消防","市長")),"対象外"))</f>
        <v/>
      </c>
    </row>
    <row r="1833" customFormat="false" ht="15" hidden="false" customHeight="false" outlineLevel="0" collapsed="false">
      <c r="DB1833" s="0" t="str">
        <f aca="false">IF($A1833="","",IF(AND($A1833=21,$AE1833&amp;""="00000000"),IF($AH1833=20,"病院",IF($AH1833=5,"消防","市長")),"対象外"))</f>
        <v/>
      </c>
    </row>
    <row r="1834" customFormat="false" ht="15" hidden="false" customHeight="false" outlineLevel="0" collapsed="false">
      <c r="DB1834" s="0" t="str">
        <f aca="false">IF($A1834="","",IF(AND($A1834=21,$AE1834&amp;""="00000000"),IF($AH1834=20,"病院",IF($AH1834=5,"消防","市長")),"対象外"))</f>
        <v/>
      </c>
    </row>
    <row r="1835" customFormat="false" ht="15" hidden="false" customHeight="false" outlineLevel="0" collapsed="false">
      <c r="DB1835" s="0" t="str">
        <f aca="false">IF($A1835="","",IF(AND($A1835=21,$AE1835&amp;""="00000000"),IF($AH1835=20,"病院",IF($AH1835=5,"消防","市長")),"対象外"))</f>
        <v/>
      </c>
    </row>
    <row r="1836" customFormat="false" ht="15" hidden="false" customHeight="false" outlineLevel="0" collapsed="false">
      <c r="DB1836" s="0" t="str">
        <f aca="false">IF($A1836="","",IF(AND($A1836=21,$AE1836&amp;""="00000000"),IF($AH1836=20,"病院",IF($AH1836=5,"消防","市長")),"対象外"))</f>
        <v/>
      </c>
    </row>
    <row r="1837" customFormat="false" ht="15" hidden="false" customHeight="false" outlineLevel="0" collapsed="false">
      <c r="DB1837" s="0" t="str">
        <f aca="false">IF($A1837="","",IF(AND($A1837=21,$AE1837&amp;""="00000000"),IF($AH1837=20,"病院",IF($AH1837=5,"消防","市長")),"対象外"))</f>
        <v/>
      </c>
    </row>
    <row r="1838" customFormat="false" ht="15" hidden="false" customHeight="false" outlineLevel="0" collapsed="false">
      <c r="DB1838" s="0" t="str">
        <f aca="false">IF($A1838="","",IF(AND($A1838=21,$AE1838&amp;""="00000000"),IF($AH1838=20,"病院",IF($AH1838=5,"消防","市長")),"対象外"))</f>
        <v/>
      </c>
    </row>
    <row r="1839" customFormat="false" ht="15" hidden="false" customHeight="false" outlineLevel="0" collapsed="false">
      <c r="DB1839" s="0" t="str">
        <f aca="false">IF($A1839="","",IF(AND($A1839=21,$AE1839&amp;""="00000000"),IF($AH1839=20,"病院",IF($AH1839=5,"消防","市長")),"対象外"))</f>
        <v/>
      </c>
    </row>
    <row r="1840" customFormat="false" ht="15" hidden="false" customHeight="false" outlineLevel="0" collapsed="false">
      <c r="DB1840" s="0" t="str">
        <f aca="false">IF($A1840="","",IF(AND($A1840=21,$AE1840&amp;""="00000000"),IF($AH1840=20,"病院",IF($AH1840=5,"消防","市長")),"対象外"))</f>
        <v/>
      </c>
    </row>
    <row r="1841" customFormat="false" ht="15" hidden="false" customHeight="false" outlineLevel="0" collapsed="false">
      <c r="DB1841" s="0" t="str">
        <f aca="false">IF($A1841="","",IF(AND($A1841=21,$AE1841&amp;""="00000000"),IF($AH1841=20,"病院",IF($AH1841=5,"消防","市長")),"対象外"))</f>
        <v/>
      </c>
    </row>
    <row r="1842" customFormat="false" ht="15" hidden="false" customHeight="false" outlineLevel="0" collapsed="false">
      <c r="DB1842" s="0" t="str">
        <f aca="false">IF($A1842="","",IF(AND($A1842=21,$AE1842&amp;""="00000000"),IF($AH1842=20,"病院",IF($AH1842=5,"消防","市長")),"対象外"))</f>
        <v/>
      </c>
    </row>
    <row r="1843" customFormat="false" ht="15" hidden="false" customHeight="false" outlineLevel="0" collapsed="false">
      <c r="DB1843" s="0" t="str">
        <f aca="false">IF($A1843="","",IF(AND($A1843=21,$AE1843&amp;""="00000000"),IF($AH1843=20,"病院",IF($AH1843=5,"消防","市長")),"対象外"))</f>
        <v/>
      </c>
    </row>
    <row r="1844" customFormat="false" ht="15" hidden="false" customHeight="false" outlineLevel="0" collapsed="false">
      <c r="DB1844" s="0" t="str">
        <f aca="false">IF($A1844="","",IF(AND($A1844=21,$AE1844&amp;""="00000000"),IF($AH1844=20,"病院",IF($AH1844=5,"消防","市長")),"対象外"))</f>
        <v/>
      </c>
    </row>
    <row r="1845" customFormat="false" ht="15" hidden="false" customHeight="false" outlineLevel="0" collapsed="false">
      <c r="DB1845" s="0" t="str">
        <f aca="false">IF($A1845="","",IF(AND($A1845=21,$AE1845&amp;""="00000000"),IF($AH1845=20,"病院",IF($AH1845=5,"消防","市長")),"対象外"))</f>
        <v/>
      </c>
    </row>
    <row r="1846" customFormat="false" ht="15" hidden="false" customHeight="false" outlineLevel="0" collapsed="false">
      <c r="DB1846" s="0" t="str">
        <f aca="false">IF($A1846="","",IF(AND($A1846=21,$AE1846&amp;""="00000000"),IF($AH1846=20,"病院",IF($AH1846=5,"消防","市長")),"対象外"))</f>
        <v/>
      </c>
    </row>
    <row r="1847" customFormat="false" ht="15" hidden="false" customHeight="false" outlineLevel="0" collapsed="false">
      <c r="DB1847" s="0" t="str">
        <f aca="false">IF($A1847="","",IF(AND($A1847=21,$AE1847&amp;""="00000000"),IF($AH1847=20,"病院",IF($AH1847=5,"消防","市長")),"対象外"))</f>
        <v/>
      </c>
    </row>
    <row r="1848" customFormat="false" ht="15" hidden="false" customHeight="false" outlineLevel="0" collapsed="false">
      <c r="DB1848" s="0" t="str">
        <f aca="false">IF($A1848="","",IF(AND($A1848=21,$AE1848&amp;""="00000000"),IF($AH1848=20,"病院",IF($AH1848=5,"消防","市長")),"対象外"))</f>
        <v/>
      </c>
    </row>
    <row r="1849" customFormat="false" ht="15" hidden="false" customHeight="false" outlineLevel="0" collapsed="false">
      <c r="DB1849" s="0" t="str">
        <f aca="false">IF($A1849="","",IF(AND($A1849=21,$AE1849&amp;""="00000000"),IF($AH1849=20,"病院",IF($AH1849=5,"消防","市長")),"対象外"))</f>
        <v/>
      </c>
    </row>
    <row r="1850" customFormat="false" ht="15" hidden="false" customHeight="false" outlineLevel="0" collapsed="false">
      <c r="DB1850" s="0" t="str">
        <f aca="false">IF($A1850="","",IF(AND($A1850=21,$AE1850&amp;""="00000000"),IF($AH1850=20,"病院",IF($AH1850=5,"消防","市長")),"対象外"))</f>
        <v/>
      </c>
    </row>
    <row r="1851" customFormat="false" ht="15" hidden="false" customHeight="false" outlineLevel="0" collapsed="false">
      <c r="DB1851" s="0" t="str">
        <f aca="false">IF($A1851="","",IF(AND($A1851=21,$AE1851&amp;""="00000000"),IF($AH1851=20,"病院",IF($AH1851=5,"消防","市長")),"対象外"))</f>
        <v/>
      </c>
    </row>
    <row r="1852" customFormat="false" ht="15" hidden="false" customHeight="false" outlineLevel="0" collapsed="false">
      <c r="DB1852" s="0" t="str">
        <f aca="false">IF($A1852="","",IF(AND($A1852=21,$AE1852&amp;""="00000000"),IF($AH1852=20,"病院",IF($AH1852=5,"消防","市長")),"対象外"))</f>
        <v/>
      </c>
    </row>
    <row r="1853" customFormat="false" ht="15" hidden="false" customHeight="false" outlineLevel="0" collapsed="false">
      <c r="DB1853" s="0" t="str">
        <f aca="false">IF($A1853="","",IF(AND($A1853=21,$AE1853&amp;""="00000000"),IF($AH1853=20,"病院",IF($AH1853=5,"消防","市長")),"対象外"))</f>
        <v/>
      </c>
    </row>
    <row r="1854" customFormat="false" ht="15" hidden="false" customHeight="false" outlineLevel="0" collapsed="false">
      <c r="DB1854" s="0" t="str">
        <f aca="false">IF($A1854="","",IF(AND($A1854=21,$AE1854&amp;""="00000000"),IF($AH1854=20,"病院",IF($AH1854=5,"消防","市長")),"対象外"))</f>
        <v/>
      </c>
    </row>
    <row r="1855" customFormat="false" ht="15" hidden="false" customHeight="false" outlineLevel="0" collapsed="false">
      <c r="DB1855" s="0" t="str">
        <f aca="false">IF($A1855="","",IF(AND($A1855=21,$AE1855&amp;""="00000000"),IF($AH1855=20,"病院",IF($AH1855=5,"消防","市長")),"対象外"))</f>
        <v/>
      </c>
    </row>
    <row r="1856" customFormat="false" ht="15" hidden="false" customHeight="false" outlineLevel="0" collapsed="false">
      <c r="DB1856" s="0" t="str">
        <f aca="false">IF($A1856="","",IF(AND($A1856=21,$AE1856&amp;""="00000000"),IF($AH1856=20,"病院",IF($AH1856=5,"消防","市長")),"対象外"))</f>
        <v/>
      </c>
    </row>
    <row r="1857" customFormat="false" ht="15" hidden="false" customHeight="false" outlineLevel="0" collapsed="false">
      <c r="DB1857" s="0" t="str">
        <f aca="false">IF($A1857="","",IF(AND($A1857=21,$AE1857&amp;""="00000000"),IF($AH1857=20,"病院",IF($AH1857=5,"消防","市長")),"対象外"))</f>
        <v/>
      </c>
    </row>
    <row r="1858" customFormat="false" ht="15" hidden="false" customHeight="false" outlineLevel="0" collapsed="false">
      <c r="DB1858" s="0" t="str">
        <f aca="false">IF($A1858="","",IF(AND($A1858=21,$AE1858&amp;""="00000000"),IF($AH1858=20,"病院",IF($AH1858=5,"消防","市長")),"対象外"))</f>
        <v/>
      </c>
    </row>
    <row r="1859" customFormat="false" ht="15" hidden="false" customHeight="false" outlineLevel="0" collapsed="false">
      <c r="DB1859" s="0" t="str">
        <f aca="false">IF($A1859="","",IF(AND($A1859=21,$AE1859&amp;""="00000000"),IF($AH1859=20,"病院",IF($AH1859=5,"消防","市長")),"対象外"))</f>
        <v/>
      </c>
    </row>
    <row r="1860" customFormat="false" ht="15" hidden="false" customHeight="false" outlineLevel="0" collapsed="false">
      <c r="DB1860" s="0" t="str">
        <f aca="false">IF($A1860="","",IF(AND($A1860=21,$AE1860&amp;""="00000000"),IF($AH1860=20,"病院",IF($AH1860=5,"消防","市長")),"対象外"))</f>
        <v/>
      </c>
    </row>
    <row r="1861" customFormat="false" ht="15" hidden="false" customHeight="false" outlineLevel="0" collapsed="false">
      <c r="DB1861" s="0" t="str">
        <f aca="false">IF($A1861="","",IF(AND($A1861=21,$AE1861&amp;""="00000000"),IF($AH1861=20,"病院",IF($AH1861=5,"消防","市長")),"対象外"))</f>
        <v/>
      </c>
    </row>
    <row r="1862" customFormat="false" ht="15" hidden="false" customHeight="false" outlineLevel="0" collapsed="false">
      <c r="DB1862" s="0" t="str">
        <f aca="false">IF($A1862="","",IF(AND($A1862=21,$AE1862&amp;""="00000000"),IF($AH1862=20,"病院",IF($AH1862=5,"消防","市長")),"対象外"))</f>
        <v/>
      </c>
    </row>
    <row r="1863" customFormat="false" ht="15" hidden="false" customHeight="false" outlineLevel="0" collapsed="false">
      <c r="DB1863" s="0" t="str">
        <f aca="false">IF($A1863="","",IF(AND($A1863=21,$AE1863&amp;""="00000000"),IF($AH1863=20,"病院",IF($AH1863=5,"消防","市長")),"対象外"))</f>
        <v/>
      </c>
    </row>
    <row r="1864" customFormat="false" ht="15" hidden="false" customHeight="false" outlineLevel="0" collapsed="false">
      <c r="DB1864" s="0" t="str">
        <f aca="false">IF($A1864="","",IF(AND($A1864=21,$AE1864&amp;""="00000000"),IF($AH1864=20,"病院",IF($AH1864=5,"消防","市長")),"対象外"))</f>
        <v/>
      </c>
    </row>
    <row r="1865" customFormat="false" ht="15" hidden="false" customHeight="false" outlineLevel="0" collapsed="false">
      <c r="DB1865" s="0" t="str">
        <f aca="false">IF($A1865="","",IF(AND($A1865=21,$AE1865&amp;""="00000000"),IF($AH1865=20,"病院",IF($AH1865=5,"消防","市長")),"対象外"))</f>
        <v/>
      </c>
    </row>
    <row r="1866" customFormat="false" ht="15" hidden="false" customHeight="false" outlineLevel="0" collapsed="false">
      <c r="DB1866" s="0" t="str">
        <f aca="false">IF($A1866="","",IF(AND($A1866=21,$AE1866&amp;""="00000000"),IF($AH1866=20,"病院",IF($AH1866=5,"消防","市長")),"対象外"))</f>
        <v/>
      </c>
    </row>
    <row r="1867" customFormat="false" ht="15" hidden="false" customHeight="false" outlineLevel="0" collapsed="false">
      <c r="DB1867" s="0" t="str">
        <f aca="false">IF($A1867="","",IF(AND($A1867=21,$AE1867&amp;""="00000000"),IF($AH1867=20,"病院",IF($AH1867=5,"消防","市長")),"対象外"))</f>
        <v/>
      </c>
    </row>
    <row r="1868" customFormat="false" ht="15" hidden="false" customHeight="false" outlineLevel="0" collapsed="false">
      <c r="DB1868" s="0" t="str">
        <f aca="false">IF($A1868="","",IF(AND($A1868=21,$AE1868&amp;""="00000000"),IF($AH1868=20,"病院",IF($AH1868=5,"消防","市長")),"対象外"))</f>
        <v/>
      </c>
    </row>
    <row r="1869" customFormat="false" ht="15" hidden="false" customHeight="false" outlineLevel="0" collapsed="false">
      <c r="DB1869" s="0" t="str">
        <f aca="false">IF($A1869="","",IF(AND($A1869=21,$AE1869&amp;""="00000000"),IF($AH1869=20,"病院",IF($AH1869=5,"消防","市長")),"対象外"))</f>
        <v/>
      </c>
    </row>
    <row r="1870" customFormat="false" ht="15" hidden="false" customHeight="false" outlineLevel="0" collapsed="false">
      <c r="DB1870" s="0" t="str">
        <f aca="false">IF($A1870="","",IF(AND($A1870=21,$AE1870&amp;""="00000000"),IF($AH1870=20,"病院",IF($AH1870=5,"消防","市長")),"対象外"))</f>
        <v/>
      </c>
    </row>
    <row r="1871" customFormat="false" ht="15" hidden="false" customHeight="false" outlineLevel="0" collapsed="false">
      <c r="DB1871" s="0" t="str">
        <f aca="false">IF($A1871="","",IF(AND($A1871=21,$AE1871&amp;""="00000000"),IF($AH1871=20,"病院",IF($AH1871=5,"消防","市長")),"対象外"))</f>
        <v/>
      </c>
    </row>
    <row r="1872" customFormat="false" ht="15" hidden="false" customHeight="false" outlineLevel="0" collapsed="false">
      <c r="DB1872" s="0" t="str">
        <f aca="false">IF($A1872="","",IF(AND($A1872=21,$AE1872&amp;""="00000000"),IF($AH1872=20,"病院",IF($AH1872=5,"消防","市長")),"対象外"))</f>
        <v/>
      </c>
    </row>
    <row r="1873" customFormat="false" ht="15" hidden="false" customHeight="false" outlineLevel="0" collapsed="false">
      <c r="DB1873" s="0" t="str">
        <f aca="false">IF($A1873="","",IF(AND($A1873=21,$AE1873&amp;""="00000000"),IF($AH1873=20,"病院",IF($AH1873=5,"消防","市長")),"対象外"))</f>
        <v/>
      </c>
    </row>
    <row r="1874" customFormat="false" ht="15" hidden="false" customHeight="false" outlineLevel="0" collapsed="false">
      <c r="DB1874" s="0" t="str">
        <f aca="false">IF($A1874="","",IF(AND($A1874=21,$AE1874&amp;""="00000000"),IF($AH1874=20,"病院",IF($AH1874=5,"消防","市長")),"対象外"))</f>
        <v/>
      </c>
    </row>
    <row r="1875" customFormat="false" ht="15" hidden="false" customHeight="false" outlineLevel="0" collapsed="false">
      <c r="DB1875" s="0" t="str">
        <f aca="false">IF($A1875="","",IF(AND($A1875=21,$AE1875&amp;""="00000000"),IF($AH1875=20,"病院",IF($AH1875=5,"消防","市長")),"対象外"))</f>
        <v/>
      </c>
    </row>
    <row r="1876" customFormat="false" ht="15" hidden="false" customHeight="false" outlineLevel="0" collapsed="false">
      <c r="DB1876" s="0" t="str">
        <f aca="false">IF($A1876="","",IF(AND($A1876=21,$AE1876&amp;""="00000000"),IF($AH1876=20,"病院",IF($AH1876=5,"消防","市長")),"対象外"))</f>
        <v/>
      </c>
    </row>
    <row r="1877" customFormat="false" ht="15" hidden="false" customHeight="false" outlineLevel="0" collapsed="false">
      <c r="DB1877" s="0" t="str">
        <f aca="false">IF($A1877="","",IF(AND($A1877=21,$AE1877&amp;""="00000000"),IF($AH1877=20,"病院",IF($AH1877=5,"消防","市長")),"対象外"))</f>
        <v/>
      </c>
    </row>
    <row r="1878" customFormat="false" ht="15" hidden="false" customHeight="false" outlineLevel="0" collapsed="false">
      <c r="DB1878" s="0" t="str">
        <f aca="false">IF($A1878="","",IF(AND($A1878=21,$AE1878&amp;""="00000000"),IF($AH1878=20,"病院",IF($AH1878=5,"消防","市長")),"対象外"))</f>
        <v/>
      </c>
    </row>
    <row r="1879" customFormat="false" ht="15" hidden="false" customHeight="false" outlineLevel="0" collapsed="false">
      <c r="DB1879" s="0" t="str">
        <f aca="false">IF($A1879="","",IF(AND($A1879=21,$AE1879&amp;""="00000000"),IF($AH1879=20,"病院",IF($AH1879=5,"消防","市長")),"対象外"))</f>
        <v/>
      </c>
    </row>
    <row r="1880" customFormat="false" ht="15" hidden="false" customHeight="false" outlineLevel="0" collapsed="false">
      <c r="DB1880" s="0" t="str">
        <f aca="false">IF($A1880="","",IF(AND($A1880=21,$AE1880&amp;""="00000000"),IF($AH1880=20,"病院",IF($AH1880=5,"消防","市長")),"対象外"))</f>
        <v/>
      </c>
    </row>
    <row r="1881" customFormat="false" ht="15" hidden="false" customHeight="false" outlineLevel="0" collapsed="false">
      <c r="DB1881" s="0" t="str">
        <f aca="false">IF($A1881="","",IF(AND($A1881=21,$AE1881&amp;""="00000000"),IF($AH1881=20,"病院",IF($AH1881=5,"消防","市長")),"対象外"))</f>
        <v/>
      </c>
    </row>
    <row r="1882" customFormat="false" ht="15" hidden="false" customHeight="false" outlineLevel="0" collapsed="false">
      <c r="DB1882" s="0" t="str">
        <f aca="false">IF($A1882="","",IF(AND($A1882=21,$AE1882&amp;""="00000000"),IF($AH1882=20,"病院",IF($AH1882=5,"消防","市長")),"対象外"))</f>
        <v/>
      </c>
    </row>
    <row r="1883" customFormat="false" ht="15" hidden="false" customHeight="false" outlineLevel="0" collapsed="false">
      <c r="DB1883" s="0" t="str">
        <f aca="false">IF($A1883="","",IF(AND($A1883=21,$AE1883&amp;""="00000000"),IF($AH1883=20,"病院",IF($AH1883=5,"消防","市長")),"対象外"))</f>
        <v/>
      </c>
    </row>
    <row r="1884" customFormat="false" ht="15" hidden="false" customHeight="false" outlineLevel="0" collapsed="false">
      <c r="DB1884" s="0" t="str">
        <f aca="false">IF($A1884="","",IF(AND($A1884=21,$AE1884&amp;""="00000000"),IF($AH1884=20,"病院",IF($AH1884=5,"消防","市長")),"対象外"))</f>
        <v/>
      </c>
    </row>
    <row r="1885" customFormat="false" ht="15" hidden="false" customHeight="false" outlineLevel="0" collapsed="false">
      <c r="DB1885" s="0" t="str">
        <f aca="false">IF($A1885="","",IF(AND($A1885=21,$AE1885&amp;""="00000000"),IF($AH1885=20,"病院",IF($AH1885=5,"消防","市長")),"対象外"))</f>
        <v/>
      </c>
    </row>
    <row r="1886" customFormat="false" ht="15" hidden="false" customHeight="false" outlineLevel="0" collapsed="false">
      <c r="DB1886" s="0" t="str">
        <f aca="false">IF($A1886="","",IF(AND($A1886=21,$AE1886&amp;""="00000000"),IF($AH1886=20,"病院",IF($AH1886=5,"消防","市長")),"対象外"))</f>
        <v/>
      </c>
    </row>
    <row r="1887" customFormat="false" ht="15" hidden="false" customHeight="false" outlineLevel="0" collapsed="false">
      <c r="DB1887" s="0" t="str">
        <f aca="false">IF($A1887="","",IF(AND($A1887=21,$AE1887&amp;""="00000000"),IF($AH1887=20,"病院",IF($AH1887=5,"消防","市長")),"対象外"))</f>
        <v/>
      </c>
    </row>
    <row r="1888" customFormat="false" ht="15" hidden="false" customHeight="false" outlineLevel="0" collapsed="false">
      <c r="DB1888" s="0" t="str">
        <f aca="false">IF($A1888="","",IF(AND($A1888=21,$AE1888&amp;""="00000000"),IF($AH1888=20,"病院",IF($AH1888=5,"消防","市長")),"対象外"))</f>
        <v/>
      </c>
    </row>
    <row r="1889" customFormat="false" ht="15" hidden="false" customHeight="false" outlineLevel="0" collapsed="false">
      <c r="DB1889" s="0" t="str">
        <f aca="false">IF($A1889="","",IF(AND($A1889=21,$AE1889&amp;""="00000000"),IF($AH1889=20,"病院",IF($AH1889=5,"消防","市長")),"対象外"))</f>
        <v/>
      </c>
    </row>
    <row r="1890" customFormat="false" ht="15" hidden="false" customHeight="false" outlineLevel="0" collapsed="false">
      <c r="DB1890" s="0" t="str">
        <f aca="false">IF($A1890="","",IF(AND($A1890=21,$AE1890&amp;""="00000000"),IF($AH1890=20,"病院",IF($AH1890=5,"消防","市長")),"対象外"))</f>
        <v/>
      </c>
    </row>
    <row r="1891" customFormat="false" ht="15" hidden="false" customHeight="false" outlineLevel="0" collapsed="false">
      <c r="DB1891" s="0" t="str">
        <f aca="false">IF($A1891="","",IF(AND($A1891=21,$AE1891&amp;""="00000000"),IF($AH1891=20,"病院",IF($AH1891=5,"消防","市長")),"対象外"))</f>
        <v/>
      </c>
    </row>
    <row r="1892" customFormat="false" ht="15" hidden="false" customHeight="false" outlineLevel="0" collapsed="false">
      <c r="DB1892" s="0" t="str">
        <f aca="false">IF($A1892="","",IF(AND($A1892=21,$AE1892&amp;""="00000000"),IF($AH1892=20,"病院",IF($AH1892=5,"消防","市長")),"対象外"))</f>
        <v/>
      </c>
    </row>
    <row r="1893" customFormat="false" ht="15" hidden="false" customHeight="false" outlineLevel="0" collapsed="false">
      <c r="DB1893" s="0" t="str">
        <f aca="false">IF($A1893="","",IF(AND($A1893=21,$AE1893&amp;""="00000000"),IF($AH1893=20,"病院",IF($AH1893=5,"消防","市長")),"対象外"))</f>
        <v/>
      </c>
    </row>
    <row r="1894" customFormat="false" ht="15" hidden="false" customHeight="false" outlineLevel="0" collapsed="false">
      <c r="DB1894" s="0" t="str">
        <f aca="false">IF($A1894="","",IF(AND($A1894=21,$AE1894&amp;""="00000000"),IF($AH1894=20,"病院",IF($AH1894=5,"消防","市長")),"対象外"))</f>
        <v/>
      </c>
    </row>
    <row r="1895" customFormat="false" ht="15" hidden="false" customHeight="false" outlineLevel="0" collapsed="false">
      <c r="DB1895" s="0" t="str">
        <f aca="false">IF($A1895="","",IF(AND($A1895=21,$AE1895&amp;""="00000000"),IF($AH1895=20,"病院",IF($AH1895=5,"消防","市長")),"対象外"))</f>
        <v/>
      </c>
    </row>
    <row r="1896" customFormat="false" ht="15" hidden="false" customHeight="false" outlineLevel="0" collapsed="false">
      <c r="DB1896" s="0" t="str">
        <f aca="false">IF($A1896="","",IF(AND($A1896=21,$AE1896&amp;""="00000000"),IF($AH1896=20,"病院",IF($AH1896=5,"消防","市長")),"対象外"))</f>
        <v/>
      </c>
    </row>
    <row r="1897" customFormat="false" ht="15" hidden="false" customHeight="false" outlineLevel="0" collapsed="false">
      <c r="DB1897" s="0" t="str">
        <f aca="false">IF($A1897="","",IF(AND($A1897=21,$AE1897&amp;""="00000000"),IF($AH1897=20,"病院",IF($AH1897=5,"消防","市長")),"対象外"))</f>
        <v/>
      </c>
    </row>
    <row r="1898" customFormat="false" ht="15" hidden="false" customHeight="false" outlineLevel="0" collapsed="false">
      <c r="DB1898" s="0" t="str">
        <f aca="false">IF($A1898="","",IF(AND($A1898=21,$AE1898&amp;""="00000000"),IF($AH1898=20,"病院",IF($AH1898=5,"消防","市長")),"対象外"))</f>
        <v/>
      </c>
    </row>
    <row r="1899" customFormat="false" ht="15" hidden="false" customHeight="false" outlineLevel="0" collapsed="false">
      <c r="DB1899" s="0" t="str">
        <f aca="false">IF($A1899="","",IF(AND($A1899=21,$AE1899&amp;""="00000000"),IF($AH1899=20,"病院",IF($AH1899=5,"消防","市長")),"対象外"))</f>
        <v/>
      </c>
    </row>
    <row r="1900" customFormat="false" ht="15" hidden="false" customHeight="false" outlineLevel="0" collapsed="false">
      <c r="DB1900" s="0" t="str">
        <f aca="false">IF($A1900="","",IF(AND($A1900=21,$AE1900&amp;""="00000000"),IF($AH1900=20,"病院",IF($AH1900=5,"消防","市長")),"対象外"))</f>
        <v/>
      </c>
    </row>
    <row r="1901" customFormat="false" ht="15" hidden="false" customHeight="false" outlineLevel="0" collapsed="false">
      <c r="DB1901" s="0" t="str">
        <f aca="false">IF($A1901="","",IF(AND($A1901=21,$AE1901&amp;""="00000000"),IF($AH1901=20,"病院",IF($AH1901=5,"消防","市長")),"対象外"))</f>
        <v/>
      </c>
    </row>
    <row r="1902" customFormat="false" ht="15" hidden="false" customHeight="false" outlineLevel="0" collapsed="false">
      <c r="DB1902" s="0" t="str">
        <f aca="false">IF($A1902="","",IF(AND($A1902=21,$AE1902&amp;""="00000000"),IF($AH1902=20,"病院",IF($AH1902=5,"消防","市長")),"対象外"))</f>
        <v/>
      </c>
    </row>
    <row r="1903" customFormat="false" ht="15" hidden="false" customHeight="false" outlineLevel="0" collapsed="false">
      <c r="DB1903" s="0" t="str">
        <f aca="false">IF($A1903="","",IF(AND($A1903=21,$AE1903&amp;""="00000000"),IF($AH1903=20,"病院",IF($AH1903=5,"消防","市長")),"対象外"))</f>
        <v/>
      </c>
    </row>
    <row r="1904" customFormat="false" ht="15" hidden="false" customHeight="false" outlineLevel="0" collapsed="false">
      <c r="DB1904" s="0" t="str">
        <f aca="false">IF($A1904="","",IF(AND($A1904=21,$AE1904&amp;""="00000000"),IF($AH1904=20,"病院",IF($AH1904=5,"消防","市長")),"対象外"))</f>
        <v/>
      </c>
    </row>
    <row r="1905" customFormat="false" ht="15" hidden="false" customHeight="false" outlineLevel="0" collapsed="false">
      <c r="DB1905" s="0" t="str">
        <f aca="false">IF($A1905="","",IF(AND($A1905=21,$AE1905&amp;""="00000000"),IF($AH1905=20,"病院",IF($AH1905=5,"消防","市長")),"対象外"))</f>
        <v/>
      </c>
    </row>
    <row r="1906" customFormat="false" ht="15" hidden="false" customHeight="false" outlineLevel="0" collapsed="false">
      <c r="DB1906" s="0" t="str">
        <f aca="false">IF($A1906="","",IF(AND($A1906=21,$AE1906&amp;""="00000000"),IF($AH1906=20,"病院",IF($AH1906=5,"消防","市長")),"対象外"))</f>
        <v/>
      </c>
    </row>
    <row r="1907" customFormat="false" ht="15" hidden="false" customHeight="false" outlineLevel="0" collapsed="false">
      <c r="DB1907" s="0" t="str">
        <f aca="false">IF($A1907="","",IF(AND($A1907=21,$AE1907&amp;""="00000000"),IF($AH1907=20,"病院",IF($AH1907=5,"消防","市長")),"対象外"))</f>
        <v/>
      </c>
    </row>
    <row r="1908" customFormat="false" ht="15" hidden="false" customHeight="false" outlineLevel="0" collapsed="false">
      <c r="DB1908" s="0" t="str">
        <f aca="false">IF($A1908="","",IF(AND($A1908=21,$AE1908&amp;""="00000000"),IF($AH1908=20,"病院",IF($AH1908=5,"消防","市長")),"対象外"))</f>
        <v/>
      </c>
    </row>
    <row r="1909" customFormat="false" ht="15" hidden="false" customHeight="false" outlineLevel="0" collapsed="false">
      <c r="DB1909" s="0" t="str">
        <f aca="false">IF($A1909="","",IF(AND($A1909=21,$AE1909&amp;""="00000000"),IF($AH1909=20,"病院",IF($AH1909=5,"消防","市長")),"対象外"))</f>
        <v/>
      </c>
    </row>
    <row r="1910" customFormat="false" ht="15" hidden="false" customHeight="false" outlineLevel="0" collapsed="false">
      <c r="DB1910" s="0" t="str">
        <f aca="false">IF($A1910="","",IF(AND($A1910=21,$AE1910&amp;""="00000000"),IF($AH1910=20,"病院",IF($AH1910=5,"消防","市長")),"対象外"))</f>
        <v/>
      </c>
    </row>
    <row r="1911" customFormat="false" ht="15" hidden="false" customHeight="false" outlineLevel="0" collapsed="false">
      <c r="DB1911" s="0" t="str">
        <f aca="false">IF($A1911="","",IF(AND($A1911=21,$AE1911&amp;""="00000000"),IF($AH1911=20,"病院",IF($AH1911=5,"消防","市長")),"対象外"))</f>
        <v/>
      </c>
    </row>
    <row r="1912" customFormat="false" ht="15" hidden="false" customHeight="false" outlineLevel="0" collapsed="false">
      <c r="DB1912" s="0" t="str">
        <f aca="false">IF($A1912="","",IF(AND($A1912=21,$AE1912&amp;""="00000000"),IF($AH1912=20,"病院",IF($AH1912=5,"消防","市長")),"対象外"))</f>
        <v/>
      </c>
    </row>
    <row r="1913" customFormat="false" ht="15" hidden="false" customHeight="false" outlineLevel="0" collapsed="false">
      <c r="DB1913" s="0" t="str">
        <f aca="false">IF($A1913="","",IF(AND($A1913=21,$AE1913&amp;""="00000000"),IF($AH1913=20,"病院",IF($AH1913=5,"消防","市長")),"対象外"))</f>
        <v/>
      </c>
    </row>
    <row r="1914" customFormat="false" ht="15" hidden="false" customHeight="false" outlineLevel="0" collapsed="false">
      <c r="DB1914" s="0" t="str">
        <f aca="false">IF($A1914="","",IF(AND($A1914=21,$AE1914&amp;""="00000000"),IF($AH1914=20,"病院",IF($AH1914=5,"消防","市長")),"対象外"))</f>
        <v/>
      </c>
    </row>
    <row r="1915" customFormat="false" ht="15" hidden="false" customHeight="false" outlineLevel="0" collapsed="false">
      <c r="DB1915" s="0" t="str">
        <f aca="false">IF($A1915="","",IF(AND($A1915=21,$AE1915&amp;""="00000000"),IF($AH1915=20,"病院",IF($AH1915=5,"消防","市長")),"対象外"))</f>
        <v/>
      </c>
    </row>
    <row r="1916" customFormat="false" ht="15" hidden="false" customHeight="false" outlineLevel="0" collapsed="false">
      <c r="DB1916" s="0" t="str">
        <f aca="false">IF($A1916="","",IF(AND($A1916=21,$AE1916&amp;""="00000000"),IF($AH1916=20,"病院",IF($AH1916=5,"消防","市長")),"対象外"))</f>
        <v/>
      </c>
    </row>
    <row r="1917" customFormat="false" ht="15" hidden="false" customHeight="false" outlineLevel="0" collapsed="false">
      <c r="DB1917" s="0" t="str">
        <f aca="false">IF($A1917="","",IF(AND($A1917=21,$AE1917&amp;""="00000000"),IF($AH1917=20,"病院",IF($AH1917=5,"消防","市長")),"対象外"))</f>
        <v/>
      </c>
    </row>
    <row r="1918" customFormat="false" ht="15" hidden="false" customHeight="false" outlineLevel="0" collapsed="false">
      <c r="DB1918" s="0" t="str">
        <f aca="false">IF($A1918="","",IF(AND($A1918=21,$AE1918&amp;""="00000000"),IF($AH1918=20,"病院",IF($AH1918=5,"消防","市長")),"対象外"))</f>
        <v/>
      </c>
    </row>
    <row r="1919" customFormat="false" ht="15" hidden="false" customHeight="false" outlineLevel="0" collapsed="false">
      <c r="DB1919" s="0" t="str">
        <f aca="false">IF($A1919="","",IF(AND($A1919=21,$AE1919&amp;""="00000000"),IF($AH1919=20,"病院",IF($AH1919=5,"消防","市長")),"対象外"))</f>
        <v/>
      </c>
    </row>
    <row r="1920" customFormat="false" ht="15" hidden="false" customHeight="false" outlineLevel="0" collapsed="false">
      <c r="DB1920" s="0" t="str">
        <f aca="false">IF($A1920="","",IF(AND($A1920=21,$AE1920&amp;""="00000000"),IF($AH1920=20,"病院",IF($AH1920=5,"消防","市長")),"対象外"))</f>
        <v/>
      </c>
    </row>
    <row r="1921" customFormat="false" ht="15" hidden="false" customHeight="false" outlineLevel="0" collapsed="false">
      <c r="DB1921" s="0" t="str">
        <f aca="false">IF($A1921="","",IF(AND($A1921=21,$AE1921&amp;""="00000000"),IF($AH1921=20,"病院",IF($AH1921=5,"消防","市長")),"対象外"))</f>
        <v/>
      </c>
    </row>
    <row r="1922" customFormat="false" ht="15" hidden="false" customHeight="false" outlineLevel="0" collapsed="false">
      <c r="DB1922" s="0" t="str">
        <f aca="false">IF($A1922="","",IF(AND($A1922=21,$AE1922&amp;""="00000000"),IF($AH1922=20,"病院",IF($AH1922=5,"消防","市長")),"対象外"))</f>
        <v/>
      </c>
    </row>
    <row r="1923" customFormat="false" ht="15" hidden="false" customHeight="false" outlineLevel="0" collapsed="false">
      <c r="DB1923" s="0" t="str">
        <f aca="false">IF($A1923="","",IF(AND($A1923=21,$AE1923&amp;""="00000000"),IF($AH1923=20,"病院",IF($AH1923=5,"消防","市長")),"対象外"))</f>
        <v/>
      </c>
    </row>
    <row r="1924" customFormat="false" ht="15" hidden="false" customHeight="false" outlineLevel="0" collapsed="false">
      <c r="DB1924" s="0" t="str">
        <f aca="false">IF($A1924="","",IF(AND($A1924=21,$AE1924&amp;""="00000000"),IF($AH1924=20,"病院",IF($AH1924=5,"消防","市長")),"対象外"))</f>
        <v/>
      </c>
    </row>
    <row r="1925" customFormat="false" ht="15" hidden="false" customHeight="false" outlineLevel="0" collapsed="false">
      <c r="DB1925" s="0" t="str">
        <f aca="false">IF($A1925="","",IF(AND($A1925=21,$AE1925&amp;""="00000000"),IF($AH1925=20,"病院",IF($AH1925=5,"消防","市長")),"対象外"))</f>
        <v/>
      </c>
    </row>
    <row r="1926" customFormat="false" ht="15" hidden="false" customHeight="false" outlineLevel="0" collapsed="false">
      <c r="DB1926" s="0" t="str">
        <f aca="false">IF($A1926="","",IF(AND($A1926=21,$AE1926&amp;""="00000000"),IF($AH1926=20,"病院",IF($AH1926=5,"消防","市長")),"対象外"))</f>
        <v/>
      </c>
    </row>
    <row r="1927" customFormat="false" ht="15" hidden="false" customHeight="false" outlineLevel="0" collapsed="false">
      <c r="DB1927" s="0" t="str">
        <f aca="false">IF($A1927="","",IF(AND($A1927=21,$AE1927&amp;""="00000000"),IF($AH1927=20,"病院",IF($AH1927=5,"消防","市長")),"対象外"))</f>
        <v/>
      </c>
    </row>
    <row r="1928" customFormat="false" ht="15" hidden="false" customHeight="false" outlineLevel="0" collapsed="false">
      <c r="DB1928" s="0" t="str">
        <f aca="false">IF($A1928="","",IF(AND($A1928=21,$AE1928&amp;""="00000000"),IF($AH1928=20,"病院",IF($AH1928=5,"消防","市長")),"対象外"))</f>
        <v/>
      </c>
    </row>
    <row r="1929" customFormat="false" ht="15" hidden="false" customHeight="false" outlineLevel="0" collapsed="false">
      <c r="DB1929" s="0" t="str">
        <f aca="false">IF($A1929="","",IF(AND($A1929=21,$AE1929&amp;""="00000000"),IF($AH1929=20,"病院",IF($AH1929=5,"消防","市長")),"対象外"))</f>
        <v/>
      </c>
    </row>
    <row r="1930" customFormat="false" ht="15" hidden="false" customHeight="false" outlineLevel="0" collapsed="false">
      <c r="DB1930" s="0" t="str">
        <f aca="false">IF($A1930="","",IF(AND($A1930=21,$AE1930&amp;""="00000000"),IF($AH1930=20,"病院",IF($AH1930=5,"消防","市長")),"対象外"))</f>
        <v/>
      </c>
    </row>
    <row r="1931" customFormat="false" ht="15" hidden="false" customHeight="false" outlineLevel="0" collapsed="false">
      <c r="DB1931" s="0" t="str">
        <f aca="false">IF($A1931="","",IF(AND($A1931=21,$AE1931&amp;""="00000000"),IF($AH1931=20,"病院",IF($AH1931=5,"消防","市長")),"対象外"))</f>
        <v/>
      </c>
    </row>
    <row r="1932" customFormat="false" ht="15" hidden="false" customHeight="false" outlineLevel="0" collapsed="false">
      <c r="DB1932" s="0" t="str">
        <f aca="false">IF($A1932="","",IF(AND($A1932=21,$AE1932&amp;""="00000000"),IF($AH1932=20,"病院",IF($AH1932=5,"消防","市長")),"対象外"))</f>
        <v/>
      </c>
    </row>
    <row r="1933" customFormat="false" ht="15" hidden="false" customHeight="false" outlineLevel="0" collapsed="false">
      <c r="DB1933" s="0" t="str">
        <f aca="false">IF($A1933="","",IF(AND($A1933=21,$AE1933&amp;""="00000000"),IF($AH1933=20,"病院",IF($AH1933=5,"消防","市長")),"対象外"))</f>
        <v/>
      </c>
    </row>
    <row r="1934" customFormat="false" ht="15" hidden="false" customHeight="false" outlineLevel="0" collapsed="false">
      <c r="DB1934" s="0" t="str">
        <f aca="false">IF($A1934="","",IF(AND($A1934=21,$AE1934&amp;""="00000000"),IF($AH1934=20,"病院",IF($AH1934=5,"消防","市長")),"対象外"))</f>
        <v/>
      </c>
    </row>
    <row r="1935" customFormat="false" ht="15" hidden="false" customHeight="false" outlineLevel="0" collapsed="false">
      <c r="DB1935" s="0" t="str">
        <f aca="false">IF($A1935="","",IF(AND($A1935=21,$AE1935&amp;""="00000000"),IF($AH1935=20,"病院",IF($AH1935=5,"消防","市長")),"対象外"))</f>
        <v/>
      </c>
    </row>
    <row r="1936" customFormat="false" ht="15" hidden="false" customHeight="false" outlineLevel="0" collapsed="false">
      <c r="DB1936" s="0" t="str">
        <f aca="false">IF($A1936="","",IF(AND($A1936=21,$AE1936&amp;""="00000000"),IF($AH1936=20,"病院",IF($AH1936=5,"消防","市長")),"対象外"))</f>
        <v/>
      </c>
    </row>
    <row r="1937" customFormat="false" ht="15" hidden="false" customHeight="false" outlineLevel="0" collapsed="false">
      <c r="DB1937" s="0" t="str">
        <f aca="false">IF($A1937="","",IF(AND($A1937=21,$AE1937&amp;""="00000000"),IF($AH1937=20,"病院",IF($AH1937=5,"消防","市長")),"対象外"))</f>
        <v/>
      </c>
    </row>
    <row r="1938" customFormat="false" ht="15" hidden="false" customHeight="false" outlineLevel="0" collapsed="false">
      <c r="DB1938" s="0" t="str">
        <f aca="false">IF($A1938="","",IF(AND($A1938=21,$AE1938&amp;""="00000000"),IF($AH1938=20,"病院",IF($AH1938=5,"消防","市長")),"対象外"))</f>
        <v/>
      </c>
    </row>
    <row r="1939" customFormat="false" ht="15" hidden="false" customHeight="false" outlineLevel="0" collapsed="false">
      <c r="DB1939" s="0" t="str">
        <f aca="false">IF($A1939="","",IF(AND($A1939=21,$AE1939&amp;""="00000000"),IF($AH1939=20,"病院",IF($AH1939=5,"消防","市長")),"対象外"))</f>
        <v/>
      </c>
    </row>
    <row r="1940" customFormat="false" ht="15" hidden="false" customHeight="false" outlineLevel="0" collapsed="false">
      <c r="DB1940" s="0" t="str">
        <f aca="false">IF($A1940="","",IF(AND($A1940=21,$AE1940&amp;""="00000000"),IF($AH1940=20,"病院",IF($AH1940=5,"消防","市長")),"対象外"))</f>
        <v/>
      </c>
    </row>
    <row r="1941" customFormat="false" ht="15" hidden="false" customHeight="false" outlineLevel="0" collapsed="false">
      <c r="DB1941" s="0" t="str">
        <f aca="false">IF($A1941="","",IF(AND($A1941=21,$AE1941&amp;""="00000000"),IF($AH1941=20,"病院",IF($AH1941=5,"消防","市長")),"対象外"))</f>
        <v/>
      </c>
    </row>
    <row r="1942" customFormat="false" ht="15" hidden="false" customHeight="false" outlineLevel="0" collapsed="false">
      <c r="DB1942" s="0" t="str">
        <f aca="false">IF($A1942="","",IF(AND($A1942=21,$AE1942&amp;""="00000000"),IF($AH1942=20,"病院",IF($AH1942=5,"消防","市長")),"対象外"))</f>
        <v/>
      </c>
    </row>
    <row r="1943" customFormat="false" ht="15" hidden="false" customHeight="false" outlineLevel="0" collapsed="false">
      <c r="DB1943" s="0" t="str">
        <f aca="false">IF($A1943="","",IF(AND($A1943=21,$AE1943&amp;""="00000000"),IF($AH1943=20,"病院",IF($AH1943=5,"消防","市長")),"対象外"))</f>
        <v/>
      </c>
    </row>
    <row r="1944" customFormat="false" ht="15" hidden="false" customHeight="false" outlineLevel="0" collapsed="false">
      <c r="DB1944" s="0" t="str">
        <f aca="false">IF($A1944="","",IF(AND($A1944=21,$AE1944&amp;""="00000000"),IF($AH1944=20,"病院",IF($AH1944=5,"消防","市長")),"対象外"))</f>
        <v/>
      </c>
    </row>
    <row r="1945" customFormat="false" ht="15" hidden="false" customHeight="false" outlineLevel="0" collapsed="false">
      <c r="DB1945" s="0" t="str">
        <f aca="false">IF($A1945="","",IF(AND($A1945=21,$AE1945&amp;""="00000000"),IF($AH1945=20,"病院",IF($AH1945=5,"消防","市長")),"対象外"))</f>
        <v/>
      </c>
    </row>
    <row r="1946" customFormat="false" ht="15" hidden="false" customHeight="false" outlineLevel="0" collapsed="false">
      <c r="DB1946" s="0" t="str">
        <f aca="false">IF($A1946="","",IF(AND($A1946=21,$AE1946&amp;""="00000000"),IF($AH1946=20,"病院",IF($AH1946=5,"消防","市長")),"対象外"))</f>
        <v/>
      </c>
    </row>
    <row r="1947" customFormat="false" ht="15" hidden="false" customHeight="false" outlineLevel="0" collapsed="false">
      <c r="DB1947" s="0" t="str">
        <f aca="false">IF($A1947="","",IF(AND($A1947=21,$AE1947&amp;""="00000000"),IF($AH1947=20,"病院",IF($AH1947=5,"消防","市長")),"対象外"))</f>
        <v/>
      </c>
    </row>
    <row r="1948" customFormat="false" ht="15" hidden="false" customHeight="false" outlineLevel="0" collapsed="false">
      <c r="DB1948" s="0" t="str">
        <f aca="false">IF($A1948="","",IF(AND($A1948=21,$AE1948&amp;""="00000000"),IF($AH1948=20,"病院",IF($AH1948=5,"消防","市長")),"対象外"))</f>
        <v/>
      </c>
    </row>
    <row r="1949" customFormat="false" ht="15" hidden="false" customHeight="false" outlineLevel="0" collapsed="false">
      <c r="DB1949" s="0" t="str">
        <f aca="false">IF($A1949="","",IF(AND($A1949=21,$AE1949&amp;""="00000000"),IF($AH1949=20,"病院",IF($AH1949=5,"消防","市長")),"対象外"))</f>
        <v/>
      </c>
    </row>
    <row r="1950" customFormat="false" ht="15" hidden="false" customHeight="false" outlineLevel="0" collapsed="false">
      <c r="DB1950" s="0" t="str">
        <f aca="false">IF($A1950="","",IF(AND($A1950=21,$AE1950&amp;""="00000000"),IF($AH1950=20,"病院",IF($AH1950=5,"消防","市長")),"対象外"))</f>
        <v/>
      </c>
    </row>
    <row r="1951" customFormat="false" ht="15" hidden="false" customHeight="false" outlineLevel="0" collapsed="false">
      <c r="DB1951" s="0" t="str">
        <f aca="false">IF($A1951="","",IF(AND($A1951=21,$AE1951&amp;""="00000000"),IF($AH1951=20,"病院",IF($AH1951=5,"消防","市長")),"対象外"))</f>
        <v/>
      </c>
    </row>
    <row r="1952" customFormat="false" ht="15" hidden="false" customHeight="false" outlineLevel="0" collapsed="false">
      <c r="DB1952" s="0" t="str">
        <f aca="false">IF($A1952="","",IF(AND($A1952=21,$AE1952&amp;""="00000000"),IF($AH1952=20,"病院",IF($AH1952=5,"消防","市長")),"対象外"))</f>
        <v/>
      </c>
    </row>
    <row r="1953" customFormat="false" ht="15" hidden="false" customHeight="false" outlineLevel="0" collapsed="false">
      <c r="DB1953" s="0" t="str">
        <f aca="false">IF($A1953="","",IF(AND($A1953=21,$AE1953&amp;""="00000000"),IF($AH1953=20,"病院",IF($AH1953=5,"消防","市長")),"対象外"))</f>
        <v/>
      </c>
    </row>
    <row r="1954" customFormat="false" ht="15" hidden="false" customHeight="false" outlineLevel="0" collapsed="false">
      <c r="DB1954" s="0" t="str">
        <f aca="false">IF($A1954="","",IF(AND($A1954=21,$AE1954&amp;""="00000000"),IF($AH1954=20,"病院",IF($AH1954=5,"消防","市長")),"対象外"))</f>
        <v/>
      </c>
    </row>
    <row r="1955" customFormat="false" ht="15" hidden="false" customHeight="false" outlineLevel="0" collapsed="false">
      <c r="DB1955" s="0" t="str">
        <f aca="false">IF($A1955="","",IF(AND($A1955=21,$AE1955&amp;""="00000000"),IF($AH1955=20,"病院",IF($AH1955=5,"消防","市長")),"対象外"))</f>
        <v/>
      </c>
    </row>
    <row r="1956" customFormat="false" ht="15" hidden="false" customHeight="false" outlineLevel="0" collapsed="false">
      <c r="DB1956" s="0" t="str">
        <f aca="false">IF($A1956="","",IF(AND($A1956=21,$AE1956&amp;""="00000000"),IF($AH1956=20,"病院",IF($AH1956=5,"消防","市長")),"対象外"))</f>
        <v/>
      </c>
    </row>
    <row r="1957" customFormat="false" ht="15" hidden="false" customHeight="false" outlineLevel="0" collapsed="false">
      <c r="DB1957" s="0" t="str">
        <f aca="false">IF($A1957="","",IF(AND($A1957=21,$AE1957&amp;""="00000000"),IF($AH1957=20,"病院",IF($AH1957=5,"消防","市長")),"対象外"))</f>
        <v/>
      </c>
    </row>
    <row r="1958" customFormat="false" ht="15" hidden="false" customHeight="false" outlineLevel="0" collapsed="false">
      <c r="DB1958" s="0" t="str">
        <f aca="false">IF($A1958="","",IF(AND($A1958=21,$AE1958&amp;""="00000000"),IF($AH1958=20,"病院",IF($AH1958=5,"消防","市長")),"対象外"))</f>
        <v/>
      </c>
    </row>
    <row r="1959" customFormat="false" ht="15" hidden="false" customHeight="false" outlineLevel="0" collapsed="false">
      <c r="DB1959" s="0" t="str">
        <f aca="false">IF($A1959="","",IF(AND($A1959=21,$AE1959&amp;""="00000000"),IF($AH1959=20,"病院",IF($AH1959=5,"消防","市長")),"対象外"))</f>
        <v/>
      </c>
    </row>
    <row r="1960" customFormat="false" ht="15" hidden="false" customHeight="false" outlineLevel="0" collapsed="false">
      <c r="DB1960" s="0" t="str">
        <f aca="false">IF($A1960="","",IF(AND($A1960=21,$AE1960&amp;""="00000000"),IF($AH1960=20,"病院",IF($AH1960=5,"消防","市長")),"対象外"))</f>
        <v/>
      </c>
    </row>
    <row r="1961" customFormat="false" ht="15" hidden="false" customHeight="false" outlineLevel="0" collapsed="false">
      <c r="DB1961" s="0" t="str">
        <f aca="false">IF($A1961="","",IF(AND($A1961=21,$AE1961&amp;""="00000000"),IF($AH1961=20,"病院",IF($AH1961=5,"消防","市長")),"対象外"))</f>
        <v/>
      </c>
    </row>
    <row r="1962" customFormat="false" ht="15" hidden="false" customHeight="false" outlineLevel="0" collapsed="false">
      <c r="DB1962" s="0" t="str">
        <f aca="false">IF($A1962="","",IF(AND($A1962=21,$AE1962&amp;""="00000000"),IF($AH1962=20,"病院",IF($AH1962=5,"消防","市長")),"対象外"))</f>
        <v/>
      </c>
    </row>
    <row r="1963" customFormat="false" ht="15" hidden="false" customHeight="false" outlineLevel="0" collapsed="false">
      <c r="DB1963" s="0" t="str">
        <f aca="false">IF($A1963="","",IF(AND($A1963=21,$AE1963&amp;""="00000000"),IF($AH1963=20,"病院",IF($AH1963=5,"消防","市長")),"対象外"))</f>
        <v/>
      </c>
    </row>
    <row r="1964" customFormat="false" ht="15" hidden="false" customHeight="false" outlineLevel="0" collapsed="false">
      <c r="DB1964" s="0" t="str">
        <f aca="false">IF($A1964="","",IF(AND($A1964=21,$AE1964&amp;""="00000000"),IF($AH1964=20,"病院",IF($AH1964=5,"消防","市長")),"対象外"))</f>
        <v/>
      </c>
    </row>
    <row r="1965" customFormat="false" ht="15" hidden="false" customHeight="false" outlineLevel="0" collapsed="false">
      <c r="DB1965" s="0" t="str">
        <f aca="false">IF($A1965="","",IF(AND($A1965=21,$AE1965&amp;""="00000000"),IF($AH1965=20,"病院",IF($AH1965=5,"消防","市長")),"対象外"))</f>
        <v/>
      </c>
    </row>
    <row r="1966" customFormat="false" ht="15" hidden="false" customHeight="false" outlineLevel="0" collapsed="false">
      <c r="DB1966" s="0" t="str">
        <f aca="false">IF($A1966="","",IF(AND($A1966=21,$AE1966&amp;""="00000000"),IF($AH1966=20,"病院",IF($AH1966=5,"消防","市長")),"対象外"))</f>
        <v/>
      </c>
    </row>
    <row r="1967" customFormat="false" ht="15" hidden="false" customHeight="false" outlineLevel="0" collapsed="false">
      <c r="DB1967" s="0" t="str">
        <f aca="false">IF($A1967="","",IF(AND($A1967=21,$AE1967&amp;""="00000000"),IF($AH1967=20,"病院",IF($AH1967=5,"消防","市長")),"対象外"))</f>
        <v/>
      </c>
    </row>
    <row r="1968" customFormat="false" ht="15" hidden="false" customHeight="false" outlineLevel="0" collapsed="false">
      <c r="DB1968" s="0" t="str">
        <f aca="false">IF($A1968="","",IF(AND($A1968=21,$AE1968&amp;""="00000000"),IF($AH1968=20,"病院",IF($AH1968=5,"消防","市長")),"対象外"))</f>
        <v/>
      </c>
    </row>
    <row r="1969" customFormat="false" ht="15" hidden="false" customHeight="false" outlineLevel="0" collapsed="false">
      <c r="DB1969" s="0" t="str">
        <f aca="false">IF($A1969="","",IF(AND($A1969=21,$AE1969&amp;""="00000000"),IF($AH1969=20,"病院",IF($AH1969=5,"消防","市長")),"対象外"))</f>
        <v/>
      </c>
    </row>
    <row r="1970" customFormat="false" ht="15" hidden="false" customHeight="false" outlineLevel="0" collapsed="false">
      <c r="DB1970" s="0" t="str">
        <f aca="false">IF($A1970="","",IF(AND($A1970=21,$AE1970&amp;""="00000000"),IF($AH1970=20,"病院",IF($AH1970=5,"消防","市長")),"対象外"))</f>
        <v/>
      </c>
    </row>
    <row r="1971" customFormat="false" ht="15" hidden="false" customHeight="false" outlineLevel="0" collapsed="false">
      <c r="DB1971" s="0" t="str">
        <f aca="false">IF($A1971="","",IF(AND($A1971=21,$AE1971&amp;""="00000000"),IF($AH1971=20,"病院",IF($AH1971=5,"消防","市長")),"対象外"))</f>
        <v/>
      </c>
    </row>
    <row r="1972" customFormat="false" ht="15" hidden="false" customHeight="false" outlineLevel="0" collapsed="false">
      <c r="DB1972" s="0" t="str">
        <f aca="false">IF($A1972="","",IF(AND($A1972=21,$AE1972&amp;""="00000000"),IF($AH1972=20,"病院",IF($AH1972=5,"消防","市長")),"対象外"))</f>
        <v/>
      </c>
    </row>
    <row r="1973" customFormat="false" ht="15" hidden="false" customHeight="false" outlineLevel="0" collapsed="false">
      <c r="DB1973" s="0" t="str">
        <f aca="false">IF($A1973="","",IF(AND($A1973=21,$AE1973&amp;""="00000000"),IF($AH1973=20,"病院",IF($AH1973=5,"消防","市長")),"対象外"))</f>
        <v/>
      </c>
    </row>
    <row r="1974" customFormat="false" ht="15" hidden="false" customHeight="false" outlineLevel="0" collapsed="false">
      <c r="DB1974" s="0" t="str">
        <f aca="false">IF($A1974="","",IF(AND($A1974=21,$AE1974&amp;""="00000000"),IF($AH1974=20,"病院",IF($AH1974=5,"消防","市長")),"対象外"))</f>
        <v/>
      </c>
    </row>
    <row r="1975" customFormat="false" ht="15" hidden="false" customHeight="false" outlineLevel="0" collapsed="false">
      <c r="DB1975" s="0" t="str">
        <f aca="false">IF($A1975="","",IF(AND($A1975=21,$AE1975&amp;""="00000000"),IF($AH1975=20,"病院",IF($AH1975=5,"消防","市長")),"対象外"))</f>
        <v/>
      </c>
    </row>
    <row r="1976" customFormat="false" ht="15" hidden="false" customHeight="false" outlineLevel="0" collapsed="false">
      <c r="DB1976" s="0" t="str">
        <f aca="false">IF($A1976="","",IF(AND($A1976=21,$AE1976&amp;""="00000000"),IF($AH1976=20,"病院",IF($AH1976=5,"消防","市長")),"対象外"))</f>
        <v/>
      </c>
    </row>
    <row r="1977" customFormat="false" ht="15" hidden="false" customHeight="false" outlineLevel="0" collapsed="false">
      <c r="DB1977" s="0" t="str">
        <f aca="false">IF($A1977="","",IF(AND($A1977=21,$AE1977&amp;""="00000000"),IF($AH1977=20,"病院",IF($AH1977=5,"消防","市長")),"対象外"))</f>
        <v/>
      </c>
    </row>
    <row r="1978" customFormat="false" ht="15" hidden="false" customHeight="false" outlineLevel="0" collapsed="false">
      <c r="DB1978" s="0" t="str">
        <f aca="false">IF($A1978="","",IF(AND($A1978=21,$AE1978&amp;""="00000000"),IF($AH1978=20,"病院",IF($AH1978=5,"消防","市長")),"対象外"))</f>
        <v/>
      </c>
    </row>
    <row r="1979" customFormat="false" ht="15" hidden="false" customHeight="false" outlineLevel="0" collapsed="false">
      <c r="DB1979" s="0" t="str">
        <f aca="false">IF($A1979="","",IF(AND($A1979=21,$AE1979&amp;""="00000000"),IF($AH1979=20,"病院",IF($AH1979=5,"消防","市長")),"対象外"))</f>
        <v/>
      </c>
    </row>
    <row r="1980" customFormat="false" ht="15" hidden="false" customHeight="false" outlineLevel="0" collapsed="false">
      <c r="DB1980" s="0" t="str">
        <f aca="false">IF($A1980="","",IF(AND($A1980=21,$AE1980&amp;""="00000000"),IF($AH1980=20,"病院",IF($AH1980=5,"消防","市長")),"対象外"))</f>
        <v/>
      </c>
    </row>
    <row r="1981" customFormat="false" ht="15" hidden="false" customHeight="false" outlineLevel="0" collapsed="false">
      <c r="DB1981" s="0" t="str">
        <f aca="false">IF($A1981="","",IF(AND($A1981=21,$AE1981&amp;""="00000000"),IF($AH1981=20,"病院",IF($AH1981=5,"消防","市長")),"対象外"))</f>
        <v/>
      </c>
    </row>
    <row r="1982" customFormat="false" ht="15" hidden="false" customHeight="false" outlineLevel="0" collapsed="false">
      <c r="DB1982" s="0" t="str">
        <f aca="false">IF($A1982="","",IF(AND($A1982=21,$AE1982&amp;""="00000000"),IF($AH1982=20,"病院",IF($AH1982=5,"消防","市長")),"対象外"))</f>
        <v/>
      </c>
    </row>
    <row r="1983" customFormat="false" ht="15" hidden="false" customHeight="false" outlineLevel="0" collapsed="false">
      <c r="DB1983" s="0" t="str">
        <f aca="false">IF($A1983="","",IF(AND($A1983=21,$AE1983&amp;""="00000000"),IF($AH1983=20,"病院",IF($AH1983=5,"消防","市長")),"対象外"))</f>
        <v/>
      </c>
    </row>
    <row r="1984" customFormat="false" ht="15" hidden="false" customHeight="false" outlineLevel="0" collapsed="false">
      <c r="DB1984" s="0" t="str">
        <f aca="false">IF($A1984="","",IF(AND($A1984=21,$AE1984&amp;""="00000000"),IF($AH1984=20,"病院",IF($AH1984=5,"消防","市長")),"対象外"))</f>
        <v/>
      </c>
    </row>
    <row r="1985" customFormat="false" ht="15" hidden="false" customHeight="false" outlineLevel="0" collapsed="false">
      <c r="DB1985" s="0" t="str">
        <f aca="false">IF($A1985="","",IF(AND($A1985=21,$AE1985&amp;""="00000000"),IF($AH1985=20,"病院",IF($AH1985=5,"消防","市長")),"対象外"))</f>
        <v/>
      </c>
    </row>
    <row r="1986" customFormat="false" ht="15" hidden="false" customHeight="false" outlineLevel="0" collapsed="false">
      <c r="DB1986" s="0" t="str">
        <f aca="false">IF($A1986="","",IF(AND($A1986=21,$AE1986&amp;""="00000000"),IF($AH1986=20,"病院",IF($AH1986=5,"消防","市長")),"対象外"))</f>
        <v/>
      </c>
    </row>
    <row r="1987" customFormat="false" ht="15" hidden="false" customHeight="false" outlineLevel="0" collapsed="false">
      <c r="DB1987" s="0" t="str">
        <f aca="false">IF($A1987="","",IF(AND($A1987=21,$AE1987&amp;""="00000000"),IF($AH1987=20,"病院",IF($AH1987=5,"消防","市長")),"対象外"))</f>
        <v/>
      </c>
    </row>
    <row r="1988" customFormat="false" ht="15" hidden="false" customHeight="false" outlineLevel="0" collapsed="false">
      <c r="DB1988" s="0" t="str">
        <f aca="false">IF($A1988="","",IF(AND($A1988=21,$AE1988&amp;""="00000000"),IF($AH1988=20,"病院",IF($AH1988=5,"消防","市長")),"対象外"))</f>
        <v/>
      </c>
    </row>
    <row r="1989" customFormat="false" ht="15" hidden="false" customHeight="false" outlineLevel="0" collapsed="false">
      <c r="DB1989" s="0" t="str">
        <f aca="false">IF($A1989="","",IF(AND($A1989=21,$AE1989&amp;""="00000000"),IF($AH1989=20,"病院",IF($AH1989=5,"消防","市長")),"対象外"))</f>
        <v/>
      </c>
    </row>
    <row r="1990" customFormat="false" ht="15" hidden="false" customHeight="false" outlineLevel="0" collapsed="false">
      <c r="DB1990" s="0" t="str">
        <f aca="false">IF($A1990="","",IF(AND($A1990=21,$AE1990&amp;""="00000000"),IF($AH1990=20,"病院",IF($AH1990=5,"消防","市長")),"対象外"))</f>
        <v/>
      </c>
    </row>
    <row r="1991" customFormat="false" ht="15" hidden="false" customHeight="false" outlineLevel="0" collapsed="false">
      <c r="DB1991" s="0" t="str">
        <f aca="false">IF($A1991="","",IF(AND($A1991=21,$AE1991&amp;""="00000000"),IF($AH1991=20,"病院",IF($AH1991=5,"消防","市長")),"対象外"))</f>
        <v/>
      </c>
    </row>
    <row r="1992" customFormat="false" ht="15" hidden="false" customHeight="false" outlineLevel="0" collapsed="false">
      <c r="DB1992" s="0" t="str">
        <f aca="false">IF($A1992="","",IF(AND($A1992=21,$AE1992&amp;""="00000000"),IF($AH1992=20,"病院",IF($AH1992=5,"消防","市長")),"対象外"))</f>
        <v/>
      </c>
    </row>
    <row r="1993" customFormat="false" ht="15" hidden="false" customHeight="false" outlineLevel="0" collapsed="false">
      <c r="DB1993" s="0" t="str">
        <f aca="false">IF($A1993="","",IF(AND($A1993=21,$AE1993&amp;""="00000000"),IF($AH1993=20,"病院",IF($AH1993=5,"消防","市長")),"対象外"))</f>
        <v/>
      </c>
    </row>
    <row r="1994" customFormat="false" ht="15" hidden="false" customHeight="false" outlineLevel="0" collapsed="false">
      <c r="DB1994" s="0" t="str">
        <f aca="false">IF($A1994="","",IF(AND($A1994=21,$AE1994&amp;""="00000000"),IF($AH1994=20,"病院",IF($AH1994=5,"消防","市長")),"対象外"))</f>
        <v/>
      </c>
    </row>
    <row r="1995" customFormat="false" ht="15" hidden="false" customHeight="false" outlineLevel="0" collapsed="false">
      <c r="DB1995" s="0" t="str">
        <f aca="false">IF($A1995="","",IF(AND($A1995=21,$AE1995&amp;""="00000000"),IF($AH1995=20,"病院",IF($AH1995=5,"消防","市長")),"対象外"))</f>
        <v/>
      </c>
    </row>
    <row r="1996" customFormat="false" ht="15" hidden="false" customHeight="false" outlineLevel="0" collapsed="false">
      <c r="DB1996" s="0" t="str">
        <f aca="false">IF($A1996="","",IF(AND($A1996=21,$AE1996&amp;""="00000000"),IF($AH1996=20,"病院",IF($AH1996=5,"消防","市長")),"対象外"))</f>
        <v/>
      </c>
    </row>
    <row r="1997" customFormat="false" ht="15" hidden="false" customHeight="false" outlineLevel="0" collapsed="false">
      <c r="DB1997" s="0" t="str">
        <f aca="false">IF($A1997="","",IF(AND($A1997=21,$AE1997&amp;""="00000000"),IF($AH1997=20,"病院",IF($AH1997=5,"消防","市長")),"対象外"))</f>
        <v/>
      </c>
    </row>
    <row r="1998" customFormat="false" ht="15" hidden="false" customHeight="false" outlineLevel="0" collapsed="false">
      <c r="DB1998" s="0" t="str">
        <f aca="false">IF($A1998="","",IF(AND($A1998=21,$AE1998&amp;""="00000000"),IF($AH1998=20,"病院",IF($AH1998=5,"消防","市長")),"対象外"))</f>
        <v/>
      </c>
    </row>
    <row r="1999" customFormat="false" ht="15" hidden="false" customHeight="false" outlineLevel="0" collapsed="false">
      <c r="DB1999" s="0" t="str">
        <f aca="false">IF($A1999="","",IF(AND($A1999=21,$AE1999&amp;""="00000000"),IF($AH1999=20,"病院",IF($AH1999=5,"消防","市長")),"対象外"))</f>
        <v/>
      </c>
    </row>
    <row r="2000" customFormat="false" ht="15" hidden="false" customHeight="false" outlineLevel="0" collapsed="false">
      <c r="DB2000" s="0" t="str">
        <f aca="false">IF($A2000="","",IF(AND($A2000=21,$AE2000&amp;""="00000000"),IF($AH2000=20,"病院",IF($AH2000=5,"消防","市長")),"対象外"))</f>
        <v/>
      </c>
    </row>
    <row r="2001" customFormat="false" ht="15" hidden="false" customHeight="false" outlineLevel="0" collapsed="false">
      <c r="DB2001" s="0" t="str">
        <f aca="false">IF($A2001="","",IF(AND($A2001=21,$AE2001&amp;""="00000000"),IF($AH2001=20,"病院",IF($AH2001=5,"消防","市長")),"対象外"))</f>
        <v/>
      </c>
    </row>
    <row r="2002" customFormat="false" ht="15" hidden="false" customHeight="false" outlineLevel="0" collapsed="false">
      <c r="DB2002" s="0" t="str">
        <f aca="false">IF($A2002="","",IF(AND($A2002=21,$AE2002&amp;""="00000000"),IF($AH2002=20,"病院",IF($AH2002=5,"消防","市長")),"対象外"))</f>
        <v/>
      </c>
    </row>
    <row r="2003" customFormat="false" ht="15" hidden="false" customHeight="false" outlineLevel="0" collapsed="false">
      <c r="DB2003" s="0" t="str">
        <f aca="false">IF($A2003="","",IF(AND($A2003=21,$AE2003&amp;""="00000000"),IF($AH2003=20,"病院",IF($AH2003=5,"消防","市長")),"対象外"))</f>
        <v/>
      </c>
    </row>
    <row r="2004" customFormat="false" ht="15" hidden="false" customHeight="false" outlineLevel="0" collapsed="false">
      <c r="DB2004" s="0" t="str">
        <f aca="false">IF($A2004="","",IF(AND($A2004=21,$AE2004&amp;""="00000000"),IF($AH2004=20,"病院",IF($AH2004=5,"消防","市長")),"対象外"))</f>
        <v/>
      </c>
    </row>
    <row r="2005" customFormat="false" ht="15" hidden="false" customHeight="false" outlineLevel="0" collapsed="false">
      <c r="DB2005" s="0" t="str">
        <f aca="false">IF($A2005="","",IF(AND($A2005=21,$AE2005&amp;""="00000000"),IF($AH2005=20,"病院",IF($AH2005=5,"消防","市長")),"対象外"))</f>
        <v/>
      </c>
    </row>
    <row r="2006" customFormat="false" ht="15" hidden="false" customHeight="false" outlineLevel="0" collapsed="false">
      <c r="DB2006" s="0" t="str">
        <f aca="false">IF($A2006="","",IF(AND($A2006=21,$AE2006&amp;""="00000000"),IF($AH2006=20,"病院",IF($AH2006=5,"消防","市長")),"対象外"))</f>
        <v/>
      </c>
    </row>
    <row r="2007" customFormat="false" ht="15" hidden="false" customHeight="false" outlineLevel="0" collapsed="false">
      <c r="DB2007" s="0" t="str">
        <f aca="false">IF($A2007="","",IF(AND($A2007=21,$AE2007&amp;""="00000000"),IF($AH2007=20,"病院",IF($AH2007=5,"消防","市長")),"対象外"))</f>
        <v/>
      </c>
    </row>
    <row r="2008" customFormat="false" ht="15" hidden="false" customHeight="false" outlineLevel="0" collapsed="false">
      <c r="DB2008" s="0" t="str">
        <f aca="false">IF($A2008="","",IF(AND($A2008=21,$AE2008&amp;""="00000000"),IF($AH2008=20,"病院",IF($AH2008=5,"消防","市長")),"対象外"))</f>
        <v/>
      </c>
    </row>
    <row r="2009" customFormat="false" ht="15" hidden="false" customHeight="false" outlineLevel="0" collapsed="false">
      <c r="DB2009" s="0" t="str">
        <f aca="false">IF($A2009="","",IF(AND($A2009=21,$AE2009&amp;""="00000000"),IF($AH2009=20,"病院",IF($AH2009=5,"消防","市長")),"対象外"))</f>
        <v/>
      </c>
    </row>
    <row r="2010" customFormat="false" ht="15" hidden="false" customHeight="false" outlineLevel="0" collapsed="false">
      <c r="DB2010" s="0" t="str">
        <f aca="false">IF($A2010="","",IF(AND($A2010=21,$AE2010&amp;""="00000000"),IF($AH2010=20,"病院",IF($AH2010=5,"消防","市長")),"対象外"))</f>
        <v/>
      </c>
    </row>
    <row r="2011" customFormat="false" ht="15" hidden="false" customHeight="false" outlineLevel="0" collapsed="false">
      <c r="DB2011" s="0" t="str">
        <f aca="false">IF($A2011="","",IF(AND($A2011=21,$AE2011&amp;""="00000000"),IF($AH2011=20,"病院",IF($AH2011=5,"消防","市長")),"対象外"))</f>
        <v/>
      </c>
    </row>
    <row r="2012" customFormat="false" ht="15" hidden="false" customHeight="false" outlineLevel="0" collapsed="false">
      <c r="DB2012" s="0" t="str">
        <f aca="false">IF($A2012="","",IF(AND($A2012=21,$AE2012&amp;""="00000000"),IF($AH2012=20,"病院",IF($AH2012=5,"消防","市長")),"対象外"))</f>
        <v/>
      </c>
    </row>
    <row r="2013" customFormat="false" ht="15" hidden="false" customHeight="false" outlineLevel="0" collapsed="false">
      <c r="DB2013" s="0" t="str">
        <f aca="false">IF($A2013="","",IF(AND($A2013=21,$AE2013&amp;""="00000000"),IF($AH2013=20,"病院",IF($AH2013=5,"消防","市長")),"対象外"))</f>
        <v/>
      </c>
    </row>
    <row r="2014" customFormat="false" ht="15" hidden="false" customHeight="false" outlineLevel="0" collapsed="false">
      <c r="DB2014" s="0" t="str">
        <f aca="false">IF($A2014="","",IF(AND($A2014=21,$AE2014&amp;""="00000000"),IF($AH2014=20,"病院",IF($AH2014=5,"消防","市長")),"対象外"))</f>
        <v/>
      </c>
    </row>
    <row r="2015" customFormat="false" ht="15" hidden="false" customHeight="false" outlineLevel="0" collapsed="false">
      <c r="DB2015" s="0" t="str">
        <f aca="false">IF($A2015="","",IF(AND($A2015=21,$AE2015&amp;""="00000000"),IF($AH2015=20,"病院",IF($AH2015=5,"消防","市長")),"対象外"))</f>
        <v/>
      </c>
    </row>
    <row r="2016" customFormat="false" ht="15" hidden="false" customHeight="false" outlineLevel="0" collapsed="false">
      <c r="DB2016" s="0" t="str">
        <f aca="false">IF($A2016="","",IF(AND($A2016=21,$AE2016&amp;""="00000000"),IF($AH2016=20,"病院",IF($AH2016=5,"消防","市長")),"対象外"))</f>
        <v/>
      </c>
    </row>
    <row r="2017" customFormat="false" ht="15" hidden="false" customHeight="false" outlineLevel="0" collapsed="false">
      <c r="DB2017" s="0" t="str">
        <f aca="false">IF($A2017="","",IF(AND($A2017=21,$AE2017&amp;""="00000000"),IF($AH2017=20,"病院",IF($AH2017=5,"消防","市長")),"対象外"))</f>
        <v/>
      </c>
    </row>
    <row r="2018" customFormat="false" ht="15" hidden="false" customHeight="false" outlineLevel="0" collapsed="false">
      <c r="DB2018" s="0" t="str">
        <f aca="false">IF($A2018="","",IF(AND($A2018=21,$AE2018&amp;""="00000000"),IF($AH2018=20,"病院",IF($AH2018=5,"消防","市長")),"対象外"))</f>
        <v/>
      </c>
    </row>
    <row r="2019" customFormat="false" ht="15" hidden="false" customHeight="false" outlineLevel="0" collapsed="false">
      <c r="DB2019" s="0" t="str">
        <f aca="false">IF($A2019="","",IF(AND($A2019=21,$AE2019&amp;""="00000000"),IF($AH2019=20,"病院",IF($AH2019=5,"消防","市長")),"対象外"))</f>
        <v/>
      </c>
    </row>
    <row r="2020" customFormat="false" ht="15" hidden="false" customHeight="false" outlineLevel="0" collapsed="false">
      <c r="DB2020" s="0" t="str">
        <f aca="false">IF($A2020="","",IF(AND($A2020=21,$AE2020&amp;""="00000000"),IF($AH2020=20,"病院",IF($AH2020=5,"消防","市長")),"対象外"))</f>
        <v/>
      </c>
    </row>
    <row r="2021" customFormat="false" ht="15" hidden="false" customHeight="false" outlineLevel="0" collapsed="false">
      <c r="DB2021" s="0" t="str">
        <f aca="false">IF($A2021="","",IF(AND($A2021=21,$AE2021&amp;""="00000000"),IF($AH2021=20,"病院",IF($AH2021=5,"消防","市長")),"対象外"))</f>
        <v/>
      </c>
    </row>
    <row r="2022" customFormat="false" ht="15" hidden="false" customHeight="false" outlineLevel="0" collapsed="false">
      <c r="DB2022" s="0" t="str">
        <f aca="false">IF($A2022="","",IF(AND($A2022=21,$AE2022&amp;""="00000000"),IF($AH2022=20,"病院",IF($AH2022=5,"消防","市長")),"対象外"))</f>
        <v/>
      </c>
    </row>
    <row r="2023" customFormat="false" ht="15" hidden="false" customHeight="false" outlineLevel="0" collapsed="false">
      <c r="DB2023" s="0" t="str">
        <f aca="false">IF($A2023="","",IF(AND($A2023=21,$AE2023&amp;""="00000000"),IF($AH2023=20,"病院",IF($AH2023=5,"消防","市長")),"対象外"))</f>
        <v/>
      </c>
    </row>
    <row r="2024" customFormat="false" ht="15" hidden="false" customHeight="false" outlineLevel="0" collapsed="false">
      <c r="DB2024" s="0" t="str">
        <f aca="false">IF($A2024="","",IF(AND($A2024=21,$AE2024&amp;""="00000000"),IF($AH2024=20,"病院",IF($AH2024=5,"消防","市長")),"対象外"))</f>
        <v/>
      </c>
    </row>
    <row r="2025" customFormat="false" ht="15" hidden="false" customHeight="false" outlineLevel="0" collapsed="false">
      <c r="DB2025" s="0" t="str">
        <f aca="false">IF($A2025="","",IF(AND($A2025=21,$AE2025&amp;""="00000000"),IF($AH2025=20,"病院",IF($AH2025=5,"消防","市長")),"対象外"))</f>
        <v/>
      </c>
    </row>
    <row r="2026" customFormat="false" ht="15" hidden="false" customHeight="false" outlineLevel="0" collapsed="false">
      <c r="DB2026" s="0" t="str">
        <f aca="false">IF($A2026="","",IF(AND($A2026=21,$AE2026&amp;""="00000000"),IF($AH2026=20,"病院",IF($AH2026=5,"消防","市長")),"対象外"))</f>
        <v/>
      </c>
    </row>
    <row r="2027" customFormat="false" ht="15" hidden="false" customHeight="false" outlineLevel="0" collapsed="false">
      <c r="DB2027" s="0" t="str">
        <f aca="false">IF($A2027="","",IF(AND($A2027=21,$AE2027&amp;""="00000000"),IF($AH2027=20,"病院",IF($AH2027=5,"消防","市長")),"対象外"))</f>
        <v/>
      </c>
    </row>
    <row r="2028" customFormat="false" ht="15" hidden="false" customHeight="false" outlineLevel="0" collapsed="false">
      <c r="DB2028" s="0" t="str">
        <f aca="false">IF($A2028="","",IF(AND($A2028=21,$AE2028&amp;""="00000000"),IF($AH2028=20,"病院",IF($AH2028=5,"消防","市長")),"対象外"))</f>
        <v/>
      </c>
    </row>
    <row r="2029" customFormat="false" ht="15" hidden="false" customHeight="false" outlineLevel="0" collapsed="false">
      <c r="DB2029" s="0" t="str">
        <f aca="false">IF($A2029="","",IF(AND($A2029=21,$AE2029&amp;""="00000000"),IF($AH2029=20,"病院",IF($AH2029=5,"消防","市長")),"対象外"))</f>
        <v/>
      </c>
    </row>
    <row r="2030" customFormat="false" ht="15" hidden="false" customHeight="false" outlineLevel="0" collapsed="false">
      <c r="DB2030" s="0" t="str">
        <f aca="false">IF($A2030="","",IF(AND($A2030=21,$AE2030&amp;""="00000000"),IF($AH2030=20,"病院",IF($AH2030=5,"消防","市長")),"対象外"))</f>
        <v/>
      </c>
    </row>
    <row r="2031" customFormat="false" ht="15" hidden="false" customHeight="false" outlineLevel="0" collapsed="false">
      <c r="DB2031" s="0" t="str">
        <f aca="false">IF($A2031="","",IF(AND($A2031=21,$AE2031&amp;""="00000000"),IF($AH2031=20,"病院",IF($AH2031=5,"消防","市長")),"対象外"))</f>
        <v/>
      </c>
    </row>
    <row r="2032" customFormat="false" ht="15" hidden="false" customHeight="false" outlineLevel="0" collapsed="false">
      <c r="DB2032" s="0" t="str">
        <f aca="false">IF($A2032="","",IF(AND($A2032=21,$AE2032&amp;""="00000000"),IF($AH2032=20,"病院",IF($AH2032=5,"消防","市長")),"対象外"))</f>
        <v/>
      </c>
    </row>
    <row r="2033" customFormat="false" ht="15" hidden="false" customHeight="false" outlineLevel="0" collapsed="false">
      <c r="DB2033" s="0" t="str">
        <f aca="false">IF($A2033="","",IF(AND($A2033=21,$AE2033&amp;""="00000000"),IF($AH2033=20,"病院",IF($AH2033=5,"消防","市長")),"対象外"))</f>
        <v/>
      </c>
    </row>
    <row r="2034" customFormat="false" ht="15" hidden="false" customHeight="false" outlineLevel="0" collapsed="false">
      <c r="DB2034" s="0" t="str">
        <f aca="false">IF($A2034="","",IF(AND($A2034=21,$AE2034&amp;""="00000000"),IF($AH2034=20,"病院",IF($AH2034=5,"消防","市長")),"対象外"))</f>
        <v/>
      </c>
    </row>
    <row r="2035" customFormat="false" ht="15" hidden="false" customHeight="false" outlineLevel="0" collapsed="false">
      <c r="DB2035" s="0" t="str">
        <f aca="false">IF($A2035="","",IF(AND($A2035=21,$AE2035&amp;""="00000000"),IF($AH2035=20,"病院",IF($AH2035=5,"消防","市長")),"対象外"))</f>
        <v/>
      </c>
    </row>
    <row r="2036" customFormat="false" ht="15" hidden="false" customHeight="false" outlineLevel="0" collapsed="false">
      <c r="DB2036" s="0" t="str">
        <f aca="false">IF($A2036="","",IF(AND($A2036=21,$AE2036&amp;""="00000000"),IF($AH2036=20,"病院",IF($AH2036=5,"消防","市長")),"対象外"))</f>
        <v/>
      </c>
    </row>
    <row r="2037" customFormat="false" ht="15" hidden="false" customHeight="false" outlineLevel="0" collapsed="false">
      <c r="DB2037" s="0" t="str">
        <f aca="false">IF($A2037="","",IF(AND($A2037=21,$AE2037&amp;""="00000000"),IF($AH2037=20,"病院",IF($AH2037=5,"消防","市長")),"対象外"))</f>
        <v/>
      </c>
    </row>
    <row r="2038" customFormat="false" ht="15" hidden="false" customHeight="false" outlineLevel="0" collapsed="false">
      <c r="DB2038" s="0" t="str">
        <f aca="false">IF($A2038="","",IF(AND($A2038=21,$AE2038&amp;""="00000000"),IF($AH2038=20,"病院",IF($AH2038=5,"消防","市長")),"対象外"))</f>
        <v/>
      </c>
    </row>
    <row r="2039" customFormat="false" ht="15" hidden="false" customHeight="false" outlineLevel="0" collapsed="false">
      <c r="DB2039" s="0" t="str">
        <f aca="false">IF($A2039="","",IF(AND($A2039=21,$AE2039&amp;""="00000000"),IF($AH2039=20,"病院",IF($AH2039=5,"消防","市長")),"対象外"))</f>
        <v/>
      </c>
    </row>
    <row r="2040" customFormat="false" ht="15" hidden="false" customHeight="false" outlineLevel="0" collapsed="false">
      <c r="DB2040" s="0" t="str">
        <f aca="false">IF($A2040="","",IF(AND($A2040=21,$AE2040&amp;""="00000000"),IF($AH2040=20,"病院",IF($AH2040=5,"消防","市長")),"対象外"))</f>
        <v/>
      </c>
    </row>
    <row r="2041" customFormat="false" ht="15" hidden="false" customHeight="false" outlineLevel="0" collapsed="false">
      <c r="DB2041" s="0" t="str">
        <f aca="false">IF($A2041="","",IF(AND($A2041=21,$AE2041&amp;""="00000000"),IF($AH2041=20,"病院",IF($AH2041=5,"消防","市長")),"対象外"))</f>
        <v/>
      </c>
    </row>
    <row r="2042" customFormat="false" ht="15" hidden="false" customHeight="false" outlineLevel="0" collapsed="false">
      <c r="DB2042" s="0" t="str">
        <f aca="false">IF($A2042="","",IF(AND($A2042=21,$AE2042&amp;""="00000000"),IF($AH2042=20,"病院",IF($AH2042=5,"消防","市長")),"対象外"))</f>
        <v/>
      </c>
    </row>
    <row r="2043" customFormat="false" ht="15" hidden="false" customHeight="false" outlineLevel="0" collapsed="false">
      <c r="DB2043" s="0" t="str">
        <f aca="false">IF($A2043="","",IF(AND($A2043=21,$AE2043&amp;""="00000000"),IF($AH2043=20,"病院",IF($AH2043=5,"消防","市長")),"対象外"))</f>
        <v/>
      </c>
    </row>
    <row r="2044" customFormat="false" ht="15" hidden="false" customHeight="false" outlineLevel="0" collapsed="false">
      <c r="DB2044" s="0" t="str">
        <f aca="false">IF($A2044="","",IF(AND($A2044=21,$AE2044&amp;""="00000000"),IF($AH2044=20,"病院",IF($AH2044=5,"消防","市長")),"対象外"))</f>
        <v/>
      </c>
    </row>
    <row r="2045" customFormat="false" ht="15" hidden="false" customHeight="false" outlineLevel="0" collapsed="false">
      <c r="DB2045" s="0" t="str">
        <f aca="false">IF($A2045="","",IF(AND($A2045=21,$AE2045&amp;""="00000000"),IF($AH2045=20,"病院",IF($AH2045=5,"消防","市長")),"対象外"))</f>
        <v/>
      </c>
    </row>
    <row r="2046" customFormat="false" ht="15" hidden="false" customHeight="false" outlineLevel="0" collapsed="false">
      <c r="DB2046" s="0" t="str">
        <f aca="false">IF($A2046="","",IF(AND($A2046=21,$AE2046&amp;""="00000000"),IF($AH2046=20,"病院",IF($AH2046=5,"消防","市長")),"対象外"))</f>
        <v/>
      </c>
    </row>
    <row r="2047" customFormat="false" ht="15" hidden="false" customHeight="false" outlineLevel="0" collapsed="false">
      <c r="DB2047" s="0" t="str">
        <f aca="false">IF($A2047="","",IF(AND($A2047=21,$AE2047&amp;""="00000000"),IF($AH2047=20,"病院",IF($AH2047=5,"消防","市長")),"対象外"))</f>
        <v/>
      </c>
    </row>
    <row r="2048" customFormat="false" ht="15" hidden="false" customHeight="false" outlineLevel="0" collapsed="false">
      <c r="DB2048" s="0" t="str">
        <f aca="false">IF($A2048="","",IF(AND($A2048=21,$AE2048&amp;""="00000000"),IF($AH2048=20,"病院",IF($AH2048=5,"消防","市長")),"対象外"))</f>
        <v/>
      </c>
    </row>
    <row r="2049" customFormat="false" ht="15" hidden="false" customHeight="false" outlineLevel="0" collapsed="false">
      <c r="DB2049" s="0" t="str">
        <f aca="false">IF($A2049="","",IF(AND($A2049=21,$AE2049&amp;""="00000000"),IF($AH2049=20,"病院",IF($AH2049=5,"消防","市長")),"対象外"))</f>
        <v/>
      </c>
    </row>
    <row r="2050" customFormat="false" ht="15" hidden="false" customHeight="false" outlineLevel="0" collapsed="false">
      <c r="DB2050" s="0" t="str">
        <f aca="false">IF($A2050="","",IF(AND($A2050=21,$AE2050&amp;""="00000000"),IF($AH2050=20,"病院",IF($AH2050=5,"消防","市長")),"対象外"))</f>
        <v/>
      </c>
    </row>
    <row r="2051" customFormat="false" ht="15" hidden="false" customHeight="false" outlineLevel="0" collapsed="false">
      <c r="DB2051" s="0" t="str">
        <f aca="false">IF($A2051="","",IF(AND($A2051=21,$AE2051&amp;""="00000000"),IF($AH2051=20,"病院",IF($AH2051=5,"消防","市長")),"対象外"))</f>
        <v/>
      </c>
    </row>
    <row r="2052" customFormat="false" ht="15" hidden="false" customHeight="false" outlineLevel="0" collapsed="false">
      <c r="DB2052" s="0" t="str">
        <f aca="false">IF($A2052="","",IF(AND($A2052=21,$AE2052&amp;""="00000000"),IF($AH2052=20,"病院",IF($AH2052=5,"消防","市長")),"対象外"))</f>
        <v/>
      </c>
    </row>
    <row r="2053" customFormat="false" ht="15" hidden="false" customHeight="false" outlineLevel="0" collapsed="false">
      <c r="DB2053" s="0" t="str">
        <f aca="false">IF($A2053="","",IF(AND($A2053=21,$AE2053&amp;""="00000000"),IF($AH2053=20,"病院",IF($AH2053=5,"消防","市長")),"対象外"))</f>
        <v/>
      </c>
    </row>
    <row r="2054" customFormat="false" ht="15" hidden="false" customHeight="false" outlineLevel="0" collapsed="false">
      <c r="DB2054" s="0" t="str">
        <f aca="false">IF($A2054="","",IF(AND($A2054=21,$AE2054&amp;""="00000000"),IF($AH2054=20,"病院",IF($AH2054=5,"消防","市長")),"対象外"))</f>
        <v/>
      </c>
    </row>
    <row r="2055" customFormat="false" ht="15" hidden="false" customHeight="false" outlineLevel="0" collapsed="false">
      <c r="DB2055" s="0" t="str">
        <f aca="false">IF($A2055="","",IF(AND($A2055=21,$AE2055&amp;""="00000000"),IF($AH2055=20,"病院",IF($AH2055=5,"消防","市長")),"対象外"))</f>
        <v/>
      </c>
    </row>
    <row r="2056" customFormat="false" ht="15" hidden="false" customHeight="false" outlineLevel="0" collapsed="false">
      <c r="DB2056" s="0" t="str">
        <f aca="false">IF($A2056="","",IF(AND($A2056=21,$AE2056&amp;""="00000000"),IF($AH2056=20,"病院",IF($AH2056=5,"消防","市長")),"対象外"))</f>
        <v/>
      </c>
    </row>
    <row r="2057" customFormat="false" ht="15" hidden="false" customHeight="false" outlineLevel="0" collapsed="false">
      <c r="DB2057" s="0" t="str">
        <f aca="false">IF($A2057="","",IF(AND($A2057=21,$AE2057&amp;""="00000000"),IF($AH2057=20,"病院",IF($AH2057=5,"消防","市長")),"対象外"))</f>
        <v/>
      </c>
    </row>
    <row r="2058" customFormat="false" ht="15" hidden="false" customHeight="false" outlineLevel="0" collapsed="false">
      <c r="DB2058" s="0" t="str">
        <f aca="false">IF($A2058="","",IF(AND($A2058=21,$AE2058&amp;""="00000000"),IF($AH2058=20,"病院",IF($AH2058=5,"消防","市長")),"対象外"))</f>
        <v/>
      </c>
    </row>
    <row r="2059" customFormat="false" ht="15" hidden="false" customHeight="false" outlineLevel="0" collapsed="false">
      <c r="DB2059" s="0" t="str">
        <f aca="false">IF($A2059="","",IF(AND($A2059=21,$AE2059&amp;""="00000000"),IF($AH2059=20,"病院",IF($AH2059=5,"消防","市長")),"対象外"))</f>
        <v/>
      </c>
    </row>
    <row r="2060" customFormat="false" ht="15" hidden="false" customHeight="false" outlineLevel="0" collapsed="false">
      <c r="DB2060" s="0" t="str">
        <f aca="false">IF($A2060="","",IF(AND($A2060=21,$AE2060&amp;""="00000000"),IF($AH2060=20,"病院",IF($AH2060=5,"消防","市長")),"対象外"))</f>
        <v/>
      </c>
    </row>
    <row r="2061" customFormat="false" ht="15" hidden="false" customHeight="false" outlineLevel="0" collapsed="false">
      <c r="DB2061" s="0" t="str">
        <f aca="false">IF($A2061="","",IF(AND($A2061=21,$AE2061&amp;""="00000000"),IF($AH2061=20,"病院",IF($AH2061=5,"消防","市長")),"対象外"))</f>
        <v/>
      </c>
    </row>
    <row r="2062" customFormat="false" ht="15" hidden="false" customHeight="false" outlineLevel="0" collapsed="false">
      <c r="DB2062" s="0" t="str">
        <f aca="false">IF($A2062="","",IF(AND($A2062=21,$AE2062&amp;""="00000000"),IF($AH2062=20,"病院",IF($AH2062=5,"消防","市長")),"対象外"))</f>
        <v/>
      </c>
    </row>
    <row r="2063" customFormat="false" ht="15" hidden="false" customHeight="false" outlineLevel="0" collapsed="false">
      <c r="DB2063" s="0" t="str">
        <f aca="false">IF($A2063="","",IF(AND($A2063=21,$AE2063&amp;""="00000000"),IF($AH2063=20,"病院",IF($AH2063=5,"消防","市長")),"対象外"))</f>
        <v/>
      </c>
    </row>
    <row r="2064" customFormat="false" ht="15" hidden="false" customHeight="false" outlineLevel="0" collapsed="false">
      <c r="DB2064" s="0" t="str">
        <f aca="false">IF($A2064="","",IF(AND($A2064=21,$AE2064&amp;""="00000000"),IF($AH2064=20,"病院",IF($AH2064=5,"消防","市長")),"対象外"))</f>
        <v/>
      </c>
    </row>
    <row r="2065" customFormat="false" ht="15" hidden="false" customHeight="false" outlineLevel="0" collapsed="false">
      <c r="DB2065" s="0" t="str">
        <f aca="false">IF($A2065="","",IF(AND($A2065=21,$AE2065&amp;""="00000000"),IF($AH2065=20,"病院",IF($AH2065=5,"消防","市長")),"対象外"))</f>
        <v/>
      </c>
    </row>
    <row r="2066" customFormat="false" ht="15" hidden="false" customHeight="false" outlineLevel="0" collapsed="false">
      <c r="DB2066" s="0" t="str">
        <f aca="false">IF($A2066="","",IF(AND($A2066=21,$AE2066&amp;""="00000000"),IF($AH2066=20,"病院",IF($AH2066=5,"消防","市長")),"対象外"))</f>
        <v/>
      </c>
    </row>
    <row r="2067" customFormat="false" ht="15" hidden="false" customHeight="false" outlineLevel="0" collapsed="false">
      <c r="DB2067" s="0" t="str">
        <f aca="false">IF($A2067="","",IF(AND($A2067=21,$AE2067&amp;""="00000000"),IF($AH2067=20,"病院",IF($AH2067=5,"消防","市長")),"対象外"))</f>
        <v/>
      </c>
    </row>
    <row r="2068" customFormat="false" ht="15" hidden="false" customHeight="false" outlineLevel="0" collapsed="false">
      <c r="DB2068" s="0" t="str">
        <f aca="false">IF($A2068="","",IF(AND($A2068=21,$AE2068&amp;""="00000000"),IF($AH2068=20,"病院",IF($AH2068=5,"消防","市長")),"対象外"))</f>
        <v/>
      </c>
    </row>
    <row r="2069" customFormat="false" ht="15" hidden="false" customHeight="false" outlineLevel="0" collapsed="false">
      <c r="DB2069" s="0" t="str">
        <f aca="false">IF($A2069="","",IF(AND($A2069=21,$AE2069&amp;""="00000000"),IF($AH2069=20,"病院",IF($AH2069=5,"消防","市長")),"対象外"))</f>
        <v/>
      </c>
    </row>
    <row r="2070" customFormat="false" ht="15" hidden="false" customHeight="false" outlineLevel="0" collapsed="false">
      <c r="DB2070" s="0" t="str">
        <f aca="false">IF($A2070="","",IF(AND($A2070=21,$AE2070&amp;""="00000000"),IF($AH2070=20,"病院",IF($AH2070=5,"消防","市長")),"対象外"))</f>
        <v/>
      </c>
    </row>
    <row r="2071" customFormat="false" ht="15" hidden="false" customHeight="false" outlineLevel="0" collapsed="false">
      <c r="DB2071" s="0" t="str">
        <f aca="false">IF($A2071="","",IF(AND($A2071=21,$AE2071&amp;""="00000000"),IF($AH2071=20,"病院",IF($AH2071=5,"消防","市長")),"対象外"))</f>
        <v/>
      </c>
    </row>
    <row r="2072" customFormat="false" ht="15" hidden="false" customHeight="false" outlineLevel="0" collapsed="false">
      <c r="DB2072" s="0" t="str">
        <f aca="false">IF($A2072="","",IF(AND($A2072=21,$AE2072&amp;""="00000000"),IF($AH2072=20,"病院",IF($AH2072=5,"消防","市長")),"対象外"))</f>
        <v/>
      </c>
    </row>
    <row r="2073" customFormat="false" ht="15" hidden="false" customHeight="false" outlineLevel="0" collapsed="false">
      <c r="DB2073" s="0" t="str">
        <f aca="false">IF($A2073="","",IF(AND($A2073=21,$AE2073&amp;""="00000000"),IF($AH2073=20,"病院",IF($AH2073=5,"消防","市長")),"対象外"))</f>
        <v/>
      </c>
    </row>
    <row r="2074" customFormat="false" ht="15" hidden="false" customHeight="false" outlineLevel="0" collapsed="false">
      <c r="DB2074" s="0" t="str">
        <f aca="false">IF($A2074="","",IF(AND($A2074=21,$AE2074&amp;""="00000000"),IF($AH2074=20,"病院",IF($AH2074=5,"消防","市長")),"対象外"))</f>
        <v/>
      </c>
    </row>
    <row r="2075" customFormat="false" ht="15" hidden="false" customHeight="false" outlineLevel="0" collapsed="false">
      <c r="DB2075" s="0" t="str">
        <f aca="false">IF($A2075="","",IF(AND($A2075=21,$AE2075&amp;""="00000000"),IF($AH2075=20,"病院",IF($AH2075=5,"消防","市長")),"対象外"))</f>
        <v/>
      </c>
    </row>
    <row r="2076" customFormat="false" ht="15" hidden="false" customHeight="false" outlineLevel="0" collapsed="false">
      <c r="DB2076" s="0" t="str">
        <f aca="false">IF($A2076="","",IF(AND($A2076=21,$AE2076&amp;""="00000000"),IF($AH2076=20,"病院",IF($AH2076=5,"消防","市長")),"対象外"))</f>
        <v/>
      </c>
    </row>
    <row r="2077" customFormat="false" ht="15" hidden="false" customHeight="false" outlineLevel="0" collapsed="false">
      <c r="DB2077" s="0" t="str">
        <f aca="false">IF($A2077="","",IF(AND($A2077=21,$AE2077&amp;""="00000000"),IF($AH2077=20,"病院",IF($AH2077=5,"消防","市長")),"対象外"))</f>
        <v/>
      </c>
    </row>
    <row r="2078" customFormat="false" ht="15" hidden="false" customHeight="false" outlineLevel="0" collapsed="false">
      <c r="DB2078" s="0" t="str">
        <f aca="false">IF($A2078="","",IF(AND($A2078=21,$AE2078&amp;""="00000000"),IF($AH2078=20,"病院",IF($AH2078=5,"消防","市長")),"対象外"))</f>
        <v/>
      </c>
    </row>
    <row r="2079" customFormat="false" ht="15" hidden="false" customHeight="false" outlineLevel="0" collapsed="false">
      <c r="DB2079" s="0" t="str">
        <f aca="false">IF($A2079="","",IF(AND($A2079=21,$AE2079&amp;""="00000000"),IF($AH2079=20,"病院",IF($AH2079=5,"消防","市長")),"対象外"))</f>
        <v/>
      </c>
    </row>
    <row r="2080" customFormat="false" ht="15" hidden="false" customHeight="false" outlineLevel="0" collapsed="false">
      <c r="DB2080" s="0" t="str">
        <f aca="false">IF($A2080="","",IF(AND($A2080=21,$AE2080&amp;""="00000000"),IF($AH2080=20,"病院",IF($AH2080=5,"消防","市長")),"対象外"))</f>
        <v/>
      </c>
    </row>
    <row r="2081" customFormat="false" ht="15" hidden="false" customHeight="false" outlineLevel="0" collapsed="false">
      <c r="DB2081" s="0" t="str">
        <f aca="false">IF($A2081="","",IF(AND($A2081=21,$AE2081&amp;""="00000000"),IF($AH2081=20,"病院",IF($AH2081=5,"消防","市長")),"対象外"))</f>
        <v/>
      </c>
    </row>
    <row r="2082" customFormat="false" ht="15" hidden="false" customHeight="false" outlineLevel="0" collapsed="false">
      <c r="DB2082" s="0" t="str">
        <f aca="false">IF($A2082="","",IF(AND($A2082=21,$AE2082&amp;""="00000000"),IF($AH2082=20,"病院",IF($AH2082=5,"消防","市長")),"対象外"))</f>
        <v/>
      </c>
    </row>
    <row r="2083" customFormat="false" ht="15" hidden="false" customHeight="false" outlineLevel="0" collapsed="false">
      <c r="DB2083" s="0" t="str">
        <f aca="false">IF($A2083="","",IF(AND($A2083=21,$AE2083&amp;""="00000000"),IF($AH2083=20,"病院",IF($AH2083=5,"消防","市長")),"対象外"))</f>
        <v/>
      </c>
    </row>
    <row r="2084" customFormat="false" ht="15" hidden="false" customHeight="false" outlineLevel="0" collapsed="false">
      <c r="DB2084" s="0" t="str">
        <f aca="false">IF($A2084="","",IF(AND($A2084=21,$AE2084&amp;""="00000000"),IF($AH2084=20,"病院",IF($AH2084=5,"消防","市長")),"対象外"))</f>
        <v/>
      </c>
    </row>
    <row r="2085" customFormat="false" ht="15" hidden="false" customHeight="false" outlineLevel="0" collapsed="false">
      <c r="DB2085" s="0" t="str">
        <f aca="false">IF($A2085="","",IF(AND($A2085=21,$AE2085&amp;""="00000000"),IF($AH2085=20,"病院",IF($AH2085=5,"消防","市長")),"対象外"))</f>
        <v/>
      </c>
    </row>
    <row r="2086" customFormat="false" ht="15" hidden="false" customHeight="false" outlineLevel="0" collapsed="false">
      <c r="DB2086" s="0" t="str">
        <f aca="false">IF($A2086="","",IF(AND($A2086=21,$AE2086&amp;""="00000000"),IF($AH2086=20,"病院",IF($AH2086=5,"消防","市長")),"対象外"))</f>
        <v/>
      </c>
    </row>
    <row r="2087" customFormat="false" ht="15" hidden="false" customHeight="false" outlineLevel="0" collapsed="false">
      <c r="DB2087" s="0" t="str">
        <f aca="false">IF($A2087="","",IF(AND($A2087=21,$AE2087&amp;""="00000000"),IF($AH2087=20,"病院",IF($AH2087=5,"消防","市長")),"対象外"))</f>
        <v/>
      </c>
    </row>
    <row r="2088" customFormat="false" ht="15" hidden="false" customHeight="false" outlineLevel="0" collapsed="false">
      <c r="DB2088" s="0" t="str">
        <f aca="false">IF($A2088="","",IF(AND($A2088=21,$AE2088&amp;""="00000000"),IF($AH2088=20,"病院",IF($AH2088=5,"消防","市長")),"対象外"))</f>
        <v/>
      </c>
    </row>
    <row r="2089" customFormat="false" ht="15" hidden="false" customHeight="false" outlineLevel="0" collapsed="false">
      <c r="DB2089" s="0" t="str">
        <f aca="false">IF($A2089="","",IF(AND($A2089=21,$AE2089&amp;""="00000000"),IF($AH2089=20,"病院",IF($AH2089=5,"消防","市長")),"対象外"))</f>
        <v/>
      </c>
    </row>
    <row r="2090" customFormat="false" ht="15" hidden="false" customHeight="false" outlineLevel="0" collapsed="false">
      <c r="DB2090" s="0" t="str">
        <f aca="false">IF($A2090="","",IF(AND($A2090=21,$AE2090&amp;""="00000000"),IF($AH2090=20,"病院",IF($AH2090=5,"消防","市長")),"対象外"))</f>
        <v/>
      </c>
    </row>
    <row r="2091" customFormat="false" ht="15" hidden="false" customHeight="false" outlineLevel="0" collapsed="false">
      <c r="DB2091" s="0" t="str">
        <f aca="false">IF($A2091="","",IF(AND($A2091=21,$AE2091&amp;""="00000000"),IF($AH2091=20,"病院",IF($AH2091=5,"消防","市長")),"対象外"))</f>
        <v/>
      </c>
    </row>
    <row r="2092" customFormat="false" ht="15" hidden="false" customHeight="false" outlineLevel="0" collapsed="false">
      <c r="DB2092" s="0" t="str">
        <f aca="false">IF($A2092="","",IF(AND($A2092=21,$AE2092&amp;""="00000000"),IF($AH2092=20,"病院",IF($AH2092=5,"消防","市長")),"対象外"))</f>
        <v/>
      </c>
    </row>
    <row r="2093" customFormat="false" ht="15" hidden="false" customHeight="false" outlineLevel="0" collapsed="false">
      <c r="DB2093" s="0" t="str">
        <f aca="false">IF($A2093="","",IF(AND($A2093=21,$AE2093&amp;""="00000000"),IF($AH2093=20,"病院",IF($AH2093=5,"消防","市長")),"対象外"))</f>
        <v/>
      </c>
    </row>
    <row r="2094" customFormat="false" ht="15" hidden="false" customHeight="false" outlineLevel="0" collapsed="false">
      <c r="DB2094" s="0" t="str">
        <f aca="false">IF($A2094="","",IF(AND($A2094=21,$AE2094&amp;""="00000000"),IF($AH2094=20,"病院",IF($AH2094=5,"消防","市長")),"対象外"))</f>
        <v/>
      </c>
    </row>
    <row r="2095" customFormat="false" ht="15" hidden="false" customHeight="false" outlineLevel="0" collapsed="false">
      <c r="DB2095" s="0" t="str">
        <f aca="false">IF($A2095="","",IF(AND($A2095=21,$AE2095&amp;""="00000000"),IF($AH2095=20,"病院",IF($AH2095=5,"消防","市長")),"対象外"))</f>
        <v/>
      </c>
    </row>
    <row r="2096" customFormat="false" ht="15" hidden="false" customHeight="false" outlineLevel="0" collapsed="false">
      <c r="DB2096" s="0" t="str">
        <f aca="false">IF($A2096="","",IF(AND($A2096=21,$AE2096&amp;""="00000000"),IF($AH2096=20,"病院",IF($AH2096=5,"消防","市長")),"対象外"))</f>
        <v/>
      </c>
    </row>
    <row r="2097" customFormat="false" ht="15" hidden="false" customHeight="false" outlineLevel="0" collapsed="false">
      <c r="DB2097" s="0" t="str">
        <f aca="false">IF($A2097="","",IF(AND($A2097=21,$AE2097&amp;""="00000000"),IF($AH2097=20,"病院",IF($AH2097=5,"消防","市長")),"対象外"))</f>
        <v/>
      </c>
    </row>
    <row r="2098" customFormat="false" ht="15" hidden="false" customHeight="false" outlineLevel="0" collapsed="false">
      <c r="DB2098" s="0" t="str">
        <f aca="false">IF($A2098="","",IF(AND($A2098=21,$AE2098&amp;""="00000000"),IF($AH2098=20,"病院",IF($AH2098=5,"消防","市長")),"対象外"))</f>
        <v/>
      </c>
    </row>
    <row r="2099" customFormat="false" ht="15" hidden="false" customHeight="false" outlineLevel="0" collapsed="false">
      <c r="DB2099" s="0" t="str">
        <f aca="false">IF($A2099="","",IF(AND($A2099=21,$AE2099&amp;""="00000000"),IF($AH2099=20,"病院",IF($AH2099=5,"消防","市長")),"対象外"))</f>
        <v/>
      </c>
    </row>
    <row r="2100" customFormat="false" ht="15" hidden="false" customHeight="false" outlineLevel="0" collapsed="false">
      <c r="DB2100" s="0" t="str">
        <f aca="false">IF($A2100="","",IF(AND($A2100=21,$AE2100&amp;""="00000000"),IF($AH2100=20,"病院",IF($AH2100=5,"消防","市長")),"対象外"))</f>
        <v/>
      </c>
    </row>
    <row r="2101" customFormat="false" ht="15" hidden="false" customHeight="false" outlineLevel="0" collapsed="false">
      <c r="DB2101" s="0" t="str">
        <f aca="false">IF($A2101="","",IF(AND($A2101=21,$AE2101&amp;""="00000000"),IF($AH2101=20,"病院",IF($AH2101=5,"消防","市長")),"対象外"))</f>
        <v/>
      </c>
    </row>
    <row r="2102" customFormat="false" ht="15" hidden="false" customHeight="false" outlineLevel="0" collapsed="false">
      <c r="DB2102" s="0" t="str">
        <f aca="false">IF($A2102="","",IF(AND($A2102=21,$AE2102&amp;""="00000000"),IF($AH2102=20,"病院",IF($AH2102=5,"消防","市長")),"対象外"))</f>
        <v/>
      </c>
    </row>
    <row r="2103" customFormat="false" ht="15" hidden="false" customHeight="false" outlineLevel="0" collapsed="false">
      <c r="DB2103" s="0" t="str">
        <f aca="false">IF($A2103="","",IF(AND($A2103=21,$AE2103&amp;""="00000000"),IF($AH2103=20,"病院",IF($AH2103=5,"消防","市長")),"対象外"))</f>
        <v/>
      </c>
    </row>
    <row r="2104" customFormat="false" ht="15" hidden="false" customHeight="false" outlineLevel="0" collapsed="false">
      <c r="DB2104" s="0" t="str">
        <f aca="false">IF($A2104="","",IF(AND($A2104=21,$AE2104&amp;""="00000000"),IF($AH2104=20,"病院",IF($AH2104=5,"消防","市長")),"対象外"))</f>
        <v/>
      </c>
    </row>
    <row r="2105" customFormat="false" ht="15" hidden="false" customHeight="false" outlineLevel="0" collapsed="false">
      <c r="DB2105" s="0" t="str">
        <f aca="false">IF($A2105="","",IF(AND($A2105=21,$AE2105&amp;""="00000000"),IF($AH2105=20,"病院",IF($AH2105=5,"消防","市長")),"対象外"))</f>
        <v/>
      </c>
    </row>
    <row r="2106" customFormat="false" ht="15" hidden="false" customHeight="false" outlineLevel="0" collapsed="false">
      <c r="DB2106" s="0" t="str">
        <f aca="false">IF($A2106="","",IF(AND($A2106=21,$AE2106&amp;""="00000000"),IF($AH2106=20,"病院",IF($AH2106=5,"消防","市長")),"対象外"))</f>
        <v/>
      </c>
    </row>
    <row r="2107" customFormat="false" ht="15" hidden="false" customHeight="false" outlineLevel="0" collapsed="false">
      <c r="DB2107" s="0" t="str">
        <f aca="false">IF($A2107="","",IF(AND($A2107=21,$AE2107&amp;""="00000000"),IF($AH2107=20,"病院",IF($AH2107=5,"消防","市長")),"対象外"))</f>
        <v/>
      </c>
    </row>
    <row r="2108" customFormat="false" ht="15" hidden="false" customHeight="false" outlineLevel="0" collapsed="false">
      <c r="DB2108" s="0" t="str">
        <f aca="false">IF($A2108="","",IF(AND($A2108=21,$AE2108&amp;""="00000000"),IF($AH2108=20,"病院",IF($AH2108=5,"消防","市長")),"対象外"))</f>
        <v/>
      </c>
    </row>
    <row r="2109" customFormat="false" ht="15" hidden="false" customHeight="false" outlineLevel="0" collapsed="false">
      <c r="DB2109" s="0" t="str">
        <f aca="false">IF($A2109="","",IF(AND($A2109=21,$AE2109&amp;""="00000000"),IF($AH2109=20,"病院",IF($AH2109=5,"消防","市長")),"対象外"))</f>
        <v/>
      </c>
    </row>
    <row r="2110" customFormat="false" ht="15" hidden="false" customHeight="false" outlineLevel="0" collapsed="false">
      <c r="DB2110" s="0" t="str">
        <f aca="false">IF($A2110="","",IF(AND($A2110=21,$AE2110&amp;""="00000000"),IF($AH2110=20,"病院",IF($AH2110=5,"消防","市長")),"対象外"))</f>
        <v/>
      </c>
    </row>
    <row r="2111" customFormat="false" ht="15" hidden="false" customHeight="false" outlineLevel="0" collapsed="false">
      <c r="DB2111" s="0" t="str">
        <f aca="false">IF($A2111="","",IF(AND($A2111=21,$AE2111&amp;""="00000000"),IF($AH2111=20,"病院",IF($AH2111=5,"消防","市長")),"対象外"))</f>
        <v/>
      </c>
    </row>
    <row r="2112" customFormat="false" ht="15" hidden="false" customHeight="false" outlineLevel="0" collapsed="false">
      <c r="DB2112" s="0" t="str">
        <f aca="false">IF($A2112="","",IF(AND($A2112=21,$AE2112&amp;""="00000000"),IF($AH2112=20,"病院",IF($AH2112=5,"消防","市長")),"対象外"))</f>
        <v/>
      </c>
    </row>
    <row r="2113" customFormat="false" ht="15" hidden="false" customHeight="false" outlineLevel="0" collapsed="false">
      <c r="DB2113" s="0" t="str">
        <f aca="false">IF($A2113="","",IF(AND($A2113=21,$AE2113&amp;""="00000000"),IF($AH2113=20,"病院",IF($AH2113=5,"消防","市長")),"対象外"))</f>
        <v/>
      </c>
    </row>
    <row r="2114" customFormat="false" ht="15" hidden="false" customHeight="false" outlineLevel="0" collapsed="false">
      <c r="DB2114" s="0" t="str">
        <f aca="false">IF($A2114="","",IF(AND($A2114=21,$AE2114&amp;""="00000000"),IF($AH2114=20,"病院",IF($AH2114=5,"消防","市長")),"対象外"))</f>
        <v/>
      </c>
    </row>
    <row r="2115" customFormat="false" ht="15" hidden="false" customHeight="false" outlineLevel="0" collapsed="false">
      <c r="DB2115" s="0" t="str">
        <f aca="false">IF($A2115="","",IF(AND($A2115=21,$AE2115&amp;""="00000000"),IF($AH2115=20,"病院",IF($AH2115=5,"消防","市長")),"対象外"))</f>
        <v/>
      </c>
    </row>
    <row r="2116" customFormat="false" ht="15" hidden="false" customHeight="false" outlineLevel="0" collapsed="false">
      <c r="DB2116" s="0" t="str">
        <f aca="false">IF($A2116="","",IF(AND($A2116=21,$AE2116&amp;""="00000000"),IF($AH2116=20,"病院",IF($AH2116=5,"消防","市長")),"対象外"))</f>
        <v/>
      </c>
    </row>
    <row r="2117" customFormat="false" ht="15" hidden="false" customHeight="false" outlineLevel="0" collapsed="false">
      <c r="DB2117" s="0" t="str">
        <f aca="false">IF($A2117="","",IF(AND($A2117=21,$AE2117&amp;""="00000000"),IF($AH2117=20,"病院",IF($AH2117=5,"消防","市長")),"対象外"))</f>
        <v/>
      </c>
    </row>
    <row r="2118" customFormat="false" ht="15" hidden="false" customHeight="false" outlineLevel="0" collapsed="false">
      <c r="DB2118" s="0" t="str">
        <f aca="false">IF($A2118="","",IF(AND($A2118=21,$AE2118&amp;""="00000000"),IF($AH2118=20,"病院",IF($AH2118=5,"消防","市長")),"対象外"))</f>
        <v/>
      </c>
    </row>
    <row r="2119" customFormat="false" ht="15" hidden="false" customHeight="false" outlineLevel="0" collapsed="false">
      <c r="DB2119" s="0" t="str">
        <f aca="false">IF($A2119="","",IF(AND($A2119=21,$AE2119&amp;""="00000000"),IF($AH2119=20,"病院",IF($AH2119=5,"消防","市長")),"対象外"))</f>
        <v/>
      </c>
    </row>
    <row r="2120" customFormat="false" ht="15" hidden="false" customHeight="false" outlineLevel="0" collapsed="false">
      <c r="DB2120" s="0" t="str">
        <f aca="false">IF($A2120="","",IF(AND($A2120=21,$AE2120&amp;""="00000000"),IF($AH2120=20,"病院",IF($AH2120=5,"消防","市長")),"対象外"))</f>
        <v/>
      </c>
    </row>
    <row r="2121" customFormat="false" ht="15" hidden="false" customHeight="false" outlineLevel="0" collapsed="false">
      <c r="DB2121" s="0" t="str">
        <f aca="false">IF($A2121="","",IF(AND($A2121=21,$AE2121&amp;""="00000000"),IF($AH2121=20,"病院",IF($AH2121=5,"消防","市長")),"対象外"))</f>
        <v/>
      </c>
    </row>
    <row r="2122" customFormat="false" ht="15" hidden="false" customHeight="false" outlineLevel="0" collapsed="false">
      <c r="DB2122" s="0" t="str">
        <f aca="false">IF($A2122="","",IF(AND($A2122=21,$AE2122&amp;""="00000000"),IF($AH2122=20,"病院",IF($AH2122=5,"消防","市長")),"対象外"))</f>
        <v/>
      </c>
    </row>
    <row r="2123" customFormat="false" ht="15" hidden="false" customHeight="false" outlineLevel="0" collapsed="false">
      <c r="DB2123" s="0" t="str">
        <f aca="false">IF($A2123="","",IF(AND($A2123=21,$AE2123&amp;""="00000000"),IF($AH2123=20,"病院",IF($AH2123=5,"消防","市長")),"対象外"))</f>
        <v/>
      </c>
    </row>
    <row r="2124" customFormat="false" ht="15" hidden="false" customHeight="false" outlineLevel="0" collapsed="false">
      <c r="DB2124" s="0" t="str">
        <f aca="false">IF($A2124="","",IF(AND($A2124=21,$AE2124&amp;""="00000000"),IF($AH2124=20,"病院",IF($AH2124=5,"消防","市長")),"対象外"))</f>
        <v/>
      </c>
    </row>
    <row r="2125" customFormat="false" ht="15" hidden="false" customHeight="false" outlineLevel="0" collapsed="false">
      <c r="DB2125" s="0" t="str">
        <f aca="false">IF($A2125="","",IF(AND($A2125=21,$AE2125&amp;""="00000000"),IF($AH2125=20,"病院",IF($AH2125=5,"消防","市長")),"対象外"))</f>
        <v/>
      </c>
    </row>
    <row r="2126" customFormat="false" ht="15" hidden="false" customHeight="false" outlineLevel="0" collapsed="false">
      <c r="DB2126" s="0" t="str">
        <f aca="false">IF($A2126="","",IF(AND($A2126=21,$AE2126&amp;""="00000000"),IF($AH2126=20,"病院",IF($AH2126=5,"消防","市長")),"対象外"))</f>
        <v/>
      </c>
    </row>
    <row r="2127" customFormat="false" ht="15" hidden="false" customHeight="false" outlineLevel="0" collapsed="false">
      <c r="DB2127" s="0" t="str">
        <f aca="false">IF($A2127="","",IF(AND($A2127=21,$AE2127&amp;""="00000000"),IF($AH2127=20,"病院",IF($AH2127=5,"消防","市長")),"対象外"))</f>
        <v/>
      </c>
    </row>
    <row r="2128" customFormat="false" ht="15" hidden="false" customHeight="false" outlineLevel="0" collapsed="false">
      <c r="DB2128" s="0" t="str">
        <f aca="false">IF($A2128="","",IF(AND($A2128=21,$AE2128&amp;""="00000000"),IF($AH2128=20,"病院",IF($AH2128=5,"消防","市長")),"対象外"))</f>
        <v/>
      </c>
    </row>
    <row r="2129" customFormat="false" ht="15" hidden="false" customHeight="false" outlineLevel="0" collapsed="false">
      <c r="DB2129" s="0" t="str">
        <f aca="false">IF($A2129="","",IF(AND($A2129=21,$AE2129&amp;""="00000000"),IF($AH2129=20,"病院",IF($AH2129=5,"消防","市長")),"対象外"))</f>
        <v/>
      </c>
    </row>
    <row r="2130" customFormat="false" ht="15" hidden="false" customHeight="false" outlineLevel="0" collapsed="false">
      <c r="DB2130" s="0" t="str">
        <f aca="false">IF($A2130="","",IF(AND($A2130=21,$AE2130&amp;""="00000000"),IF($AH2130=20,"病院",IF($AH2130=5,"消防","市長")),"対象外"))</f>
        <v/>
      </c>
    </row>
    <row r="2131" customFormat="false" ht="15" hidden="false" customHeight="false" outlineLevel="0" collapsed="false">
      <c r="DB2131" s="0" t="str">
        <f aca="false">IF($A2131="","",IF(AND($A2131=21,$AE2131&amp;""="00000000"),IF($AH2131=20,"病院",IF($AH2131=5,"消防","市長")),"対象外"))</f>
        <v/>
      </c>
    </row>
    <row r="2132" customFormat="false" ht="15" hidden="false" customHeight="false" outlineLevel="0" collapsed="false">
      <c r="DB2132" s="0" t="str">
        <f aca="false">IF($A2132="","",IF(AND($A2132=21,$AE2132&amp;""="00000000"),IF($AH2132=20,"病院",IF($AH2132=5,"消防","市長")),"対象外"))</f>
        <v/>
      </c>
    </row>
    <row r="2133" customFormat="false" ht="15" hidden="false" customHeight="false" outlineLevel="0" collapsed="false">
      <c r="DB2133" s="0" t="str">
        <f aca="false">IF($A2133="","",IF(AND($A2133=21,$AE2133&amp;""="00000000"),IF($AH2133=20,"病院",IF($AH2133=5,"消防","市長")),"対象外"))</f>
        <v/>
      </c>
    </row>
    <row r="2134" customFormat="false" ht="15" hidden="false" customHeight="false" outlineLevel="0" collapsed="false">
      <c r="DB2134" s="0" t="str">
        <f aca="false">IF($A2134="","",IF(AND($A2134=21,$AE2134&amp;""="00000000"),IF($AH2134=20,"病院",IF($AH2134=5,"消防","市長")),"対象外"))</f>
        <v/>
      </c>
    </row>
    <row r="2135" customFormat="false" ht="15" hidden="false" customHeight="false" outlineLevel="0" collapsed="false">
      <c r="DB2135" s="0" t="str">
        <f aca="false">IF($A2135="","",IF(AND($A2135=21,$AE2135&amp;""="00000000"),IF($AH2135=20,"病院",IF($AH2135=5,"消防","市長")),"対象外"))</f>
        <v/>
      </c>
    </row>
    <row r="2136" customFormat="false" ht="15" hidden="false" customHeight="false" outlineLevel="0" collapsed="false">
      <c r="DB2136" s="0" t="str">
        <f aca="false">IF($A2136="","",IF(AND($A2136=21,$AE2136&amp;""="00000000"),IF($AH2136=20,"病院",IF($AH2136=5,"消防","市長")),"対象外"))</f>
        <v/>
      </c>
    </row>
    <row r="2137" customFormat="false" ht="15" hidden="false" customHeight="false" outlineLevel="0" collapsed="false">
      <c r="DB2137" s="0" t="str">
        <f aca="false">IF($A2137="","",IF(AND($A2137=21,$AE2137&amp;""="00000000"),IF($AH2137=20,"病院",IF($AH2137=5,"消防","市長")),"対象外"))</f>
        <v/>
      </c>
    </row>
    <row r="2138" customFormat="false" ht="15" hidden="false" customHeight="false" outlineLevel="0" collapsed="false">
      <c r="DB2138" s="0" t="str">
        <f aca="false">IF($A2138="","",IF(AND($A2138=21,$AE2138&amp;""="00000000"),IF($AH2138=20,"病院",IF($AH2138=5,"消防","市長")),"対象外"))</f>
        <v/>
      </c>
    </row>
    <row r="2139" customFormat="false" ht="15" hidden="false" customHeight="false" outlineLevel="0" collapsed="false">
      <c r="DB2139" s="0" t="str">
        <f aca="false">IF($A2139="","",IF(AND($A2139=21,$AE2139&amp;""="00000000"),IF($AH2139=20,"病院",IF($AH2139=5,"消防","市長")),"対象外"))</f>
        <v/>
      </c>
    </row>
    <row r="2140" customFormat="false" ht="15" hidden="false" customHeight="false" outlineLevel="0" collapsed="false">
      <c r="DB2140" s="0" t="str">
        <f aca="false">IF($A2140="","",IF(AND($A2140=21,$AE2140&amp;""="00000000"),IF($AH2140=20,"病院",IF($AH2140=5,"消防","市長")),"対象外"))</f>
        <v/>
      </c>
    </row>
    <row r="2141" customFormat="false" ht="15" hidden="false" customHeight="false" outlineLevel="0" collapsed="false">
      <c r="DB2141" s="0" t="str">
        <f aca="false">IF($A2141="","",IF(AND($A2141=21,$AE2141&amp;""="00000000"),IF($AH2141=20,"病院",IF($AH2141=5,"消防","市長")),"対象外"))</f>
        <v/>
      </c>
    </row>
    <row r="2142" customFormat="false" ht="15" hidden="false" customHeight="false" outlineLevel="0" collapsed="false">
      <c r="DB2142" s="0" t="str">
        <f aca="false">IF($A2142="","",IF(AND($A2142=21,$AE2142&amp;""="00000000"),IF($AH2142=20,"病院",IF($AH2142=5,"消防","市長")),"対象外"))</f>
        <v/>
      </c>
    </row>
    <row r="2143" customFormat="false" ht="15" hidden="false" customHeight="false" outlineLevel="0" collapsed="false">
      <c r="DB2143" s="0" t="str">
        <f aca="false">IF($A2143="","",IF(AND($A2143=21,$AE2143&amp;""="00000000"),IF($AH2143=20,"病院",IF($AH2143=5,"消防","市長")),"対象外"))</f>
        <v/>
      </c>
    </row>
    <row r="2144" customFormat="false" ht="15" hidden="false" customHeight="false" outlineLevel="0" collapsed="false">
      <c r="DB2144" s="0" t="str">
        <f aca="false">IF($A2144="","",IF(AND($A2144=21,$AE2144&amp;""="00000000"),IF($AH2144=20,"病院",IF($AH2144=5,"消防","市長")),"対象外"))</f>
        <v/>
      </c>
    </row>
    <row r="2145" customFormat="false" ht="15" hidden="false" customHeight="false" outlineLevel="0" collapsed="false">
      <c r="DB2145" s="0" t="str">
        <f aca="false">IF($A2145="","",IF(AND($A2145=21,$AE2145&amp;""="00000000"),IF($AH2145=20,"病院",IF($AH2145=5,"消防","市長")),"対象外"))</f>
        <v/>
      </c>
    </row>
    <row r="2146" customFormat="false" ht="15" hidden="false" customHeight="false" outlineLevel="0" collapsed="false">
      <c r="DB2146" s="0" t="str">
        <f aca="false">IF($A2146="","",IF(AND($A2146=21,$AE2146&amp;""="00000000"),IF($AH2146=20,"病院",IF($AH2146=5,"消防","市長")),"対象外"))</f>
        <v/>
      </c>
    </row>
    <row r="2147" customFormat="false" ht="15" hidden="false" customHeight="false" outlineLevel="0" collapsed="false">
      <c r="DB2147" s="0" t="str">
        <f aca="false">IF($A2147="","",IF(AND($A2147=21,$AE2147&amp;""="00000000"),IF($AH2147=20,"病院",IF($AH2147=5,"消防","市長")),"対象外"))</f>
        <v/>
      </c>
    </row>
    <row r="2148" customFormat="false" ht="15" hidden="false" customHeight="false" outlineLevel="0" collapsed="false">
      <c r="DB2148" s="0" t="str">
        <f aca="false">IF($A2148="","",IF(AND($A2148=21,$AE2148&amp;""="00000000"),IF($AH2148=20,"病院",IF($AH2148=5,"消防","市長")),"対象外"))</f>
        <v/>
      </c>
    </row>
    <row r="2149" customFormat="false" ht="15" hidden="false" customHeight="false" outlineLevel="0" collapsed="false">
      <c r="DB2149" s="0" t="str">
        <f aca="false">IF($A2149="","",IF(AND($A2149=21,$AE2149&amp;""="00000000"),IF($AH2149=20,"病院",IF($AH2149=5,"消防","市長")),"対象外"))</f>
        <v/>
      </c>
    </row>
    <row r="2150" customFormat="false" ht="15" hidden="false" customHeight="false" outlineLevel="0" collapsed="false">
      <c r="DB2150" s="0" t="str">
        <f aca="false">IF($A2150="","",IF(AND($A2150=21,$AE2150&amp;""="00000000"),IF($AH2150=20,"病院",IF($AH2150=5,"消防","市長")),"対象外"))</f>
        <v/>
      </c>
    </row>
    <row r="2151" customFormat="false" ht="15" hidden="false" customHeight="false" outlineLevel="0" collapsed="false">
      <c r="DB2151" s="0" t="str">
        <f aca="false">IF($A2151="","",IF(AND($A2151=21,$AE2151&amp;""="00000000"),IF($AH2151=20,"病院",IF($AH2151=5,"消防","市長")),"対象外"))</f>
        <v/>
      </c>
    </row>
    <row r="2152" customFormat="false" ht="15" hidden="false" customHeight="false" outlineLevel="0" collapsed="false">
      <c r="DB2152" s="0" t="str">
        <f aca="false">IF($A2152="","",IF(AND($A2152=21,$AE2152&amp;""="00000000"),IF($AH2152=20,"病院",IF($AH2152=5,"消防","市長")),"対象外"))</f>
        <v/>
      </c>
    </row>
    <row r="2153" customFormat="false" ht="15" hidden="false" customHeight="false" outlineLevel="0" collapsed="false">
      <c r="DB2153" s="0" t="str">
        <f aca="false">IF($A2153="","",IF(AND($A2153=21,$AE2153&amp;""="00000000"),IF($AH2153=20,"病院",IF($AH2153=5,"消防","市長")),"対象外"))</f>
        <v/>
      </c>
    </row>
    <row r="2154" customFormat="false" ht="15" hidden="false" customHeight="false" outlineLevel="0" collapsed="false">
      <c r="DB2154" s="0" t="str">
        <f aca="false">IF($A2154="","",IF(AND($A2154=21,$AE2154&amp;""="00000000"),IF($AH2154=20,"病院",IF($AH2154=5,"消防","市長")),"対象外"))</f>
        <v/>
      </c>
    </row>
    <row r="2155" customFormat="false" ht="15" hidden="false" customHeight="false" outlineLevel="0" collapsed="false">
      <c r="DB2155" s="0" t="str">
        <f aca="false">IF($A2155="","",IF(AND($A2155=21,$AE2155&amp;""="00000000"),IF($AH2155=20,"病院",IF($AH2155=5,"消防","市長")),"対象外"))</f>
        <v/>
      </c>
    </row>
    <row r="2156" customFormat="false" ht="15" hidden="false" customHeight="false" outlineLevel="0" collapsed="false">
      <c r="DB2156" s="0" t="str">
        <f aca="false">IF($A2156="","",IF(AND($A2156=21,$AE2156&amp;""="00000000"),IF($AH2156=20,"病院",IF($AH2156=5,"消防","市長")),"対象外"))</f>
        <v/>
      </c>
    </row>
    <row r="2157" customFormat="false" ht="15" hidden="false" customHeight="false" outlineLevel="0" collapsed="false">
      <c r="DB2157" s="0" t="str">
        <f aca="false">IF($A2157="","",IF(AND($A2157=21,$AE2157&amp;""="00000000"),IF($AH2157=20,"病院",IF($AH2157=5,"消防","市長")),"対象外"))</f>
        <v/>
      </c>
    </row>
    <row r="2158" customFormat="false" ht="15" hidden="false" customHeight="false" outlineLevel="0" collapsed="false">
      <c r="DB2158" s="0" t="str">
        <f aca="false">IF($A2158="","",IF(AND($A2158=21,$AE2158&amp;""="00000000"),IF($AH2158=20,"病院",IF($AH2158=5,"消防","市長")),"対象外"))</f>
        <v/>
      </c>
    </row>
    <row r="2159" customFormat="false" ht="15" hidden="false" customHeight="false" outlineLevel="0" collapsed="false">
      <c r="DB2159" s="0" t="str">
        <f aca="false">IF($A2159="","",IF(AND($A2159=21,$AE2159&amp;""="00000000"),IF($AH2159=20,"病院",IF($AH2159=5,"消防","市長")),"対象外"))</f>
        <v/>
      </c>
    </row>
    <row r="2160" customFormat="false" ht="15" hidden="false" customHeight="false" outlineLevel="0" collapsed="false">
      <c r="DB2160" s="0" t="str">
        <f aca="false">IF($A2160="","",IF(AND($A2160=21,$AE2160&amp;""="00000000"),IF($AH2160=20,"病院",IF($AH2160=5,"消防","市長")),"対象外"))</f>
        <v/>
      </c>
    </row>
    <row r="2161" customFormat="false" ht="15" hidden="false" customHeight="false" outlineLevel="0" collapsed="false">
      <c r="DB2161" s="0" t="str">
        <f aca="false">IF($A2161="","",IF(AND($A2161=21,$AE2161&amp;""="00000000"),IF($AH2161=20,"病院",IF($AH2161=5,"消防","市長")),"対象外"))</f>
        <v/>
      </c>
    </row>
    <row r="2162" customFormat="false" ht="15" hidden="false" customHeight="false" outlineLevel="0" collapsed="false">
      <c r="DB2162" s="0" t="str">
        <f aca="false">IF($A2162="","",IF(AND($A2162=21,$AE2162&amp;""="00000000"),IF($AH2162=20,"病院",IF($AH2162=5,"消防","市長")),"対象外"))</f>
        <v/>
      </c>
    </row>
    <row r="2163" customFormat="false" ht="15" hidden="false" customHeight="false" outlineLevel="0" collapsed="false">
      <c r="DB2163" s="0" t="str">
        <f aca="false">IF($A2163="","",IF(AND($A2163=21,$AE2163&amp;""="00000000"),IF($AH2163=20,"病院",IF($AH2163=5,"消防","市長")),"対象外"))</f>
        <v/>
      </c>
    </row>
    <row r="2164" customFormat="false" ht="15" hidden="false" customHeight="false" outlineLevel="0" collapsed="false">
      <c r="DB2164" s="0" t="str">
        <f aca="false">IF($A2164="","",IF(AND($A2164=21,$AE2164&amp;""="00000000"),IF($AH2164=20,"病院",IF($AH2164=5,"消防","市長")),"対象外"))</f>
        <v/>
      </c>
    </row>
    <row r="2165" customFormat="false" ht="15" hidden="false" customHeight="false" outlineLevel="0" collapsed="false">
      <c r="DB2165" s="0" t="str">
        <f aca="false">IF($A2165="","",IF(AND($A2165=21,$AE2165&amp;""="00000000"),IF($AH2165=20,"病院",IF($AH2165=5,"消防","市長")),"対象外"))</f>
        <v/>
      </c>
    </row>
    <row r="2166" customFormat="false" ht="15" hidden="false" customHeight="false" outlineLevel="0" collapsed="false">
      <c r="DB2166" s="0" t="str">
        <f aca="false">IF($A2166="","",IF(AND($A2166=21,$AE2166&amp;""="00000000"),IF($AH2166=20,"病院",IF($AH2166=5,"消防","市長")),"対象外"))</f>
        <v/>
      </c>
    </row>
    <row r="2167" customFormat="false" ht="15" hidden="false" customHeight="false" outlineLevel="0" collapsed="false">
      <c r="DB2167" s="0" t="str">
        <f aca="false">IF($A2167="","",IF(AND($A2167=21,$AE2167&amp;""="00000000"),IF($AH2167=20,"病院",IF($AH2167=5,"消防","市長")),"対象外"))</f>
        <v/>
      </c>
    </row>
    <row r="2168" customFormat="false" ht="15" hidden="false" customHeight="false" outlineLevel="0" collapsed="false">
      <c r="DB2168" s="0" t="str">
        <f aca="false">IF($A2168="","",IF(AND($A2168=21,$AE2168&amp;""="00000000"),IF($AH2168=20,"病院",IF($AH2168=5,"消防","市長")),"対象外"))</f>
        <v/>
      </c>
    </row>
    <row r="2169" customFormat="false" ht="15" hidden="false" customHeight="false" outlineLevel="0" collapsed="false">
      <c r="DB2169" s="0" t="str">
        <f aca="false">IF($A2169="","",IF(AND($A2169=21,$AE2169&amp;""="00000000"),IF($AH2169=20,"病院",IF($AH2169=5,"消防","市長")),"対象外"))</f>
        <v/>
      </c>
    </row>
    <row r="2170" customFormat="false" ht="15" hidden="false" customHeight="false" outlineLevel="0" collapsed="false">
      <c r="DB2170" s="0" t="str">
        <f aca="false">IF($A2170="","",IF(AND($A2170=21,$AE2170&amp;""="00000000"),IF($AH2170=20,"病院",IF($AH2170=5,"消防","市長")),"対象外"))</f>
        <v/>
      </c>
    </row>
    <row r="2171" customFormat="false" ht="15" hidden="false" customHeight="false" outlineLevel="0" collapsed="false">
      <c r="DB2171" s="0" t="str">
        <f aca="false">IF($A2171="","",IF(AND($A2171=21,$AE2171&amp;""="00000000"),IF($AH2171=20,"病院",IF($AH2171=5,"消防","市長")),"対象外"))</f>
        <v/>
      </c>
    </row>
    <row r="2172" customFormat="false" ht="15" hidden="false" customHeight="false" outlineLevel="0" collapsed="false">
      <c r="DB2172" s="0" t="str">
        <f aca="false">IF($A2172="","",IF(AND($A2172=21,$AE2172&amp;""="00000000"),IF($AH2172=20,"病院",IF($AH2172=5,"消防","市長")),"対象外"))</f>
        <v/>
      </c>
    </row>
    <row r="2173" customFormat="false" ht="15" hidden="false" customHeight="false" outlineLevel="0" collapsed="false">
      <c r="DB2173" s="0" t="str">
        <f aca="false">IF($A2173="","",IF(AND($A2173=21,$AE2173&amp;""="00000000"),IF($AH2173=20,"病院",IF($AH2173=5,"消防","市長")),"対象外"))</f>
        <v/>
      </c>
    </row>
    <row r="2174" customFormat="false" ht="15" hidden="false" customHeight="false" outlineLevel="0" collapsed="false">
      <c r="DB2174" s="0" t="str">
        <f aca="false">IF($A2174="","",IF(AND($A2174=21,$AE2174&amp;""="00000000"),IF($AH2174=20,"病院",IF($AH2174=5,"消防","市長")),"対象外"))</f>
        <v/>
      </c>
    </row>
    <row r="2175" customFormat="false" ht="15" hidden="false" customHeight="false" outlineLevel="0" collapsed="false">
      <c r="DB2175" s="0" t="str">
        <f aca="false">IF($A2175="","",IF(AND($A2175=21,$AE2175&amp;""="00000000"),IF($AH2175=20,"病院",IF($AH2175=5,"消防","市長")),"対象外"))</f>
        <v/>
      </c>
    </row>
    <row r="2176" customFormat="false" ht="15" hidden="false" customHeight="false" outlineLevel="0" collapsed="false">
      <c r="DB2176" s="0" t="str">
        <f aca="false">IF($A2176="","",IF(AND($A2176=21,$AE2176&amp;""="00000000"),IF($AH2176=20,"病院",IF($AH2176=5,"消防","市長")),"対象外"))</f>
        <v/>
      </c>
    </row>
    <row r="2177" customFormat="false" ht="15" hidden="false" customHeight="false" outlineLevel="0" collapsed="false">
      <c r="DB2177" s="0" t="str">
        <f aca="false">IF($A2177="","",IF(AND($A2177=21,$AE2177&amp;""="00000000"),IF($AH2177=20,"病院",IF($AH2177=5,"消防","市長")),"対象外"))</f>
        <v/>
      </c>
    </row>
    <row r="2178" customFormat="false" ht="15" hidden="false" customHeight="false" outlineLevel="0" collapsed="false">
      <c r="DB2178" s="0" t="str">
        <f aca="false">IF($A2178="","",IF(AND($A2178=21,$AE2178&amp;""="00000000"),IF($AH2178=20,"病院",IF($AH2178=5,"消防","市長")),"対象外"))</f>
        <v/>
      </c>
    </row>
    <row r="2179" customFormat="false" ht="15" hidden="false" customHeight="false" outlineLevel="0" collapsed="false">
      <c r="DB2179" s="0" t="str">
        <f aca="false">IF($A2179="","",IF(AND($A2179=21,$AE2179&amp;""="00000000"),IF($AH2179=20,"病院",IF($AH2179=5,"消防","市長")),"対象外"))</f>
        <v/>
      </c>
    </row>
    <row r="2180" customFormat="false" ht="15" hidden="false" customHeight="false" outlineLevel="0" collapsed="false">
      <c r="DB2180" s="0" t="str">
        <f aca="false">IF($A2180="","",IF(AND($A2180=21,$AE2180&amp;""="00000000"),IF($AH2180=20,"病院",IF($AH2180=5,"消防","市長")),"対象外"))</f>
        <v/>
      </c>
    </row>
    <row r="2181" customFormat="false" ht="15" hidden="false" customHeight="false" outlineLevel="0" collapsed="false">
      <c r="DB2181" s="0" t="str">
        <f aca="false">IF($A2181="","",IF(AND($A2181=21,$AE2181&amp;""="00000000"),IF($AH2181=20,"病院",IF($AH2181=5,"消防","市長")),"対象外"))</f>
        <v/>
      </c>
    </row>
    <row r="2182" customFormat="false" ht="15" hidden="false" customHeight="false" outlineLevel="0" collapsed="false">
      <c r="DB2182" s="0" t="str">
        <f aca="false">IF($A2182="","",IF(AND($A2182=21,$AE2182&amp;""="00000000"),IF($AH2182=20,"病院",IF($AH2182=5,"消防","市長")),"対象外"))</f>
        <v/>
      </c>
    </row>
    <row r="2183" customFormat="false" ht="15" hidden="false" customHeight="false" outlineLevel="0" collapsed="false">
      <c r="DB2183" s="0" t="str">
        <f aca="false">IF($A2183="","",IF(AND($A2183=21,$AE2183&amp;""="00000000"),IF($AH2183=20,"病院",IF($AH2183=5,"消防","市長")),"対象外"))</f>
        <v/>
      </c>
    </row>
    <row r="2184" customFormat="false" ht="15" hidden="false" customHeight="false" outlineLevel="0" collapsed="false">
      <c r="DB2184" s="0" t="str">
        <f aca="false">IF($A2184="","",IF(AND($A2184=21,$AE2184&amp;""="00000000"),IF($AH2184=20,"病院",IF($AH2184=5,"消防","市長")),"対象外"))</f>
        <v/>
      </c>
    </row>
    <row r="2185" customFormat="false" ht="15" hidden="false" customHeight="false" outlineLevel="0" collapsed="false">
      <c r="DB2185" s="0" t="str">
        <f aca="false">IF($A2185="","",IF(AND($A2185=21,$AE2185&amp;""="00000000"),IF($AH2185=20,"病院",IF($AH2185=5,"消防","市長")),"対象外"))</f>
        <v/>
      </c>
    </row>
    <row r="2186" customFormat="false" ht="15" hidden="false" customHeight="false" outlineLevel="0" collapsed="false">
      <c r="DB2186" s="0" t="str">
        <f aca="false">IF($A2186="","",IF(AND($A2186=21,$AE2186&amp;""="00000000"),IF($AH2186=20,"病院",IF($AH2186=5,"消防","市長")),"対象外"))</f>
        <v/>
      </c>
    </row>
    <row r="2187" customFormat="false" ht="15" hidden="false" customHeight="false" outlineLevel="0" collapsed="false">
      <c r="DB2187" s="0" t="str">
        <f aca="false">IF($A2187="","",IF(AND($A2187=21,$AE2187&amp;""="00000000"),IF($AH2187=20,"病院",IF($AH2187=5,"消防","市長")),"対象外"))</f>
        <v/>
      </c>
    </row>
    <row r="2188" customFormat="false" ht="15" hidden="false" customHeight="false" outlineLevel="0" collapsed="false">
      <c r="DB2188" s="0" t="str">
        <f aca="false">IF($A2188="","",IF(AND($A2188=21,$AE2188&amp;""="00000000"),IF($AH2188=20,"病院",IF($AH2188=5,"消防","市長")),"対象外"))</f>
        <v/>
      </c>
    </row>
    <row r="2189" customFormat="false" ht="15" hidden="false" customHeight="false" outlineLevel="0" collapsed="false">
      <c r="DB2189" s="0" t="str">
        <f aca="false">IF($A2189="","",IF(AND($A2189=21,$AE2189&amp;""="00000000"),IF($AH2189=20,"病院",IF($AH2189=5,"消防","市長")),"対象外"))</f>
        <v/>
      </c>
    </row>
    <row r="2190" customFormat="false" ht="15" hidden="false" customHeight="false" outlineLevel="0" collapsed="false">
      <c r="DB2190" s="0" t="str">
        <f aca="false">IF($A2190="","",IF(AND($A2190=21,$AE2190&amp;""="00000000"),IF($AH2190=20,"病院",IF($AH2190=5,"消防","市長")),"対象外"))</f>
        <v/>
      </c>
    </row>
    <row r="2191" customFormat="false" ht="15" hidden="false" customHeight="false" outlineLevel="0" collapsed="false">
      <c r="DB2191" s="0" t="str">
        <f aca="false">IF($A2191="","",IF(AND($A2191=21,$AE2191&amp;""="00000000"),IF($AH2191=20,"病院",IF($AH2191=5,"消防","市長")),"対象外"))</f>
        <v/>
      </c>
    </row>
    <row r="2192" customFormat="false" ht="15" hidden="false" customHeight="false" outlineLevel="0" collapsed="false">
      <c r="DB2192" s="0" t="str">
        <f aca="false">IF($A2192="","",IF(AND($A2192=21,$AE2192&amp;""="00000000"),IF($AH2192=20,"病院",IF($AH2192=5,"消防","市長")),"対象外"))</f>
        <v/>
      </c>
    </row>
    <row r="2193" customFormat="false" ht="15" hidden="false" customHeight="false" outlineLevel="0" collapsed="false">
      <c r="DB2193" s="0" t="str">
        <f aca="false">IF($A2193="","",IF(AND($A2193=21,$AE2193&amp;""="00000000"),IF($AH2193=20,"病院",IF($AH2193=5,"消防","市長")),"対象外"))</f>
        <v/>
      </c>
    </row>
    <row r="2194" customFormat="false" ht="15" hidden="false" customHeight="false" outlineLevel="0" collapsed="false">
      <c r="DB2194" s="0" t="str">
        <f aca="false">IF($A2194="","",IF(AND($A2194=21,$AE2194&amp;""="00000000"),IF($AH2194=20,"病院",IF($AH2194=5,"消防","市長")),"対象外"))</f>
        <v/>
      </c>
    </row>
    <row r="2195" customFormat="false" ht="15" hidden="false" customHeight="false" outlineLevel="0" collapsed="false">
      <c r="DB2195" s="0" t="str">
        <f aca="false">IF($A2195="","",IF(AND($A2195=21,$AE2195&amp;""="00000000"),IF($AH2195=20,"病院",IF($AH2195=5,"消防","市長")),"対象外"))</f>
        <v/>
      </c>
    </row>
    <row r="2196" customFormat="false" ht="15" hidden="false" customHeight="false" outlineLevel="0" collapsed="false">
      <c r="DB2196" s="0" t="str">
        <f aca="false">IF($A2196="","",IF(AND($A2196=21,$AE2196&amp;""="00000000"),IF($AH2196=20,"病院",IF($AH2196=5,"消防","市長")),"対象外"))</f>
        <v/>
      </c>
    </row>
    <row r="2197" customFormat="false" ht="15" hidden="false" customHeight="false" outlineLevel="0" collapsed="false">
      <c r="DB2197" s="0" t="str">
        <f aca="false">IF($A2197="","",IF(AND($A2197=21,$AE2197&amp;""="00000000"),IF($AH2197=20,"病院",IF($AH2197=5,"消防","市長")),"対象外"))</f>
        <v/>
      </c>
    </row>
    <row r="2198" customFormat="false" ht="15" hidden="false" customHeight="false" outlineLevel="0" collapsed="false">
      <c r="DB2198" s="0" t="str">
        <f aca="false">IF($A2198="","",IF(AND($A2198=21,$AE2198&amp;""="00000000"),IF($AH2198=20,"病院",IF($AH2198=5,"消防","市長")),"対象外"))</f>
        <v/>
      </c>
    </row>
    <row r="2199" customFormat="false" ht="15" hidden="false" customHeight="false" outlineLevel="0" collapsed="false">
      <c r="DB2199" s="0" t="str">
        <f aca="false">IF($A2199="","",IF(AND($A2199=21,$AE2199&amp;""="00000000"),IF($AH2199=20,"病院",IF($AH2199=5,"消防","市長")),"対象外"))</f>
        <v/>
      </c>
    </row>
    <row r="2200" customFormat="false" ht="15" hidden="false" customHeight="false" outlineLevel="0" collapsed="false">
      <c r="DB2200" s="0" t="str">
        <f aca="false">IF($A2200="","",IF(AND($A2200=21,$AE2200&amp;""="00000000"),IF($AH2200=20,"病院",IF($AH2200=5,"消防","市長")),"対象外"))</f>
        <v/>
      </c>
    </row>
    <row r="2201" customFormat="false" ht="15" hidden="false" customHeight="false" outlineLevel="0" collapsed="false">
      <c r="DB2201" s="0" t="str">
        <f aca="false">IF($A2201="","",IF(AND($A2201=21,$AE2201&amp;""="00000000"),IF($AH2201=20,"病院",IF($AH2201=5,"消防","市長")),"対象外"))</f>
        <v/>
      </c>
    </row>
    <row r="2202" customFormat="false" ht="15" hidden="false" customHeight="false" outlineLevel="0" collapsed="false">
      <c r="DB2202" s="0" t="str">
        <f aca="false">IF($A2202="","",IF(AND($A2202=21,$AE2202&amp;""="00000000"),IF($AH2202=20,"病院",IF($AH2202=5,"消防","市長")),"対象外"))</f>
        <v/>
      </c>
    </row>
    <row r="2203" customFormat="false" ht="15" hidden="false" customHeight="false" outlineLevel="0" collapsed="false">
      <c r="DB2203" s="0" t="str">
        <f aca="false">IF($A2203="","",IF(AND($A2203=21,$AE2203&amp;""="00000000"),IF($AH2203=20,"病院",IF($AH2203=5,"消防","市長")),"対象外"))</f>
        <v/>
      </c>
    </row>
    <row r="2204" customFormat="false" ht="15" hidden="false" customHeight="false" outlineLevel="0" collapsed="false">
      <c r="DB2204" s="0" t="str">
        <f aca="false">IF($A2204="","",IF(AND($A2204=21,$AE2204&amp;""="00000000"),IF($AH2204=20,"病院",IF($AH2204=5,"消防","市長")),"対象外"))</f>
        <v/>
      </c>
    </row>
    <row r="2205" customFormat="false" ht="15" hidden="false" customHeight="false" outlineLevel="0" collapsed="false">
      <c r="DB2205" s="0" t="str">
        <f aca="false">IF($A2205="","",IF(AND($A2205=21,$AE2205&amp;""="00000000"),IF($AH2205=20,"病院",IF($AH2205=5,"消防","市長")),"対象外"))</f>
        <v/>
      </c>
    </row>
    <row r="2206" customFormat="false" ht="15" hidden="false" customHeight="false" outlineLevel="0" collapsed="false">
      <c r="DB2206" s="0" t="str">
        <f aca="false">IF($A2206="","",IF(AND($A2206=21,$AE2206&amp;""="00000000"),IF($AH2206=20,"病院",IF($AH2206=5,"消防","市長")),"対象外"))</f>
        <v/>
      </c>
    </row>
    <row r="2207" customFormat="false" ht="15" hidden="false" customHeight="false" outlineLevel="0" collapsed="false">
      <c r="DB2207" s="0" t="str">
        <f aca="false">IF($A2207="","",IF(AND($A2207=21,$AE2207&amp;""="00000000"),IF($AH2207=20,"病院",IF($AH2207=5,"消防","市長")),"対象外"))</f>
        <v/>
      </c>
    </row>
    <row r="2208" customFormat="false" ht="15" hidden="false" customHeight="false" outlineLevel="0" collapsed="false">
      <c r="DB2208" s="0" t="str">
        <f aca="false">IF($A2208="","",IF(AND($A2208=21,$AE2208&amp;""="00000000"),IF($AH2208=20,"病院",IF($AH2208=5,"消防","市長")),"対象外"))</f>
        <v/>
      </c>
    </row>
    <row r="2209" customFormat="false" ht="15" hidden="false" customHeight="false" outlineLevel="0" collapsed="false">
      <c r="DB2209" s="0" t="str">
        <f aca="false">IF($A2209="","",IF(AND($A2209=21,$AE2209&amp;""="00000000"),IF($AH2209=20,"病院",IF($AH2209=5,"消防","市長")),"対象外"))</f>
        <v/>
      </c>
    </row>
    <row r="2210" customFormat="false" ht="15" hidden="false" customHeight="false" outlineLevel="0" collapsed="false">
      <c r="DB2210" s="0" t="str">
        <f aca="false">IF($A2210="","",IF(AND($A2210=21,$AE2210&amp;""="00000000"),IF($AH2210=20,"病院",IF($AH2210=5,"消防","市長")),"対象外"))</f>
        <v/>
      </c>
    </row>
    <row r="2211" customFormat="false" ht="15" hidden="false" customHeight="false" outlineLevel="0" collapsed="false">
      <c r="DB2211" s="0" t="str">
        <f aca="false">IF($A2211="","",IF(AND($A2211=21,$AE2211&amp;""="00000000"),IF($AH2211=20,"病院",IF($AH2211=5,"消防","市長")),"対象外"))</f>
        <v/>
      </c>
    </row>
    <row r="2212" customFormat="false" ht="15" hidden="false" customHeight="false" outlineLevel="0" collapsed="false">
      <c r="DB2212" s="0" t="str">
        <f aca="false">IF($A2212="","",IF(AND($A2212=21,$AE2212&amp;""="00000000"),IF($AH2212=20,"病院",IF($AH2212=5,"消防","市長")),"対象外"))</f>
        <v/>
      </c>
    </row>
    <row r="2213" customFormat="false" ht="15" hidden="false" customHeight="false" outlineLevel="0" collapsed="false">
      <c r="DB2213" s="0" t="str">
        <f aca="false">IF($A2213="","",IF(AND($A2213=21,$AE2213&amp;""="00000000"),IF($AH2213=20,"病院",IF($AH2213=5,"消防","市長")),"対象外"))</f>
        <v/>
      </c>
    </row>
    <row r="2214" customFormat="false" ht="15" hidden="false" customHeight="false" outlineLevel="0" collapsed="false">
      <c r="DB2214" s="0" t="str">
        <f aca="false">IF($A2214="","",IF(AND($A2214=21,$AE2214&amp;""="00000000"),IF($AH2214=20,"病院",IF($AH2214=5,"消防","市長")),"対象外"))</f>
        <v/>
      </c>
    </row>
    <row r="2215" customFormat="false" ht="15" hidden="false" customHeight="false" outlineLevel="0" collapsed="false">
      <c r="DB2215" s="0" t="str">
        <f aca="false">IF($A2215="","",IF(AND($A2215=21,$AE2215&amp;""="00000000"),IF($AH2215=20,"病院",IF($AH2215=5,"消防","市長")),"対象外"))</f>
        <v/>
      </c>
    </row>
    <row r="2216" customFormat="false" ht="15" hidden="false" customHeight="false" outlineLevel="0" collapsed="false">
      <c r="DB2216" s="0" t="str">
        <f aca="false">IF($A2216="","",IF(AND($A2216=21,$AE2216&amp;""="00000000"),IF($AH2216=20,"病院",IF($AH2216=5,"消防","市長")),"対象外"))</f>
        <v/>
      </c>
    </row>
    <row r="2217" customFormat="false" ht="15" hidden="false" customHeight="false" outlineLevel="0" collapsed="false">
      <c r="DB2217" s="0" t="str">
        <f aca="false">IF($A2217="","",IF(AND($A2217=21,$AE2217&amp;""="00000000"),IF($AH2217=20,"病院",IF($AH2217=5,"消防","市長")),"対象外"))</f>
        <v/>
      </c>
    </row>
    <row r="2218" customFormat="false" ht="15" hidden="false" customHeight="false" outlineLevel="0" collapsed="false">
      <c r="DB2218" s="0" t="str">
        <f aca="false">IF($A2218="","",IF(AND($A2218=21,$AE2218&amp;""="00000000"),IF($AH2218=20,"病院",IF($AH2218=5,"消防","市長")),"対象外"))</f>
        <v/>
      </c>
    </row>
    <row r="2219" customFormat="false" ht="15" hidden="false" customHeight="false" outlineLevel="0" collapsed="false">
      <c r="DB2219" s="0" t="str">
        <f aca="false">IF($A2219="","",IF(AND($A2219=21,$AE2219&amp;""="00000000"),IF($AH2219=20,"病院",IF($AH2219=5,"消防","市長")),"対象外"))</f>
        <v/>
      </c>
    </row>
    <row r="2220" customFormat="false" ht="15" hidden="false" customHeight="false" outlineLevel="0" collapsed="false">
      <c r="DB2220" s="0" t="str">
        <f aca="false">IF($A2220="","",IF(AND($A2220=21,$AE2220&amp;""="00000000"),IF($AH2220=20,"病院",IF($AH2220=5,"消防","市長")),"対象外"))</f>
        <v/>
      </c>
    </row>
    <row r="2221" customFormat="false" ht="15" hidden="false" customHeight="false" outlineLevel="0" collapsed="false">
      <c r="DB2221" s="0" t="str">
        <f aca="false">IF($A2221="","",IF(AND($A2221=21,$AE2221&amp;""="00000000"),IF($AH2221=20,"病院",IF($AH2221=5,"消防","市長")),"対象外"))</f>
        <v/>
      </c>
    </row>
    <row r="2222" customFormat="false" ht="15" hidden="false" customHeight="false" outlineLevel="0" collapsed="false">
      <c r="DB2222" s="0" t="str">
        <f aca="false">IF($A2222="","",IF(AND($A2222=21,$AE2222&amp;""="00000000"),IF($AH2222=20,"病院",IF($AH2222=5,"消防","市長")),"対象外"))</f>
        <v/>
      </c>
    </row>
    <row r="2223" customFormat="false" ht="15" hidden="false" customHeight="false" outlineLevel="0" collapsed="false">
      <c r="DB2223" s="0" t="str">
        <f aca="false">IF($A2223="","",IF(AND($A2223=21,$AE2223&amp;""="00000000"),IF($AH2223=20,"病院",IF($AH2223=5,"消防","市長")),"対象外"))</f>
        <v/>
      </c>
    </row>
    <row r="2224" customFormat="false" ht="15" hidden="false" customHeight="false" outlineLevel="0" collapsed="false">
      <c r="DB2224" s="0" t="str">
        <f aca="false">IF($A2224="","",IF(AND($A2224=21,$AE2224&amp;""="00000000"),IF($AH2224=20,"病院",IF($AH2224=5,"消防","市長")),"対象外"))</f>
        <v/>
      </c>
    </row>
    <row r="2225" customFormat="false" ht="15" hidden="false" customHeight="false" outlineLevel="0" collapsed="false">
      <c r="DB2225" s="0" t="str">
        <f aca="false">IF($A2225="","",IF(AND($A2225=21,$AE2225&amp;""="00000000"),IF($AH2225=20,"病院",IF($AH2225=5,"消防","市長")),"対象外"))</f>
        <v/>
      </c>
    </row>
    <row r="2226" customFormat="false" ht="15" hidden="false" customHeight="false" outlineLevel="0" collapsed="false">
      <c r="DB2226" s="0" t="str">
        <f aca="false">IF($A2226="","",IF(AND($A2226=21,$AE2226&amp;""="00000000"),IF($AH2226=20,"病院",IF($AH2226=5,"消防","市長")),"対象外"))</f>
        <v/>
      </c>
    </row>
    <row r="2227" customFormat="false" ht="15" hidden="false" customHeight="false" outlineLevel="0" collapsed="false">
      <c r="DB2227" s="0" t="str">
        <f aca="false">IF($A2227="","",IF(AND($A2227=21,$AE2227&amp;""="00000000"),IF($AH2227=20,"病院",IF($AH2227=5,"消防","市長")),"対象外"))</f>
        <v/>
      </c>
    </row>
    <row r="2228" customFormat="false" ht="15" hidden="false" customHeight="false" outlineLevel="0" collapsed="false">
      <c r="DB2228" s="0" t="str">
        <f aca="false">IF($A2228="","",IF(AND($A2228=21,$AE2228&amp;""="00000000"),IF($AH2228=20,"病院",IF($AH2228=5,"消防","市長")),"対象外"))</f>
        <v/>
      </c>
    </row>
    <row r="2229" customFormat="false" ht="15" hidden="false" customHeight="false" outlineLevel="0" collapsed="false">
      <c r="DB2229" s="0" t="str">
        <f aca="false">IF($A2229="","",IF(AND($A2229=21,$AE2229&amp;""="00000000"),IF($AH2229=20,"病院",IF($AH2229=5,"消防","市長")),"対象外"))</f>
        <v/>
      </c>
    </row>
    <row r="2230" customFormat="false" ht="15" hidden="false" customHeight="false" outlineLevel="0" collapsed="false">
      <c r="DB2230" s="0" t="str">
        <f aca="false">IF($A2230="","",IF(AND($A2230=21,$AE2230&amp;""="00000000"),IF($AH2230=20,"病院",IF($AH2230=5,"消防","市長")),"対象外"))</f>
        <v/>
      </c>
    </row>
    <row r="2231" customFormat="false" ht="15" hidden="false" customHeight="false" outlineLevel="0" collapsed="false">
      <c r="DB2231" s="0" t="str">
        <f aca="false">IF($A2231="","",IF(AND($A2231=21,$AE2231&amp;""="00000000"),IF($AH2231=20,"病院",IF($AH2231=5,"消防","市長")),"対象外"))</f>
        <v/>
      </c>
    </row>
    <row r="2232" customFormat="false" ht="15" hidden="false" customHeight="false" outlineLevel="0" collapsed="false">
      <c r="DB2232" s="0" t="str">
        <f aca="false">IF($A2232="","",IF(AND($A2232=21,$AE2232&amp;""="00000000"),IF($AH2232=20,"病院",IF($AH2232=5,"消防","市長")),"対象外"))</f>
        <v/>
      </c>
    </row>
    <row r="2233" customFormat="false" ht="15" hidden="false" customHeight="false" outlineLevel="0" collapsed="false">
      <c r="DB2233" s="0" t="str">
        <f aca="false">IF($A2233="","",IF(AND($A2233=21,$AE2233&amp;""="00000000"),IF($AH2233=20,"病院",IF($AH2233=5,"消防","市長")),"対象外"))</f>
        <v/>
      </c>
    </row>
    <row r="2234" customFormat="false" ht="15" hidden="false" customHeight="false" outlineLevel="0" collapsed="false">
      <c r="DB2234" s="0" t="str">
        <f aca="false">IF($A2234="","",IF(AND($A2234=21,$AE2234&amp;""="00000000"),IF($AH2234=20,"病院",IF($AH2234=5,"消防","市長")),"対象外"))</f>
        <v/>
      </c>
    </row>
    <row r="2235" customFormat="false" ht="15" hidden="false" customHeight="false" outlineLevel="0" collapsed="false">
      <c r="DB2235" s="0" t="str">
        <f aca="false">IF($A2235="","",IF(AND($A2235=21,$AE2235&amp;""="00000000"),IF($AH2235=20,"病院",IF($AH2235=5,"消防","市長")),"対象外"))</f>
        <v/>
      </c>
    </row>
    <row r="2236" customFormat="false" ht="15" hidden="false" customHeight="false" outlineLevel="0" collapsed="false">
      <c r="DB2236" s="0" t="str">
        <f aca="false">IF($A2236="","",IF(AND($A2236=21,$AE2236&amp;""="00000000"),IF($AH2236=20,"病院",IF($AH2236=5,"消防","市長")),"対象外"))</f>
        <v/>
      </c>
    </row>
    <row r="2237" customFormat="false" ht="15" hidden="false" customHeight="false" outlineLevel="0" collapsed="false">
      <c r="DB2237" s="0" t="str">
        <f aca="false">IF($A2237="","",IF(AND($A2237=21,$AE2237&amp;""="00000000"),IF($AH2237=20,"病院",IF($AH2237=5,"消防","市長")),"対象外"))</f>
        <v/>
      </c>
    </row>
    <row r="2238" customFormat="false" ht="15" hidden="false" customHeight="false" outlineLevel="0" collapsed="false">
      <c r="DB2238" s="0" t="str">
        <f aca="false">IF($A2238="","",IF(AND($A2238=21,$AE2238&amp;""="00000000"),IF($AH2238=20,"病院",IF($AH2238=5,"消防","市長")),"対象外"))</f>
        <v/>
      </c>
    </row>
    <row r="2239" customFormat="false" ht="15" hidden="false" customHeight="false" outlineLevel="0" collapsed="false">
      <c r="DB2239" s="0" t="str">
        <f aca="false">IF($A2239="","",IF(AND($A2239=21,$AE2239&amp;""="00000000"),IF($AH2239=20,"病院",IF($AH2239=5,"消防","市長")),"対象外"))</f>
        <v/>
      </c>
    </row>
    <row r="2240" customFormat="false" ht="15" hidden="false" customHeight="false" outlineLevel="0" collapsed="false">
      <c r="DB2240" s="0" t="str">
        <f aca="false">IF($A2240="","",IF(AND($A2240=21,$AE2240&amp;""="00000000"),IF($AH2240=20,"病院",IF($AH2240=5,"消防","市長")),"対象外"))</f>
        <v/>
      </c>
    </row>
    <row r="2241" customFormat="false" ht="15" hidden="false" customHeight="false" outlineLevel="0" collapsed="false">
      <c r="DB2241" s="0" t="str">
        <f aca="false">IF($A2241="","",IF(AND($A2241=21,$AE2241&amp;""="00000000"),IF($AH2241=20,"病院",IF($AH2241=5,"消防","市長")),"対象外"))</f>
        <v/>
      </c>
    </row>
    <row r="2242" customFormat="false" ht="15" hidden="false" customHeight="false" outlineLevel="0" collapsed="false">
      <c r="DB2242" s="0" t="str">
        <f aca="false">IF($A2242="","",IF(AND($A2242=21,$AE2242&amp;""="00000000"),IF($AH2242=20,"病院",IF($AH2242=5,"消防","市長")),"対象外"))</f>
        <v/>
      </c>
    </row>
    <row r="2243" customFormat="false" ht="15" hidden="false" customHeight="false" outlineLevel="0" collapsed="false">
      <c r="DB2243" s="0" t="str">
        <f aca="false">IF($A2243="","",IF(AND($A2243=21,$AE2243&amp;""="00000000"),IF($AH2243=20,"病院",IF($AH2243=5,"消防","市長")),"対象外"))</f>
        <v/>
      </c>
    </row>
    <row r="2244" customFormat="false" ht="15" hidden="false" customHeight="false" outlineLevel="0" collapsed="false">
      <c r="DB2244" s="0" t="str">
        <f aca="false">IF($A2244="","",IF(AND($A2244=21,$AE2244&amp;""="00000000"),IF($AH2244=20,"病院",IF($AH2244=5,"消防","市長")),"対象外"))</f>
        <v/>
      </c>
    </row>
    <row r="2245" customFormat="false" ht="15" hidden="false" customHeight="false" outlineLevel="0" collapsed="false">
      <c r="DB2245" s="0" t="str">
        <f aca="false">IF($A2245="","",IF(AND($A2245=21,$AE2245&amp;""="00000000"),IF($AH2245=20,"病院",IF($AH2245=5,"消防","市長")),"対象外"))</f>
        <v/>
      </c>
    </row>
    <row r="2246" customFormat="false" ht="15" hidden="false" customHeight="false" outlineLevel="0" collapsed="false">
      <c r="DB2246" s="0" t="str">
        <f aca="false">IF($A2246="","",IF(AND($A2246=21,$AE2246&amp;""="00000000"),IF($AH2246=20,"病院",IF($AH2246=5,"消防","市長")),"対象外"))</f>
        <v/>
      </c>
    </row>
    <row r="2247" customFormat="false" ht="15" hidden="false" customHeight="false" outlineLevel="0" collapsed="false">
      <c r="DB2247" s="0" t="str">
        <f aca="false">IF($A2247="","",IF(AND($A2247=21,$AE2247&amp;""="00000000"),IF($AH2247=20,"病院",IF($AH2247=5,"消防","市長")),"対象外"))</f>
        <v/>
      </c>
    </row>
    <row r="2248" customFormat="false" ht="15" hidden="false" customHeight="false" outlineLevel="0" collapsed="false">
      <c r="DB2248" s="0" t="str">
        <f aca="false">IF($A2248="","",IF(AND($A2248=21,$AE2248&amp;""="00000000"),IF($AH2248=20,"病院",IF($AH2248=5,"消防","市長")),"対象外"))</f>
        <v/>
      </c>
    </row>
    <row r="2249" customFormat="false" ht="15" hidden="false" customHeight="false" outlineLevel="0" collapsed="false">
      <c r="DB2249" s="0" t="str">
        <f aca="false">IF($A2249="","",IF(AND($A2249=21,$AE2249&amp;""="00000000"),IF($AH2249=20,"病院",IF($AH2249=5,"消防","市長")),"対象外"))</f>
        <v/>
      </c>
    </row>
    <row r="2250" customFormat="false" ht="15" hidden="false" customHeight="false" outlineLevel="0" collapsed="false">
      <c r="DB2250" s="0" t="str">
        <f aca="false">IF($A2250="","",IF(AND($A2250=21,$AE2250&amp;""="00000000"),IF($AH2250=20,"病院",IF($AH2250=5,"消防","市長")),"対象外"))</f>
        <v/>
      </c>
    </row>
    <row r="2251" customFormat="false" ht="15" hidden="false" customHeight="false" outlineLevel="0" collapsed="false">
      <c r="DB2251" s="0" t="str">
        <f aca="false">IF($A2251="","",IF(AND($A2251=21,$AE2251&amp;""="00000000"),IF($AH2251=20,"病院",IF($AH2251=5,"消防","市長")),"対象外"))</f>
        <v/>
      </c>
    </row>
    <row r="2252" customFormat="false" ht="15" hidden="false" customHeight="false" outlineLevel="0" collapsed="false">
      <c r="DB2252" s="0" t="str">
        <f aca="false">IF($A2252="","",IF(AND($A2252=21,$AE2252&amp;""="00000000"),IF($AH2252=20,"病院",IF($AH2252=5,"消防","市長")),"対象外"))</f>
        <v/>
      </c>
    </row>
    <row r="2253" customFormat="false" ht="15" hidden="false" customHeight="false" outlineLevel="0" collapsed="false">
      <c r="DB2253" s="0" t="str">
        <f aca="false">IF($A2253="","",IF(AND($A2253=21,$AE2253&amp;""="00000000"),IF($AH2253=20,"病院",IF($AH2253=5,"消防","市長")),"対象外"))</f>
        <v/>
      </c>
    </row>
    <row r="2254" customFormat="false" ht="15" hidden="false" customHeight="false" outlineLevel="0" collapsed="false">
      <c r="DB2254" s="0" t="str">
        <f aca="false">IF($A2254="","",IF(AND($A2254=21,$AE2254&amp;""="00000000"),IF($AH2254=20,"病院",IF($AH2254=5,"消防","市長")),"対象外"))</f>
        <v/>
      </c>
    </row>
    <row r="2255" customFormat="false" ht="15" hidden="false" customHeight="false" outlineLevel="0" collapsed="false">
      <c r="DB2255" s="0" t="str">
        <f aca="false">IF($A2255="","",IF(AND($A2255=21,$AE2255&amp;""="00000000"),IF($AH2255=20,"病院",IF($AH2255=5,"消防","市長")),"対象外"))</f>
        <v/>
      </c>
    </row>
    <row r="2256" customFormat="false" ht="15" hidden="false" customHeight="false" outlineLevel="0" collapsed="false">
      <c r="DB2256" s="0" t="str">
        <f aca="false">IF($A2256="","",IF(AND($A2256=21,$AE2256&amp;""="00000000"),IF($AH2256=20,"病院",IF($AH2256=5,"消防","市長")),"対象外"))</f>
        <v/>
      </c>
    </row>
    <row r="2257" customFormat="false" ht="15" hidden="false" customHeight="false" outlineLevel="0" collapsed="false">
      <c r="DB2257" s="0" t="str">
        <f aca="false">IF($A2257="","",IF(AND($A2257=21,$AE2257&amp;""="00000000"),IF($AH2257=20,"病院",IF($AH2257=5,"消防","市長")),"対象外"))</f>
        <v/>
      </c>
    </row>
    <row r="2258" customFormat="false" ht="15" hidden="false" customHeight="false" outlineLevel="0" collapsed="false">
      <c r="DB2258" s="0" t="str">
        <f aca="false">IF($A2258="","",IF(AND($A2258=21,$AE2258&amp;""="00000000"),IF($AH2258=20,"病院",IF($AH2258=5,"消防","市長")),"対象外"))</f>
        <v/>
      </c>
    </row>
    <row r="2259" customFormat="false" ht="15" hidden="false" customHeight="false" outlineLevel="0" collapsed="false">
      <c r="DB2259" s="0" t="str">
        <f aca="false">IF($A2259="","",IF(AND($A2259=21,$AE2259&amp;""="00000000"),IF($AH2259=20,"病院",IF($AH2259=5,"消防","市長")),"対象外"))</f>
        <v/>
      </c>
    </row>
    <row r="2260" customFormat="false" ht="15" hidden="false" customHeight="false" outlineLevel="0" collapsed="false">
      <c r="DB2260" s="0" t="str">
        <f aca="false">IF($A2260="","",IF(AND($A2260=21,$AE2260&amp;""="00000000"),IF($AH2260=20,"病院",IF($AH2260=5,"消防","市長")),"対象外"))</f>
        <v/>
      </c>
    </row>
    <row r="2261" customFormat="false" ht="15" hidden="false" customHeight="false" outlineLevel="0" collapsed="false">
      <c r="DB2261" s="0" t="str">
        <f aca="false">IF($A2261="","",IF(AND($A2261=21,$AE2261&amp;""="00000000"),IF($AH2261=20,"病院",IF($AH2261=5,"消防","市長")),"対象外"))</f>
        <v/>
      </c>
    </row>
    <row r="2262" customFormat="false" ht="15" hidden="false" customHeight="false" outlineLevel="0" collapsed="false">
      <c r="DB2262" s="0" t="str">
        <f aca="false">IF($A2262="","",IF(AND($A2262=21,$AE2262&amp;""="00000000"),IF($AH2262=20,"病院",IF($AH2262=5,"消防","市長")),"対象外"))</f>
        <v/>
      </c>
    </row>
    <row r="2263" customFormat="false" ht="15" hidden="false" customHeight="false" outlineLevel="0" collapsed="false">
      <c r="DB2263" s="0" t="str">
        <f aca="false">IF($A2263="","",IF(AND($A2263=21,$AE2263&amp;""="00000000"),IF($AH2263=20,"病院",IF($AH2263=5,"消防","市長")),"対象外"))</f>
        <v/>
      </c>
    </row>
    <row r="2264" customFormat="false" ht="15" hidden="false" customHeight="false" outlineLevel="0" collapsed="false">
      <c r="DB2264" s="0" t="str">
        <f aca="false">IF($A2264="","",IF(AND($A2264=21,$AE2264&amp;""="00000000"),IF($AH2264=20,"病院",IF($AH2264=5,"消防","市長")),"対象外"))</f>
        <v/>
      </c>
    </row>
    <row r="2265" customFormat="false" ht="15" hidden="false" customHeight="false" outlineLevel="0" collapsed="false">
      <c r="DB2265" s="0" t="str">
        <f aca="false">IF($A2265="","",IF(AND($A2265=21,$AE2265&amp;""="00000000"),IF($AH2265=20,"病院",IF($AH2265=5,"消防","市長")),"対象外"))</f>
        <v/>
      </c>
    </row>
    <row r="2266" customFormat="false" ht="15" hidden="false" customHeight="false" outlineLevel="0" collapsed="false">
      <c r="DB2266" s="0" t="str">
        <f aca="false">IF($A2266="","",IF(AND($A2266=21,$AE2266&amp;""="00000000"),IF($AH2266=20,"病院",IF($AH2266=5,"消防","市長")),"対象外"))</f>
        <v/>
      </c>
    </row>
    <row r="2267" customFormat="false" ht="15" hidden="false" customHeight="false" outlineLevel="0" collapsed="false">
      <c r="DB2267" s="0" t="str">
        <f aca="false">IF($A2267="","",IF(AND($A2267=21,$AE2267&amp;""="00000000"),IF($AH2267=20,"病院",IF($AH2267=5,"消防","市長")),"対象外"))</f>
        <v/>
      </c>
    </row>
    <row r="2268" customFormat="false" ht="15" hidden="false" customHeight="false" outlineLevel="0" collapsed="false">
      <c r="DB2268" s="0" t="str">
        <f aca="false">IF($A2268="","",IF(AND($A2268=21,$AE2268&amp;""="00000000"),IF($AH2268=20,"病院",IF($AH2268=5,"消防","市長")),"対象外"))</f>
        <v/>
      </c>
    </row>
    <row r="2269" customFormat="false" ht="15" hidden="false" customHeight="false" outlineLevel="0" collapsed="false">
      <c r="DB2269" s="0" t="str">
        <f aca="false">IF($A2269="","",IF(AND($A2269=21,$AE2269&amp;""="00000000"),IF($AH2269=20,"病院",IF($AH2269=5,"消防","市長")),"対象外"))</f>
        <v/>
      </c>
    </row>
    <row r="2270" customFormat="false" ht="15" hidden="false" customHeight="false" outlineLevel="0" collapsed="false">
      <c r="DB2270" s="0" t="str">
        <f aca="false">IF($A2270="","",IF(AND($A2270=21,$AE2270&amp;""="00000000"),IF($AH2270=20,"病院",IF($AH2270=5,"消防","市長")),"対象外"))</f>
        <v/>
      </c>
    </row>
    <row r="2271" customFormat="false" ht="15" hidden="false" customHeight="false" outlineLevel="0" collapsed="false">
      <c r="DB2271" s="0" t="str">
        <f aca="false">IF($A2271="","",IF(AND($A2271=21,$AE2271&amp;""="00000000"),IF($AH2271=20,"病院",IF($AH2271=5,"消防","市長")),"対象外"))</f>
        <v/>
      </c>
    </row>
    <row r="2272" customFormat="false" ht="15" hidden="false" customHeight="false" outlineLevel="0" collapsed="false">
      <c r="DB2272" s="0" t="str">
        <f aca="false">IF($A2272="","",IF(AND($A2272=21,$AE2272&amp;""="00000000"),IF($AH2272=20,"病院",IF($AH2272=5,"消防","市長")),"対象外"))</f>
        <v/>
      </c>
    </row>
    <row r="2273" customFormat="false" ht="15" hidden="false" customHeight="false" outlineLevel="0" collapsed="false">
      <c r="DB2273" s="0" t="str">
        <f aca="false">IF($A2273="","",IF(AND($A2273=21,$AE2273&amp;""="00000000"),IF($AH2273=20,"病院",IF($AH2273=5,"消防","市長")),"対象外"))</f>
        <v/>
      </c>
    </row>
    <row r="2274" customFormat="false" ht="15" hidden="false" customHeight="false" outlineLevel="0" collapsed="false">
      <c r="DB2274" s="0" t="str">
        <f aca="false">IF($A2274="","",IF(AND($A2274=21,$AE2274&amp;""="00000000"),IF($AH2274=20,"病院",IF($AH2274=5,"消防","市長")),"対象外"))</f>
        <v/>
      </c>
    </row>
    <row r="2275" customFormat="false" ht="15" hidden="false" customHeight="false" outlineLevel="0" collapsed="false">
      <c r="DB2275" s="0" t="str">
        <f aca="false">IF($A2275="","",IF(AND($A2275=21,$AE2275&amp;""="00000000"),IF($AH2275=20,"病院",IF($AH2275=5,"消防","市長")),"対象外"))</f>
        <v/>
      </c>
    </row>
    <row r="2276" customFormat="false" ht="15" hidden="false" customHeight="false" outlineLevel="0" collapsed="false">
      <c r="DB2276" s="0" t="str">
        <f aca="false">IF($A2276="","",IF(AND($A2276=21,$AE2276&amp;""="00000000"),IF($AH2276=20,"病院",IF($AH2276=5,"消防","市長")),"対象外"))</f>
        <v/>
      </c>
    </row>
    <row r="2277" customFormat="false" ht="15" hidden="false" customHeight="false" outlineLevel="0" collapsed="false">
      <c r="DB2277" s="0" t="str">
        <f aca="false">IF($A2277="","",IF(AND($A2277=21,$AE2277&amp;""="00000000"),IF($AH2277=20,"病院",IF($AH2277=5,"消防","市長")),"対象外"))</f>
        <v/>
      </c>
    </row>
    <row r="2278" customFormat="false" ht="15" hidden="false" customHeight="false" outlineLevel="0" collapsed="false">
      <c r="DB2278" s="0" t="str">
        <f aca="false">IF($A2278="","",IF(AND($A2278=21,$AE2278&amp;""="00000000"),IF($AH2278=20,"病院",IF($AH2278=5,"消防","市長")),"対象外"))</f>
        <v/>
      </c>
    </row>
    <row r="2279" customFormat="false" ht="15" hidden="false" customHeight="false" outlineLevel="0" collapsed="false">
      <c r="DB2279" s="0" t="str">
        <f aca="false">IF($A2279="","",IF(AND($A2279=21,$AE2279&amp;""="00000000"),IF($AH2279=20,"病院",IF($AH2279=5,"消防","市長")),"対象外"))</f>
        <v/>
      </c>
    </row>
    <row r="2280" customFormat="false" ht="15" hidden="false" customHeight="false" outlineLevel="0" collapsed="false">
      <c r="DB2280" s="0" t="str">
        <f aca="false">IF($A2280="","",IF(AND($A2280=21,$AE2280&amp;""="00000000"),IF($AH2280=20,"病院",IF($AH2280=5,"消防","市長")),"対象外"))</f>
        <v/>
      </c>
    </row>
    <row r="2281" customFormat="false" ht="15" hidden="false" customHeight="false" outlineLevel="0" collapsed="false">
      <c r="DB2281" s="0" t="str">
        <f aca="false">IF($A2281="","",IF(AND($A2281=21,$AE2281&amp;""="00000000"),IF($AH2281=20,"病院",IF($AH2281=5,"消防","市長")),"対象外"))</f>
        <v/>
      </c>
    </row>
    <row r="2282" customFormat="false" ht="15" hidden="false" customHeight="false" outlineLevel="0" collapsed="false">
      <c r="DB2282" s="0" t="str">
        <f aca="false">IF($A2282="","",IF(AND($A2282=21,$AE2282&amp;""="00000000"),IF($AH2282=20,"病院",IF($AH2282=5,"消防","市長")),"対象外"))</f>
        <v/>
      </c>
    </row>
    <row r="2283" customFormat="false" ht="15" hidden="false" customHeight="false" outlineLevel="0" collapsed="false">
      <c r="DB2283" s="0" t="str">
        <f aca="false">IF($A2283="","",IF(AND($A2283=21,$AE2283&amp;""="00000000"),IF($AH2283=20,"病院",IF($AH2283=5,"消防","市長")),"対象外"))</f>
        <v/>
      </c>
    </row>
    <row r="2284" customFormat="false" ht="15" hidden="false" customHeight="false" outlineLevel="0" collapsed="false">
      <c r="DB2284" s="0" t="str">
        <f aca="false">IF($A2284="","",IF(AND($A2284=21,$AE2284&amp;""="00000000"),IF($AH2284=20,"病院",IF($AH2284=5,"消防","市長")),"対象外"))</f>
        <v/>
      </c>
    </row>
    <row r="2285" customFormat="false" ht="15" hidden="false" customHeight="false" outlineLevel="0" collapsed="false">
      <c r="DB2285" s="0" t="str">
        <f aca="false">IF($A2285="","",IF(AND($A2285=21,$AE2285&amp;""="00000000"),IF($AH2285=20,"病院",IF($AH2285=5,"消防","市長")),"対象外"))</f>
        <v/>
      </c>
    </row>
    <row r="2286" customFormat="false" ht="15" hidden="false" customHeight="false" outlineLevel="0" collapsed="false">
      <c r="DB2286" s="0" t="str">
        <f aca="false">IF($A2286="","",IF(AND($A2286=21,$AE2286&amp;""="00000000"),IF($AH2286=20,"病院",IF($AH2286=5,"消防","市長")),"対象外"))</f>
        <v/>
      </c>
    </row>
    <row r="2287" customFormat="false" ht="15" hidden="false" customHeight="false" outlineLevel="0" collapsed="false">
      <c r="DB2287" s="0" t="str">
        <f aca="false">IF($A2287="","",IF(AND($A2287=21,$AE2287&amp;""="00000000"),IF($AH2287=20,"病院",IF($AH2287=5,"消防","市長")),"対象外"))</f>
        <v/>
      </c>
    </row>
    <row r="2288" customFormat="false" ht="15" hidden="false" customHeight="false" outlineLevel="0" collapsed="false">
      <c r="DB2288" s="0" t="str">
        <f aca="false">IF($A2288="","",IF(AND($A2288=21,$AE2288&amp;""="00000000"),IF($AH2288=20,"病院",IF($AH2288=5,"消防","市長")),"対象外"))</f>
        <v/>
      </c>
    </row>
    <row r="2289" customFormat="false" ht="15" hidden="false" customHeight="false" outlineLevel="0" collapsed="false">
      <c r="DB2289" s="0" t="str">
        <f aca="false">IF($A2289="","",IF(AND($A2289=21,$AE2289&amp;""="00000000"),IF($AH2289=20,"病院",IF($AH2289=5,"消防","市長")),"対象外"))</f>
        <v/>
      </c>
    </row>
    <row r="2290" customFormat="false" ht="15" hidden="false" customHeight="false" outlineLevel="0" collapsed="false">
      <c r="DB2290" s="0" t="str">
        <f aca="false">IF($A2290="","",IF(AND($A2290=21,$AE2290&amp;""="00000000"),IF($AH2290=20,"病院",IF($AH2290=5,"消防","市長")),"対象外"))</f>
        <v/>
      </c>
    </row>
    <row r="2291" customFormat="false" ht="15" hidden="false" customHeight="false" outlineLevel="0" collapsed="false">
      <c r="DB2291" s="0" t="str">
        <f aca="false">IF($A2291="","",IF(AND($A2291=21,$AE2291&amp;""="00000000"),IF($AH2291=20,"病院",IF($AH2291=5,"消防","市長")),"対象外"))</f>
        <v/>
      </c>
    </row>
    <row r="2292" customFormat="false" ht="15" hidden="false" customHeight="false" outlineLevel="0" collapsed="false">
      <c r="DB2292" s="0" t="str">
        <f aca="false">IF($A2292="","",IF(AND($A2292=21,$AE2292&amp;""="00000000"),IF($AH2292=20,"病院",IF($AH2292=5,"消防","市長")),"対象外"))</f>
        <v/>
      </c>
    </row>
    <row r="2293" customFormat="false" ht="15" hidden="false" customHeight="false" outlineLevel="0" collapsed="false">
      <c r="DB2293" s="0" t="str">
        <f aca="false">IF($A2293="","",IF(AND($A2293=21,$AE2293&amp;""="00000000"),IF($AH2293=20,"病院",IF($AH2293=5,"消防","市長")),"対象外"))</f>
        <v/>
      </c>
    </row>
    <row r="2294" customFormat="false" ht="15" hidden="false" customHeight="false" outlineLevel="0" collapsed="false">
      <c r="DB2294" s="0" t="str">
        <f aca="false">IF($A2294="","",IF(AND($A2294=21,$AE2294&amp;""="00000000"),IF($AH2294=20,"病院",IF($AH2294=5,"消防","市長")),"対象外"))</f>
        <v/>
      </c>
    </row>
    <row r="2295" customFormat="false" ht="15" hidden="false" customHeight="false" outlineLevel="0" collapsed="false">
      <c r="DB2295" s="0" t="str">
        <f aca="false">IF($A2295="","",IF(AND($A2295=21,$AE2295&amp;""="00000000"),IF($AH2295=20,"病院",IF($AH2295=5,"消防","市長")),"対象外"))</f>
        <v/>
      </c>
    </row>
    <row r="2296" customFormat="false" ht="15" hidden="false" customHeight="false" outlineLevel="0" collapsed="false">
      <c r="DB2296" s="0" t="str">
        <f aca="false">IF($A2296="","",IF(AND($A2296=21,$AE2296&amp;""="00000000"),IF($AH2296=20,"病院",IF($AH2296=5,"消防","市長")),"対象外"))</f>
        <v/>
      </c>
    </row>
    <row r="2297" customFormat="false" ht="15" hidden="false" customHeight="false" outlineLevel="0" collapsed="false">
      <c r="DB2297" s="0" t="str">
        <f aca="false">IF($A2297="","",IF(AND($A2297=21,$AE2297&amp;""="00000000"),IF($AH2297=20,"病院",IF($AH2297=5,"消防","市長")),"対象外"))</f>
        <v/>
      </c>
    </row>
    <row r="2298" customFormat="false" ht="15" hidden="false" customHeight="false" outlineLevel="0" collapsed="false">
      <c r="DB2298" s="0" t="str">
        <f aca="false">IF($A2298="","",IF(AND($A2298=21,$AE2298&amp;""="00000000"),IF($AH2298=20,"病院",IF($AH2298=5,"消防","市長")),"対象外"))</f>
        <v/>
      </c>
    </row>
    <row r="2299" customFormat="false" ht="15" hidden="false" customHeight="false" outlineLevel="0" collapsed="false">
      <c r="DB2299" s="0" t="str">
        <f aca="false">IF($A2299="","",IF(AND($A2299=21,$AE2299&amp;""="00000000"),IF($AH2299=20,"病院",IF($AH2299=5,"消防","市長")),"対象外"))</f>
        <v/>
      </c>
    </row>
    <row r="2300" customFormat="false" ht="15" hidden="false" customHeight="false" outlineLevel="0" collapsed="false">
      <c r="DB2300" s="0" t="str">
        <f aca="false">IF($A2300="","",IF(AND($A2300=21,$AE2300&amp;""="00000000"),IF($AH2300=20,"病院",IF($AH2300=5,"消防","市長")),"対象外"))</f>
        <v/>
      </c>
    </row>
    <row r="2301" customFormat="false" ht="15" hidden="false" customHeight="false" outlineLevel="0" collapsed="false">
      <c r="DB2301" s="0" t="str">
        <f aca="false">IF($A2301="","",IF(AND($A2301=21,$AE2301&amp;""="00000000"),IF($AH2301=20,"病院",IF($AH2301=5,"消防","市長")),"対象外"))</f>
        <v/>
      </c>
    </row>
    <row r="2302" customFormat="false" ht="15" hidden="false" customHeight="false" outlineLevel="0" collapsed="false">
      <c r="DB2302" s="0" t="str">
        <f aca="false">IF($A2302="","",IF(AND($A2302=21,$AE2302&amp;""="00000000"),IF($AH2302=20,"病院",IF($AH2302=5,"消防","市長")),"対象外"))</f>
        <v/>
      </c>
    </row>
    <row r="2303" customFormat="false" ht="15" hidden="false" customHeight="false" outlineLevel="0" collapsed="false">
      <c r="DB2303" s="0" t="str">
        <f aca="false">IF($A2303="","",IF(AND($A2303=21,$AE2303&amp;""="00000000"),IF($AH2303=20,"病院",IF($AH2303=5,"消防","市長")),"対象外"))</f>
        <v/>
      </c>
    </row>
    <row r="2304" customFormat="false" ht="15" hidden="false" customHeight="false" outlineLevel="0" collapsed="false">
      <c r="DB2304" s="0" t="str">
        <f aca="false">IF($A2304="","",IF(AND($A2304=21,$AE2304&amp;""="00000000"),IF($AH2304=20,"病院",IF($AH2304=5,"消防","市長")),"対象外"))</f>
        <v/>
      </c>
    </row>
    <row r="2305" customFormat="false" ht="15" hidden="false" customHeight="false" outlineLevel="0" collapsed="false">
      <c r="DB2305" s="0" t="str">
        <f aca="false">IF($A2305="","",IF(AND($A2305=21,$AE2305&amp;""="00000000"),IF($AH2305=20,"病院",IF($AH2305=5,"消防","市長")),"対象外"))</f>
        <v/>
      </c>
    </row>
    <row r="2306" customFormat="false" ht="15" hidden="false" customHeight="false" outlineLevel="0" collapsed="false">
      <c r="DB2306" s="0" t="str">
        <f aca="false">IF($A2306="","",IF(AND($A2306=21,$AE2306&amp;""="00000000"),IF($AH2306=20,"病院",IF($AH2306=5,"消防","市長")),"対象外"))</f>
        <v/>
      </c>
    </row>
    <row r="2307" customFormat="false" ht="15" hidden="false" customHeight="false" outlineLevel="0" collapsed="false">
      <c r="DB2307" s="0" t="str">
        <f aca="false">IF($A2307="","",IF(AND($A2307=21,$AE2307&amp;""="00000000"),IF($AH2307=20,"病院",IF($AH2307=5,"消防","市長")),"対象外"))</f>
        <v/>
      </c>
    </row>
    <row r="2308" customFormat="false" ht="15" hidden="false" customHeight="false" outlineLevel="0" collapsed="false">
      <c r="DB2308" s="0" t="str">
        <f aca="false">IF($A2308="","",IF(AND($A2308=21,$AE2308&amp;""="00000000"),IF($AH2308=20,"病院",IF($AH2308=5,"消防","市長")),"対象外"))</f>
        <v/>
      </c>
    </row>
    <row r="2309" customFormat="false" ht="15" hidden="false" customHeight="false" outlineLevel="0" collapsed="false">
      <c r="DB2309" s="0" t="str">
        <f aca="false">IF($A2309="","",IF(AND($A2309=21,$AE2309&amp;""="00000000"),IF($AH2309=20,"病院",IF($AH2309=5,"消防","市長")),"対象外"))</f>
        <v/>
      </c>
    </row>
    <row r="2310" customFormat="false" ht="15" hidden="false" customHeight="false" outlineLevel="0" collapsed="false">
      <c r="DB2310" s="0" t="str">
        <f aca="false">IF($A2310="","",IF(AND($A2310=21,$AE2310&amp;""="00000000"),IF($AH2310=20,"病院",IF($AH2310=5,"消防","市長")),"対象外"))</f>
        <v/>
      </c>
    </row>
    <row r="2311" customFormat="false" ht="15" hidden="false" customHeight="false" outlineLevel="0" collapsed="false">
      <c r="DB2311" s="0" t="str">
        <f aca="false">IF($A2311="","",IF(AND($A2311=21,$AE2311&amp;""="00000000"),IF($AH2311=20,"病院",IF($AH2311=5,"消防","市長")),"対象外"))</f>
        <v/>
      </c>
    </row>
    <row r="2312" customFormat="false" ht="15" hidden="false" customHeight="false" outlineLevel="0" collapsed="false">
      <c r="DB2312" s="0" t="str">
        <f aca="false">IF($A2312="","",IF(AND($A2312=21,$AE2312&amp;""="00000000"),IF($AH2312=20,"病院",IF($AH2312=5,"消防","市長")),"対象外"))</f>
        <v/>
      </c>
    </row>
    <row r="2313" customFormat="false" ht="15" hidden="false" customHeight="false" outlineLevel="0" collapsed="false">
      <c r="DB2313" s="0" t="str">
        <f aca="false">IF($A2313="","",IF(AND($A2313=21,$AE2313&amp;""="00000000"),IF($AH2313=20,"病院",IF($AH2313=5,"消防","市長")),"対象外"))</f>
        <v/>
      </c>
    </row>
    <row r="2314" customFormat="false" ht="15" hidden="false" customHeight="false" outlineLevel="0" collapsed="false">
      <c r="DB2314" s="0" t="str">
        <f aca="false">IF($A2314="","",IF(AND($A2314=21,$AE2314&amp;""="00000000"),IF($AH2314=20,"病院",IF($AH2314=5,"消防","市長")),"対象外"))</f>
        <v/>
      </c>
    </row>
    <row r="2315" customFormat="false" ht="15" hidden="false" customHeight="false" outlineLevel="0" collapsed="false">
      <c r="DB2315" s="0" t="str">
        <f aca="false">IF($A2315="","",IF(AND($A2315=21,$AE2315&amp;""="00000000"),IF($AH2315=20,"病院",IF($AH2315=5,"消防","市長")),"対象外"))</f>
        <v/>
      </c>
    </row>
    <row r="2316" customFormat="false" ht="15" hidden="false" customHeight="false" outlineLevel="0" collapsed="false">
      <c r="DB2316" s="0" t="str">
        <f aca="false">IF($A2316="","",IF(AND($A2316=21,$AE2316&amp;""="00000000"),IF($AH2316=20,"病院",IF($AH2316=5,"消防","市長")),"対象外"))</f>
        <v/>
      </c>
    </row>
    <row r="2317" customFormat="false" ht="15" hidden="false" customHeight="false" outlineLevel="0" collapsed="false">
      <c r="DB2317" s="0" t="str">
        <f aca="false">IF($A2317="","",IF(AND($A2317=21,$AE2317&amp;""="00000000"),IF($AH2317=20,"病院",IF($AH2317=5,"消防","市長")),"対象外"))</f>
        <v/>
      </c>
    </row>
    <row r="2318" customFormat="false" ht="15" hidden="false" customHeight="false" outlineLevel="0" collapsed="false">
      <c r="DB2318" s="0" t="str">
        <f aca="false">IF($A2318="","",IF(AND($A2318=21,$AE2318&amp;""="00000000"),IF($AH2318=20,"病院",IF($AH2318=5,"消防","市長")),"対象外"))</f>
        <v/>
      </c>
    </row>
    <row r="2319" customFormat="false" ht="15" hidden="false" customHeight="false" outlineLevel="0" collapsed="false">
      <c r="DB2319" s="0" t="str">
        <f aca="false">IF($A2319="","",IF(AND($A2319=21,$AE2319&amp;""="00000000"),IF($AH2319=20,"病院",IF($AH2319=5,"消防","市長")),"対象外"))</f>
        <v/>
      </c>
    </row>
    <row r="2320" customFormat="false" ht="15" hidden="false" customHeight="false" outlineLevel="0" collapsed="false">
      <c r="DB2320" s="0" t="str">
        <f aca="false">IF($A2320="","",IF(AND($A2320=21,$AE2320&amp;""="00000000"),IF($AH2320=20,"病院",IF($AH2320=5,"消防","市長")),"対象外"))</f>
        <v/>
      </c>
    </row>
    <row r="2321" customFormat="false" ht="15" hidden="false" customHeight="false" outlineLevel="0" collapsed="false">
      <c r="DB2321" s="0" t="str">
        <f aca="false">IF($A2321="","",IF(AND($A2321=21,$AE2321&amp;""="00000000"),IF($AH2321=20,"病院",IF($AH2321=5,"消防","市長")),"対象外"))</f>
        <v/>
      </c>
    </row>
    <row r="2322" customFormat="false" ht="15" hidden="false" customHeight="false" outlineLevel="0" collapsed="false">
      <c r="DB2322" s="0" t="str">
        <f aca="false">IF($A2322="","",IF(AND($A2322=21,$AE2322&amp;""="00000000"),IF($AH2322=20,"病院",IF($AH2322=5,"消防","市長")),"対象外"))</f>
        <v/>
      </c>
    </row>
    <row r="2323" customFormat="false" ht="15" hidden="false" customHeight="false" outlineLevel="0" collapsed="false">
      <c r="DB2323" s="0" t="str">
        <f aca="false">IF($A2323="","",IF(AND($A2323=21,$AE2323&amp;""="00000000"),IF($AH2323=20,"病院",IF($AH2323=5,"消防","市長")),"対象外"))</f>
        <v/>
      </c>
    </row>
    <row r="2324" customFormat="false" ht="15" hidden="false" customHeight="false" outlineLevel="0" collapsed="false">
      <c r="DB2324" s="0" t="str">
        <f aca="false">IF($A2324="","",IF(AND($A2324=21,$AE2324&amp;""="00000000"),IF($AH2324=20,"病院",IF($AH2324=5,"消防","市長")),"対象外"))</f>
        <v/>
      </c>
    </row>
    <row r="2325" customFormat="false" ht="15" hidden="false" customHeight="false" outlineLevel="0" collapsed="false">
      <c r="DB2325" s="0" t="str">
        <f aca="false">IF($A2325="","",IF(AND($A2325=21,$AE2325&amp;""="00000000"),IF($AH2325=20,"病院",IF($AH2325=5,"消防","市長")),"対象外"))</f>
        <v/>
      </c>
    </row>
    <row r="2326" customFormat="false" ht="15" hidden="false" customHeight="false" outlineLevel="0" collapsed="false">
      <c r="DB2326" s="0" t="str">
        <f aca="false">IF($A2326="","",IF(AND($A2326=21,$AE2326&amp;""="00000000"),IF($AH2326=20,"病院",IF($AH2326=5,"消防","市長")),"対象外"))</f>
        <v/>
      </c>
    </row>
    <row r="2327" customFormat="false" ht="15" hidden="false" customHeight="false" outlineLevel="0" collapsed="false">
      <c r="DB2327" s="0" t="str">
        <f aca="false">IF($A2327="","",IF(AND($A2327=21,$AE2327&amp;""="00000000"),IF($AH2327=20,"病院",IF($AH2327=5,"消防","市長")),"対象外"))</f>
        <v/>
      </c>
    </row>
    <row r="2328" customFormat="false" ht="15" hidden="false" customHeight="false" outlineLevel="0" collapsed="false">
      <c r="DB2328" s="0" t="str">
        <f aca="false">IF($A2328="","",IF(AND($A2328=21,$AE2328&amp;""="00000000"),IF($AH2328=20,"病院",IF($AH2328=5,"消防","市長")),"対象外"))</f>
        <v/>
      </c>
    </row>
    <row r="2329" customFormat="false" ht="15" hidden="false" customHeight="false" outlineLevel="0" collapsed="false">
      <c r="DB2329" s="0" t="str">
        <f aca="false">IF($A2329="","",IF(AND($A2329=21,$AE2329&amp;""="00000000"),IF($AH2329=20,"病院",IF($AH2329=5,"消防","市長")),"対象外"))</f>
        <v/>
      </c>
    </row>
    <row r="2330" customFormat="false" ht="15" hidden="false" customHeight="false" outlineLevel="0" collapsed="false">
      <c r="DB2330" s="0" t="str">
        <f aca="false">IF($A2330="","",IF(AND($A2330=21,$AE2330&amp;""="00000000"),IF($AH2330=20,"病院",IF($AH2330=5,"消防","市長")),"対象外"))</f>
        <v/>
      </c>
    </row>
    <row r="2331" customFormat="false" ht="15" hidden="false" customHeight="false" outlineLevel="0" collapsed="false">
      <c r="DB2331" s="0" t="str">
        <f aca="false">IF($A2331="","",IF(AND($A2331=21,$AE2331&amp;""="00000000"),IF($AH2331=20,"病院",IF($AH2331=5,"消防","市長")),"対象外"))</f>
        <v/>
      </c>
    </row>
    <row r="2332" customFormat="false" ht="15" hidden="false" customHeight="false" outlineLevel="0" collapsed="false">
      <c r="DB2332" s="0" t="str">
        <f aca="false">IF($A2332="","",IF(AND($A2332=21,$AE2332&amp;""="00000000"),IF($AH2332=20,"病院",IF($AH2332=5,"消防","市長")),"対象外"))</f>
        <v/>
      </c>
    </row>
    <row r="2333" customFormat="false" ht="15" hidden="false" customHeight="false" outlineLevel="0" collapsed="false">
      <c r="DB2333" s="0" t="str">
        <f aca="false">IF($A2333="","",IF(AND($A2333=21,$AE2333&amp;""="00000000"),IF($AH2333=20,"病院",IF($AH2333=5,"消防","市長")),"対象外"))</f>
        <v/>
      </c>
    </row>
    <row r="2334" customFormat="false" ht="15" hidden="false" customHeight="false" outlineLevel="0" collapsed="false">
      <c r="DB2334" s="0" t="str">
        <f aca="false">IF($A2334="","",IF(AND($A2334=21,$AE2334&amp;""="00000000"),IF($AH2334=20,"病院",IF($AH2334=5,"消防","市長")),"対象外"))</f>
        <v/>
      </c>
    </row>
    <row r="2335" customFormat="false" ht="15" hidden="false" customHeight="false" outlineLevel="0" collapsed="false">
      <c r="DB2335" s="0" t="str">
        <f aca="false">IF($A2335="","",IF(AND($A2335=21,$AE2335&amp;""="00000000"),IF($AH2335=20,"病院",IF($AH2335=5,"消防","市長")),"対象外"))</f>
        <v/>
      </c>
    </row>
    <row r="2336" customFormat="false" ht="15" hidden="false" customHeight="false" outlineLevel="0" collapsed="false">
      <c r="DB2336" s="0" t="str">
        <f aca="false">IF($A2336="","",IF(AND($A2336=21,$AE2336&amp;""="00000000"),IF($AH2336=20,"病院",IF($AH2336=5,"消防","市長")),"対象外"))</f>
        <v/>
      </c>
    </row>
    <row r="2337" customFormat="false" ht="15" hidden="false" customHeight="false" outlineLevel="0" collapsed="false">
      <c r="DB2337" s="0" t="str">
        <f aca="false">IF($A2337="","",IF(AND($A2337=21,$AE2337&amp;""="00000000"),IF($AH2337=20,"病院",IF($AH2337=5,"消防","市長")),"対象外"))</f>
        <v/>
      </c>
    </row>
    <row r="2338" customFormat="false" ht="15" hidden="false" customHeight="false" outlineLevel="0" collapsed="false">
      <c r="DB2338" s="0" t="str">
        <f aca="false">IF($A2338="","",IF(AND($A2338=21,$AE2338&amp;""="00000000"),IF($AH2338=20,"病院",IF($AH2338=5,"消防","市長")),"対象外"))</f>
        <v/>
      </c>
    </row>
    <row r="2339" customFormat="false" ht="15" hidden="false" customHeight="false" outlineLevel="0" collapsed="false">
      <c r="DB2339" s="0" t="str">
        <f aca="false">IF($A2339="","",IF(AND($A2339=21,$AE2339&amp;""="00000000"),IF($AH2339=20,"病院",IF($AH2339=5,"消防","市長")),"対象外"))</f>
        <v/>
      </c>
    </row>
    <row r="2340" customFormat="false" ht="15" hidden="false" customHeight="false" outlineLevel="0" collapsed="false">
      <c r="DB2340" s="0" t="str">
        <f aca="false">IF($A2340="","",IF(AND($A2340=21,$AE2340&amp;""="00000000"),IF($AH2340=20,"病院",IF($AH2340=5,"消防","市長")),"対象外"))</f>
        <v/>
      </c>
    </row>
    <row r="2341" customFormat="false" ht="15" hidden="false" customHeight="false" outlineLevel="0" collapsed="false">
      <c r="DB2341" s="0" t="str">
        <f aca="false">IF($A2341="","",IF(AND($A2341=21,$AE2341&amp;""="00000000"),IF($AH2341=20,"病院",IF($AH2341=5,"消防","市長")),"対象外"))</f>
        <v/>
      </c>
    </row>
    <row r="2342" customFormat="false" ht="15" hidden="false" customHeight="false" outlineLevel="0" collapsed="false">
      <c r="DB2342" s="0" t="str">
        <f aca="false">IF($A2342="","",IF(AND($A2342=21,$AE2342&amp;""="00000000"),IF($AH2342=20,"病院",IF($AH2342=5,"消防","市長")),"対象外"))</f>
        <v/>
      </c>
    </row>
    <row r="2343" customFormat="false" ht="15" hidden="false" customHeight="false" outlineLevel="0" collapsed="false">
      <c r="DB2343" s="0" t="str">
        <f aca="false">IF($A2343="","",IF(AND($A2343=21,$AE2343&amp;""="00000000"),IF($AH2343=20,"病院",IF($AH2343=5,"消防","市長")),"対象外"))</f>
        <v/>
      </c>
    </row>
    <row r="2344" customFormat="false" ht="15" hidden="false" customHeight="false" outlineLevel="0" collapsed="false">
      <c r="DB2344" s="0" t="str">
        <f aca="false">IF($A2344="","",IF(AND($A2344=21,$AE2344&amp;""="00000000"),IF($AH2344=20,"病院",IF($AH2344=5,"消防","市長")),"対象外"))</f>
        <v/>
      </c>
    </row>
    <row r="2345" customFormat="false" ht="15" hidden="false" customHeight="false" outlineLevel="0" collapsed="false">
      <c r="DB2345" s="0" t="str">
        <f aca="false">IF($A2345="","",IF(AND($A2345=21,$AE2345&amp;""="00000000"),IF($AH2345=20,"病院",IF($AH2345=5,"消防","市長")),"対象外"))</f>
        <v/>
      </c>
    </row>
    <row r="2346" customFormat="false" ht="15" hidden="false" customHeight="false" outlineLevel="0" collapsed="false">
      <c r="DB2346" s="0" t="str">
        <f aca="false">IF($A2346="","",IF(AND($A2346=21,$AE2346&amp;""="00000000"),IF($AH2346=20,"病院",IF($AH2346=5,"消防","市長")),"対象外"))</f>
        <v/>
      </c>
    </row>
    <row r="2347" customFormat="false" ht="15" hidden="false" customHeight="false" outlineLevel="0" collapsed="false">
      <c r="DB2347" s="0" t="str">
        <f aca="false">IF($A2347="","",IF(AND($A2347=21,$AE2347&amp;""="00000000"),IF($AH2347=20,"病院",IF($AH2347=5,"消防","市長")),"対象外"))</f>
        <v/>
      </c>
    </row>
    <row r="2348" customFormat="false" ht="15" hidden="false" customHeight="false" outlineLevel="0" collapsed="false">
      <c r="DB2348" s="0" t="str">
        <f aca="false">IF($A2348="","",IF(AND($A2348=21,$AE2348&amp;""="00000000"),IF($AH2348=20,"病院",IF($AH2348=5,"消防","市長")),"対象外"))</f>
        <v/>
      </c>
    </row>
    <row r="2349" customFormat="false" ht="15" hidden="false" customHeight="false" outlineLevel="0" collapsed="false">
      <c r="DB2349" s="0" t="str">
        <f aca="false">IF($A2349="","",IF(AND($A2349=21,$AE2349&amp;""="00000000"),IF($AH2349=20,"病院",IF($AH2349=5,"消防","市長")),"対象外"))</f>
        <v/>
      </c>
    </row>
    <row r="2350" customFormat="false" ht="15" hidden="false" customHeight="false" outlineLevel="0" collapsed="false">
      <c r="DB2350" s="0" t="str">
        <f aca="false">IF($A2350="","",IF(AND($A2350=21,$AE2350&amp;""="00000000"),IF($AH2350=20,"病院",IF($AH2350=5,"消防","市長")),"対象外"))</f>
        <v/>
      </c>
    </row>
    <row r="2351" customFormat="false" ht="15" hidden="false" customHeight="false" outlineLevel="0" collapsed="false">
      <c r="DB2351" s="0" t="str">
        <f aca="false">IF($A2351="","",IF(AND($A2351=21,$AE2351&amp;""="00000000"),IF($AH2351=20,"病院",IF($AH2351=5,"消防","市長")),"対象外"))</f>
        <v/>
      </c>
    </row>
    <row r="2352" customFormat="false" ht="15" hidden="false" customHeight="false" outlineLevel="0" collapsed="false">
      <c r="DB2352" s="0" t="str">
        <f aca="false">IF($A2352="","",IF(AND($A2352=21,$AE2352&amp;""="00000000"),IF($AH2352=20,"病院",IF($AH2352=5,"消防","市長")),"対象外"))</f>
        <v/>
      </c>
    </row>
    <row r="2353" customFormat="false" ht="15" hidden="false" customHeight="false" outlineLevel="0" collapsed="false">
      <c r="DB2353" s="0" t="str">
        <f aca="false">IF($A2353="","",IF(AND($A2353=21,$AE2353&amp;""="00000000"),IF($AH2353=20,"病院",IF($AH2353=5,"消防","市長")),"対象外"))</f>
        <v/>
      </c>
    </row>
    <row r="2354" customFormat="false" ht="15" hidden="false" customHeight="false" outlineLevel="0" collapsed="false">
      <c r="DB2354" s="0" t="str">
        <f aca="false">IF($A2354="","",IF(AND($A2354=21,$AE2354&amp;""="00000000"),IF($AH2354=20,"病院",IF($AH2354=5,"消防","市長")),"対象外"))</f>
        <v/>
      </c>
    </row>
    <row r="2355" customFormat="false" ht="15" hidden="false" customHeight="false" outlineLevel="0" collapsed="false">
      <c r="DB2355" s="0" t="str">
        <f aca="false">IF($A2355="","",IF(AND($A2355=21,$AE2355&amp;""="00000000"),IF($AH2355=20,"病院",IF($AH2355=5,"消防","市長")),"対象外"))</f>
        <v/>
      </c>
    </row>
    <row r="2356" customFormat="false" ht="15" hidden="false" customHeight="false" outlineLevel="0" collapsed="false">
      <c r="DB2356" s="0" t="str">
        <f aca="false">IF($A2356="","",IF(AND($A2356=21,$AE2356&amp;""="00000000"),IF($AH2356=20,"病院",IF($AH2356=5,"消防","市長")),"対象外"))</f>
        <v/>
      </c>
    </row>
    <row r="2357" customFormat="false" ht="15" hidden="false" customHeight="false" outlineLevel="0" collapsed="false">
      <c r="DB2357" s="0" t="str">
        <f aca="false">IF($A2357="","",IF(AND($A2357=21,$AE2357&amp;""="00000000"),IF($AH2357=20,"病院",IF($AH2357=5,"消防","市長")),"対象外"))</f>
        <v/>
      </c>
    </row>
    <row r="2358" customFormat="false" ht="15" hidden="false" customHeight="false" outlineLevel="0" collapsed="false">
      <c r="DB2358" s="0" t="str">
        <f aca="false">IF($A2358="","",IF(AND($A2358=21,$AE2358&amp;""="00000000"),IF($AH2358=20,"病院",IF($AH2358=5,"消防","市長")),"対象外"))</f>
        <v/>
      </c>
    </row>
    <row r="2359" customFormat="false" ht="15" hidden="false" customHeight="false" outlineLevel="0" collapsed="false">
      <c r="DB2359" s="0" t="str">
        <f aca="false">IF($A2359="","",IF(AND($A2359=21,$AE2359&amp;""="00000000"),IF($AH2359=20,"病院",IF($AH2359=5,"消防","市長")),"対象外"))</f>
        <v/>
      </c>
    </row>
    <row r="2360" customFormat="false" ht="15" hidden="false" customHeight="false" outlineLevel="0" collapsed="false">
      <c r="DB2360" s="0" t="str">
        <f aca="false">IF($A2360="","",IF(AND($A2360=21,$AE2360&amp;""="00000000"),IF($AH2360=20,"病院",IF($AH2360=5,"消防","市長")),"対象外"))</f>
        <v/>
      </c>
    </row>
    <row r="2361" customFormat="false" ht="15" hidden="false" customHeight="false" outlineLevel="0" collapsed="false">
      <c r="DB2361" s="0" t="str">
        <f aca="false">IF($A2361="","",IF(AND($A2361=21,$AE2361&amp;""="00000000"),IF($AH2361=20,"病院",IF($AH2361=5,"消防","市長")),"対象外"))</f>
        <v/>
      </c>
    </row>
    <row r="2362" customFormat="false" ht="15" hidden="false" customHeight="false" outlineLevel="0" collapsed="false">
      <c r="DB2362" s="0" t="str">
        <f aca="false">IF($A2362="","",IF(AND($A2362=21,$AE2362&amp;""="00000000"),IF($AH2362=20,"病院",IF($AH2362=5,"消防","市長")),"対象外"))</f>
        <v/>
      </c>
    </row>
    <row r="2363" customFormat="false" ht="15" hidden="false" customHeight="false" outlineLevel="0" collapsed="false">
      <c r="DB2363" s="0" t="str">
        <f aca="false">IF($A2363="","",IF(AND($A2363=21,$AE2363&amp;""="00000000"),IF($AH2363=20,"病院",IF($AH2363=5,"消防","市長")),"対象外"))</f>
        <v/>
      </c>
    </row>
    <row r="2364" customFormat="false" ht="15" hidden="false" customHeight="false" outlineLevel="0" collapsed="false">
      <c r="DB2364" s="0" t="str">
        <f aca="false">IF($A2364="","",IF(AND($A2364=21,$AE2364&amp;""="00000000"),IF($AH2364=20,"病院",IF($AH2364=5,"消防","市長")),"対象外"))</f>
        <v/>
      </c>
    </row>
    <row r="2365" customFormat="false" ht="15" hidden="false" customHeight="false" outlineLevel="0" collapsed="false">
      <c r="DB2365" s="0" t="str">
        <f aca="false">IF($A2365="","",IF(AND($A2365=21,$AE2365&amp;""="00000000"),IF($AH2365=20,"病院",IF($AH2365=5,"消防","市長")),"対象外"))</f>
        <v/>
      </c>
    </row>
    <row r="2366" customFormat="false" ht="15" hidden="false" customHeight="false" outlineLevel="0" collapsed="false">
      <c r="DB2366" s="0" t="str">
        <f aca="false">IF($A2366="","",IF(AND($A2366=21,$AE2366&amp;""="00000000"),IF($AH2366=20,"病院",IF($AH2366=5,"消防","市長")),"対象外"))</f>
        <v/>
      </c>
    </row>
    <row r="2367" customFormat="false" ht="15" hidden="false" customHeight="false" outlineLevel="0" collapsed="false">
      <c r="DB2367" s="0" t="str">
        <f aca="false">IF($A2367="","",IF(AND($A2367=21,$AE2367&amp;""="00000000"),IF($AH2367=20,"病院",IF($AH2367=5,"消防","市長")),"対象外"))</f>
        <v/>
      </c>
    </row>
    <row r="2368" customFormat="false" ht="15" hidden="false" customHeight="false" outlineLevel="0" collapsed="false">
      <c r="DB2368" s="0" t="str">
        <f aca="false">IF($A2368="","",IF(AND($A2368=21,$AE2368&amp;""="00000000"),IF($AH2368=20,"病院",IF($AH2368=5,"消防","市長")),"対象外"))</f>
        <v/>
      </c>
    </row>
    <row r="2369" customFormat="false" ht="15" hidden="false" customHeight="false" outlineLevel="0" collapsed="false">
      <c r="DB2369" s="0" t="str">
        <f aca="false">IF($A2369="","",IF(AND($A2369=21,$AE2369&amp;""="00000000"),IF($AH2369=20,"病院",IF($AH2369=5,"消防","市長")),"対象外"))</f>
        <v/>
      </c>
    </row>
    <row r="2370" customFormat="false" ht="15" hidden="false" customHeight="false" outlineLevel="0" collapsed="false">
      <c r="DB2370" s="0" t="str">
        <f aca="false">IF($A2370="","",IF(AND($A2370=21,$AE2370&amp;""="00000000"),IF($AH2370=20,"病院",IF($AH2370=5,"消防","市長")),"対象外"))</f>
        <v/>
      </c>
    </row>
    <row r="2371" customFormat="false" ht="15" hidden="false" customHeight="false" outlineLevel="0" collapsed="false">
      <c r="DB2371" s="0" t="str">
        <f aca="false">IF($A2371="","",IF(AND($A2371=21,$AE2371&amp;""="00000000"),IF($AH2371=20,"病院",IF($AH2371=5,"消防","市長")),"対象外"))</f>
        <v/>
      </c>
    </row>
    <row r="2372" customFormat="false" ht="15" hidden="false" customHeight="false" outlineLevel="0" collapsed="false">
      <c r="DB2372" s="0" t="str">
        <f aca="false">IF($A2372="","",IF(AND($A2372=21,$AE2372&amp;""="00000000"),IF($AH2372=20,"病院",IF($AH2372=5,"消防","市長")),"対象外"))</f>
        <v/>
      </c>
    </row>
    <row r="2373" customFormat="false" ht="15" hidden="false" customHeight="false" outlineLevel="0" collapsed="false">
      <c r="DB2373" s="0" t="str">
        <f aca="false">IF($A2373="","",IF(AND($A2373=21,$AE2373&amp;""="00000000"),IF($AH2373=20,"病院",IF($AH2373=5,"消防","市長")),"対象外"))</f>
        <v/>
      </c>
    </row>
    <row r="2374" customFormat="false" ht="15" hidden="false" customHeight="false" outlineLevel="0" collapsed="false">
      <c r="DB2374" s="0" t="str">
        <f aca="false">IF($A2374="","",IF(AND($A2374=21,$AE2374&amp;""="00000000"),IF($AH2374=20,"病院",IF($AH2374=5,"消防","市長")),"対象外"))</f>
        <v/>
      </c>
    </row>
    <row r="2375" customFormat="false" ht="15" hidden="false" customHeight="false" outlineLevel="0" collapsed="false">
      <c r="DB2375" s="0" t="str">
        <f aca="false">IF($A2375="","",IF(AND($A2375=21,$AE2375&amp;""="00000000"),IF($AH2375=20,"病院",IF($AH2375=5,"消防","市長")),"対象外"))</f>
        <v/>
      </c>
    </row>
    <row r="2376" customFormat="false" ht="15" hidden="false" customHeight="false" outlineLevel="0" collapsed="false">
      <c r="DB2376" s="0" t="str">
        <f aca="false">IF($A2376="","",IF(AND($A2376=21,$AE2376&amp;""="00000000"),IF($AH2376=20,"病院",IF($AH2376=5,"消防","市長")),"対象外"))</f>
        <v/>
      </c>
    </row>
    <row r="2377" customFormat="false" ht="15" hidden="false" customHeight="false" outlineLevel="0" collapsed="false">
      <c r="DB2377" s="0" t="str">
        <f aca="false">IF($A2377="","",IF(AND($A2377=21,$AE2377&amp;""="00000000"),IF($AH2377=20,"病院",IF($AH2377=5,"消防","市長")),"対象外"))</f>
        <v/>
      </c>
    </row>
    <row r="2378" customFormat="false" ht="15" hidden="false" customHeight="false" outlineLevel="0" collapsed="false">
      <c r="DB2378" s="0" t="str">
        <f aca="false">IF($A2378="","",IF(AND($A2378=21,$AE2378&amp;""="00000000"),IF($AH2378=20,"病院",IF($AH2378=5,"消防","市長")),"対象外"))</f>
        <v/>
      </c>
    </row>
    <row r="2379" customFormat="false" ht="15" hidden="false" customHeight="false" outlineLevel="0" collapsed="false">
      <c r="DB2379" s="0" t="str">
        <f aca="false">IF($A2379="","",IF(AND($A2379=21,$AE2379&amp;""="00000000"),IF($AH2379=20,"病院",IF($AH2379=5,"消防","市長")),"対象外"))</f>
        <v/>
      </c>
    </row>
    <row r="2380" customFormat="false" ht="15" hidden="false" customHeight="false" outlineLevel="0" collapsed="false">
      <c r="DB2380" s="0" t="str">
        <f aca="false">IF($A2380="","",IF(AND($A2380=21,$AE2380&amp;""="00000000"),IF($AH2380=20,"病院",IF($AH2380=5,"消防","市長")),"対象外"))</f>
        <v/>
      </c>
    </row>
    <row r="2381" customFormat="false" ht="15" hidden="false" customHeight="false" outlineLevel="0" collapsed="false">
      <c r="DB2381" s="0" t="str">
        <f aca="false">IF($A2381="","",IF(AND($A2381=21,$AE2381&amp;""="00000000"),IF($AH2381=20,"病院",IF($AH2381=5,"消防","市長")),"対象外"))</f>
        <v/>
      </c>
    </row>
    <row r="2382" customFormat="false" ht="15" hidden="false" customHeight="false" outlineLevel="0" collapsed="false">
      <c r="DB2382" s="0" t="str">
        <f aca="false">IF($A2382="","",IF(AND($A2382=21,$AE2382&amp;""="00000000"),IF($AH2382=20,"病院",IF($AH2382=5,"消防","市長")),"対象外"))</f>
        <v/>
      </c>
    </row>
    <row r="2383" customFormat="false" ht="15" hidden="false" customHeight="false" outlineLevel="0" collapsed="false">
      <c r="DB2383" s="0" t="str">
        <f aca="false">IF($A2383="","",IF(AND($A2383=21,$AE2383&amp;""="00000000"),IF($AH2383=20,"病院",IF($AH2383=5,"消防","市長")),"対象外"))</f>
        <v/>
      </c>
    </row>
    <row r="2384" customFormat="false" ht="15" hidden="false" customHeight="false" outlineLevel="0" collapsed="false">
      <c r="DB2384" s="0" t="str">
        <f aca="false">IF($A2384="","",IF(AND($A2384=21,$AE2384&amp;""="00000000"),IF($AH2384=20,"病院",IF($AH2384=5,"消防","市長")),"対象外"))</f>
        <v/>
      </c>
    </row>
    <row r="2385" customFormat="false" ht="15" hidden="false" customHeight="false" outlineLevel="0" collapsed="false">
      <c r="DB2385" s="0" t="str">
        <f aca="false">IF($A2385="","",IF(AND($A2385=21,$AE2385&amp;""="00000000"),IF($AH2385=20,"病院",IF($AH2385=5,"消防","市長")),"対象外"))</f>
        <v/>
      </c>
    </row>
    <row r="2386" customFormat="false" ht="15" hidden="false" customHeight="false" outlineLevel="0" collapsed="false">
      <c r="DB2386" s="0" t="str">
        <f aca="false">IF($A2386="","",IF(AND($A2386=21,$AE2386&amp;""="00000000"),IF($AH2386=20,"病院",IF($AH2386=5,"消防","市長")),"対象外"))</f>
        <v/>
      </c>
    </row>
    <row r="2387" customFormat="false" ht="15" hidden="false" customHeight="false" outlineLevel="0" collapsed="false">
      <c r="DB2387" s="0" t="str">
        <f aca="false">IF($A2387="","",IF(AND($A2387=21,$AE2387&amp;""="00000000"),IF($AH2387=20,"病院",IF($AH2387=5,"消防","市長")),"対象外"))</f>
        <v/>
      </c>
    </row>
    <row r="2388" customFormat="false" ht="15" hidden="false" customHeight="false" outlineLevel="0" collapsed="false">
      <c r="DB2388" s="0" t="str">
        <f aca="false">IF($A2388="","",IF(AND($A2388=21,$AE2388&amp;""="00000000"),IF($AH2388=20,"病院",IF($AH2388=5,"消防","市長")),"対象外"))</f>
        <v/>
      </c>
    </row>
    <row r="2389" customFormat="false" ht="15" hidden="false" customHeight="false" outlineLevel="0" collapsed="false">
      <c r="DB2389" s="0" t="str">
        <f aca="false">IF($A2389="","",IF(AND($A2389=21,$AE2389&amp;""="00000000"),IF($AH2389=20,"病院",IF($AH2389=5,"消防","市長")),"対象外"))</f>
        <v/>
      </c>
    </row>
    <row r="2390" customFormat="false" ht="15" hidden="false" customHeight="false" outlineLevel="0" collapsed="false">
      <c r="DB2390" s="0" t="str">
        <f aca="false">IF($A2390="","",IF(AND($A2390=21,$AE2390&amp;""="00000000"),IF($AH2390=20,"病院",IF($AH2390=5,"消防","市長")),"対象外"))</f>
        <v/>
      </c>
    </row>
    <row r="2391" customFormat="false" ht="15" hidden="false" customHeight="false" outlineLevel="0" collapsed="false">
      <c r="DB2391" s="0" t="str">
        <f aca="false">IF($A2391="","",IF(AND($A2391=21,$AE2391&amp;""="00000000"),IF($AH2391=20,"病院",IF($AH2391=5,"消防","市長")),"対象外"))</f>
        <v/>
      </c>
    </row>
    <row r="2392" customFormat="false" ht="15" hidden="false" customHeight="false" outlineLevel="0" collapsed="false">
      <c r="DB2392" s="0" t="str">
        <f aca="false">IF($A2392="","",IF(AND($A2392=21,$AE2392&amp;""="00000000"),IF($AH2392=20,"病院",IF($AH2392=5,"消防","市長")),"対象外"))</f>
        <v/>
      </c>
    </row>
    <row r="2393" customFormat="false" ht="15" hidden="false" customHeight="false" outlineLevel="0" collapsed="false">
      <c r="DB2393" s="0" t="str">
        <f aca="false">IF($A2393="","",IF(AND($A2393=21,$AE2393&amp;""="00000000"),IF($AH2393=20,"病院",IF($AH2393=5,"消防","市長")),"対象外"))</f>
        <v/>
      </c>
    </row>
    <row r="2394" customFormat="false" ht="15" hidden="false" customHeight="false" outlineLevel="0" collapsed="false">
      <c r="DB2394" s="0" t="str">
        <f aca="false">IF($A2394="","",IF(AND($A2394=21,$AE2394&amp;""="00000000"),IF($AH2394=20,"病院",IF($AH2394=5,"消防","市長")),"対象外"))</f>
        <v/>
      </c>
    </row>
    <row r="2395" customFormat="false" ht="15" hidden="false" customHeight="false" outlineLevel="0" collapsed="false">
      <c r="DB2395" s="0" t="str">
        <f aca="false">IF($A2395="","",IF(AND($A2395=21,$AE2395&amp;""="00000000"),IF($AH2395=20,"病院",IF($AH2395=5,"消防","市長")),"対象外"))</f>
        <v/>
      </c>
    </row>
    <row r="2396" customFormat="false" ht="15" hidden="false" customHeight="false" outlineLevel="0" collapsed="false">
      <c r="DB2396" s="0" t="str">
        <f aca="false">IF($A2396="","",IF(AND($A2396=21,$AE2396&amp;""="00000000"),IF($AH2396=20,"病院",IF($AH2396=5,"消防","市長")),"対象外"))</f>
        <v/>
      </c>
    </row>
    <row r="2397" customFormat="false" ht="15" hidden="false" customHeight="false" outlineLevel="0" collapsed="false">
      <c r="DB2397" s="0" t="str">
        <f aca="false">IF($A2397="","",IF(AND($A2397=21,$AE2397&amp;""="00000000"),IF($AH2397=20,"病院",IF($AH2397=5,"消防","市長")),"対象外"))</f>
        <v/>
      </c>
    </row>
    <row r="2398" customFormat="false" ht="15" hidden="false" customHeight="false" outlineLevel="0" collapsed="false">
      <c r="DB2398" s="0" t="str">
        <f aca="false">IF($A2398="","",IF(AND($A2398=21,$AE2398&amp;""="00000000"),IF($AH2398=20,"病院",IF($AH2398=5,"消防","市長")),"対象外"))</f>
        <v/>
      </c>
    </row>
    <row r="2399" customFormat="false" ht="15" hidden="false" customHeight="false" outlineLevel="0" collapsed="false">
      <c r="DB2399" s="0" t="str">
        <f aca="false">IF($A2399="","",IF(AND($A2399=21,$AE2399&amp;""="00000000"),IF($AH2399=20,"病院",IF($AH2399=5,"消防","市長")),"対象外"))</f>
        <v/>
      </c>
    </row>
    <row r="2400" customFormat="false" ht="15" hidden="false" customHeight="false" outlineLevel="0" collapsed="false">
      <c r="DB2400" s="0" t="str">
        <f aca="false">IF($A2400="","",IF(AND($A2400=21,$AE2400&amp;""="00000000"),IF($AH2400=20,"病院",IF($AH2400=5,"消防","市長")),"対象外"))</f>
        <v/>
      </c>
    </row>
    <row r="2401" customFormat="false" ht="15" hidden="false" customHeight="false" outlineLevel="0" collapsed="false">
      <c r="DB2401" s="0" t="str">
        <f aca="false">IF($A2401="","",IF(AND($A2401=21,$AE2401&amp;""="00000000"),IF($AH2401=20,"病院",IF($AH2401=5,"消防","市長")),"対象外"))</f>
        <v/>
      </c>
    </row>
    <row r="2402" customFormat="false" ht="15" hidden="false" customHeight="false" outlineLevel="0" collapsed="false">
      <c r="DB2402" s="0" t="str">
        <f aca="false">IF($A2402="","",IF(AND($A2402=21,$AE2402&amp;""="00000000"),IF($AH2402=20,"病院",IF($AH2402=5,"消防","市長")),"対象外"))</f>
        <v/>
      </c>
    </row>
    <row r="2403" customFormat="false" ht="15" hidden="false" customHeight="false" outlineLevel="0" collapsed="false">
      <c r="DB2403" s="0" t="str">
        <f aca="false">IF($A2403="","",IF(AND($A2403=21,$AE2403&amp;""="00000000"),IF($AH2403=20,"病院",IF($AH2403=5,"消防","市長")),"対象外"))</f>
        <v/>
      </c>
    </row>
    <row r="2404" customFormat="false" ht="15" hidden="false" customHeight="false" outlineLevel="0" collapsed="false">
      <c r="DB2404" s="0" t="str">
        <f aca="false">IF($A2404="","",IF(AND($A2404=21,$AE2404&amp;""="00000000"),IF($AH2404=20,"病院",IF($AH2404=5,"消防","市長")),"対象外"))</f>
        <v/>
      </c>
    </row>
    <row r="2405" customFormat="false" ht="15" hidden="false" customHeight="false" outlineLevel="0" collapsed="false">
      <c r="DB2405" s="0" t="str">
        <f aca="false">IF($A2405="","",IF(AND($A2405=21,$AE2405&amp;""="00000000"),IF($AH2405=20,"病院",IF($AH2405=5,"消防","市長")),"対象外"))</f>
        <v/>
      </c>
    </row>
    <row r="2406" customFormat="false" ht="15" hidden="false" customHeight="false" outlineLevel="0" collapsed="false">
      <c r="DB2406" s="0" t="str">
        <f aca="false">IF($A2406="","",IF(AND($A2406=21,$AE2406&amp;""="00000000"),IF($AH2406=20,"病院",IF($AH2406=5,"消防","市長")),"対象外"))</f>
        <v/>
      </c>
    </row>
    <row r="2407" customFormat="false" ht="15" hidden="false" customHeight="false" outlineLevel="0" collapsed="false">
      <c r="DB2407" s="0" t="str">
        <f aca="false">IF($A2407="","",IF(AND($A2407=21,$AE2407&amp;""="00000000"),IF($AH2407=20,"病院",IF($AH2407=5,"消防","市長")),"対象外"))</f>
        <v/>
      </c>
    </row>
    <row r="2408" customFormat="false" ht="15" hidden="false" customHeight="false" outlineLevel="0" collapsed="false">
      <c r="DB2408" s="0" t="str">
        <f aca="false">IF($A2408="","",IF(AND($A2408=21,$AE2408&amp;""="00000000"),IF($AH2408=20,"病院",IF($AH2408=5,"消防","市長")),"対象外"))</f>
        <v/>
      </c>
    </row>
    <row r="2409" customFormat="false" ht="15" hidden="false" customHeight="false" outlineLevel="0" collapsed="false">
      <c r="DB2409" s="0" t="str">
        <f aca="false">IF($A2409="","",IF(AND($A2409=21,$AE2409&amp;""="00000000"),IF($AH2409=20,"病院",IF($AH2409=5,"消防","市長")),"対象外"))</f>
        <v/>
      </c>
    </row>
    <row r="2410" customFormat="false" ht="15" hidden="false" customHeight="false" outlineLevel="0" collapsed="false">
      <c r="DB2410" s="0" t="str">
        <f aca="false">IF($A2410="","",IF(AND($A2410=21,$AE2410&amp;""="00000000"),IF($AH2410=20,"病院",IF($AH2410=5,"消防","市長")),"対象外"))</f>
        <v/>
      </c>
    </row>
    <row r="2411" customFormat="false" ht="15" hidden="false" customHeight="false" outlineLevel="0" collapsed="false">
      <c r="DB2411" s="0" t="str">
        <f aca="false">IF($A2411="","",IF(AND($A2411=21,$AE2411&amp;""="00000000"),IF($AH2411=20,"病院",IF($AH2411=5,"消防","市長")),"対象外"))</f>
        <v/>
      </c>
    </row>
    <row r="2412" customFormat="false" ht="15" hidden="false" customHeight="false" outlineLevel="0" collapsed="false">
      <c r="DB2412" s="0" t="str">
        <f aca="false">IF($A2412="","",IF(AND($A2412=21,$AE2412&amp;""="00000000"),IF($AH2412=20,"病院",IF($AH2412=5,"消防","市長")),"対象外"))</f>
        <v/>
      </c>
    </row>
    <row r="2413" customFormat="false" ht="15" hidden="false" customHeight="false" outlineLevel="0" collapsed="false">
      <c r="DB2413" s="0" t="str">
        <f aca="false">IF($A2413="","",IF(AND($A2413=21,$AE2413&amp;""="00000000"),IF($AH2413=20,"病院",IF($AH2413=5,"消防","市長")),"対象外"))</f>
        <v/>
      </c>
    </row>
    <row r="2414" customFormat="false" ht="15" hidden="false" customHeight="false" outlineLevel="0" collapsed="false">
      <c r="DB2414" s="0" t="str">
        <f aca="false">IF($A2414="","",IF(AND($A2414=21,$AE2414&amp;""="00000000"),IF($AH2414=20,"病院",IF($AH2414=5,"消防","市長")),"対象外"))</f>
        <v/>
      </c>
    </row>
    <row r="2415" customFormat="false" ht="15" hidden="false" customHeight="false" outlineLevel="0" collapsed="false">
      <c r="DB2415" s="0" t="str">
        <f aca="false">IF($A2415="","",IF(AND($A2415=21,$AE2415&amp;""="00000000"),IF($AH2415=20,"病院",IF($AH2415=5,"消防","市長")),"対象外"))</f>
        <v/>
      </c>
    </row>
    <row r="2416" customFormat="false" ht="15" hidden="false" customHeight="false" outlineLevel="0" collapsed="false">
      <c r="DB2416" s="0" t="str">
        <f aca="false">IF($A2416="","",IF(AND($A2416=21,$AE2416&amp;""="00000000"),IF($AH2416=20,"病院",IF($AH2416=5,"消防","市長")),"対象外"))</f>
        <v/>
      </c>
    </row>
    <row r="2417" customFormat="false" ht="15" hidden="false" customHeight="false" outlineLevel="0" collapsed="false">
      <c r="DB2417" s="0" t="str">
        <f aca="false">IF($A2417="","",IF(AND($A2417=21,$AE2417&amp;""="00000000"),IF($AH2417=20,"病院",IF($AH2417=5,"消防","市長")),"対象外"))</f>
        <v/>
      </c>
    </row>
    <row r="2418" customFormat="false" ht="15" hidden="false" customHeight="false" outlineLevel="0" collapsed="false">
      <c r="DB2418" s="0" t="str">
        <f aca="false">IF($A2418="","",IF(AND($A2418=21,$AE2418&amp;""="00000000"),IF($AH2418=20,"病院",IF($AH2418=5,"消防","市長")),"対象外"))</f>
        <v/>
      </c>
    </row>
    <row r="2419" customFormat="false" ht="15" hidden="false" customHeight="false" outlineLevel="0" collapsed="false">
      <c r="DB2419" s="0" t="str">
        <f aca="false">IF($A2419="","",IF(AND($A2419=21,$AE2419&amp;""="00000000"),IF($AH2419=20,"病院",IF($AH2419=5,"消防","市長")),"対象外"))</f>
        <v/>
      </c>
    </row>
    <row r="2420" customFormat="false" ht="15" hidden="false" customHeight="false" outlineLevel="0" collapsed="false">
      <c r="DB2420" s="0" t="str">
        <f aca="false">IF($A2420="","",IF(AND($A2420=21,$AE2420&amp;""="00000000"),IF($AH2420=20,"病院",IF($AH2420=5,"消防","市長")),"対象外"))</f>
        <v/>
      </c>
    </row>
    <row r="2421" customFormat="false" ht="15" hidden="false" customHeight="false" outlineLevel="0" collapsed="false">
      <c r="DB2421" s="0" t="str">
        <f aca="false">IF($A2421="","",IF(AND($A2421=21,$AE2421&amp;""="00000000"),IF($AH2421=20,"病院",IF($AH2421=5,"消防","市長")),"対象外"))</f>
        <v/>
      </c>
    </row>
    <row r="2422" customFormat="false" ht="15" hidden="false" customHeight="false" outlineLevel="0" collapsed="false">
      <c r="DB2422" s="0" t="str">
        <f aca="false">IF($A2422="","",IF(AND($A2422=21,$AE2422&amp;""="00000000"),IF($AH2422=20,"病院",IF($AH2422=5,"消防","市長")),"対象外"))</f>
        <v/>
      </c>
    </row>
    <row r="2423" customFormat="false" ht="15" hidden="false" customHeight="false" outlineLevel="0" collapsed="false">
      <c r="DB2423" s="0" t="str">
        <f aca="false">IF($A2423="","",IF(AND($A2423=21,$AE2423&amp;""="00000000"),IF($AH2423=20,"病院",IF($AH2423=5,"消防","市長")),"対象外"))</f>
        <v/>
      </c>
    </row>
    <row r="2424" customFormat="false" ht="15" hidden="false" customHeight="false" outlineLevel="0" collapsed="false">
      <c r="DB2424" s="0" t="str">
        <f aca="false">IF($A2424="","",IF(AND($A2424=21,$AE2424&amp;""="00000000"),IF($AH2424=20,"病院",IF($AH2424=5,"消防","市長")),"対象外"))</f>
        <v/>
      </c>
    </row>
    <row r="2425" customFormat="false" ht="15" hidden="false" customHeight="false" outlineLevel="0" collapsed="false">
      <c r="DB2425" s="0" t="str">
        <f aca="false">IF($A2425="","",IF(AND($A2425=21,$AE2425&amp;""="00000000"),IF($AH2425=20,"病院",IF($AH2425=5,"消防","市長")),"対象外"))</f>
        <v/>
      </c>
    </row>
    <row r="2426" customFormat="false" ht="15" hidden="false" customHeight="false" outlineLevel="0" collapsed="false">
      <c r="DB2426" s="0" t="str">
        <f aca="false">IF($A2426="","",IF(AND($A2426=21,$AE2426&amp;""="00000000"),IF($AH2426=20,"病院",IF($AH2426=5,"消防","市長")),"対象外"))</f>
        <v/>
      </c>
    </row>
    <row r="2427" customFormat="false" ht="15" hidden="false" customHeight="false" outlineLevel="0" collapsed="false">
      <c r="DB2427" s="0" t="str">
        <f aca="false">IF($A2427="","",IF(AND($A2427=21,$AE2427&amp;""="00000000"),IF($AH2427=20,"病院",IF($AH2427=5,"消防","市長")),"対象外"))</f>
        <v/>
      </c>
    </row>
    <row r="2428" customFormat="false" ht="15" hidden="false" customHeight="false" outlineLevel="0" collapsed="false">
      <c r="DB2428" s="0" t="str">
        <f aca="false">IF($A2428="","",IF(AND($A2428=21,$AE2428&amp;""="00000000"),IF($AH2428=20,"病院",IF($AH2428=5,"消防","市長")),"対象外"))</f>
        <v/>
      </c>
    </row>
    <row r="2429" customFormat="false" ht="15" hidden="false" customHeight="false" outlineLevel="0" collapsed="false">
      <c r="DB2429" s="0" t="str">
        <f aca="false">IF($A2429="","",IF(AND($A2429=21,$AE2429&amp;""="00000000"),IF($AH2429=20,"病院",IF($AH2429=5,"消防","市長")),"対象外"))</f>
        <v/>
      </c>
    </row>
    <row r="2430" customFormat="false" ht="15" hidden="false" customHeight="false" outlineLevel="0" collapsed="false">
      <c r="DB2430" s="0" t="str">
        <f aca="false">IF($A2430="","",IF(AND($A2430=21,$AE2430&amp;""="00000000"),IF($AH2430=20,"病院",IF($AH2430=5,"消防","市長")),"対象外"))</f>
        <v/>
      </c>
    </row>
    <row r="2431" customFormat="false" ht="15" hidden="false" customHeight="false" outlineLevel="0" collapsed="false">
      <c r="DB2431" s="0" t="str">
        <f aca="false">IF($A2431="","",IF(AND($A2431=21,$AE2431&amp;""="00000000"),IF($AH2431=20,"病院",IF($AH2431=5,"消防","市長")),"対象外"))</f>
        <v/>
      </c>
    </row>
    <row r="2432" customFormat="false" ht="15" hidden="false" customHeight="false" outlineLevel="0" collapsed="false">
      <c r="DB2432" s="0" t="str">
        <f aca="false">IF($A2432="","",IF(AND($A2432=21,$AE2432&amp;""="00000000"),IF($AH2432=20,"病院",IF($AH2432=5,"消防","市長")),"対象外"))</f>
        <v/>
      </c>
    </row>
    <row r="2433" customFormat="false" ht="15" hidden="false" customHeight="false" outlineLevel="0" collapsed="false">
      <c r="DB2433" s="0" t="str">
        <f aca="false">IF($A2433="","",IF(AND($A2433=21,$AE2433&amp;""="00000000"),IF($AH2433=20,"病院",IF($AH2433=5,"消防","市長")),"対象外"))</f>
        <v/>
      </c>
    </row>
    <row r="2434" customFormat="false" ht="15" hidden="false" customHeight="false" outlineLevel="0" collapsed="false">
      <c r="DB2434" s="0" t="str">
        <f aca="false">IF($A2434="","",IF(AND($A2434=21,$AE2434&amp;""="00000000"),IF($AH2434=20,"病院",IF($AH2434=5,"消防","市長")),"対象外"))</f>
        <v/>
      </c>
    </row>
    <row r="2435" customFormat="false" ht="15" hidden="false" customHeight="false" outlineLevel="0" collapsed="false">
      <c r="DB2435" s="0" t="str">
        <f aca="false">IF($A2435="","",IF(AND($A2435=21,$AE2435&amp;""="00000000"),IF($AH2435=20,"病院",IF($AH2435=5,"消防","市長")),"対象外"))</f>
        <v/>
      </c>
    </row>
    <row r="2436" customFormat="false" ht="15" hidden="false" customHeight="false" outlineLevel="0" collapsed="false">
      <c r="DB2436" s="0" t="str">
        <f aca="false">IF($A2436="","",IF(AND($A2436=21,$AE2436&amp;""="00000000"),IF($AH2436=20,"病院",IF($AH2436=5,"消防","市長")),"対象外"))</f>
        <v/>
      </c>
    </row>
    <row r="2437" customFormat="false" ht="15" hidden="false" customHeight="false" outlineLevel="0" collapsed="false">
      <c r="DB2437" s="0" t="str">
        <f aca="false">IF($A2437="","",IF(AND($A2437=21,$AE2437&amp;""="00000000"),IF($AH2437=20,"病院",IF($AH2437=5,"消防","市長")),"対象外"))</f>
        <v/>
      </c>
    </row>
    <row r="2438" customFormat="false" ht="15" hidden="false" customHeight="false" outlineLevel="0" collapsed="false">
      <c r="DB2438" s="0" t="str">
        <f aca="false">IF($A2438="","",IF(AND($A2438=21,$AE2438&amp;""="00000000"),IF($AH2438=20,"病院",IF($AH2438=5,"消防","市長")),"対象外"))</f>
        <v/>
      </c>
    </row>
    <row r="2439" customFormat="false" ht="15" hidden="false" customHeight="false" outlineLevel="0" collapsed="false">
      <c r="DB2439" s="0" t="str">
        <f aca="false">IF($A2439="","",IF(AND($A2439=21,$AE2439&amp;""="00000000"),IF($AH2439=20,"病院",IF($AH2439=5,"消防","市長")),"対象外"))</f>
        <v/>
      </c>
    </row>
    <row r="2440" customFormat="false" ht="15" hidden="false" customHeight="false" outlineLevel="0" collapsed="false">
      <c r="DB2440" s="0" t="str">
        <f aca="false">IF($A2440="","",IF(AND($A2440=21,$AE2440&amp;""="00000000"),IF($AH2440=20,"病院",IF($AH2440=5,"消防","市長")),"対象外"))</f>
        <v/>
      </c>
    </row>
    <row r="2441" customFormat="false" ht="15" hidden="false" customHeight="false" outlineLevel="0" collapsed="false">
      <c r="DB2441" s="0" t="str">
        <f aca="false">IF($A2441="","",IF(AND($A2441=21,$AE2441&amp;""="00000000"),IF($AH2441=20,"病院",IF($AH2441=5,"消防","市長")),"対象外"))</f>
        <v/>
      </c>
    </row>
    <row r="2442" customFormat="false" ht="15" hidden="false" customHeight="false" outlineLevel="0" collapsed="false">
      <c r="DB2442" s="0" t="str">
        <f aca="false">IF($A2442="","",IF(AND($A2442=21,$AE2442&amp;""="00000000"),IF($AH2442=20,"病院",IF($AH2442=5,"消防","市長")),"対象外"))</f>
        <v/>
      </c>
    </row>
    <row r="2443" customFormat="false" ht="15" hidden="false" customHeight="false" outlineLevel="0" collapsed="false">
      <c r="DB2443" s="0" t="str">
        <f aca="false">IF($A2443="","",IF(AND($A2443=21,$AE2443&amp;""="00000000"),IF($AH2443=20,"病院",IF($AH2443=5,"消防","市長")),"対象外"))</f>
        <v/>
      </c>
    </row>
    <row r="2444" customFormat="false" ht="15" hidden="false" customHeight="false" outlineLevel="0" collapsed="false">
      <c r="DB2444" s="0" t="str">
        <f aca="false">IF($A2444="","",IF(AND($A2444=21,$AE2444&amp;""="00000000"),IF($AH2444=20,"病院",IF($AH2444=5,"消防","市長")),"対象外"))</f>
        <v/>
      </c>
    </row>
    <row r="2445" customFormat="false" ht="15" hidden="false" customHeight="false" outlineLevel="0" collapsed="false">
      <c r="DB2445" s="0" t="str">
        <f aca="false">IF($A2445="","",IF(AND($A2445=21,$AE2445&amp;""="00000000"),IF($AH2445=20,"病院",IF($AH2445=5,"消防","市長")),"対象外"))</f>
        <v/>
      </c>
    </row>
    <row r="2446" customFormat="false" ht="15" hidden="false" customHeight="false" outlineLevel="0" collapsed="false">
      <c r="DB2446" s="0" t="str">
        <f aca="false">IF($A2446="","",IF(AND($A2446=21,$AE2446&amp;""="00000000"),IF($AH2446=20,"病院",IF($AH2446=5,"消防","市長")),"対象外"))</f>
        <v/>
      </c>
    </row>
    <row r="2447" customFormat="false" ht="15" hidden="false" customHeight="false" outlineLevel="0" collapsed="false">
      <c r="DB2447" s="0" t="str">
        <f aca="false">IF($A2447="","",IF(AND($A2447=21,$AE2447&amp;""="00000000"),IF($AH2447=20,"病院",IF($AH2447=5,"消防","市長")),"対象外"))</f>
        <v/>
      </c>
    </row>
    <row r="2448" customFormat="false" ht="15" hidden="false" customHeight="false" outlineLevel="0" collapsed="false">
      <c r="DB2448" s="0" t="str">
        <f aca="false">IF($A2448="","",IF(AND($A2448=21,$AE2448&amp;""="00000000"),IF($AH2448=20,"病院",IF($AH2448=5,"消防","市長")),"対象外"))</f>
        <v/>
      </c>
    </row>
    <row r="2449" customFormat="false" ht="15" hidden="false" customHeight="false" outlineLevel="0" collapsed="false">
      <c r="DB2449" s="0" t="str">
        <f aca="false">IF($A2449="","",IF(AND($A2449=21,$AE2449&amp;""="00000000"),IF($AH2449=20,"病院",IF($AH2449=5,"消防","市長")),"対象外"))</f>
        <v/>
      </c>
    </row>
    <row r="2450" customFormat="false" ht="15" hidden="false" customHeight="false" outlineLevel="0" collapsed="false">
      <c r="DB2450" s="0" t="str">
        <f aca="false">IF($A2450="","",IF(AND($A2450=21,$AE2450&amp;""="00000000"),IF($AH2450=20,"病院",IF($AH2450=5,"消防","市長")),"対象外"))</f>
        <v/>
      </c>
    </row>
    <row r="2451" customFormat="false" ht="15" hidden="false" customHeight="false" outlineLevel="0" collapsed="false">
      <c r="DB2451" s="0" t="str">
        <f aca="false">IF($A2451="","",IF(AND($A2451=21,$AE2451&amp;""="00000000"),IF($AH2451=20,"病院",IF($AH2451=5,"消防","市長")),"対象外"))</f>
        <v/>
      </c>
    </row>
    <row r="2452" customFormat="false" ht="15" hidden="false" customHeight="false" outlineLevel="0" collapsed="false">
      <c r="DB2452" s="0" t="str">
        <f aca="false">IF($A2452="","",IF(AND($A2452=21,$AE2452&amp;""="00000000"),IF($AH2452=20,"病院",IF($AH2452=5,"消防","市長")),"対象外"))</f>
        <v/>
      </c>
    </row>
    <row r="2453" customFormat="false" ht="15" hidden="false" customHeight="false" outlineLevel="0" collapsed="false">
      <c r="DB2453" s="0" t="str">
        <f aca="false">IF($A2453="","",IF(AND($A2453=21,$AE2453&amp;""="00000000"),IF($AH2453=20,"病院",IF($AH2453=5,"消防","市長")),"対象外"))</f>
        <v/>
      </c>
    </row>
    <row r="2454" customFormat="false" ht="15" hidden="false" customHeight="false" outlineLevel="0" collapsed="false">
      <c r="DB2454" s="0" t="str">
        <f aca="false">IF($A2454="","",IF(AND($A2454=21,$AE2454&amp;""="00000000"),IF($AH2454=20,"病院",IF($AH2454=5,"消防","市長")),"対象外"))</f>
        <v/>
      </c>
    </row>
    <row r="2455" customFormat="false" ht="15" hidden="false" customHeight="false" outlineLevel="0" collapsed="false">
      <c r="DB2455" s="0" t="str">
        <f aca="false">IF($A2455="","",IF(AND($A2455=21,$AE2455&amp;""="00000000"),IF($AH2455=20,"病院",IF($AH2455=5,"消防","市長")),"対象外"))</f>
        <v/>
      </c>
    </row>
    <row r="2456" customFormat="false" ht="15" hidden="false" customHeight="false" outlineLevel="0" collapsed="false">
      <c r="DB2456" s="0" t="str">
        <f aca="false">IF($A2456="","",IF(AND($A2456=21,$AE2456&amp;""="00000000"),IF($AH2456=20,"病院",IF($AH2456=5,"消防","市長")),"対象外"))</f>
        <v/>
      </c>
    </row>
    <row r="2457" customFormat="false" ht="15" hidden="false" customHeight="false" outlineLevel="0" collapsed="false">
      <c r="DB2457" s="0" t="str">
        <f aca="false">IF($A2457="","",IF(AND($A2457=21,$AE2457&amp;""="00000000"),IF($AH2457=20,"病院",IF($AH2457=5,"消防","市長")),"対象外"))</f>
        <v/>
      </c>
    </row>
    <row r="2458" customFormat="false" ht="15" hidden="false" customHeight="false" outlineLevel="0" collapsed="false">
      <c r="DB2458" s="0" t="str">
        <f aca="false">IF($A2458="","",IF(AND($A2458=21,$AE2458&amp;""="00000000"),IF($AH2458=20,"病院",IF($AH2458=5,"消防","市長")),"対象外"))</f>
        <v/>
      </c>
    </row>
    <row r="2459" customFormat="false" ht="15" hidden="false" customHeight="false" outlineLevel="0" collapsed="false">
      <c r="DB2459" s="0" t="str">
        <f aca="false">IF($A2459="","",IF(AND($A2459=21,$AE2459&amp;""="00000000"),IF($AH2459=20,"病院",IF($AH2459=5,"消防","市長")),"対象外"))</f>
        <v/>
      </c>
    </row>
    <row r="2460" customFormat="false" ht="15" hidden="false" customHeight="false" outlineLevel="0" collapsed="false">
      <c r="DB2460" s="0" t="str">
        <f aca="false">IF($A2460="","",IF(AND($A2460=21,$AE2460&amp;""="00000000"),IF($AH2460=20,"病院",IF($AH2460=5,"消防","市長")),"対象外"))</f>
        <v/>
      </c>
    </row>
    <row r="2461" customFormat="false" ht="15" hidden="false" customHeight="false" outlineLevel="0" collapsed="false">
      <c r="DB2461" s="0" t="str">
        <f aca="false">IF($A2461="","",IF(AND($A2461=21,$AE2461&amp;""="00000000"),IF($AH2461=20,"病院",IF($AH2461=5,"消防","市長")),"対象外"))</f>
        <v/>
      </c>
    </row>
    <row r="2462" customFormat="false" ht="15" hidden="false" customHeight="false" outlineLevel="0" collapsed="false">
      <c r="DB2462" s="0" t="str">
        <f aca="false">IF($A2462="","",IF(AND($A2462=21,$AE2462&amp;""="00000000"),IF($AH2462=20,"病院",IF($AH2462=5,"消防","市長")),"対象外"))</f>
        <v/>
      </c>
    </row>
    <row r="2463" customFormat="false" ht="15" hidden="false" customHeight="false" outlineLevel="0" collapsed="false">
      <c r="DB2463" s="0" t="str">
        <f aca="false">IF($A2463="","",IF(AND($A2463=21,$AE2463&amp;""="00000000"),IF($AH2463=20,"病院",IF($AH2463=5,"消防","市長")),"対象外"))</f>
        <v/>
      </c>
    </row>
    <row r="2464" customFormat="false" ht="15" hidden="false" customHeight="false" outlineLevel="0" collapsed="false">
      <c r="DB2464" s="0" t="str">
        <f aca="false">IF($A2464="","",IF(AND($A2464=21,$AE2464&amp;""="00000000"),IF($AH2464=20,"病院",IF($AH2464=5,"消防","市長")),"対象外"))</f>
        <v/>
      </c>
    </row>
    <row r="2465" customFormat="false" ht="15" hidden="false" customHeight="false" outlineLevel="0" collapsed="false">
      <c r="DB2465" s="0" t="str">
        <f aca="false">IF($A2465="","",IF(AND($A2465=21,$AE2465&amp;""="00000000"),IF($AH2465=20,"病院",IF($AH2465=5,"消防","市長")),"対象外"))</f>
        <v/>
      </c>
    </row>
    <row r="2466" customFormat="false" ht="15" hidden="false" customHeight="false" outlineLevel="0" collapsed="false">
      <c r="DB2466" s="0" t="str">
        <f aca="false">IF($A2466="","",IF(AND($A2466=21,$AE2466&amp;""="00000000"),IF($AH2466=20,"病院",IF($AH2466=5,"消防","市長")),"対象外"))</f>
        <v/>
      </c>
    </row>
    <row r="2467" customFormat="false" ht="15" hidden="false" customHeight="false" outlineLevel="0" collapsed="false">
      <c r="DB2467" s="0" t="str">
        <f aca="false">IF($A2467="","",IF(AND($A2467=21,$AE2467&amp;""="00000000"),IF($AH2467=20,"病院",IF($AH2467=5,"消防","市長")),"対象外"))</f>
        <v/>
      </c>
    </row>
    <row r="2468" customFormat="false" ht="15" hidden="false" customHeight="false" outlineLevel="0" collapsed="false">
      <c r="DB2468" s="0" t="str">
        <f aca="false">IF($A2468="","",IF(AND($A2468=21,$AE2468&amp;""="00000000"),IF($AH2468=20,"病院",IF($AH2468=5,"消防","市長")),"対象外"))</f>
        <v/>
      </c>
    </row>
    <row r="2469" customFormat="false" ht="15" hidden="false" customHeight="false" outlineLevel="0" collapsed="false">
      <c r="DB2469" s="0" t="str">
        <f aca="false">IF($A2469="","",IF(AND($A2469=21,$AE2469&amp;""="00000000"),IF($AH2469=20,"病院",IF($AH2469=5,"消防","市長")),"対象外"))</f>
        <v/>
      </c>
    </row>
    <row r="2470" customFormat="false" ht="15" hidden="false" customHeight="false" outlineLevel="0" collapsed="false">
      <c r="DB2470" s="0" t="str">
        <f aca="false">IF($A2470="","",IF(AND($A2470=21,$AE2470&amp;""="00000000"),IF($AH2470=20,"病院",IF($AH2470=5,"消防","市長")),"対象外"))</f>
        <v/>
      </c>
    </row>
    <row r="2471" customFormat="false" ht="15" hidden="false" customHeight="false" outlineLevel="0" collapsed="false">
      <c r="DB2471" s="0" t="str">
        <f aca="false">IF($A2471="","",IF(AND($A2471=21,$AE2471&amp;""="00000000"),IF($AH2471=20,"病院",IF($AH2471=5,"消防","市長")),"対象外"))</f>
        <v/>
      </c>
    </row>
    <row r="2472" customFormat="false" ht="15" hidden="false" customHeight="false" outlineLevel="0" collapsed="false">
      <c r="DB2472" s="0" t="str">
        <f aca="false">IF($A2472="","",IF(AND($A2472=21,$AE2472&amp;""="00000000"),IF($AH2472=20,"病院",IF($AH2472=5,"消防","市長")),"対象外"))</f>
        <v/>
      </c>
    </row>
    <row r="2473" customFormat="false" ht="15" hidden="false" customHeight="false" outlineLevel="0" collapsed="false">
      <c r="DB2473" s="0" t="str">
        <f aca="false">IF($A2473="","",IF(AND($A2473=21,$AE2473&amp;""="00000000"),IF($AH2473=20,"病院",IF($AH2473=5,"消防","市長")),"対象外"))</f>
        <v/>
      </c>
    </row>
    <row r="2474" customFormat="false" ht="15" hidden="false" customHeight="false" outlineLevel="0" collapsed="false">
      <c r="DB2474" s="0" t="str">
        <f aca="false">IF($A2474="","",IF(AND($A2474=21,$AE2474&amp;""="00000000"),IF($AH2474=20,"病院",IF($AH2474=5,"消防","市長")),"対象外"))</f>
        <v/>
      </c>
    </row>
    <row r="2475" customFormat="false" ht="15" hidden="false" customHeight="false" outlineLevel="0" collapsed="false">
      <c r="DB2475" s="0" t="str">
        <f aca="false">IF($A2475="","",IF(AND($A2475=21,$AE2475&amp;""="00000000"),IF($AH2475=20,"病院",IF($AH2475=5,"消防","市長")),"対象外"))</f>
        <v/>
      </c>
    </row>
    <row r="2476" customFormat="false" ht="15" hidden="false" customHeight="false" outlineLevel="0" collapsed="false">
      <c r="DB2476" s="0" t="str">
        <f aca="false">IF($A2476="","",IF(AND($A2476=21,$AE2476&amp;""="00000000"),IF($AH2476=20,"病院",IF($AH2476=5,"消防","市長")),"対象外"))</f>
        <v/>
      </c>
    </row>
    <row r="2477" customFormat="false" ht="15" hidden="false" customHeight="false" outlineLevel="0" collapsed="false">
      <c r="DB2477" s="0" t="str">
        <f aca="false">IF($A2477="","",IF(AND($A2477=21,$AE2477&amp;""="00000000"),IF($AH2477=20,"病院",IF($AH2477=5,"消防","市長")),"対象外"))</f>
        <v/>
      </c>
    </row>
    <row r="2478" customFormat="false" ht="15" hidden="false" customHeight="false" outlineLevel="0" collapsed="false">
      <c r="DB2478" s="0" t="str">
        <f aca="false">IF($A2478="","",IF(AND($A2478=21,$AE2478&amp;""="00000000"),IF($AH2478=20,"病院",IF($AH2478=5,"消防","市長")),"対象外"))</f>
        <v/>
      </c>
    </row>
    <row r="2479" customFormat="false" ht="15" hidden="false" customHeight="false" outlineLevel="0" collapsed="false">
      <c r="DB2479" s="0" t="str">
        <f aca="false">IF($A2479="","",IF(AND($A2479=21,$AE2479&amp;""="00000000"),IF($AH2479=20,"病院",IF($AH2479=5,"消防","市長")),"対象外"))</f>
        <v/>
      </c>
    </row>
    <row r="2480" customFormat="false" ht="15" hidden="false" customHeight="false" outlineLevel="0" collapsed="false">
      <c r="DB2480" s="0" t="str">
        <f aca="false">IF($A2480="","",IF(AND($A2480=21,$AE2480&amp;""="00000000"),IF($AH2480=20,"病院",IF($AH2480=5,"消防","市長")),"対象外"))</f>
        <v/>
      </c>
    </row>
    <row r="2481" customFormat="false" ht="15" hidden="false" customHeight="false" outlineLevel="0" collapsed="false">
      <c r="DB2481" s="0" t="str">
        <f aca="false">IF($A2481="","",IF(AND($A2481=21,$AE2481&amp;""="00000000"),IF($AH2481=20,"病院",IF($AH2481=5,"消防","市長")),"対象外"))</f>
        <v/>
      </c>
    </row>
    <row r="2482" customFormat="false" ht="15" hidden="false" customHeight="false" outlineLevel="0" collapsed="false">
      <c r="DB2482" s="0" t="str">
        <f aca="false">IF($A2482="","",IF(AND($A2482=21,$AE2482&amp;""="00000000"),IF($AH2482=20,"病院",IF($AH2482=5,"消防","市長")),"対象外"))</f>
        <v/>
      </c>
    </row>
    <row r="2483" customFormat="false" ht="15" hidden="false" customHeight="false" outlineLevel="0" collapsed="false">
      <c r="DB2483" s="0" t="str">
        <f aca="false">IF($A2483="","",IF(AND($A2483=21,$AE2483&amp;""="00000000"),IF($AH2483=20,"病院",IF($AH2483=5,"消防","市長")),"対象外"))</f>
        <v/>
      </c>
    </row>
    <row r="2484" customFormat="false" ht="15" hidden="false" customHeight="false" outlineLevel="0" collapsed="false">
      <c r="DB2484" s="0" t="str">
        <f aca="false">IF($A2484="","",IF(AND($A2484=21,$AE2484&amp;""="00000000"),IF($AH2484=20,"病院",IF($AH2484=5,"消防","市長")),"対象外"))</f>
        <v/>
      </c>
    </row>
    <row r="2485" customFormat="false" ht="15" hidden="false" customHeight="false" outlineLevel="0" collapsed="false">
      <c r="DB2485" s="0" t="str">
        <f aca="false">IF($A2485="","",IF(AND($A2485=21,$AE2485&amp;""="00000000"),IF($AH2485=20,"病院",IF($AH2485=5,"消防","市長")),"対象外"))</f>
        <v/>
      </c>
    </row>
    <row r="2486" customFormat="false" ht="15" hidden="false" customHeight="false" outlineLevel="0" collapsed="false">
      <c r="DB2486" s="0" t="str">
        <f aca="false">IF($A2486="","",IF(AND($A2486=21,$AE2486&amp;""="00000000"),IF($AH2486=20,"病院",IF($AH2486=5,"消防","市長")),"対象外"))</f>
        <v/>
      </c>
    </row>
    <row r="2487" customFormat="false" ht="15" hidden="false" customHeight="false" outlineLevel="0" collapsed="false">
      <c r="DB2487" s="0" t="str">
        <f aca="false">IF($A2487="","",IF(AND($A2487=21,$AE2487&amp;""="00000000"),IF($AH2487=20,"病院",IF($AH2487=5,"消防","市長")),"対象外"))</f>
        <v/>
      </c>
    </row>
    <row r="2488" customFormat="false" ht="15" hidden="false" customHeight="false" outlineLevel="0" collapsed="false">
      <c r="DB2488" s="0" t="str">
        <f aca="false">IF($A2488="","",IF(AND($A2488=21,$AE2488&amp;""="00000000"),IF($AH2488=20,"病院",IF($AH2488=5,"消防","市長")),"対象外"))</f>
        <v/>
      </c>
    </row>
    <row r="2489" customFormat="false" ht="15" hidden="false" customHeight="false" outlineLevel="0" collapsed="false">
      <c r="DB2489" s="0" t="str">
        <f aca="false">IF($A2489="","",IF(AND($A2489=21,$AE2489&amp;""="00000000"),IF($AH2489=20,"病院",IF($AH2489=5,"消防","市長")),"対象外"))</f>
        <v/>
      </c>
    </row>
    <row r="2490" customFormat="false" ht="15" hidden="false" customHeight="false" outlineLevel="0" collapsed="false">
      <c r="DB2490" s="0" t="str">
        <f aca="false">IF($A2490="","",IF(AND($A2490=21,$AE2490&amp;""="00000000"),IF($AH2490=20,"病院",IF($AH2490=5,"消防","市長")),"対象外"))</f>
        <v/>
      </c>
    </row>
    <row r="2491" customFormat="false" ht="15" hidden="false" customHeight="false" outlineLevel="0" collapsed="false">
      <c r="DB2491" s="0" t="str">
        <f aca="false">IF($A2491="","",IF(AND($A2491=21,$AE2491&amp;""="00000000"),IF($AH2491=20,"病院",IF($AH2491=5,"消防","市長")),"対象外"))</f>
        <v/>
      </c>
    </row>
    <row r="2492" customFormat="false" ht="15" hidden="false" customHeight="false" outlineLevel="0" collapsed="false">
      <c r="DB2492" s="0" t="str">
        <f aca="false">IF($A2492="","",IF(AND($A2492=21,$AE2492&amp;""="00000000"),IF($AH2492=20,"病院",IF($AH2492=5,"消防","市長")),"対象外"))</f>
        <v/>
      </c>
    </row>
    <row r="2493" customFormat="false" ht="15" hidden="false" customHeight="false" outlineLevel="0" collapsed="false">
      <c r="DB2493" s="0" t="str">
        <f aca="false">IF($A2493="","",IF(AND($A2493=21,$AE2493&amp;""="00000000"),IF($AH2493=20,"病院",IF($AH2493=5,"消防","市長")),"対象外"))</f>
        <v/>
      </c>
    </row>
    <row r="2494" customFormat="false" ht="15" hidden="false" customHeight="false" outlineLevel="0" collapsed="false">
      <c r="DB2494" s="0" t="str">
        <f aca="false">IF($A2494="","",IF(AND($A2494=21,$AE2494&amp;""="00000000"),IF($AH2494=20,"病院",IF($AH2494=5,"消防","市長")),"対象外"))</f>
        <v/>
      </c>
    </row>
    <row r="2495" customFormat="false" ht="15" hidden="false" customHeight="false" outlineLevel="0" collapsed="false">
      <c r="DB2495" s="0" t="str">
        <f aca="false">IF($A2495="","",IF(AND($A2495=21,$AE2495&amp;""="00000000"),IF($AH2495=20,"病院",IF($AH2495=5,"消防","市長")),"対象外"))</f>
        <v/>
      </c>
    </row>
    <row r="2496" customFormat="false" ht="15" hidden="false" customHeight="false" outlineLevel="0" collapsed="false">
      <c r="DB2496" s="0" t="str">
        <f aca="false">IF($A2496="","",IF(AND($A2496=21,$AE2496&amp;""="00000000"),IF($AH2496=20,"病院",IF($AH2496=5,"消防","市長")),"対象外"))</f>
        <v/>
      </c>
    </row>
    <row r="2497" customFormat="false" ht="15" hidden="false" customHeight="false" outlineLevel="0" collapsed="false">
      <c r="DB2497" s="0" t="str">
        <f aca="false">IF($A2497="","",IF(AND($A2497=21,$AE2497&amp;""="00000000"),IF($AH2497=20,"病院",IF($AH2497=5,"消防","市長")),"対象外"))</f>
        <v/>
      </c>
    </row>
    <row r="2498" customFormat="false" ht="15" hidden="false" customHeight="false" outlineLevel="0" collapsed="false">
      <c r="DB2498" s="0" t="str">
        <f aca="false">IF($A2498="","",IF(AND($A2498=21,$AE2498&amp;""="00000000"),IF($AH2498=20,"病院",IF($AH2498=5,"消防","市長")),"対象外"))</f>
        <v/>
      </c>
    </row>
    <row r="2499" customFormat="false" ht="15" hidden="false" customHeight="false" outlineLevel="0" collapsed="false">
      <c r="DB2499" s="0" t="str">
        <f aca="false">IF($A2499="","",IF(AND($A2499=21,$AE2499&amp;""="00000000"),IF($AH2499=20,"病院",IF($AH2499=5,"消防","市長")),"対象外"))</f>
        <v/>
      </c>
    </row>
    <row r="2500" customFormat="false" ht="15" hidden="false" customHeight="false" outlineLevel="0" collapsed="false">
      <c r="DB2500" s="0" t="str">
        <f aca="false">IF($A2500="","",IF(AND($A2500=21,$AE2500&amp;""="00000000"),IF($AH2500=20,"病院",IF($AH2500=5,"消防","市長")),"対象外"))</f>
        <v/>
      </c>
    </row>
    <row r="2501" customFormat="false" ht="15" hidden="false" customHeight="false" outlineLevel="0" collapsed="false">
      <c r="DB2501" s="0" t="str">
        <f aca="false">IF($A2501="","",IF(AND($A2501=21,$AE2501&amp;""="00000000"),IF($AH2501=20,"病院",IF($AH2501=5,"消防","市長")),"対象外"))</f>
        <v/>
      </c>
    </row>
    <row r="2502" customFormat="false" ht="15" hidden="false" customHeight="false" outlineLevel="0" collapsed="false">
      <c r="DB2502" s="0" t="str">
        <f aca="false">IF($A2502="","",IF(AND($A2502=21,$AE2502&amp;""="00000000"),IF($AH2502=20,"病院",IF($AH2502=5,"消防","市長")),"対象外"))</f>
        <v/>
      </c>
    </row>
    <row r="2503" customFormat="false" ht="15" hidden="false" customHeight="false" outlineLevel="0" collapsed="false">
      <c r="DB2503" s="0" t="str">
        <f aca="false">IF($A2503="","",IF(AND($A2503=21,$AE2503&amp;""="00000000"),IF($AH2503=20,"病院",IF($AH2503=5,"消防","市長")),"対象外"))</f>
        <v/>
      </c>
    </row>
    <row r="2504" customFormat="false" ht="15" hidden="false" customHeight="false" outlineLevel="0" collapsed="false">
      <c r="DB2504" s="0" t="str">
        <f aca="false">IF($A2504="","",IF(AND($A2504=21,$AE2504&amp;""="00000000"),IF($AH2504=20,"病院",IF($AH2504=5,"消防","市長")),"対象外"))</f>
        <v/>
      </c>
    </row>
    <row r="2505" customFormat="false" ht="15" hidden="false" customHeight="false" outlineLevel="0" collapsed="false">
      <c r="DB2505" s="0" t="str">
        <f aca="false">IF($A2505="","",IF(AND($A2505=21,$AE2505&amp;""="00000000"),IF($AH2505=20,"病院",IF($AH2505=5,"消防","市長")),"対象外"))</f>
        <v/>
      </c>
    </row>
    <row r="2506" customFormat="false" ht="15" hidden="false" customHeight="false" outlineLevel="0" collapsed="false">
      <c r="DB2506" s="0" t="str">
        <f aca="false">IF($A2506="","",IF(AND($A2506=21,$AE2506&amp;""="00000000"),IF($AH2506=20,"病院",IF($AH2506=5,"消防","市長")),"対象外"))</f>
        <v/>
      </c>
    </row>
    <row r="2507" customFormat="false" ht="15" hidden="false" customHeight="false" outlineLevel="0" collapsed="false">
      <c r="DB2507" s="0" t="str">
        <f aca="false">IF($A2507="","",IF(AND($A2507=21,$AE2507&amp;""="00000000"),IF($AH2507=20,"病院",IF($AH2507=5,"消防","市長")),"対象外"))</f>
        <v/>
      </c>
    </row>
    <row r="2508" customFormat="false" ht="15" hidden="false" customHeight="false" outlineLevel="0" collapsed="false">
      <c r="DB2508" s="0" t="str">
        <f aca="false">IF($A2508="","",IF(AND($A2508=21,$AE2508&amp;""="00000000"),IF($AH2508=20,"病院",IF($AH2508=5,"消防","市長")),"対象外"))</f>
        <v/>
      </c>
    </row>
    <row r="2509" customFormat="false" ht="15" hidden="false" customHeight="false" outlineLevel="0" collapsed="false">
      <c r="DB2509" s="0" t="str">
        <f aca="false">IF($A2509="","",IF(AND($A2509=21,$AE2509&amp;""="00000000"),IF($AH2509=20,"病院",IF($AH2509=5,"消防","市長")),"対象外"))</f>
        <v/>
      </c>
    </row>
    <row r="2510" customFormat="false" ht="15" hidden="false" customHeight="false" outlineLevel="0" collapsed="false">
      <c r="DB2510" s="0" t="str">
        <f aca="false">IF($A2510="","",IF(AND($A2510=21,$AE2510&amp;""="00000000"),IF($AH2510=20,"病院",IF($AH2510=5,"消防","市長")),"対象外"))</f>
        <v/>
      </c>
    </row>
    <row r="2511" customFormat="false" ht="15" hidden="false" customHeight="false" outlineLevel="0" collapsed="false">
      <c r="DB2511" s="0" t="str">
        <f aca="false">IF($A2511="","",IF(AND($A2511=21,$AE2511&amp;""="00000000"),IF($AH2511=20,"病院",IF($AH2511=5,"消防","市長")),"対象外"))</f>
        <v/>
      </c>
    </row>
    <row r="2512" customFormat="false" ht="15" hidden="false" customHeight="false" outlineLevel="0" collapsed="false">
      <c r="DB2512" s="0" t="str">
        <f aca="false">IF($A2512="","",IF(AND($A2512=21,$AE2512&amp;""="00000000"),IF($AH2512=20,"病院",IF($AH2512=5,"消防","市長")),"対象外"))</f>
        <v/>
      </c>
    </row>
    <row r="2513" customFormat="false" ht="15" hidden="false" customHeight="false" outlineLevel="0" collapsed="false">
      <c r="DB2513" s="0" t="str">
        <f aca="false">IF($A2513="","",IF(AND($A2513=21,$AE2513&amp;""="00000000"),IF($AH2513=20,"病院",IF($AH2513=5,"消防","市長")),"対象外"))</f>
        <v/>
      </c>
    </row>
    <row r="2514" customFormat="false" ht="15" hidden="false" customHeight="false" outlineLevel="0" collapsed="false">
      <c r="DB2514" s="0" t="str">
        <f aca="false">IF($A2514="","",IF(AND($A2514=21,$AE2514&amp;""="00000000"),IF($AH2514=20,"病院",IF($AH2514=5,"消防","市長")),"対象外"))</f>
        <v/>
      </c>
    </row>
    <row r="2515" customFormat="false" ht="15" hidden="false" customHeight="false" outlineLevel="0" collapsed="false">
      <c r="DB2515" s="0" t="str">
        <f aca="false">IF($A2515="","",IF(AND($A2515=21,$AE2515&amp;""="00000000"),IF($AH2515=20,"病院",IF($AH2515=5,"消防","市長")),"対象外"))</f>
        <v/>
      </c>
    </row>
    <row r="2516" customFormat="false" ht="15" hidden="false" customHeight="false" outlineLevel="0" collapsed="false">
      <c r="DB2516" s="0" t="str">
        <f aca="false">IF($A2516="","",IF(AND($A2516=21,$AE2516&amp;""="00000000"),IF($AH2516=20,"病院",IF($AH2516=5,"消防","市長")),"対象外"))</f>
        <v/>
      </c>
    </row>
    <row r="2517" customFormat="false" ht="15" hidden="false" customHeight="false" outlineLevel="0" collapsed="false">
      <c r="DB2517" s="0" t="str">
        <f aca="false">IF($A2517="","",IF(AND($A2517=21,$AE2517&amp;""="00000000"),IF($AH2517=20,"病院",IF($AH2517=5,"消防","市長")),"対象外"))</f>
        <v/>
      </c>
    </row>
    <row r="2518" customFormat="false" ht="15" hidden="false" customHeight="false" outlineLevel="0" collapsed="false">
      <c r="DB2518" s="0" t="str">
        <f aca="false">IF($A2518="","",IF(AND($A2518=21,$AE2518&amp;""="00000000"),IF($AH2518=20,"病院",IF($AH2518=5,"消防","市長")),"対象外"))</f>
        <v/>
      </c>
    </row>
    <row r="2519" customFormat="false" ht="15" hidden="false" customHeight="false" outlineLevel="0" collapsed="false">
      <c r="DB2519" s="0" t="str">
        <f aca="false">IF($A2519="","",IF(AND($A2519=21,$AE2519&amp;""="00000000"),IF($AH2519=20,"病院",IF($AH2519=5,"消防","市長")),"対象外"))</f>
        <v/>
      </c>
    </row>
    <row r="2520" customFormat="false" ht="15" hidden="false" customHeight="false" outlineLevel="0" collapsed="false">
      <c r="DB2520" s="0" t="str">
        <f aca="false">IF($A2520="","",IF(AND($A2520=21,$AE2520&amp;""="00000000"),IF($AH2520=20,"病院",IF($AH2520=5,"消防","市長")),"対象外"))</f>
        <v/>
      </c>
    </row>
    <row r="2521" customFormat="false" ht="15" hidden="false" customHeight="false" outlineLevel="0" collapsed="false">
      <c r="DB2521" s="0" t="str">
        <f aca="false">IF($A2521="","",IF(AND($A2521=21,$AE2521&amp;""="00000000"),IF($AH2521=20,"病院",IF($AH2521=5,"消防","市長")),"対象外"))</f>
        <v/>
      </c>
    </row>
    <row r="2522" customFormat="false" ht="15" hidden="false" customHeight="false" outlineLevel="0" collapsed="false">
      <c r="DB2522" s="0" t="str">
        <f aca="false">IF($A2522="","",IF(AND($A2522=21,$AE2522&amp;""="00000000"),IF($AH2522=20,"病院",IF($AH2522=5,"消防","市長")),"対象外"))</f>
        <v/>
      </c>
    </row>
    <row r="2523" customFormat="false" ht="15" hidden="false" customHeight="false" outlineLevel="0" collapsed="false">
      <c r="DB2523" s="0" t="str">
        <f aca="false">IF($A2523="","",IF(AND($A2523=21,$AE2523&amp;""="00000000"),IF($AH2523=20,"病院",IF($AH2523=5,"消防","市長")),"対象外"))</f>
        <v/>
      </c>
    </row>
    <row r="2524" customFormat="false" ht="15" hidden="false" customHeight="false" outlineLevel="0" collapsed="false">
      <c r="DB2524" s="0" t="str">
        <f aca="false">IF($A2524="","",IF(AND($A2524=21,$AE2524&amp;""="00000000"),IF($AH2524=20,"病院",IF($AH2524=5,"消防","市長")),"対象外"))</f>
        <v/>
      </c>
    </row>
    <row r="2525" customFormat="false" ht="15" hidden="false" customHeight="false" outlineLevel="0" collapsed="false">
      <c r="DB2525" s="0" t="str">
        <f aca="false">IF($A2525="","",IF(AND($A2525=21,$AE2525&amp;""="00000000"),IF($AH2525=20,"病院",IF($AH2525=5,"消防","市長")),"対象外"))</f>
        <v/>
      </c>
    </row>
    <row r="2526" customFormat="false" ht="15" hidden="false" customHeight="false" outlineLevel="0" collapsed="false">
      <c r="DB2526" s="0" t="str">
        <f aca="false">IF($A2526="","",IF(AND($A2526=21,$AE2526&amp;""="00000000"),IF($AH2526=20,"病院",IF($AH2526=5,"消防","市長")),"対象外"))</f>
        <v/>
      </c>
    </row>
    <row r="2527" customFormat="false" ht="15" hidden="false" customHeight="false" outlineLevel="0" collapsed="false">
      <c r="DB2527" s="0" t="str">
        <f aca="false">IF($A2527="","",IF(AND($A2527=21,$AE2527&amp;""="00000000"),IF($AH2527=20,"病院",IF($AH2527=5,"消防","市長")),"対象外"))</f>
        <v/>
      </c>
    </row>
    <row r="2528" customFormat="false" ht="15" hidden="false" customHeight="false" outlineLevel="0" collapsed="false">
      <c r="DB2528" s="0" t="str">
        <f aca="false">IF($A2528="","",IF(AND($A2528=21,$AE2528&amp;""="00000000"),IF($AH2528=20,"病院",IF($AH2528=5,"消防","市長")),"対象外"))</f>
        <v/>
      </c>
    </row>
    <row r="2529" customFormat="false" ht="15" hidden="false" customHeight="false" outlineLevel="0" collapsed="false">
      <c r="DB2529" s="0" t="str">
        <f aca="false">IF($A2529="","",IF(AND($A2529=21,$AE2529&amp;""="00000000"),IF($AH2529=20,"病院",IF($AH2529=5,"消防","市長")),"対象外"))</f>
        <v/>
      </c>
    </row>
    <row r="2530" customFormat="false" ht="15" hidden="false" customHeight="false" outlineLevel="0" collapsed="false">
      <c r="DB2530" s="0" t="str">
        <f aca="false">IF($A2530="","",IF(AND($A2530=21,$AE2530&amp;""="00000000"),IF($AH2530=20,"病院",IF($AH2530=5,"消防","市長")),"対象外"))</f>
        <v/>
      </c>
    </row>
    <row r="2531" customFormat="false" ht="15" hidden="false" customHeight="false" outlineLevel="0" collapsed="false">
      <c r="DB2531" s="0" t="str">
        <f aca="false">IF($A2531="","",IF(AND($A2531=21,$AE2531&amp;""="00000000"),IF($AH2531=20,"病院",IF($AH2531=5,"消防","市長")),"対象外"))</f>
        <v/>
      </c>
    </row>
    <row r="2532" customFormat="false" ht="15" hidden="false" customHeight="false" outlineLevel="0" collapsed="false">
      <c r="DB2532" s="0" t="str">
        <f aca="false">IF($A2532="","",IF(AND($A2532=21,$AE2532&amp;""="00000000"),IF($AH2532=20,"病院",IF($AH2532=5,"消防","市長")),"対象外"))</f>
        <v/>
      </c>
    </row>
    <row r="2533" customFormat="false" ht="15" hidden="false" customHeight="false" outlineLevel="0" collapsed="false">
      <c r="DB2533" s="0" t="str">
        <f aca="false">IF($A2533="","",IF(AND($A2533=21,$AE2533&amp;""="00000000"),IF($AH2533=20,"病院",IF($AH2533=5,"消防","市長")),"対象外"))</f>
        <v/>
      </c>
    </row>
    <row r="2534" customFormat="false" ht="15" hidden="false" customHeight="false" outlineLevel="0" collapsed="false">
      <c r="DB2534" s="0" t="str">
        <f aca="false">IF($A2534="","",IF(AND($A2534=21,$AE2534&amp;""="00000000"),IF($AH2534=20,"病院",IF($AH2534=5,"消防","市長")),"対象外"))</f>
        <v/>
      </c>
    </row>
    <row r="2535" customFormat="false" ht="15" hidden="false" customHeight="false" outlineLevel="0" collapsed="false">
      <c r="DB2535" s="0" t="str">
        <f aca="false">IF($A2535="","",IF(AND($A2535=21,$AE2535&amp;""="00000000"),IF($AH2535=20,"病院",IF($AH2535=5,"消防","市長")),"対象外"))</f>
        <v/>
      </c>
    </row>
    <row r="2536" customFormat="false" ht="15" hidden="false" customHeight="false" outlineLevel="0" collapsed="false">
      <c r="DB2536" s="0" t="str">
        <f aca="false">IF($A2536="","",IF(AND($A2536=21,$AE2536&amp;""="00000000"),IF($AH2536=20,"病院",IF($AH2536=5,"消防","市長")),"対象外"))</f>
        <v/>
      </c>
    </row>
    <row r="2537" customFormat="false" ht="15" hidden="false" customHeight="false" outlineLevel="0" collapsed="false">
      <c r="DB2537" s="0" t="str">
        <f aca="false">IF($A2537="","",IF(AND($A2537=21,$AE2537&amp;""="00000000"),IF($AH2537=20,"病院",IF($AH2537=5,"消防","市長")),"対象外"))</f>
        <v/>
      </c>
    </row>
    <row r="2538" customFormat="false" ht="15" hidden="false" customHeight="false" outlineLevel="0" collapsed="false">
      <c r="DB2538" s="0" t="str">
        <f aca="false">IF($A2538="","",IF(AND($A2538=21,$AE2538&amp;""="00000000"),IF($AH2538=20,"病院",IF($AH2538=5,"消防","市長")),"対象外"))</f>
        <v/>
      </c>
    </row>
    <row r="2539" customFormat="false" ht="15" hidden="false" customHeight="false" outlineLevel="0" collapsed="false">
      <c r="DB2539" s="0" t="str">
        <f aca="false">IF($A2539="","",IF(AND($A2539=21,$AE2539&amp;""="00000000"),IF($AH2539=20,"病院",IF($AH2539=5,"消防","市長")),"対象外"))</f>
        <v/>
      </c>
    </row>
    <row r="2540" customFormat="false" ht="15" hidden="false" customHeight="false" outlineLevel="0" collapsed="false">
      <c r="DB2540" s="0" t="str">
        <f aca="false">IF($A2540="","",IF(AND($A2540=21,$AE2540&amp;""="00000000"),IF($AH2540=20,"病院",IF($AH2540=5,"消防","市長")),"対象外"))</f>
        <v/>
      </c>
    </row>
    <row r="2541" customFormat="false" ht="15" hidden="false" customHeight="false" outlineLevel="0" collapsed="false">
      <c r="DB2541" s="0" t="str">
        <f aca="false">IF($A2541="","",IF(AND($A2541=21,$AE2541&amp;""="00000000"),IF($AH2541=20,"病院",IF($AH2541=5,"消防","市長")),"対象外"))</f>
        <v/>
      </c>
    </row>
    <row r="2542" customFormat="false" ht="15" hidden="false" customHeight="false" outlineLevel="0" collapsed="false">
      <c r="DB2542" s="0" t="str">
        <f aca="false">IF($A2542="","",IF(AND($A2542=21,$AE2542&amp;""="00000000"),IF($AH2542=20,"病院",IF($AH2542=5,"消防","市長")),"対象外"))</f>
        <v/>
      </c>
    </row>
    <row r="2543" customFormat="false" ht="15" hidden="false" customHeight="false" outlineLevel="0" collapsed="false">
      <c r="DB2543" s="0" t="str">
        <f aca="false">IF($A2543="","",IF(AND($A2543=21,$AE2543&amp;""="00000000"),IF($AH2543=20,"病院",IF($AH2543=5,"消防","市長")),"対象外"))</f>
        <v/>
      </c>
    </row>
    <row r="2544" customFormat="false" ht="15" hidden="false" customHeight="false" outlineLevel="0" collapsed="false">
      <c r="DB2544" s="0" t="str">
        <f aca="false">IF($A2544="","",IF(AND($A2544=21,$AE2544&amp;""="00000000"),IF($AH2544=20,"病院",IF($AH2544=5,"消防","市長")),"対象外"))</f>
        <v/>
      </c>
    </row>
    <row r="2545" customFormat="false" ht="15" hidden="false" customHeight="false" outlineLevel="0" collapsed="false">
      <c r="DB2545" s="0" t="str">
        <f aca="false">IF($A2545="","",IF(AND($A2545=21,$AE2545&amp;""="00000000"),IF($AH2545=20,"病院",IF($AH2545=5,"消防","市長")),"対象外"))</f>
        <v/>
      </c>
    </row>
    <row r="2546" customFormat="false" ht="15" hidden="false" customHeight="false" outlineLevel="0" collapsed="false">
      <c r="DB2546" s="0" t="str">
        <f aca="false">IF($A2546="","",IF(AND($A2546=21,$AE2546&amp;""="00000000"),IF($AH2546=20,"病院",IF($AH2546=5,"消防","市長")),"対象外"))</f>
        <v/>
      </c>
    </row>
    <row r="2547" customFormat="false" ht="15" hidden="false" customHeight="false" outlineLevel="0" collapsed="false">
      <c r="DB2547" s="0" t="str">
        <f aca="false">IF($A2547="","",IF(AND($A2547=21,$AE2547&amp;""="00000000"),IF($AH2547=20,"病院",IF($AH2547=5,"消防","市長")),"対象外"))</f>
        <v/>
      </c>
    </row>
    <row r="2548" customFormat="false" ht="15" hidden="false" customHeight="false" outlineLevel="0" collapsed="false">
      <c r="DB2548" s="0" t="str">
        <f aca="false">IF($A2548="","",IF(AND($A2548=21,$AE2548&amp;""="00000000"),IF($AH2548=20,"病院",IF($AH2548=5,"消防","市長")),"対象外"))</f>
        <v/>
      </c>
    </row>
    <row r="2549" customFormat="false" ht="15" hidden="false" customHeight="false" outlineLevel="0" collapsed="false">
      <c r="DB2549" s="0" t="str">
        <f aca="false">IF($A2549="","",IF(AND($A2549=21,$AE2549&amp;""="00000000"),IF($AH2549=20,"病院",IF($AH2549=5,"消防","市長")),"対象外"))</f>
        <v/>
      </c>
    </row>
    <row r="2550" customFormat="false" ht="15" hidden="false" customHeight="false" outlineLevel="0" collapsed="false">
      <c r="DB2550" s="0" t="str">
        <f aca="false">IF($A2550="","",IF(AND($A2550=21,$AE2550&amp;""="00000000"),IF($AH2550=20,"病院",IF($AH2550=5,"消防","市長")),"対象外"))</f>
        <v/>
      </c>
    </row>
    <row r="2551" customFormat="false" ht="15" hidden="false" customHeight="false" outlineLevel="0" collapsed="false">
      <c r="DB2551" s="0" t="str">
        <f aca="false">IF($A2551="","",IF(AND($A2551=21,$AE2551&amp;""="00000000"),IF($AH2551=20,"病院",IF($AH2551=5,"消防","市長")),"対象外"))</f>
        <v/>
      </c>
    </row>
    <row r="2552" customFormat="false" ht="15" hidden="false" customHeight="false" outlineLevel="0" collapsed="false">
      <c r="DB2552" s="0" t="str">
        <f aca="false">IF($A2552="","",IF(AND($A2552=21,$AE2552&amp;""="00000000"),IF($AH2552=20,"病院",IF($AH2552=5,"消防","市長")),"対象外"))</f>
        <v/>
      </c>
    </row>
    <row r="2553" customFormat="false" ht="15" hidden="false" customHeight="false" outlineLevel="0" collapsed="false">
      <c r="DB2553" s="0" t="str">
        <f aca="false">IF($A2553="","",IF(AND($A2553=21,$AE2553&amp;""="00000000"),IF($AH2553=20,"病院",IF($AH2553=5,"消防","市長")),"対象外"))</f>
        <v/>
      </c>
    </row>
    <row r="2554" customFormat="false" ht="15" hidden="false" customHeight="false" outlineLevel="0" collapsed="false">
      <c r="DB2554" s="0" t="str">
        <f aca="false">IF($A2554="","",IF(AND($A2554=21,$AE2554&amp;""="00000000"),IF($AH2554=20,"病院",IF($AH2554=5,"消防","市長")),"対象外"))</f>
        <v/>
      </c>
    </row>
    <row r="2555" customFormat="false" ht="15" hidden="false" customHeight="false" outlineLevel="0" collapsed="false">
      <c r="DB2555" s="0" t="str">
        <f aca="false">IF($A2555="","",IF(AND($A2555=21,$AE2555&amp;""="00000000"),IF($AH2555=20,"病院",IF($AH2555=5,"消防","市長")),"対象外"))</f>
        <v/>
      </c>
    </row>
    <row r="2556" customFormat="false" ht="15" hidden="false" customHeight="false" outlineLevel="0" collapsed="false">
      <c r="DB2556" s="0" t="str">
        <f aca="false">IF($A2556="","",IF(AND($A2556=21,$AE2556&amp;""="00000000"),IF($AH2556=20,"病院",IF($AH2556=5,"消防","市長")),"対象外"))</f>
        <v/>
      </c>
    </row>
    <row r="2557" customFormat="false" ht="15" hidden="false" customHeight="false" outlineLevel="0" collapsed="false">
      <c r="DB2557" s="0" t="str">
        <f aca="false">IF($A2557="","",IF(AND($A2557=21,$AE2557&amp;""="00000000"),IF($AH2557=20,"病院",IF($AH2557=5,"消防","市長")),"対象外"))</f>
        <v/>
      </c>
    </row>
    <row r="2558" customFormat="false" ht="15" hidden="false" customHeight="false" outlineLevel="0" collapsed="false">
      <c r="DB2558" s="0" t="str">
        <f aca="false">IF($A2558="","",IF(AND($A2558=21,$AE2558&amp;""="00000000"),IF($AH2558=20,"病院",IF($AH2558=5,"消防","市長")),"対象外"))</f>
        <v/>
      </c>
    </row>
    <row r="2559" customFormat="false" ht="15" hidden="false" customHeight="false" outlineLevel="0" collapsed="false">
      <c r="DB2559" s="0" t="str">
        <f aca="false">IF($A2559="","",IF(AND($A2559=21,$AE2559&amp;""="00000000"),IF($AH2559=20,"病院",IF($AH2559=5,"消防","市長")),"対象外"))</f>
        <v/>
      </c>
    </row>
    <row r="2560" customFormat="false" ht="15" hidden="false" customHeight="false" outlineLevel="0" collapsed="false">
      <c r="DB2560" s="0" t="str">
        <f aca="false">IF($A2560="","",IF(AND($A2560=21,$AE2560&amp;""="00000000"),IF($AH2560=20,"病院",IF($AH2560=5,"消防","市長")),"対象外"))</f>
        <v/>
      </c>
    </row>
    <row r="2561" customFormat="false" ht="15" hidden="false" customHeight="false" outlineLevel="0" collapsed="false">
      <c r="DB2561" s="0" t="str">
        <f aca="false">IF($A2561="","",IF(AND($A2561=21,$AE2561&amp;""="00000000"),IF($AH2561=20,"病院",IF($AH2561=5,"消防","市長")),"対象外"))</f>
        <v/>
      </c>
    </row>
    <row r="2562" customFormat="false" ht="15" hidden="false" customHeight="false" outlineLevel="0" collapsed="false">
      <c r="DB2562" s="0" t="str">
        <f aca="false">IF($A2562="","",IF(AND($A2562=21,$AE2562&amp;""="00000000"),IF($AH2562=20,"病院",IF($AH2562=5,"消防","市長")),"対象外"))</f>
        <v/>
      </c>
    </row>
    <row r="2563" customFormat="false" ht="15" hidden="false" customHeight="false" outlineLevel="0" collapsed="false">
      <c r="DB2563" s="0" t="str">
        <f aca="false">IF($A2563="","",IF(AND($A2563=21,$AE2563&amp;""="00000000"),IF($AH2563=20,"病院",IF($AH2563=5,"消防","市長")),"対象外"))</f>
        <v/>
      </c>
    </row>
    <row r="2564" customFormat="false" ht="15" hidden="false" customHeight="false" outlineLevel="0" collapsed="false">
      <c r="DB2564" s="0" t="str">
        <f aca="false">IF($A2564="","",IF(AND($A2564=21,$AE2564&amp;""="00000000"),IF($AH2564=20,"病院",IF($AH2564=5,"消防","市長")),"対象外"))</f>
        <v/>
      </c>
    </row>
    <row r="2565" customFormat="false" ht="15" hidden="false" customHeight="false" outlineLevel="0" collapsed="false">
      <c r="DB2565" s="0" t="str">
        <f aca="false">IF($A2565="","",IF(AND($A2565=21,$AE2565&amp;""="00000000"),IF($AH2565=20,"病院",IF($AH2565=5,"消防","市長")),"対象外"))</f>
        <v/>
      </c>
    </row>
    <row r="2566" customFormat="false" ht="15" hidden="false" customHeight="false" outlineLevel="0" collapsed="false">
      <c r="DB2566" s="0" t="str">
        <f aca="false">IF($A2566="","",IF(AND($A2566=21,$AE2566&amp;""="00000000"),IF($AH2566=20,"病院",IF($AH2566=5,"消防","市長")),"対象外"))</f>
        <v/>
      </c>
    </row>
    <row r="2567" customFormat="false" ht="15" hidden="false" customHeight="false" outlineLevel="0" collapsed="false">
      <c r="DB2567" s="0" t="str">
        <f aca="false">IF($A2567="","",IF(AND($A2567=21,$AE2567&amp;""="00000000"),IF($AH2567=20,"病院",IF($AH2567=5,"消防","市長")),"対象外"))</f>
        <v/>
      </c>
    </row>
    <row r="2568" customFormat="false" ht="15" hidden="false" customHeight="false" outlineLevel="0" collapsed="false">
      <c r="DB2568" s="0" t="str">
        <f aca="false">IF($A2568="","",IF(AND($A2568=21,$AE2568&amp;""="00000000"),IF($AH2568=20,"病院",IF($AH2568=5,"消防","市長")),"対象外"))</f>
        <v/>
      </c>
    </row>
    <row r="2569" customFormat="false" ht="15" hidden="false" customHeight="false" outlineLevel="0" collapsed="false">
      <c r="DB2569" s="0" t="str">
        <f aca="false">IF($A2569="","",IF(AND($A2569=21,$AE2569&amp;""="00000000"),IF($AH2569=20,"病院",IF($AH2569=5,"消防","市長")),"対象外"))</f>
        <v/>
      </c>
    </row>
    <row r="2570" customFormat="false" ht="15" hidden="false" customHeight="false" outlineLevel="0" collapsed="false">
      <c r="DB2570" s="0" t="str">
        <f aca="false">IF($A2570="","",IF(AND($A2570=21,$AE2570&amp;""="00000000"),IF($AH2570=20,"病院",IF($AH2570=5,"消防","市長")),"対象外"))</f>
        <v/>
      </c>
    </row>
    <row r="2571" customFormat="false" ht="15" hidden="false" customHeight="false" outlineLevel="0" collapsed="false">
      <c r="DB2571" s="0" t="str">
        <f aca="false">IF($A2571="","",IF(AND($A2571=21,$AE2571&amp;""="00000000"),IF($AH2571=20,"病院",IF($AH2571=5,"消防","市長")),"対象外"))</f>
        <v/>
      </c>
    </row>
    <row r="2572" customFormat="false" ht="15" hidden="false" customHeight="false" outlineLevel="0" collapsed="false">
      <c r="DB2572" s="0" t="str">
        <f aca="false">IF($A2572="","",IF(AND($A2572=21,$AE2572&amp;""="00000000"),IF($AH2572=20,"病院",IF($AH2572=5,"消防","市長")),"対象外"))</f>
        <v/>
      </c>
    </row>
    <row r="2573" customFormat="false" ht="15" hidden="false" customHeight="false" outlineLevel="0" collapsed="false">
      <c r="DB2573" s="0" t="str">
        <f aca="false">IF($A2573="","",IF(AND($A2573=21,$AE2573&amp;""="00000000"),IF($AH2573=20,"病院",IF($AH2573=5,"消防","市長")),"対象外"))</f>
        <v/>
      </c>
    </row>
    <row r="2574" customFormat="false" ht="15" hidden="false" customHeight="false" outlineLevel="0" collapsed="false">
      <c r="DB2574" s="0" t="str">
        <f aca="false">IF($A2574="","",IF(AND($A2574=21,$AE2574&amp;""="00000000"),IF($AH2574=20,"病院",IF($AH2574=5,"消防","市長")),"対象外"))</f>
        <v/>
      </c>
    </row>
    <row r="2575" customFormat="false" ht="15" hidden="false" customHeight="false" outlineLevel="0" collapsed="false">
      <c r="DB2575" s="0" t="str">
        <f aca="false">IF($A2575="","",IF(AND($A2575=21,$AE2575&amp;""="00000000"),IF($AH2575=20,"病院",IF($AH2575=5,"消防","市長")),"対象外"))</f>
        <v/>
      </c>
    </row>
    <row r="2576" customFormat="false" ht="15" hidden="false" customHeight="false" outlineLevel="0" collapsed="false">
      <c r="DB2576" s="0" t="str">
        <f aca="false">IF($A2576="","",IF(AND($A2576=21,$AE2576&amp;""="00000000"),IF($AH2576=20,"病院",IF($AH2576=5,"消防","市長")),"対象外"))</f>
        <v/>
      </c>
    </row>
    <row r="2577" customFormat="false" ht="15" hidden="false" customHeight="false" outlineLevel="0" collapsed="false">
      <c r="DB2577" s="0" t="str">
        <f aca="false">IF($A2577="","",IF(AND($A2577=21,$AE2577&amp;""="00000000"),IF($AH2577=20,"病院",IF($AH2577=5,"消防","市長")),"対象外"))</f>
        <v/>
      </c>
    </row>
    <row r="2578" customFormat="false" ht="15" hidden="false" customHeight="false" outlineLevel="0" collapsed="false">
      <c r="DB2578" s="0" t="str">
        <f aca="false">IF($A2578="","",IF(AND($A2578=21,$AE2578&amp;""="00000000"),IF($AH2578=20,"病院",IF($AH2578=5,"消防","市長")),"対象外"))</f>
        <v/>
      </c>
    </row>
    <row r="2579" customFormat="false" ht="15" hidden="false" customHeight="false" outlineLevel="0" collapsed="false">
      <c r="DB2579" s="0" t="str">
        <f aca="false">IF($A2579="","",IF(AND($A2579=21,$AE2579&amp;""="00000000"),IF($AH2579=20,"病院",IF($AH2579=5,"消防","市長")),"対象外"))</f>
        <v/>
      </c>
    </row>
    <row r="2580" customFormat="false" ht="15" hidden="false" customHeight="false" outlineLevel="0" collapsed="false">
      <c r="DB2580" s="0" t="str">
        <f aca="false">IF($A2580="","",IF(AND($A2580=21,$AE2580&amp;""="00000000"),IF($AH2580=20,"病院",IF($AH2580=5,"消防","市長")),"対象外"))</f>
        <v/>
      </c>
    </row>
    <row r="2581" customFormat="false" ht="15" hidden="false" customHeight="false" outlineLevel="0" collapsed="false">
      <c r="DB2581" s="0" t="str">
        <f aca="false">IF($A2581="","",IF(AND($A2581=21,$AE2581&amp;""="00000000"),IF($AH2581=20,"病院",IF($AH2581=5,"消防","市長")),"対象外"))</f>
        <v/>
      </c>
    </row>
    <row r="2582" customFormat="false" ht="15" hidden="false" customHeight="false" outlineLevel="0" collapsed="false">
      <c r="DB2582" s="0" t="str">
        <f aca="false">IF($A2582="","",IF(AND($A2582=21,$AE2582&amp;""="00000000"),IF($AH2582=20,"病院",IF($AH2582=5,"消防","市長")),"対象外"))</f>
        <v/>
      </c>
    </row>
    <row r="2583" customFormat="false" ht="15" hidden="false" customHeight="false" outlineLevel="0" collapsed="false">
      <c r="DB2583" s="0" t="str">
        <f aca="false">IF($A2583="","",IF(AND($A2583=21,$AE2583&amp;""="00000000"),IF($AH2583=20,"病院",IF($AH2583=5,"消防","市長")),"対象外"))</f>
        <v/>
      </c>
    </row>
    <row r="2584" customFormat="false" ht="15" hidden="false" customHeight="false" outlineLevel="0" collapsed="false">
      <c r="DB2584" s="0" t="str">
        <f aca="false">IF($A2584="","",IF(AND($A2584=21,$AE2584&amp;""="00000000"),IF($AH2584=20,"病院",IF($AH2584=5,"消防","市長")),"対象外"))</f>
        <v/>
      </c>
    </row>
    <row r="2585" customFormat="false" ht="15" hidden="false" customHeight="false" outlineLevel="0" collapsed="false">
      <c r="DB2585" s="0" t="str">
        <f aca="false">IF($A2585="","",IF(AND($A2585=21,$AE2585&amp;""="00000000"),IF($AH2585=20,"病院",IF($AH2585=5,"消防","市長")),"対象外"))</f>
        <v/>
      </c>
    </row>
    <row r="2586" customFormat="false" ht="15" hidden="false" customHeight="false" outlineLevel="0" collapsed="false">
      <c r="DB2586" s="0" t="str">
        <f aca="false">IF($A2586="","",IF(AND($A2586=21,$AE2586&amp;""="00000000"),IF($AH2586=20,"病院",IF($AH2586=5,"消防","市長")),"対象外"))</f>
        <v/>
      </c>
    </row>
    <row r="2587" customFormat="false" ht="15" hidden="false" customHeight="false" outlineLevel="0" collapsed="false">
      <c r="DB2587" s="0" t="str">
        <f aca="false">IF($A2587="","",IF(AND($A2587=21,$AE2587&amp;""="00000000"),IF($AH2587=20,"病院",IF($AH2587=5,"消防","市長")),"対象外"))</f>
        <v/>
      </c>
    </row>
    <row r="2588" customFormat="false" ht="15" hidden="false" customHeight="false" outlineLevel="0" collapsed="false">
      <c r="DB2588" s="0" t="str">
        <f aca="false">IF($A2588="","",IF(AND($A2588=21,$AE2588&amp;""="00000000"),IF($AH2588=20,"病院",IF($AH2588=5,"消防","市長")),"対象外"))</f>
        <v/>
      </c>
    </row>
    <row r="2589" customFormat="false" ht="15" hidden="false" customHeight="false" outlineLevel="0" collapsed="false">
      <c r="DB2589" s="0" t="str">
        <f aca="false">IF($A2589="","",IF(AND($A2589=21,$AE2589&amp;""="00000000"),IF($AH2589=20,"病院",IF($AH2589=5,"消防","市長")),"対象外"))</f>
        <v/>
      </c>
    </row>
    <row r="2590" customFormat="false" ht="15" hidden="false" customHeight="false" outlineLevel="0" collapsed="false">
      <c r="DB2590" s="0" t="str">
        <f aca="false">IF($A2590="","",IF(AND($A2590=21,$AE2590&amp;""="00000000"),IF($AH2590=20,"病院",IF($AH2590=5,"消防","市長")),"対象外"))</f>
        <v/>
      </c>
    </row>
    <row r="2591" customFormat="false" ht="15" hidden="false" customHeight="false" outlineLevel="0" collapsed="false">
      <c r="DB2591" s="0" t="str">
        <f aca="false">IF($A2591="","",IF(AND($A2591=21,$AE2591&amp;""="00000000"),IF($AH2591=20,"病院",IF($AH2591=5,"消防","市長")),"対象外"))</f>
        <v/>
      </c>
    </row>
    <row r="2592" customFormat="false" ht="15" hidden="false" customHeight="false" outlineLevel="0" collapsed="false">
      <c r="DB2592" s="0" t="str">
        <f aca="false">IF($A2592="","",IF(AND($A2592=21,$AE2592&amp;""="00000000"),IF($AH2592=20,"病院",IF($AH2592=5,"消防","市長")),"対象外"))</f>
        <v/>
      </c>
    </row>
    <row r="2593" customFormat="false" ht="15" hidden="false" customHeight="false" outlineLevel="0" collapsed="false">
      <c r="DB2593" s="0" t="str">
        <f aca="false">IF($A2593="","",IF(AND($A2593=21,$AE2593&amp;""="00000000"),IF($AH2593=20,"病院",IF($AH2593=5,"消防","市長")),"対象外"))</f>
        <v/>
      </c>
    </row>
    <row r="2594" customFormat="false" ht="15" hidden="false" customHeight="false" outlineLevel="0" collapsed="false">
      <c r="DB2594" s="0" t="str">
        <f aca="false">IF($A2594="","",IF(AND($A2594=21,$AE2594&amp;""="00000000"),IF($AH2594=20,"病院",IF($AH2594=5,"消防","市長")),"対象外"))</f>
        <v/>
      </c>
    </row>
    <row r="2595" customFormat="false" ht="15" hidden="false" customHeight="false" outlineLevel="0" collapsed="false">
      <c r="DB2595" s="0" t="str">
        <f aca="false">IF($A2595="","",IF(AND($A2595=21,$AE2595&amp;""="00000000"),IF($AH2595=20,"病院",IF($AH2595=5,"消防","市長")),"対象外"))</f>
        <v/>
      </c>
    </row>
    <row r="2596" customFormat="false" ht="15" hidden="false" customHeight="false" outlineLevel="0" collapsed="false">
      <c r="DB2596" s="0" t="str">
        <f aca="false">IF($A2596="","",IF(AND($A2596=21,$AE2596&amp;""="00000000"),IF($AH2596=20,"病院",IF($AH2596=5,"消防","市長")),"対象外"))</f>
        <v/>
      </c>
    </row>
    <row r="2597" customFormat="false" ht="15" hidden="false" customHeight="false" outlineLevel="0" collapsed="false">
      <c r="DB2597" s="0" t="str">
        <f aca="false">IF($A2597="","",IF(AND($A2597=21,$AE2597&amp;""="00000000"),IF($AH2597=20,"病院",IF($AH2597=5,"消防","市長")),"対象外"))</f>
        <v/>
      </c>
    </row>
    <row r="2598" customFormat="false" ht="15" hidden="false" customHeight="false" outlineLevel="0" collapsed="false">
      <c r="DB2598" s="0" t="str">
        <f aca="false">IF($A2598="","",IF(AND($A2598=21,$AE2598&amp;""="00000000"),IF($AH2598=20,"病院",IF($AH2598=5,"消防","市長")),"対象外"))</f>
        <v/>
      </c>
    </row>
    <row r="2599" customFormat="false" ht="15" hidden="false" customHeight="false" outlineLevel="0" collapsed="false">
      <c r="DB2599" s="0" t="str">
        <f aca="false">IF($A2599="","",IF(AND($A2599=21,$AE2599&amp;""="00000000"),IF($AH2599=20,"病院",IF($AH2599=5,"消防","市長")),"対象外"))</f>
        <v/>
      </c>
    </row>
    <row r="2600" customFormat="false" ht="15" hidden="false" customHeight="false" outlineLevel="0" collapsed="false">
      <c r="DB2600" s="0" t="str">
        <f aca="false">IF($A2600="","",IF(AND($A2600=21,$AE2600&amp;""="00000000"),IF($AH2600=20,"病院",IF($AH2600=5,"消防","市長")),"対象外"))</f>
        <v/>
      </c>
    </row>
    <row r="2601" customFormat="false" ht="15" hidden="false" customHeight="false" outlineLevel="0" collapsed="false">
      <c r="DB2601" s="0" t="str">
        <f aca="false">IF($A2601="","",IF(AND($A2601=21,$AE2601&amp;""="00000000"),IF($AH2601=20,"病院",IF($AH2601=5,"消防","市長")),"対象外"))</f>
        <v/>
      </c>
    </row>
    <row r="2602" customFormat="false" ht="15" hidden="false" customHeight="false" outlineLevel="0" collapsed="false">
      <c r="DB2602" s="0" t="str">
        <f aca="false">IF($A2602="","",IF(AND($A2602=21,$AE2602&amp;""="00000000"),IF($AH2602=20,"病院",IF($AH2602=5,"消防","市長")),"対象外"))</f>
        <v/>
      </c>
    </row>
    <row r="2603" customFormat="false" ht="15" hidden="false" customHeight="false" outlineLevel="0" collapsed="false">
      <c r="DB2603" s="0" t="str">
        <f aca="false">IF($A2603="","",IF(AND($A2603=21,$AE2603&amp;""="00000000"),IF($AH2603=20,"病院",IF($AH2603=5,"消防","市長")),"対象外"))</f>
        <v/>
      </c>
    </row>
    <row r="2604" customFormat="false" ht="15" hidden="false" customHeight="false" outlineLevel="0" collapsed="false">
      <c r="DB2604" s="0" t="str">
        <f aca="false">IF($A2604="","",IF(AND($A2604=21,$AE2604&amp;""="00000000"),IF($AH2604=20,"病院",IF($AH2604=5,"消防","市長")),"対象外"))</f>
        <v/>
      </c>
    </row>
    <row r="2605" customFormat="false" ht="15" hidden="false" customHeight="false" outlineLevel="0" collapsed="false">
      <c r="DB2605" s="0" t="str">
        <f aca="false">IF($A2605="","",IF(AND($A2605=21,$AE2605&amp;""="00000000"),IF($AH2605=20,"病院",IF($AH2605=5,"消防","市長")),"対象外"))</f>
        <v/>
      </c>
    </row>
    <row r="2606" customFormat="false" ht="15" hidden="false" customHeight="false" outlineLevel="0" collapsed="false">
      <c r="DB2606" s="0" t="str">
        <f aca="false">IF($A2606="","",IF(AND($A2606=21,$AE2606&amp;""="00000000"),IF($AH2606=20,"病院",IF($AH2606=5,"消防","市長")),"対象外"))</f>
        <v/>
      </c>
    </row>
    <row r="2607" customFormat="false" ht="15" hidden="false" customHeight="false" outlineLevel="0" collapsed="false">
      <c r="DB2607" s="0" t="str">
        <f aca="false">IF($A2607="","",IF(AND($A2607=21,$AE2607&amp;""="00000000"),IF($AH2607=20,"病院",IF($AH2607=5,"消防","市長")),"対象外"))</f>
        <v/>
      </c>
    </row>
    <row r="2608" customFormat="false" ht="15" hidden="false" customHeight="false" outlineLevel="0" collapsed="false">
      <c r="DB2608" s="0" t="str">
        <f aca="false">IF($A2608="","",IF(AND($A2608=21,$AE2608&amp;""="00000000"),IF($AH2608=20,"病院",IF($AH2608=5,"消防","市長")),"対象外"))</f>
        <v/>
      </c>
    </row>
    <row r="2609" customFormat="false" ht="15" hidden="false" customHeight="false" outlineLevel="0" collapsed="false">
      <c r="DB2609" s="0" t="str">
        <f aca="false">IF($A2609="","",IF(AND($A2609=21,$AE2609&amp;""="00000000"),IF($AH2609=20,"病院",IF($AH2609=5,"消防","市長")),"対象外"))</f>
        <v/>
      </c>
    </row>
    <row r="2610" customFormat="false" ht="15" hidden="false" customHeight="false" outlineLevel="0" collapsed="false">
      <c r="DB2610" s="0" t="str">
        <f aca="false">IF($A2610="","",IF(AND($A2610=21,$AE2610&amp;""="00000000"),IF($AH2610=20,"病院",IF($AH2610=5,"消防","市長")),"対象外"))</f>
        <v/>
      </c>
    </row>
    <row r="2611" customFormat="false" ht="15" hidden="false" customHeight="false" outlineLevel="0" collapsed="false">
      <c r="DB2611" s="0" t="str">
        <f aca="false">IF($A2611="","",IF(AND($A2611=21,$AE2611&amp;""="00000000"),IF($AH2611=20,"病院",IF($AH2611=5,"消防","市長")),"対象外"))</f>
        <v/>
      </c>
    </row>
    <row r="2612" customFormat="false" ht="15" hidden="false" customHeight="false" outlineLevel="0" collapsed="false">
      <c r="DB2612" s="0" t="str">
        <f aca="false">IF($A2612="","",IF(AND($A2612=21,$AE2612&amp;""="00000000"),IF($AH2612=20,"病院",IF($AH2612=5,"消防","市長")),"対象外"))</f>
        <v/>
      </c>
    </row>
    <row r="2613" customFormat="false" ht="15" hidden="false" customHeight="false" outlineLevel="0" collapsed="false">
      <c r="DB2613" s="0" t="str">
        <f aca="false">IF($A2613="","",IF(AND($A2613=21,$AE2613&amp;""="00000000"),IF($AH2613=20,"病院",IF($AH2613=5,"消防","市長")),"対象外"))</f>
        <v/>
      </c>
    </row>
    <row r="2614" customFormat="false" ht="15" hidden="false" customHeight="false" outlineLevel="0" collapsed="false">
      <c r="DB2614" s="0" t="str">
        <f aca="false">IF($A2614="","",IF(AND($A2614=21,$AE2614&amp;""="00000000"),IF($AH2614=20,"病院",IF($AH2614=5,"消防","市長")),"対象外"))</f>
        <v/>
      </c>
    </row>
    <row r="2615" customFormat="false" ht="15" hidden="false" customHeight="false" outlineLevel="0" collapsed="false">
      <c r="DB2615" s="0" t="str">
        <f aca="false">IF($A2615="","",IF(AND($A2615=21,$AE2615&amp;""="00000000"),IF($AH2615=20,"病院",IF($AH2615=5,"消防","市長")),"対象外"))</f>
        <v/>
      </c>
    </row>
    <row r="2616" customFormat="false" ht="15" hidden="false" customHeight="false" outlineLevel="0" collapsed="false">
      <c r="DB2616" s="0" t="str">
        <f aca="false">IF($A2616="","",IF(AND($A2616=21,$AE2616&amp;""="00000000"),IF($AH2616=20,"病院",IF($AH2616=5,"消防","市長")),"対象外"))</f>
        <v/>
      </c>
    </row>
    <row r="2617" customFormat="false" ht="15" hidden="false" customHeight="false" outlineLevel="0" collapsed="false">
      <c r="DB2617" s="0" t="str">
        <f aca="false">IF($A2617="","",IF(AND($A2617=21,$AE2617&amp;""="00000000"),IF($AH2617=20,"病院",IF($AH2617=5,"消防","市長")),"対象外"))</f>
        <v/>
      </c>
    </row>
    <row r="2618" customFormat="false" ht="15" hidden="false" customHeight="false" outlineLevel="0" collapsed="false">
      <c r="DB2618" s="0" t="str">
        <f aca="false">IF($A2618="","",IF(AND($A2618=21,$AE2618&amp;""="00000000"),IF($AH2618=20,"病院",IF($AH2618=5,"消防","市長")),"対象外"))</f>
        <v/>
      </c>
    </row>
    <row r="2619" customFormat="false" ht="15" hidden="false" customHeight="false" outlineLevel="0" collapsed="false">
      <c r="DB2619" s="0" t="str">
        <f aca="false">IF($A2619="","",IF(AND($A2619=21,$AE2619&amp;""="00000000"),IF($AH2619=20,"病院",IF($AH2619=5,"消防","市長")),"対象外"))</f>
        <v/>
      </c>
    </row>
    <row r="2620" customFormat="false" ht="15" hidden="false" customHeight="false" outlineLevel="0" collapsed="false">
      <c r="DB2620" s="0" t="str">
        <f aca="false">IF($A2620="","",IF(AND($A2620=21,$AE2620&amp;""="00000000"),IF($AH2620=20,"病院",IF($AH2620=5,"消防","市長")),"対象外"))</f>
        <v/>
      </c>
    </row>
    <row r="2621" customFormat="false" ht="15" hidden="false" customHeight="false" outlineLevel="0" collapsed="false">
      <c r="DB2621" s="0" t="str">
        <f aca="false">IF($A2621="","",IF(AND($A2621=21,$AE2621&amp;""="00000000"),IF($AH2621=20,"病院",IF($AH2621=5,"消防","市長")),"対象外"))</f>
        <v/>
      </c>
    </row>
    <row r="2622" customFormat="false" ht="15" hidden="false" customHeight="false" outlineLevel="0" collapsed="false">
      <c r="DB2622" s="0" t="str">
        <f aca="false">IF($A2622="","",IF(AND($A2622=21,$AE2622&amp;""="00000000"),IF($AH2622=20,"病院",IF($AH2622=5,"消防","市長")),"対象外"))</f>
        <v/>
      </c>
    </row>
    <row r="2623" customFormat="false" ht="15" hidden="false" customHeight="false" outlineLevel="0" collapsed="false">
      <c r="DB2623" s="0" t="str">
        <f aca="false">IF($A2623="","",IF(AND($A2623=21,$AE2623&amp;""="00000000"),IF($AH2623=20,"病院",IF($AH2623=5,"消防","市長")),"対象外"))</f>
        <v/>
      </c>
    </row>
    <row r="2624" customFormat="false" ht="15" hidden="false" customHeight="false" outlineLevel="0" collapsed="false">
      <c r="DB2624" s="0" t="str">
        <f aca="false">IF($A2624="","",IF(AND($A2624=21,$AE2624&amp;""="00000000"),IF($AH2624=20,"病院",IF($AH2624=5,"消防","市長")),"対象外"))</f>
        <v/>
      </c>
    </row>
    <row r="2625" customFormat="false" ht="15" hidden="false" customHeight="false" outlineLevel="0" collapsed="false">
      <c r="DB2625" s="0" t="str">
        <f aca="false">IF($A2625="","",IF(AND($A2625=21,$AE2625&amp;""="00000000"),IF($AH2625=20,"病院",IF($AH2625=5,"消防","市長")),"対象外"))</f>
        <v/>
      </c>
    </row>
    <row r="2626" customFormat="false" ht="15" hidden="false" customHeight="false" outlineLevel="0" collapsed="false">
      <c r="DB2626" s="0" t="str">
        <f aca="false">IF($A2626="","",IF(AND($A2626=21,$AE2626&amp;""="00000000"),IF($AH2626=20,"病院",IF($AH2626=5,"消防","市長")),"対象外"))</f>
        <v/>
      </c>
    </row>
    <row r="2627" customFormat="false" ht="15" hidden="false" customHeight="false" outlineLevel="0" collapsed="false">
      <c r="DB2627" s="0" t="str">
        <f aca="false">IF($A2627="","",IF(AND($A2627=21,$AE2627&amp;""="00000000"),IF($AH2627=20,"病院",IF($AH2627=5,"消防","市長")),"対象外"))</f>
        <v/>
      </c>
    </row>
    <row r="2628" customFormat="false" ht="15" hidden="false" customHeight="false" outlineLevel="0" collapsed="false">
      <c r="DB2628" s="0" t="str">
        <f aca="false">IF($A2628="","",IF(AND($A2628=21,$AE2628&amp;""="00000000"),IF($AH2628=20,"病院",IF($AH2628=5,"消防","市長")),"対象外"))</f>
        <v/>
      </c>
    </row>
    <row r="2629" customFormat="false" ht="15" hidden="false" customHeight="false" outlineLevel="0" collapsed="false">
      <c r="DB2629" s="0" t="str">
        <f aca="false">IF($A2629="","",IF(AND($A2629=21,$AE2629&amp;""="00000000"),IF($AH2629=20,"病院",IF($AH2629=5,"消防","市長")),"対象外"))</f>
        <v/>
      </c>
    </row>
    <row r="2630" customFormat="false" ht="15" hidden="false" customHeight="false" outlineLevel="0" collapsed="false">
      <c r="DB2630" s="0" t="str">
        <f aca="false">IF($A2630="","",IF(AND($A2630=21,$AE2630&amp;""="00000000"),IF($AH2630=20,"病院",IF($AH2630=5,"消防","市長")),"対象外"))</f>
        <v/>
      </c>
    </row>
    <row r="2631" customFormat="false" ht="15" hidden="false" customHeight="false" outlineLevel="0" collapsed="false">
      <c r="DB2631" s="0" t="str">
        <f aca="false">IF($A2631="","",IF(AND($A2631=21,$AE2631&amp;""="00000000"),IF($AH2631=20,"病院",IF($AH2631=5,"消防","市長")),"対象外"))</f>
        <v/>
      </c>
    </row>
    <row r="2632" customFormat="false" ht="15" hidden="false" customHeight="false" outlineLevel="0" collapsed="false">
      <c r="DB2632" s="0" t="str">
        <f aca="false">IF($A2632="","",IF(AND($A2632=21,$AE2632&amp;""="00000000"),IF($AH2632=20,"病院",IF($AH2632=5,"消防","市長")),"対象外"))</f>
        <v/>
      </c>
    </row>
    <row r="2633" customFormat="false" ht="15" hidden="false" customHeight="false" outlineLevel="0" collapsed="false">
      <c r="DB2633" s="0" t="str">
        <f aca="false">IF($A2633="","",IF(AND($A2633=21,$AE2633&amp;""="00000000"),IF($AH2633=20,"病院",IF($AH2633=5,"消防","市長")),"対象外"))</f>
        <v/>
      </c>
    </row>
    <row r="2634" customFormat="false" ht="15" hidden="false" customHeight="false" outlineLevel="0" collapsed="false">
      <c r="DB2634" s="0" t="str">
        <f aca="false">IF($A2634="","",IF(AND($A2634=21,$AE2634&amp;""="00000000"),IF($AH2634=20,"病院",IF($AH2634=5,"消防","市長")),"対象外"))</f>
        <v/>
      </c>
    </row>
    <row r="2635" customFormat="false" ht="15" hidden="false" customHeight="false" outlineLevel="0" collapsed="false">
      <c r="DB2635" s="0" t="str">
        <f aca="false">IF($A2635="","",IF(AND($A2635=21,$AE2635&amp;""="00000000"),IF($AH2635=20,"病院",IF($AH2635=5,"消防","市長")),"対象外"))</f>
        <v/>
      </c>
    </row>
    <row r="2636" customFormat="false" ht="15" hidden="false" customHeight="false" outlineLevel="0" collapsed="false">
      <c r="DB2636" s="0" t="str">
        <f aca="false">IF($A2636="","",IF(AND($A2636=21,$AE2636&amp;""="00000000"),IF($AH2636=20,"病院",IF($AH2636=5,"消防","市長")),"対象外"))</f>
        <v/>
      </c>
    </row>
    <row r="2637" customFormat="false" ht="15" hidden="false" customHeight="false" outlineLevel="0" collapsed="false">
      <c r="DB2637" s="0" t="str">
        <f aca="false">IF($A2637="","",IF(AND($A2637=21,$AE2637&amp;""="00000000"),IF($AH2637=20,"病院",IF($AH2637=5,"消防","市長")),"対象外"))</f>
        <v/>
      </c>
    </row>
    <row r="2638" customFormat="false" ht="15" hidden="false" customHeight="false" outlineLevel="0" collapsed="false">
      <c r="DB2638" s="0" t="str">
        <f aca="false">IF($A2638="","",IF(AND($A2638=21,$AE2638&amp;""="00000000"),IF($AH2638=20,"病院",IF($AH2638=5,"消防","市長")),"対象外"))</f>
        <v/>
      </c>
    </row>
    <row r="2639" customFormat="false" ht="15" hidden="false" customHeight="false" outlineLevel="0" collapsed="false">
      <c r="DB2639" s="0" t="str">
        <f aca="false">IF($A2639="","",IF(AND($A2639=21,$AE2639&amp;""="00000000"),IF($AH2639=20,"病院",IF($AH2639=5,"消防","市長")),"対象外"))</f>
        <v/>
      </c>
    </row>
    <row r="2640" customFormat="false" ht="15" hidden="false" customHeight="false" outlineLevel="0" collapsed="false">
      <c r="DB2640" s="0" t="str">
        <f aca="false">IF($A2640="","",IF(AND($A2640=21,$AE2640&amp;""="00000000"),IF($AH2640=20,"病院",IF($AH2640=5,"消防","市長")),"対象外"))</f>
        <v/>
      </c>
    </row>
    <row r="2641" customFormat="false" ht="15" hidden="false" customHeight="false" outlineLevel="0" collapsed="false">
      <c r="DB2641" s="0" t="str">
        <f aca="false">IF($A2641="","",IF(AND($A2641=21,$AE2641&amp;""="00000000"),IF($AH2641=20,"病院",IF($AH2641=5,"消防","市長")),"対象外"))</f>
        <v/>
      </c>
    </row>
    <row r="2642" customFormat="false" ht="15" hidden="false" customHeight="false" outlineLevel="0" collapsed="false">
      <c r="DB2642" s="0" t="str">
        <f aca="false">IF($A2642="","",IF(AND($A2642=21,$AE2642&amp;""="00000000"),IF($AH2642=20,"病院",IF($AH2642=5,"消防","市長")),"対象外"))</f>
        <v/>
      </c>
    </row>
    <row r="2643" customFormat="false" ht="15" hidden="false" customHeight="false" outlineLevel="0" collapsed="false">
      <c r="DB2643" s="0" t="str">
        <f aca="false">IF($A2643="","",IF(AND($A2643=21,$AE2643&amp;""="00000000"),IF($AH2643=20,"病院",IF($AH2643=5,"消防","市長")),"対象外"))</f>
        <v/>
      </c>
    </row>
    <row r="2644" customFormat="false" ht="15" hidden="false" customHeight="false" outlineLevel="0" collapsed="false">
      <c r="DB2644" s="0" t="str">
        <f aca="false">IF($A2644="","",IF(AND($A2644=21,$AE2644&amp;""="00000000"),IF($AH2644=20,"病院",IF($AH2644=5,"消防","市長")),"対象外"))</f>
        <v/>
      </c>
    </row>
    <row r="2645" customFormat="false" ht="15" hidden="false" customHeight="false" outlineLevel="0" collapsed="false">
      <c r="DB2645" s="0" t="str">
        <f aca="false">IF($A2645="","",IF(AND($A2645=21,$AE2645&amp;""="00000000"),IF($AH2645=20,"病院",IF($AH2645=5,"消防","市長")),"対象外"))</f>
        <v/>
      </c>
    </row>
    <row r="2646" customFormat="false" ht="15" hidden="false" customHeight="false" outlineLevel="0" collapsed="false">
      <c r="DB2646" s="0" t="str">
        <f aca="false">IF($A2646="","",IF(AND($A2646=21,$AE2646&amp;""="00000000"),IF($AH2646=20,"病院",IF($AH2646=5,"消防","市長")),"対象外"))</f>
        <v/>
      </c>
    </row>
    <row r="2647" customFormat="false" ht="15" hidden="false" customHeight="false" outlineLevel="0" collapsed="false">
      <c r="DB2647" s="0" t="str">
        <f aca="false">IF($A2647="","",IF(AND($A2647=21,$AE2647&amp;""="00000000"),IF($AH2647=20,"病院",IF($AH2647=5,"消防","市長")),"対象外"))</f>
        <v/>
      </c>
    </row>
    <row r="2648" customFormat="false" ht="15" hidden="false" customHeight="false" outlineLevel="0" collapsed="false">
      <c r="DB2648" s="0" t="str">
        <f aca="false">IF($A2648="","",IF(AND($A2648=21,$AE2648&amp;""="00000000"),IF($AH2648=20,"病院",IF($AH2648=5,"消防","市長")),"対象外"))</f>
        <v/>
      </c>
    </row>
    <row r="2649" customFormat="false" ht="15" hidden="false" customHeight="false" outlineLevel="0" collapsed="false">
      <c r="DB2649" s="0" t="str">
        <f aca="false">IF($A2649="","",IF(AND($A2649=21,$AE2649&amp;""="00000000"),IF($AH2649=20,"病院",IF($AH2649=5,"消防","市長")),"対象外"))</f>
        <v/>
      </c>
    </row>
    <row r="2650" customFormat="false" ht="15" hidden="false" customHeight="false" outlineLevel="0" collapsed="false">
      <c r="DB2650" s="0" t="str">
        <f aca="false">IF($A2650="","",IF(AND($A2650=21,$AE2650&amp;""="00000000"),IF($AH2650=20,"病院",IF($AH2650=5,"消防","市長")),"対象外"))</f>
        <v/>
      </c>
    </row>
    <row r="2651" customFormat="false" ht="15" hidden="false" customHeight="false" outlineLevel="0" collapsed="false">
      <c r="DB2651" s="0" t="str">
        <f aca="false">IF($A2651="","",IF(AND($A2651=21,$AE2651&amp;""="00000000"),IF($AH2651=20,"病院",IF($AH2651=5,"消防","市長")),"対象外"))</f>
        <v/>
      </c>
    </row>
    <row r="2652" customFormat="false" ht="15" hidden="false" customHeight="false" outlineLevel="0" collapsed="false">
      <c r="DB2652" s="0" t="str">
        <f aca="false">IF($A2652="","",IF(AND($A2652=21,$AE2652&amp;""="00000000"),IF($AH2652=20,"病院",IF($AH2652=5,"消防","市長")),"対象外"))</f>
        <v/>
      </c>
    </row>
    <row r="2653" customFormat="false" ht="15" hidden="false" customHeight="false" outlineLevel="0" collapsed="false">
      <c r="DB2653" s="0" t="str">
        <f aca="false">IF($A2653="","",IF(AND($A2653=21,$AE2653&amp;""="00000000"),IF($AH2653=20,"病院",IF($AH2653=5,"消防","市長")),"対象外"))</f>
        <v/>
      </c>
    </row>
    <row r="2654" customFormat="false" ht="15" hidden="false" customHeight="false" outlineLevel="0" collapsed="false">
      <c r="DB2654" s="0" t="str">
        <f aca="false">IF($A2654="","",IF(AND($A2654=21,$AE2654&amp;""="00000000"),IF($AH2654=20,"病院",IF($AH2654=5,"消防","市長")),"対象外"))</f>
        <v/>
      </c>
    </row>
    <row r="2655" customFormat="false" ht="15" hidden="false" customHeight="false" outlineLevel="0" collapsed="false">
      <c r="DB2655" s="0" t="str">
        <f aca="false">IF($A2655="","",IF(AND($A2655=21,$AE2655&amp;""="00000000"),IF($AH2655=20,"病院",IF($AH2655=5,"消防","市長")),"対象外"))</f>
        <v/>
      </c>
    </row>
    <row r="2656" customFormat="false" ht="15" hidden="false" customHeight="false" outlineLevel="0" collapsed="false">
      <c r="DB2656" s="0" t="str">
        <f aca="false">IF($A2656="","",IF(AND($A2656=21,$AE2656&amp;""="00000000"),IF($AH2656=20,"病院",IF($AH2656=5,"消防","市長")),"対象外"))</f>
        <v/>
      </c>
    </row>
    <row r="2657" customFormat="false" ht="15" hidden="false" customHeight="false" outlineLevel="0" collapsed="false">
      <c r="DB2657" s="0" t="str">
        <f aca="false">IF($A2657="","",IF(AND($A2657=21,$AE2657&amp;""="00000000"),IF($AH2657=20,"病院",IF($AH2657=5,"消防","市長")),"対象外"))</f>
        <v/>
      </c>
    </row>
    <row r="2658" customFormat="false" ht="15" hidden="false" customHeight="false" outlineLevel="0" collapsed="false">
      <c r="DB2658" s="0" t="str">
        <f aca="false">IF($A2658="","",IF(AND($A2658=21,$AE2658&amp;""="00000000"),IF($AH2658=20,"病院",IF($AH2658=5,"消防","市長")),"対象外"))</f>
        <v/>
      </c>
    </row>
    <row r="2659" customFormat="false" ht="15" hidden="false" customHeight="false" outlineLevel="0" collapsed="false">
      <c r="DB2659" s="0" t="str">
        <f aca="false">IF($A2659="","",IF(AND($A2659=21,$AE2659&amp;""="00000000"),IF($AH2659=20,"病院",IF($AH2659=5,"消防","市長")),"対象外"))</f>
        <v/>
      </c>
    </row>
    <row r="2660" customFormat="false" ht="15" hidden="false" customHeight="false" outlineLevel="0" collapsed="false">
      <c r="DB2660" s="0" t="str">
        <f aca="false">IF($A2660="","",IF(AND($A2660=21,$AE2660&amp;""="00000000"),IF($AH2660=20,"病院",IF($AH2660=5,"消防","市長")),"対象外"))</f>
        <v/>
      </c>
    </row>
    <row r="2661" customFormat="false" ht="15" hidden="false" customHeight="false" outlineLevel="0" collapsed="false">
      <c r="DB2661" s="0" t="str">
        <f aca="false">IF($A2661="","",IF(AND($A2661=21,$AE2661&amp;""="00000000"),IF($AH2661=20,"病院",IF($AH2661=5,"消防","市長")),"対象外"))</f>
        <v/>
      </c>
    </row>
    <row r="2662" customFormat="false" ht="15" hidden="false" customHeight="false" outlineLevel="0" collapsed="false">
      <c r="DB2662" s="0" t="str">
        <f aca="false">IF($A2662="","",IF(AND($A2662=21,$AE2662&amp;""="00000000"),IF($AH2662=20,"病院",IF($AH2662=5,"消防","市長")),"対象外"))</f>
        <v/>
      </c>
    </row>
    <row r="2663" customFormat="false" ht="15" hidden="false" customHeight="false" outlineLevel="0" collapsed="false">
      <c r="DB2663" s="0" t="str">
        <f aca="false">IF($A2663="","",IF(AND($A2663=21,$AE2663&amp;""="00000000"),IF($AH2663=20,"病院",IF($AH2663=5,"消防","市長")),"対象外"))</f>
        <v/>
      </c>
    </row>
    <row r="2664" customFormat="false" ht="15" hidden="false" customHeight="false" outlineLevel="0" collapsed="false">
      <c r="DB2664" s="0" t="str">
        <f aca="false">IF($A2664="","",IF(AND($A2664=21,$AE2664&amp;""="00000000"),IF($AH2664=20,"病院",IF($AH2664=5,"消防","市長")),"対象外"))</f>
        <v/>
      </c>
    </row>
    <row r="2665" customFormat="false" ht="15" hidden="false" customHeight="false" outlineLevel="0" collapsed="false">
      <c r="DB2665" s="0" t="str">
        <f aca="false">IF($A2665="","",IF(AND($A2665=21,$AE2665&amp;""="00000000"),IF($AH2665=20,"病院",IF($AH2665=5,"消防","市長")),"対象外"))</f>
        <v/>
      </c>
    </row>
    <row r="2666" customFormat="false" ht="15" hidden="false" customHeight="false" outlineLevel="0" collapsed="false">
      <c r="DB2666" s="0" t="str">
        <f aca="false">IF($A2666="","",IF(AND($A2666=21,$AE2666&amp;""="00000000"),IF($AH2666=20,"病院",IF($AH2666=5,"消防","市長")),"対象外"))</f>
        <v/>
      </c>
    </row>
    <row r="2667" customFormat="false" ht="15" hidden="false" customHeight="false" outlineLevel="0" collapsed="false">
      <c r="DB2667" s="0" t="str">
        <f aca="false">IF($A2667="","",IF(AND($A2667=21,$AE2667&amp;""="00000000"),IF($AH2667=20,"病院",IF($AH2667=5,"消防","市長")),"対象外"))</f>
        <v/>
      </c>
    </row>
    <row r="2668" customFormat="false" ht="15" hidden="false" customHeight="false" outlineLevel="0" collapsed="false">
      <c r="DB2668" s="0" t="str">
        <f aca="false">IF($A2668="","",IF(AND($A2668=21,$AE2668&amp;""="00000000"),IF($AH2668=20,"病院",IF($AH2668=5,"消防","市長")),"対象外"))</f>
        <v/>
      </c>
    </row>
    <row r="2669" customFormat="false" ht="15" hidden="false" customHeight="false" outlineLevel="0" collapsed="false">
      <c r="DB2669" s="0" t="str">
        <f aca="false">IF($A2669="","",IF(AND($A2669=21,$AE2669&amp;""="00000000"),IF($AH2669=20,"病院",IF($AH2669=5,"消防","市長")),"対象外"))</f>
        <v/>
      </c>
    </row>
    <row r="2670" customFormat="false" ht="15" hidden="false" customHeight="false" outlineLevel="0" collapsed="false">
      <c r="DB2670" s="0" t="str">
        <f aca="false">IF($A2670="","",IF(AND($A2670=21,$AE2670&amp;""="00000000"),IF($AH2670=20,"病院",IF($AH2670=5,"消防","市長")),"対象外"))</f>
        <v/>
      </c>
    </row>
    <row r="2671" customFormat="false" ht="15" hidden="false" customHeight="false" outlineLevel="0" collapsed="false">
      <c r="DB2671" s="0" t="str">
        <f aca="false">IF($A2671="","",IF(AND($A2671=21,$AE2671&amp;""="00000000"),IF($AH2671=20,"病院",IF($AH2671=5,"消防","市長")),"対象外"))</f>
        <v/>
      </c>
    </row>
    <row r="2672" customFormat="false" ht="15" hidden="false" customHeight="false" outlineLevel="0" collapsed="false">
      <c r="DB2672" s="0" t="str">
        <f aca="false">IF($A2672="","",IF(AND($A2672=21,$AE2672&amp;""="00000000"),IF($AH2672=20,"病院",IF($AH2672=5,"消防","市長")),"対象外"))</f>
        <v/>
      </c>
    </row>
    <row r="2673" customFormat="false" ht="15" hidden="false" customHeight="false" outlineLevel="0" collapsed="false">
      <c r="DB2673" s="0" t="str">
        <f aca="false">IF($A2673="","",IF(AND($A2673=21,$AE2673&amp;""="00000000"),IF($AH2673=20,"病院",IF($AH2673=5,"消防","市長")),"対象外"))</f>
        <v/>
      </c>
    </row>
    <row r="2674" customFormat="false" ht="15" hidden="false" customHeight="false" outlineLevel="0" collapsed="false">
      <c r="DB2674" s="0" t="str">
        <f aca="false">IF($A2674="","",IF(AND($A2674=21,$AE2674&amp;""="00000000"),IF($AH2674=20,"病院",IF($AH2674=5,"消防","市長")),"対象外"))</f>
        <v/>
      </c>
    </row>
    <row r="2675" customFormat="false" ht="15" hidden="false" customHeight="false" outlineLevel="0" collapsed="false">
      <c r="DB2675" s="0" t="str">
        <f aca="false">IF($A2675="","",IF(AND($A2675=21,$AE2675&amp;""="00000000"),IF($AH2675=20,"病院",IF($AH2675=5,"消防","市長")),"対象外"))</f>
        <v/>
      </c>
    </row>
    <row r="2676" customFormat="false" ht="15" hidden="false" customHeight="false" outlineLevel="0" collapsed="false">
      <c r="DB2676" s="0" t="str">
        <f aca="false">IF($A2676="","",IF(AND($A2676=21,$AE2676&amp;""="00000000"),IF($AH2676=20,"病院",IF($AH2676=5,"消防","市長")),"対象外"))</f>
        <v/>
      </c>
    </row>
    <row r="2677" customFormat="false" ht="15" hidden="false" customHeight="false" outlineLevel="0" collapsed="false">
      <c r="DB2677" s="0" t="str">
        <f aca="false">IF($A2677="","",IF(AND($A2677=21,$AE2677&amp;""="00000000"),IF($AH2677=20,"病院",IF($AH2677=5,"消防","市長")),"対象外"))</f>
        <v/>
      </c>
    </row>
    <row r="2678" customFormat="false" ht="15" hidden="false" customHeight="false" outlineLevel="0" collapsed="false">
      <c r="DB2678" s="0" t="str">
        <f aca="false">IF($A2678="","",IF(AND($A2678=21,$AE2678&amp;""="00000000"),IF($AH2678=20,"病院",IF($AH2678=5,"消防","市長")),"対象外"))</f>
        <v/>
      </c>
    </row>
    <row r="2679" customFormat="false" ht="15" hidden="false" customHeight="false" outlineLevel="0" collapsed="false">
      <c r="DB2679" s="0" t="str">
        <f aca="false">IF($A2679="","",IF(AND($A2679=21,$AE2679&amp;""="00000000"),IF($AH2679=20,"病院",IF($AH2679=5,"消防","市長")),"対象外"))</f>
        <v/>
      </c>
    </row>
    <row r="2680" customFormat="false" ht="15" hidden="false" customHeight="false" outlineLevel="0" collapsed="false">
      <c r="DB2680" s="0" t="str">
        <f aca="false">IF($A2680="","",IF(AND($A2680=21,$AE2680&amp;""="00000000"),IF($AH2680=20,"病院",IF($AH2680=5,"消防","市長")),"対象外"))</f>
        <v/>
      </c>
    </row>
    <row r="2681" customFormat="false" ht="15" hidden="false" customHeight="false" outlineLevel="0" collapsed="false">
      <c r="DB2681" s="0" t="str">
        <f aca="false">IF($A2681="","",IF(AND($A2681=21,$AE2681&amp;""="00000000"),IF($AH2681=20,"病院",IF($AH2681=5,"消防","市長")),"対象外"))</f>
        <v/>
      </c>
    </row>
    <row r="2682" customFormat="false" ht="15" hidden="false" customHeight="false" outlineLevel="0" collapsed="false">
      <c r="DB2682" s="0" t="str">
        <f aca="false">IF($A2682="","",IF(AND($A2682=21,$AE2682&amp;""="00000000"),IF($AH2682=20,"病院",IF($AH2682=5,"消防","市長")),"対象外"))</f>
        <v/>
      </c>
    </row>
    <row r="2683" customFormat="false" ht="15" hidden="false" customHeight="false" outlineLevel="0" collapsed="false">
      <c r="DB2683" s="0" t="str">
        <f aca="false">IF($A2683="","",IF(AND($A2683=21,$AE2683&amp;""="00000000"),IF($AH2683=20,"病院",IF($AH2683=5,"消防","市長")),"対象外"))</f>
        <v/>
      </c>
    </row>
    <row r="2684" customFormat="false" ht="15" hidden="false" customHeight="false" outlineLevel="0" collapsed="false">
      <c r="DB2684" s="0" t="str">
        <f aca="false">IF($A2684="","",IF(AND($A2684=21,$AE2684&amp;""="00000000"),IF($AH2684=20,"病院",IF($AH2684=5,"消防","市長")),"対象外"))</f>
        <v/>
      </c>
    </row>
    <row r="2685" customFormat="false" ht="15" hidden="false" customHeight="false" outlineLevel="0" collapsed="false">
      <c r="DB2685" s="0" t="str">
        <f aca="false">IF($A2685="","",IF(AND($A2685=21,$AE2685&amp;""="00000000"),IF($AH2685=20,"病院",IF($AH2685=5,"消防","市長")),"対象外"))</f>
        <v/>
      </c>
    </row>
    <row r="2686" customFormat="false" ht="15" hidden="false" customHeight="false" outlineLevel="0" collapsed="false">
      <c r="DB2686" s="0" t="str">
        <f aca="false">IF($A2686="","",IF(AND($A2686=21,$AE2686&amp;""="00000000"),IF($AH2686=20,"病院",IF($AH2686=5,"消防","市長")),"対象外"))</f>
        <v/>
      </c>
    </row>
    <row r="2687" customFormat="false" ht="15" hidden="false" customHeight="false" outlineLevel="0" collapsed="false">
      <c r="DB2687" s="0" t="str">
        <f aca="false">IF($A2687="","",IF(AND($A2687=21,$AE2687&amp;""="00000000"),IF($AH2687=20,"病院",IF($AH2687=5,"消防","市長")),"対象外"))</f>
        <v/>
      </c>
    </row>
    <row r="2688" customFormat="false" ht="15" hidden="false" customHeight="false" outlineLevel="0" collapsed="false">
      <c r="DB2688" s="0" t="str">
        <f aca="false">IF($A2688="","",IF(AND($A2688=21,$AE2688&amp;""="00000000"),IF($AH2688=20,"病院",IF($AH2688=5,"消防","市長")),"対象外"))</f>
        <v/>
      </c>
    </row>
    <row r="2689" customFormat="false" ht="15" hidden="false" customHeight="false" outlineLevel="0" collapsed="false">
      <c r="DB2689" s="0" t="str">
        <f aca="false">IF($A2689="","",IF(AND($A2689=21,$AE2689&amp;""="00000000"),IF($AH2689=20,"病院",IF($AH2689=5,"消防","市長")),"対象外"))</f>
        <v/>
      </c>
    </row>
    <row r="2690" customFormat="false" ht="15" hidden="false" customHeight="false" outlineLevel="0" collapsed="false">
      <c r="DB2690" s="0" t="str">
        <f aca="false">IF($A2690="","",IF(AND($A2690=21,$AE2690&amp;""="00000000"),IF($AH2690=20,"病院",IF($AH2690=5,"消防","市長")),"対象外"))</f>
        <v/>
      </c>
    </row>
    <row r="2691" customFormat="false" ht="15" hidden="false" customHeight="false" outlineLevel="0" collapsed="false">
      <c r="DB2691" s="0" t="str">
        <f aca="false">IF($A2691="","",IF(AND($A2691=21,$AE2691&amp;""="00000000"),IF($AH2691=20,"病院",IF($AH2691=5,"消防","市長")),"対象外"))</f>
        <v/>
      </c>
    </row>
    <row r="2692" customFormat="false" ht="15" hidden="false" customHeight="false" outlineLevel="0" collapsed="false">
      <c r="DB2692" s="0" t="str">
        <f aca="false">IF($A2692="","",IF(AND($A2692=21,$AE2692&amp;""="00000000"),IF($AH2692=20,"病院",IF($AH2692=5,"消防","市長")),"対象外"))</f>
        <v/>
      </c>
    </row>
    <row r="2693" customFormat="false" ht="15" hidden="false" customHeight="false" outlineLevel="0" collapsed="false">
      <c r="DB2693" s="0" t="str">
        <f aca="false">IF($A2693="","",IF(AND($A2693=21,$AE2693&amp;""="00000000"),IF($AH2693=20,"病院",IF($AH2693=5,"消防","市長")),"対象外"))</f>
        <v/>
      </c>
    </row>
    <row r="2694" customFormat="false" ht="15" hidden="false" customHeight="false" outlineLevel="0" collapsed="false">
      <c r="DB2694" s="0" t="str">
        <f aca="false">IF($A2694="","",IF(AND($A2694=21,$AE2694&amp;""="00000000"),IF($AH2694=20,"病院",IF($AH2694=5,"消防","市長")),"対象外"))</f>
        <v/>
      </c>
    </row>
    <row r="2695" customFormat="false" ht="15" hidden="false" customHeight="false" outlineLevel="0" collapsed="false">
      <c r="DB2695" s="0" t="str">
        <f aca="false">IF($A2695="","",IF(AND($A2695=21,$AE2695&amp;""="00000000"),IF($AH2695=20,"病院",IF($AH2695=5,"消防","市長")),"対象外"))</f>
        <v/>
      </c>
    </row>
    <row r="2696" customFormat="false" ht="15" hidden="false" customHeight="false" outlineLevel="0" collapsed="false">
      <c r="DB2696" s="0" t="str">
        <f aca="false">IF($A2696="","",IF(AND($A2696=21,$AE2696&amp;""="00000000"),IF($AH2696=20,"病院",IF($AH2696=5,"消防","市長")),"対象外"))</f>
        <v/>
      </c>
    </row>
    <row r="2697" customFormat="false" ht="15" hidden="false" customHeight="false" outlineLevel="0" collapsed="false">
      <c r="DB2697" s="0" t="str">
        <f aca="false">IF($A2697="","",IF(AND($A2697=21,$AE2697&amp;""="00000000"),IF($AH2697=20,"病院",IF($AH2697=5,"消防","市長")),"対象外"))</f>
        <v/>
      </c>
    </row>
    <row r="2698" customFormat="false" ht="15" hidden="false" customHeight="false" outlineLevel="0" collapsed="false">
      <c r="DB2698" s="0" t="str">
        <f aca="false">IF($A2698="","",IF(AND($A2698=21,$AE2698&amp;""="00000000"),IF($AH2698=20,"病院",IF($AH2698=5,"消防","市長")),"対象外"))</f>
        <v/>
      </c>
    </row>
    <row r="2699" customFormat="false" ht="15" hidden="false" customHeight="false" outlineLevel="0" collapsed="false">
      <c r="DB2699" s="0" t="str">
        <f aca="false">IF($A2699="","",IF(AND($A2699=21,$AE2699&amp;""="00000000"),IF($AH2699=20,"病院",IF($AH2699=5,"消防","市長")),"対象外"))</f>
        <v/>
      </c>
    </row>
    <row r="2700" customFormat="false" ht="15" hidden="false" customHeight="false" outlineLevel="0" collapsed="false">
      <c r="DB2700" s="0" t="str">
        <f aca="false">IF($A2700="","",IF(AND($A2700=21,$AE2700&amp;""="00000000"),IF($AH2700=20,"病院",IF($AH2700=5,"消防","市長")),"対象外"))</f>
        <v/>
      </c>
    </row>
    <row r="2701" customFormat="false" ht="15" hidden="false" customHeight="false" outlineLevel="0" collapsed="false">
      <c r="DB2701" s="0" t="str">
        <f aca="false">IF($A2701="","",IF(AND($A2701=21,$AE2701&amp;""="00000000"),IF($AH2701=20,"病院",IF($AH2701=5,"消防","市長")),"対象外"))</f>
        <v/>
      </c>
    </row>
    <row r="2702" customFormat="false" ht="15" hidden="false" customHeight="false" outlineLevel="0" collapsed="false">
      <c r="DB2702" s="0" t="str">
        <f aca="false">IF($A2702="","",IF(AND($A2702=21,$AE2702&amp;""="00000000"),IF($AH2702=20,"病院",IF($AH2702=5,"消防","市長")),"対象外"))</f>
        <v/>
      </c>
    </row>
    <row r="2703" customFormat="false" ht="15" hidden="false" customHeight="false" outlineLevel="0" collapsed="false">
      <c r="DB2703" s="0" t="str">
        <f aca="false">IF($A2703="","",IF(AND($A2703=21,$AE2703&amp;""="00000000"),IF($AH2703=20,"病院",IF($AH2703=5,"消防","市長")),"対象外"))</f>
        <v/>
      </c>
    </row>
    <row r="2704" customFormat="false" ht="15" hidden="false" customHeight="false" outlineLevel="0" collapsed="false">
      <c r="DB2704" s="0" t="str">
        <f aca="false">IF($A2704="","",IF(AND($A2704=21,$AE2704&amp;""="00000000"),IF($AH2704=20,"病院",IF($AH2704=5,"消防","市長")),"対象外"))</f>
        <v/>
      </c>
    </row>
    <row r="2705" customFormat="false" ht="15" hidden="false" customHeight="false" outlineLevel="0" collapsed="false">
      <c r="DB2705" s="0" t="str">
        <f aca="false">IF($A2705="","",IF(AND($A2705=21,$AE2705&amp;""="00000000"),IF($AH2705=20,"病院",IF($AH2705=5,"消防","市長")),"対象外"))</f>
        <v/>
      </c>
    </row>
    <row r="2706" customFormat="false" ht="15" hidden="false" customHeight="false" outlineLevel="0" collapsed="false">
      <c r="DB2706" s="0" t="str">
        <f aca="false">IF($A2706="","",IF(AND($A2706=21,$AE2706&amp;""="00000000"),IF($AH2706=20,"病院",IF($AH2706=5,"消防","市長")),"対象外"))</f>
        <v/>
      </c>
    </row>
    <row r="2707" customFormat="false" ht="15" hidden="false" customHeight="false" outlineLevel="0" collapsed="false">
      <c r="DB2707" s="0" t="str">
        <f aca="false">IF($A2707="","",IF(AND($A2707=21,$AE2707&amp;""="00000000"),IF($AH2707=20,"病院",IF($AH2707=5,"消防","市長")),"対象外"))</f>
        <v/>
      </c>
    </row>
    <row r="2708" customFormat="false" ht="15" hidden="false" customHeight="false" outlineLevel="0" collapsed="false">
      <c r="DB2708" s="0" t="str">
        <f aca="false">IF($A2708="","",IF(AND($A2708=21,$AE2708&amp;""="00000000"),IF($AH2708=20,"病院",IF($AH2708=5,"消防","市長")),"対象外"))</f>
        <v/>
      </c>
    </row>
    <row r="2709" customFormat="false" ht="15" hidden="false" customHeight="false" outlineLevel="0" collapsed="false">
      <c r="DB2709" s="0" t="str">
        <f aca="false">IF($A2709="","",IF(AND($A2709=21,$AE2709&amp;""="00000000"),IF($AH2709=20,"病院",IF($AH2709=5,"消防","市長")),"対象外"))</f>
        <v/>
      </c>
    </row>
    <row r="2710" customFormat="false" ht="15" hidden="false" customHeight="false" outlineLevel="0" collapsed="false">
      <c r="DB2710" s="0" t="str">
        <f aca="false">IF($A2710="","",IF(AND($A2710=21,$AE2710&amp;""="00000000"),IF($AH2710=20,"病院",IF($AH2710=5,"消防","市長")),"対象外"))</f>
        <v/>
      </c>
    </row>
    <row r="2711" customFormat="false" ht="15" hidden="false" customHeight="false" outlineLevel="0" collapsed="false">
      <c r="DB2711" s="0" t="str">
        <f aca="false">IF($A2711="","",IF(AND($A2711=21,$AE2711&amp;""="00000000"),IF($AH2711=20,"病院",IF($AH2711=5,"消防","市長")),"対象外"))</f>
        <v/>
      </c>
    </row>
    <row r="2712" customFormat="false" ht="15" hidden="false" customHeight="false" outlineLevel="0" collapsed="false">
      <c r="DB2712" s="0" t="str">
        <f aca="false">IF($A2712="","",IF(AND($A2712=21,$AE2712&amp;""="00000000"),IF($AH2712=20,"病院",IF($AH2712=5,"消防","市長")),"対象外"))</f>
        <v/>
      </c>
    </row>
    <row r="2713" customFormat="false" ht="15" hidden="false" customHeight="false" outlineLevel="0" collapsed="false">
      <c r="DB2713" s="0" t="str">
        <f aca="false">IF($A2713="","",IF(AND($A2713=21,$AE2713&amp;""="00000000"),IF($AH2713=20,"病院",IF($AH2713=5,"消防","市長")),"対象外"))</f>
        <v/>
      </c>
    </row>
    <row r="2714" customFormat="false" ht="15" hidden="false" customHeight="false" outlineLevel="0" collapsed="false">
      <c r="DB2714" s="0" t="str">
        <f aca="false">IF($A2714="","",IF(AND($A2714=21,$AE2714&amp;""="00000000"),IF($AH2714=20,"病院",IF($AH2714=5,"消防","市長")),"対象外"))</f>
        <v/>
      </c>
    </row>
    <row r="2715" customFormat="false" ht="15" hidden="false" customHeight="false" outlineLevel="0" collapsed="false">
      <c r="DB2715" s="0" t="str">
        <f aca="false">IF($A2715="","",IF(AND($A2715=21,$AE2715&amp;""="00000000"),IF($AH2715=20,"病院",IF($AH2715=5,"消防","市長")),"対象外"))</f>
        <v/>
      </c>
    </row>
    <row r="2716" customFormat="false" ht="15" hidden="false" customHeight="false" outlineLevel="0" collapsed="false">
      <c r="DB2716" s="0" t="str">
        <f aca="false">IF($A2716="","",IF(AND($A2716=21,$AE2716&amp;""="00000000"),IF($AH2716=20,"病院",IF($AH2716=5,"消防","市長")),"対象外"))</f>
        <v/>
      </c>
    </row>
    <row r="2717" customFormat="false" ht="15" hidden="false" customHeight="false" outlineLevel="0" collapsed="false">
      <c r="DB2717" s="0" t="str">
        <f aca="false">IF($A2717="","",IF(AND($A2717=21,$AE2717&amp;""="00000000"),IF($AH2717=20,"病院",IF($AH2717=5,"消防","市長")),"対象外"))</f>
        <v/>
      </c>
    </row>
    <row r="2718" customFormat="false" ht="15" hidden="false" customHeight="false" outlineLevel="0" collapsed="false">
      <c r="DB2718" s="0" t="str">
        <f aca="false">IF($A2718="","",IF(AND($A2718=21,$AE2718&amp;""="00000000"),IF($AH2718=20,"病院",IF($AH2718=5,"消防","市長")),"対象外"))</f>
        <v/>
      </c>
    </row>
    <row r="2719" customFormat="false" ht="15" hidden="false" customHeight="false" outlineLevel="0" collapsed="false">
      <c r="DB2719" s="0" t="str">
        <f aca="false">IF($A2719="","",IF(AND($A2719=21,$AE2719&amp;""="00000000"),IF($AH2719=20,"病院",IF($AH2719=5,"消防","市長")),"対象外"))</f>
        <v/>
      </c>
    </row>
    <row r="2720" customFormat="false" ht="15" hidden="false" customHeight="false" outlineLevel="0" collapsed="false">
      <c r="DB2720" s="0" t="str">
        <f aca="false">IF($A2720="","",IF(AND($A2720=21,$AE2720&amp;""="00000000"),IF($AH2720=20,"病院",IF($AH2720=5,"消防","市長")),"対象外"))</f>
        <v/>
      </c>
    </row>
    <row r="2721" customFormat="false" ht="15" hidden="false" customHeight="false" outlineLevel="0" collapsed="false">
      <c r="DB2721" s="0" t="str">
        <f aca="false">IF($A2721="","",IF(AND($A2721=21,$AE2721&amp;""="00000000"),IF($AH2721=20,"病院",IF($AH2721=5,"消防","市長")),"対象外"))</f>
        <v/>
      </c>
    </row>
    <row r="2722" customFormat="false" ht="15" hidden="false" customHeight="false" outlineLevel="0" collapsed="false">
      <c r="DB2722" s="0" t="str">
        <f aca="false">IF($A2722="","",IF(AND($A2722=21,$AE2722&amp;""="00000000"),IF($AH2722=20,"病院",IF($AH2722=5,"消防","市長")),"対象外"))</f>
        <v/>
      </c>
    </row>
    <row r="2723" customFormat="false" ht="15" hidden="false" customHeight="false" outlineLevel="0" collapsed="false">
      <c r="DB2723" s="0" t="str">
        <f aca="false">IF($A2723="","",IF(AND($A2723=21,$AE2723&amp;""="00000000"),IF($AH2723=20,"病院",IF($AH2723=5,"消防","市長")),"対象外"))</f>
        <v/>
      </c>
    </row>
    <row r="2724" customFormat="false" ht="15" hidden="false" customHeight="false" outlineLevel="0" collapsed="false">
      <c r="DB2724" s="0" t="str">
        <f aca="false">IF($A2724="","",IF(AND($A2724=21,$AE2724&amp;""="00000000"),IF($AH2724=20,"病院",IF($AH2724=5,"消防","市長")),"対象外"))</f>
        <v/>
      </c>
    </row>
    <row r="2725" customFormat="false" ht="15" hidden="false" customHeight="false" outlineLevel="0" collapsed="false">
      <c r="DB2725" s="0" t="str">
        <f aca="false">IF($A2725="","",IF(AND($A2725=21,$AE2725&amp;""="00000000"),IF($AH2725=20,"病院",IF($AH2725=5,"消防","市長")),"対象外"))</f>
        <v/>
      </c>
    </row>
    <row r="2726" customFormat="false" ht="15" hidden="false" customHeight="false" outlineLevel="0" collapsed="false">
      <c r="DB2726" s="0" t="str">
        <f aca="false">IF($A2726="","",IF(AND($A2726=21,$AE2726&amp;""="00000000"),IF($AH2726=20,"病院",IF($AH2726=5,"消防","市長")),"対象外"))</f>
        <v/>
      </c>
    </row>
    <row r="2727" customFormat="false" ht="15" hidden="false" customHeight="false" outlineLevel="0" collapsed="false">
      <c r="DB2727" s="0" t="str">
        <f aca="false">IF($A2727="","",IF(AND($A2727=21,$AE2727&amp;""="00000000"),IF($AH2727=20,"病院",IF($AH2727=5,"消防","市長")),"対象外"))</f>
        <v/>
      </c>
    </row>
    <row r="2728" customFormat="false" ht="15" hidden="false" customHeight="false" outlineLevel="0" collapsed="false">
      <c r="DB2728" s="0" t="str">
        <f aca="false">IF($A2728="","",IF(AND($A2728=21,$AE2728&amp;""="00000000"),IF($AH2728=20,"病院",IF($AH2728=5,"消防","市長")),"対象外"))</f>
        <v/>
      </c>
    </row>
    <row r="2729" customFormat="false" ht="15" hidden="false" customHeight="false" outlineLevel="0" collapsed="false">
      <c r="DB2729" s="0" t="str">
        <f aca="false">IF($A2729="","",IF(AND($A2729=21,$AE2729&amp;""="00000000"),IF($AH2729=20,"病院",IF($AH2729=5,"消防","市長")),"対象外"))</f>
        <v/>
      </c>
    </row>
    <row r="2730" customFormat="false" ht="15" hidden="false" customHeight="false" outlineLevel="0" collapsed="false">
      <c r="DB2730" s="0" t="str">
        <f aca="false">IF($A2730="","",IF(AND($A2730=21,$AE2730&amp;""="00000000"),IF($AH2730=20,"病院",IF($AH2730=5,"消防","市長")),"対象外"))</f>
        <v/>
      </c>
    </row>
    <row r="2731" customFormat="false" ht="15" hidden="false" customHeight="false" outlineLevel="0" collapsed="false">
      <c r="DB2731" s="0" t="str">
        <f aca="false">IF($A2731="","",IF(AND($A2731=21,$AE2731&amp;""="00000000"),IF($AH2731=20,"病院",IF($AH2731=5,"消防","市長")),"対象外"))</f>
        <v/>
      </c>
    </row>
    <row r="2732" customFormat="false" ht="15" hidden="false" customHeight="false" outlineLevel="0" collapsed="false">
      <c r="DB2732" s="0" t="str">
        <f aca="false">IF($A2732="","",IF(AND($A2732=21,$AE2732&amp;""="00000000"),IF($AH2732=20,"病院",IF($AH2732=5,"消防","市長")),"対象外"))</f>
        <v/>
      </c>
    </row>
    <row r="2733" customFormat="false" ht="15" hidden="false" customHeight="false" outlineLevel="0" collapsed="false">
      <c r="DB2733" s="0" t="str">
        <f aca="false">IF($A2733="","",IF(AND($A2733=21,$AE2733&amp;""="00000000"),IF($AH2733=20,"病院",IF($AH2733=5,"消防","市長")),"対象外"))</f>
        <v/>
      </c>
    </row>
    <row r="2734" customFormat="false" ht="15" hidden="false" customHeight="false" outlineLevel="0" collapsed="false">
      <c r="DB2734" s="0" t="str">
        <f aca="false">IF($A2734="","",IF(AND($A2734=21,$AE2734&amp;""="00000000"),IF($AH2734=20,"病院",IF($AH2734=5,"消防","市長")),"対象外"))</f>
        <v/>
      </c>
    </row>
    <row r="2735" customFormat="false" ht="15" hidden="false" customHeight="false" outlineLevel="0" collapsed="false">
      <c r="DB2735" s="0" t="str">
        <f aca="false">IF($A2735="","",IF(AND($A2735=21,$AE2735&amp;""="00000000"),IF($AH2735=20,"病院",IF($AH2735=5,"消防","市長")),"対象外"))</f>
        <v/>
      </c>
    </row>
    <row r="2736" customFormat="false" ht="15" hidden="false" customHeight="false" outlineLevel="0" collapsed="false">
      <c r="DB2736" s="0" t="str">
        <f aca="false">IF($A2736="","",IF(AND($A2736=21,$AE2736&amp;""="00000000"),IF($AH2736=20,"病院",IF($AH2736=5,"消防","市長")),"対象外"))</f>
        <v/>
      </c>
    </row>
    <row r="2737" customFormat="false" ht="15" hidden="false" customHeight="false" outlineLevel="0" collapsed="false">
      <c r="DB2737" s="0" t="str">
        <f aca="false">IF($A2737="","",IF(AND($A2737=21,$AE2737&amp;""="00000000"),IF($AH2737=20,"病院",IF($AH2737=5,"消防","市長")),"対象外"))</f>
        <v/>
      </c>
    </row>
    <row r="2738" customFormat="false" ht="15" hidden="false" customHeight="false" outlineLevel="0" collapsed="false">
      <c r="DB2738" s="0" t="str">
        <f aca="false">IF($A2738="","",IF(AND($A2738=21,$AE2738&amp;""="00000000"),IF($AH2738=20,"病院",IF($AH2738=5,"消防","市長")),"対象外"))</f>
        <v/>
      </c>
    </row>
    <row r="2739" customFormat="false" ht="15" hidden="false" customHeight="false" outlineLevel="0" collapsed="false">
      <c r="DB2739" s="0" t="str">
        <f aca="false">IF($A2739="","",IF(AND($A2739=21,$AE2739&amp;""="00000000"),IF($AH2739=20,"病院",IF($AH2739=5,"消防","市長")),"対象外"))</f>
        <v/>
      </c>
    </row>
    <row r="2740" customFormat="false" ht="15" hidden="false" customHeight="false" outlineLevel="0" collapsed="false">
      <c r="DB2740" s="0" t="str">
        <f aca="false">IF($A2740="","",IF(AND($A2740=21,$AE2740&amp;""="00000000"),IF($AH2740=20,"病院",IF($AH2740=5,"消防","市長")),"対象外"))</f>
        <v/>
      </c>
    </row>
    <row r="2741" customFormat="false" ht="15" hidden="false" customHeight="false" outlineLevel="0" collapsed="false">
      <c r="DB2741" s="0" t="str">
        <f aca="false">IF($A2741="","",IF(AND($A2741=21,$AE2741&amp;""="00000000"),IF($AH2741=20,"病院",IF($AH2741=5,"消防","市長")),"対象外"))</f>
        <v/>
      </c>
    </row>
    <row r="2742" customFormat="false" ht="15" hidden="false" customHeight="false" outlineLevel="0" collapsed="false">
      <c r="DB2742" s="0" t="str">
        <f aca="false">IF($A2742="","",IF(AND($A2742=21,$AE2742&amp;""="00000000"),IF($AH2742=20,"病院",IF($AH2742=5,"消防","市長")),"対象外"))</f>
        <v/>
      </c>
    </row>
    <row r="2743" customFormat="false" ht="15" hidden="false" customHeight="false" outlineLevel="0" collapsed="false">
      <c r="DB2743" s="0" t="str">
        <f aca="false">IF($A2743="","",IF(AND($A2743=21,$AE2743&amp;""="00000000"),IF($AH2743=20,"病院",IF($AH2743=5,"消防","市長")),"対象外"))</f>
        <v/>
      </c>
    </row>
    <row r="2744" customFormat="false" ht="15" hidden="false" customHeight="false" outlineLevel="0" collapsed="false">
      <c r="DB2744" s="0" t="str">
        <f aca="false">IF($A2744="","",IF(AND($A2744=21,$AE2744&amp;""="00000000"),IF($AH2744=20,"病院",IF($AH2744=5,"消防","市長")),"対象外"))</f>
        <v/>
      </c>
    </row>
    <row r="2745" customFormat="false" ht="15" hidden="false" customHeight="false" outlineLevel="0" collapsed="false">
      <c r="DB2745" s="0" t="str">
        <f aca="false">IF($A2745="","",IF(AND($A2745=21,$AE2745&amp;""="00000000"),IF($AH2745=20,"病院",IF($AH2745=5,"消防","市長")),"対象外"))</f>
        <v/>
      </c>
    </row>
    <row r="2746" customFormat="false" ht="15" hidden="false" customHeight="false" outlineLevel="0" collapsed="false">
      <c r="DB2746" s="0" t="str">
        <f aca="false">IF($A2746="","",IF(AND($A2746=21,$AE2746&amp;""="00000000"),IF($AH2746=20,"病院",IF($AH2746=5,"消防","市長")),"対象外"))</f>
        <v/>
      </c>
    </row>
    <row r="2747" customFormat="false" ht="15" hidden="false" customHeight="false" outlineLevel="0" collapsed="false">
      <c r="DB2747" s="0" t="str">
        <f aca="false">IF($A2747="","",IF(AND($A2747=21,$AE2747&amp;""="00000000"),IF($AH2747=20,"病院",IF($AH2747=5,"消防","市長")),"対象外"))</f>
        <v/>
      </c>
    </row>
    <row r="2748" customFormat="false" ht="15" hidden="false" customHeight="false" outlineLevel="0" collapsed="false">
      <c r="DB2748" s="0" t="str">
        <f aca="false">IF($A2748="","",IF(AND($A2748=21,$AE2748&amp;""="00000000"),IF($AH2748=20,"病院",IF($AH2748=5,"消防","市長")),"対象外"))</f>
        <v/>
      </c>
    </row>
    <row r="2749" customFormat="false" ht="15" hidden="false" customHeight="false" outlineLevel="0" collapsed="false">
      <c r="DB2749" s="0" t="str">
        <f aca="false">IF($A2749="","",IF(AND($A2749=21,$AE2749&amp;""="00000000"),IF($AH2749=20,"病院",IF($AH2749=5,"消防","市長")),"対象外"))</f>
        <v/>
      </c>
    </row>
    <row r="2750" customFormat="false" ht="15" hidden="false" customHeight="false" outlineLevel="0" collapsed="false">
      <c r="DB2750" s="0" t="str">
        <f aca="false">IF($A2750="","",IF(AND($A2750=21,$AE2750&amp;""="00000000"),IF($AH2750=20,"病院",IF($AH2750=5,"消防","市長")),"対象外"))</f>
        <v/>
      </c>
    </row>
    <row r="2751" customFormat="false" ht="15" hidden="false" customHeight="false" outlineLevel="0" collapsed="false">
      <c r="DB2751" s="0" t="str">
        <f aca="false">IF($A2751="","",IF(AND($A2751=21,$AE2751&amp;""="00000000"),IF($AH2751=20,"病院",IF($AH2751=5,"消防","市長")),"対象外"))</f>
        <v/>
      </c>
    </row>
    <row r="2752" customFormat="false" ht="15" hidden="false" customHeight="false" outlineLevel="0" collapsed="false">
      <c r="DB2752" s="0" t="str">
        <f aca="false">IF($A2752="","",IF(AND($A2752=21,$AE2752&amp;""="00000000"),IF($AH2752=20,"病院",IF($AH2752=5,"消防","市長")),"対象外"))</f>
        <v/>
      </c>
    </row>
    <row r="2753" customFormat="false" ht="15" hidden="false" customHeight="false" outlineLevel="0" collapsed="false">
      <c r="DB2753" s="0" t="str">
        <f aca="false">IF($A2753="","",IF(AND($A2753=21,$AE2753&amp;""="00000000"),IF($AH2753=20,"病院",IF($AH2753=5,"消防","市長")),"対象外"))</f>
        <v/>
      </c>
    </row>
    <row r="2754" customFormat="false" ht="15" hidden="false" customHeight="false" outlineLevel="0" collapsed="false">
      <c r="DB2754" s="0" t="str">
        <f aca="false">IF($A2754="","",IF(AND($A2754=21,$AE2754&amp;""="00000000"),IF($AH2754=20,"病院",IF($AH2754=5,"消防","市長")),"対象外"))</f>
        <v/>
      </c>
    </row>
    <row r="2755" customFormat="false" ht="15" hidden="false" customHeight="false" outlineLevel="0" collapsed="false">
      <c r="DB2755" s="0" t="str">
        <f aca="false">IF($A2755="","",IF(AND($A2755=21,$AE2755&amp;""="00000000"),IF($AH2755=20,"病院",IF($AH2755=5,"消防","市長")),"対象外"))</f>
        <v/>
      </c>
    </row>
    <row r="2756" customFormat="false" ht="15" hidden="false" customHeight="false" outlineLevel="0" collapsed="false">
      <c r="DB2756" s="0" t="str">
        <f aca="false">IF($A2756="","",IF(AND($A2756=21,$AE2756&amp;""="00000000"),IF($AH2756=20,"病院",IF($AH2756=5,"消防","市長")),"対象外"))</f>
        <v/>
      </c>
    </row>
    <row r="2757" customFormat="false" ht="15" hidden="false" customHeight="false" outlineLevel="0" collapsed="false">
      <c r="DB2757" s="0" t="str">
        <f aca="false">IF($A2757="","",IF(AND($A2757=21,$AE2757&amp;""="00000000"),IF($AH2757=20,"病院",IF($AH2757=5,"消防","市長")),"対象外"))</f>
        <v/>
      </c>
    </row>
    <row r="2758" customFormat="false" ht="15" hidden="false" customHeight="false" outlineLevel="0" collapsed="false">
      <c r="DB2758" s="0" t="str">
        <f aca="false">IF($A2758="","",IF(AND($A2758=21,$AE2758&amp;""="00000000"),IF($AH2758=20,"病院",IF($AH2758=5,"消防","市長")),"対象外"))</f>
        <v/>
      </c>
    </row>
    <row r="2759" customFormat="false" ht="15" hidden="false" customHeight="false" outlineLevel="0" collapsed="false">
      <c r="DB2759" s="0" t="str">
        <f aca="false">IF($A2759="","",IF(AND($A2759=21,$AE2759&amp;""="00000000"),IF($AH2759=20,"病院",IF($AH2759=5,"消防","市長")),"対象外"))</f>
        <v/>
      </c>
    </row>
    <row r="2760" customFormat="false" ht="15" hidden="false" customHeight="false" outlineLevel="0" collapsed="false">
      <c r="DB2760" s="0" t="str">
        <f aca="false">IF($A2760="","",IF(AND($A2760=21,$AE2760&amp;""="00000000"),IF($AH2760=20,"病院",IF($AH2760=5,"消防","市長")),"対象外"))</f>
        <v/>
      </c>
    </row>
    <row r="2761" customFormat="false" ht="15" hidden="false" customHeight="false" outlineLevel="0" collapsed="false">
      <c r="DB2761" s="0" t="str">
        <f aca="false">IF($A2761="","",IF(AND($A2761=21,$AE2761&amp;""="00000000"),IF($AH2761=20,"病院",IF($AH2761=5,"消防","市長")),"対象外"))</f>
        <v/>
      </c>
    </row>
    <row r="2762" customFormat="false" ht="15" hidden="false" customHeight="false" outlineLevel="0" collapsed="false">
      <c r="DB2762" s="0" t="str">
        <f aca="false">IF($A2762="","",IF(AND($A2762=21,$AE2762&amp;""="00000000"),IF($AH2762=20,"病院",IF($AH2762=5,"消防","市長")),"対象外"))</f>
        <v/>
      </c>
    </row>
    <row r="2763" customFormat="false" ht="15" hidden="false" customHeight="false" outlineLevel="0" collapsed="false">
      <c r="DB2763" s="0" t="str">
        <f aca="false">IF($A2763="","",IF(AND($A2763=21,$AE2763&amp;""="00000000"),IF($AH2763=20,"病院",IF($AH2763=5,"消防","市長")),"対象外"))</f>
        <v/>
      </c>
    </row>
    <row r="2764" customFormat="false" ht="15" hidden="false" customHeight="false" outlineLevel="0" collapsed="false">
      <c r="DB2764" s="0" t="str">
        <f aca="false">IF($A2764="","",IF(AND($A2764=21,$AE2764&amp;""="00000000"),IF($AH2764=20,"病院",IF($AH2764=5,"消防","市長")),"対象外"))</f>
        <v/>
      </c>
    </row>
    <row r="2765" customFormat="false" ht="15" hidden="false" customHeight="false" outlineLevel="0" collapsed="false">
      <c r="DB2765" s="0" t="str">
        <f aca="false">IF($A2765="","",IF(AND($A2765=21,$AE2765&amp;""="00000000"),IF($AH2765=20,"病院",IF($AH2765=5,"消防","市長")),"対象外"))</f>
        <v/>
      </c>
    </row>
    <row r="2766" customFormat="false" ht="15" hidden="false" customHeight="false" outlineLevel="0" collapsed="false">
      <c r="DB2766" s="0" t="str">
        <f aca="false">IF($A2766="","",IF(AND($A2766=21,$AE2766&amp;""="00000000"),IF($AH2766=20,"病院",IF($AH2766=5,"消防","市長")),"対象外"))</f>
        <v/>
      </c>
    </row>
    <row r="2767" customFormat="false" ht="15" hidden="false" customHeight="false" outlineLevel="0" collapsed="false">
      <c r="DB2767" s="0" t="str">
        <f aca="false">IF($A2767="","",IF(AND($A2767=21,$AE2767&amp;""="00000000"),IF($AH2767=20,"病院",IF($AH2767=5,"消防","市長")),"対象外"))</f>
        <v/>
      </c>
    </row>
    <row r="2768" customFormat="false" ht="15" hidden="false" customHeight="false" outlineLevel="0" collapsed="false">
      <c r="DB2768" s="0" t="str">
        <f aca="false">IF($A2768="","",IF(AND($A2768=21,$AE2768&amp;""="00000000"),IF($AH2768=20,"病院",IF($AH2768=5,"消防","市長")),"対象外"))</f>
        <v/>
      </c>
    </row>
    <row r="2769" customFormat="false" ht="15" hidden="false" customHeight="false" outlineLevel="0" collapsed="false">
      <c r="DB2769" s="0" t="str">
        <f aca="false">IF($A2769="","",IF(AND($A2769=21,$AE2769&amp;""="00000000"),IF($AH2769=20,"病院",IF($AH2769=5,"消防","市長")),"対象外"))</f>
        <v/>
      </c>
    </row>
    <row r="2770" customFormat="false" ht="15" hidden="false" customHeight="false" outlineLevel="0" collapsed="false">
      <c r="DB2770" s="0" t="str">
        <f aca="false">IF($A2770="","",IF(AND($A2770=21,$AE2770&amp;""="00000000"),IF($AH2770=20,"病院",IF($AH2770=5,"消防","市長")),"対象外"))</f>
        <v/>
      </c>
    </row>
    <row r="2771" customFormat="false" ht="15" hidden="false" customHeight="false" outlineLevel="0" collapsed="false">
      <c r="DB2771" s="0" t="str">
        <f aca="false">IF($A2771="","",IF(AND($A2771=21,$AE2771&amp;""="00000000"),IF($AH2771=20,"病院",IF($AH2771=5,"消防","市長")),"対象外"))</f>
        <v/>
      </c>
    </row>
    <row r="2772" customFormat="false" ht="15" hidden="false" customHeight="false" outlineLevel="0" collapsed="false">
      <c r="DB2772" s="0" t="str">
        <f aca="false">IF($A2772="","",IF(AND($A2772=21,$AE2772&amp;""="00000000"),IF($AH2772=20,"病院",IF($AH2772=5,"消防","市長")),"対象外"))</f>
        <v/>
      </c>
    </row>
    <row r="2773" customFormat="false" ht="15" hidden="false" customHeight="false" outlineLevel="0" collapsed="false">
      <c r="DB2773" s="0" t="str">
        <f aca="false">IF($A2773="","",IF(AND($A2773=21,$AE2773&amp;""="00000000"),IF($AH2773=20,"病院",IF($AH2773=5,"消防","市長")),"対象外"))</f>
        <v/>
      </c>
    </row>
    <row r="2774" customFormat="false" ht="15" hidden="false" customHeight="false" outlineLevel="0" collapsed="false">
      <c r="DB2774" s="0" t="str">
        <f aca="false">IF($A2774="","",IF(AND($A2774=21,$AE2774&amp;""="00000000"),IF($AH2774=20,"病院",IF($AH2774=5,"消防","市長")),"対象外"))</f>
        <v/>
      </c>
    </row>
    <row r="2775" customFormat="false" ht="15" hidden="false" customHeight="false" outlineLevel="0" collapsed="false">
      <c r="DB2775" s="0" t="str">
        <f aca="false">IF($A2775="","",IF(AND($A2775=21,$AE2775&amp;""="00000000"),IF($AH2775=20,"病院",IF($AH2775=5,"消防","市長")),"対象外"))</f>
        <v/>
      </c>
    </row>
    <row r="2776" customFormat="false" ht="15" hidden="false" customHeight="false" outlineLevel="0" collapsed="false">
      <c r="DB2776" s="0" t="str">
        <f aca="false">IF($A2776="","",IF(AND($A2776=21,$AE2776&amp;""="00000000"),IF($AH2776=20,"病院",IF($AH2776=5,"消防","市長")),"対象外"))</f>
        <v/>
      </c>
    </row>
    <row r="2777" customFormat="false" ht="15" hidden="false" customHeight="false" outlineLevel="0" collapsed="false">
      <c r="DB2777" s="0" t="str">
        <f aca="false">IF($A2777="","",IF(AND($A2777=21,$AE2777&amp;""="00000000"),IF($AH2777=20,"病院",IF($AH2777=5,"消防","市長")),"対象外"))</f>
        <v/>
      </c>
    </row>
    <row r="2778" customFormat="false" ht="15" hidden="false" customHeight="false" outlineLevel="0" collapsed="false">
      <c r="DB2778" s="0" t="str">
        <f aca="false">IF($A2778="","",IF(AND($A2778=21,$AE2778&amp;""="00000000"),IF($AH2778=20,"病院",IF($AH2778=5,"消防","市長")),"対象外"))</f>
        <v/>
      </c>
    </row>
    <row r="2779" customFormat="false" ht="15" hidden="false" customHeight="false" outlineLevel="0" collapsed="false">
      <c r="DB2779" s="0" t="str">
        <f aca="false">IF($A2779="","",IF(AND($A2779=21,$AE2779&amp;""="00000000"),IF($AH2779=20,"病院",IF($AH2779=5,"消防","市長")),"対象外"))</f>
        <v/>
      </c>
    </row>
    <row r="2780" customFormat="false" ht="15" hidden="false" customHeight="false" outlineLevel="0" collapsed="false">
      <c r="DB2780" s="0" t="str">
        <f aca="false">IF($A2780="","",IF(AND($A2780=21,$AE2780&amp;""="00000000"),IF($AH2780=20,"病院",IF($AH2780=5,"消防","市長")),"対象外"))</f>
        <v/>
      </c>
    </row>
    <row r="2781" customFormat="false" ht="15" hidden="false" customHeight="false" outlineLevel="0" collapsed="false">
      <c r="DB2781" s="0" t="str">
        <f aca="false">IF($A2781="","",IF(AND($A2781=21,$AE2781&amp;""="00000000"),IF($AH2781=20,"病院",IF($AH2781=5,"消防","市長")),"対象外"))</f>
        <v/>
      </c>
    </row>
    <row r="2782" customFormat="false" ht="15" hidden="false" customHeight="false" outlineLevel="0" collapsed="false">
      <c r="DB2782" s="0" t="str">
        <f aca="false">IF($A2782="","",IF(AND($A2782=21,$AE2782&amp;""="00000000"),IF($AH2782=20,"病院",IF($AH2782=5,"消防","市長")),"対象外"))</f>
        <v/>
      </c>
    </row>
    <row r="2783" customFormat="false" ht="15" hidden="false" customHeight="false" outlineLevel="0" collapsed="false">
      <c r="DB2783" s="0" t="str">
        <f aca="false">IF($A2783="","",IF(AND($A2783=21,$AE2783&amp;""="00000000"),IF($AH2783=20,"病院",IF($AH2783=5,"消防","市長")),"対象外"))</f>
        <v/>
      </c>
    </row>
    <row r="2784" customFormat="false" ht="15" hidden="false" customHeight="false" outlineLevel="0" collapsed="false">
      <c r="DB2784" s="0" t="str">
        <f aca="false">IF($A2784="","",IF(AND($A2784=21,$AE2784&amp;""="00000000"),IF($AH2784=20,"病院",IF($AH2784=5,"消防","市長")),"対象外"))</f>
        <v/>
      </c>
    </row>
    <row r="2785" customFormat="false" ht="15" hidden="false" customHeight="false" outlineLevel="0" collapsed="false">
      <c r="DB2785" s="0" t="str">
        <f aca="false">IF($A2785="","",IF(AND($A2785=21,$AE2785&amp;""="00000000"),IF($AH2785=20,"病院",IF($AH2785=5,"消防","市長")),"対象外"))</f>
        <v/>
      </c>
    </row>
    <row r="2786" customFormat="false" ht="15" hidden="false" customHeight="false" outlineLevel="0" collapsed="false">
      <c r="DB2786" s="0" t="str">
        <f aca="false">IF($A2786="","",IF(AND($A2786=21,$AE2786&amp;""="00000000"),IF($AH2786=20,"病院",IF($AH2786=5,"消防","市長")),"対象外"))</f>
        <v/>
      </c>
    </row>
    <row r="2787" customFormat="false" ht="15" hidden="false" customHeight="false" outlineLevel="0" collapsed="false">
      <c r="DB2787" s="0" t="str">
        <f aca="false">IF($A2787="","",IF(AND($A2787=21,$AE2787&amp;""="00000000"),IF($AH2787=20,"病院",IF($AH2787=5,"消防","市長")),"対象外"))</f>
        <v/>
      </c>
    </row>
    <row r="2788" customFormat="false" ht="15" hidden="false" customHeight="false" outlineLevel="0" collapsed="false">
      <c r="DB2788" s="0" t="str">
        <f aca="false">IF($A2788="","",IF(AND($A2788=21,$AE2788&amp;""="00000000"),IF($AH2788=20,"病院",IF($AH2788=5,"消防","市長")),"対象外"))</f>
        <v/>
      </c>
    </row>
    <row r="2789" customFormat="false" ht="15" hidden="false" customHeight="false" outlineLevel="0" collapsed="false">
      <c r="DB2789" s="0" t="str">
        <f aca="false">IF($A2789="","",IF(AND($A2789=21,$AE2789&amp;""="00000000"),IF($AH2789=20,"病院",IF($AH2789=5,"消防","市長")),"対象外"))</f>
        <v/>
      </c>
    </row>
    <row r="2790" customFormat="false" ht="15" hidden="false" customHeight="false" outlineLevel="0" collapsed="false">
      <c r="DB2790" s="0" t="str">
        <f aca="false">IF($A2790="","",IF(AND($A2790=21,$AE2790&amp;""="00000000"),IF($AH2790=20,"病院",IF($AH2790=5,"消防","市長")),"対象外"))</f>
        <v/>
      </c>
    </row>
    <row r="2791" customFormat="false" ht="15" hidden="false" customHeight="false" outlineLevel="0" collapsed="false">
      <c r="DB2791" s="0" t="str">
        <f aca="false">IF($A2791="","",IF(AND($A2791=21,$AE2791&amp;""="00000000"),IF($AH2791=20,"病院",IF($AH2791=5,"消防","市長")),"対象外"))</f>
        <v/>
      </c>
    </row>
    <row r="2792" customFormat="false" ht="15" hidden="false" customHeight="false" outlineLevel="0" collapsed="false">
      <c r="DB2792" s="0" t="str">
        <f aca="false">IF($A2792="","",IF(AND($A2792=21,$AE2792&amp;""="00000000"),IF($AH2792=20,"病院",IF($AH2792=5,"消防","市長")),"対象外"))</f>
        <v/>
      </c>
    </row>
    <row r="2793" customFormat="false" ht="15" hidden="false" customHeight="false" outlineLevel="0" collapsed="false">
      <c r="DB2793" s="0" t="str">
        <f aca="false">IF($A2793="","",IF(AND($A2793=21,$AE2793&amp;""="00000000"),IF($AH2793=20,"病院",IF($AH2793=5,"消防","市長")),"対象外"))</f>
        <v/>
      </c>
    </row>
    <row r="2794" customFormat="false" ht="15" hidden="false" customHeight="false" outlineLevel="0" collapsed="false">
      <c r="DB2794" s="0" t="str">
        <f aca="false">IF($A2794="","",IF(AND($A2794=21,$AE2794&amp;""="00000000"),IF($AH2794=20,"病院",IF($AH2794=5,"消防","市長")),"対象外"))</f>
        <v/>
      </c>
    </row>
    <row r="2795" customFormat="false" ht="15" hidden="false" customHeight="false" outlineLevel="0" collapsed="false">
      <c r="DB2795" s="0" t="str">
        <f aca="false">IF($A2795="","",IF(AND($A2795=21,$AE2795&amp;""="00000000"),IF($AH2795=20,"病院",IF($AH2795=5,"消防","市長")),"対象外"))</f>
        <v/>
      </c>
    </row>
    <row r="2796" customFormat="false" ht="15" hidden="false" customHeight="false" outlineLevel="0" collapsed="false">
      <c r="DB2796" s="0" t="str">
        <f aca="false">IF($A2796="","",IF(AND($A2796=21,$AE2796&amp;""="00000000"),IF($AH2796=20,"病院",IF($AH2796=5,"消防","市長")),"対象外"))</f>
        <v/>
      </c>
    </row>
    <row r="2797" customFormat="false" ht="15" hidden="false" customHeight="false" outlineLevel="0" collapsed="false">
      <c r="DB2797" s="0" t="str">
        <f aca="false">IF($A2797="","",IF(AND($A2797=21,$AE2797&amp;""="00000000"),IF($AH2797=20,"病院",IF($AH2797=5,"消防","市長")),"対象外"))</f>
        <v/>
      </c>
    </row>
    <row r="2798" customFormat="false" ht="15" hidden="false" customHeight="false" outlineLevel="0" collapsed="false">
      <c r="DB2798" s="0" t="str">
        <f aca="false">IF($A2798="","",IF(AND($A2798=21,$AE2798&amp;""="00000000"),IF($AH2798=20,"病院",IF($AH2798=5,"消防","市長")),"対象外"))</f>
        <v/>
      </c>
    </row>
    <row r="2799" customFormat="false" ht="15" hidden="false" customHeight="false" outlineLevel="0" collapsed="false">
      <c r="DB2799" s="0" t="str">
        <f aca="false">IF($A2799="","",IF(AND($A2799=21,$AE2799&amp;""="00000000"),IF($AH2799=20,"病院",IF($AH2799=5,"消防","市長")),"対象外"))</f>
        <v/>
      </c>
    </row>
    <row r="2800" customFormat="false" ht="15" hidden="false" customHeight="false" outlineLevel="0" collapsed="false">
      <c r="DB2800" s="0" t="str">
        <f aca="false">IF($A2800="","",IF(AND($A2800=21,$AE2800&amp;""="00000000"),IF($AH2800=20,"病院",IF($AH2800=5,"消防","市長")),"対象外"))</f>
        <v/>
      </c>
    </row>
    <row r="2801" customFormat="false" ht="15" hidden="false" customHeight="false" outlineLevel="0" collapsed="false">
      <c r="DB2801" s="0" t="str">
        <f aca="false">IF($A2801="","",IF(AND($A2801=21,$AE2801&amp;""="00000000"),IF($AH2801=20,"病院",IF($AH2801=5,"消防","市長")),"対象外"))</f>
        <v/>
      </c>
    </row>
    <row r="2802" customFormat="false" ht="15" hidden="false" customHeight="false" outlineLevel="0" collapsed="false">
      <c r="DB2802" s="0" t="str">
        <f aca="false">IF($A2802="","",IF(AND($A2802=21,$AE2802&amp;""="00000000"),IF($AH2802=20,"病院",IF($AH2802=5,"消防","市長")),"対象外"))</f>
        <v/>
      </c>
    </row>
    <row r="2803" customFormat="false" ht="15" hidden="false" customHeight="false" outlineLevel="0" collapsed="false">
      <c r="DB2803" s="0" t="str">
        <f aca="false">IF($A2803="","",IF(AND($A2803=21,$AE2803&amp;""="00000000"),IF($AH2803=20,"病院",IF($AH2803=5,"消防","市長")),"対象外"))</f>
        <v/>
      </c>
    </row>
    <row r="2804" customFormat="false" ht="15" hidden="false" customHeight="false" outlineLevel="0" collapsed="false">
      <c r="DB2804" s="0" t="str">
        <f aca="false">IF($A2804="","",IF(AND($A2804=21,$AE2804&amp;""="00000000"),IF($AH2804=20,"病院",IF($AH2804=5,"消防","市長")),"対象外"))</f>
        <v/>
      </c>
    </row>
    <row r="2805" customFormat="false" ht="15" hidden="false" customHeight="false" outlineLevel="0" collapsed="false">
      <c r="DB2805" s="0" t="str">
        <f aca="false">IF($A2805="","",IF(AND($A2805=21,$AE2805&amp;""="00000000"),IF($AH2805=20,"病院",IF($AH2805=5,"消防","市長")),"対象外"))</f>
        <v/>
      </c>
    </row>
    <row r="2806" customFormat="false" ht="15" hidden="false" customHeight="false" outlineLevel="0" collapsed="false">
      <c r="DB2806" s="0" t="str">
        <f aca="false">IF($A2806="","",IF(AND($A2806=21,$AE2806&amp;""="00000000"),IF($AH2806=20,"病院",IF($AH2806=5,"消防","市長")),"対象外"))</f>
        <v/>
      </c>
    </row>
    <row r="2807" customFormat="false" ht="15" hidden="false" customHeight="false" outlineLevel="0" collapsed="false">
      <c r="DB2807" s="0" t="str">
        <f aca="false">IF($A2807="","",IF(AND($A2807=21,$AE2807&amp;""="00000000"),IF($AH2807=20,"病院",IF($AH2807=5,"消防","市長")),"対象外"))</f>
        <v/>
      </c>
    </row>
    <row r="2808" customFormat="false" ht="15" hidden="false" customHeight="false" outlineLevel="0" collapsed="false">
      <c r="DB2808" s="0" t="str">
        <f aca="false">IF($A2808="","",IF(AND($A2808=21,$AE2808&amp;""="00000000"),IF($AH2808=20,"病院",IF($AH2808=5,"消防","市長")),"対象外"))</f>
        <v/>
      </c>
    </row>
    <row r="2809" customFormat="false" ht="15" hidden="false" customHeight="false" outlineLevel="0" collapsed="false">
      <c r="DB2809" s="0" t="str">
        <f aca="false">IF($A2809="","",IF(AND($A2809=21,$AE2809&amp;""="00000000"),IF($AH2809=20,"病院",IF($AH2809=5,"消防","市長")),"対象外"))</f>
        <v/>
      </c>
    </row>
    <row r="2810" customFormat="false" ht="15" hidden="false" customHeight="false" outlineLevel="0" collapsed="false">
      <c r="DB2810" s="0" t="str">
        <f aca="false">IF($A2810="","",IF(AND($A2810=21,$AE2810&amp;""="00000000"),IF($AH2810=20,"病院",IF($AH2810=5,"消防","市長")),"対象外"))</f>
        <v/>
      </c>
    </row>
    <row r="2811" customFormat="false" ht="15" hidden="false" customHeight="false" outlineLevel="0" collapsed="false">
      <c r="DB2811" s="0" t="str">
        <f aca="false">IF($A2811="","",IF(AND($A2811=21,$AE2811&amp;""="00000000"),IF($AH2811=20,"病院",IF($AH2811=5,"消防","市長")),"対象外"))</f>
        <v/>
      </c>
    </row>
    <row r="2812" customFormat="false" ht="15" hidden="false" customHeight="false" outlineLevel="0" collapsed="false">
      <c r="DB2812" s="0" t="str">
        <f aca="false">IF($A2812="","",IF(AND($A2812=21,$AE2812&amp;""="00000000"),IF($AH2812=20,"病院",IF($AH2812=5,"消防","市長")),"対象外"))</f>
        <v/>
      </c>
    </row>
    <row r="2813" customFormat="false" ht="15" hidden="false" customHeight="false" outlineLevel="0" collapsed="false">
      <c r="DB2813" s="0" t="str">
        <f aca="false">IF($A2813="","",IF(AND($A2813=21,$AE2813&amp;""="00000000"),IF($AH2813=20,"病院",IF($AH2813=5,"消防","市長")),"対象外"))</f>
        <v/>
      </c>
    </row>
    <row r="2814" customFormat="false" ht="15" hidden="false" customHeight="false" outlineLevel="0" collapsed="false">
      <c r="DB2814" s="0" t="str">
        <f aca="false">IF($A2814="","",IF(AND($A2814=21,$AE2814&amp;""="00000000"),IF($AH2814=20,"病院",IF($AH2814=5,"消防","市長")),"対象外"))</f>
        <v/>
      </c>
    </row>
    <row r="2815" customFormat="false" ht="15" hidden="false" customHeight="false" outlineLevel="0" collapsed="false">
      <c r="DB2815" s="0" t="str">
        <f aca="false">IF($A2815="","",IF(AND($A2815=21,$AE2815&amp;""="00000000"),IF($AH2815=20,"病院",IF($AH2815=5,"消防","市長")),"対象外"))</f>
        <v/>
      </c>
    </row>
    <row r="2816" customFormat="false" ht="15" hidden="false" customHeight="false" outlineLevel="0" collapsed="false">
      <c r="DB2816" s="0" t="str">
        <f aca="false">IF($A2816="","",IF(AND($A2816=21,$AE2816&amp;""="00000000"),IF($AH2816=20,"病院",IF($AH2816=5,"消防","市長")),"対象外"))</f>
        <v/>
      </c>
    </row>
    <row r="2817" customFormat="false" ht="15" hidden="false" customHeight="false" outlineLevel="0" collapsed="false">
      <c r="DB2817" s="0" t="str">
        <f aca="false">IF($A2817="","",IF(AND($A2817=21,$AE2817&amp;""="00000000"),IF($AH2817=20,"病院",IF($AH2817=5,"消防","市長")),"対象外"))</f>
        <v/>
      </c>
    </row>
    <row r="2818" customFormat="false" ht="15" hidden="false" customHeight="false" outlineLevel="0" collapsed="false">
      <c r="DB2818" s="0" t="str">
        <f aca="false">IF($A2818="","",IF(AND($A2818=21,$AE2818&amp;""="00000000"),IF($AH2818=20,"病院",IF($AH2818=5,"消防","市長")),"対象外"))</f>
        <v/>
      </c>
    </row>
    <row r="2819" customFormat="false" ht="15" hidden="false" customHeight="false" outlineLevel="0" collapsed="false">
      <c r="DB2819" s="0" t="str">
        <f aca="false">IF($A2819="","",IF(AND($A2819=21,$AE2819&amp;""="00000000"),IF($AH2819=20,"病院",IF($AH2819=5,"消防","市長")),"対象外"))</f>
        <v/>
      </c>
    </row>
    <row r="2820" customFormat="false" ht="15" hidden="false" customHeight="false" outlineLevel="0" collapsed="false">
      <c r="DB2820" s="0" t="str">
        <f aca="false">IF($A2820="","",IF(AND($A2820=21,$AE2820&amp;""="00000000"),IF($AH2820=20,"病院",IF($AH2820=5,"消防","市長")),"対象外"))</f>
        <v/>
      </c>
    </row>
    <row r="2821" customFormat="false" ht="15" hidden="false" customHeight="false" outlineLevel="0" collapsed="false">
      <c r="DB2821" s="0" t="str">
        <f aca="false">IF($A2821="","",IF(AND($A2821=21,$AE2821&amp;""="00000000"),IF($AH2821=20,"病院",IF($AH2821=5,"消防","市長")),"対象外"))</f>
        <v/>
      </c>
    </row>
    <row r="2822" customFormat="false" ht="15" hidden="false" customHeight="false" outlineLevel="0" collapsed="false">
      <c r="DB2822" s="0" t="str">
        <f aca="false">IF($A2822="","",IF(AND($A2822=21,$AE2822&amp;""="00000000"),IF($AH2822=20,"病院",IF($AH2822=5,"消防","市長")),"対象外"))</f>
        <v/>
      </c>
    </row>
    <row r="2823" customFormat="false" ht="15" hidden="false" customHeight="false" outlineLevel="0" collapsed="false">
      <c r="DB2823" s="0" t="str">
        <f aca="false">IF($A2823="","",IF(AND($A2823=21,$AE2823&amp;""="00000000"),IF($AH2823=20,"病院",IF($AH2823=5,"消防","市長")),"対象外"))</f>
        <v/>
      </c>
    </row>
    <row r="2824" customFormat="false" ht="15" hidden="false" customHeight="false" outlineLevel="0" collapsed="false">
      <c r="DB2824" s="0" t="str">
        <f aca="false">IF($A2824="","",IF(AND($A2824=21,$AE2824&amp;""="00000000"),IF($AH2824=20,"病院",IF($AH2824=5,"消防","市長")),"対象外"))</f>
        <v/>
      </c>
    </row>
    <row r="2825" customFormat="false" ht="15" hidden="false" customHeight="false" outlineLevel="0" collapsed="false">
      <c r="DB2825" s="0" t="str">
        <f aca="false">IF($A2825="","",IF(AND($A2825=21,$AE2825&amp;""="00000000"),IF($AH2825=20,"病院",IF($AH2825=5,"消防","市長")),"対象外"))</f>
        <v/>
      </c>
    </row>
    <row r="2826" customFormat="false" ht="15" hidden="false" customHeight="false" outlineLevel="0" collapsed="false">
      <c r="DB2826" s="0" t="str">
        <f aca="false">IF($A2826="","",IF(AND($A2826=21,$AE2826&amp;""="00000000"),IF($AH2826=20,"病院",IF($AH2826=5,"消防","市長")),"対象外"))</f>
        <v/>
      </c>
    </row>
    <row r="2827" customFormat="false" ht="15" hidden="false" customHeight="false" outlineLevel="0" collapsed="false">
      <c r="DB2827" s="0" t="str">
        <f aca="false">IF($A2827="","",IF(AND($A2827=21,$AE2827&amp;""="00000000"),IF($AH2827=20,"病院",IF($AH2827=5,"消防","市長")),"対象外"))</f>
        <v/>
      </c>
    </row>
    <row r="2828" customFormat="false" ht="15" hidden="false" customHeight="false" outlineLevel="0" collapsed="false">
      <c r="DB2828" s="0" t="str">
        <f aca="false">IF($A2828="","",IF(AND($A2828=21,$AE2828&amp;""="00000000"),IF($AH2828=20,"病院",IF($AH2828=5,"消防","市長")),"対象外"))</f>
        <v/>
      </c>
    </row>
    <row r="2829" customFormat="false" ht="15" hidden="false" customHeight="false" outlineLevel="0" collapsed="false">
      <c r="DB2829" s="0" t="str">
        <f aca="false">IF($A2829="","",IF(AND($A2829=21,$AE2829&amp;""="00000000"),IF($AH2829=20,"病院",IF($AH2829=5,"消防","市長")),"対象外"))</f>
        <v/>
      </c>
    </row>
    <row r="2830" customFormat="false" ht="15" hidden="false" customHeight="false" outlineLevel="0" collapsed="false">
      <c r="DB2830" s="0" t="str">
        <f aca="false">IF($A2830="","",IF(AND($A2830=21,$AE2830&amp;""="00000000"),IF($AH2830=20,"病院",IF($AH2830=5,"消防","市長")),"対象外"))</f>
        <v/>
      </c>
    </row>
    <row r="2831" customFormat="false" ht="15" hidden="false" customHeight="false" outlineLevel="0" collapsed="false">
      <c r="DB2831" s="0" t="str">
        <f aca="false">IF($A2831="","",IF(AND($A2831=21,$AE2831&amp;""="00000000"),IF($AH2831=20,"病院",IF($AH2831=5,"消防","市長")),"対象外"))</f>
        <v/>
      </c>
    </row>
    <row r="2832" customFormat="false" ht="15" hidden="false" customHeight="false" outlineLevel="0" collapsed="false">
      <c r="DB2832" s="0" t="str">
        <f aca="false">IF($A2832="","",IF(AND($A2832=21,$AE2832&amp;""="00000000"),IF($AH2832=20,"病院",IF($AH2832=5,"消防","市長")),"対象外"))</f>
        <v/>
      </c>
    </row>
    <row r="2833" customFormat="false" ht="15" hidden="false" customHeight="false" outlineLevel="0" collapsed="false">
      <c r="DB2833" s="0" t="str">
        <f aca="false">IF($A2833="","",IF(AND($A2833=21,$AE2833&amp;""="00000000"),IF($AH2833=20,"病院",IF($AH2833=5,"消防","市長")),"対象外"))</f>
        <v/>
      </c>
    </row>
    <row r="2834" customFormat="false" ht="15" hidden="false" customHeight="false" outlineLevel="0" collapsed="false">
      <c r="DB2834" s="0" t="str">
        <f aca="false">IF($A2834="","",IF(AND($A2834=21,$AE2834&amp;""="00000000"),IF($AH2834=20,"病院",IF($AH2834=5,"消防","市長")),"対象外"))</f>
        <v/>
      </c>
    </row>
    <row r="2835" customFormat="false" ht="15" hidden="false" customHeight="false" outlineLevel="0" collapsed="false">
      <c r="DB2835" s="0" t="str">
        <f aca="false">IF($A2835="","",IF(AND($A2835=21,$AE2835&amp;""="00000000"),IF($AH2835=20,"病院",IF($AH2835=5,"消防","市長")),"対象外"))</f>
        <v/>
      </c>
    </row>
    <row r="2836" customFormat="false" ht="15" hidden="false" customHeight="false" outlineLevel="0" collapsed="false">
      <c r="DB2836" s="0" t="str">
        <f aca="false">IF($A2836="","",IF(AND($A2836=21,$AE2836&amp;""="00000000"),IF($AH2836=20,"病院",IF($AH2836=5,"消防","市長")),"対象外"))</f>
        <v/>
      </c>
    </row>
    <row r="2837" customFormat="false" ht="15" hidden="false" customHeight="false" outlineLevel="0" collapsed="false">
      <c r="DB2837" s="0" t="str">
        <f aca="false">IF($A2837="","",IF(AND($A2837=21,$AE2837&amp;""="00000000"),IF($AH2837=20,"病院",IF($AH2837=5,"消防","市長")),"対象外"))</f>
        <v/>
      </c>
    </row>
    <row r="2838" customFormat="false" ht="15" hidden="false" customHeight="false" outlineLevel="0" collapsed="false">
      <c r="DB2838" s="0" t="str">
        <f aca="false">IF($A2838="","",IF(AND($A2838=21,$AE2838&amp;""="00000000"),IF($AH2838=20,"病院",IF($AH2838=5,"消防","市長")),"対象外"))</f>
        <v/>
      </c>
    </row>
    <row r="2839" customFormat="false" ht="15" hidden="false" customHeight="false" outlineLevel="0" collapsed="false">
      <c r="DB2839" s="0" t="str">
        <f aca="false">IF($A2839="","",IF(AND($A2839=21,$AE2839&amp;""="00000000"),IF($AH2839=20,"病院",IF($AH2839=5,"消防","市長")),"対象外"))</f>
        <v/>
      </c>
    </row>
    <row r="2840" customFormat="false" ht="15" hidden="false" customHeight="false" outlineLevel="0" collapsed="false">
      <c r="DB2840" s="0" t="str">
        <f aca="false">IF($A2840="","",IF(AND($A2840=21,$AE2840&amp;""="00000000"),IF($AH2840=20,"病院",IF($AH2840=5,"消防","市長")),"対象外"))</f>
        <v/>
      </c>
    </row>
    <row r="2841" customFormat="false" ht="15" hidden="false" customHeight="false" outlineLevel="0" collapsed="false">
      <c r="DB2841" s="0" t="str">
        <f aca="false">IF($A2841="","",IF(AND($A2841=21,$AE2841&amp;""="00000000"),IF($AH2841=20,"病院",IF($AH2841=5,"消防","市長")),"対象外"))</f>
        <v/>
      </c>
    </row>
    <row r="2842" customFormat="false" ht="15" hidden="false" customHeight="false" outlineLevel="0" collapsed="false">
      <c r="DB2842" s="0" t="str">
        <f aca="false">IF($A2842="","",IF(AND($A2842=21,$AE2842&amp;""="00000000"),IF($AH2842=20,"病院",IF($AH2842=5,"消防","市長")),"対象外"))</f>
        <v/>
      </c>
    </row>
    <row r="2843" customFormat="false" ht="15" hidden="false" customHeight="false" outlineLevel="0" collapsed="false">
      <c r="DB2843" s="0" t="str">
        <f aca="false">IF($A2843="","",IF(AND($A2843=21,$AE2843&amp;""="00000000"),IF($AH2843=20,"病院",IF($AH2843=5,"消防","市長")),"対象外"))</f>
        <v/>
      </c>
    </row>
    <row r="2844" customFormat="false" ht="15" hidden="false" customHeight="false" outlineLevel="0" collapsed="false">
      <c r="DB2844" s="0" t="str">
        <f aca="false">IF($A2844="","",IF(AND($A2844=21,$AE2844&amp;""="00000000"),IF($AH2844=20,"病院",IF($AH2844=5,"消防","市長")),"対象外"))</f>
        <v/>
      </c>
    </row>
    <row r="2845" customFormat="false" ht="15" hidden="false" customHeight="false" outlineLevel="0" collapsed="false">
      <c r="DB2845" s="0" t="str">
        <f aca="false">IF($A2845="","",IF(AND($A2845=21,$AE2845&amp;""="00000000"),IF($AH2845=20,"病院",IF($AH2845=5,"消防","市長")),"対象外"))</f>
        <v/>
      </c>
    </row>
    <row r="2846" customFormat="false" ht="15" hidden="false" customHeight="false" outlineLevel="0" collapsed="false">
      <c r="DB2846" s="0" t="str">
        <f aca="false">IF($A2846="","",IF(AND($A2846=21,$AE2846&amp;""="00000000"),IF($AH2846=20,"病院",IF($AH2846=5,"消防","市長")),"対象外"))</f>
        <v/>
      </c>
    </row>
    <row r="2847" customFormat="false" ht="15" hidden="false" customHeight="false" outlineLevel="0" collapsed="false">
      <c r="DB2847" s="0" t="str">
        <f aca="false">IF($A2847="","",IF(AND($A2847=21,$AE2847&amp;""="00000000"),IF($AH2847=20,"病院",IF($AH2847=5,"消防","市長")),"対象外"))</f>
        <v/>
      </c>
    </row>
    <row r="2848" customFormat="false" ht="15" hidden="false" customHeight="false" outlineLevel="0" collapsed="false">
      <c r="DB2848" s="0" t="str">
        <f aca="false">IF($A2848="","",IF(AND($A2848=21,$AE2848&amp;""="00000000"),IF($AH2848=20,"病院",IF($AH2848=5,"消防","市長")),"対象外"))</f>
        <v/>
      </c>
    </row>
    <row r="2849" customFormat="false" ht="15" hidden="false" customHeight="false" outlineLevel="0" collapsed="false">
      <c r="DB2849" s="0" t="str">
        <f aca="false">IF($A2849="","",IF(AND($A2849=21,$AE2849&amp;""="00000000"),IF($AH2849=20,"病院",IF($AH2849=5,"消防","市長")),"対象外"))</f>
        <v/>
      </c>
    </row>
    <row r="2850" customFormat="false" ht="15" hidden="false" customHeight="false" outlineLevel="0" collapsed="false">
      <c r="DB2850" s="0" t="str">
        <f aca="false">IF($A2850="","",IF(AND($A2850=21,$AE2850&amp;""="00000000"),IF($AH2850=20,"病院",IF($AH2850=5,"消防","市長")),"対象外"))</f>
        <v/>
      </c>
    </row>
    <row r="2851" customFormat="false" ht="15" hidden="false" customHeight="false" outlineLevel="0" collapsed="false">
      <c r="DB2851" s="0" t="str">
        <f aca="false">IF($A2851="","",IF(AND($A2851=21,$AE2851&amp;""="00000000"),IF($AH2851=20,"病院",IF($AH2851=5,"消防","市長")),"対象外"))</f>
        <v/>
      </c>
    </row>
    <row r="2852" customFormat="false" ht="15" hidden="false" customHeight="false" outlineLevel="0" collapsed="false">
      <c r="DB2852" s="0" t="str">
        <f aca="false">IF($A2852="","",IF(AND($A2852=21,$AE2852&amp;""="00000000"),IF($AH2852=20,"病院",IF($AH2852=5,"消防","市長")),"対象外"))</f>
        <v/>
      </c>
    </row>
    <row r="2853" customFormat="false" ht="15" hidden="false" customHeight="false" outlineLevel="0" collapsed="false">
      <c r="DB2853" s="0" t="str">
        <f aca="false">IF($A2853="","",IF(AND($A2853=21,$AE2853&amp;""="00000000"),IF($AH2853=20,"病院",IF($AH2853=5,"消防","市長")),"対象外"))</f>
        <v/>
      </c>
    </row>
    <row r="2854" customFormat="false" ht="15" hidden="false" customHeight="false" outlineLevel="0" collapsed="false">
      <c r="DB2854" s="0" t="str">
        <f aca="false">IF($A2854="","",IF(AND($A2854=21,$AE2854&amp;""="00000000"),IF($AH2854=20,"病院",IF($AH2854=5,"消防","市長")),"対象外"))</f>
        <v/>
      </c>
    </row>
    <row r="2855" customFormat="false" ht="15" hidden="false" customHeight="false" outlineLevel="0" collapsed="false">
      <c r="DB2855" s="0" t="str">
        <f aca="false">IF($A2855="","",IF(AND($A2855=21,$AE2855&amp;""="00000000"),IF($AH2855=20,"病院",IF($AH2855=5,"消防","市長")),"対象外"))</f>
        <v/>
      </c>
    </row>
    <row r="2856" customFormat="false" ht="15" hidden="false" customHeight="false" outlineLevel="0" collapsed="false">
      <c r="DB2856" s="0" t="str">
        <f aca="false">IF($A2856="","",IF(AND($A2856=21,$AE2856&amp;""="00000000"),IF($AH2856=20,"病院",IF($AH2856=5,"消防","市長")),"対象外"))</f>
        <v/>
      </c>
    </row>
    <row r="2857" customFormat="false" ht="15" hidden="false" customHeight="false" outlineLevel="0" collapsed="false">
      <c r="DB2857" s="0" t="str">
        <f aca="false">IF($A2857="","",IF(AND($A2857=21,$AE2857&amp;""="00000000"),IF($AH2857=20,"病院",IF($AH2857=5,"消防","市長")),"対象外"))</f>
        <v/>
      </c>
    </row>
    <row r="2858" customFormat="false" ht="15" hidden="false" customHeight="false" outlineLevel="0" collapsed="false">
      <c r="DB2858" s="0" t="str">
        <f aca="false">IF($A2858="","",IF(AND($A2858=21,$AE2858&amp;""="00000000"),IF($AH2858=20,"病院",IF($AH2858=5,"消防","市長")),"対象外"))</f>
        <v/>
      </c>
    </row>
    <row r="2859" customFormat="false" ht="15" hidden="false" customHeight="false" outlineLevel="0" collapsed="false">
      <c r="DB2859" s="0" t="str">
        <f aca="false">IF($A2859="","",IF(AND($A2859=21,$AE2859&amp;""="00000000"),IF($AH2859=20,"病院",IF($AH2859=5,"消防","市長")),"対象外"))</f>
        <v/>
      </c>
    </row>
    <row r="2860" customFormat="false" ht="15" hidden="false" customHeight="false" outlineLevel="0" collapsed="false">
      <c r="DB2860" s="0" t="str">
        <f aca="false">IF($A2860="","",IF(AND($A2860=21,$AE2860&amp;""="00000000"),IF($AH2860=20,"病院",IF($AH2860=5,"消防","市長")),"対象外"))</f>
        <v/>
      </c>
    </row>
    <row r="2861" customFormat="false" ht="15" hidden="false" customHeight="false" outlineLevel="0" collapsed="false">
      <c r="DB2861" s="0" t="str">
        <f aca="false">IF($A2861="","",IF(AND($A2861=21,$AE2861&amp;""="00000000"),IF($AH2861=20,"病院",IF($AH2861=5,"消防","市長")),"対象外"))</f>
        <v/>
      </c>
    </row>
    <row r="2862" customFormat="false" ht="15" hidden="false" customHeight="false" outlineLevel="0" collapsed="false">
      <c r="DB2862" s="0" t="str">
        <f aca="false">IF($A2862="","",IF(AND($A2862=21,$AE2862&amp;""="00000000"),IF($AH2862=20,"病院",IF($AH2862=5,"消防","市長")),"対象外"))</f>
        <v/>
      </c>
    </row>
    <row r="2863" customFormat="false" ht="15" hidden="false" customHeight="false" outlineLevel="0" collapsed="false">
      <c r="DB2863" s="0" t="str">
        <f aca="false">IF($A2863="","",IF(AND($A2863=21,$AE2863&amp;""="00000000"),IF($AH2863=20,"病院",IF($AH2863=5,"消防","市長")),"対象外"))</f>
        <v/>
      </c>
    </row>
    <row r="2864" customFormat="false" ht="15" hidden="false" customHeight="false" outlineLevel="0" collapsed="false">
      <c r="DB2864" s="0" t="str">
        <f aca="false">IF($A2864="","",IF(AND($A2864=21,$AE2864&amp;""="00000000"),IF($AH2864=20,"病院",IF($AH2864=5,"消防","市長")),"対象外"))</f>
        <v/>
      </c>
    </row>
    <row r="2865" customFormat="false" ht="15" hidden="false" customHeight="false" outlineLevel="0" collapsed="false">
      <c r="DB2865" s="0" t="str">
        <f aca="false">IF($A2865="","",IF(AND($A2865=21,$AE2865&amp;""="00000000"),IF($AH2865=20,"病院",IF($AH2865=5,"消防","市長")),"対象外"))</f>
        <v/>
      </c>
    </row>
    <row r="2866" customFormat="false" ht="15" hidden="false" customHeight="false" outlineLevel="0" collapsed="false">
      <c r="DB2866" s="0" t="str">
        <f aca="false">IF($A2866="","",IF(AND($A2866=21,$AE2866&amp;""="00000000"),IF($AH2866=20,"病院",IF($AH2866=5,"消防","市長")),"対象外"))</f>
        <v/>
      </c>
    </row>
    <row r="2867" customFormat="false" ht="15" hidden="false" customHeight="false" outlineLevel="0" collapsed="false">
      <c r="DB2867" s="0" t="str">
        <f aca="false">IF($A2867="","",IF(AND($A2867=21,$AE2867&amp;""="00000000"),IF($AH2867=20,"病院",IF($AH2867=5,"消防","市長")),"対象外"))</f>
        <v/>
      </c>
    </row>
    <row r="2868" customFormat="false" ht="15" hidden="false" customHeight="false" outlineLevel="0" collapsed="false">
      <c r="DB2868" s="0" t="str">
        <f aca="false">IF($A2868="","",IF(AND($A2868=21,$AE2868&amp;""="00000000"),IF($AH2868=20,"病院",IF($AH2868=5,"消防","市長")),"対象外"))</f>
        <v/>
      </c>
    </row>
    <row r="2869" customFormat="false" ht="15" hidden="false" customHeight="false" outlineLevel="0" collapsed="false">
      <c r="DB2869" s="0" t="str">
        <f aca="false">IF($A2869="","",IF(AND($A2869=21,$AE2869&amp;""="00000000"),IF($AH2869=20,"病院",IF($AH2869=5,"消防","市長")),"対象外"))</f>
        <v/>
      </c>
    </row>
    <row r="2870" customFormat="false" ht="15" hidden="false" customHeight="false" outlineLevel="0" collapsed="false">
      <c r="DB2870" s="0" t="str">
        <f aca="false">IF($A2870="","",IF(AND($A2870=21,$AE2870&amp;""="00000000"),IF($AH2870=20,"病院",IF($AH2870=5,"消防","市長")),"対象外"))</f>
        <v/>
      </c>
    </row>
    <row r="2871" customFormat="false" ht="15" hidden="false" customHeight="false" outlineLevel="0" collapsed="false">
      <c r="DB2871" s="0" t="str">
        <f aca="false">IF($A2871="","",IF(AND($A2871=21,$AE2871&amp;""="00000000"),IF($AH2871=20,"病院",IF($AH2871=5,"消防","市長")),"対象外"))</f>
        <v/>
      </c>
    </row>
    <row r="2872" customFormat="false" ht="15" hidden="false" customHeight="false" outlineLevel="0" collapsed="false">
      <c r="DB2872" s="0" t="str">
        <f aca="false">IF($A2872="","",IF(AND($A2872=21,$AE2872&amp;""="00000000"),IF($AH2872=20,"病院",IF($AH2872=5,"消防","市長")),"対象外"))</f>
        <v/>
      </c>
    </row>
    <row r="2873" customFormat="false" ht="15" hidden="false" customHeight="false" outlineLevel="0" collapsed="false">
      <c r="DB2873" s="0" t="str">
        <f aca="false">IF($A2873="","",IF(AND($A2873=21,$AE2873&amp;""="00000000"),IF($AH2873=20,"病院",IF($AH2873=5,"消防","市長")),"対象外"))</f>
        <v/>
      </c>
    </row>
    <row r="2874" customFormat="false" ht="15" hidden="false" customHeight="false" outlineLevel="0" collapsed="false">
      <c r="DB2874" s="0" t="str">
        <f aca="false">IF($A2874="","",IF(AND($A2874=21,$AE2874&amp;""="00000000"),IF($AH2874=20,"病院",IF($AH2874=5,"消防","市長")),"対象外"))</f>
        <v/>
      </c>
    </row>
    <row r="2875" customFormat="false" ht="15" hidden="false" customHeight="false" outlineLevel="0" collapsed="false">
      <c r="DB2875" s="0" t="str">
        <f aca="false">IF($A2875="","",IF(AND($A2875=21,$AE2875&amp;""="00000000"),IF($AH2875=20,"病院",IF($AH2875=5,"消防","市長")),"対象外"))</f>
        <v/>
      </c>
    </row>
    <row r="2876" customFormat="false" ht="15" hidden="false" customHeight="false" outlineLevel="0" collapsed="false">
      <c r="DB2876" s="0" t="str">
        <f aca="false">IF($A2876="","",IF(AND($A2876=21,$AE2876&amp;""="00000000"),IF($AH2876=20,"病院",IF($AH2876=5,"消防","市長")),"対象外"))</f>
        <v/>
      </c>
    </row>
    <row r="2877" customFormat="false" ht="15" hidden="false" customHeight="false" outlineLevel="0" collapsed="false">
      <c r="DB2877" s="0" t="str">
        <f aca="false">IF($A2877="","",IF(AND($A2877=21,$AE2877&amp;""="00000000"),IF($AH2877=20,"病院",IF($AH2877=5,"消防","市長")),"対象外"))</f>
        <v/>
      </c>
    </row>
    <row r="2878" customFormat="false" ht="15" hidden="false" customHeight="false" outlineLevel="0" collapsed="false">
      <c r="DB2878" s="0" t="str">
        <f aca="false">IF($A2878="","",IF(AND($A2878=21,$AE2878&amp;""="00000000"),IF($AH2878=20,"病院",IF($AH2878=5,"消防","市長")),"対象外"))</f>
        <v/>
      </c>
    </row>
    <row r="2879" customFormat="false" ht="15" hidden="false" customHeight="false" outlineLevel="0" collapsed="false">
      <c r="DB2879" s="0" t="str">
        <f aca="false">IF($A2879="","",IF(AND($A2879=21,$AE2879&amp;""="00000000"),IF($AH2879=20,"病院",IF($AH2879=5,"消防","市長")),"対象外"))</f>
        <v/>
      </c>
    </row>
    <row r="2880" customFormat="false" ht="15" hidden="false" customHeight="false" outlineLevel="0" collapsed="false">
      <c r="DB2880" s="0" t="str">
        <f aca="false">IF($A2880="","",IF(AND($A2880=21,$AE2880&amp;""="00000000"),IF($AH2880=20,"病院",IF($AH2880=5,"消防","市長")),"対象外"))</f>
        <v/>
      </c>
    </row>
    <row r="2881" customFormat="false" ht="15" hidden="false" customHeight="false" outlineLevel="0" collapsed="false">
      <c r="DB2881" s="0" t="str">
        <f aca="false">IF($A2881="","",IF(AND($A2881=21,$AE2881&amp;""="00000000"),IF($AH2881=20,"病院",IF($AH2881=5,"消防","市長")),"対象外"))</f>
        <v/>
      </c>
    </row>
    <row r="2882" customFormat="false" ht="15" hidden="false" customHeight="false" outlineLevel="0" collapsed="false">
      <c r="DB2882" s="0" t="str">
        <f aca="false">IF($A2882="","",IF(AND($A2882=21,$AE2882&amp;""="00000000"),IF($AH2882=20,"病院",IF($AH2882=5,"消防","市長")),"対象外"))</f>
        <v/>
      </c>
    </row>
    <row r="2883" customFormat="false" ht="15" hidden="false" customHeight="false" outlineLevel="0" collapsed="false">
      <c r="DB2883" s="0" t="str">
        <f aca="false">IF($A2883="","",IF(AND($A2883=21,$AE2883&amp;""="00000000"),IF($AH2883=20,"病院",IF($AH2883=5,"消防","市長")),"対象外"))</f>
        <v/>
      </c>
    </row>
    <row r="2884" customFormat="false" ht="15" hidden="false" customHeight="false" outlineLevel="0" collapsed="false">
      <c r="DB2884" s="0" t="str">
        <f aca="false">IF($A2884="","",IF(AND($A2884=21,$AE2884&amp;""="00000000"),IF($AH2884=20,"病院",IF($AH2884=5,"消防","市長")),"対象外"))</f>
        <v/>
      </c>
    </row>
    <row r="2885" customFormat="false" ht="15" hidden="false" customHeight="false" outlineLevel="0" collapsed="false">
      <c r="DB2885" s="0" t="str">
        <f aca="false">IF($A2885="","",IF(AND($A2885=21,$AE2885&amp;""="00000000"),IF($AH2885=20,"病院",IF($AH2885=5,"消防","市長")),"対象外"))</f>
        <v/>
      </c>
    </row>
    <row r="2886" customFormat="false" ht="15" hidden="false" customHeight="false" outlineLevel="0" collapsed="false">
      <c r="DB2886" s="0" t="str">
        <f aca="false">IF($A2886="","",IF(AND($A2886=21,$AE2886&amp;""="00000000"),IF($AH2886=20,"病院",IF($AH2886=5,"消防","市長")),"対象外"))</f>
        <v/>
      </c>
    </row>
    <row r="2887" customFormat="false" ht="15" hidden="false" customHeight="false" outlineLevel="0" collapsed="false">
      <c r="DB2887" s="0" t="str">
        <f aca="false">IF($A2887="","",IF(AND($A2887=21,$AE2887&amp;""="00000000"),IF($AH2887=20,"病院",IF($AH2887=5,"消防","市長")),"対象外"))</f>
        <v/>
      </c>
    </row>
    <row r="2888" customFormat="false" ht="15" hidden="false" customHeight="false" outlineLevel="0" collapsed="false">
      <c r="DB2888" s="0" t="str">
        <f aca="false">IF($A2888="","",IF(AND($A2888=21,$AE2888&amp;""="00000000"),IF($AH2888=20,"病院",IF($AH2888=5,"消防","市長")),"対象外"))</f>
        <v/>
      </c>
    </row>
    <row r="2889" customFormat="false" ht="15" hidden="false" customHeight="false" outlineLevel="0" collapsed="false">
      <c r="DB2889" s="0" t="str">
        <f aca="false">IF($A2889="","",IF(AND($A2889=21,$AE2889&amp;""="00000000"),IF($AH2889=20,"病院",IF($AH2889=5,"消防","市長")),"対象外"))</f>
        <v/>
      </c>
    </row>
    <row r="2890" customFormat="false" ht="15" hidden="false" customHeight="false" outlineLevel="0" collapsed="false">
      <c r="DB2890" s="0" t="str">
        <f aca="false">IF($A2890="","",IF(AND($A2890=21,$AE2890&amp;""="00000000"),IF($AH2890=20,"病院",IF($AH2890=5,"消防","市長")),"対象外"))</f>
        <v/>
      </c>
    </row>
    <row r="2891" customFormat="false" ht="15" hidden="false" customHeight="false" outlineLevel="0" collapsed="false">
      <c r="DB2891" s="0" t="str">
        <f aca="false">IF($A2891="","",IF(AND($A2891=21,$AE2891&amp;""="00000000"),IF($AH2891=20,"病院",IF($AH2891=5,"消防","市長")),"対象外"))</f>
        <v/>
      </c>
    </row>
    <row r="2892" customFormat="false" ht="15" hidden="false" customHeight="false" outlineLevel="0" collapsed="false">
      <c r="DB2892" s="0" t="str">
        <f aca="false">IF($A2892="","",IF(AND($A2892=21,$AE2892&amp;""="00000000"),IF($AH2892=20,"病院",IF($AH2892=5,"消防","市長")),"対象外"))</f>
        <v/>
      </c>
    </row>
    <row r="2893" customFormat="false" ht="15" hidden="false" customHeight="false" outlineLevel="0" collapsed="false">
      <c r="DB2893" s="0" t="str">
        <f aca="false">IF($A2893="","",IF(AND($A2893=21,$AE2893&amp;""="00000000"),IF($AH2893=20,"病院",IF($AH2893=5,"消防","市長")),"対象外"))</f>
        <v/>
      </c>
    </row>
    <row r="2894" customFormat="false" ht="15" hidden="false" customHeight="false" outlineLevel="0" collapsed="false">
      <c r="DB2894" s="0" t="str">
        <f aca="false">IF($A2894="","",IF(AND($A2894=21,$AE2894&amp;""="00000000"),IF($AH2894=20,"病院",IF($AH2894=5,"消防","市長")),"対象外"))</f>
        <v/>
      </c>
    </row>
    <row r="2895" customFormat="false" ht="15" hidden="false" customHeight="false" outlineLevel="0" collapsed="false">
      <c r="DB2895" s="0" t="str">
        <f aca="false">IF($A2895="","",IF(AND($A2895=21,$AE2895&amp;""="00000000"),IF($AH2895=20,"病院",IF($AH2895=5,"消防","市長")),"対象外"))</f>
        <v/>
      </c>
    </row>
    <row r="2896" customFormat="false" ht="15" hidden="false" customHeight="false" outlineLevel="0" collapsed="false">
      <c r="DB2896" s="0" t="str">
        <f aca="false">IF($A2896="","",IF(AND($A2896=21,$AE2896&amp;""="00000000"),IF($AH2896=20,"病院",IF($AH2896=5,"消防","市長")),"対象外"))</f>
        <v/>
      </c>
    </row>
    <row r="2897" customFormat="false" ht="15" hidden="false" customHeight="false" outlineLevel="0" collapsed="false">
      <c r="DB2897" s="0" t="str">
        <f aca="false">IF($A2897="","",IF(AND($A2897=21,$AE2897&amp;""="00000000"),IF($AH2897=20,"病院",IF($AH2897=5,"消防","市長")),"対象外"))</f>
        <v/>
      </c>
    </row>
    <row r="2898" customFormat="false" ht="15" hidden="false" customHeight="false" outlineLevel="0" collapsed="false">
      <c r="DB2898" s="0" t="str">
        <f aca="false">IF($A2898="","",IF(AND($A2898=21,$AE2898&amp;""="00000000"),IF($AH2898=20,"病院",IF($AH2898=5,"消防","市長")),"対象外"))</f>
        <v/>
      </c>
    </row>
    <row r="2899" customFormat="false" ht="15" hidden="false" customHeight="false" outlineLevel="0" collapsed="false">
      <c r="DB2899" s="0" t="str">
        <f aca="false">IF($A2899="","",IF(AND($A2899=21,$AE2899&amp;""="00000000"),IF($AH2899=20,"病院",IF($AH2899=5,"消防","市長")),"対象外"))</f>
        <v/>
      </c>
    </row>
    <row r="2900" customFormat="false" ht="15" hidden="false" customHeight="false" outlineLevel="0" collapsed="false">
      <c r="DB2900" s="0" t="str">
        <f aca="false">IF($A2900="","",IF(AND($A2900=21,$AE2900&amp;""="00000000"),IF($AH2900=20,"病院",IF($AH2900=5,"消防","市長")),"対象外"))</f>
        <v/>
      </c>
    </row>
    <row r="2901" customFormat="false" ht="15" hidden="false" customHeight="false" outlineLevel="0" collapsed="false">
      <c r="DB2901" s="0" t="str">
        <f aca="false">IF($A2901="","",IF(AND($A2901=21,$AE2901&amp;""="00000000"),IF($AH2901=20,"病院",IF($AH2901=5,"消防","市長")),"対象外"))</f>
        <v/>
      </c>
    </row>
    <row r="2902" customFormat="false" ht="15" hidden="false" customHeight="false" outlineLevel="0" collapsed="false">
      <c r="DB2902" s="0" t="str">
        <f aca="false">IF($A2902="","",IF(AND($A2902=21,$AE2902&amp;""="00000000"),IF($AH2902=20,"病院",IF($AH2902=5,"消防","市長")),"対象外"))</f>
        <v/>
      </c>
    </row>
    <row r="2903" customFormat="false" ht="15" hidden="false" customHeight="false" outlineLevel="0" collapsed="false">
      <c r="DB2903" s="0" t="str">
        <f aca="false">IF($A2903="","",IF(AND($A2903=21,$AE2903&amp;""="00000000"),IF($AH2903=20,"病院",IF($AH2903=5,"消防","市長")),"対象外"))</f>
        <v/>
      </c>
    </row>
    <row r="2904" customFormat="false" ht="15" hidden="false" customHeight="false" outlineLevel="0" collapsed="false">
      <c r="DB2904" s="0" t="str">
        <f aca="false">IF($A2904="","",IF(AND($A2904=21,$AE2904&amp;""="00000000"),IF($AH2904=20,"病院",IF($AH2904=5,"消防","市長")),"対象外"))</f>
        <v/>
      </c>
    </row>
    <row r="2905" customFormat="false" ht="15" hidden="false" customHeight="false" outlineLevel="0" collapsed="false">
      <c r="DB2905" s="0" t="str">
        <f aca="false">IF($A2905="","",IF(AND($A2905=21,$AE2905&amp;""="00000000"),IF($AH2905=20,"病院",IF($AH2905=5,"消防","市長")),"対象外"))</f>
        <v/>
      </c>
    </row>
    <row r="2906" customFormat="false" ht="15" hidden="false" customHeight="false" outlineLevel="0" collapsed="false">
      <c r="DB2906" s="0" t="str">
        <f aca="false">IF($A2906="","",IF(AND($A2906=21,$AE2906&amp;""="00000000"),IF($AH2906=20,"病院",IF($AH2906=5,"消防","市長")),"対象外"))</f>
        <v/>
      </c>
    </row>
    <row r="2907" customFormat="false" ht="15" hidden="false" customHeight="false" outlineLevel="0" collapsed="false">
      <c r="DB2907" s="0" t="str">
        <f aca="false">IF($A2907="","",IF(AND($A2907=21,$AE2907&amp;""="00000000"),IF($AH2907=20,"病院",IF($AH2907=5,"消防","市長")),"対象外"))</f>
        <v/>
      </c>
    </row>
    <row r="2908" customFormat="false" ht="15" hidden="false" customHeight="false" outlineLevel="0" collapsed="false">
      <c r="DB2908" s="0" t="str">
        <f aca="false">IF($A2908="","",IF(AND($A2908=21,$AE2908&amp;""="00000000"),IF($AH2908=20,"病院",IF($AH2908=5,"消防","市長")),"対象外"))</f>
        <v/>
      </c>
    </row>
    <row r="2909" customFormat="false" ht="15" hidden="false" customHeight="false" outlineLevel="0" collapsed="false">
      <c r="DB2909" s="0" t="str">
        <f aca="false">IF($A2909="","",IF(AND($A2909=21,$AE2909&amp;""="00000000"),IF($AH2909=20,"病院",IF($AH2909=5,"消防","市長")),"対象外"))</f>
        <v/>
      </c>
    </row>
    <row r="2910" customFormat="false" ht="15" hidden="false" customHeight="false" outlineLevel="0" collapsed="false">
      <c r="DB2910" s="0" t="str">
        <f aca="false">IF($A2910="","",IF(AND($A2910=21,$AE2910&amp;""="00000000"),IF($AH2910=20,"病院",IF($AH2910=5,"消防","市長")),"対象外"))</f>
        <v/>
      </c>
    </row>
    <row r="2911" customFormat="false" ht="15" hidden="false" customHeight="false" outlineLevel="0" collapsed="false">
      <c r="DB2911" s="0" t="str">
        <f aca="false">IF($A2911="","",IF(AND($A2911=21,$AE2911&amp;""="00000000"),IF($AH2911=20,"病院",IF($AH2911=5,"消防","市長")),"対象外"))</f>
        <v/>
      </c>
    </row>
    <row r="2912" customFormat="false" ht="15" hidden="false" customHeight="false" outlineLevel="0" collapsed="false">
      <c r="DB2912" s="0" t="str">
        <f aca="false">IF($A2912="","",IF(AND($A2912=21,$AE2912&amp;""="00000000"),IF($AH2912=20,"病院",IF($AH2912=5,"消防","市長")),"対象外"))</f>
        <v/>
      </c>
    </row>
    <row r="2913" customFormat="false" ht="15" hidden="false" customHeight="false" outlineLevel="0" collapsed="false">
      <c r="DB2913" s="0" t="str">
        <f aca="false">IF($A2913="","",IF(AND($A2913=21,$AE2913&amp;""="00000000"),IF($AH2913=20,"病院",IF($AH2913=5,"消防","市長")),"対象外"))</f>
        <v/>
      </c>
    </row>
    <row r="2914" customFormat="false" ht="15" hidden="false" customHeight="false" outlineLevel="0" collapsed="false">
      <c r="DB2914" s="0" t="str">
        <f aca="false">IF($A2914="","",IF(AND($A2914=21,$AE2914&amp;""="00000000"),IF($AH2914=20,"病院",IF($AH2914=5,"消防","市長")),"対象外"))</f>
        <v/>
      </c>
    </row>
    <row r="2915" customFormat="false" ht="15" hidden="false" customHeight="false" outlineLevel="0" collapsed="false">
      <c r="DB2915" s="0" t="str">
        <f aca="false">IF($A2915="","",IF(AND($A2915=21,$AE2915&amp;""="00000000"),IF($AH2915=20,"病院",IF($AH2915=5,"消防","市長")),"対象外"))</f>
        <v/>
      </c>
    </row>
    <row r="2916" customFormat="false" ht="15" hidden="false" customHeight="false" outlineLevel="0" collapsed="false">
      <c r="DB2916" s="0" t="str">
        <f aca="false">IF($A2916="","",IF(AND($A2916=21,$AE2916&amp;""="00000000"),IF($AH2916=20,"病院",IF($AH2916=5,"消防","市長")),"対象外"))</f>
        <v/>
      </c>
    </row>
    <row r="2917" customFormat="false" ht="15" hidden="false" customHeight="false" outlineLevel="0" collapsed="false">
      <c r="DB2917" s="0" t="str">
        <f aca="false">IF($A2917="","",IF(AND($A2917=21,$AE2917&amp;""="00000000"),IF($AH2917=20,"病院",IF($AH2917=5,"消防","市長")),"対象外"))</f>
        <v/>
      </c>
    </row>
    <row r="2918" customFormat="false" ht="15" hidden="false" customHeight="false" outlineLevel="0" collapsed="false">
      <c r="DB2918" s="0" t="str">
        <f aca="false">IF($A2918="","",IF(AND($A2918=21,$AE2918&amp;""="00000000"),IF($AH2918=20,"病院",IF($AH2918=5,"消防","市長")),"対象外"))</f>
        <v/>
      </c>
    </row>
    <row r="2919" customFormat="false" ht="15" hidden="false" customHeight="false" outlineLevel="0" collapsed="false">
      <c r="DB2919" s="0" t="str">
        <f aca="false">IF($A2919="","",IF(AND($A2919=21,$AE2919&amp;""="00000000"),IF($AH2919=20,"病院",IF($AH2919=5,"消防","市長")),"対象外"))</f>
        <v/>
      </c>
    </row>
    <row r="2920" customFormat="false" ht="15" hidden="false" customHeight="false" outlineLevel="0" collapsed="false">
      <c r="DB2920" s="0" t="str">
        <f aca="false">IF($A2920="","",IF(AND($A2920=21,$AE2920&amp;""="00000000"),IF($AH2920=20,"病院",IF($AH2920=5,"消防","市長")),"対象外"))</f>
        <v/>
      </c>
    </row>
    <row r="2921" customFormat="false" ht="15" hidden="false" customHeight="false" outlineLevel="0" collapsed="false">
      <c r="DB2921" s="0" t="str">
        <f aca="false">IF($A2921="","",IF(AND($A2921=21,$AE2921&amp;""="00000000"),IF($AH2921=20,"病院",IF($AH2921=5,"消防","市長")),"対象外"))</f>
        <v/>
      </c>
    </row>
    <row r="2922" customFormat="false" ht="15" hidden="false" customHeight="false" outlineLevel="0" collapsed="false">
      <c r="DB2922" s="0" t="str">
        <f aca="false">IF($A2922="","",IF(AND($A2922=21,$AE2922&amp;""="00000000"),IF($AH2922=20,"病院",IF($AH2922=5,"消防","市長")),"対象外"))</f>
        <v/>
      </c>
    </row>
    <row r="2923" customFormat="false" ht="15" hidden="false" customHeight="false" outlineLevel="0" collapsed="false">
      <c r="DB2923" s="0" t="str">
        <f aca="false">IF($A2923="","",IF(AND($A2923=21,$AE2923&amp;""="00000000"),IF($AH2923=20,"病院",IF($AH2923=5,"消防","市長")),"対象外"))</f>
        <v/>
      </c>
    </row>
    <row r="2924" customFormat="false" ht="15" hidden="false" customHeight="false" outlineLevel="0" collapsed="false">
      <c r="DB2924" s="0" t="str">
        <f aca="false">IF($A2924="","",IF(AND($A2924=21,$AE2924&amp;""="00000000"),IF($AH2924=20,"病院",IF($AH2924=5,"消防","市長")),"対象外"))</f>
        <v/>
      </c>
    </row>
    <row r="2925" customFormat="false" ht="15" hidden="false" customHeight="false" outlineLevel="0" collapsed="false">
      <c r="DB2925" s="0" t="str">
        <f aca="false">IF($A2925="","",IF(AND($A2925=21,$AE2925&amp;""="00000000"),IF($AH2925=20,"病院",IF($AH2925=5,"消防","市長")),"対象外"))</f>
        <v/>
      </c>
    </row>
    <row r="2926" customFormat="false" ht="15" hidden="false" customHeight="false" outlineLevel="0" collapsed="false">
      <c r="DB2926" s="0" t="str">
        <f aca="false">IF($A2926="","",IF(AND($A2926=21,$AE2926&amp;""="00000000"),IF($AH2926=20,"病院",IF($AH2926=5,"消防","市長")),"対象外"))</f>
        <v/>
      </c>
    </row>
    <row r="2927" customFormat="false" ht="15" hidden="false" customHeight="false" outlineLevel="0" collapsed="false">
      <c r="DB2927" s="0" t="str">
        <f aca="false">IF($A2927="","",IF(AND($A2927=21,$AE2927&amp;""="00000000"),IF($AH2927=20,"病院",IF($AH2927=5,"消防","市長")),"対象外"))</f>
        <v/>
      </c>
    </row>
    <row r="2928" customFormat="false" ht="15" hidden="false" customHeight="false" outlineLevel="0" collapsed="false">
      <c r="DB2928" s="0" t="str">
        <f aca="false">IF($A2928="","",IF(AND($A2928=21,$AE2928&amp;""="00000000"),IF($AH2928=20,"病院",IF($AH2928=5,"消防","市長")),"対象外"))</f>
        <v/>
      </c>
    </row>
    <row r="2929" customFormat="false" ht="15" hidden="false" customHeight="false" outlineLevel="0" collapsed="false">
      <c r="DB2929" s="0" t="str">
        <f aca="false">IF($A2929="","",IF(AND($A2929=21,$AE2929&amp;""="00000000"),IF($AH2929=20,"病院",IF($AH2929=5,"消防","市長")),"対象外"))</f>
        <v/>
      </c>
    </row>
    <row r="2930" customFormat="false" ht="15" hidden="false" customHeight="false" outlineLevel="0" collapsed="false">
      <c r="DB2930" s="0" t="str">
        <f aca="false">IF($A2930="","",IF(AND($A2930=21,$AE2930&amp;""="00000000"),IF($AH2930=20,"病院",IF($AH2930=5,"消防","市長")),"対象外"))</f>
        <v/>
      </c>
    </row>
    <row r="2931" customFormat="false" ht="15" hidden="false" customHeight="false" outlineLevel="0" collapsed="false">
      <c r="DB2931" s="0" t="str">
        <f aca="false">IF($A2931="","",IF(AND($A2931=21,$AE2931&amp;""="00000000"),IF($AH2931=20,"病院",IF($AH2931=5,"消防","市長")),"対象外"))</f>
        <v/>
      </c>
    </row>
    <row r="2932" customFormat="false" ht="15" hidden="false" customHeight="false" outlineLevel="0" collapsed="false">
      <c r="DB2932" s="0" t="str">
        <f aca="false">IF($A2932="","",IF(AND($A2932=21,$AE2932&amp;""="00000000"),IF($AH2932=20,"病院",IF($AH2932=5,"消防","市長")),"対象外"))</f>
        <v/>
      </c>
    </row>
    <row r="2933" customFormat="false" ht="15" hidden="false" customHeight="false" outlineLevel="0" collapsed="false">
      <c r="DB2933" s="0" t="str">
        <f aca="false">IF($A2933="","",IF(AND($A2933=21,$AE2933&amp;""="00000000"),IF($AH2933=20,"病院",IF($AH2933=5,"消防","市長")),"対象外"))</f>
        <v/>
      </c>
    </row>
    <row r="2934" customFormat="false" ht="15" hidden="false" customHeight="false" outlineLevel="0" collapsed="false">
      <c r="DB2934" s="0" t="str">
        <f aca="false">IF($A2934="","",IF(AND($A2934=21,$AE2934&amp;""="00000000"),IF($AH2934=20,"病院",IF($AH2934=5,"消防","市長")),"対象外"))</f>
        <v/>
      </c>
    </row>
    <row r="2935" customFormat="false" ht="15" hidden="false" customHeight="false" outlineLevel="0" collapsed="false">
      <c r="DB2935" s="0" t="str">
        <f aca="false">IF($A2935="","",IF(AND($A2935=21,$AE2935&amp;""="00000000"),IF($AH2935=20,"病院",IF($AH2935=5,"消防","市長")),"対象外"))</f>
        <v/>
      </c>
    </row>
    <row r="2936" customFormat="false" ht="15" hidden="false" customHeight="false" outlineLevel="0" collapsed="false">
      <c r="DB2936" s="0" t="str">
        <f aca="false">IF($A2936="","",IF(AND($A2936=21,$AE2936&amp;""="00000000"),IF($AH2936=20,"病院",IF($AH2936=5,"消防","市長")),"対象外"))</f>
        <v/>
      </c>
    </row>
    <row r="2937" customFormat="false" ht="15" hidden="false" customHeight="false" outlineLevel="0" collapsed="false">
      <c r="DB2937" s="0" t="str">
        <f aca="false">IF($A2937="","",IF(AND($A2937=21,$AE2937&amp;""="00000000"),IF($AH2937=20,"病院",IF($AH2937=5,"消防","市長")),"対象外"))</f>
        <v/>
      </c>
    </row>
    <row r="2938" customFormat="false" ht="15" hidden="false" customHeight="false" outlineLevel="0" collapsed="false">
      <c r="DB2938" s="0" t="str">
        <f aca="false">IF($A2938="","",IF(AND($A2938=21,$AE2938&amp;""="00000000"),IF($AH2938=20,"病院",IF($AH2938=5,"消防","市長")),"対象外"))</f>
        <v/>
      </c>
    </row>
    <row r="2939" customFormat="false" ht="15" hidden="false" customHeight="false" outlineLevel="0" collapsed="false">
      <c r="DB2939" s="0" t="str">
        <f aca="false">IF($A2939="","",IF(AND($A2939=21,$AE2939&amp;""="00000000"),IF($AH2939=20,"病院",IF($AH2939=5,"消防","市長")),"対象外"))</f>
        <v/>
      </c>
    </row>
    <row r="2940" customFormat="false" ht="15" hidden="false" customHeight="false" outlineLevel="0" collapsed="false">
      <c r="DB2940" s="0" t="str">
        <f aca="false">IF($A2940="","",IF(AND($A2940=21,$AE2940&amp;""="00000000"),IF($AH2940=20,"病院",IF($AH2940=5,"消防","市長")),"対象外"))</f>
        <v/>
      </c>
    </row>
    <row r="2941" customFormat="false" ht="15" hidden="false" customHeight="false" outlineLevel="0" collapsed="false">
      <c r="DB2941" s="0" t="str">
        <f aca="false">IF($A2941="","",IF(AND($A2941=21,$AE2941&amp;""="00000000"),IF($AH2941=20,"病院",IF($AH2941=5,"消防","市長")),"対象外"))</f>
        <v/>
      </c>
    </row>
    <row r="2942" customFormat="false" ht="15" hidden="false" customHeight="false" outlineLevel="0" collapsed="false">
      <c r="DB2942" s="0" t="str">
        <f aca="false">IF($A2942="","",IF(AND($A2942=21,$AE2942&amp;""="00000000"),IF($AH2942=20,"病院",IF($AH2942=5,"消防","市長")),"対象外"))</f>
        <v/>
      </c>
    </row>
    <row r="2943" customFormat="false" ht="15" hidden="false" customHeight="false" outlineLevel="0" collapsed="false">
      <c r="DB2943" s="0" t="str">
        <f aca="false">IF($A2943="","",IF(AND($A2943=21,$AE2943&amp;""="00000000"),IF($AH2943=20,"病院",IF($AH2943=5,"消防","市長")),"対象外"))</f>
        <v/>
      </c>
    </row>
    <row r="2944" customFormat="false" ht="15" hidden="false" customHeight="false" outlineLevel="0" collapsed="false">
      <c r="DB2944" s="0" t="str">
        <f aca="false">IF($A2944="","",IF(AND($A2944=21,$AE2944&amp;""="00000000"),IF($AH2944=20,"病院",IF($AH2944=5,"消防","市長")),"対象外"))</f>
        <v/>
      </c>
    </row>
    <row r="2945" customFormat="false" ht="15" hidden="false" customHeight="false" outlineLevel="0" collapsed="false">
      <c r="DB2945" s="0" t="str">
        <f aca="false">IF($A2945="","",IF(AND($A2945=21,$AE2945&amp;""="00000000"),IF($AH2945=20,"病院",IF($AH2945=5,"消防","市長")),"対象外"))</f>
        <v/>
      </c>
    </row>
    <row r="2946" customFormat="false" ht="15" hidden="false" customHeight="false" outlineLevel="0" collapsed="false">
      <c r="DB2946" s="0" t="str">
        <f aca="false">IF($A2946="","",IF(AND($A2946=21,$AE2946&amp;""="00000000"),IF($AH2946=20,"病院",IF($AH2946=5,"消防","市長")),"対象外"))</f>
        <v/>
      </c>
    </row>
    <row r="2947" customFormat="false" ht="15" hidden="false" customHeight="false" outlineLevel="0" collapsed="false">
      <c r="DB2947" s="0" t="str">
        <f aca="false">IF($A2947="","",IF(AND($A2947=21,$AE2947&amp;""="00000000"),IF($AH2947=20,"病院",IF($AH2947=5,"消防","市長")),"対象外"))</f>
        <v/>
      </c>
    </row>
    <row r="2948" customFormat="false" ht="15" hidden="false" customHeight="false" outlineLevel="0" collapsed="false">
      <c r="DB2948" s="0" t="str">
        <f aca="false">IF($A2948="","",IF(AND($A2948=21,$AE2948&amp;""="00000000"),IF($AH2948=20,"病院",IF($AH2948=5,"消防","市長")),"対象外"))</f>
        <v/>
      </c>
    </row>
    <row r="2949" customFormat="false" ht="15" hidden="false" customHeight="false" outlineLevel="0" collapsed="false">
      <c r="DB2949" s="0" t="str">
        <f aca="false">IF($A2949="","",IF(AND($A2949=21,$AE2949&amp;""="00000000"),IF($AH2949=20,"病院",IF($AH2949=5,"消防","市長")),"対象外"))</f>
        <v/>
      </c>
    </row>
    <row r="2950" customFormat="false" ht="15" hidden="false" customHeight="false" outlineLevel="0" collapsed="false">
      <c r="DB2950" s="0" t="str">
        <f aca="false">IF($A2950="","",IF(AND($A2950=21,$AE2950&amp;""="00000000"),IF($AH2950=20,"病院",IF($AH2950=5,"消防","市長")),"対象外"))</f>
        <v/>
      </c>
    </row>
    <row r="2951" customFormat="false" ht="15" hidden="false" customHeight="false" outlineLevel="0" collapsed="false">
      <c r="DB2951" s="0" t="str">
        <f aca="false">IF($A2951="","",IF(AND($A2951=21,$AE2951&amp;""="00000000"),IF($AH2951=20,"病院",IF($AH2951=5,"消防","市長")),"対象外"))</f>
        <v/>
      </c>
    </row>
    <row r="2952" customFormat="false" ht="15" hidden="false" customHeight="false" outlineLevel="0" collapsed="false">
      <c r="DB2952" s="0" t="str">
        <f aca="false">IF($A2952="","",IF(AND($A2952=21,$AE2952&amp;""="00000000"),IF($AH2952=20,"病院",IF($AH2952=5,"消防","市長")),"対象外"))</f>
        <v/>
      </c>
    </row>
    <row r="2953" customFormat="false" ht="15" hidden="false" customHeight="false" outlineLevel="0" collapsed="false">
      <c r="DB2953" s="0" t="str">
        <f aca="false">IF($A2953="","",IF(AND($A2953=21,$AE2953&amp;""="00000000"),IF($AH2953=20,"病院",IF($AH2953=5,"消防","市長")),"対象外"))</f>
        <v/>
      </c>
    </row>
    <row r="2954" customFormat="false" ht="15" hidden="false" customHeight="false" outlineLevel="0" collapsed="false">
      <c r="DB2954" s="0" t="str">
        <f aca="false">IF($A2954="","",IF(AND($A2954=21,$AE2954&amp;""="00000000"),IF($AH2954=20,"病院",IF($AH2954=5,"消防","市長")),"対象外"))</f>
        <v/>
      </c>
    </row>
    <row r="2955" customFormat="false" ht="15" hidden="false" customHeight="false" outlineLevel="0" collapsed="false">
      <c r="DB2955" s="0" t="str">
        <f aca="false">IF($A2955="","",IF(AND($A2955=21,$AE2955&amp;""="00000000"),IF($AH2955=20,"病院",IF($AH2955=5,"消防","市長")),"対象外"))</f>
        <v/>
      </c>
    </row>
    <row r="2956" customFormat="false" ht="15" hidden="false" customHeight="false" outlineLevel="0" collapsed="false">
      <c r="DB2956" s="0" t="str">
        <f aca="false">IF($A2956="","",IF(AND($A2956=21,$AE2956&amp;""="00000000"),IF($AH2956=20,"病院",IF($AH2956=5,"消防","市長")),"対象外"))</f>
        <v/>
      </c>
    </row>
    <row r="2957" customFormat="false" ht="15" hidden="false" customHeight="false" outlineLevel="0" collapsed="false">
      <c r="DB2957" s="0" t="str">
        <f aca="false">IF($A2957="","",IF(AND($A2957=21,$AE2957&amp;""="00000000"),IF($AH2957=20,"病院",IF($AH2957=5,"消防","市長")),"対象外"))</f>
        <v/>
      </c>
    </row>
    <row r="2958" customFormat="false" ht="15" hidden="false" customHeight="false" outlineLevel="0" collapsed="false">
      <c r="DB2958" s="0" t="str">
        <f aca="false">IF($A2958="","",IF(AND($A2958=21,$AE2958&amp;""="00000000"),IF($AH2958=20,"病院",IF($AH2958=5,"消防","市長")),"対象外"))</f>
        <v/>
      </c>
    </row>
    <row r="2959" customFormat="false" ht="15" hidden="false" customHeight="false" outlineLevel="0" collapsed="false">
      <c r="DB2959" s="0" t="str">
        <f aca="false">IF($A2959="","",IF(AND($A2959=21,$AE2959&amp;""="00000000"),IF($AH2959=20,"病院",IF($AH2959=5,"消防","市長")),"対象外"))</f>
        <v/>
      </c>
    </row>
    <row r="2960" customFormat="false" ht="15" hidden="false" customHeight="false" outlineLevel="0" collapsed="false">
      <c r="DB2960" s="0" t="str">
        <f aca="false">IF($A2960="","",IF(AND($A2960=21,$AE2960&amp;""="00000000"),IF($AH2960=20,"病院",IF($AH2960=5,"消防","市長")),"対象外"))</f>
        <v/>
      </c>
    </row>
    <row r="2961" customFormat="false" ht="15" hidden="false" customHeight="false" outlineLevel="0" collapsed="false">
      <c r="DB2961" s="0" t="str">
        <f aca="false">IF($A2961="","",IF(AND($A2961=21,$AE2961&amp;""="00000000"),IF($AH2961=20,"病院",IF($AH2961=5,"消防","市長")),"対象外"))</f>
        <v/>
      </c>
    </row>
    <row r="2962" customFormat="false" ht="15" hidden="false" customHeight="false" outlineLevel="0" collapsed="false">
      <c r="DB2962" s="0" t="str">
        <f aca="false">IF($A2962="","",IF(AND($A2962=21,$AE2962&amp;""="00000000"),IF($AH2962=20,"病院",IF($AH2962=5,"消防","市長")),"対象外"))</f>
        <v/>
      </c>
    </row>
    <row r="2963" customFormat="false" ht="15" hidden="false" customHeight="false" outlineLevel="0" collapsed="false">
      <c r="DB2963" s="0" t="str">
        <f aca="false">IF($A2963="","",IF(AND($A2963=21,$AE2963&amp;""="00000000"),IF($AH2963=20,"病院",IF($AH2963=5,"消防","市長")),"対象外"))</f>
        <v/>
      </c>
    </row>
    <row r="2964" customFormat="false" ht="15" hidden="false" customHeight="false" outlineLevel="0" collapsed="false">
      <c r="DB2964" s="0" t="str">
        <f aca="false">IF($A2964="","",IF(AND($A2964=21,$AE2964&amp;""="00000000"),IF($AH2964=20,"病院",IF($AH2964=5,"消防","市長")),"対象外"))</f>
        <v/>
      </c>
    </row>
    <row r="2965" customFormat="false" ht="15" hidden="false" customHeight="false" outlineLevel="0" collapsed="false">
      <c r="DB2965" s="0" t="str">
        <f aca="false">IF($A2965="","",IF(AND($A2965=21,$AE2965&amp;""="00000000"),IF($AH2965=20,"病院",IF($AH2965=5,"消防","市長")),"対象外"))</f>
        <v/>
      </c>
    </row>
    <row r="2966" customFormat="false" ht="15" hidden="false" customHeight="false" outlineLevel="0" collapsed="false">
      <c r="DB2966" s="0" t="str">
        <f aca="false">IF($A2966="","",IF(AND($A2966=21,$AE2966&amp;""="00000000"),IF($AH2966=20,"病院",IF($AH2966=5,"消防","市長")),"対象外"))</f>
        <v/>
      </c>
    </row>
    <row r="2967" customFormat="false" ht="15" hidden="false" customHeight="false" outlineLevel="0" collapsed="false">
      <c r="DB2967" s="0" t="str">
        <f aca="false">IF($A2967="","",IF(AND($A2967=21,$AE2967&amp;""="00000000"),IF($AH2967=20,"病院",IF($AH2967=5,"消防","市長")),"対象外"))</f>
        <v/>
      </c>
    </row>
    <row r="2968" customFormat="false" ht="15" hidden="false" customHeight="false" outlineLevel="0" collapsed="false">
      <c r="DB2968" s="0" t="str">
        <f aca="false">IF($A2968="","",IF(AND($A2968=21,$AE2968&amp;""="00000000"),IF($AH2968=20,"病院",IF($AH2968=5,"消防","市長")),"対象外"))</f>
        <v/>
      </c>
    </row>
    <row r="2969" customFormat="false" ht="15" hidden="false" customHeight="false" outlineLevel="0" collapsed="false">
      <c r="DB2969" s="0" t="str">
        <f aca="false">IF($A2969="","",IF(AND($A2969=21,$AE2969&amp;""="00000000"),IF($AH2969=20,"病院",IF($AH2969=5,"消防","市長")),"対象外"))</f>
        <v/>
      </c>
    </row>
    <row r="2970" customFormat="false" ht="15" hidden="false" customHeight="false" outlineLevel="0" collapsed="false">
      <c r="DB2970" s="0" t="str">
        <f aca="false">IF($A2970="","",IF(AND($A2970=21,$AE2970&amp;""="00000000"),IF($AH2970=20,"病院",IF($AH2970=5,"消防","市長")),"対象外"))</f>
        <v/>
      </c>
    </row>
    <row r="2971" customFormat="false" ht="15" hidden="false" customHeight="false" outlineLevel="0" collapsed="false">
      <c r="DB2971" s="0" t="str">
        <f aca="false">IF($A2971="","",IF(AND($A2971=21,$AE2971&amp;""="00000000"),IF($AH2971=20,"病院",IF($AH2971=5,"消防","市長")),"対象外"))</f>
        <v/>
      </c>
    </row>
    <row r="2972" customFormat="false" ht="15" hidden="false" customHeight="false" outlineLevel="0" collapsed="false">
      <c r="DB2972" s="0" t="str">
        <f aca="false">IF($A2972="","",IF(AND($A2972=21,$AE2972&amp;""="00000000"),IF($AH2972=20,"病院",IF($AH2972=5,"消防","市長")),"対象外"))</f>
        <v/>
      </c>
    </row>
    <row r="2973" customFormat="false" ht="15" hidden="false" customHeight="false" outlineLevel="0" collapsed="false">
      <c r="DB2973" s="0" t="str">
        <f aca="false">IF($A2973="","",IF(AND($A2973=21,$AE2973&amp;""="00000000"),IF($AH2973=20,"病院",IF($AH2973=5,"消防","市長")),"対象外"))</f>
        <v/>
      </c>
    </row>
    <row r="2974" customFormat="false" ht="15" hidden="false" customHeight="false" outlineLevel="0" collapsed="false">
      <c r="DB2974" s="0" t="str">
        <f aca="false">IF($A2974="","",IF(AND($A2974=21,$AE2974&amp;""="00000000"),IF($AH2974=20,"病院",IF($AH2974=5,"消防","市長")),"対象外"))</f>
        <v/>
      </c>
    </row>
    <row r="2975" customFormat="false" ht="15" hidden="false" customHeight="false" outlineLevel="0" collapsed="false">
      <c r="DB2975" s="0" t="str">
        <f aca="false">IF($A2975="","",IF(AND($A2975=21,$AE2975&amp;""="00000000"),IF($AH2975=20,"病院",IF($AH2975=5,"消防","市長")),"対象外"))</f>
        <v/>
      </c>
    </row>
    <row r="2976" customFormat="false" ht="15" hidden="false" customHeight="false" outlineLevel="0" collapsed="false">
      <c r="DB2976" s="0" t="str">
        <f aca="false">IF($A2976="","",IF(AND($A2976=21,$AE2976&amp;""="00000000"),IF($AH2976=20,"病院",IF($AH2976=5,"消防","市長")),"対象外"))</f>
        <v/>
      </c>
    </row>
    <row r="2977" customFormat="false" ht="15" hidden="false" customHeight="false" outlineLevel="0" collapsed="false">
      <c r="DB2977" s="0" t="str">
        <f aca="false">IF($A2977="","",IF(AND($A2977=21,$AE2977&amp;""="00000000"),IF($AH2977=20,"病院",IF($AH2977=5,"消防","市長")),"対象外"))</f>
        <v/>
      </c>
    </row>
    <row r="2978" customFormat="false" ht="15" hidden="false" customHeight="false" outlineLevel="0" collapsed="false">
      <c r="DB2978" s="0" t="str">
        <f aca="false">IF($A2978="","",IF(AND($A2978=21,$AE2978&amp;""="00000000"),IF($AH2978=20,"病院",IF($AH2978=5,"消防","市長")),"対象外"))</f>
        <v/>
      </c>
    </row>
    <row r="2979" customFormat="false" ht="15" hidden="false" customHeight="false" outlineLevel="0" collapsed="false">
      <c r="DB2979" s="0" t="str">
        <f aca="false">IF($A2979="","",IF(AND($A2979=21,$AE2979&amp;""="00000000"),IF($AH2979=20,"病院",IF($AH2979=5,"消防","市長")),"対象外"))</f>
        <v/>
      </c>
    </row>
    <row r="2980" customFormat="false" ht="15" hidden="false" customHeight="false" outlineLevel="0" collapsed="false">
      <c r="DB2980" s="0" t="str">
        <f aca="false">IF($A2980="","",IF(AND($A2980=21,$AE2980&amp;""="00000000"),IF($AH2980=20,"病院",IF($AH2980=5,"消防","市長")),"対象外"))</f>
        <v/>
      </c>
    </row>
    <row r="2981" customFormat="false" ht="15" hidden="false" customHeight="false" outlineLevel="0" collapsed="false">
      <c r="DB2981" s="0" t="str">
        <f aca="false">IF($A2981="","",IF(AND($A2981=21,$AE2981&amp;""="00000000"),IF($AH2981=20,"病院",IF($AH2981=5,"消防","市長")),"対象外"))</f>
        <v/>
      </c>
    </row>
    <row r="2982" customFormat="false" ht="15" hidden="false" customHeight="false" outlineLevel="0" collapsed="false">
      <c r="DB2982" s="0" t="str">
        <f aca="false">IF($A2982="","",IF(AND($A2982=21,$AE2982&amp;""="00000000"),IF($AH2982=20,"病院",IF($AH2982=5,"消防","市長")),"対象外"))</f>
        <v/>
      </c>
    </row>
    <row r="2983" customFormat="false" ht="15" hidden="false" customHeight="false" outlineLevel="0" collapsed="false">
      <c r="DB2983" s="0" t="str">
        <f aca="false">IF($A2983="","",IF(AND($A2983=21,$AE2983&amp;""="00000000"),IF($AH2983=20,"病院",IF($AH2983=5,"消防","市長")),"対象外"))</f>
        <v/>
      </c>
    </row>
    <row r="2984" customFormat="false" ht="15" hidden="false" customHeight="false" outlineLevel="0" collapsed="false">
      <c r="DB2984" s="0" t="str">
        <f aca="false">IF($A2984="","",IF(AND($A2984=21,$AE2984&amp;""="00000000"),IF($AH2984=20,"病院",IF($AH2984=5,"消防","市長")),"対象外"))</f>
        <v/>
      </c>
    </row>
    <row r="2985" customFormat="false" ht="15" hidden="false" customHeight="false" outlineLevel="0" collapsed="false">
      <c r="DB2985" s="0" t="str">
        <f aca="false">IF($A2985="","",IF(AND($A2985=21,$AE2985&amp;""="00000000"),IF($AH2985=20,"病院",IF($AH2985=5,"消防","市長")),"対象外"))</f>
        <v/>
      </c>
    </row>
    <row r="2986" customFormat="false" ht="15" hidden="false" customHeight="false" outlineLevel="0" collapsed="false">
      <c r="DB2986" s="0" t="str">
        <f aca="false">IF($A2986="","",IF(AND($A2986=21,$AE2986&amp;""="00000000"),IF($AH2986=20,"病院",IF($AH2986=5,"消防","市長")),"対象外"))</f>
        <v/>
      </c>
    </row>
    <row r="2987" customFormat="false" ht="15" hidden="false" customHeight="false" outlineLevel="0" collapsed="false">
      <c r="DB2987" s="0" t="str">
        <f aca="false">IF($A2987="","",IF(AND($A2987=21,$AE2987&amp;""="00000000"),IF($AH2987=20,"病院",IF($AH2987=5,"消防","市長")),"対象外"))</f>
        <v/>
      </c>
    </row>
    <row r="2988" customFormat="false" ht="15" hidden="false" customHeight="false" outlineLevel="0" collapsed="false">
      <c r="DB2988" s="0" t="str">
        <f aca="false">IF($A2988="","",IF(AND($A2988=21,$AE2988&amp;""="00000000"),IF($AH2988=20,"病院",IF($AH2988=5,"消防","市長")),"対象外"))</f>
        <v/>
      </c>
    </row>
    <row r="2989" customFormat="false" ht="15" hidden="false" customHeight="false" outlineLevel="0" collapsed="false">
      <c r="DB2989" s="0" t="str">
        <f aca="false">IF($A2989="","",IF(AND($A2989=21,$AE2989&amp;""="00000000"),IF($AH2989=20,"病院",IF($AH2989=5,"消防","市長")),"対象外"))</f>
        <v/>
      </c>
    </row>
    <row r="2990" customFormat="false" ht="15" hidden="false" customHeight="false" outlineLevel="0" collapsed="false">
      <c r="DB2990" s="0" t="str">
        <f aca="false">IF($A2990="","",IF(AND($A2990=21,$AE2990&amp;""="00000000"),IF($AH2990=20,"病院",IF($AH2990=5,"消防","市長")),"対象外"))</f>
        <v/>
      </c>
    </row>
    <row r="2991" customFormat="false" ht="15" hidden="false" customHeight="false" outlineLevel="0" collapsed="false">
      <c r="DB2991" s="0" t="str">
        <f aca="false">IF($A2991="","",IF(AND($A2991=21,$AE2991&amp;""="00000000"),IF($AH2991=20,"病院",IF($AH2991=5,"消防","市長")),"対象外"))</f>
        <v/>
      </c>
    </row>
    <row r="2992" customFormat="false" ht="15" hidden="false" customHeight="false" outlineLevel="0" collapsed="false">
      <c r="DB2992" s="0" t="str">
        <f aca="false">IF($A2992="","",IF(AND($A2992=21,$AE2992&amp;""="00000000"),IF($AH2992=20,"病院",IF($AH2992=5,"消防","市長")),"対象外"))</f>
        <v/>
      </c>
    </row>
    <row r="2993" customFormat="false" ht="15" hidden="false" customHeight="false" outlineLevel="0" collapsed="false">
      <c r="DB2993" s="0" t="str">
        <f aca="false">IF($A2993="","",IF(AND($A2993=21,$AE2993&amp;""="00000000"),IF($AH2993=20,"病院",IF($AH2993=5,"消防","市長")),"対象外"))</f>
        <v/>
      </c>
    </row>
    <row r="2994" customFormat="false" ht="15" hidden="false" customHeight="false" outlineLevel="0" collapsed="false">
      <c r="DB2994" s="0" t="str">
        <f aca="false">IF($A2994="","",IF(AND($A2994=21,$AE2994&amp;""="00000000"),IF($AH2994=20,"病院",IF($AH2994=5,"消防","市長")),"対象外"))</f>
        <v/>
      </c>
    </row>
    <row r="2995" customFormat="false" ht="15" hidden="false" customHeight="false" outlineLevel="0" collapsed="false">
      <c r="DB2995" s="0" t="str">
        <f aca="false">IF($A2995="","",IF(AND($A2995=21,$AE2995&amp;""="00000000"),IF($AH2995=20,"病院",IF($AH2995=5,"消防","市長")),"対象外"))</f>
        <v/>
      </c>
    </row>
    <row r="2996" customFormat="false" ht="15" hidden="false" customHeight="false" outlineLevel="0" collapsed="false">
      <c r="DB2996" s="0" t="str">
        <f aca="false">IF($A2996="","",IF(AND($A2996=21,$AE2996&amp;""="00000000"),IF($AH2996=20,"病院",IF($AH2996=5,"消防","市長")),"対象外"))</f>
        <v/>
      </c>
    </row>
    <row r="2997" customFormat="false" ht="15" hidden="false" customHeight="false" outlineLevel="0" collapsed="false">
      <c r="DB2997" s="0" t="str">
        <f aca="false">IF($A2997="","",IF(AND($A2997=21,$AE2997&amp;""="00000000"),IF($AH2997=20,"病院",IF($AH2997=5,"消防","市長")),"対象外"))</f>
        <v/>
      </c>
    </row>
    <row r="2998" customFormat="false" ht="15" hidden="false" customHeight="false" outlineLevel="0" collapsed="false">
      <c r="DB2998" s="0" t="str">
        <f aca="false">IF($A2998="","",IF(AND($A2998=21,$AE2998&amp;""="00000000"),IF($AH2998=20,"病院",IF($AH2998=5,"消防","市長")),"対象外"))</f>
        <v/>
      </c>
    </row>
    <row r="2999" customFormat="false" ht="15" hidden="false" customHeight="false" outlineLevel="0" collapsed="false">
      <c r="DB2999" s="0" t="str">
        <f aca="false">IF($A2999="","",IF(AND($A2999=21,$AE2999&amp;""="00000000"),IF($AH2999=20,"病院",IF($AH2999=5,"消防","市長")),"対象外"))</f>
        <v/>
      </c>
    </row>
    <row r="3000" customFormat="false" ht="15" hidden="false" customHeight="false" outlineLevel="0" collapsed="false">
      <c r="DB3000" s="0" t="str">
        <f aca="false">IF($A3000="","",IF(AND($A3000=21,$AE3000&amp;""="00000000"),IF($AH3000=20,"病院",IF($AH3000=5,"消防","市長")),"対象外"))</f>
        <v/>
      </c>
    </row>
    <row r="3001" customFormat="false" ht="15" hidden="false" customHeight="false" outlineLevel="0" collapsed="false">
      <c r="DB3001" s="0" t="str">
        <f aca="false">IF($A3001="","",IF(AND($A3001=21,$AE3001&amp;""="00000000"),IF($AH3001=20,"病院",IF($AH3001=5,"消防","市長")),"対象外"))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6" min="106" style="0" width="24"/>
  </cols>
  <sheetData>
    <row r="1" customFormat="false" ht="15" hidden="false" customHeight="false" outlineLevel="0" collapsed="false">
      <c r="A1" s="0" t="s">
        <v>190</v>
      </c>
      <c r="B1" s="0" t="s">
        <v>191</v>
      </c>
      <c r="C1" s="0" t="s">
        <v>192</v>
      </c>
      <c r="D1" s="0" t="s">
        <v>193</v>
      </c>
      <c r="G1" s="0" t="s">
        <v>194</v>
      </c>
      <c r="H1" s="0" t="s">
        <v>195</v>
      </c>
      <c r="I1" s="0" t="s">
        <v>196</v>
      </c>
      <c r="J1" s="0" t="s">
        <v>197</v>
      </c>
      <c r="K1" s="0" t="s">
        <v>198</v>
      </c>
      <c r="L1" s="0" t="s">
        <v>199</v>
      </c>
      <c r="M1" s="0" t="s">
        <v>200</v>
      </c>
      <c r="N1" s="0" t="s">
        <v>201</v>
      </c>
      <c r="O1" s="0" t="s">
        <v>202</v>
      </c>
      <c r="P1" s="0" t="s">
        <v>203</v>
      </c>
      <c r="Q1" s="0" t="s">
        <v>204</v>
      </c>
      <c r="R1" s="0" t="s">
        <v>205</v>
      </c>
      <c r="S1" s="0" t="s">
        <v>206</v>
      </c>
      <c r="T1" s="0" t="s">
        <v>207</v>
      </c>
      <c r="U1" s="0" t="s">
        <v>208</v>
      </c>
      <c r="V1" s="0" t="s">
        <v>209</v>
      </c>
      <c r="W1" s="0" t="s">
        <v>210</v>
      </c>
      <c r="X1" s="0" t="s">
        <v>211</v>
      </c>
      <c r="Y1" s="0" t="s">
        <v>212</v>
      </c>
      <c r="Z1" s="0" t="s">
        <v>213</v>
      </c>
      <c r="AA1" s="0" t="s">
        <v>214</v>
      </c>
      <c r="AB1" s="0" t="s">
        <v>215</v>
      </c>
      <c r="AC1" s="0" t="s">
        <v>216</v>
      </c>
      <c r="AD1" s="0" t="s">
        <v>217</v>
      </c>
      <c r="AE1" s="0" t="s">
        <v>218</v>
      </c>
      <c r="AF1" s="0" t="s">
        <v>219</v>
      </c>
      <c r="AG1" s="0" t="s">
        <v>220</v>
      </c>
      <c r="AH1" s="0" t="s">
        <v>221</v>
      </c>
      <c r="AI1" s="0" t="s">
        <v>222</v>
      </c>
      <c r="AJ1" s="0" t="s">
        <v>223</v>
      </c>
      <c r="AK1" s="0" t="s">
        <v>224</v>
      </c>
      <c r="AL1" s="0" t="s">
        <v>225</v>
      </c>
      <c r="AM1" s="0" t="s">
        <v>226</v>
      </c>
      <c r="AN1" s="0" t="s">
        <v>227</v>
      </c>
      <c r="AO1" s="0" t="s">
        <v>228</v>
      </c>
      <c r="AP1" s="0" t="s">
        <v>229</v>
      </c>
      <c r="AQ1" s="0" t="s">
        <v>230</v>
      </c>
      <c r="AR1" s="0" t="s">
        <v>231</v>
      </c>
      <c r="AS1" s="0" t="s">
        <v>232</v>
      </c>
      <c r="AT1" s="0" t="s">
        <v>233</v>
      </c>
      <c r="AU1" s="0" t="s">
        <v>234</v>
      </c>
      <c r="AV1" s="0" t="s">
        <v>235</v>
      </c>
      <c r="AW1" s="0" t="s">
        <v>236</v>
      </c>
      <c r="AX1" s="0" t="s">
        <v>237</v>
      </c>
      <c r="AY1" s="0" t="s">
        <v>238</v>
      </c>
      <c r="AZ1" s="0" t="s">
        <v>239</v>
      </c>
      <c r="BA1" s="0" t="s">
        <v>240</v>
      </c>
      <c r="BB1" s="0" t="s">
        <v>241</v>
      </c>
      <c r="BC1" s="0" t="s">
        <v>242</v>
      </c>
      <c r="BD1" s="0" t="s">
        <v>243</v>
      </c>
      <c r="BE1" s="0" t="s">
        <v>244</v>
      </c>
      <c r="BF1" s="0" t="s">
        <v>245</v>
      </c>
      <c r="BG1" s="0" t="s">
        <v>246</v>
      </c>
      <c r="BH1" s="0" t="s">
        <v>247</v>
      </c>
      <c r="BI1" s="0" t="s">
        <v>248</v>
      </c>
      <c r="BJ1" s="0" t="s">
        <v>249</v>
      </c>
      <c r="BK1" s="0" t="s">
        <v>250</v>
      </c>
      <c r="BL1" s="0" t="s">
        <v>251</v>
      </c>
      <c r="BM1" s="0" t="s">
        <v>252</v>
      </c>
      <c r="BN1" s="0" t="s">
        <v>253</v>
      </c>
      <c r="BO1" s="0" t="s">
        <v>254</v>
      </c>
      <c r="BP1" s="0" t="s">
        <v>255</v>
      </c>
      <c r="BQ1" s="0" t="s">
        <v>256</v>
      </c>
      <c r="BR1" s="0" t="s">
        <v>257</v>
      </c>
      <c r="BS1" s="0" t="s">
        <v>258</v>
      </c>
      <c r="BT1" s="0" t="s">
        <v>259</v>
      </c>
      <c r="BU1" s="0" t="s">
        <v>260</v>
      </c>
      <c r="BV1" s="0" t="s">
        <v>261</v>
      </c>
      <c r="BW1" s="0" t="s">
        <v>262</v>
      </c>
      <c r="BX1" s="0" t="s">
        <v>263</v>
      </c>
      <c r="BY1" s="0" t="s">
        <v>264</v>
      </c>
      <c r="BZ1" s="0" t="s">
        <v>265</v>
      </c>
      <c r="CA1" s="0" t="s">
        <v>266</v>
      </c>
      <c r="CB1" s="0" t="s">
        <v>267</v>
      </c>
      <c r="CC1" s="0" t="s">
        <v>268</v>
      </c>
      <c r="CD1" s="0" t="s">
        <v>269</v>
      </c>
      <c r="CE1" s="0" t="s">
        <v>270</v>
      </c>
      <c r="CF1" s="0" t="s">
        <v>271</v>
      </c>
      <c r="CG1" s="0" t="s">
        <v>272</v>
      </c>
      <c r="CH1" s="0" t="s">
        <v>273</v>
      </c>
      <c r="CI1" s="0" t="s">
        <v>274</v>
      </c>
      <c r="CJ1" s="0" t="s">
        <v>275</v>
      </c>
      <c r="CK1" s="0" t="s">
        <v>276</v>
      </c>
      <c r="CL1" s="0" t="s">
        <v>277</v>
      </c>
      <c r="CM1" s="0" t="s">
        <v>278</v>
      </c>
      <c r="CN1" s="0" t="s">
        <v>279</v>
      </c>
      <c r="CO1" s="0" t="s">
        <v>280</v>
      </c>
      <c r="CP1" s="0" t="s">
        <v>281</v>
      </c>
      <c r="CQ1" s="0" t="s">
        <v>282</v>
      </c>
      <c r="CR1" s="0" t="s">
        <v>283</v>
      </c>
      <c r="CS1" s="0" t="s">
        <v>284</v>
      </c>
      <c r="CT1" s="0" t="s">
        <v>285</v>
      </c>
      <c r="CU1" s="0" t="s">
        <v>286</v>
      </c>
      <c r="CV1" s="0" t="s">
        <v>287</v>
      </c>
      <c r="CW1" s="0" t="s">
        <v>288</v>
      </c>
      <c r="CX1" s="0" t="s">
        <v>289</v>
      </c>
      <c r="CY1" s="0" t="s">
        <v>290</v>
      </c>
      <c r="CZ1" s="0" t="s">
        <v>291</v>
      </c>
      <c r="DB1" s="6" t="s">
        <v>292</v>
      </c>
      <c r="DC1" s="6" t="s">
        <v>293</v>
      </c>
    </row>
    <row r="2" customFormat="false" ht="15" hidden="false" customHeight="false" outlineLevel="0" collapsed="false">
      <c r="A2" s="0" t="n">
        <v>21</v>
      </c>
      <c r="AA2" s="0" t="n">
        <v>21</v>
      </c>
      <c r="AB2" s="0" t="s">
        <v>494</v>
      </c>
      <c r="AD2" s="0" t="n">
        <v>0</v>
      </c>
      <c r="AE2" s="0" t="s">
        <v>295</v>
      </c>
      <c r="AH2" s="0" t="n">
        <v>20</v>
      </c>
      <c r="AJ2" s="0" t="n">
        <v>10</v>
      </c>
      <c r="AP2" s="0" t="n">
        <v>980000</v>
      </c>
      <c r="DB2" s="0" t="str">
        <f aca="false">IF($A2="","",IF($A2&lt;&gt;21,"対象外",IF($AE2&amp;""="00000000","在職",IF($AE2&amp;""=設定!$C$4,"4/1喪失","その他喪失"))))</f>
        <v>在職</v>
      </c>
    </row>
    <row r="3" customFormat="false" ht="15" hidden="false" customHeight="false" outlineLevel="0" collapsed="false">
      <c r="A3" s="0" t="n">
        <v>21</v>
      </c>
      <c r="AA3" s="0" t="n">
        <v>21</v>
      </c>
      <c r="AB3" s="0" t="s">
        <v>391</v>
      </c>
      <c r="AD3" s="0" t="n">
        <v>0</v>
      </c>
      <c r="AE3" s="0" t="s">
        <v>295</v>
      </c>
      <c r="AH3" s="0" t="n">
        <v>5</v>
      </c>
      <c r="AJ3" s="0" t="n">
        <v>30</v>
      </c>
      <c r="AP3" s="0" t="n">
        <v>360000</v>
      </c>
      <c r="DB3" s="0" t="str">
        <f aca="false">IF($A3="","",IF($A3&lt;&gt;21,"対象外",IF($AE3&amp;""="00000000","在職",IF($AE3&amp;""=設定!$C$4,"4/1喪失","その他喪失"))))</f>
        <v>在職</v>
      </c>
    </row>
    <row r="4" customFormat="false" ht="15" hidden="false" customHeight="false" outlineLevel="0" collapsed="false">
      <c r="A4" s="0" t="n">
        <v>21</v>
      </c>
      <c r="AA4" s="0" t="n">
        <v>21</v>
      </c>
      <c r="AB4" s="0" t="s">
        <v>409</v>
      </c>
      <c r="AD4" s="0" t="n">
        <v>0</v>
      </c>
      <c r="AE4" s="0" t="s">
        <v>295</v>
      </c>
      <c r="AH4" s="0" t="n">
        <v>1</v>
      </c>
      <c r="AJ4" s="0" t="n">
        <v>10</v>
      </c>
      <c r="AP4" s="0" t="n">
        <v>380000</v>
      </c>
      <c r="DB4" s="0" t="str">
        <f aca="false">IF($A4="","",IF($A4&lt;&gt;21,"対象外",IF($AE4&amp;""="00000000","在職",IF($AE4&amp;""=設定!$C$4,"4/1喪失","その他喪失"))))</f>
        <v>在職</v>
      </c>
    </row>
    <row r="5" customFormat="false" ht="15" hidden="false" customHeight="false" outlineLevel="0" collapsed="false">
      <c r="A5" s="0" t="n">
        <v>21</v>
      </c>
      <c r="AA5" s="0" t="n">
        <v>21</v>
      </c>
      <c r="AB5" s="0" t="s">
        <v>413</v>
      </c>
      <c r="AD5" s="0" t="n">
        <v>0</v>
      </c>
      <c r="AE5" s="0" t="s">
        <v>295</v>
      </c>
      <c r="AH5" s="0" t="n">
        <v>37</v>
      </c>
      <c r="AJ5" s="0" t="n">
        <v>74</v>
      </c>
      <c r="AP5" s="0" t="n">
        <v>380000</v>
      </c>
      <c r="DB5" s="0" t="str">
        <f aca="false">IF($A5="","",IF($A5&lt;&gt;21,"対象外",IF($AE5&amp;""="00000000","在職",IF($AE5&amp;""=設定!$C$4,"4/1喪失","その他喪失"))))</f>
        <v>在職</v>
      </c>
    </row>
    <row r="6" customFormat="false" ht="15" hidden="false" customHeight="false" outlineLevel="0" collapsed="false">
      <c r="A6" s="0" t="n">
        <v>21</v>
      </c>
      <c r="AA6" s="0" t="n">
        <v>21</v>
      </c>
      <c r="AB6" s="0" t="s">
        <v>415</v>
      </c>
      <c r="AD6" s="0" t="n">
        <v>0</v>
      </c>
      <c r="AE6" s="0" t="s">
        <v>295</v>
      </c>
      <c r="AH6" s="0" t="n">
        <v>1</v>
      </c>
      <c r="AJ6" s="0" t="n">
        <v>10</v>
      </c>
      <c r="AP6" s="0" t="n">
        <v>380000</v>
      </c>
      <c r="DB6" s="0" t="str">
        <f aca="false">IF($A6="","",IF($A6&lt;&gt;21,"対象外",IF($AE6&amp;""="00000000","在職",IF($AE6&amp;""=設定!$C$4,"4/1喪失","その他喪失"))))</f>
        <v>在職</v>
      </c>
    </row>
    <row r="7" customFormat="false" ht="15" hidden="false" customHeight="false" outlineLevel="0" collapsed="false">
      <c r="A7" s="0" t="n">
        <v>21</v>
      </c>
      <c r="AA7" s="0" t="n">
        <v>21</v>
      </c>
      <c r="AB7" s="0" t="s">
        <v>450</v>
      </c>
      <c r="AD7" s="0" t="n">
        <v>0</v>
      </c>
      <c r="AE7" s="0" t="s">
        <v>295</v>
      </c>
      <c r="AH7" s="0" t="n">
        <v>1</v>
      </c>
      <c r="AJ7" s="0" t="n">
        <v>10</v>
      </c>
      <c r="AP7" s="0" t="n">
        <v>380000</v>
      </c>
      <c r="DB7" s="0" t="str">
        <f aca="false">IF($A7="","",IF($A7&lt;&gt;21,"対象外",IF($AE7&amp;""="00000000","在職",IF($AE7&amp;""=設定!$C$4,"4/1喪失","その他喪失"))))</f>
        <v>在職</v>
      </c>
    </row>
    <row r="8" customFormat="false" ht="15" hidden="false" customHeight="false" outlineLevel="0" collapsed="false">
      <c r="A8" s="0" t="n">
        <v>21</v>
      </c>
      <c r="AA8" s="0" t="n">
        <v>21</v>
      </c>
      <c r="AB8" s="0" t="s">
        <v>431</v>
      </c>
      <c r="AD8" s="0" t="n">
        <v>0</v>
      </c>
      <c r="AE8" s="0" t="s">
        <v>295</v>
      </c>
      <c r="AH8" s="0" t="n">
        <v>11</v>
      </c>
      <c r="AJ8" s="0" t="n">
        <v>10</v>
      </c>
      <c r="AP8" s="0" t="n">
        <v>320000</v>
      </c>
      <c r="DB8" s="0" t="str">
        <f aca="false">IF($A8="","",IF($A8&lt;&gt;21,"対象外",IF($AE8&amp;""="00000000","在職",IF($AE8&amp;""=設定!$C$4,"4/1喪失","その他喪失"))))</f>
        <v>在職</v>
      </c>
    </row>
    <row r="9" customFormat="false" ht="15" hidden="false" customHeight="false" outlineLevel="0" collapsed="false">
      <c r="A9" s="0" t="n">
        <v>31</v>
      </c>
      <c r="AA9" s="0" t="n">
        <v>21</v>
      </c>
      <c r="AB9" s="0" t="s">
        <v>96</v>
      </c>
      <c r="AD9" s="0" t="n">
        <v>0</v>
      </c>
      <c r="AE9" s="0" t="s">
        <v>295</v>
      </c>
      <c r="AH9" s="0" t="n">
        <v>1</v>
      </c>
      <c r="AJ9" s="0" t="n">
        <v>41</v>
      </c>
      <c r="AP9" s="0" t="n">
        <v>220000</v>
      </c>
      <c r="DB9" s="0" t="str">
        <f aca="false">IF($A9="","",IF($A9&lt;&gt;21,"対象外",IF($AE9&amp;""="00000000","在職",IF($AE9&amp;""=設定!$C$4,"4/1喪失","その他喪失"))))</f>
        <v>対象外</v>
      </c>
    </row>
    <row r="10" customFormat="false" ht="15" hidden="false" customHeight="false" outlineLevel="0" collapsed="false">
      <c r="A10" s="0" t="n">
        <v>21</v>
      </c>
      <c r="AA10" s="0" t="n">
        <v>21</v>
      </c>
      <c r="AB10" s="0" t="s">
        <v>751</v>
      </c>
      <c r="AD10" s="0" t="n">
        <v>0</v>
      </c>
      <c r="AE10" s="0" t="s">
        <v>295</v>
      </c>
      <c r="AH10" s="0" t="n">
        <v>5</v>
      </c>
      <c r="AJ10" s="0" t="n">
        <v>30</v>
      </c>
      <c r="AP10" s="0" t="n">
        <v>380000</v>
      </c>
      <c r="DB10" s="0" t="str">
        <f aca="false">IF($A10="","",IF($A10&lt;&gt;21,"対象外",IF($AE10&amp;""="00000000","在職",IF($AE10&amp;""=設定!$C$4,"4/1喪失","その他喪失"))))</f>
        <v>在職</v>
      </c>
    </row>
    <row r="11" customFormat="false" ht="15" hidden="false" customHeight="false" outlineLevel="0" collapsed="false">
      <c r="A11" s="0" t="n">
        <v>21</v>
      </c>
      <c r="AA11" s="0" t="n">
        <v>21</v>
      </c>
      <c r="AB11" s="0" t="s">
        <v>443</v>
      </c>
      <c r="AD11" s="0" t="n">
        <v>0</v>
      </c>
      <c r="AE11" s="0" t="s">
        <v>295</v>
      </c>
      <c r="AH11" s="0" t="n">
        <v>20</v>
      </c>
      <c r="AJ11" s="0" t="n">
        <v>10</v>
      </c>
      <c r="AP11" s="0" t="n">
        <v>1210000</v>
      </c>
      <c r="DB11" s="0" t="str">
        <f aca="false">IF($A11="","",IF($A11&lt;&gt;21,"対象外",IF($AE11&amp;""="00000000","在職",IF($AE11&amp;""=設定!$C$4,"4/1喪失","その他喪失"))))</f>
        <v>在職</v>
      </c>
    </row>
    <row r="12" customFormat="false" ht="15" hidden="false" customHeight="false" outlineLevel="0" collapsed="false">
      <c r="A12" s="0" t="n">
        <v>21</v>
      </c>
      <c r="AA12" s="0" t="n">
        <v>21</v>
      </c>
      <c r="AB12" s="0" t="s">
        <v>413</v>
      </c>
      <c r="AD12" s="0" t="n">
        <v>0</v>
      </c>
      <c r="AE12" s="0" t="s">
        <v>295</v>
      </c>
      <c r="AH12" s="0" t="n">
        <v>1</v>
      </c>
      <c r="AJ12" s="0" t="n">
        <v>10</v>
      </c>
      <c r="AP12" s="0" t="n">
        <v>360000</v>
      </c>
      <c r="DB12" s="0" t="str">
        <f aca="false">IF($A12="","",IF($A12&lt;&gt;21,"対象外",IF($AE12&amp;""="00000000","在職",IF($AE12&amp;""=設定!$C$4,"4/1喪失","その他喪失"))))</f>
        <v>在職</v>
      </c>
    </row>
    <row r="13" customFormat="false" ht="15" hidden="false" customHeight="false" outlineLevel="0" collapsed="false">
      <c r="A13" s="0" t="n">
        <v>21</v>
      </c>
      <c r="AA13" s="0" t="n">
        <v>21</v>
      </c>
      <c r="AB13" s="0" t="s">
        <v>456</v>
      </c>
      <c r="AD13" s="0" t="n">
        <v>0</v>
      </c>
      <c r="AE13" s="0" t="s">
        <v>295</v>
      </c>
      <c r="AH13" s="0" t="n">
        <v>5</v>
      </c>
      <c r="AJ13" s="0" t="n">
        <v>30</v>
      </c>
      <c r="AP13" s="0" t="n">
        <v>360000</v>
      </c>
      <c r="DB13" s="0" t="str">
        <f aca="false">IF($A13="","",IF($A13&lt;&gt;21,"対象外",IF($AE13&amp;""="00000000","在職",IF($AE13&amp;""=設定!$C$4,"4/1喪失","その他喪失"))))</f>
        <v>在職</v>
      </c>
    </row>
    <row r="14" customFormat="false" ht="15" hidden="false" customHeight="false" outlineLevel="0" collapsed="false">
      <c r="A14" s="0" t="n">
        <v>21</v>
      </c>
      <c r="AA14" s="0" t="n">
        <v>21</v>
      </c>
      <c r="AB14" s="0" t="s">
        <v>429</v>
      </c>
      <c r="AD14" s="0" t="n">
        <v>0</v>
      </c>
      <c r="AE14" s="0" t="s">
        <v>295</v>
      </c>
      <c r="AH14" s="0" t="n">
        <v>11</v>
      </c>
      <c r="AJ14" s="0" t="n">
        <v>10</v>
      </c>
      <c r="AP14" s="0" t="n">
        <v>320000</v>
      </c>
      <c r="DB14" s="0" t="str">
        <f aca="false">IF($A14="","",IF($A14&lt;&gt;21,"対象外",IF($AE14&amp;""="00000000","在職",IF($AE14&amp;""=設定!$C$4,"4/1喪失","その他喪失"))))</f>
        <v>在職</v>
      </c>
    </row>
    <row r="15" customFormat="false" ht="15" hidden="false" customHeight="false" outlineLevel="0" collapsed="false">
      <c r="A15" s="0" t="n">
        <v>21</v>
      </c>
      <c r="AA15" s="0" t="n">
        <v>21</v>
      </c>
      <c r="AB15" s="0" t="s">
        <v>387</v>
      </c>
      <c r="AD15" s="0" t="n">
        <v>0</v>
      </c>
      <c r="AE15" s="0" t="s">
        <v>295</v>
      </c>
      <c r="AH15" s="0" t="n">
        <v>1</v>
      </c>
      <c r="AJ15" s="0" t="n">
        <v>10</v>
      </c>
      <c r="AP15" s="0" t="n">
        <v>410000</v>
      </c>
      <c r="DB15" s="0" t="str">
        <f aca="false">IF($A15="","",IF($A15&lt;&gt;21,"対象外",IF($AE15&amp;""="00000000","在職",IF($AE15&amp;""=設定!$C$4,"4/1喪失","その他喪失"))))</f>
        <v>在職</v>
      </c>
    </row>
    <row r="16" customFormat="false" ht="15" hidden="false" customHeight="false" outlineLevel="0" collapsed="false">
      <c r="A16" s="0" t="n">
        <v>215</v>
      </c>
      <c r="AA16" s="0" t="n">
        <v>21</v>
      </c>
      <c r="AB16" s="0" t="s">
        <v>96</v>
      </c>
      <c r="AD16" s="0" t="n">
        <v>0</v>
      </c>
      <c r="AE16" s="0" t="s">
        <v>295</v>
      </c>
      <c r="AH16" s="0" t="n">
        <v>20</v>
      </c>
      <c r="AJ16" s="0" t="n">
        <v>10</v>
      </c>
      <c r="AP16" s="0" t="n">
        <v>380000</v>
      </c>
      <c r="DB16" s="0" t="str">
        <f aca="false">IF($A16="","",IF($A16&lt;&gt;21,"対象外",IF($AE16&amp;""="00000000","在職",IF($AE16&amp;""=設定!$C$4,"4/1喪失","その他喪失"))))</f>
        <v>対象外</v>
      </c>
    </row>
    <row r="17" customFormat="false" ht="15" hidden="false" customHeight="false" outlineLevel="0" collapsed="false">
      <c r="A17" s="0" t="n">
        <v>31</v>
      </c>
      <c r="AA17" s="0" t="n">
        <v>21</v>
      </c>
      <c r="AB17" s="0" t="s">
        <v>96</v>
      </c>
      <c r="AD17" s="0" t="n">
        <v>0</v>
      </c>
      <c r="AE17" s="0" t="s">
        <v>295</v>
      </c>
      <c r="AH17" s="0" t="n">
        <v>1</v>
      </c>
      <c r="AJ17" s="0" t="n">
        <v>41</v>
      </c>
      <c r="AP17" s="0" t="n">
        <v>240000</v>
      </c>
      <c r="DB17" s="0" t="str">
        <f aca="false">IF($A17="","",IF($A17&lt;&gt;21,"対象外",IF($AE17&amp;""="00000000","在職",IF($AE17&amp;""=設定!$C$4,"4/1喪失","その他喪失"))))</f>
        <v>対象外</v>
      </c>
    </row>
    <row r="18" customFormat="false" ht="15" hidden="false" customHeight="false" outlineLevel="0" collapsed="false">
      <c r="A18" s="0" t="n">
        <v>21</v>
      </c>
      <c r="AA18" s="0" t="n">
        <v>21</v>
      </c>
      <c r="AB18" s="0" t="s">
        <v>387</v>
      </c>
      <c r="AD18" s="0" t="n">
        <v>0</v>
      </c>
      <c r="AE18" s="0" t="s">
        <v>295</v>
      </c>
      <c r="AH18" s="0" t="n">
        <v>15</v>
      </c>
      <c r="AJ18" s="0" t="n">
        <v>10</v>
      </c>
      <c r="AP18" s="0" t="n">
        <v>410000</v>
      </c>
      <c r="DB18" s="0" t="str">
        <f aca="false">IF($A18="","",IF($A18&lt;&gt;21,"対象外",IF($AE18&amp;""="00000000","在職",IF($AE18&amp;""=設定!$C$4,"4/1喪失","その他喪失"))))</f>
        <v>在職</v>
      </c>
    </row>
    <row r="19" customFormat="false" ht="15" hidden="false" customHeight="false" outlineLevel="0" collapsed="false">
      <c r="A19" s="0" t="n">
        <v>21</v>
      </c>
      <c r="AA19" s="0" t="n">
        <v>21</v>
      </c>
      <c r="AB19" s="0" t="s">
        <v>436</v>
      </c>
      <c r="AD19" s="0" t="n">
        <v>0</v>
      </c>
      <c r="AE19" s="0" t="s">
        <v>295</v>
      </c>
      <c r="AH19" s="0" t="n">
        <v>3</v>
      </c>
      <c r="AJ19" s="0" t="n">
        <v>10</v>
      </c>
      <c r="AP19" s="0" t="n">
        <v>380000</v>
      </c>
      <c r="DB19" s="0" t="str">
        <f aca="false">IF($A19="","",IF($A19&lt;&gt;21,"対象外",IF($AE19&amp;""="00000000","在職",IF($AE19&amp;""=設定!$C$4,"4/1喪失","その他喪失"))))</f>
        <v>在職</v>
      </c>
    </row>
    <row r="20" customFormat="false" ht="15" hidden="false" customHeight="false" outlineLevel="0" collapsed="false">
      <c r="A20" s="0" t="n">
        <v>31</v>
      </c>
      <c r="AA20" s="0" t="n">
        <v>21</v>
      </c>
      <c r="AB20" s="0" t="s">
        <v>96</v>
      </c>
      <c r="AD20" s="0" t="n">
        <v>0</v>
      </c>
      <c r="AE20" s="0" t="s">
        <v>295</v>
      </c>
      <c r="AH20" s="0" t="n">
        <v>11</v>
      </c>
      <c r="AJ20" s="0" t="n">
        <v>41</v>
      </c>
      <c r="AP20" s="0" t="n">
        <v>240000</v>
      </c>
      <c r="DB20" s="0" t="str">
        <f aca="false">IF($A20="","",IF($A20&lt;&gt;21,"対象外",IF($AE20&amp;""="00000000","在職",IF($AE20&amp;""=設定!$C$4,"4/1喪失","その他喪失"))))</f>
        <v>対象外</v>
      </c>
    </row>
    <row r="21" customFormat="false" ht="15" hidden="false" customHeight="false" outlineLevel="0" collapsed="false">
      <c r="A21" s="0" t="n">
        <v>21</v>
      </c>
      <c r="AA21" s="0" t="n">
        <v>21</v>
      </c>
      <c r="AB21" s="0" t="s">
        <v>413</v>
      </c>
      <c r="AD21" s="0" t="n">
        <v>0</v>
      </c>
      <c r="AE21" s="0" t="s">
        <v>295</v>
      </c>
      <c r="AH21" s="0" t="n">
        <v>1</v>
      </c>
      <c r="AJ21" s="0" t="n">
        <v>10</v>
      </c>
      <c r="AP21" s="0" t="n">
        <v>340000</v>
      </c>
      <c r="DB21" s="0" t="str">
        <f aca="false">IF($A21="","",IF($A21&lt;&gt;21,"対象外",IF($AE21&amp;""="00000000","在職",IF($AE21&amp;""=設定!$C$4,"4/1喪失","その他喪失"))))</f>
        <v>在職</v>
      </c>
    </row>
    <row r="22" customFormat="false" ht="15" hidden="false" customHeight="false" outlineLevel="0" collapsed="false">
      <c r="A22" s="0" t="n">
        <v>21</v>
      </c>
      <c r="AA22" s="0" t="n">
        <v>21</v>
      </c>
      <c r="AB22" s="0" t="s">
        <v>413</v>
      </c>
      <c r="AD22" s="0" t="n">
        <v>0</v>
      </c>
      <c r="AE22" s="0" t="s">
        <v>295</v>
      </c>
      <c r="AH22" s="0" t="n">
        <v>1</v>
      </c>
      <c r="AJ22" s="0" t="n">
        <v>10</v>
      </c>
      <c r="AP22" s="0" t="n">
        <v>340000</v>
      </c>
      <c r="DB22" s="0" t="str">
        <f aca="false">IF($A22="","",IF($A22&lt;&gt;21,"対象外",IF($AE22&amp;""="00000000","在職",IF($AE22&amp;""=設定!$C$4,"4/1喪失","その他喪失"))))</f>
        <v>在職</v>
      </c>
    </row>
    <row r="23" customFormat="false" ht="15" hidden="false" customHeight="false" outlineLevel="0" collapsed="false">
      <c r="A23" s="0" t="n">
        <v>21</v>
      </c>
      <c r="AA23" s="0" t="n">
        <v>21</v>
      </c>
      <c r="AB23" s="0" t="s">
        <v>438</v>
      </c>
      <c r="AD23" s="0" t="n">
        <v>0</v>
      </c>
      <c r="AE23" s="0" t="s">
        <v>295</v>
      </c>
      <c r="AH23" s="0" t="n">
        <v>1</v>
      </c>
      <c r="AJ23" s="0" t="n">
        <v>10</v>
      </c>
      <c r="AP23" s="0" t="n">
        <v>360000</v>
      </c>
      <c r="DB23" s="0" t="str">
        <f aca="false">IF($A23="","",IF($A23&lt;&gt;21,"対象外",IF($AE23&amp;""="00000000","在職",IF($AE23&amp;""=設定!$C$4,"4/1喪失","その他喪失"))))</f>
        <v>在職</v>
      </c>
    </row>
    <row r="24" customFormat="false" ht="15" hidden="false" customHeight="false" outlineLevel="0" collapsed="false">
      <c r="A24" s="0" t="n">
        <v>21</v>
      </c>
      <c r="AA24" s="0" t="n">
        <v>21</v>
      </c>
      <c r="AB24" s="0" t="s">
        <v>456</v>
      </c>
      <c r="AD24" s="0" t="n">
        <v>0</v>
      </c>
      <c r="AE24" s="0" t="s">
        <v>295</v>
      </c>
      <c r="AH24" s="0" t="n">
        <v>5</v>
      </c>
      <c r="AJ24" s="0" t="n">
        <v>30</v>
      </c>
      <c r="AP24" s="0" t="n">
        <v>380000</v>
      </c>
      <c r="DB24" s="0" t="str">
        <f aca="false">IF($A24="","",IF($A24&lt;&gt;21,"対象外",IF($AE24&amp;""="00000000","在職",IF($AE24&amp;""=設定!$C$4,"4/1喪失","その他喪失"))))</f>
        <v>在職</v>
      </c>
    </row>
    <row r="25" customFormat="false" ht="15" hidden="false" customHeight="false" outlineLevel="0" collapsed="false">
      <c r="A25" s="0" t="n">
        <v>31</v>
      </c>
      <c r="AA25" s="0" t="n">
        <v>21</v>
      </c>
      <c r="AB25" s="0" t="s">
        <v>96</v>
      </c>
      <c r="AD25" s="0" t="n">
        <v>0</v>
      </c>
      <c r="AE25" s="0" t="s">
        <v>295</v>
      </c>
      <c r="AH25" s="0" t="n">
        <v>11</v>
      </c>
      <c r="AJ25" s="0" t="n">
        <v>41</v>
      </c>
      <c r="AP25" s="0" t="n">
        <v>220000</v>
      </c>
      <c r="DB25" s="0" t="str">
        <f aca="false">IF($A25="","",IF($A25&lt;&gt;21,"対象外",IF($AE25&amp;""="00000000","在職",IF($AE25&amp;""=設定!$C$4,"4/1喪失","その他喪失"))))</f>
        <v>対象外</v>
      </c>
    </row>
    <row r="26" customFormat="false" ht="15" hidden="false" customHeight="false" outlineLevel="0" collapsed="false">
      <c r="A26" s="0" t="n">
        <v>31</v>
      </c>
      <c r="AA26" s="0" t="n">
        <v>21</v>
      </c>
      <c r="AB26" s="0" t="s">
        <v>96</v>
      </c>
      <c r="AD26" s="0" t="n">
        <v>0</v>
      </c>
      <c r="AE26" s="0" t="s">
        <v>295</v>
      </c>
      <c r="AH26" s="0" t="n">
        <v>20</v>
      </c>
      <c r="AJ26" s="0" t="n">
        <v>41</v>
      </c>
      <c r="AP26" s="0" t="n">
        <v>320000</v>
      </c>
      <c r="DB26" s="0" t="str">
        <f aca="false">IF($A26="","",IF($A26&lt;&gt;21,"対象外",IF($AE26&amp;""="00000000","在職",IF($AE26&amp;""=設定!$C$4,"4/1喪失","その他喪失"))))</f>
        <v>対象外</v>
      </c>
    </row>
    <row r="27" customFormat="false" ht="15" hidden="false" customHeight="false" outlineLevel="0" collapsed="false">
      <c r="A27" s="0" t="n">
        <v>21</v>
      </c>
      <c r="AA27" s="0" t="n">
        <v>21</v>
      </c>
      <c r="AB27" s="0" t="s">
        <v>409</v>
      </c>
      <c r="AD27" s="0" t="n">
        <v>0</v>
      </c>
      <c r="AE27" s="0" t="s">
        <v>295</v>
      </c>
      <c r="AH27" s="0" t="n">
        <v>1</v>
      </c>
      <c r="AJ27" s="0" t="n">
        <v>10</v>
      </c>
      <c r="AP27" s="0" t="n">
        <v>380000</v>
      </c>
      <c r="DB27" s="0" t="str">
        <f aca="false">IF($A27="","",IF($A27&lt;&gt;21,"対象外",IF($AE27&amp;""="00000000","在職",IF($AE27&amp;""=設定!$C$4,"4/1喪失","その他喪失"))))</f>
        <v>在職</v>
      </c>
    </row>
    <row r="28" customFormat="false" ht="15" hidden="false" customHeight="false" outlineLevel="0" collapsed="false">
      <c r="A28" s="0" t="n">
        <v>21</v>
      </c>
      <c r="AA28" s="0" t="n">
        <v>21</v>
      </c>
      <c r="AB28" s="0" t="s">
        <v>96</v>
      </c>
      <c r="AD28" s="0" t="n">
        <v>0</v>
      </c>
      <c r="AE28" s="0" t="s">
        <v>295</v>
      </c>
      <c r="AH28" s="0" t="n">
        <v>11</v>
      </c>
      <c r="AJ28" s="0" t="n">
        <v>10</v>
      </c>
      <c r="AP28" s="0" t="n">
        <v>220000</v>
      </c>
      <c r="DB28" s="0" t="str">
        <f aca="false">IF($A28="","",IF($A28&lt;&gt;21,"対象外",IF($AE28&amp;""="00000000","在職",IF($AE28&amp;""=設定!$C$4,"4/1喪失","その他喪失"))))</f>
        <v>在職</v>
      </c>
    </row>
    <row r="29" customFormat="false" ht="15" hidden="false" customHeight="false" outlineLevel="0" collapsed="false">
      <c r="A29" s="0" t="n">
        <v>21</v>
      </c>
      <c r="AA29" s="0" t="n">
        <v>21</v>
      </c>
      <c r="AB29" s="0" t="s">
        <v>409</v>
      </c>
      <c r="AD29" s="0" t="n">
        <v>0</v>
      </c>
      <c r="AE29" s="0" t="s">
        <v>295</v>
      </c>
      <c r="AH29" s="0" t="n">
        <v>1</v>
      </c>
      <c r="AJ29" s="0" t="n">
        <v>10</v>
      </c>
      <c r="AP29" s="0" t="n">
        <v>360000</v>
      </c>
      <c r="DB29" s="0" t="str">
        <f aca="false">IF($A29="","",IF($A29&lt;&gt;21,"対象外",IF($AE29&amp;""="00000000","在職",IF($AE29&amp;""=設定!$C$4,"4/1喪失","その他喪失"))))</f>
        <v>在職</v>
      </c>
    </row>
    <row r="30" customFormat="false" ht="15" hidden="false" customHeight="false" outlineLevel="0" collapsed="false">
      <c r="A30" s="0" t="n">
        <v>21</v>
      </c>
      <c r="AA30" s="0" t="n">
        <v>21</v>
      </c>
      <c r="AB30" s="0" t="s">
        <v>477</v>
      </c>
      <c r="AD30" s="0" t="n">
        <v>0</v>
      </c>
      <c r="AE30" s="0" t="s">
        <v>295</v>
      </c>
      <c r="AH30" s="0" t="n">
        <v>20</v>
      </c>
      <c r="AJ30" s="0" t="n">
        <v>10</v>
      </c>
      <c r="AP30" s="0" t="n">
        <v>1150000</v>
      </c>
      <c r="DB30" s="0" t="str">
        <f aca="false">IF($A30="","",IF($A30&lt;&gt;21,"対象外",IF($AE30&amp;""="00000000","在職",IF($AE30&amp;""=設定!$C$4,"4/1喪失","その他喪失"))))</f>
        <v>在職</v>
      </c>
    </row>
    <row r="31" customFormat="false" ht="15" hidden="false" customHeight="false" outlineLevel="0" collapsed="false">
      <c r="A31" s="0" t="n">
        <v>21</v>
      </c>
      <c r="AA31" s="0" t="n">
        <v>21</v>
      </c>
      <c r="AB31" s="0" t="s">
        <v>409</v>
      </c>
      <c r="AD31" s="0" t="n">
        <v>0</v>
      </c>
      <c r="AE31" s="0" t="s">
        <v>295</v>
      </c>
      <c r="AH31" s="0" t="n">
        <v>1</v>
      </c>
      <c r="AJ31" s="0" t="n">
        <v>10</v>
      </c>
      <c r="AP31" s="0" t="n">
        <v>380000</v>
      </c>
      <c r="DB31" s="0" t="str">
        <f aca="false">IF($A31="","",IF($A31&lt;&gt;21,"対象外",IF($AE31&amp;""="00000000","在職",IF($AE31&amp;""=設定!$C$4,"4/1喪失","その他喪失"))))</f>
        <v>在職</v>
      </c>
    </row>
    <row r="32" customFormat="false" ht="15" hidden="false" customHeight="false" outlineLevel="0" collapsed="false">
      <c r="A32" s="0" t="n">
        <v>21</v>
      </c>
      <c r="AA32" s="0" t="n">
        <v>21</v>
      </c>
      <c r="AB32" s="0" t="s">
        <v>409</v>
      </c>
      <c r="AD32" s="0" t="n">
        <v>0</v>
      </c>
      <c r="AE32" s="0" t="s">
        <v>295</v>
      </c>
      <c r="AH32" s="0" t="n">
        <v>11</v>
      </c>
      <c r="AJ32" s="0" t="n">
        <v>10</v>
      </c>
      <c r="AP32" s="0" t="n">
        <v>380000</v>
      </c>
      <c r="DB32" s="0" t="str">
        <f aca="false">IF($A32="","",IF($A32&lt;&gt;21,"対象外",IF($AE32&amp;""="00000000","在職",IF($AE32&amp;""=設定!$C$4,"4/1喪失","その他喪失"))))</f>
        <v>在職</v>
      </c>
    </row>
    <row r="33" customFormat="false" ht="15" hidden="false" customHeight="false" outlineLevel="0" collapsed="false">
      <c r="A33" s="0" t="n">
        <v>21</v>
      </c>
      <c r="AA33" s="0" t="n">
        <v>21</v>
      </c>
      <c r="AB33" s="0" t="s">
        <v>448</v>
      </c>
      <c r="AD33" s="0" t="n">
        <v>0</v>
      </c>
      <c r="AE33" s="0" t="s">
        <v>295</v>
      </c>
      <c r="AH33" s="0" t="n">
        <v>1</v>
      </c>
      <c r="AJ33" s="0" t="n">
        <v>10</v>
      </c>
      <c r="AP33" s="0" t="n">
        <v>470000</v>
      </c>
      <c r="DB33" s="0" t="str">
        <f aca="false">IF($A33="","",IF($A33&lt;&gt;21,"対象外",IF($AE33&amp;""="00000000","在職",IF($AE33&amp;""=設定!$C$4,"4/1喪失","その他喪失"))))</f>
        <v>在職</v>
      </c>
    </row>
    <row r="34" customFormat="false" ht="15" hidden="false" customHeight="false" outlineLevel="0" collapsed="false">
      <c r="A34" s="0" t="n">
        <v>31</v>
      </c>
      <c r="AA34" s="0" t="n">
        <v>21</v>
      </c>
      <c r="AB34" s="0" t="s">
        <v>96</v>
      </c>
      <c r="AD34" s="0" t="n">
        <v>0</v>
      </c>
      <c r="AE34" s="0" t="s">
        <v>295</v>
      </c>
      <c r="AH34" s="0" t="n">
        <v>4</v>
      </c>
      <c r="AJ34" s="0" t="n">
        <v>41</v>
      </c>
      <c r="AP34" s="0" t="n">
        <v>240000</v>
      </c>
      <c r="DB34" s="0" t="str">
        <f aca="false">IF($A34="","",IF($A34&lt;&gt;21,"対象外",IF($AE34&amp;""="00000000","在職",IF($AE34&amp;""=設定!$C$4,"4/1喪失","その他喪失"))))</f>
        <v>対象外</v>
      </c>
    </row>
    <row r="35" customFormat="false" ht="15" hidden="false" customHeight="false" outlineLevel="0" collapsed="false">
      <c r="A35" s="0" t="n">
        <v>31</v>
      </c>
      <c r="AA35" s="0" t="n">
        <v>21</v>
      </c>
      <c r="AB35" s="0" t="s">
        <v>96</v>
      </c>
      <c r="AD35" s="0" t="n">
        <v>0</v>
      </c>
      <c r="AE35" s="0" t="s">
        <v>295</v>
      </c>
      <c r="AH35" s="0" t="n">
        <v>11</v>
      </c>
      <c r="AJ35" s="0" t="n">
        <v>41</v>
      </c>
      <c r="AP35" s="0" t="n">
        <v>200000</v>
      </c>
      <c r="DB35" s="0" t="str">
        <f aca="false">IF($A35="","",IF($A35&lt;&gt;21,"対象外",IF($AE35&amp;""="00000000","在職",IF($AE35&amp;""=設定!$C$4,"4/1喪失","その他喪失"))))</f>
        <v>対象外</v>
      </c>
    </row>
    <row r="36" customFormat="false" ht="15" hidden="false" customHeight="false" outlineLevel="0" collapsed="false">
      <c r="A36" s="0" t="n">
        <v>31</v>
      </c>
      <c r="AA36" s="0" t="n">
        <v>21</v>
      </c>
      <c r="AB36" s="0" t="s">
        <v>96</v>
      </c>
      <c r="AD36" s="0" t="n">
        <v>0</v>
      </c>
      <c r="AE36" s="0" t="s">
        <v>295</v>
      </c>
      <c r="AH36" s="0" t="n">
        <v>1</v>
      </c>
      <c r="AJ36" s="0" t="n">
        <v>41</v>
      </c>
      <c r="AP36" s="0" t="n">
        <v>240000</v>
      </c>
      <c r="DB36" s="0" t="str">
        <f aca="false">IF($A36="","",IF($A36&lt;&gt;21,"対象外",IF($AE36&amp;""="00000000","在職",IF($AE36&amp;""=設定!$C$4,"4/1喪失","その他喪失"))))</f>
        <v>対象外</v>
      </c>
    </row>
    <row r="37" customFormat="false" ht="15" hidden="false" customHeight="false" outlineLevel="0" collapsed="false">
      <c r="A37" s="0" t="n">
        <v>31</v>
      </c>
      <c r="AA37" s="0" t="n">
        <v>21</v>
      </c>
      <c r="AB37" s="0" t="s">
        <v>96</v>
      </c>
      <c r="AD37" s="0" t="n">
        <v>0</v>
      </c>
      <c r="AE37" s="0" t="s">
        <v>295</v>
      </c>
      <c r="AH37" s="0" t="n">
        <v>1</v>
      </c>
      <c r="AJ37" s="0" t="n">
        <v>41</v>
      </c>
      <c r="AP37" s="0" t="n">
        <v>240000</v>
      </c>
      <c r="DB37" s="0" t="str">
        <f aca="false">IF($A37="","",IF($A37&lt;&gt;21,"対象外",IF($AE37&amp;""="00000000","在職",IF($AE37&amp;""=設定!$C$4,"4/1喪失","その他喪失"))))</f>
        <v>対象外</v>
      </c>
    </row>
    <row r="38" customFormat="false" ht="15" hidden="false" customHeight="false" outlineLevel="0" collapsed="false">
      <c r="A38" s="0" t="n">
        <v>31</v>
      </c>
      <c r="AA38" s="0" t="n">
        <v>21</v>
      </c>
      <c r="AB38" s="0" t="s">
        <v>96</v>
      </c>
      <c r="AD38" s="0" t="n">
        <v>0</v>
      </c>
      <c r="AE38" s="0" t="s">
        <v>295</v>
      </c>
      <c r="AH38" s="0" t="n">
        <v>1</v>
      </c>
      <c r="AJ38" s="0" t="n">
        <v>41</v>
      </c>
      <c r="AP38" s="0" t="n">
        <v>220000</v>
      </c>
      <c r="DB38" s="0" t="str">
        <f aca="false">IF($A38="","",IF($A38&lt;&gt;21,"対象外",IF($AE38&amp;""="00000000","在職",IF($AE38&amp;""=設定!$C$4,"4/1喪失","その他喪失"))))</f>
        <v>対象外</v>
      </c>
    </row>
    <row r="39" customFormat="false" ht="15" hidden="false" customHeight="false" outlineLevel="0" collapsed="false">
      <c r="A39" s="0" t="n">
        <v>21</v>
      </c>
      <c r="AA39" s="0" t="n">
        <v>21</v>
      </c>
      <c r="AB39" s="0" t="s">
        <v>409</v>
      </c>
      <c r="AD39" s="0" t="n">
        <v>0</v>
      </c>
      <c r="AE39" s="0" t="s">
        <v>295</v>
      </c>
      <c r="AH39" s="0" t="n">
        <v>1</v>
      </c>
      <c r="AJ39" s="0" t="n">
        <v>10</v>
      </c>
      <c r="AP39" s="0" t="n">
        <v>380000</v>
      </c>
      <c r="DB39" s="0" t="str">
        <f aca="false">IF($A39="","",IF($A39&lt;&gt;21,"対象外",IF($AE39&amp;""="00000000","在職",IF($AE39&amp;""=設定!$C$4,"4/1喪失","その他喪失"))))</f>
        <v>在職</v>
      </c>
    </row>
    <row r="40" customFormat="false" ht="15" hidden="false" customHeight="false" outlineLevel="0" collapsed="false">
      <c r="A40" s="0" t="n">
        <v>21</v>
      </c>
      <c r="AA40" s="0" t="n">
        <v>21</v>
      </c>
      <c r="AB40" s="0" t="s">
        <v>438</v>
      </c>
      <c r="AD40" s="0" t="n">
        <v>0</v>
      </c>
      <c r="AE40" s="0" t="s">
        <v>295</v>
      </c>
      <c r="AH40" s="0" t="n">
        <v>1</v>
      </c>
      <c r="AJ40" s="0" t="n">
        <v>10</v>
      </c>
      <c r="AP40" s="0" t="n">
        <v>360000</v>
      </c>
      <c r="DB40" s="0" t="str">
        <f aca="false">IF($A40="","",IF($A40&lt;&gt;21,"対象外",IF($AE40&amp;""="00000000","在職",IF($AE40&amp;""=設定!$C$4,"4/1喪失","その他喪失"))))</f>
        <v>在職</v>
      </c>
    </row>
    <row r="41" customFormat="false" ht="15" hidden="false" customHeight="false" outlineLevel="0" collapsed="false">
      <c r="A41" s="0" t="n">
        <v>21</v>
      </c>
      <c r="AA41" s="0" t="n">
        <v>21</v>
      </c>
      <c r="AB41" s="0" t="s">
        <v>409</v>
      </c>
      <c r="AD41" s="0" t="n">
        <v>0</v>
      </c>
      <c r="AE41" s="0" t="s">
        <v>295</v>
      </c>
      <c r="AH41" s="0" t="n">
        <v>1</v>
      </c>
      <c r="AJ41" s="0" t="n">
        <v>10</v>
      </c>
      <c r="AP41" s="0" t="n">
        <v>320000</v>
      </c>
      <c r="DB41" s="0" t="str">
        <f aca="false">IF($A41="","",IF($A41&lt;&gt;21,"対象外",IF($AE41&amp;""="00000000","在職",IF($AE41&amp;""=設定!$C$4,"4/1喪失","その他喪失"))))</f>
        <v>在職</v>
      </c>
    </row>
    <row r="42" customFormat="false" ht="15" hidden="false" customHeight="false" outlineLevel="0" collapsed="false">
      <c r="A42" s="0" t="n">
        <v>21</v>
      </c>
      <c r="AA42" s="0" t="n">
        <v>21</v>
      </c>
      <c r="AB42" s="0" t="s">
        <v>422</v>
      </c>
      <c r="AD42" s="0" t="n">
        <v>0</v>
      </c>
      <c r="AE42" s="0" t="s">
        <v>295</v>
      </c>
      <c r="AH42" s="0" t="n">
        <v>1</v>
      </c>
      <c r="AJ42" s="0" t="n">
        <v>10</v>
      </c>
      <c r="AP42" s="0" t="n">
        <v>410000</v>
      </c>
      <c r="DB42" s="0" t="str">
        <f aca="false">IF($A42="","",IF($A42&lt;&gt;21,"対象外",IF($AE42&amp;""="00000000","在職",IF($AE42&amp;""=設定!$C$4,"4/1喪失","その他喪失"))))</f>
        <v>在職</v>
      </c>
    </row>
    <row r="43" customFormat="false" ht="15" hidden="false" customHeight="false" outlineLevel="0" collapsed="false">
      <c r="A43" s="0" t="n">
        <v>21</v>
      </c>
      <c r="AA43" s="0" t="n">
        <v>21</v>
      </c>
      <c r="AB43" s="0" t="s">
        <v>413</v>
      </c>
      <c r="AD43" s="0" t="n">
        <v>0</v>
      </c>
      <c r="AE43" s="0" t="s">
        <v>295</v>
      </c>
      <c r="AH43" s="0" t="n">
        <v>1</v>
      </c>
      <c r="AJ43" s="0" t="n">
        <v>10</v>
      </c>
      <c r="AP43" s="0" t="n">
        <v>380000</v>
      </c>
      <c r="DB43" s="0" t="str">
        <f aca="false">IF($A43="","",IF($A43&lt;&gt;21,"対象外",IF($AE43&amp;""="00000000","在職",IF($AE43&amp;""=設定!$C$4,"4/1喪失","その他喪失"))))</f>
        <v>在職</v>
      </c>
    </row>
    <row r="44" customFormat="false" ht="15" hidden="false" customHeight="false" outlineLevel="0" collapsed="false">
      <c r="A44" s="0" t="n">
        <v>21</v>
      </c>
      <c r="AA44" s="0" t="n">
        <v>21</v>
      </c>
      <c r="AB44" s="0" t="s">
        <v>438</v>
      </c>
      <c r="AD44" s="0" t="n">
        <v>0</v>
      </c>
      <c r="AE44" s="0" t="s">
        <v>295</v>
      </c>
      <c r="AH44" s="0" t="n">
        <v>1</v>
      </c>
      <c r="AJ44" s="0" t="n">
        <v>10</v>
      </c>
      <c r="AP44" s="0" t="n">
        <v>360000</v>
      </c>
      <c r="DB44" s="0" t="str">
        <f aca="false">IF($A44="","",IF($A44&lt;&gt;21,"対象外",IF($AE44&amp;""="00000000","在職",IF($AE44&amp;""=設定!$C$4,"4/1喪失","その他喪失"))))</f>
        <v>在職</v>
      </c>
    </row>
    <row r="45" customFormat="false" ht="15" hidden="false" customHeight="false" outlineLevel="0" collapsed="false">
      <c r="A45" s="0" t="n">
        <v>21</v>
      </c>
      <c r="AA45" s="0" t="n">
        <v>21</v>
      </c>
      <c r="AB45" s="0" t="s">
        <v>417</v>
      </c>
      <c r="AD45" s="0" t="n">
        <v>0</v>
      </c>
      <c r="AE45" s="0" t="s">
        <v>295</v>
      </c>
      <c r="AH45" s="0" t="n">
        <v>1</v>
      </c>
      <c r="AJ45" s="0" t="n">
        <v>10</v>
      </c>
      <c r="AP45" s="0" t="n">
        <v>380000</v>
      </c>
      <c r="DB45" s="0" t="str">
        <f aca="false">IF($A45="","",IF($A45&lt;&gt;21,"対象外",IF($AE45&amp;""="00000000","在職",IF($AE45&amp;""=設定!$C$4,"4/1喪失","その他喪失"))))</f>
        <v>在職</v>
      </c>
    </row>
    <row r="46" customFormat="false" ht="15" hidden="false" customHeight="false" outlineLevel="0" collapsed="false">
      <c r="A46" s="0" t="n">
        <v>21</v>
      </c>
      <c r="AA46" s="0" t="n">
        <v>21</v>
      </c>
      <c r="AB46" s="0" t="s">
        <v>433</v>
      </c>
      <c r="AD46" s="0" t="n">
        <v>0</v>
      </c>
      <c r="AE46" s="0" t="s">
        <v>295</v>
      </c>
      <c r="AH46" s="0" t="n">
        <v>3</v>
      </c>
      <c r="AJ46" s="0" t="n">
        <v>10</v>
      </c>
      <c r="AP46" s="0" t="n">
        <v>410000</v>
      </c>
      <c r="DB46" s="0" t="str">
        <f aca="false">IF($A46="","",IF($A46&lt;&gt;21,"対象外",IF($AE46&amp;""="00000000","在職",IF($AE46&amp;""=設定!$C$4,"4/1喪失","その他喪失"))))</f>
        <v>在職</v>
      </c>
    </row>
    <row r="47" customFormat="false" ht="15" hidden="false" customHeight="false" outlineLevel="0" collapsed="false">
      <c r="A47" s="0" t="n">
        <v>21</v>
      </c>
      <c r="AA47" s="0" t="n">
        <v>21</v>
      </c>
      <c r="AB47" s="0" t="s">
        <v>413</v>
      </c>
      <c r="AD47" s="0" t="n">
        <v>0</v>
      </c>
      <c r="AE47" s="0" t="s">
        <v>295</v>
      </c>
      <c r="AH47" s="0" t="n">
        <v>1</v>
      </c>
      <c r="AJ47" s="0" t="n">
        <v>10</v>
      </c>
      <c r="AP47" s="0" t="n">
        <v>360000</v>
      </c>
      <c r="DB47" s="0" t="str">
        <f aca="false">IF($A47="","",IF($A47&lt;&gt;21,"対象外",IF($AE47&amp;""="00000000","在職",IF($AE47&amp;""=設定!$C$4,"4/1喪失","その他喪失"))))</f>
        <v>在職</v>
      </c>
    </row>
    <row r="48" customFormat="false" ht="15" hidden="false" customHeight="false" outlineLevel="0" collapsed="false">
      <c r="A48" s="0" t="n">
        <v>31</v>
      </c>
      <c r="AA48" s="0" t="n">
        <v>21</v>
      </c>
      <c r="AB48" s="0" t="s">
        <v>96</v>
      </c>
      <c r="AD48" s="0" t="n">
        <v>0</v>
      </c>
      <c r="AE48" s="0" t="s">
        <v>295</v>
      </c>
      <c r="AH48" s="0" t="n">
        <v>1</v>
      </c>
      <c r="AJ48" s="0" t="n">
        <v>41</v>
      </c>
      <c r="AP48" s="0" t="n">
        <v>240000</v>
      </c>
      <c r="DB48" s="0" t="str">
        <f aca="false">IF($A48="","",IF($A48&lt;&gt;21,"対象外",IF($AE48&amp;""="00000000","在職",IF($AE48&amp;""=設定!$C$4,"4/1喪失","その他喪失"))))</f>
        <v>対象外</v>
      </c>
    </row>
    <row r="49" customFormat="false" ht="15" hidden="false" customHeight="false" outlineLevel="0" collapsed="false">
      <c r="A49" s="0" t="n">
        <v>31</v>
      </c>
      <c r="AA49" s="0" t="n">
        <v>24</v>
      </c>
      <c r="AB49" s="0" t="s">
        <v>560</v>
      </c>
      <c r="AD49" s="0" t="n">
        <v>0</v>
      </c>
      <c r="AE49" s="0" t="s">
        <v>295</v>
      </c>
      <c r="AH49" s="0" t="n">
        <v>1</v>
      </c>
      <c r="AJ49" s="0" t="n">
        <v>41</v>
      </c>
      <c r="AP49" s="0" t="n">
        <v>160000</v>
      </c>
      <c r="DB49" s="0" t="str">
        <f aca="false">IF($A49="","",IF($A49&lt;&gt;21,"対象外",IF($AE49&amp;""="00000000","在職",IF($AE49&amp;""=設定!$C$4,"4/1喪失","その他喪失"))))</f>
        <v>対象外</v>
      </c>
    </row>
    <row r="50" customFormat="false" ht="15" hidden="false" customHeight="false" outlineLevel="0" collapsed="false">
      <c r="A50" s="0" t="n">
        <v>21</v>
      </c>
      <c r="AA50" s="0" t="n">
        <v>21</v>
      </c>
      <c r="AB50" s="0" t="s">
        <v>457</v>
      </c>
      <c r="AD50" s="0" t="n">
        <v>0</v>
      </c>
      <c r="AE50" s="0" t="s">
        <v>295</v>
      </c>
      <c r="AH50" s="0" t="n">
        <v>20</v>
      </c>
      <c r="AJ50" s="0" t="n">
        <v>10</v>
      </c>
      <c r="AP50" s="0" t="n">
        <v>1150000</v>
      </c>
      <c r="DB50" s="0" t="str">
        <f aca="false">IF($A50="","",IF($A50&lt;&gt;21,"対象外",IF($AE50&amp;""="00000000","在職",IF($AE50&amp;""=設定!$C$4,"4/1喪失","その他喪失"))))</f>
        <v>在職</v>
      </c>
    </row>
    <row r="51" customFormat="false" ht="15" hidden="false" customHeight="false" outlineLevel="0" collapsed="false">
      <c r="A51" s="0" t="n">
        <v>21</v>
      </c>
      <c r="AA51" s="0" t="n">
        <v>21</v>
      </c>
      <c r="AB51" s="0" t="s">
        <v>413</v>
      </c>
      <c r="AD51" s="0" t="n">
        <v>0</v>
      </c>
      <c r="AE51" s="0" t="s">
        <v>295</v>
      </c>
      <c r="AH51" s="0" t="n">
        <v>1</v>
      </c>
      <c r="AJ51" s="0" t="n">
        <v>10</v>
      </c>
      <c r="AP51" s="0" t="n">
        <v>380000</v>
      </c>
      <c r="DB51" s="0" t="str">
        <f aca="false">IF($A51="","",IF($A51&lt;&gt;21,"対象外",IF($AE51&amp;""="00000000","在職",IF($AE51&amp;""=設定!$C$4,"4/1喪失","その他喪失"))))</f>
        <v>在職</v>
      </c>
    </row>
    <row r="52" customFormat="false" ht="15" hidden="false" customHeight="false" outlineLevel="0" collapsed="false">
      <c r="A52" s="0" t="n">
        <v>31</v>
      </c>
      <c r="AA52" s="0" t="n">
        <v>21</v>
      </c>
      <c r="AB52" s="0" t="s">
        <v>96</v>
      </c>
      <c r="AD52" s="0" t="n">
        <v>0</v>
      </c>
      <c r="AE52" s="0" t="s">
        <v>295</v>
      </c>
      <c r="AH52" s="0" t="n">
        <v>4</v>
      </c>
      <c r="AJ52" s="0" t="n">
        <v>41</v>
      </c>
      <c r="AP52" s="0" t="n">
        <v>220000</v>
      </c>
      <c r="DB52" s="0" t="str">
        <f aca="false">IF($A52="","",IF($A52&lt;&gt;21,"対象外",IF($AE52&amp;""="00000000","在職",IF($AE52&amp;""=設定!$C$4,"4/1喪失","その他喪失"))))</f>
        <v>対象外</v>
      </c>
    </row>
    <row r="53" customFormat="false" ht="15" hidden="false" customHeight="false" outlineLevel="0" collapsed="false">
      <c r="A53" s="0" t="n">
        <v>21</v>
      </c>
      <c r="AA53" s="0" t="n">
        <v>21</v>
      </c>
      <c r="AB53" s="0" t="s">
        <v>431</v>
      </c>
      <c r="AD53" s="0" t="n">
        <v>0</v>
      </c>
      <c r="AE53" s="0" t="s">
        <v>295</v>
      </c>
      <c r="AH53" s="0" t="n">
        <v>1</v>
      </c>
      <c r="AJ53" s="0" t="n">
        <v>10</v>
      </c>
      <c r="AP53" s="0" t="n">
        <v>360000</v>
      </c>
      <c r="DB53" s="0" t="str">
        <f aca="false">IF($A53="","",IF($A53&lt;&gt;21,"対象外",IF($AE53&amp;""="00000000","在職",IF($AE53&amp;""=設定!$C$4,"4/1喪失","その他喪失"))))</f>
        <v>在職</v>
      </c>
    </row>
    <row r="54" customFormat="false" ht="15" hidden="false" customHeight="false" outlineLevel="0" collapsed="false">
      <c r="A54" s="0" t="n">
        <v>21</v>
      </c>
      <c r="AA54" s="0" t="n">
        <v>21</v>
      </c>
      <c r="AB54" s="0" t="s">
        <v>387</v>
      </c>
      <c r="AD54" s="0" t="n">
        <v>0</v>
      </c>
      <c r="AE54" s="0" t="s">
        <v>295</v>
      </c>
      <c r="AH54" s="0" t="n">
        <v>5</v>
      </c>
      <c r="AJ54" s="0" t="n">
        <v>30</v>
      </c>
      <c r="AP54" s="0" t="n">
        <v>360000</v>
      </c>
      <c r="DB54" s="0" t="str">
        <f aca="false">IF($A54="","",IF($A54&lt;&gt;21,"対象外",IF($AE54&amp;""="00000000","在職",IF($AE54&amp;""=設定!$C$4,"4/1喪失","その他喪失"))))</f>
        <v>在職</v>
      </c>
    </row>
    <row r="55" customFormat="false" ht="15" hidden="false" customHeight="false" outlineLevel="0" collapsed="false">
      <c r="A55" s="0" t="n">
        <v>31</v>
      </c>
      <c r="AA55" s="0" t="n">
        <v>24</v>
      </c>
      <c r="AB55" s="0" t="s">
        <v>296</v>
      </c>
      <c r="AD55" s="0" t="n">
        <v>0</v>
      </c>
      <c r="AE55" s="0" t="s">
        <v>295</v>
      </c>
      <c r="AH55" s="0" t="n">
        <v>11</v>
      </c>
      <c r="AJ55" s="0" t="n">
        <v>41</v>
      </c>
      <c r="AP55" s="0" t="n">
        <v>190000</v>
      </c>
      <c r="DB55" s="0" t="str">
        <f aca="false">IF($A55="","",IF($A55&lt;&gt;21,"対象外",IF($AE55&amp;""="00000000","在職",IF($AE55&amp;""=設定!$C$4,"4/1喪失","その他喪失"))))</f>
        <v>対象外</v>
      </c>
    </row>
    <row r="56" customFormat="false" ht="15" hidden="false" customHeight="false" outlineLevel="0" collapsed="false">
      <c r="A56" s="0" t="n">
        <v>21</v>
      </c>
      <c r="AA56" s="0" t="n">
        <v>21</v>
      </c>
      <c r="AB56" s="0" t="s">
        <v>413</v>
      </c>
      <c r="AD56" s="0" t="n">
        <v>0</v>
      </c>
      <c r="AE56" s="0" t="s">
        <v>295</v>
      </c>
      <c r="AH56" s="0" t="n">
        <v>4</v>
      </c>
      <c r="AJ56" s="0" t="n">
        <v>10</v>
      </c>
      <c r="AP56" s="0" t="n">
        <v>340000</v>
      </c>
      <c r="DB56" s="0" t="str">
        <f aca="false">IF($A56="","",IF($A56&lt;&gt;21,"対象外",IF($AE56&amp;""="00000000","在職",IF($AE56&amp;""=設定!$C$4,"4/1喪失","その他喪失"))))</f>
        <v>在職</v>
      </c>
    </row>
    <row r="57" customFormat="false" ht="15" hidden="false" customHeight="false" outlineLevel="0" collapsed="false">
      <c r="A57" s="0" t="n">
        <v>21</v>
      </c>
      <c r="AA57" s="0" t="n">
        <v>21</v>
      </c>
      <c r="AB57" s="0" t="s">
        <v>422</v>
      </c>
      <c r="AD57" s="0" t="n">
        <v>0</v>
      </c>
      <c r="AE57" s="0" t="s">
        <v>295</v>
      </c>
      <c r="AH57" s="0" t="n">
        <v>1</v>
      </c>
      <c r="AJ57" s="0" t="n">
        <v>10</v>
      </c>
      <c r="AP57" s="0" t="n">
        <v>380000</v>
      </c>
      <c r="DB57" s="0" t="str">
        <f aca="false">IF($A57="","",IF($A57&lt;&gt;21,"対象外",IF($AE57&amp;""="00000000","在職",IF($AE57&amp;""=設定!$C$4,"4/1喪失","その他喪失"))))</f>
        <v>在職</v>
      </c>
    </row>
    <row r="58" customFormat="false" ht="15" hidden="false" customHeight="false" outlineLevel="0" collapsed="false">
      <c r="A58" s="0" t="n">
        <v>21</v>
      </c>
      <c r="AA58" s="0" t="n">
        <v>21</v>
      </c>
      <c r="AB58" s="0" t="s">
        <v>413</v>
      </c>
      <c r="AD58" s="0" t="n">
        <v>0</v>
      </c>
      <c r="AE58" s="0" t="s">
        <v>295</v>
      </c>
      <c r="AH58" s="0" t="n">
        <v>1</v>
      </c>
      <c r="AJ58" s="0" t="n">
        <v>10</v>
      </c>
      <c r="AP58" s="0" t="n">
        <v>360000</v>
      </c>
      <c r="DB58" s="0" t="str">
        <f aca="false">IF($A58="","",IF($A58&lt;&gt;21,"対象外",IF($AE58&amp;""="00000000","在職",IF($AE58&amp;""=設定!$C$4,"4/1喪失","その他喪失"))))</f>
        <v>在職</v>
      </c>
    </row>
    <row r="59" customFormat="false" ht="15" hidden="false" customHeight="false" outlineLevel="0" collapsed="false">
      <c r="A59" s="0" t="n">
        <v>31</v>
      </c>
      <c r="AA59" s="0" t="n">
        <v>21</v>
      </c>
      <c r="AB59" s="0" t="s">
        <v>96</v>
      </c>
      <c r="AD59" s="0" t="n">
        <v>0</v>
      </c>
      <c r="AE59" s="0" t="s">
        <v>295</v>
      </c>
      <c r="AH59" s="0" t="n">
        <v>11</v>
      </c>
      <c r="AJ59" s="0" t="n">
        <v>41</v>
      </c>
      <c r="AP59" s="0" t="n">
        <v>220000</v>
      </c>
      <c r="DB59" s="0" t="str">
        <f aca="false">IF($A59="","",IF($A59&lt;&gt;21,"対象外",IF($AE59&amp;""="00000000","在職",IF($AE59&amp;""=設定!$C$4,"4/1喪失","その他喪失"))))</f>
        <v>対象外</v>
      </c>
    </row>
    <row r="60" customFormat="false" ht="15" hidden="false" customHeight="false" outlineLevel="0" collapsed="false">
      <c r="A60" s="0" t="n">
        <v>31</v>
      </c>
      <c r="AA60" s="0" t="n">
        <v>21</v>
      </c>
      <c r="AB60" s="0" t="s">
        <v>96</v>
      </c>
      <c r="AD60" s="0" t="n">
        <v>0</v>
      </c>
      <c r="AE60" s="0" t="s">
        <v>295</v>
      </c>
      <c r="AH60" s="0" t="n">
        <v>11</v>
      </c>
      <c r="AJ60" s="0" t="n">
        <v>41</v>
      </c>
      <c r="AP60" s="0" t="n">
        <v>200000</v>
      </c>
      <c r="DB60" s="0" t="str">
        <f aca="false">IF($A60="","",IF($A60&lt;&gt;21,"対象外",IF($AE60&amp;""="00000000","在職",IF($AE60&amp;""=設定!$C$4,"4/1喪失","その他喪失"))))</f>
        <v>対象外</v>
      </c>
    </row>
    <row r="61" customFormat="false" ht="15" hidden="false" customHeight="false" outlineLevel="0" collapsed="false">
      <c r="A61" s="0" t="n">
        <v>21</v>
      </c>
      <c r="AA61" s="0" t="n">
        <v>21</v>
      </c>
      <c r="AB61" s="0" t="s">
        <v>417</v>
      </c>
      <c r="AD61" s="0" t="n">
        <v>0</v>
      </c>
      <c r="AE61" s="0" t="s">
        <v>295</v>
      </c>
      <c r="AH61" s="0" t="n">
        <v>4</v>
      </c>
      <c r="AJ61" s="0" t="n">
        <v>10</v>
      </c>
      <c r="AP61" s="0" t="n">
        <v>360000</v>
      </c>
      <c r="DB61" s="0" t="str">
        <f aca="false">IF($A61="","",IF($A61&lt;&gt;21,"対象外",IF($AE61&amp;""="00000000","在職",IF($AE61&amp;""=設定!$C$4,"4/1喪失","その他喪失"))))</f>
        <v>在職</v>
      </c>
    </row>
    <row r="62" customFormat="false" ht="15" hidden="false" customHeight="false" outlineLevel="0" collapsed="false">
      <c r="A62" s="0" t="n">
        <v>21</v>
      </c>
      <c r="AA62" s="0" t="n">
        <v>21</v>
      </c>
      <c r="AB62" s="0" t="s">
        <v>415</v>
      </c>
      <c r="AD62" s="0" t="n">
        <v>0</v>
      </c>
      <c r="AE62" s="0" t="s">
        <v>295</v>
      </c>
      <c r="AH62" s="0" t="n">
        <v>5</v>
      </c>
      <c r="AJ62" s="0" t="n">
        <v>10</v>
      </c>
      <c r="AP62" s="0" t="n">
        <v>360000</v>
      </c>
      <c r="DB62" s="0" t="str">
        <f aca="false">IF($A62="","",IF($A62&lt;&gt;21,"対象外",IF($AE62&amp;""="00000000","在職",IF($AE62&amp;""=設定!$C$4,"4/1喪失","その他喪失"))))</f>
        <v>在職</v>
      </c>
    </row>
    <row r="63" customFormat="false" ht="15" hidden="false" customHeight="false" outlineLevel="0" collapsed="false">
      <c r="A63" s="0" t="n">
        <v>21</v>
      </c>
      <c r="AA63" s="0" t="n">
        <v>21</v>
      </c>
      <c r="AB63" s="0" t="s">
        <v>743</v>
      </c>
      <c r="AD63" s="0" t="n">
        <v>0</v>
      </c>
      <c r="AE63" s="0" t="s">
        <v>295</v>
      </c>
      <c r="AH63" s="0" t="n">
        <v>20</v>
      </c>
      <c r="AJ63" s="0" t="n">
        <v>10</v>
      </c>
      <c r="AP63" s="0" t="n">
        <v>1150000</v>
      </c>
      <c r="DB63" s="0" t="str">
        <f aca="false">IF($A63="","",IF($A63&lt;&gt;21,"対象外",IF($AE63&amp;""="00000000","在職",IF($AE63&amp;""=設定!$C$4,"4/1喪失","その他喪失"))))</f>
        <v>在職</v>
      </c>
    </row>
    <row r="64" customFormat="false" ht="15" hidden="false" customHeight="false" outlineLevel="0" collapsed="false">
      <c r="A64" s="0" t="n">
        <v>21</v>
      </c>
      <c r="AA64" s="0" t="n">
        <v>21</v>
      </c>
      <c r="AB64" s="0" t="s">
        <v>413</v>
      </c>
      <c r="AD64" s="0" t="n">
        <v>0</v>
      </c>
      <c r="AE64" s="0" t="s">
        <v>295</v>
      </c>
      <c r="AH64" s="0" t="n">
        <v>4</v>
      </c>
      <c r="AJ64" s="0" t="n">
        <v>10</v>
      </c>
      <c r="AP64" s="0" t="n">
        <v>340000</v>
      </c>
      <c r="DB64" s="0" t="str">
        <f aca="false">IF($A64="","",IF($A64&lt;&gt;21,"対象外",IF($AE64&amp;""="00000000","在職",IF($AE64&amp;""=設定!$C$4,"4/1喪失","その他喪失"))))</f>
        <v>在職</v>
      </c>
    </row>
    <row r="65" customFormat="false" ht="15" hidden="false" customHeight="false" outlineLevel="0" collapsed="false">
      <c r="A65" s="0" t="n">
        <v>21</v>
      </c>
      <c r="AA65" s="0" t="n">
        <v>21</v>
      </c>
      <c r="AB65" s="0" t="s">
        <v>433</v>
      </c>
      <c r="AD65" s="0" t="n">
        <v>0</v>
      </c>
      <c r="AE65" s="0" t="s">
        <v>295</v>
      </c>
      <c r="AH65" s="0" t="n">
        <v>11</v>
      </c>
      <c r="AJ65" s="0" t="n">
        <v>10</v>
      </c>
      <c r="AP65" s="0" t="n">
        <v>320000</v>
      </c>
      <c r="DB65" s="0" t="str">
        <f aca="false">IF($A65="","",IF($A65&lt;&gt;21,"対象外",IF($AE65&amp;""="00000000","在職",IF($AE65&amp;""=設定!$C$4,"4/1喪失","その他喪失"))))</f>
        <v>在職</v>
      </c>
    </row>
    <row r="66" customFormat="false" ht="15" hidden="false" customHeight="false" outlineLevel="0" collapsed="false">
      <c r="A66" s="0" t="n">
        <v>21</v>
      </c>
      <c r="AA66" s="0" t="n">
        <v>21</v>
      </c>
      <c r="AB66" s="0" t="s">
        <v>443</v>
      </c>
      <c r="AD66" s="0" t="n">
        <v>0</v>
      </c>
      <c r="AE66" s="0" t="s">
        <v>295</v>
      </c>
      <c r="AH66" s="0" t="n">
        <v>20</v>
      </c>
      <c r="AJ66" s="0" t="n">
        <v>10</v>
      </c>
      <c r="AP66" s="0" t="n">
        <v>1330000</v>
      </c>
      <c r="DB66" s="0" t="str">
        <f aca="false">IF($A66="","",IF($A66&lt;&gt;21,"対象外",IF($AE66&amp;""="00000000","在職",IF($AE66&amp;""=設定!$C$4,"4/1喪失","その他喪失"))))</f>
        <v>在職</v>
      </c>
    </row>
    <row r="67" customFormat="false" ht="15" hidden="false" customHeight="false" outlineLevel="0" collapsed="false">
      <c r="A67" s="0" t="n">
        <v>21</v>
      </c>
      <c r="AA67" s="0" t="n">
        <v>21</v>
      </c>
      <c r="AB67" s="0" t="s">
        <v>390</v>
      </c>
      <c r="AD67" s="0" t="n">
        <v>0</v>
      </c>
      <c r="AE67" s="0" t="s">
        <v>295</v>
      </c>
      <c r="AH67" s="0" t="n">
        <v>5</v>
      </c>
      <c r="AJ67" s="0" t="n">
        <v>30</v>
      </c>
      <c r="AP67" s="0" t="n">
        <v>360000</v>
      </c>
      <c r="DB67" s="0" t="str">
        <f aca="false">IF($A67="","",IF($A67&lt;&gt;21,"対象外",IF($AE67&amp;""="00000000","在職",IF($AE67&amp;""=設定!$C$4,"4/1喪失","その他喪失"))))</f>
        <v>在職</v>
      </c>
    </row>
    <row r="68" customFormat="false" ht="15" hidden="false" customHeight="false" outlineLevel="0" collapsed="false">
      <c r="A68" s="0" t="n">
        <v>31</v>
      </c>
      <c r="AA68" s="0" t="n">
        <v>21</v>
      </c>
      <c r="AB68" s="0" t="s">
        <v>496</v>
      </c>
      <c r="AD68" s="0" t="n">
        <v>0</v>
      </c>
      <c r="AE68" s="0" t="s">
        <v>295</v>
      </c>
      <c r="AH68" s="0" t="n">
        <v>11</v>
      </c>
      <c r="AJ68" s="0" t="n">
        <v>41</v>
      </c>
      <c r="AP68" s="0" t="n">
        <v>190000</v>
      </c>
      <c r="DB68" s="0" t="str">
        <f aca="false">IF($A68="","",IF($A68&lt;&gt;21,"対象外",IF($AE68&amp;""="00000000","在職",IF($AE68&amp;""=設定!$C$4,"4/1喪失","その他喪失"))))</f>
        <v>対象外</v>
      </c>
    </row>
    <row r="69" customFormat="false" ht="15" hidden="false" customHeight="false" outlineLevel="0" collapsed="false">
      <c r="A69" s="0" t="n">
        <v>21</v>
      </c>
      <c r="AA69" s="0" t="n">
        <v>21</v>
      </c>
      <c r="AB69" s="0" t="s">
        <v>413</v>
      </c>
      <c r="AD69" s="0" t="n">
        <v>0</v>
      </c>
      <c r="AE69" s="0" t="s">
        <v>295</v>
      </c>
      <c r="AH69" s="0" t="n">
        <v>1</v>
      </c>
      <c r="AJ69" s="0" t="n">
        <v>10</v>
      </c>
      <c r="AP69" s="0" t="n">
        <v>340000</v>
      </c>
      <c r="DB69" s="0" t="str">
        <f aca="false">IF($A69="","",IF($A69&lt;&gt;21,"対象外",IF($AE69&amp;""="00000000","在職",IF($AE69&amp;""=設定!$C$4,"4/1喪失","その他喪失"))))</f>
        <v>在職</v>
      </c>
    </row>
    <row r="70" customFormat="false" ht="15" hidden="false" customHeight="false" outlineLevel="0" collapsed="false">
      <c r="A70" s="0" t="n">
        <v>21</v>
      </c>
      <c r="AA70" s="0" t="n">
        <v>21</v>
      </c>
      <c r="AB70" s="0" t="s">
        <v>413</v>
      </c>
      <c r="AD70" s="0" t="n">
        <v>0</v>
      </c>
      <c r="AE70" s="0" t="s">
        <v>295</v>
      </c>
      <c r="AH70" s="0" t="n">
        <v>1</v>
      </c>
      <c r="AJ70" s="0" t="n">
        <v>10</v>
      </c>
      <c r="AP70" s="0" t="n">
        <v>340000</v>
      </c>
      <c r="DB70" s="0" t="str">
        <f aca="false">IF($A70="","",IF($A70&lt;&gt;21,"対象外",IF($AE70&amp;""="00000000","在職",IF($AE70&amp;""=設定!$C$4,"4/1喪失","その他喪失"))))</f>
        <v>在職</v>
      </c>
    </row>
    <row r="71" customFormat="false" ht="15" hidden="false" customHeight="false" outlineLevel="0" collapsed="false">
      <c r="A71" s="0" t="n">
        <v>21</v>
      </c>
      <c r="AA71" s="0" t="n">
        <v>21</v>
      </c>
      <c r="AB71" s="0" t="s">
        <v>409</v>
      </c>
      <c r="AD71" s="0" t="n">
        <v>0</v>
      </c>
      <c r="AE71" s="0" t="s">
        <v>295</v>
      </c>
      <c r="AH71" s="0" t="n">
        <v>5</v>
      </c>
      <c r="AJ71" s="0" t="n">
        <v>10</v>
      </c>
      <c r="AP71" s="0" t="n">
        <v>340000</v>
      </c>
      <c r="DB71" s="0" t="str">
        <f aca="false">IF($A71="","",IF($A71&lt;&gt;21,"対象外",IF($AE71&amp;""="00000000","在職",IF($AE71&amp;""=設定!$C$4,"4/1喪失","その他喪失"))))</f>
        <v>在職</v>
      </c>
    </row>
    <row r="72" customFormat="false" ht="15" hidden="false" customHeight="false" outlineLevel="0" collapsed="false">
      <c r="A72" s="0" t="n">
        <v>21</v>
      </c>
      <c r="AA72" s="0" t="n">
        <v>21</v>
      </c>
      <c r="AB72" s="0" t="s">
        <v>448</v>
      </c>
      <c r="AD72" s="0" t="n">
        <v>0</v>
      </c>
      <c r="AE72" s="0" t="s">
        <v>295</v>
      </c>
      <c r="AH72" s="0" t="n">
        <v>20</v>
      </c>
      <c r="AJ72" s="0" t="n">
        <v>10</v>
      </c>
      <c r="AP72" s="0" t="n">
        <v>980000</v>
      </c>
      <c r="DB72" s="0" t="str">
        <f aca="false">IF($A72="","",IF($A72&lt;&gt;21,"対象外",IF($AE72&amp;""="00000000","在職",IF($AE72&amp;""=設定!$C$4,"4/1喪失","その他喪失"))))</f>
        <v>在職</v>
      </c>
    </row>
    <row r="73" customFormat="false" ht="15" hidden="false" customHeight="false" outlineLevel="0" collapsed="false">
      <c r="A73" s="0" t="n">
        <v>21</v>
      </c>
      <c r="AA73" s="0" t="n">
        <v>21</v>
      </c>
      <c r="AB73" s="0" t="s">
        <v>409</v>
      </c>
      <c r="AD73" s="0" t="n">
        <v>0</v>
      </c>
      <c r="AE73" s="0" t="s">
        <v>295</v>
      </c>
      <c r="AH73" s="0" t="n">
        <v>5</v>
      </c>
      <c r="AJ73" s="0" t="n">
        <v>30</v>
      </c>
      <c r="AP73" s="0" t="n">
        <v>360000</v>
      </c>
      <c r="DB73" s="0" t="str">
        <f aca="false">IF($A73="","",IF($A73&lt;&gt;21,"対象外",IF($AE73&amp;""="00000000","在職",IF($AE73&amp;""=設定!$C$4,"4/1喪失","その他喪失"))))</f>
        <v>在職</v>
      </c>
    </row>
    <row r="74" customFormat="false" ht="15" hidden="false" customHeight="false" outlineLevel="0" collapsed="false">
      <c r="A74" s="0" t="n">
        <v>21</v>
      </c>
      <c r="AA74" s="0" t="n">
        <v>21</v>
      </c>
      <c r="AB74" s="0" t="s">
        <v>752</v>
      </c>
      <c r="AD74" s="0" t="n">
        <v>0</v>
      </c>
      <c r="AE74" s="0" t="s">
        <v>295</v>
      </c>
      <c r="AH74" s="0" t="n">
        <v>1</v>
      </c>
      <c r="AJ74" s="0" t="n">
        <v>10</v>
      </c>
      <c r="AP74" s="0" t="n">
        <v>360000</v>
      </c>
      <c r="DB74" s="0" t="str">
        <f aca="false">IF($A74="","",IF($A74&lt;&gt;21,"対象外",IF($AE74&amp;""="00000000","在職",IF($AE74&amp;""=設定!$C$4,"4/1喪失","その他喪失"))))</f>
        <v>在職</v>
      </c>
    </row>
    <row r="75" customFormat="false" ht="15" hidden="false" customHeight="false" outlineLevel="0" collapsed="false">
      <c r="A75" s="0" t="n">
        <v>21</v>
      </c>
      <c r="AA75" s="0" t="n">
        <v>21</v>
      </c>
      <c r="AB75" s="0" t="s">
        <v>472</v>
      </c>
      <c r="AD75" s="0" t="n">
        <v>0</v>
      </c>
      <c r="AE75" s="0" t="s">
        <v>295</v>
      </c>
      <c r="AH75" s="0" t="n">
        <v>20</v>
      </c>
      <c r="AJ75" s="0" t="n">
        <v>10</v>
      </c>
      <c r="AP75" s="0" t="n">
        <v>1090000</v>
      </c>
      <c r="DB75" s="0" t="str">
        <f aca="false">IF($A75="","",IF($A75&lt;&gt;21,"対象外",IF($AE75&amp;""="00000000","在職",IF($AE75&amp;""=設定!$C$4,"4/1喪失","その他喪失"))))</f>
        <v>在職</v>
      </c>
    </row>
    <row r="76" customFormat="false" ht="15" hidden="false" customHeight="false" outlineLevel="0" collapsed="false">
      <c r="A76" s="0" t="n">
        <v>31</v>
      </c>
      <c r="AA76" s="0" t="n">
        <v>21</v>
      </c>
      <c r="AB76" s="0" t="s">
        <v>96</v>
      </c>
      <c r="AD76" s="0" t="n">
        <v>0</v>
      </c>
      <c r="AE76" s="0" t="s">
        <v>295</v>
      </c>
      <c r="AH76" s="0" t="n">
        <v>11</v>
      </c>
      <c r="AJ76" s="0" t="n">
        <v>41</v>
      </c>
      <c r="AP76" s="0" t="n">
        <v>240000</v>
      </c>
      <c r="DB76" s="0" t="str">
        <f aca="false">IF($A76="","",IF($A76&lt;&gt;21,"対象外",IF($AE76&amp;""="00000000","在職",IF($AE76&amp;""=設定!$C$4,"4/1喪失","その他喪失"))))</f>
        <v>対象外</v>
      </c>
    </row>
    <row r="77" customFormat="false" ht="15" hidden="false" customHeight="false" outlineLevel="0" collapsed="false">
      <c r="A77" s="0" t="n">
        <v>21</v>
      </c>
      <c r="AA77" s="0" t="n">
        <v>21</v>
      </c>
      <c r="AB77" s="0" t="s">
        <v>387</v>
      </c>
      <c r="AD77" s="0" t="n">
        <v>0</v>
      </c>
      <c r="AE77" s="0" t="s">
        <v>295</v>
      </c>
      <c r="AH77" s="0" t="n">
        <v>1</v>
      </c>
      <c r="AJ77" s="0" t="n">
        <v>10</v>
      </c>
      <c r="AP77" s="0" t="n">
        <v>360000</v>
      </c>
      <c r="DB77" s="0" t="str">
        <f aca="false">IF($A77="","",IF($A77&lt;&gt;21,"対象外",IF($AE77&amp;""="00000000","在職",IF($AE77&amp;""=設定!$C$4,"4/1喪失","その他喪失"))))</f>
        <v>在職</v>
      </c>
    </row>
    <row r="78" customFormat="false" ht="15" hidden="false" customHeight="false" outlineLevel="0" collapsed="false">
      <c r="A78" s="0" t="n">
        <v>21</v>
      </c>
      <c r="AA78" s="0" t="n">
        <v>21</v>
      </c>
      <c r="AB78" s="0" t="s">
        <v>387</v>
      </c>
      <c r="AD78" s="0" t="n">
        <v>0</v>
      </c>
      <c r="AE78" s="0" t="s">
        <v>295</v>
      </c>
      <c r="AH78" s="0" t="n">
        <v>1</v>
      </c>
      <c r="AJ78" s="0" t="n">
        <v>10</v>
      </c>
      <c r="AP78" s="0" t="n">
        <v>340000</v>
      </c>
      <c r="DB78" s="0" t="str">
        <f aca="false">IF($A78="","",IF($A78&lt;&gt;21,"対象外",IF($AE78&amp;""="00000000","在職",IF($AE78&amp;""=設定!$C$4,"4/1喪失","その他喪失"))))</f>
        <v>在職</v>
      </c>
    </row>
    <row r="79" customFormat="false" ht="15" hidden="false" customHeight="false" outlineLevel="0" collapsed="false">
      <c r="A79" s="0" t="n">
        <v>21</v>
      </c>
      <c r="AA79" s="0" t="n">
        <v>21</v>
      </c>
      <c r="AB79" s="0" t="s">
        <v>409</v>
      </c>
      <c r="AD79" s="0" t="n">
        <v>0</v>
      </c>
      <c r="AE79" s="0" t="s">
        <v>295</v>
      </c>
      <c r="AH79" s="0" t="n">
        <v>3</v>
      </c>
      <c r="AJ79" s="0" t="n">
        <v>10</v>
      </c>
      <c r="AP79" s="0" t="n">
        <v>410000</v>
      </c>
      <c r="DB79" s="0" t="str">
        <f aca="false">IF($A79="","",IF($A79&lt;&gt;21,"対象外",IF($AE79&amp;""="00000000","在職",IF($AE79&amp;""=設定!$C$4,"4/1喪失","その他喪失"))))</f>
        <v>在職</v>
      </c>
    </row>
    <row r="80" customFormat="false" ht="15" hidden="false" customHeight="false" outlineLevel="0" collapsed="false">
      <c r="A80" s="0" t="n">
        <v>21</v>
      </c>
      <c r="AA80" s="0" t="n">
        <v>21</v>
      </c>
      <c r="AB80" s="0" t="s">
        <v>753</v>
      </c>
      <c r="AD80" s="0" t="n">
        <v>0</v>
      </c>
      <c r="AE80" s="0" t="s">
        <v>295</v>
      </c>
      <c r="AH80" s="0" t="n">
        <v>5</v>
      </c>
      <c r="AJ80" s="0" t="n">
        <v>10</v>
      </c>
      <c r="AP80" s="0" t="n">
        <v>470000</v>
      </c>
      <c r="DB80" s="0" t="str">
        <f aca="false">IF($A80="","",IF($A80&lt;&gt;21,"対象外",IF($AE80&amp;""="00000000","在職",IF($AE80&amp;""=設定!$C$4,"4/1喪失","その他喪失"))))</f>
        <v>在職</v>
      </c>
    </row>
    <row r="81" customFormat="false" ht="15" hidden="false" customHeight="false" outlineLevel="0" collapsed="false">
      <c r="A81" s="0" t="n">
        <v>31</v>
      </c>
      <c r="AA81" s="0" t="n">
        <v>21</v>
      </c>
      <c r="AB81" s="0" t="s">
        <v>504</v>
      </c>
      <c r="AD81" s="0" t="n">
        <v>0</v>
      </c>
      <c r="AE81" s="0" t="s">
        <v>295</v>
      </c>
      <c r="AH81" s="0" t="n">
        <v>20</v>
      </c>
      <c r="AJ81" s="0" t="n">
        <v>41</v>
      </c>
      <c r="AP81" s="0" t="n">
        <v>170000</v>
      </c>
      <c r="DB81" s="0" t="str">
        <f aca="false">IF($A81="","",IF($A81&lt;&gt;21,"対象外",IF($AE81&amp;""="00000000","在職",IF($AE81&amp;""=設定!$C$4,"4/1喪失","その他喪失"))))</f>
        <v>対象外</v>
      </c>
    </row>
    <row r="82" customFormat="false" ht="15" hidden="false" customHeight="false" outlineLevel="0" collapsed="false">
      <c r="A82" s="0" t="n">
        <v>21</v>
      </c>
      <c r="AA82" s="0" t="n">
        <v>21</v>
      </c>
      <c r="AB82" s="0" t="s">
        <v>387</v>
      </c>
      <c r="AD82" s="0" t="n">
        <v>0</v>
      </c>
      <c r="AE82" s="0" t="s">
        <v>295</v>
      </c>
      <c r="AH82" s="0" t="n">
        <v>1</v>
      </c>
      <c r="AJ82" s="0" t="n">
        <v>10</v>
      </c>
      <c r="AP82" s="0" t="n">
        <v>340000</v>
      </c>
      <c r="DB82" s="0" t="str">
        <f aca="false">IF($A82="","",IF($A82&lt;&gt;21,"対象外",IF($AE82&amp;""="00000000","在職",IF($AE82&amp;""=設定!$C$4,"4/1喪失","その他喪失"))))</f>
        <v>在職</v>
      </c>
    </row>
    <row r="83" customFormat="false" ht="15" hidden="false" customHeight="false" outlineLevel="0" collapsed="false">
      <c r="A83" s="0" t="n">
        <v>21</v>
      </c>
      <c r="AA83" s="0" t="n">
        <v>21</v>
      </c>
      <c r="AB83" s="0" t="s">
        <v>443</v>
      </c>
      <c r="AD83" s="0" t="n">
        <v>0</v>
      </c>
      <c r="AE83" s="0" t="s">
        <v>295</v>
      </c>
      <c r="AH83" s="0" t="n">
        <v>11</v>
      </c>
      <c r="AJ83" s="0" t="n">
        <v>10</v>
      </c>
      <c r="AP83" s="0" t="n">
        <v>300000</v>
      </c>
      <c r="DB83" s="0" t="str">
        <f aca="false">IF($A83="","",IF($A83&lt;&gt;21,"対象外",IF($AE83&amp;""="00000000","在職",IF($AE83&amp;""=設定!$C$4,"4/1喪失","その他喪失"))))</f>
        <v>在職</v>
      </c>
    </row>
    <row r="84" customFormat="false" ht="15" hidden="false" customHeight="false" outlineLevel="0" collapsed="false">
      <c r="A84" s="0" t="n">
        <v>21</v>
      </c>
      <c r="AA84" s="0" t="n">
        <v>21</v>
      </c>
      <c r="AB84" s="0" t="s">
        <v>754</v>
      </c>
      <c r="AD84" s="0" t="n">
        <v>0</v>
      </c>
      <c r="AE84" s="0" t="s">
        <v>295</v>
      </c>
      <c r="AH84" s="0" t="n">
        <v>20</v>
      </c>
      <c r="AJ84" s="0" t="n">
        <v>10</v>
      </c>
      <c r="AP84" s="0" t="n">
        <v>380000</v>
      </c>
      <c r="DB84" s="0" t="str">
        <f aca="false">IF($A84="","",IF($A84&lt;&gt;21,"対象外",IF($AE84&amp;""="00000000","在職",IF($AE84&amp;""=設定!$C$4,"4/1喪失","その他喪失"))))</f>
        <v>在職</v>
      </c>
    </row>
    <row r="85" customFormat="false" ht="15" hidden="false" customHeight="false" outlineLevel="0" collapsed="false">
      <c r="A85" s="0" t="n">
        <v>21</v>
      </c>
      <c r="AA85" s="0" t="n">
        <v>21</v>
      </c>
      <c r="AB85" s="0" t="s">
        <v>387</v>
      </c>
      <c r="AD85" s="0" t="n">
        <v>0</v>
      </c>
      <c r="AE85" s="0" t="s">
        <v>295</v>
      </c>
      <c r="AH85" s="0" t="n">
        <v>1</v>
      </c>
      <c r="AJ85" s="0" t="n">
        <v>10</v>
      </c>
      <c r="AP85" s="0" t="n">
        <v>340000</v>
      </c>
      <c r="DB85" s="0" t="str">
        <f aca="false">IF($A85="","",IF($A85&lt;&gt;21,"対象外",IF($AE85&amp;""="00000000","在職",IF($AE85&amp;""=設定!$C$4,"4/1喪失","その他喪失"))))</f>
        <v>在職</v>
      </c>
    </row>
    <row r="86" customFormat="false" ht="15" hidden="false" customHeight="false" outlineLevel="0" collapsed="false">
      <c r="A86" s="0" t="n">
        <v>21</v>
      </c>
      <c r="AA86" s="0" t="n">
        <v>21</v>
      </c>
      <c r="AB86" s="0" t="s">
        <v>409</v>
      </c>
      <c r="AD86" s="0" t="n">
        <v>0</v>
      </c>
      <c r="AE86" s="0" t="s">
        <v>295</v>
      </c>
      <c r="AH86" s="0" t="n">
        <v>1</v>
      </c>
      <c r="AJ86" s="0" t="n">
        <v>10</v>
      </c>
      <c r="AP86" s="0" t="n">
        <v>380000</v>
      </c>
      <c r="DB86" s="0" t="str">
        <f aca="false">IF($A86="","",IF($A86&lt;&gt;21,"対象外",IF($AE86&amp;""="00000000","在職",IF($AE86&amp;""=設定!$C$4,"4/1喪失","その他喪失"))))</f>
        <v>在職</v>
      </c>
    </row>
    <row r="87" customFormat="false" ht="15" hidden="false" customHeight="false" outlineLevel="0" collapsed="false">
      <c r="A87" s="0" t="n">
        <v>31</v>
      </c>
      <c r="AA87" s="0" t="n">
        <v>21</v>
      </c>
      <c r="AB87" s="0" t="s">
        <v>496</v>
      </c>
      <c r="AD87" s="0" t="n">
        <v>0</v>
      </c>
      <c r="AE87" s="0" t="s">
        <v>295</v>
      </c>
      <c r="AH87" s="0" t="n">
        <v>11</v>
      </c>
      <c r="AJ87" s="0" t="n">
        <v>41</v>
      </c>
      <c r="AP87" s="0" t="n">
        <v>190000</v>
      </c>
      <c r="DB87" s="0" t="str">
        <f aca="false">IF($A87="","",IF($A87&lt;&gt;21,"対象外",IF($AE87&amp;""="00000000","在職",IF($AE87&amp;""=設定!$C$4,"4/1喪失","その他喪失"))))</f>
        <v>対象外</v>
      </c>
    </row>
    <row r="88" customFormat="false" ht="15" hidden="false" customHeight="false" outlineLevel="0" collapsed="false">
      <c r="A88" s="0" t="n">
        <v>21</v>
      </c>
      <c r="AA88" s="0" t="n">
        <v>21</v>
      </c>
      <c r="AB88" s="0" t="s">
        <v>409</v>
      </c>
      <c r="AD88" s="0" t="n">
        <v>0</v>
      </c>
      <c r="AE88" s="0" t="s">
        <v>295</v>
      </c>
      <c r="AH88" s="0" t="n">
        <v>1</v>
      </c>
      <c r="AJ88" s="0" t="n">
        <v>10</v>
      </c>
      <c r="AP88" s="0" t="n">
        <v>320000</v>
      </c>
      <c r="DB88" s="0" t="str">
        <f aca="false">IF($A88="","",IF($A88&lt;&gt;21,"対象外",IF($AE88&amp;""="00000000","在職",IF($AE88&amp;""=設定!$C$4,"4/1喪失","その他喪失"))))</f>
        <v>在職</v>
      </c>
    </row>
    <row r="89" customFormat="false" ht="15" hidden="false" customHeight="false" outlineLevel="0" collapsed="false">
      <c r="A89" s="0" t="n">
        <v>21</v>
      </c>
      <c r="AA89" s="0" t="n">
        <v>21</v>
      </c>
      <c r="AB89" s="0" t="s">
        <v>413</v>
      </c>
      <c r="AD89" s="0" t="n">
        <v>0</v>
      </c>
      <c r="AE89" s="0" t="s">
        <v>295</v>
      </c>
      <c r="AH89" s="0" t="n">
        <v>1</v>
      </c>
      <c r="AJ89" s="0" t="n">
        <v>10</v>
      </c>
      <c r="AP89" s="0" t="n">
        <v>360000</v>
      </c>
      <c r="DB89" s="0" t="str">
        <f aca="false">IF($A89="","",IF($A89&lt;&gt;21,"対象外",IF($AE89&amp;""="00000000","在職",IF($AE89&amp;""=設定!$C$4,"4/1喪失","その他喪失"))))</f>
        <v>在職</v>
      </c>
    </row>
    <row r="90" customFormat="false" ht="15" hidden="false" customHeight="false" outlineLevel="0" collapsed="false">
      <c r="A90" s="0" t="n">
        <v>21</v>
      </c>
      <c r="AA90" s="0" t="n">
        <v>21</v>
      </c>
      <c r="AB90" s="0" t="s">
        <v>755</v>
      </c>
      <c r="AD90" s="0" t="n">
        <v>0</v>
      </c>
      <c r="AE90" s="0" t="s">
        <v>295</v>
      </c>
      <c r="AH90" s="0" t="n">
        <v>1</v>
      </c>
      <c r="AJ90" s="0" t="n">
        <v>10</v>
      </c>
      <c r="AP90" s="0" t="n">
        <v>440000</v>
      </c>
      <c r="DB90" s="0" t="str">
        <f aca="false">IF($A90="","",IF($A90&lt;&gt;21,"対象外",IF($AE90&amp;""="00000000","在職",IF($AE90&amp;""=設定!$C$4,"4/1喪失","その他喪失"))))</f>
        <v>在職</v>
      </c>
    </row>
    <row r="91" customFormat="false" ht="15" hidden="false" customHeight="false" outlineLevel="0" collapsed="false">
      <c r="A91" s="0" t="n">
        <v>21</v>
      </c>
      <c r="AA91" s="0" t="n">
        <v>21</v>
      </c>
      <c r="AB91" s="0" t="s">
        <v>429</v>
      </c>
      <c r="AD91" s="0" t="n">
        <v>0</v>
      </c>
      <c r="AE91" s="0" t="s">
        <v>295</v>
      </c>
      <c r="AH91" s="0" t="n">
        <v>1</v>
      </c>
      <c r="AJ91" s="0" t="n">
        <v>10</v>
      </c>
      <c r="AP91" s="0" t="n">
        <v>410000</v>
      </c>
      <c r="DB91" s="0" t="str">
        <f aca="false">IF($A91="","",IF($A91&lt;&gt;21,"対象外",IF($AE91&amp;""="00000000","在職",IF($AE91&amp;""=設定!$C$4,"4/1喪失","その他喪失"))))</f>
        <v>在職</v>
      </c>
    </row>
    <row r="92" customFormat="false" ht="15" hidden="false" customHeight="false" outlineLevel="0" collapsed="false">
      <c r="A92" s="0" t="n">
        <v>21</v>
      </c>
      <c r="AA92" s="0" t="n">
        <v>21</v>
      </c>
      <c r="AB92" s="0" t="s">
        <v>391</v>
      </c>
      <c r="AD92" s="0" t="n">
        <v>0</v>
      </c>
      <c r="AE92" s="0" t="s">
        <v>295</v>
      </c>
      <c r="AH92" s="0" t="n">
        <v>5</v>
      </c>
      <c r="AJ92" s="0" t="n">
        <v>10</v>
      </c>
      <c r="AP92" s="0" t="n">
        <v>360000</v>
      </c>
      <c r="DB92" s="0" t="str">
        <f aca="false">IF($A92="","",IF($A92&lt;&gt;21,"対象外",IF($AE92&amp;""="00000000","在職",IF($AE92&amp;""=設定!$C$4,"4/1喪失","その他喪失"))))</f>
        <v>在職</v>
      </c>
    </row>
    <row r="93" customFormat="false" ht="15" hidden="false" customHeight="false" outlineLevel="0" collapsed="false">
      <c r="A93" s="0" t="n">
        <v>21</v>
      </c>
      <c r="AA93" s="0" t="n">
        <v>21</v>
      </c>
      <c r="AB93" s="0" t="s">
        <v>390</v>
      </c>
      <c r="AD93" s="0" t="n">
        <v>0</v>
      </c>
      <c r="AE93" s="0" t="s">
        <v>295</v>
      </c>
      <c r="AH93" s="0" t="n">
        <v>1</v>
      </c>
      <c r="AJ93" s="0" t="n">
        <v>10</v>
      </c>
      <c r="AP93" s="0" t="n">
        <v>380000</v>
      </c>
      <c r="DB93" s="0" t="str">
        <f aca="false">IF($A93="","",IF($A93&lt;&gt;21,"対象外",IF($AE93&amp;""="00000000","在職",IF($AE93&amp;""=設定!$C$4,"4/1喪失","その他喪失"))))</f>
        <v>在職</v>
      </c>
    </row>
    <row r="94" customFormat="false" ht="15" hidden="false" customHeight="false" outlineLevel="0" collapsed="false">
      <c r="A94" s="0" t="n">
        <v>21</v>
      </c>
      <c r="AA94" s="0" t="n">
        <v>21</v>
      </c>
      <c r="AB94" s="0" t="s">
        <v>413</v>
      </c>
      <c r="AD94" s="0" t="n">
        <v>0</v>
      </c>
      <c r="AE94" s="0" t="s">
        <v>295</v>
      </c>
      <c r="AH94" s="0" t="n">
        <v>3</v>
      </c>
      <c r="AJ94" s="0" t="n">
        <v>10</v>
      </c>
      <c r="AP94" s="0" t="n">
        <v>380000</v>
      </c>
      <c r="DB94" s="0" t="str">
        <f aca="false">IF($A94="","",IF($A94&lt;&gt;21,"対象外",IF($AE94&amp;""="00000000","在職",IF($AE94&amp;""=設定!$C$4,"4/1喪失","その他喪失"))))</f>
        <v>在職</v>
      </c>
    </row>
    <row r="95" customFormat="false" ht="15" hidden="false" customHeight="false" outlineLevel="0" collapsed="false">
      <c r="A95" s="0" t="n">
        <v>31</v>
      </c>
      <c r="AA95" s="0" t="n">
        <v>21</v>
      </c>
      <c r="AB95" s="0" t="s">
        <v>96</v>
      </c>
      <c r="AD95" s="0" t="n">
        <v>0</v>
      </c>
      <c r="AE95" s="0" t="s">
        <v>295</v>
      </c>
      <c r="AH95" s="0" t="n">
        <v>20</v>
      </c>
      <c r="AJ95" s="0" t="n">
        <v>41</v>
      </c>
      <c r="AP95" s="0" t="n">
        <v>300000</v>
      </c>
      <c r="DB95" s="0" t="str">
        <f aca="false">IF($A95="","",IF($A95&lt;&gt;21,"対象外",IF($AE95&amp;""="00000000","在職",IF($AE95&amp;""=設定!$C$4,"4/1喪失","その他喪失"))))</f>
        <v>対象外</v>
      </c>
    </row>
    <row r="96" customFormat="false" ht="15" hidden="false" customHeight="false" outlineLevel="0" collapsed="false">
      <c r="A96" s="0" t="n">
        <v>21</v>
      </c>
      <c r="AA96" s="0" t="n">
        <v>21</v>
      </c>
      <c r="AB96" s="0" t="s">
        <v>417</v>
      </c>
      <c r="AD96" s="0" t="n">
        <v>0</v>
      </c>
      <c r="AE96" s="0" t="s">
        <v>295</v>
      </c>
      <c r="AH96" s="0" t="n">
        <v>11</v>
      </c>
      <c r="AJ96" s="0" t="n">
        <v>10</v>
      </c>
      <c r="AP96" s="0" t="n">
        <v>320000</v>
      </c>
      <c r="DB96" s="0" t="str">
        <f aca="false">IF($A96="","",IF($A96&lt;&gt;21,"対象外",IF($AE96&amp;""="00000000","在職",IF($AE96&amp;""=設定!$C$4,"4/1喪失","その他喪失"))))</f>
        <v>在職</v>
      </c>
    </row>
    <row r="97" customFormat="false" ht="15" hidden="false" customHeight="false" outlineLevel="0" collapsed="false">
      <c r="A97" s="0" t="n">
        <v>21</v>
      </c>
      <c r="AA97" s="0" t="n">
        <v>21</v>
      </c>
      <c r="AB97" s="0" t="s">
        <v>409</v>
      </c>
      <c r="AD97" s="0" t="n">
        <v>0</v>
      </c>
      <c r="AE97" s="0" t="s">
        <v>295</v>
      </c>
      <c r="AH97" s="0" t="n">
        <v>1</v>
      </c>
      <c r="AJ97" s="0" t="n">
        <v>10</v>
      </c>
      <c r="AP97" s="0" t="n">
        <v>360000</v>
      </c>
      <c r="DB97" s="0" t="str">
        <f aca="false">IF($A97="","",IF($A97&lt;&gt;21,"対象外",IF($AE97&amp;""="00000000","在職",IF($AE97&amp;""=設定!$C$4,"4/1喪失","その他喪失"))))</f>
        <v>在職</v>
      </c>
    </row>
    <row r="98" customFormat="false" ht="15" hidden="false" customHeight="false" outlineLevel="0" collapsed="false">
      <c r="A98" s="0" t="n">
        <v>31</v>
      </c>
      <c r="AA98" s="0" t="n">
        <v>21</v>
      </c>
      <c r="AB98" s="0" t="s">
        <v>496</v>
      </c>
      <c r="AD98" s="0" t="n">
        <v>0</v>
      </c>
      <c r="AE98" s="0" t="s">
        <v>295</v>
      </c>
      <c r="AH98" s="0" t="n">
        <v>20</v>
      </c>
      <c r="AJ98" s="0" t="n">
        <v>41</v>
      </c>
      <c r="AP98" s="0" t="n">
        <v>260000</v>
      </c>
      <c r="DB98" s="0" t="str">
        <f aca="false">IF($A98="","",IF($A98&lt;&gt;21,"対象外",IF($AE98&amp;""="00000000","在職",IF($AE98&amp;""=設定!$C$4,"4/1喪失","その他喪失"))))</f>
        <v>対象外</v>
      </c>
    </row>
    <row r="99" customFormat="false" ht="15" hidden="false" customHeight="false" outlineLevel="0" collapsed="false">
      <c r="A99" s="0" t="n">
        <v>31</v>
      </c>
      <c r="AA99" s="0" t="n">
        <v>21</v>
      </c>
      <c r="AB99" s="0" t="s">
        <v>96</v>
      </c>
      <c r="AD99" s="0" t="n">
        <v>0</v>
      </c>
      <c r="AE99" s="0" t="s">
        <v>295</v>
      </c>
      <c r="AH99" s="0" t="n">
        <v>11</v>
      </c>
      <c r="AJ99" s="0" t="n">
        <v>41</v>
      </c>
      <c r="AP99" s="0" t="n">
        <v>200000</v>
      </c>
      <c r="DB99" s="0" t="str">
        <f aca="false">IF($A99="","",IF($A99&lt;&gt;21,"対象外",IF($AE99&amp;""="00000000","在職",IF($AE99&amp;""=設定!$C$4,"4/1喪失","その他喪失"))))</f>
        <v>対象外</v>
      </c>
    </row>
    <row r="100" customFormat="false" ht="15" hidden="false" customHeight="false" outlineLevel="0" collapsed="false">
      <c r="A100" s="0" t="n">
        <v>21</v>
      </c>
      <c r="AA100" s="0" t="n">
        <v>21</v>
      </c>
      <c r="AB100" s="0" t="s">
        <v>390</v>
      </c>
      <c r="AD100" s="0" t="n">
        <v>0</v>
      </c>
      <c r="AE100" s="0" t="s">
        <v>295</v>
      </c>
      <c r="AH100" s="0" t="n">
        <v>4</v>
      </c>
      <c r="AJ100" s="0" t="n">
        <v>10</v>
      </c>
      <c r="AP100" s="0" t="n">
        <v>360000</v>
      </c>
      <c r="DB100" s="0" t="str">
        <f aca="false">IF($A100="","",IF($A100&lt;&gt;21,"対象外",IF($AE100&amp;""="00000000","在職",IF($AE100&amp;""=設定!$C$4,"4/1喪失","その他喪失"))))</f>
        <v>在職</v>
      </c>
    </row>
    <row r="101" customFormat="false" ht="15" hidden="false" customHeight="false" outlineLevel="0" collapsed="false">
      <c r="A101" s="0" t="n">
        <v>21</v>
      </c>
      <c r="AA101" s="0" t="n">
        <v>21</v>
      </c>
      <c r="AB101" s="0" t="s">
        <v>387</v>
      </c>
      <c r="AD101" s="0" t="n">
        <v>0</v>
      </c>
      <c r="AE101" s="0" t="s">
        <v>295</v>
      </c>
      <c r="AH101" s="0" t="n">
        <v>1</v>
      </c>
      <c r="AJ101" s="0" t="n">
        <v>10</v>
      </c>
      <c r="AP101" s="0" t="n">
        <v>410000</v>
      </c>
      <c r="DB101" s="0" t="str">
        <f aca="false">IF($A101="","",IF($A101&lt;&gt;21,"対象外",IF($AE101&amp;""="00000000","在職",IF($AE101&amp;""=設定!$C$4,"4/1喪失","その他喪失"))))</f>
        <v>在職</v>
      </c>
    </row>
    <row r="102" customFormat="false" ht="15" hidden="false" customHeight="false" outlineLevel="0" collapsed="false">
      <c r="A102" s="0" t="n">
        <v>21</v>
      </c>
      <c r="AA102" s="0" t="n">
        <v>21</v>
      </c>
      <c r="AB102" s="0" t="s">
        <v>409</v>
      </c>
      <c r="AD102" s="0" t="n">
        <v>0</v>
      </c>
      <c r="AE102" s="0" t="s">
        <v>295</v>
      </c>
      <c r="AH102" s="0" t="n">
        <v>1</v>
      </c>
      <c r="AJ102" s="0" t="n">
        <v>10</v>
      </c>
      <c r="AP102" s="0" t="n">
        <v>440000</v>
      </c>
      <c r="DB102" s="0" t="str">
        <f aca="false">IF($A102="","",IF($A102&lt;&gt;21,"対象外",IF($AE102&amp;""="00000000","在職",IF($AE102&amp;""=設定!$C$4,"4/1喪失","その他喪失"))))</f>
        <v>在職</v>
      </c>
    </row>
    <row r="103" customFormat="false" ht="15" hidden="false" customHeight="false" outlineLevel="0" collapsed="false">
      <c r="A103" s="0" t="n">
        <v>31</v>
      </c>
      <c r="AA103" s="0" t="n">
        <v>21</v>
      </c>
      <c r="AB103" s="0" t="s">
        <v>96</v>
      </c>
      <c r="AD103" s="0" t="n">
        <v>0</v>
      </c>
      <c r="AE103" s="0" t="s">
        <v>295</v>
      </c>
      <c r="AH103" s="0" t="n">
        <v>1</v>
      </c>
      <c r="AJ103" s="0" t="n">
        <v>41</v>
      </c>
      <c r="AP103" s="0" t="n">
        <v>220000</v>
      </c>
      <c r="DB103" s="0" t="str">
        <f aca="false">IF($A103="","",IF($A103&lt;&gt;21,"対象外",IF($AE103&amp;""="00000000","在職",IF($AE103&amp;""=設定!$C$4,"4/1喪失","その他喪失"))))</f>
        <v>対象外</v>
      </c>
    </row>
    <row r="104" customFormat="false" ht="15" hidden="false" customHeight="false" outlineLevel="0" collapsed="false">
      <c r="A104" s="0" t="n">
        <v>215</v>
      </c>
      <c r="AA104" s="0" t="n">
        <v>21</v>
      </c>
      <c r="AB104" s="0" t="s">
        <v>96</v>
      </c>
      <c r="AD104" s="0" t="n">
        <v>0</v>
      </c>
      <c r="AE104" s="0" t="s">
        <v>295</v>
      </c>
      <c r="AH104" s="0" t="n">
        <v>20</v>
      </c>
      <c r="AJ104" s="0" t="n">
        <v>11</v>
      </c>
      <c r="AP104" s="0" t="n">
        <v>620000</v>
      </c>
      <c r="DB104" s="0" t="str">
        <f aca="false">IF($A104="","",IF($A104&lt;&gt;21,"対象外",IF($AE104&amp;""="00000000","在職",IF($AE104&amp;""=設定!$C$4,"4/1喪失","その他喪失"))))</f>
        <v>対象外</v>
      </c>
    </row>
    <row r="105" customFormat="false" ht="15" hidden="false" customHeight="false" outlineLevel="0" collapsed="false">
      <c r="A105" s="0" t="n">
        <v>21</v>
      </c>
      <c r="AA105" s="0" t="n">
        <v>21</v>
      </c>
      <c r="AB105" s="0" t="s">
        <v>387</v>
      </c>
      <c r="AD105" s="0" t="n">
        <v>0</v>
      </c>
      <c r="AE105" s="0" t="s">
        <v>295</v>
      </c>
      <c r="AH105" s="0" t="n">
        <v>1</v>
      </c>
      <c r="AJ105" s="0" t="n">
        <v>10</v>
      </c>
      <c r="AP105" s="0" t="n">
        <v>360000</v>
      </c>
      <c r="DB105" s="0" t="str">
        <f aca="false">IF($A105="","",IF($A105&lt;&gt;21,"対象外",IF($AE105&amp;""="00000000","在職",IF($AE105&amp;""=設定!$C$4,"4/1喪失","その他喪失"))))</f>
        <v>在職</v>
      </c>
    </row>
    <row r="106" customFormat="false" ht="15" hidden="false" customHeight="false" outlineLevel="0" collapsed="false">
      <c r="A106" s="0" t="n">
        <v>21</v>
      </c>
      <c r="AA106" s="0" t="n">
        <v>21</v>
      </c>
      <c r="AB106" s="0" t="s">
        <v>387</v>
      </c>
      <c r="AD106" s="0" t="n">
        <v>0</v>
      </c>
      <c r="AE106" s="0" t="s">
        <v>295</v>
      </c>
      <c r="AH106" s="0" t="n">
        <v>1</v>
      </c>
      <c r="AJ106" s="0" t="n">
        <v>10</v>
      </c>
      <c r="AP106" s="0" t="n">
        <v>340000</v>
      </c>
      <c r="DB106" s="0" t="str">
        <f aca="false">IF($A106="","",IF($A106&lt;&gt;21,"対象外",IF($AE106&amp;""="00000000","在職",IF($AE106&amp;""=設定!$C$4,"4/1喪失","その他喪失"))))</f>
        <v>在職</v>
      </c>
    </row>
    <row r="107" customFormat="false" ht="15" hidden="false" customHeight="false" outlineLevel="0" collapsed="false">
      <c r="A107" s="0" t="n">
        <v>21</v>
      </c>
      <c r="AA107" s="0" t="n">
        <v>21</v>
      </c>
      <c r="AB107" s="0" t="s">
        <v>415</v>
      </c>
      <c r="AD107" s="0" t="n">
        <v>0</v>
      </c>
      <c r="AE107" s="0" t="s">
        <v>295</v>
      </c>
      <c r="AH107" s="0" t="n">
        <v>3</v>
      </c>
      <c r="AJ107" s="0" t="n">
        <v>10</v>
      </c>
      <c r="AP107" s="0" t="n">
        <v>410000</v>
      </c>
      <c r="DB107" s="0" t="str">
        <f aca="false">IF($A107="","",IF($A107&lt;&gt;21,"対象外",IF($AE107&amp;""="00000000","在職",IF($AE107&amp;""=設定!$C$4,"4/1喪失","その他喪失"))))</f>
        <v>在職</v>
      </c>
    </row>
    <row r="108" customFormat="false" ht="15" hidden="false" customHeight="false" outlineLevel="0" collapsed="false">
      <c r="A108" s="0" t="n">
        <v>21</v>
      </c>
      <c r="AA108" s="0" t="n">
        <v>21</v>
      </c>
      <c r="AB108" s="0" t="s">
        <v>415</v>
      </c>
      <c r="AD108" s="0" t="n">
        <v>0</v>
      </c>
      <c r="AE108" s="0" t="s">
        <v>295</v>
      </c>
      <c r="AH108" s="0" t="n">
        <v>48</v>
      </c>
      <c r="AJ108" s="0" t="n">
        <v>74</v>
      </c>
      <c r="AP108" s="0" t="n">
        <v>340000</v>
      </c>
      <c r="DB108" s="0" t="str">
        <f aca="false">IF($A108="","",IF($A108&lt;&gt;21,"対象外",IF($AE108&amp;""="00000000","在職",IF($AE108&amp;""=設定!$C$4,"4/1喪失","その他喪失"))))</f>
        <v>在職</v>
      </c>
    </row>
    <row r="109" customFormat="false" ht="15" hidden="false" customHeight="false" outlineLevel="0" collapsed="false">
      <c r="A109" s="0" t="n">
        <v>31</v>
      </c>
      <c r="AA109" s="0" t="n">
        <v>21</v>
      </c>
      <c r="AB109" s="0" t="s">
        <v>96</v>
      </c>
      <c r="AD109" s="0" t="n">
        <v>0</v>
      </c>
      <c r="AE109" s="0" t="s">
        <v>295</v>
      </c>
      <c r="AH109" s="0" t="n">
        <v>1</v>
      </c>
      <c r="AJ109" s="0" t="n">
        <v>41</v>
      </c>
      <c r="AP109" s="0" t="n">
        <v>220000</v>
      </c>
      <c r="DB109" s="0" t="str">
        <f aca="false">IF($A109="","",IF($A109&lt;&gt;21,"対象外",IF($AE109&amp;""="00000000","在職",IF($AE109&amp;""=設定!$C$4,"4/1喪失","その他喪失"))))</f>
        <v>対象外</v>
      </c>
    </row>
    <row r="110" customFormat="false" ht="15" hidden="false" customHeight="false" outlineLevel="0" collapsed="false">
      <c r="A110" s="0" t="n">
        <v>31</v>
      </c>
      <c r="AA110" s="0" t="n">
        <v>21</v>
      </c>
      <c r="AB110" s="0" t="s">
        <v>496</v>
      </c>
      <c r="AD110" s="0" t="n">
        <v>0</v>
      </c>
      <c r="AE110" s="0" t="s">
        <v>295</v>
      </c>
      <c r="AH110" s="0" t="n">
        <v>11</v>
      </c>
      <c r="AJ110" s="0" t="n">
        <v>41</v>
      </c>
      <c r="AP110" s="0" t="n">
        <v>180000</v>
      </c>
      <c r="DB110" s="0" t="str">
        <f aca="false">IF($A110="","",IF($A110&lt;&gt;21,"対象外",IF($AE110&amp;""="00000000","在職",IF($AE110&amp;""=設定!$C$4,"4/1喪失","その他喪失"))))</f>
        <v>対象外</v>
      </c>
    </row>
    <row r="111" customFormat="false" ht="15" hidden="false" customHeight="false" outlineLevel="0" collapsed="false">
      <c r="A111" s="0" t="n">
        <v>21</v>
      </c>
      <c r="AA111" s="0" t="n">
        <v>24</v>
      </c>
      <c r="AB111" s="0" t="s">
        <v>294</v>
      </c>
      <c r="AD111" s="0" t="n">
        <v>0</v>
      </c>
      <c r="AE111" s="0" t="s">
        <v>295</v>
      </c>
      <c r="AH111" s="0" t="n">
        <v>1</v>
      </c>
      <c r="AJ111" s="0" t="n">
        <v>11</v>
      </c>
      <c r="AP111" s="0" t="n">
        <v>1090000</v>
      </c>
      <c r="DB111" s="0" t="str">
        <f aca="false">IF($A111="","",IF($A111&lt;&gt;21,"対象外",IF($AE111&amp;""="00000000","在職",IF($AE111&amp;""=設定!$C$4,"4/1喪失","その他喪失"))))</f>
        <v>在職</v>
      </c>
    </row>
    <row r="112" customFormat="false" ht="15" hidden="false" customHeight="false" outlineLevel="0" collapsed="false">
      <c r="A112" s="0" t="n">
        <v>21</v>
      </c>
      <c r="AA112" s="0" t="n">
        <v>21</v>
      </c>
      <c r="AB112" s="0" t="s">
        <v>388</v>
      </c>
      <c r="AD112" s="0" t="n">
        <v>0</v>
      </c>
      <c r="AE112" s="0" t="s">
        <v>295</v>
      </c>
      <c r="AH112" s="0" t="n">
        <v>39</v>
      </c>
      <c r="AJ112" s="0" t="n">
        <v>74</v>
      </c>
      <c r="AP112" s="0" t="n">
        <v>360000</v>
      </c>
      <c r="DB112" s="0" t="str">
        <f aca="false">IF($A112="","",IF($A112&lt;&gt;21,"対象外",IF($AE112&amp;""="00000000","在職",IF($AE112&amp;""=設定!$C$4,"4/1喪失","その他喪失"))))</f>
        <v>在職</v>
      </c>
    </row>
    <row r="113" customFormat="false" ht="15" hidden="false" customHeight="false" outlineLevel="0" collapsed="false">
      <c r="A113" s="0" t="n">
        <v>31</v>
      </c>
      <c r="AA113" s="0" t="n">
        <v>21</v>
      </c>
      <c r="AB113" s="0" t="s">
        <v>96</v>
      </c>
      <c r="AD113" s="0" t="n">
        <v>0</v>
      </c>
      <c r="AE113" s="0" t="s">
        <v>295</v>
      </c>
      <c r="AH113" s="0" t="n">
        <v>4</v>
      </c>
      <c r="AJ113" s="0" t="n">
        <v>41</v>
      </c>
      <c r="AP113" s="0" t="n">
        <v>240000</v>
      </c>
      <c r="DB113" s="0" t="str">
        <f aca="false">IF($A113="","",IF($A113&lt;&gt;21,"対象外",IF($AE113&amp;""="00000000","在職",IF($AE113&amp;""=設定!$C$4,"4/1喪失","その他喪失"))))</f>
        <v>対象外</v>
      </c>
    </row>
    <row r="114" customFormat="false" ht="15" hidden="false" customHeight="false" outlineLevel="0" collapsed="false">
      <c r="A114" s="0" t="n">
        <v>21</v>
      </c>
      <c r="AA114" s="0" t="n">
        <v>21</v>
      </c>
      <c r="AB114" s="0" t="s">
        <v>415</v>
      </c>
      <c r="AD114" s="0" t="n">
        <v>0</v>
      </c>
      <c r="AE114" s="0" t="s">
        <v>295</v>
      </c>
      <c r="AH114" s="0" t="n">
        <v>1</v>
      </c>
      <c r="AJ114" s="0" t="n">
        <v>10</v>
      </c>
      <c r="AP114" s="0" t="n">
        <v>340000</v>
      </c>
      <c r="DB114" s="0" t="str">
        <f aca="false">IF($A114="","",IF($A114&lt;&gt;21,"対象外",IF($AE114&amp;""="00000000","在職",IF($AE114&amp;""=設定!$C$4,"4/1喪失","その他喪失"))))</f>
        <v>在職</v>
      </c>
    </row>
    <row r="115" customFormat="false" ht="15" hidden="false" customHeight="false" outlineLevel="0" collapsed="false">
      <c r="A115" s="0" t="n">
        <v>31</v>
      </c>
      <c r="AA115" s="0" t="n">
        <v>21</v>
      </c>
      <c r="AB115" s="0" t="s">
        <v>496</v>
      </c>
      <c r="AD115" s="0" t="n">
        <v>0</v>
      </c>
      <c r="AE115" s="0" t="s">
        <v>295</v>
      </c>
      <c r="AH115" s="0" t="n">
        <v>20</v>
      </c>
      <c r="AJ115" s="0" t="n">
        <v>41</v>
      </c>
      <c r="AP115" s="0" t="n">
        <v>260000</v>
      </c>
      <c r="DB115" s="0" t="str">
        <f aca="false">IF($A115="","",IF($A115&lt;&gt;21,"対象外",IF($AE115&amp;""="00000000","在職",IF($AE115&amp;""=設定!$C$4,"4/1喪失","その他喪失"))))</f>
        <v>対象外</v>
      </c>
    </row>
    <row r="116" customFormat="false" ht="15" hidden="false" customHeight="false" outlineLevel="0" collapsed="false">
      <c r="A116" s="0" t="n">
        <v>21</v>
      </c>
      <c r="AA116" s="0" t="n">
        <v>21</v>
      </c>
      <c r="AB116" s="0" t="s">
        <v>387</v>
      </c>
      <c r="AD116" s="0" t="n">
        <v>0</v>
      </c>
      <c r="AE116" s="0" t="s">
        <v>295</v>
      </c>
      <c r="AH116" s="0" t="n">
        <v>1</v>
      </c>
      <c r="AJ116" s="0" t="n">
        <v>10</v>
      </c>
      <c r="AP116" s="0" t="n">
        <v>380000</v>
      </c>
      <c r="DB116" s="0" t="str">
        <f aca="false">IF($A116="","",IF($A116&lt;&gt;21,"対象外",IF($AE116&amp;""="00000000","在職",IF($AE116&amp;""=設定!$C$4,"4/1喪失","その他喪失"))))</f>
        <v>在職</v>
      </c>
    </row>
    <row r="117" customFormat="false" ht="15" hidden="false" customHeight="false" outlineLevel="0" collapsed="false">
      <c r="A117" s="0" t="n">
        <v>21</v>
      </c>
      <c r="AA117" s="0" t="n">
        <v>21</v>
      </c>
      <c r="AB117" s="0" t="s">
        <v>390</v>
      </c>
      <c r="AD117" s="0" t="n">
        <v>0</v>
      </c>
      <c r="AE117" s="0" t="s">
        <v>295</v>
      </c>
      <c r="AH117" s="0" t="n">
        <v>1</v>
      </c>
      <c r="AJ117" s="0" t="n">
        <v>10</v>
      </c>
      <c r="AP117" s="0" t="n">
        <v>360000</v>
      </c>
      <c r="DB117" s="0" t="str">
        <f aca="false">IF($A117="","",IF($A117&lt;&gt;21,"対象外",IF($AE117&amp;""="00000000","在職",IF($AE117&amp;""=設定!$C$4,"4/1喪失","その他喪失"))))</f>
        <v>在職</v>
      </c>
    </row>
    <row r="118" customFormat="false" ht="15" hidden="false" customHeight="false" outlineLevel="0" collapsed="false">
      <c r="A118" s="0" t="n">
        <v>21</v>
      </c>
      <c r="AA118" s="0" t="n">
        <v>21</v>
      </c>
      <c r="AB118" s="0" t="s">
        <v>390</v>
      </c>
      <c r="AD118" s="0" t="n">
        <v>0</v>
      </c>
      <c r="AE118" s="0" t="s">
        <v>295</v>
      </c>
      <c r="AH118" s="0" t="n">
        <v>4</v>
      </c>
      <c r="AJ118" s="0" t="n">
        <v>10</v>
      </c>
      <c r="AP118" s="0" t="n">
        <v>380000</v>
      </c>
      <c r="DB118" s="0" t="str">
        <f aca="false">IF($A118="","",IF($A118&lt;&gt;21,"対象外",IF($AE118&amp;""="00000000","在職",IF($AE118&amp;""=設定!$C$4,"4/1喪失","その他喪失"))))</f>
        <v>在職</v>
      </c>
    </row>
    <row r="119" customFormat="false" ht="15" hidden="false" customHeight="false" outlineLevel="0" collapsed="false">
      <c r="A119" s="0" t="n">
        <v>21</v>
      </c>
      <c r="AA119" s="0" t="n">
        <v>21</v>
      </c>
      <c r="AB119" s="0" t="s">
        <v>436</v>
      </c>
      <c r="AD119" s="0" t="n">
        <v>0</v>
      </c>
      <c r="AE119" s="0" t="s">
        <v>295</v>
      </c>
      <c r="AH119" s="0" t="n">
        <v>11</v>
      </c>
      <c r="AJ119" s="0" t="n">
        <v>10</v>
      </c>
      <c r="AP119" s="0" t="n">
        <v>320000</v>
      </c>
      <c r="DB119" s="0" t="str">
        <f aca="false">IF($A119="","",IF($A119&lt;&gt;21,"対象外",IF($AE119&amp;""="00000000","在職",IF($AE119&amp;""=設定!$C$4,"4/1喪失","その他喪失"))))</f>
        <v>在職</v>
      </c>
    </row>
    <row r="120" customFormat="false" ht="15" hidden="false" customHeight="false" outlineLevel="0" collapsed="false">
      <c r="A120" s="0" t="n">
        <v>21</v>
      </c>
      <c r="AA120" s="0" t="n">
        <v>21</v>
      </c>
      <c r="AB120" s="0" t="s">
        <v>417</v>
      </c>
      <c r="AD120" s="0" t="n">
        <v>0</v>
      </c>
      <c r="AE120" s="0" t="s">
        <v>295</v>
      </c>
      <c r="AH120" s="0" t="n">
        <v>1</v>
      </c>
      <c r="AJ120" s="0" t="n">
        <v>10</v>
      </c>
      <c r="AP120" s="0" t="n">
        <v>410000</v>
      </c>
      <c r="DB120" s="0" t="str">
        <f aca="false">IF($A120="","",IF($A120&lt;&gt;21,"対象外",IF($AE120&amp;""="00000000","在職",IF($AE120&amp;""=設定!$C$4,"4/1喪失","その他喪失"))))</f>
        <v>在職</v>
      </c>
    </row>
    <row r="121" customFormat="false" ht="15" hidden="false" customHeight="false" outlineLevel="0" collapsed="false">
      <c r="A121" s="0" t="n">
        <v>31</v>
      </c>
      <c r="AA121" s="0" t="n">
        <v>21</v>
      </c>
      <c r="AB121" s="0" t="s">
        <v>96</v>
      </c>
      <c r="AD121" s="0" t="n">
        <v>0</v>
      </c>
      <c r="AE121" s="0" t="s">
        <v>295</v>
      </c>
      <c r="AH121" s="0" t="n">
        <v>3</v>
      </c>
      <c r="AJ121" s="0" t="n">
        <v>41</v>
      </c>
      <c r="AP121" s="0" t="n">
        <v>240000</v>
      </c>
      <c r="DB121" s="0" t="str">
        <f aca="false">IF($A121="","",IF($A121&lt;&gt;21,"対象外",IF($AE121&amp;""="00000000","在職",IF($AE121&amp;""=設定!$C$4,"4/1喪失","その他喪失"))))</f>
        <v>対象外</v>
      </c>
    </row>
    <row r="122" customFormat="false" ht="15" hidden="false" customHeight="false" outlineLevel="0" collapsed="false">
      <c r="A122" s="0" t="n">
        <v>21</v>
      </c>
      <c r="AA122" s="0" t="n">
        <v>21</v>
      </c>
      <c r="AB122" s="0" t="s">
        <v>429</v>
      </c>
      <c r="AD122" s="0" t="n">
        <v>0</v>
      </c>
      <c r="AE122" s="0" t="s">
        <v>295</v>
      </c>
      <c r="AH122" s="0" t="n">
        <v>1</v>
      </c>
      <c r="AJ122" s="0" t="n">
        <v>10</v>
      </c>
      <c r="AP122" s="0" t="n">
        <v>320000</v>
      </c>
      <c r="DB122" s="0" t="str">
        <f aca="false">IF($A122="","",IF($A122&lt;&gt;21,"対象外",IF($AE122&amp;""="00000000","在職",IF($AE122&amp;""=設定!$C$4,"4/1喪失","その他喪失"))))</f>
        <v>在職</v>
      </c>
    </row>
    <row r="123" customFormat="false" ht="15" hidden="false" customHeight="false" outlineLevel="0" collapsed="false">
      <c r="A123" s="0" t="n">
        <v>21</v>
      </c>
      <c r="AA123" s="0" t="n">
        <v>21</v>
      </c>
      <c r="AB123" s="0" t="s">
        <v>613</v>
      </c>
      <c r="AD123" s="0" t="n">
        <v>0</v>
      </c>
      <c r="AE123" s="0" t="s">
        <v>295</v>
      </c>
      <c r="AH123" s="0" t="n">
        <v>20</v>
      </c>
      <c r="AJ123" s="0" t="n">
        <v>10</v>
      </c>
      <c r="AP123" s="0" t="n">
        <v>410000</v>
      </c>
      <c r="DB123" s="0" t="str">
        <f aca="false">IF($A123="","",IF($A123&lt;&gt;21,"対象外",IF($AE123&amp;""="00000000","在職",IF($AE123&amp;""=設定!$C$4,"4/1喪失","その他喪失"))))</f>
        <v>在職</v>
      </c>
    </row>
    <row r="124" customFormat="false" ht="15" hidden="false" customHeight="false" outlineLevel="0" collapsed="false">
      <c r="A124" s="0" t="n">
        <v>21</v>
      </c>
      <c r="AA124" s="0" t="n">
        <v>21</v>
      </c>
      <c r="AB124" s="0" t="s">
        <v>390</v>
      </c>
      <c r="AD124" s="0" t="n">
        <v>0</v>
      </c>
      <c r="AE124" s="0" t="s">
        <v>295</v>
      </c>
      <c r="AH124" s="0" t="n">
        <v>4</v>
      </c>
      <c r="AJ124" s="0" t="n">
        <v>10</v>
      </c>
      <c r="AP124" s="0" t="n">
        <v>380000</v>
      </c>
      <c r="DB124" s="0" t="str">
        <f aca="false">IF($A124="","",IF($A124&lt;&gt;21,"対象外",IF($AE124&amp;""="00000000","在職",IF($AE124&amp;""=設定!$C$4,"4/1喪失","その他喪失"))))</f>
        <v>在職</v>
      </c>
    </row>
    <row r="125" customFormat="false" ht="15" hidden="false" customHeight="false" outlineLevel="0" collapsed="false">
      <c r="A125" s="0" t="n">
        <v>21</v>
      </c>
      <c r="AA125" s="0" t="n">
        <v>21</v>
      </c>
      <c r="AB125" s="0" t="s">
        <v>409</v>
      </c>
      <c r="AD125" s="0" t="n">
        <v>0</v>
      </c>
      <c r="AE125" s="0" t="s">
        <v>295</v>
      </c>
      <c r="AH125" s="0" t="n">
        <v>1</v>
      </c>
      <c r="AJ125" s="0" t="n">
        <v>10</v>
      </c>
      <c r="AP125" s="0" t="n">
        <v>340000</v>
      </c>
      <c r="DB125" s="0" t="str">
        <f aca="false">IF($A125="","",IF($A125&lt;&gt;21,"対象外",IF($AE125&amp;""="00000000","在職",IF($AE125&amp;""=設定!$C$4,"4/1喪失","その他喪失"))))</f>
        <v>在職</v>
      </c>
    </row>
    <row r="126" customFormat="false" ht="15" hidden="false" customHeight="false" outlineLevel="0" collapsed="false">
      <c r="A126" s="0" t="n">
        <v>21</v>
      </c>
      <c r="AA126" s="0" t="n">
        <v>21</v>
      </c>
      <c r="AB126" s="0" t="s">
        <v>409</v>
      </c>
      <c r="AD126" s="0" t="n">
        <v>0</v>
      </c>
      <c r="AE126" s="0" t="s">
        <v>295</v>
      </c>
      <c r="AH126" s="0" t="n">
        <v>1</v>
      </c>
      <c r="AJ126" s="0" t="n">
        <v>10</v>
      </c>
      <c r="AP126" s="0" t="n">
        <v>380000</v>
      </c>
      <c r="DB126" s="0" t="str">
        <f aca="false">IF($A126="","",IF($A126&lt;&gt;21,"対象外",IF($AE126&amp;""="00000000","在職",IF($AE126&amp;""=設定!$C$4,"4/1喪失","その他喪失"))))</f>
        <v>在職</v>
      </c>
    </row>
    <row r="127" customFormat="false" ht="15" hidden="false" customHeight="false" outlineLevel="0" collapsed="false">
      <c r="A127" s="0" t="n">
        <v>21</v>
      </c>
      <c r="AA127" s="0" t="n">
        <v>21</v>
      </c>
      <c r="AB127" s="0" t="s">
        <v>427</v>
      </c>
      <c r="AD127" s="0" t="n">
        <v>0</v>
      </c>
      <c r="AE127" s="0" t="s">
        <v>295</v>
      </c>
      <c r="AH127" s="0" t="n">
        <v>1</v>
      </c>
      <c r="AJ127" s="0" t="n">
        <v>10</v>
      </c>
      <c r="AP127" s="0" t="n">
        <v>410000</v>
      </c>
      <c r="DB127" s="0" t="str">
        <f aca="false">IF($A127="","",IF($A127&lt;&gt;21,"対象外",IF($AE127&amp;""="00000000","在職",IF($AE127&amp;""=設定!$C$4,"4/1喪失","その他喪失"))))</f>
        <v>在職</v>
      </c>
    </row>
    <row r="128" customFormat="false" ht="15" hidden="false" customHeight="false" outlineLevel="0" collapsed="false">
      <c r="A128" s="0" t="n">
        <v>21</v>
      </c>
      <c r="AA128" s="0" t="n">
        <v>21</v>
      </c>
      <c r="AB128" s="0" t="s">
        <v>409</v>
      </c>
      <c r="AD128" s="0" t="n">
        <v>0</v>
      </c>
      <c r="AE128" s="0" t="s">
        <v>295</v>
      </c>
      <c r="AH128" s="0" t="n">
        <v>1</v>
      </c>
      <c r="AJ128" s="0" t="n">
        <v>10</v>
      </c>
      <c r="AP128" s="0" t="n">
        <v>360000</v>
      </c>
      <c r="DB128" s="0" t="str">
        <f aca="false">IF($A128="","",IF($A128&lt;&gt;21,"対象外",IF($AE128&amp;""="00000000","在職",IF($AE128&amp;""=設定!$C$4,"4/1喪失","その他喪失"))))</f>
        <v>在職</v>
      </c>
    </row>
    <row r="129" customFormat="false" ht="15" hidden="false" customHeight="false" outlineLevel="0" collapsed="false">
      <c r="A129" s="0" t="n">
        <v>21</v>
      </c>
      <c r="AA129" s="0" t="n">
        <v>21</v>
      </c>
      <c r="AB129" s="0" t="s">
        <v>446</v>
      </c>
      <c r="AD129" s="0" t="n">
        <v>0</v>
      </c>
      <c r="AE129" s="0" t="s">
        <v>295</v>
      </c>
      <c r="AH129" s="0" t="n">
        <v>11</v>
      </c>
      <c r="AJ129" s="0" t="n">
        <v>10</v>
      </c>
      <c r="AP129" s="0" t="n">
        <v>300000</v>
      </c>
      <c r="DB129" s="0" t="str">
        <f aca="false">IF($A129="","",IF($A129&lt;&gt;21,"対象外",IF($AE129&amp;""="00000000","在職",IF($AE129&amp;""=設定!$C$4,"4/1喪失","その他喪失"))))</f>
        <v>在職</v>
      </c>
    </row>
    <row r="130" customFormat="false" ht="15" hidden="false" customHeight="false" outlineLevel="0" collapsed="false">
      <c r="A130" s="0" t="n">
        <v>21</v>
      </c>
      <c r="AA130" s="0" t="n">
        <v>21</v>
      </c>
      <c r="AB130" s="0" t="s">
        <v>456</v>
      </c>
      <c r="AD130" s="0" t="n">
        <v>0</v>
      </c>
      <c r="AE130" s="0" t="s">
        <v>295</v>
      </c>
      <c r="AH130" s="0" t="n">
        <v>5</v>
      </c>
      <c r="AJ130" s="0" t="n">
        <v>30</v>
      </c>
      <c r="AP130" s="0" t="n">
        <v>320000</v>
      </c>
      <c r="DB130" s="0" t="str">
        <f aca="false">IF($A130="","",IF($A130&lt;&gt;21,"対象外",IF($AE130&amp;""="00000000","在職",IF($AE130&amp;""=設定!$C$4,"4/1喪失","その他喪失"))))</f>
        <v>在職</v>
      </c>
    </row>
    <row r="131" customFormat="false" ht="15" hidden="false" customHeight="false" outlineLevel="0" collapsed="false">
      <c r="A131" s="0" t="n">
        <v>21</v>
      </c>
      <c r="AA131" s="0" t="n">
        <v>21</v>
      </c>
      <c r="AB131" s="0" t="s">
        <v>413</v>
      </c>
      <c r="AD131" s="0" t="n">
        <v>0</v>
      </c>
      <c r="AE131" s="0" t="s">
        <v>295</v>
      </c>
      <c r="AH131" s="0" t="n">
        <v>1</v>
      </c>
      <c r="AJ131" s="0" t="n">
        <v>10</v>
      </c>
      <c r="AP131" s="0" t="n">
        <v>360000</v>
      </c>
      <c r="DB131" s="0" t="str">
        <f aca="false">IF($A131="","",IF($A131&lt;&gt;21,"対象外",IF($AE131&amp;""="00000000","在職",IF($AE131&amp;""=設定!$C$4,"4/1喪失","その他喪失"))))</f>
        <v>在職</v>
      </c>
    </row>
    <row r="132" customFormat="false" ht="15" hidden="false" customHeight="false" outlineLevel="0" collapsed="false">
      <c r="A132" s="0" t="n">
        <v>21</v>
      </c>
      <c r="AA132" s="0" t="n">
        <v>21</v>
      </c>
      <c r="AB132" s="0" t="s">
        <v>394</v>
      </c>
      <c r="AD132" s="0" t="n">
        <v>0</v>
      </c>
      <c r="AE132" s="0" t="s">
        <v>295</v>
      </c>
      <c r="AH132" s="0" t="n">
        <v>4</v>
      </c>
      <c r="AJ132" s="0" t="n">
        <v>10</v>
      </c>
      <c r="AP132" s="0" t="n">
        <v>340000</v>
      </c>
      <c r="DB132" s="0" t="str">
        <f aca="false">IF($A132="","",IF($A132&lt;&gt;21,"対象外",IF($AE132&amp;""="00000000","在職",IF($AE132&amp;""=設定!$C$4,"4/1喪失","その他喪失"))))</f>
        <v>在職</v>
      </c>
    </row>
    <row r="133" customFormat="false" ht="15" hidden="false" customHeight="false" outlineLevel="0" collapsed="false">
      <c r="A133" s="0" t="n">
        <v>21</v>
      </c>
      <c r="AA133" s="0" t="n">
        <v>21</v>
      </c>
      <c r="AB133" s="0" t="s">
        <v>409</v>
      </c>
      <c r="AD133" s="0" t="n">
        <v>0</v>
      </c>
      <c r="AE133" s="0" t="s">
        <v>295</v>
      </c>
      <c r="AH133" s="0" t="n">
        <v>1</v>
      </c>
      <c r="AJ133" s="0" t="n">
        <v>10</v>
      </c>
      <c r="AP133" s="0" t="n">
        <v>470000</v>
      </c>
      <c r="DB133" s="0" t="str">
        <f aca="false">IF($A133="","",IF($A133&lt;&gt;21,"対象外",IF($AE133&amp;""="00000000","在職",IF($AE133&amp;""=設定!$C$4,"4/1喪失","その他喪失"))))</f>
        <v>在職</v>
      </c>
    </row>
    <row r="134" customFormat="false" ht="15" hidden="false" customHeight="false" outlineLevel="0" collapsed="false">
      <c r="A134" s="0" t="n">
        <v>21</v>
      </c>
      <c r="AA134" s="0" t="n">
        <v>21</v>
      </c>
      <c r="AB134" s="0" t="s">
        <v>413</v>
      </c>
      <c r="AD134" s="0" t="n">
        <v>0</v>
      </c>
      <c r="AE134" s="0" t="s">
        <v>295</v>
      </c>
      <c r="AH134" s="0" t="n">
        <v>3</v>
      </c>
      <c r="AJ134" s="0" t="n">
        <v>10</v>
      </c>
      <c r="AP134" s="0" t="n">
        <v>380000</v>
      </c>
      <c r="DB134" s="0" t="str">
        <f aca="false">IF($A134="","",IF($A134&lt;&gt;21,"対象外",IF($AE134&amp;""="00000000","在職",IF($AE134&amp;""=設定!$C$4,"4/1喪失","その他喪失"))))</f>
        <v>在職</v>
      </c>
    </row>
    <row r="135" customFormat="false" ht="15" hidden="false" customHeight="false" outlineLevel="0" collapsed="false">
      <c r="A135" s="0" t="n">
        <v>21</v>
      </c>
      <c r="AA135" s="0" t="n">
        <v>21</v>
      </c>
      <c r="AB135" s="0" t="s">
        <v>417</v>
      </c>
      <c r="AD135" s="0" t="n">
        <v>0</v>
      </c>
      <c r="AE135" s="0" t="s">
        <v>295</v>
      </c>
      <c r="AH135" s="0" t="n">
        <v>5</v>
      </c>
      <c r="AJ135" s="0" t="n">
        <v>10</v>
      </c>
      <c r="AP135" s="0" t="n">
        <v>360000</v>
      </c>
      <c r="DB135" s="0" t="str">
        <f aca="false">IF($A135="","",IF($A135&lt;&gt;21,"対象外",IF($AE135&amp;""="00000000","在職",IF($AE135&amp;""=設定!$C$4,"4/1喪失","その他喪失"))))</f>
        <v>在職</v>
      </c>
    </row>
    <row r="136" customFormat="false" ht="15" hidden="false" customHeight="false" outlineLevel="0" collapsed="false">
      <c r="A136" s="0" t="n">
        <v>21</v>
      </c>
      <c r="AA136" s="0" t="n">
        <v>21</v>
      </c>
      <c r="AB136" s="0" t="s">
        <v>429</v>
      </c>
      <c r="AD136" s="0" t="n">
        <v>0</v>
      </c>
      <c r="AE136" s="0" t="s">
        <v>295</v>
      </c>
      <c r="AH136" s="0" t="n">
        <v>1</v>
      </c>
      <c r="AJ136" s="0" t="n">
        <v>10</v>
      </c>
      <c r="AP136" s="0" t="n">
        <v>380000</v>
      </c>
      <c r="DB136" s="0" t="str">
        <f aca="false">IF($A136="","",IF($A136&lt;&gt;21,"対象外",IF($AE136&amp;""="00000000","在職",IF($AE136&amp;""=設定!$C$4,"4/1喪失","その他喪失"))))</f>
        <v>在職</v>
      </c>
    </row>
    <row r="137" customFormat="false" ht="15" hidden="false" customHeight="false" outlineLevel="0" collapsed="false">
      <c r="A137" s="0" t="n">
        <v>21</v>
      </c>
      <c r="AA137" s="0" t="n">
        <v>21</v>
      </c>
      <c r="AB137" s="0" t="s">
        <v>413</v>
      </c>
      <c r="AD137" s="0" t="n">
        <v>0</v>
      </c>
      <c r="AE137" s="0" t="s">
        <v>295</v>
      </c>
      <c r="AH137" s="0" t="n">
        <v>4</v>
      </c>
      <c r="AJ137" s="0" t="n">
        <v>10</v>
      </c>
      <c r="AP137" s="0" t="n">
        <v>380000</v>
      </c>
      <c r="DB137" s="0" t="str">
        <f aca="false">IF($A137="","",IF($A137&lt;&gt;21,"対象外",IF($AE137&amp;""="00000000","在職",IF($AE137&amp;""=設定!$C$4,"4/1喪失","その他喪失"))))</f>
        <v>在職</v>
      </c>
    </row>
    <row r="138" customFormat="false" ht="15" hidden="false" customHeight="false" outlineLevel="0" collapsed="false">
      <c r="A138" s="0" t="n">
        <v>21</v>
      </c>
      <c r="AA138" s="0" t="n">
        <v>21</v>
      </c>
      <c r="AB138" s="0" t="s">
        <v>409</v>
      </c>
      <c r="AD138" s="0" t="n">
        <v>0</v>
      </c>
      <c r="AE138" s="0" t="s">
        <v>295</v>
      </c>
      <c r="AH138" s="0" t="n">
        <v>11</v>
      </c>
      <c r="AJ138" s="0" t="n">
        <v>11</v>
      </c>
      <c r="AP138" s="0" t="n">
        <v>830000</v>
      </c>
      <c r="DB138" s="0" t="str">
        <f aca="false">IF($A138="","",IF($A138&lt;&gt;21,"対象外",IF($AE138&amp;""="00000000","在職",IF($AE138&amp;""=設定!$C$4,"4/1喪失","その他喪失"))))</f>
        <v>在職</v>
      </c>
    </row>
    <row r="139" customFormat="false" ht="15" hidden="false" customHeight="false" outlineLevel="0" collapsed="false">
      <c r="A139" s="0" t="n">
        <v>21</v>
      </c>
      <c r="AA139" s="0" t="n">
        <v>21</v>
      </c>
      <c r="AB139" s="0" t="s">
        <v>391</v>
      </c>
      <c r="AD139" s="0" t="n">
        <v>0</v>
      </c>
      <c r="AE139" s="0" t="s">
        <v>295</v>
      </c>
      <c r="AH139" s="0" t="n">
        <v>5</v>
      </c>
      <c r="AJ139" s="0" t="n">
        <v>10</v>
      </c>
      <c r="AP139" s="0" t="n">
        <v>380000</v>
      </c>
      <c r="DB139" s="0" t="str">
        <f aca="false">IF($A139="","",IF($A139&lt;&gt;21,"対象外",IF($AE139&amp;""="00000000","在職",IF($AE139&amp;""=設定!$C$4,"4/1喪失","その他喪失"))))</f>
        <v>在職</v>
      </c>
    </row>
    <row r="140" customFormat="false" ht="15" hidden="false" customHeight="false" outlineLevel="0" collapsed="false">
      <c r="A140" s="0" t="n">
        <v>21</v>
      </c>
      <c r="AA140" s="0" t="n">
        <v>21</v>
      </c>
      <c r="AB140" s="0" t="s">
        <v>387</v>
      </c>
      <c r="AD140" s="0" t="n">
        <v>0</v>
      </c>
      <c r="AE140" s="0" t="s">
        <v>295</v>
      </c>
      <c r="AH140" s="0" t="n">
        <v>1</v>
      </c>
      <c r="AJ140" s="0" t="n">
        <v>10</v>
      </c>
      <c r="AP140" s="0" t="n">
        <v>340000</v>
      </c>
      <c r="DB140" s="0" t="str">
        <f aca="false">IF($A140="","",IF($A140&lt;&gt;21,"対象外",IF($AE140&amp;""="00000000","在職",IF($AE140&amp;""=設定!$C$4,"4/1喪失","その他喪失"))))</f>
        <v>在職</v>
      </c>
    </row>
    <row r="141" customFormat="false" ht="15" hidden="false" customHeight="false" outlineLevel="0" collapsed="false">
      <c r="A141" s="0" t="n">
        <v>21</v>
      </c>
      <c r="AA141" s="0" t="n">
        <v>21</v>
      </c>
      <c r="AB141" s="0" t="s">
        <v>387</v>
      </c>
      <c r="AD141" s="0" t="n">
        <v>0</v>
      </c>
      <c r="AE141" s="0" t="s">
        <v>295</v>
      </c>
      <c r="AH141" s="0" t="n">
        <v>1</v>
      </c>
      <c r="AJ141" s="0" t="n">
        <v>10</v>
      </c>
      <c r="AP141" s="0" t="n">
        <v>380000</v>
      </c>
      <c r="DB141" s="0" t="str">
        <f aca="false">IF($A141="","",IF($A141&lt;&gt;21,"対象外",IF($AE141&amp;""="00000000","在職",IF($AE141&amp;""=設定!$C$4,"4/1喪失","その他喪失"))))</f>
        <v>在職</v>
      </c>
    </row>
    <row r="142" customFormat="false" ht="15" hidden="false" customHeight="false" outlineLevel="0" collapsed="false">
      <c r="A142" s="0" t="n">
        <v>21</v>
      </c>
      <c r="AA142" s="0" t="n">
        <v>21</v>
      </c>
      <c r="AB142" s="0" t="s">
        <v>409</v>
      </c>
      <c r="AD142" s="0" t="n">
        <v>0</v>
      </c>
      <c r="AE142" s="0" t="s">
        <v>295</v>
      </c>
      <c r="AH142" s="0" t="n">
        <v>1</v>
      </c>
      <c r="AJ142" s="0" t="n">
        <v>10</v>
      </c>
      <c r="AP142" s="0" t="n">
        <v>360000</v>
      </c>
      <c r="DB142" s="0" t="str">
        <f aca="false">IF($A142="","",IF($A142&lt;&gt;21,"対象外",IF($AE142&amp;""="00000000","在職",IF($AE142&amp;""=設定!$C$4,"4/1喪失","その他喪失"))))</f>
        <v>在職</v>
      </c>
    </row>
    <row r="143" customFormat="false" ht="15" hidden="false" customHeight="false" outlineLevel="0" collapsed="false">
      <c r="A143" s="0" t="n">
        <v>21</v>
      </c>
      <c r="AA143" s="0" t="n">
        <v>21</v>
      </c>
      <c r="AB143" s="0" t="s">
        <v>435</v>
      </c>
      <c r="AD143" s="0" t="n">
        <v>0</v>
      </c>
      <c r="AE143" s="0" t="s">
        <v>295</v>
      </c>
      <c r="AH143" s="0" t="n">
        <v>1</v>
      </c>
      <c r="AJ143" s="0" t="n">
        <v>10</v>
      </c>
      <c r="AP143" s="0" t="n">
        <v>360000</v>
      </c>
      <c r="DB143" s="0" t="str">
        <f aca="false">IF($A143="","",IF($A143&lt;&gt;21,"対象外",IF($AE143&amp;""="00000000","在職",IF($AE143&amp;""=設定!$C$4,"4/1喪失","その他喪失"))))</f>
        <v>在職</v>
      </c>
    </row>
    <row r="144" customFormat="false" ht="15" hidden="false" customHeight="false" outlineLevel="0" collapsed="false">
      <c r="A144" s="0" t="n">
        <v>21</v>
      </c>
      <c r="AA144" s="0" t="n">
        <v>21</v>
      </c>
      <c r="AB144" s="0" t="s">
        <v>431</v>
      </c>
      <c r="AD144" s="0" t="n">
        <v>0</v>
      </c>
      <c r="AE144" s="0" t="s">
        <v>295</v>
      </c>
      <c r="AH144" s="0" t="n">
        <v>1</v>
      </c>
      <c r="AJ144" s="0" t="n">
        <v>10</v>
      </c>
      <c r="AP144" s="0" t="n">
        <v>380000</v>
      </c>
      <c r="DB144" s="0" t="str">
        <f aca="false">IF($A144="","",IF($A144&lt;&gt;21,"対象外",IF($AE144&amp;""="00000000","在職",IF($AE144&amp;""=設定!$C$4,"4/1喪失","その他喪失"))))</f>
        <v>在職</v>
      </c>
    </row>
    <row r="145" customFormat="false" ht="15" hidden="false" customHeight="false" outlineLevel="0" collapsed="false">
      <c r="A145" s="0" t="n">
        <v>31</v>
      </c>
      <c r="AA145" s="0" t="n">
        <v>21</v>
      </c>
      <c r="AB145" s="0" t="s">
        <v>494</v>
      </c>
      <c r="AD145" s="0" t="n">
        <v>0</v>
      </c>
      <c r="AE145" s="0" t="s">
        <v>295</v>
      </c>
      <c r="AH145" s="0" t="n">
        <v>11</v>
      </c>
      <c r="AJ145" s="0" t="n">
        <v>41</v>
      </c>
      <c r="AP145" s="0" t="n">
        <v>190000</v>
      </c>
      <c r="DB145" s="0" t="str">
        <f aca="false">IF($A145="","",IF($A145&lt;&gt;21,"対象外",IF($AE145&amp;""="00000000","在職",IF($AE145&amp;""=設定!$C$4,"4/1喪失","その他喪失"))))</f>
        <v>対象外</v>
      </c>
    </row>
    <row r="146" customFormat="false" ht="15" hidden="false" customHeight="false" outlineLevel="0" collapsed="false">
      <c r="A146" s="0" t="n">
        <v>31</v>
      </c>
      <c r="AA146" s="0" t="n">
        <v>21</v>
      </c>
      <c r="AB146" s="0" t="s">
        <v>496</v>
      </c>
      <c r="AD146" s="0" t="n">
        <v>0</v>
      </c>
      <c r="AE146" s="0" t="s">
        <v>295</v>
      </c>
      <c r="AH146" s="0" t="n">
        <v>5</v>
      </c>
      <c r="AJ146" s="0" t="n">
        <v>41</v>
      </c>
      <c r="AP146" s="0" t="n">
        <v>142000</v>
      </c>
      <c r="DB146" s="0" t="str">
        <f aca="false">IF($A146="","",IF($A146&lt;&gt;21,"対象外",IF($AE146&amp;""="00000000","在職",IF($AE146&amp;""=設定!$C$4,"4/1喪失","その他喪失"))))</f>
        <v>対象外</v>
      </c>
    </row>
    <row r="147" customFormat="false" ht="15" hidden="false" customHeight="false" outlineLevel="0" collapsed="false">
      <c r="A147" s="0" t="n">
        <v>21</v>
      </c>
      <c r="AA147" s="0" t="n">
        <v>21</v>
      </c>
      <c r="AB147" s="0" t="s">
        <v>603</v>
      </c>
      <c r="AD147" s="0" t="n">
        <v>0</v>
      </c>
      <c r="AE147" s="0" t="s">
        <v>295</v>
      </c>
      <c r="AH147" s="0" t="n">
        <v>11</v>
      </c>
      <c r="AJ147" s="0" t="n">
        <v>10</v>
      </c>
      <c r="AP147" s="0" t="n">
        <v>280000</v>
      </c>
      <c r="DB147" s="0" t="str">
        <f aca="false">IF($A147="","",IF($A147&lt;&gt;21,"対象外",IF($AE147&amp;""="00000000","在職",IF($AE147&amp;""=設定!$C$4,"4/1喪失","その他喪失"))))</f>
        <v>在職</v>
      </c>
    </row>
    <row r="148" customFormat="false" ht="15" hidden="false" customHeight="false" outlineLevel="0" collapsed="false">
      <c r="A148" s="0" t="n">
        <v>21</v>
      </c>
      <c r="AA148" s="0" t="n">
        <v>21</v>
      </c>
      <c r="AB148" s="0" t="s">
        <v>426</v>
      </c>
      <c r="AD148" s="0" t="n">
        <v>0</v>
      </c>
      <c r="AE148" s="0" t="s">
        <v>295</v>
      </c>
      <c r="AH148" s="0" t="n">
        <v>20</v>
      </c>
      <c r="AJ148" s="0" t="n">
        <v>10</v>
      </c>
      <c r="AP148" s="0" t="n">
        <v>280000</v>
      </c>
      <c r="DB148" s="0" t="str">
        <f aca="false">IF($A148="","",IF($A148&lt;&gt;21,"対象外",IF($AE148&amp;""="00000000","在職",IF($AE148&amp;""=設定!$C$4,"4/1喪失","その他喪失"))))</f>
        <v>在職</v>
      </c>
    </row>
    <row r="149" customFormat="false" ht="15" hidden="false" customHeight="false" outlineLevel="0" collapsed="false">
      <c r="A149" s="0" t="n">
        <v>31</v>
      </c>
      <c r="AA149" s="0" t="n">
        <v>21</v>
      </c>
      <c r="AB149" s="0" t="s">
        <v>496</v>
      </c>
      <c r="AD149" s="0" t="n">
        <v>0</v>
      </c>
      <c r="AE149" s="0" t="s">
        <v>295</v>
      </c>
      <c r="AH149" s="0" t="n">
        <v>1</v>
      </c>
      <c r="AJ149" s="0" t="n">
        <v>41</v>
      </c>
      <c r="AP149" s="0" t="n">
        <v>134000</v>
      </c>
      <c r="DB149" s="0" t="str">
        <f aca="false">IF($A149="","",IF($A149&lt;&gt;21,"対象外",IF($AE149&amp;""="00000000","在職",IF($AE149&amp;""=設定!$C$4,"4/1喪失","その他喪失"))))</f>
        <v>対象外</v>
      </c>
    </row>
    <row r="150" customFormat="false" ht="15" hidden="false" customHeight="false" outlineLevel="0" collapsed="false">
      <c r="A150" s="0" t="n">
        <v>21</v>
      </c>
      <c r="AA150" s="0" t="n">
        <v>21</v>
      </c>
      <c r="AB150" s="0" t="s">
        <v>448</v>
      </c>
      <c r="AD150" s="0" t="n">
        <v>0</v>
      </c>
      <c r="AE150" s="0" t="s">
        <v>295</v>
      </c>
      <c r="AH150" s="0" t="n">
        <v>11</v>
      </c>
      <c r="AJ150" s="0" t="n">
        <v>10</v>
      </c>
      <c r="AP150" s="0" t="n">
        <v>300000</v>
      </c>
      <c r="DB150" s="0" t="str">
        <f aca="false">IF($A150="","",IF($A150&lt;&gt;21,"対象外",IF($AE150&amp;""="00000000","在職",IF($AE150&amp;""=設定!$C$4,"4/1喪失","その他喪失"))))</f>
        <v>在職</v>
      </c>
    </row>
    <row r="151" customFormat="false" ht="15" hidden="false" customHeight="false" outlineLevel="0" collapsed="false">
      <c r="A151" s="0" t="n">
        <v>31</v>
      </c>
      <c r="AA151" s="0" t="n">
        <v>21</v>
      </c>
      <c r="AB151" s="0" t="s">
        <v>496</v>
      </c>
      <c r="AD151" s="0" t="n">
        <v>0</v>
      </c>
      <c r="AE151" s="0" t="s">
        <v>295</v>
      </c>
      <c r="AH151" s="0" t="n">
        <v>1</v>
      </c>
      <c r="AJ151" s="0" t="n">
        <v>41</v>
      </c>
      <c r="AP151" s="0" t="n">
        <v>134000</v>
      </c>
      <c r="DB151" s="0" t="str">
        <f aca="false">IF($A151="","",IF($A151&lt;&gt;21,"対象外",IF($AE151&amp;""="00000000","在職",IF($AE151&amp;""=設定!$C$4,"4/1喪失","その他喪失"))))</f>
        <v>対象外</v>
      </c>
    </row>
    <row r="152" customFormat="false" ht="15" hidden="false" customHeight="false" outlineLevel="0" collapsed="false">
      <c r="A152" s="0" t="n">
        <v>21</v>
      </c>
      <c r="AA152" s="0" t="n">
        <v>21</v>
      </c>
      <c r="AB152" s="0" t="s">
        <v>436</v>
      </c>
      <c r="AD152" s="0" t="n">
        <v>0</v>
      </c>
      <c r="AE152" s="0" t="s">
        <v>295</v>
      </c>
      <c r="AH152" s="0" t="n">
        <v>11</v>
      </c>
      <c r="AJ152" s="0" t="n">
        <v>10</v>
      </c>
      <c r="AP152" s="0" t="n">
        <v>300000</v>
      </c>
      <c r="DB152" s="0" t="str">
        <f aca="false">IF($A152="","",IF($A152&lt;&gt;21,"対象外",IF($AE152&amp;""="00000000","在職",IF($AE152&amp;""=設定!$C$4,"4/1喪失","その他喪失"))))</f>
        <v>在職</v>
      </c>
    </row>
    <row r="153" customFormat="false" ht="15" hidden="false" customHeight="false" outlineLevel="0" collapsed="false">
      <c r="A153" s="0" t="n">
        <v>31</v>
      </c>
      <c r="AA153" s="0" t="n">
        <v>21</v>
      </c>
      <c r="AB153" s="0" t="s">
        <v>477</v>
      </c>
      <c r="AD153" s="0" t="n">
        <v>0</v>
      </c>
      <c r="AE153" s="0" t="s">
        <v>295</v>
      </c>
      <c r="AH153" s="0" t="n">
        <v>11</v>
      </c>
      <c r="AJ153" s="0" t="n">
        <v>41</v>
      </c>
      <c r="AP153" s="0" t="n">
        <v>200000</v>
      </c>
      <c r="DB153" s="0" t="str">
        <f aca="false">IF($A153="","",IF($A153&lt;&gt;21,"対象外",IF($AE153&amp;""="00000000","在職",IF($AE153&amp;""=設定!$C$4,"4/1喪失","その他喪失"))))</f>
        <v>対象外</v>
      </c>
    </row>
    <row r="154" customFormat="false" ht="15" hidden="false" customHeight="false" outlineLevel="0" collapsed="false">
      <c r="A154" s="0" t="n">
        <v>31</v>
      </c>
      <c r="AA154" s="0" t="n">
        <v>21</v>
      </c>
      <c r="AB154" s="0" t="s">
        <v>458</v>
      </c>
      <c r="AD154" s="0" t="n">
        <v>0</v>
      </c>
      <c r="AE154" s="0" t="s">
        <v>295</v>
      </c>
      <c r="AH154" s="0" t="n">
        <v>1</v>
      </c>
      <c r="AJ154" s="0" t="n">
        <v>10</v>
      </c>
      <c r="AP154" s="0" t="n">
        <v>280000</v>
      </c>
      <c r="DB154" s="0" t="str">
        <f aca="false">IF($A154="","",IF($A154&lt;&gt;21,"対象外",IF($AE154&amp;""="00000000","在職",IF($AE154&amp;""=設定!$C$4,"4/1喪失","その他喪失"))))</f>
        <v>対象外</v>
      </c>
    </row>
    <row r="155" customFormat="false" ht="15" hidden="false" customHeight="false" outlineLevel="0" collapsed="false">
      <c r="A155" s="0" t="n">
        <v>31</v>
      </c>
      <c r="AA155" s="0" t="n">
        <v>21</v>
      </c>
      <c r="AB155" s="0" t="s">
        <v>458</v>
      </c>
      <c r="AD155" s="0" t="n">
        <v>0</v>
      </c>
      <c r="AE155" s="0" t="s">
        <v>295</v>
      </c>
      <c r="AH155" s="0" t="n">
        <v>1</v>
      </c>
      <c r="AJ155" s="0" t="n">
        <v>41</v>
      </c>
      <c r="AP155" s="0" t="n">
        <v>190000</v>
      </c>
      <c r="DB155" s="0" t="str">
        <f aca="false">IF($A155="","",IF($A155&lt;&gt;21,"対象外",IF($AE155&amp;""="00000000","在職",IF($AE155&amp;""=設定!$C$4,"4/1喪失","その他喪失"))))</f>
        <v>対象外</v>
      </c>
    </row>
    <row r="156" customFormat="false" ht="15" hidden="false" customHeight="false" outlineLevel="0" collapsed="false">
      <c r="A156" s="0" t="n">
        <v>31</v>
      </c>
      <c r="AA156" s="0" t="n">
        <v>21</v>
      </c>
      <c r="AB156" s="0" t="s">
        <v>346</v>
      </c>
      <c r="AD156" s="0" t="n">
        <v>0</v>
      </c>
      <c r="AE156" s="0" t="s">
        <v>295</v>
      </c>
      <c r="AH156" s="0" t="n">
        <v>1</v>
      </c>
      <c r="AJ156" s="0" t="n">
        <v>41</v>
      </c>
      <c r="AP156" s="0" t="n">
        <v>142000</v>
      </c>
      <c r="DB156" s="0" t="str">
        <f aca="false">IF($A156="","",IF($A156&lt;&gt;21,"対象外",IF($AE156&amp;""="00000000","在職",IF($AE156&amp;""=設定!$C$4,"4/1喪失","その他喪失"))))</f>
        <v>対象外</v>
      </c>
    </row>
    <row r="157" customFormat="false" ht="15" hidden="false" customHeight="false" outlineLevel="0" collapsed="false">
      <c r="A157" s="0" t="n">
        <v>31</v>
      </c>
      <c r="AA157" s="0" t="n">
        <v>21</v>
      </c>
      <c r="AB157" s="0" t="s">
        <v>496</v>
      </c>
      <c r="AD157" s="0" t="n">
        <v>0</v>
      </c>
      <c r="AE157" s="0" t="s">
        <v>295</v>
      </c>
      <c r="AH157" s="0" t="n">
        <v>1</v>
      </c>
      <c r="AJ157" s="0" t="n">
        <v>41</v>
      </c>
      <c r="AP157" s="0" t="n">
        <v>142000</v>
      </c>
      <c r="DB157" s="0" t="str">
        <f aca="false">IF($A157="","",IF($A157&lt;&gt;21,"対象外",IF($AE157&amp;""="00000000","在職",IF($AE157&amp;""=設定!$C$4,"4/1喪失","その他喪失"))))</f>
        <v>対象外</v>
      </c>
    </row>
    <row r="158" customFormat="false" ht="15" hidden="false" customHeight="false" outlineLevel="0" collapsed="false">
      <c r="A158" s="0" t="n">
        <v>31</v>
      </c>
      <c r="AA158" s="0" t="n">
        <v>21</v>
      </c>
      <c r="AB158" s="0" t="s">
        <v>496</v>
      </c>
      <c r="AD158" s="0" t="n">
        <v>0</v>
      </c>
      <c r="AE158" s="0" t="s">
        <v>295</v>
      </c>
      <c r="AH158" s="0" t="n">
        <v>1</v>
      </c>
      <c r="AJ158" s="0" t="n">
        <v>41</v>
      </c>
      <c r="AP158" s="0" t="n">
        <v>220000</v>
      </c>
      <c r="DB158" s="0" t="str">
        <f aca="false">IF($A158="","",IF($A158&lt;&gt;21,"対象外",IF($AE158&amp;""="00000000","在職",IF($AE158&amp;""=設定!$C$4,"4/1喪失","その他喪失"))))</f>
        <v>対象外</v>
      </c>
    </row>
    <row r="159" customFormat="false" ht="15" hidden="false" customHeight="false" outlineLevel="0" collapsed="false">
      <c r="A159" s="0" t="n">
        <v>31</v>
      </c>
      <c r="AA159" s="0" t="n">
        <v>21</v>
      </c>
      <c r="AB159" s="0" t="s">
        <v>496</v>
      </c>
      <c r="AD159" s="0" t="n">
        <v>0</v>
      </c>
      <c r="AE159" s="0" t="s">
        <v>295</v>
      </c>
      <c r="AH159" s="0" t="n">
        <v>1</v>
      </c>
      <c r="AJ159" s="0" t="n">
        <v>41</v>
      </c>
      <c r="AP159" s="0" t="n">
        <v>220000</v>
      </c>
      <c r="DB159" s="0" t="str">
        <f aca="false">IF($A159="","",IF($A159&lt;&gt;21,"対象外",IF($AE159&amp;""="00000000","在職",IF($AE159&amp;""=設定!$C$4,"4/1喪失","その他喪失"))))</f>
        <v>対象外</v>
      </c>
    </row>
    <row r="160" customFormat="false" ht="15" hidden="false" customHeight="false" outlineLevel="0" collapsed="false">
      <c r="A160" s="0" t="n">
        <v>21</v>
      </c>
      <c r="AA160" s="0" t="n">
        <v>21</v>
      </c>
      <c r="AB160" s="0" t="s">
        <v>397</v>
      </c>
      <c r="AD160" s="0" t="n">
        <v>0</v>
      </c>
      <c r="AE160" s="0" t="s">
        <v>295</v>
      </c>
      <c r="AH160" s="0" t="n">
        <v>1</v>
      </c>
      <c r="AJ160" s="0" t="n">
        <v>10</v>
      </c>
      <c r="AP160" s="0" t="n">
        <v>360000</v>
      </c>
      <c r="DB160" s="0" t="str">
        <f aca="false">IF($A160="","",IF($A160&lt;&gt;21,"対象外",IF($AE160&amp;""="00000000","在職",IF($AE160&amp;""=設定!$C$4,"4/1喪失","その他喪失"))))</f>
        <v>在職</v>
      </c>
    </row>
    <row r="161" customFormat="false" ht="15" hidden="false" customHeight="false" outlineLevel="0" collapsed="false">
      <c r="A161" s="0" t="n">
        <v>21</v>
      </c>
      <c r="AA161" s="0" t="n">
        <v>21</v>
      </c>
      <c r="AB161" s="0" t="s">
        <v>436</v>
      </c>
      <c r="AD161" s="0" t="n">
        <v>0</v>
      </c>
      <c r="AE161" s="0" t="s">
        <v>295</v>
      </c>
      <c r="AH161" s="0" t="n">
        <v>11</v>
      </c>
      <c r="AJ161" s="0" t="n">
        <v>10</v>
      </c>
      <c r="AP161" s="0" t="n">
        <v>320000</v>
      </c>
      <c r="DB161" s="0" t="str">
        <f aca="false">IF($A161="","",IF($A161&lt;&gt;21,"対象外",IF($AE161&amp;""="00000000","在職",IF($AE161&amp;""=設定!$C$4,"4/1喪失","その他喪失"))))</f>
        <v>在職</v>
      </c>
    </row>
    <row r="162" customFormat="false" ht="15" hidden="false" customHeight="false" outlineLevel="0" collapsed="false">
      <c r="A162" s="0" t="n">
        <v>31</v>
      </c>
      <c r="AA162" s="0" t="n">
        <v>21</v>
      </c>
      <c r="AB162" s="0" t="s">
        <v>496</v>
      </c>
      <c r="AD162" s="0" t="n">
        <v>0</v>
      </c>
      <c r="AE162" s="0" t="s">
        <v>295</v>
      </c>
      <c r="AH162" s="0" t="n">
        <v>1</v>
      </c>
      <c r="AJ162" s="0" t="n">
        <v>41</v>
      </c>
      <c r="AP162" s="0" t="n">
        <v>200000</v>
      </c>
      <c r="DB162" s="0" t="str">
        <f aca="false">IF($A162="","",IF($A162&lt;&gt;21,"対象外",IF($AE162&amp;""="00000000","在職",IF($AE162&amp;""=設定!$C$4,"4/1喪失","その他喪失"))))</f>
        <v>対象外</v>
      </c>
    </row>
    <row r="163" customFormat="false" ht="15" hidden="false" customHeight="false" outlineLevel="0" collapsed="false">
      <c r="A163" s="0" t="n">
        <v>31</v>
      </c>
      <c r="AA163" s="0" t="n">
        <v>24</v>
      </c>
      <c r="AB163" s="0" t="s">
        <v>494</v>
      </c>
      <c r="AD163" s="0" t="n">
        <v>0</v>
      </c>
      <c r="AE163" s="0" t="s">
        <v>295</v>
      </c>
      <c r="AH163" s="0" t="n">
        <v>1</v>
      </c>
      <c r="AJ163" s="0" t="n">
        <v>41</v>
      </c>
      <c r="AP163" s="0" t="n">
        <v>150000</v>
      </c>
      <c r="DB163" s="0" t="str">
        <f aca="false">IF($A163="","",IF($A163&lt;&gt;21,"対象外",IF($AE163&amp;""="00000000","在職",IF($AE163&amp;""=設定!$C$4,"4/1喪失","その他喪失"))))</f>
        <v>対象外</v>
      </c>
    </row>
    <row r="164" customFormat="false" ht="15" hidden="false" customHeight="false" outlineLevel="0" collapsed="false">
      <c r="A164" s="0" t="n">
        <v>31</v>
      </c>
      <c r="AA164" s="0" t="n">
        <v>21</v>
      </c>
      <c r="AB164" s="0" t="s">
        <v>496</v>
      </c>
      <c r="AD164" s="0" t="n">
        <v>0</v>
      </c>
      <c r="AE164" s="0" t="s">
        <v>295</v>
      </c>
      <c r="AH164" s="0" t="n">
        <v>1</v>
      </c>
      <c r="AJ164" s="0" t="n">
        <v>41</v>
      </c>
      <c r="AP164" s="0" t="n">
        <v>142000</v>
      </c>
      <c r="DB164" s="0" t="str">
        <f aca="false">IF($A164="","",IF($A164&lt;&gt;21,"対象外",IF($AE164&amp;""="00000000","在職",IF($AE164&amp;""=設定!$C$4,"4/1喪失","その他喪失"))))</f>
        <v>対象外</v>
      </c>
    </row>
    <row r="165" customFormat="false" ht="15" hidden="false" customHeight="false" outlineLevel="0" collapsed="false">
      <c r="A165" s="0" t="n">
        <v>31</v>
      </c>
      <c r="AA165" s="0" t="n">
        <v>21</v>
      </c>
      <c r="AB165" s="0" t="s">
        <v>496</v>
      </c>
      <c r="AD165" s="0" t="n">
        <v>0</v>
      </c>
      <c r="AE165" s="0" t="s">
        <v>295</v>
      </c>
      <c r="AH165" s="0" t="n">
        <v>1</v>
      </c>
      <c r="AJ165" s="0" t="n">
        <v>41</v>
      </c>
      <c r="AP165" s="0" t="n">
        <v>150000</v>
      </c>
      <c r="DB165" s="0" t="str">
        <f aca="false">IF($A165="","",IF($A165&lt;&gt;21,"対象外",IF($AE165&amp;""="00000000","在職",IF($AE165&amp;""=設定!$C$4,"4/1喪失","その他喪失"))))</f>
        <v>対象外</v>
      </c>
    </row>
    <row r="166" customFormat="false" ht="15" hidden="false" customHeight="false" outlineLevel="0" collapsed="false">
      <c r="A166" s="0" t="n">
        <v>31</v>
      </c>
      <c r="AA166" s="0" t="n">
        <v>21</v>
      </c>
      <c r="AB166" s="0" t="s">
        <v>496</v>
      </c>
      <c r="AD166" s="0" t="n">
        <v>0</v>
      </c>
      <c r="AE166" s="0" t="s">
        <v>295</v>
      </c>
      <c r="AH166" s="0" t="n">
        <v>1</v>
      </c>
      <c r="AJ166" s="0" t="n">
        <v>41</v>
      </c>
      <c r="AP166" s="0" t="n">
        <v>142000</v>
      </c>
      <c r="DB166" s="0" t="str">
        <f aca="false">IF($A166="","",IF($A166&lt;&gt;21,"対象外",IF($AE166&amp;""="00000000","在職",IF($AE166&amp;""=設定!$C$4,"4/1喪失","その他喪失"))))</f>
        <v>対象外</v>
      </c>
    </row>
    <row r="167" customFormat="false" ht="15" hidden="false" customHeight="false" outlineLevel="0" collapsed="false">
      <c r="A167" s="0" t="n">
        <v>31</v>
      </c>
      <c r="AA167" s="0" t="n">
        <v>21</v>
      </c>
      <c r="AB167" s="0" t="s">
        <v>458</v>
      </c>
      <c r="AD167" s="0" t="n">
        <v>0</v>
      </c>
      <c r="AE167" s="0" t="s">
        <v>295</v>
      </c>
      <c r="AH167" s="0" t="n">
        <v>1</v>
      </c>
      <c r="AJ167" s="0" t="n">
        <v>10</v>
      </c>
      <c r="AP167" s="0" t="n">
        <v>300000</v>
      </c>
      <c r="DB167" s="0" t="str">
        <f aca="false">IF($A167="","",IF($A167&lt;&gt;21,"対象外",IF($AE167&amp;""="00000000","在職",IF($AE167&amp;""=設定!$C$4,"4/1喪失","その他喪失"))))</f>
        <v>対象外</v>
      </c>
    </row>
    <row r="168" customFormat="false" ht="15" hidden="false" customHeight="false" outlineLevel="0" collapsed="false">
      <c r="A168" s="0" t="n">
        <v>31</v>
      </c>
      <c r="AA168" s="0" t="n">
        <v>21</v>
      </c>
      <c r="AB168" s="0" t="s">
        <v>496</v>
      </c>
      <c r="AD168" s="0" t="n">
        <v>0</v>
      </c>
      <c r="AE168" s="0" t="s">
        <v>295</v>
      </c>
      <c r="AH168" s="0" t="n">
        <v>1</v>
      </c>
      <c r="AJ168" s="0" t="n">
        <v>41</v>
      </c>
      <c r="AP168" s="0" t="n">
        <v>142000</v>
      </c>
      <c r="DB168" s="0" t="str">
        <f aca="false">IF($A168="","",IF($A168&lt;&gt;21,"対象外",IF($AE168&amp;""="00000000","在職",IF($AE168&amp;""=設定!$C$4,"4/1喪失","その他喪失"))))</f>
        <v>対象外</v>
      </c>
    </row>
    <row r="169" customFormat="false" ht="15" hidden="false" customHeight="false" outlineLevel="0" collapsed="false">
      <c r="A169" s="0" t="n">
        <v>31</v>
      </c>
      <c r="AA169" s="0" t="n">
        <v>21</v>
      </c>
      <c r="AB169" s="0" t="s">
        <v>496</v>
      </c>
      <c r="AD169" s="0" t="n">
        <v>0</v>
      </c>
      <c r="AE169" s="0" t="s">
        <v>295</v>
      </c>
      <c r="AH169" s="0" t="n">
        <v>1</v>
      </c>
      <c r="AJ169" s="0" t="n">
        <v>41</v>
      </c>
      <c r="AP169" s="0" t="n">
        <v>142000</v>
      </c>
      <c r="DB169" s="0" t="str">
        <f aca="false">IF($A169="","",IF($A169&lt;&gt;21,"対象外",IF($AE169&amp;""="00000000","在職",IF($AE169&amp;""=設定!$C$4,"4/1喪失","その他喪失"))))</f>
        <v>対象外</v>
      </c>
    </row>
    <row r="170" customFormat="false" ht="15" hidden="false" customHeight="false" outlineLevel="0" collapsed="false">
      <c r="A170" s="0" t="n">
        <v>31</v>
      </c>
      <c r="AA170" s="0" t="n">
        <v>21</v>
      </c>
      <c r="AB170" s="0" t="s">
        <v>294</v>
      </c>
      <c r="AD170" s="0" t="n">
        <v>0</v>
      </c>
      <c r="AE170" s="0" t="s">
        <v>295</v>
      </c>
      <c r="AH170" s="0" t="n">
        <v>1</v>
      </c>
      <c r="AJ170" s="0" t="n">
        <v>41</v>
      </c>
      <c r="AP170" s="0" t="n">
        <v>200000</v>
      </c>
      <c r="DB170" s="0" t="str">
        <f aca="false">IF($A170="","",IF($A170&lt;&gt;21,"対象外",IF($AE170&amp;""="00000000","在職",IF($AE170&amp;""=設定!$C$4,"4/1喪失","その他喪失"))))</f>
        <v>対象外</v>
      </c>
    </row>
    <row r="171" customFormat="false" ht="15" hidden="false" customHeight="false" outlineLevel="0" collapsed="false">
      <c r="A171" s="0" t="n">
        <v>31</v>
      </c>
      <c r="AA171" s="0" t="n">
        <v>21</v>
      </c>
      <c r="AB171" s="0" t="s">
        <v>477</v>
      </c>
      <c r="AD171" s="0" t="n">
        <v>0</v>
      </c>
      <c r="AE171" s="0" t="s">
        <v>295</v>
      </c>
      <c r="AH171" s="0" t="n">
        <v>1</v>
      </c>
      <c r="AJ171" s="0" t="n">
        <v>41</v>
      </c>
      <c r="AP171" s="0" t="n">
        <v>200000</v>
      </c>
      <c r="DB171" s="0" t="str">
        <f aca="false">IF($A171="","",IF($A171&lt;&gt;21,"対象外",IF($AE171&amp;""="00000000","在職",IF($AE171&amp;""=設定!$C$4,"4/1喪失","その他喪失"))))</f>
        <v>対象外</v>
      </c>
    </row>
    <row r="172" customFormat="false" ht="15" hidden="false" customHeight="false" outlineLevel="0" collapsed="false">
      <c r="A172" s="0" t="n">
        <v>31</v>
      </c>
      <c r="AA172" s="0" t="n">
        <v>24</v>
      </c>
      <c r="AB172" s="0" t="s">
        <v>756</v>
      </c>
      <c r="AD172" s="0" t="n">
        <v>0</v>
      </c>
      <c r="AE172" s="0" t="s">
        <v>295</v>
      </c>
      <c r="AH172" s="0" t="n">
        <v>1</v>
      </c>
      <c r="AJ172" s="0" t="n">
        <v>41</v>
      </c>
      <c r="AP172" s="0" t="n">
        <v>126000</v>
      </c>
      <c r="DB172" s="0" t="str">
        <f aca="false">IF($A172="","",IF($A172&lt;&gt;21,"対象外",IF($AE172&amp;""="00000000","在職",IF($AE172&amp;""=設定!$C$4,"4/1喪失","その他喪失"))))</f>
        <v>対象外</v>
      </c>
    </row>
    <row r="173" customFormat="false" ht="15" hidden="false" customHeight="false" outlineLevel="0" collapsed="false">
      <c r="A173" s="0" t="n">
        <v>31</v>
      </c>
      <c r="AA173" s="0" t="n">
        <v>21</v>
      </c>
      <c r="AB173" s="0" t="s">
        <v>496</v>
      </c>
      <c r="AD173" s="0" t="n">
        <v>0</v>
      </c>
      <c r="AE173" s="0" t="s">
        <v>295</v>
      </c>
      <c r="AH173" s="0" t="n">
        <v>1</v>
      </c>
      <c r="AJ173" s="0" t="n">
        <v>41</v>
      </c>
      <c r="AP173" s="0" t="n">
        <v>150000</v>
      </c>
      <c r="DB173" s="0" t="str">
        <f aca="false">IF($A173="","",IF($A173&lt;&gt;21,"対象外",IF($AE173&amp;""="00000000","在職",IF($AE173&amp;""=設定!$C$4,"4/1喪失","その他喪失"))))</f>
        <v>対象外</v>
      </c>
    </row>
    <row r="174" customFormat="false" ht="15" hidden="false" customHeight="false" outlineLevel="0" collapsed="false">
      <c r="A174" s="0" t="n">
        <v>31</v>
      </c>
      <c r="AA174" s="0" t="n">
        <v>21</v>
      </c>
      <c r="AB174" s="0" t="s">
        <v>496</v>
      </c>
      <c r="AD174" s="0" t="n">
        <v>0</v>
      </c>
      <c r="AE174" s="0" t="s">
        <v>295</v>
      </c>
      <c r="AH174" s="0" t="n">
        <v>1</v>
      </c>
      <c r="AJ174" s="0" t="n">
        <v>41</v>
      </c>
      <c r="AP174" s="0" t="n">
        <v>200000</v>
      </c>
      <c r="DB174" s="0" t="str">
        <f aca="false">IF($A174="","",IF($A174&lt;&gt;21,"対象外",IF($AE174&amp;""="00000000","在職",IF($AE174&amp;""=設定!$C$4,"4/1喪失","その他喪失"))))</f>
        <v>対象外</v>
      </c>
    </row>
    <row r="175" customFormat="false" ht="15" hidden="false" customHeight="false" outlineLevel="0" collapsed="false">
      <c r="A175" s="0" t="n">
        <v>31</v>
      </c>
      <c r="AA175" s="0" t="n">
        <v>21</v>
      </c>
      <c r="AB175" s="0" t="s">
        <v>496</v>
      </c>
      <c r="AD175" s="0" t="n">
        <v>0</v>
      </c>
      <c r="AE175" s="0" t="s">
        <v>295</v>
      </c>
      <c r="AH175" s="0" t="n">
        <v>1</v>
      </c>
      <c r="AJ175" s="0" t="n">
        <v>41</v>
      </c>
      <c r="AP175" s="0" t="n">
        <v>200000</v>
      </c>
      <c r="DB175" s="0" t="str">
        <f aca="false">IF($A175="","",IF($A175&lt;&gt;21,"対象外",IF($AE175&amp;""="00000000","在職",IF($AE175&amp;""=設定!$C$4,"4/1喪失","その他喪失"))))</f>
        <v>対象外</v>
      </c>
    </row>
    <row r="176" customFormat="false" ht="15" hidden="false" customHeight="false" outlineLevel="0" collapsed="false">
      <c r="A176" s="0" t="n">
        <v>31</v>
      </c>
      <c r="AA176" s="0" t="n">
        <v>21</v>
      </c>
      <c r="AB176" s="0" t="s">
        <v>496</v>
      </c>
      <c r="AD176" s="0" t="n">
        <v>0</v>
      </c>
      <c r="AE176" s="0" t="s">
        <v>295</v>
      </c>
      <c r="AH176" s="0" t="n">
        <v>11</v>
      </c>
      <c r="AJ176" s="0" t="n">
        <v>41</v>
      </c>
      <c r="AP176" s="0" t="n">
        <v>190000</v>
      </c>
      <c r="DB176" s="0" t="str">
        <f aca="false">IF($A176="","",IF($A176&lt;&gt;21,"対象外",IF($AE176&amp;""="00000000","在職",IF($AE176&amp;""=設定!$C$4,"4/1喪失","その他喪失"))))</f>
        <v>対象外</v>
      </c>
    </row>
    <row r="177" customFormat="false" ht="15" hidden="false" customHeight="false" outlineLevel="0" collapsed="false">
      <c r="A177" s="0" t="n">
        <v>31</v>
      </c>
      <c r="AA177" s="0" t="n">
        <v>21</v>
      </c>
      <c r="AB177" s="0" t="s">
        <v>496</v>
      </c>
      <c r="AD177" s="0" t="n">
        <v>0</v>
      </c>
      <c r="AE177" s="0" t="s">
        <v>295</v>
      </c>
      <c r="AH177" s="0" t="n">
        <v>1</v>
      </c>
      <c r="AJ177" s="0" t="n">
        <v>41</v>
      </c>
      <c r="AP177" s="0" t="n">
        <v>200000</v>
      </c>
      <c r="DB177" s="0" t="str">
        <f aca="false">IF($A177="","",IF($A177&lt;&gt;21,"対象外",IF($AE177&amp;""="00000000","在職",IF($AE177&amp;""=設定!$C$4,"4/1喪失","その他喪失"))))</f>
        <v>対象外</v>
      </c>
    </row>
    <row r="178" customFormat="false" ht="15" hidden="false" customHeight="false" outlineLevel="0" collapsed="false">
      <c r="A178" s="0" t="n">
        <v>31</v>
      </c>
      <c r="AA178" s="0" t="n">
        <v>21</v>
      </c>
      <c r="AB178" s="0" t="s">
        <v>484</v>
      </c>
      <c r="AD178" s="0" t="n">
        <v>0</v>
      </c>
      <c r="AE178" s="0" t="s">
        <v>295</v>
      </c>
      <c r="AH178" s="0" t="n">
        <v>1</v>
      </c>
      <c r="AJ178" s="0" t="n">
        <v>10</v>
      </c>
      <c r="AP178" s="0" t="n">
        <v>280000</v>
      </c>
      <c r="DB178" s="0" t="str">
        <f aca="false">IF($A178="","",IF($A178&lt;&gt;21,"対象外",IF($AE178&amp;""="00000000","在職",IF($AE178&amp;""=設定!$C$4,"4/1喪失","その他喪失"))))</f>
        <v>対象外</v>
      </c>
    </row>
    <row r="179" customFormat="false" ht="15" hidden="false" customHeight="false" outlineLevel="0" collapsed="false">
      <c r="A179" s="0" t="n">
        <v>31</v>
      </c>
      <c r="AA179" s="0" t="n">
        <v>21</v>
      </c>
      <c r="AB179" s="0" t="s">
        <v>496</v>
      </c>
      <c r="AD179" s="0" t="n">
        <v>0</v>
      </c>
      <c r="AE179" s="0" t="s">
        <v>295</v>
      </c>
      <c r="AH179" s="0" t="n">
        <v>11</v>
      </c>
      <c r="AJ179" s="0" t="n">
        <v>41</v>
      </c>
      <c r="AP179" s="0" t="n">
        <v>190000</v>
      </c>
      <c r="DB179" s="0" t="str">
        <f aca="false">IF($A179="","",IF($A179&lt;&gt;21,"対象外",IF($AE179&amp;""="00000000","在職",IF($AE179&amp;""=設定!$C$4,"4/1喪失","その他喪失"))))</f>
        <v>対象外</v>
      </c>
    </row>
    <row r="180" customFormat="false" ht="15" hidden="false" customHeight="false" outlineLevel="0" collapsed="false">
      <c r="A180" s="0" t="n">
        <v>31</v>
      </c>
      <c r="AA180" s="0" t="n">
        <v>21</v>
      </c>
      <c r="AB180" s="0" t="s">
        <v>477</v>
      </c>
      <c r="AD180" s="0" t="n">
        <v>0</v>
      </c>
      <c r="AE180" s="0" t="s">
        <v>295</v>
      </c>
      <c r="AH180" s="0" t="n">
        <v>1</v>
      </c>
      <c r="AJ180" s="0" t="n">
        <v>41</v>
      </c>
      <c r="AP180" s="0" t="n">
        <v>110000</v>
      </c>
      <c r="DB180" s="0" t="str">
        <f aca="false">IF($A180="","",IF($A180&lt;&gt;21,"対象外",IF($AE180&amp;""="00000000","在職",IF($AE180&amp;""=設定!$C$4,"4/1喪失","その他喪失"))))</f>
        <v>対象外</v>
      </c>
    </row>
    <row r="181" customFormat="false" ht="15" hidden="false" customHeight="false" outlineLevel="0" collapsed="false">
      <c r="A181" s="0" t="n">
        <v>31</v>
      </c>
      <c r="AA181" s="0" t="n">
        <v>21</v>
      </c>
      <c r="AB181" s="0" t="s">
        <v>496</v>
      </c>
      <c r="AD181" s="0" t="n">
        <v>0</v>
      </c>
      <c r="AE181" s="0" t="s">
        <v>295</v>
      </c>
      <c r="AH181" s="0" t="n">
        <v>1</v>
      </c>
      <c r="AJ181" s="0" t="n">
        <v>41</v>
      </c>
      <c r="AP181" s="0" t="n">
        <v>150000</v>
      </c>
      <c r="DB181" s="0" t="str">
        <f aca="false">IF($A181="","",IF($A181&lt;&gt;21,"対象外",IF($AE181&amp;""="00000000","在職",IF($AE181&amp;""=設定!$C$4,"4/1喪失","その他喪失"))))</f>
        <v>対象外</v>
      </c>
    </row>
    <row r="182" customFormat="false" ht="15" hidden="false" customHeight="false" outlineLevel="0" collapsed="false">
      <c r="A182" s="0" t="n">
        <v>21</v>
      </c>
      <c r="AA182" s="0" t="n">
        <v>21</v>
      </c>
      <c r="AB182" s="0" t="s">
        <v>757</v>
      </c>
      <c r="AD182" s="0" t="n">
        <v>0</v>
      </c>
      <c r="AE182" s="0" t="s">
        <v>295</v>
      </c>
      <c r="AH182" s="0" t="n">
        <v>20</v>
      </c>
      <c r="AJ182" s="0" t="n">
        <v>10</v>
      </c>
      <c r="AP182" s="0" t="n">
        <v>360000</v>
      </c>
      <c r="DB182" s="0" t="str">
        <f aca="false">IF($A182="","",IF($A182&lt;&gt;21,"対象外",IF($AE182&amp;""="00000000","在職",IF($AE182&amp;""=設定!$C$4,"4/1喪失","その他喪失"))))</f>
        <v>在職</v>
      </c>
    </row>
    <row r="183" customFormat="false" ht="15" hidden="false" customHeight="false" outlineLevel="0" collapsed="false">
      <c r="A183" s="0" t="n">
        <v>31</v>
      </c>
      <c r="AA183" s="0" t="n">
        <v>21</v>
      </c>
      <c r="AB183" s="0" t="s">
        <v>496</v>
      </c>
      <c r="AD183" s="0" t="n">
        <v>0</v>
      </c>
      <c r="AE183" s="0" t="s">
        <v>295</v>
      </c>
      <c r="AH183" s="0" t="n">
        <v>1</v>
      </c>
      <c r="AJ183" s="0" t="n">
        <v>41</v>
      </c>
      <c r="AP183" s="0" t="n">
        <v>200000</v>
      </c>
      <c r="DB183" s="0" t="str">
        <f aca="false">IF($A183="","",IF($A183&lt;&gt;21,"対象外",IF($AE183&amp;""="00000000","在職",IF($AE183&amp;""=設定!$C$4,"4/1喪失","その他喪失"))))</f>
        <v>対象外</v>
      </c>
    </row>
    <row r="184" customFormat="false" ht="15" hidden="false" customHeight="false" outlineLevel="0" collapsed="false">
      <c r="A184" s="0" t="n">
        <v>31</v>
      </c>
      <c r="AA184" s="0" t="n">
        <v>21</v>
      </c>
      <c r="AB184" s="0" t="s">
        <v>458</v>
      </c>
      <c r="AD184" s="0" t="n">
        <v>0</v>
      </c>
      <c r="AE184" s="0" t="s">
        <v>295</v>
      </c>
      <c r="AH184" s="0" t="n">
        <v>1</v>
      </c>
      <c r="AJ184" s="0" t="n">
        <v>10</v>
      </c>
      <c r="AP184" s="0" t="n">
        <v>280000</v>
      </c>
      <c r="DB184" s="0" t="str">
        <f aca="false">IF($A184="","",IF($A184&lt;&gt;21,"対象外",IF($AE184&amp;""="00000000","在職",IF($AE184&amp;""=設定!$C$4,"4/1喪失","その他喪失"))))</f>
        <v>対象外</v>
      </c>
    </row>
    <row r="185" customFormat="false" ht="15" hidden="false" customHeight="false" outlineLevel="0" collapsed="false">
      <c r="A185" s="0" t="n">
        <v>31</v>
      </c>
      <c r="AA185" s="0" t="n">
        <v>21</v>
      </c>
      <c r="AB185" s="0" t="s">
        <v>458</v>
      </c>
      <c r="AD185" s="0" t="n">
        <v>0</v>
      </c>
      <c r="AE185" s="0" t="s">
        <v>295</v>
      </c>
      <c r="AH185" s="0" t="n">
        <v>1</v>
      </c>
      <c r="AJ185" s="0" t="n">
        <v>10</v>
      </c>
      <c r="AP185" s="0" t="n">
        <v>280000</v>
      </c>
      <c r="DB185" s="0" t="str">
        <f aca="false">IF($A185="","",IF($A185&lt;&gt;21,"対象外",IF($AE185&amp;""="00000000","在職",IF($AE185&amp;""=設定!$C$4,"4/1喪失","その他喪失"))))</f>
        <v>対象外</v>
      </c>
    </row>
    <row r="186" customFormat="false" ht="15" hidden="false" customHeight="false" outlineLevel="0" collapsed="false">
      <c r="A186" s="0" t="n">
        <v>31</v>
      </c>
      <c r="AA186" s="0" t="n">
        <v>21</v>
      </c>
      <c r="AB186" s="0" t="s">
        <v>496</v>
      </c>
      <c r="AD186" s="0" t="n">
        <v>0</v>
      </c>
      <c r="AE186" s="0" t="s">
        <v>295</v>
      </c>
      <c r="AH186" s="0" t="n">
        <v>1</v>
      </c>
      <c r="AJ186" s="0" t="n">
        <v>41</v>
      </c>
      <c r="AP186" s="0" t="n">
        <v>134000</v>
      </c>
      <c r="DB186" s="0" t="str">
        <f aca="false">IF($A186="","",IF($A186&lt;&gt;21,"対象外",IF($AE186&amp;""="00000000","在職",IF($AE186&amp;""=設定!$C$4,"4/1喪失","その他喪失"))))</f>
        <v>対象外</v>
      </c>
    </row>
    <row r="187" customFormat="false" ht="15" hidden="false" customHeight="false" outlineLevel="0" collapsed="false">
      <c r="A187" s="0" t="n">
        <v>21</v>
      </c>
      <c r="AA187" s="0" t="n">
        <v>21</v>
      </c>
      <c r="AB187" s="0" t="s">
        <v>438</v>
      </c>
      <c r="AD187" s="0" t="n">
        <v>0</v>
      </c>
      <c r="AE187" s="0" t="s">
        <v>295</v>
      </c>
      <c r="AH187" s="0" t="n">
        <v>11</v>
      </c>
      <c r="AJ187" s="0" t="n">
        <v>10</v>
      </c>
      <c r="AP187" s="0" t="n">
        <v>300000</v>
      </c>
      <c r="DB187" s="0" t="str">
        <f aca="false">IF($A187="","",IF($A187&lt;&gt;21,"対象外",IF($AE187&amp;""="00000000","在職",IF($AE187&amp;""=設定!$C$4,"4/1喪失","その他喪失"))))</f>
        <v>在職</v>
      </c>
    </row>
    <row r="188" customFormat="false" ht="15" hidden="false" customHeight="false" outlineLevel="0" collapsed="false">
      <c r="A188" s="0" t="n">
        <v>31</v>
      </c>
      <c r="AA188" s="0" t="n">
        <v>21</v>
      </c>
      <c r="AB188" s="0" t="s">
        <v>500</v>
      </c>
      <c r="AD188" s="0" t="n">
        <v>0</v>
      </c>
      <c r="AE188" s="0" t="s">
        <v>295</v>
      </c>
      <c r="AH188" s="0" t="n">
        <v>20</v>
      </c>
      <c r="AJ188" s="0" t="n">
        <v>41</v>
      </c>
      <c r="AP188" s="0" t="n">
        <v>200000</v>
      </c>
      <c r="DB188" s="0" t="str">
        <f aca="false">IF($A188="","",IF($A188&lt;&gt;21,"対象外",IF($AE188&amp;""="00000000","在職",IF($AE188&amp;""=設定!$C$4,"4/1喪失","その他喪失"))))</f>
        <v>対象外</v>
      </c>
    </row>
    <row r="189" customFormat="false" ht="15" hidden="false" customHeight="false" outlineLevel="0" collapsed="false">
      <c r="A189" s="0" t="n">
        <v>31</v>
      </c>
      <c r="AA189" s="0" t="n">
        <v>21</v>
      </c>
      <c r="AB189" s="0" t="s">
        <v>96</v>
      </c>
      <c r="AD189" s="0" t="n">
        <v>0</v>
      </c>
      <c r="AE189" s="0" t="s">
        <v>295</v>
      </c>
      <c r="AH189" s="0" t="n">
        <v>1</v>
      </c>
      <c r="AJ189" s="0" t="n">
        <v>41</v>
      </c>
      <c r="AP189" s="0" t="n">
        <v>134000</v>
      </c>
      <c r="DB189" s="0" t="str">
        <f aca="false">IF($A189="","",IF($A189&lt;&gt;21,"対象外",IF($AE189&amp;""="00000000","在職",IF($AE189&amp;""=設定!$C$4,"4/1喪失","その他喪失"))))</f>
        <v>対象外</v>
      </c>
    </row>
    <row r="190" customFormat="false" ht="15" hidden="false" customHeight="false" outlineLevel="0" collapsed="false">
      <c r="A190" s="0" t="n">
        <v>31</v>
      </c>
      <c r="AA190" s="0" t="n">
        <v>21</v>
      </c>
      <c r="AB190" s="0" t="s">
        <v>496</v>
      </c>
      <c r="AD190" s="0" t="n">
        <v>0</v>
      </c>
      <c r="AE190" s="0" t="s">
        <v>295</v>
      </c>
      <c r="AH190" s="0" t="n">
        <v>1</v>
      </c>
      <c r="AJ190" s="0" t="n">
        <v>41</v>
      </c>
      <c r="AP190" s="0" t="n">
        <v>134000</v>
      </c>
      <c r="DB190" s="0" t="str">
        <f aca="false">IF($A190="","",IF($A190&lt;&gt;21,"対象外",IF($AE190&amp;""="00000000","在職",IF($AE190&amp;""=設定!$C$4,"4/1喪失","その他喪失"))))</f>
        <v>対象外</v>
      </c>
    </row>
    <row r="191" customFormat="false" ht="15" hidden="false" customHeight="false" outlineLevel="0" collapsed="false">
      <c r="A191" s="0" t="n">
        <v>31</v>
      </c>
      <c r="AA191" s="0" t="n">
        <v>21</v>
      </c>
      <c r="AB191" s="0" t="s">
        <v>96</v>
      </c>
      <c r="AD191" s="0" t="n">
        <v>0</v>
      </c>
      <c r="AE191" s="0" t="s">
        <v>295</v>
      </c>
      <c r="AH191" s="0" t="n">
        <v>1</v>
      </c>
      <c r="AJ191" s="0" t="n">
        <v>41</v>
      </c>
      <c r="AP191" s="0" t="n">
        <v>240000</v>
      </c>
      <c r="DB191" s="0" t="str">
        <f aca="false">IF($A191="","",IF($A191&lt;&gt;21,"対象外",IF($AE191&amp;""="00000000","在職",IF($AE191&amp;""=設定!$C$4,"4/1喪失","その他喪失"))))</f>
        <v>対象外</v>
      </c>
    </row>
    <row r="192" customFormat="false" ht="15" hidden="false" customHeight="false" outlineLevel="0" collapsed="false">
      <c r="A192" s="0" t="n">
        <v>31</v>
      </c>
      <c r="AA192" s="0" t="n">
        <v>21</v>
      </c>
      <c r="AB192" s="0" t="s">
        <v>458</v>
      </c>
      <c r="AD192" s="0" t="n">
        <v>0</v>
      </c>
      <c r="AE192" s="0" t="s">
        <v>295</v>
      </c>
      <c r="AH192" s="0" t="n">
        <v>1</v>
      </c>
      <c r="AJ192" s="0" t="n">
        <v>10</v>
      </c>
      <c r="AP192" s="0" t="n">
        <v>280000</v>
      </c>
      <c r="DB192" s="0" t="str">
        <f aca="false">IF($A192="","",IF($A192&lt;&gt;21,"対象外",IF($AE192&amp;""="00000000","在職",IF($AE192&amp;""=設定!$C$4,"4/1喪失","その他喪失"))))</f>
        <v>対象外</v>
      </c>
    </row>
    <row r="193" customFormat="false" ht="15" hidden="false" customHeight="false" outlineLevel="0" collapsed="false">
      <c r="A193" s="0" t="n">
        <v>31</v>
      </c>
      <c r="AA193" s="0" t="n">
        <v>21</v>
      </c>
      <c r="AB193" s="0" t="s">
        <v>496</v>
      </c>
      <c r="AD193" s="0" t="n">
        <v>0</v>
      </c>
      <c r="AE193" s="0" t="s">
        <v>295</v>
      </c>
      <c r="AH193" s="0" t="n">
        <v>1</v>
      </c>
      <c r="AJ193" s="0" t="n">
        <v>41</v>
      </c>
      <c r="AP193" s="0" t="n">
        <v>142000</v>
      </c>
      <c r="DB193" s="0" t="str">
        <f aca="false">IF($A193="","",IF($A193&lt;&gt;21,"対象外",IF($AE193&amp;""="00000000","在職",IF($AE193&amp;""=設定!$C$4,"4/1喪失","その他喪失"))))</f>
        <v>対象外</v>
      </c>
    </row>
    <row r="194" customFormat="false" ht="15" hidden="false" customHeight="false" outlineLevel="0" collapsed="false">
      <c r="A194" s="0" t="n">
        <v>31</v>
      </c>
      <c r="AA194" s="0" t="n">
        <v>21</v>
      </c>
      <c r="AB194" s="0" t="s">
        <v>496</v>
      </c>
      <c r="AD194" s="0" t="n">
        <v>0</v>
      </c>
      <c r="AE194" s="0" t="s">
        <v>295</v>
      </c>
      <c r="AH194" s="0" t="n">
        <v>1</v>
      </c>
      <c r="AJ194" s="0" t="n">
        <v>41</v>
      </c>
      <c r="AP194" s="0" t="n">
        <v>200000</v>
      </c>
      <c r="DB194" s="0" t="str">
        <f aca="false">IF($A194="","",IF($A194&lt;&gt;21,"対象外",IF($AE194&amp;""="00000000","在職",IF($AE194&amp;""=設定!$C$4,"4/1喪失","その他喪失"))))</f>
        <v>対象外</v>
      </c>
    </row>
    <row r="195" customFormat="false" ht="15" hidden="false" customHeight="false" outlineLevel="0" collapsed="false">
      <c r="A195" s="0" t="n">
        <v>21</v>
      </c>
      <c r="AA195" s="0" t="n">
        <v>21</v>
      </c>
      <c r="AB195" s="0" t="s">
        <v>424</v>
      </c>
      <c r="AD195" s="0" t="n">
        <v>0</v>
      </c>
      <c r="AE195" s="0" t="s">
        <v>295</v>
      </c>
      <c r="AH195" s="0" t="n">
        <v>20</v>
      </c>
      <c r="AJ195" s="0" t="n">
        <v>10</v>
      </c>
      <c r="AP195" s="0" t="n">
        <v>360000</v>
      </c>
      <c r="DB195" s="0" t="str">
        <f aca="false">IF($A195="","",IF($A195&lt;&gt;21,"対象外",IF($AE195&amp;""="00000000","在職",IF($AE195&amp;""=設定!$C$4,"4/1喪失","その他喪失"))))</f>
        <v>在職</v>
      </c>
    </row>
    <row r="196" customFormat="false" ht="15" hidden="false" customHeight="false" outlineLevel="0" collapsed="false">
      <c r="A196" s="0" t="n">
        <v>31</v>
      </c>
      <c r="AA196" s="0" t="n">
        <v>21</v>
      </c>
      <c r="AB196" s="0" t="s">
        <v>496</v>
      </c>
      <c r="AD196" s="0" t="n">
        <v>0</v>
      </c>
      <c r="AE196" s="0" t="s">
        <v>295</v>
      </c>
      <c r="AH196" s="0" t="n">
        <v>11</v>
      </c>
      <c r="AJ196" s="0" t="n">
        <v>41</v>
      </c>
      <c r="AP196" s="0" t="n">
        <v>104000</v>
      </c>
      <c r="DB196" s="0" t="str">
        <f aca="false">IF($A196="","",IF($A196&lt;&gt;21,"対象外",IF($AE196&amp;""="00000000","在職",IF($AE196&amp;""=設定!$C$4,"4/1喪失","その他喪失"))))</f>
        <v>対象外</v>
      </c>
    </row>
    <row r="197" customFormat="false" ht="15" hidden="false" customHeight="false" outlineLevel="0" collapsed="false">
      <c r="A197" s="0" t="n">
        <v>31</v>
      </c>
      <c r="AA197" s="0" t="n">
        <v>21</v>
      </c>
      <c r="AB197" s="0" t="s">
        <v>496</v>
      </c>
      <c r="AD197" s="0" t="n">
        <v>0</v>
      </c>
      <c r="AE197" s="0" t="s">
        <v>295</v>
      </c>
      <c r="AH197" s="0" t="n">
        <v>1</v>
      </c>
      <c r="AJ197" s="0" t="n">
        <v>41</v>
      </c>
      <c r="AP197" s="0" t="n">
        <v>134000</v>
      </c>
      <c r="DB197" s="0" t="str">
        <f aca="false">IF($A197="","",IF($A197&lt;&gt;21,"対象外",IF($AE197&amp;""="00000000","在職",IF($AE197&amp;""=設定!$C$4,"4/1喪失","その他喪失"))))</f>
        <v>対象外</v>
      </c>
    </row>
    <row r="198" customFormat="false" ht="15" hidden="false" customHeight="false" outlineLevel="0" collapsed="false">
      <c r="A198" s="0" t="n">
        <v>31</v>
      </c>
      <c r="AA198" s="0" t="n">
        <v>21</v>
      </c>
      <c r="AB198" s="0" t="s">
        <v>96</v>
      </c>
      <c r="AD198" s="0" t="n">
        <v>0</v>
      </c>
      <c r="AE198" s="0" t="s">
        <v>295</v>
      </c>
      <c r="AH198" s="0" t="n">
        <v>1</v>
      </c>
      <c r="AJ198" s="0" t="n">
        <v>41</v>
      </c>
      <c r="AP198" s="0" t="n">
        <v>134000</v>
      </c>
      <c r="DB198" s="0" t="str">
        <f aca="false">IF($A198="","",IF($A198&lt;&gt;21,"対象外",IF($AE198&amp;""="00000000","在職",IF($AE198&amp;""=設定!$C$4,"4/1喪失","その他喪失"))))</f>
        <v>対象外</v>
      </c>
    </row>
    <row r="199" customFormat="false" ht="15" hidden="false" customHeight="false" outlineLevel="0" collapsed="false">
      <c r="A199" s="0" t="n">
        <v>31</v>
      </c>
      <c r="AA199" s="0" t="n">
        <v>21</v>
      </c>
      <c r="AB199" s="0" t="s">
        <v>496</v>
      </c>
      <c r="AD199" s="0" t="n">
        <v>0</v>
      </c>
      <c r="AE199" s="0" t="s">
        <v>295</v>
      </c>
      <c r="AH199" s="0" t="n">
        <v>1</v>
      </c>
      <c r="AJ199" s="0" t="n">
        <v>41</v>
      </c>
      <c r="AP199" s="0" t="n">
        <v>240000</v>
      </c>
      <c r="DB199" s="0" t="str">
        <f aca="false">IF($A199="","",IF($A199&lt;&gt;21,"対象外",IF($AE199&amp;""="00000000","在職",IF($AE199&amp;""=設定!$C$4,"4/1喪失","その他喪失"))))</f>
        <v>対象外</v>
      </c>
    </row>
    <row r="200" customFormat="false" ht="15" hidden="false" customHeight="false" outlineLevel="0" collapsed="false">
      <c r="A200" s="0" t="n">
        <v>31</v>
      </c>
      <c r="AA200" s="0" t="n">
        <v>21</v>
      </c>
      <c r="AB200" s="0" t="s">
        <v>496</v>
      </c>
      <c r="AD200" s="0" t="n">
        <v>0</v>
      </c>
      <c r="AE200" s="0" t="s">
        <v>295</v>
      </c>
      <c r="AH200" s="0" t="n">
        <v>1</v>
      </c>
      <c r="AJ200" s="0" t="n">
        <v>41</v>
      </c>
      <c r="AP200" s="0" t="n">
        <v>220000</v>
      </c>
      <c r="DB200" s="0" t="str">
        <f aca="false">IF($A200="","",IF($A200&lt;&gt;21,"対象外",IF($AE200&amp;""="00000000","在職",IF($AE200&amp;""=設定!$C$4,"4/1喪失","その他喪失"))))</f>
        <v>対象外</v>
      </c>
    </row>
    <row r="201" customFormat="false" ht="15" hidden="false" customHeight="false" outlineLevel="0" collapsed="false">
      <c r="A201" s="0" t="n">
        <v>21</v>
      </c>
      <c r="AA201" s="0" t="n">
        <v>21</v>
      </c>
      <c r="AB201" s="0" t="s">
        <v>413</v>
      </c>
      <c r="AD201" s="0" t="n">
        <v>0</v>
      </c>
      <c r="AE201" s="0" t="s">
        <v>295</v>
      </c>
      <c r="AH201" s="0" t="n">
        <v>1</v>
      </c>
      <c r="AJ201" s="0" t="n">
        <v>10</v>
      </c>
      <c r="AP201" s="0" t="n">
        <v>380000</v>
      </c>
      <c r="DB201" s="0" t="str">
        <f aca="false">IF($A201="","",IF($A201&lt;&gt;21,"対象外",IF($AE201&amp;""="00000000","在職",IF($AE201&amp;""=設定!$C$4,"4/1喪失","その他喪失"))))</f>
        <v>在職</v>
      </c>
    </row>
    <row r="202" customFormat="false" ht="15" hidden="false" customHeight="false" outlineLevel="0" collapsed="false">
      <c r="A202" s="0" t="n">
        <v>21</v>
      </c>
      <c r="AA202" s="0" t="n">
        <v>21</v>
      </c>
      <c r="AB202" s="0" t="s">
        <v>441</v>
      </c>
      <c r="AD202" s="0" t="n">
        <v>0</v>
      </c>
      <c r="AE202" s="0" t="s">
        <v>295</v>
      </c>
      <c r="AH202" s="0" t="n">
        <v>11</v>
      </c>
      <c r="AJ202" s="0" t="n">
        <v>10</v>
      </c>
      <c r="AP202" s="0" t="n">
        <v>280000</v>
      </c>
      <c r="DB202" s="0" t="str">
        <f aca="false">IF($A202="","",IF($A202&lt;&gt;21,"対象外",IF($AE202&amp;""="00000000","在職",IF($AE202&amp;""=設定!$C$4,"4/1喪失","その他喪失"))))</f>
        <v>在職</v>
      </c>
    </row>
    <row r="203" customFormat="false" ht="15" hidden="false" customHeight="false" outlineLevel="0" collapsed="false">
      <c r="A203" s="0" t="n">
        <v>31</v>
      </c>
      <c r="AA203" s="0" t="n">
        <v>21</v>
      </c>
      <c r="AB203" s="0" t="s">
        <v>496</v>
      </c>
      <c r="AD203" s="0" t="n">
        <v>0</v>
      </c>
      <c r="AE203" s="0" t="s">
        <v>295</v>
      </c>
      <c r="AH203" s="0" t="n">
        <v>1</v>
      </c>
      <c r="AJ203" s="0" t="n">
        <v>41</v>
      </c>
      <c r="AP203" s="0" t="n">
        <v>150000</v>
      </c>
      <c r="DB203" s="0" t="str">
        <f aca="false">IF($A203="","",IF($A203&lt;&gt;21,"対象外",IF($AE203&amp;""="00000000","在職",IF($AE203&amp;""=設定!$C$4,"4/1喪失","その他喪失"))))</f>
        <v>対象外</v>
      </c>
    </row>
    <row r="204" customFormat="false" ht="15" hidden="false" customHeight="false" outlineLevel="0" collapsed="false">
      <c r="A204" s="0" t="n">
        <v>21</v>
      </c>
      <c r="AA204" s="0" t="n">
        <v>21</v>
      </c>
      <c r="AB204" s="0" t="s">
        <v>448</v>
      </c>
      <c r="AD204" s="0" t="n">
        <v>0</v>
      </c>
      <c r="AE204" s="0" t="s">
        <v>295</v>
      </c>
      <c r="AH204" s="0" t="n">
        <v>11</v>
      </c>
      <c r="AJ204" s="0" t="n">
        <v>10</v>
      </c>
      <c r="AP204" s="0" t="n">
        <v>280000</v>
      </c>
      <c r="DB204" s="0" t="str">
        <f aca="false">IF($A204="","",IF($A204&lt;&gt;21,"対象外",IF($AE204&amp;""="00000000","在職",IF($AE204&amp;""=設定!$C$4,"4/1喪失","その他喪失"))))</f>
        <v>在職</v>
      </c>
    </row>
    <row r="205" customFormat="false" ht="15" hidden="false" customHeight="false" outlineLevel="0" collapsed="false">
      <c r="A205" s="0" t="n">
        <v>31</v>
      </c>
      <c r="AA205" s="0" t="n">
        <v>21</v>
      </c>
      <c r="AB205" s="0" t="s">
        <v>496</v>
      </c>
      <c r="AD205" s="0" t="n">
        <v>0</v>
      </c>
      <c r="AE205" s="0" t="s">
        <v>295</v>
      </c>
      <c r="AH205" s="0" t="n">
        <v>11</v>
      </c>
      <c r="AJ205" s="0" t="n">
        <v>41</v>
      </c>
      <c r="AP205" s="0" t="n">
        <v>126000</v>
      </c>
      <c r="DB205" s="0" t="str">
        <f aca="false">IF($A205="","",IF($A205&lt;&gt;21,"対象外",IF($AE205&amp;""="00000000","在職",IF($AE205&amp;""=設定!$C$4,"4/1喪失","その他喪失"))))</f>
        <v>対象外</v>
      </c>
    </row>
    <row r="206" customFormat="false" ht="15" hidden="false" customHeight="false" outlineLevel="0" collapsed="false">
      <c r="A206" s="0" t="n">
        <v>31</v>
      </c>
      <c r="AA206" s="0" t="n">
        <v>21</v>
      </c>
      <c r="AB206" s="0" t="s">
        <v>496</v>
      </c>
      <c r="AD206" s="0" t="n">
        <v>0</v>
      </c>
      <c r="AE206" s="0" t="s">
        <v>295</v>
      </c>
      <c r="AH206" s="0" t="n">
        <v>1</v>
      </c>
      <c r="AJ206" s="0" t="n">
        <v>41</v>
      </c>
      <c r="AP206" s="0" t="n">
        <v>190000</v>
      </c>
      <c r="DB206" s="0" t="str">
        <f aca="false">IF($A206="","",IF($A206&lt;&gt;21,"対象外",IF($AE206&amp;""="00000000","在職",IF($AE206&amp;""=設定!$C$4,"4/1喪失","その他喪失"))))</f>
        <v>対象外</v>
      </c>
    </row>
    <row r="207" customFormat="false" ht="15" hidden="false" customHeight="false" outlineLevel="0" collapsed="false">
      <c r="A207" s="0" t="n">
        <v>31</v>
      </c>
      <c r="AA207" s="0" t="n">
        <v>21</v>
      </c>
      <c r="AB207" s="0" t="s">
        <v>496</v>
      </c>
      <c r="AD207" s="0" t="n">
        <v>0</v>
      </c>
      <c r="AE207" s="0" t="s">
        <v>295</v>
      </c>
      <c r="AH207" s="0" t="n">
        <v>11</v>
      </c>
      <c r="AJ207" s="0" t="n">
        <v>41</v>
      </c>
      <c r="AP207" s="0" t="n">
        <v>150000</v>
      </c>
      <c r="DB207" s="0" t="str">
        <f aca="false">IF($A207="","",IF($A207&lt;&gt;21,"対象外",IF($AE207&amp;""="00000000","在職",IF($AE207&amp;""=設定!$C$4,"4/1喪失","その他喪失"))))</f>
        <v>対象外</v>
      </c>
    </row>
    <row r="208" customFormat="false" ht="15" hidden="false" customHeight="false" outlineLevel="0" collapsed="false">
      <c r="A208" s="0" t="n">
        <v>31</v>
      </c>
      <c r="AA208" s="0" t="n">
        <v>21</v>
      </c>
      <c r="AB208" s="0" t="s">
        <v>458</v>
      </c>
      <c r="AD208" s="0" t="n">
        <v>0</v>
      </c>
      <c r="AE208" s="0" t="s">
        <v>295</v>
      </c>
      <c r="AH208" s="0" t="n">
        <v>1</v>
      </c>
      <c r="AJ208" s="0" t="n">
        <v>10</v>
      </c>
      <c r="AP208" s="0" t="n">
        <v>280000</v>
      </c>
      <c r="DB208" s="0" t="str">
        <f aca="false">IF($A208="","",IF($A208&lt;&gt;21,"対象外",IF($AE208&amp;""="00000000","在職",IF($AE208&amp;""=設定!$C$4,"4/1喪失","その他喪失"))))</f>
        <v>対象外</v>
      </c>
    </row>
    <row r="209" customFormat="false" ht="15" hidden="false" customHeight="false" outlineLevel="0" collapsed="false">
      <c r="A209" s="0" t="n">
        <v>31</v>
      </c>
      <c r="AA209" s="0" t="n">
        <v>21</v>
      </c>
      <c r="AB209" s="0" t="s">
        <v>496</v>
      </c>
      <c r="AD209" s="0" t="n">
        <v>0</v>
      </c>
      <c r="AE209" s="0" t="s">
        <v>295</v>
      </c>
      <c r="AH209" s="0" t="n">
        <v>11</v>
      </c>
      <c r="AJ209" s="0" t="n">
        <v>41</v>
      </c>
      <c r="AP209" s="0" t="n">
        <v>190000</v>
      </c>
      <c r="DB209" s="0" t="str">
        <f aca="false">IF($A209="","",IF($A209&lt;&gt;21,"対象外",IF($AE209&amp;""="00000000","在職",IF($AE209&amp;""=設定!$C$4,"4/1喪失","その他喪失"))))</f>
        <v>対象外</v>
      </c>
    </row>
    <row r="210" customFormat="false" ht="15" hidden="false" customHeight="false" outlineLevel="0" collapsed="false">
      <c r="A210" s="0" t="n">
        <v>31</v>
      </c>
      <c r="AA210" s="0" t="n">
        <v>21</v>
      </c>
      <c r="AB210" s="0" t="s">
        <v>496</v>
      </c>
      <c r="AD210" s="0" t="n">
        <v>0</v>
      </c>
      <c r="AE210" s="0" t="s">
        <v>295</v>
      </c>
      <c r="AH210" s="0" t="n">
        <v>1</v>
      </c>
      <c r="AJ210" s="0" t="n">
        <v>41</v>
      </c>
      <c r="AP210" s="0" t="n">
        <v>220000</v>
      </c>
      <c r="DB210" s="0" t="str">
        <f aca="false">IF($A210="","",IF($A210&lt;&gt;21,"対象外",IF($AE210&amp;""="00000000","在職",IF($AE210&amp;""=設定!$C$4,"4/1喪失","その他喪失"))))</f>
        <v>対象外</v>
      </c>
    </row>
    <row r="211" customFormat="false" ht="15" hidden="false" customHeight="false" outlineLevel="0" collapsed="false">
      <c r="A211" s="0" t="n">
        <v>21</v>
      </c>
      <c r="AA211" s="0" t="n">
        <v>21</v>
      </c>
      <c r="AB211" s="0" t="s">
        <v>758</v>
      </c>
      <c r="AD211" s="0" t="n">
        <v>0</v>
      </c>
      <c r="AE211" s="0" t="s">
        <v>295</v>
      </c>
      <c r="AH211" s="0" t="n">
        <v>1</v>
      </c>
      <c r="AJ211" s="0" t="n">
        <v>10</v>
      </c>
      <c r="AP211" s="0" t="n">
        <v>980000</v>
      </c>
      <c r="DB211" s="0" t="str">
        <f aca="false">IF($A211="","",IF($A211&lt;&gt;21,"対象外",IF($AE211&amp;""="00000000","在職",IF($AE211&amp;""=設定!$C$4,"4/1喪失","その他喪失"))))</f>
        <v>在職</v>
      </c>
    </row>
    <row r="212" customFormat="false" ht="15" hidden="false" customHeight="false" outlineLevel="0" collapsed="false">
      <c r="A212" s="0" t="n">
        <v>31</v>
      </c>
      <c r="AA212" s="0" t="n">
        <v>21</v>
      </c>
      <c r="AB212" s="0" t="s">
        <v>496</v>
      </c>
      <c r="AD212" s="0" t="n">
        <v>0</v>
      </c>
      <c r="AE212" s="0" t="s">
        <v>295</v>
      </c>
      <c r="AH212" s="0" t="n">
        <v>1</v>
      </c>
      <c r="AJ212" s="0" t="n">
        <v>41</v>
      </c>
      <c r="AP212" s="0" t="n">
        <v>142000</v>
      </c>
      <c r="DB212" s="0" t="str">
        <f aca="false">IF($A212="","",IF($A212&lt;&gt;21,"対象外",IF($AE212&amp;""="00000000","在職",IF($AE212&amp;""=設定!$C$4,"4/1喪失","その他喪失"))))</f>
        <v>対象外</v>
      </c>
    </row>
    <row r="213" customFormat="false" ht="15" hidden="false" customHeight="false" outlineLevel="0" collapsed="false">
      <c r="A213" s="0" t="n">
        <v>31</v>
      </c>
      <c r="AA213" s="0" t="n">
        <v>21</v>
      </c>
      <c r="AB213" s="0" t="s">
        <v>496</v>
      </c>
      <c r="AD213" s="0" t="n">
        <v>0</v>
      </c>
      <c r="AE213" s="0" t="s">
        <v>295</v>
      </c>
      <c r="AH213" s="0" t="n">
        <v>11</v>
      </c>
      <c r="AJ213" s="0" t="n">
        <v>41</v>
      </c>
      <c r="AP213" s="0" t="n">
        <v>190000</v>
      </c>
      <c r="DB213" s="0" t="str">
        <f aca="false">IF($A213="","",IF($A213&lt;&gt;21,"対象外",IF($AE213&amp;""="00000000","在職",IF($AE213&amp;""=設定!$C$4,"4/1喪失","その他喪失"))))</f>
        <v>対象外</v>
      </c>
    </row>
    <row r="214" customFormat="false" ht="15" hidden="false" customHeight="false" outlineLevel="0" collapsed="false">
      <c r="A214" s="0" t="n">
        <v>31</v>
      </c>
      <c r="AA214" s="0" t="n">
        <v>24</v>
      </c>
      <c r="AB214" s="0" t="s">
        <v>494</v>
      </c>
      <c r="AD214" s="0" t="n">
        <v>0</v>
      </c>
      <c r="AE214" s="0" t="s">
        <v>295</v>
      </c>
      <c r="AH214" s="0" t="n">
        <v>1</v>
      </c>
      <c r="AJ214" s="0" t="n">
        <v>41</v>
      </c>
      <c r="AP214" s="0" t="n">
        <v>142000</v>
      </c>
      <c r="DB214" s="0" t="str">
        <f aca="false">IF($A214="","",IF($A214&lt;&gt;21,"対象外",IF($AE214&amp;""="00000000","在職",IF($AE214&amp;""=設定!$C$4,"4/1喪失","その他喪失"))))</f>
        <v>対象外</v>
      </c>
    </row>
    <row r="215" customFormat="false" ht="15" hidden="false" customHeight="false" outlineLevel="0" collapsed="false">
      <c r="A215" s="0" t="n">
        <v>31</v>
      </c>
      <c r="AA215" s="0" t="n">
        <v>21</v>
      </c>
      <c r="AB215" s="0" t="s">
        <v>496</v>
      </c>
      <c r="AD215" s="0" t="n">
        <v>0</v>
      </c>
      <c r="AE215" s="0" t="s">
        <v>295</v>
      </c>
      <c r="AH215" s="0" t="n">
        <v>1</v>
      </c>
      <c r="AJ215" s="0" t="n">
        <v>41</v>
      </c>
      <c r="AP215" s="0" t="n">
        <v>200000</v>
      </c>
      <c r="DB215" s="0" t="str">
        <f aca="false">IF($A215="","",IF($A215&lt;&gt;21,"対象外",IF($AE215&amp;""="00000000","在職",IF($AE215&amp;""=設定!$C$4,"4/1喪失","その他喪失"))))</f>
        <v>対象外</v>
      </c>
    </row>
    <row r="216" customFormat="false" ht="15" hidden="false" customHeight="false" outlineLevel="0" collapsed="false">
      <c r="A216" s="0" t="n">
        <v>31</v>
      </c>
      <c r="AA216" s="0" t="n">
        <v>21</v>
      </c>
      <c r="AB216" s="0" t="s">
        <v>496</v>
      </c>
      <c r="AD216" s="0" t="n">
        <v>0</v>
      </c>
      <c r="AE216" s="0" t="s">
        <v>295</v>
      </c>
      <c r="AH216" s="0" t="n">
        <v>1</v>
      </c>
      <c r="AJ216" s="0" t="n">
        <v>41</v>
      </c>
      <c r="AP216" s="0" t="n">
        <v>200000</v>
      </c>
      <c r="DB216" s="0" t="str">
        <f aca="false">IF($A216="","",IF($A216&lt;&gt;21,"対象外",IF($AE216&amp;""="00000000","在職",IF($AE216&amp;""=設定!$C$4,"4/1喪失","その他喪失"))))</f>
        <v>対象外</v>
      </c>
    </row>
    <row r="217" customFormat="false" ht="15" hidden="false" customHeight="false" outlineLevel="0" collapsed="false">
      <c r="A217" s="0" t="n">
        <v>31</v>
      </c>
      <c r="AA217" s="0" t="n">
        <v>21</v>
      </c>
      <c r="AB217" s="0" t="s">
        <v>496</v>
      </c>
      <c r="AD217" s="0" t="n">
        <v>0</v>
      </c>
      <c r="AE217" s="0" t="s">
        <v>295</v>
      </c>
      <c r="AH217" s="0" t="n">
        <v>11</v>
      </c>
      <c r="AJ217" s="0" t="n">
        <v>41</v>
      </c>
      <c r="AP217" s="0" t="n">
        <v>190000</v>
      </c>
      <c r="DB217" s="0" t="str">
        <f aca="false">IF($A217="","",IF($A217&lt;&gt;21,"対象外",IF($AE217&amp;""="00000000","在職",IF($AE217&amp;""=設定!$C$4,"4/1喪失","その他喪失"))))</f>
        <v>対象外</v>
      </c>
    </row>
    <row r="218" customFormat="false" ht="15" hidden="false" customHeight="false" outlineLevel="0" collapsed="false">
      <c r="A218" s="0" t="n">
        <v>31</v>
      </c>
      <c r="AA218" s="0" t="n">
        <v>21</v>
      </c>
      <c r="AB218" s="0" t="s">
        <v>496</v>
      </c>
      <c r="AD218" s="0" t="n">
        <v>0</v>
      </c>
      <c r="AE218" s="0" t="s">
        <v>295</v>
      </c>
      <c r="AH218" s="0" t="n">
        <v>11</v>
      </c>
      <c r="AJ218" s="0" t="n">
        <v>41</v>
      </c>
      <c r="AP218" s="0" t="n">
        <v>190000</v>
      </c>
      <c r="DB218" s="0" t="str">
        <f aca="false">IF($A218="","",IF($A218&lt;&gt;21,"対象外",IF($AE218&amp;""="00000000","在職",IF($AE218&amp;""=設定!$C$4,"4/1喪失","その他喪失"))))</f>
        <v>対象外</v>
      </c>
    </row>
    <row r="219" customFormat="false" ht="15" hidden="false" customHeight="false" outlineLevel="0" collapsed="false">
      <c r="A219" s="0" t="n">
        <v>31</v>
      </c>
      <c r="AA219" s="0" t="n">
        <v>21</v>
      </c>
      <c r="AB219" s="0" t="s">
        <v>496</v>
      </c>
      <c r="AD219" s="0" t="n">
        <v>0</v>
      </c>
      <c r="AE219" s="0" t="s">
        <v>295</v>
      </c>
      <c r="AH219" s="0" t="n">
        <v>1</v>
      </c>
      <c r="AJ219" s="0" t="n">
        <v>41</v>
      </c>
      <c r="AP219" s="0" t="n">
        <v>134000</v>
      </c>
      <c r="DB219" s="0" t="str">
        <f aca="false">IF($A219="","",IF($A219&lt;&gt;21,"対象外",IF($AE219&amp;""="00000000","在職",IF($AE219&amp;""=設定!$C$4,"4/1喪失","その他喪失"))))</f>
        <v>対象外</v>
      </c>
    </row>
    <row r="220" customFormat="false" ht="15" hidden="false" customHeight="false" outlineLevel="0" collapsed="false">
      <c r="A220" s="0" t="n">
        <v>31</v>
      </c>
      <c r="AA220" s="0" t="n">
        <v>21</v>
      </c>
      <c r="AB220" s="0" t="s">
        <v>759</v>
      </c>
      <c r="AD220" s="0" t="n">
        <v>0</v>
      </c>
      <c r="AE220" s="0" t="s">
        <v>295</v>
      </c>
      <c r="AH220" s="0" t="n">
        <v>11</v>
      </c>
      <c r="AJ220" s="0" t="n">
        <v>41</v>
      </c>
      <c r="AP220" s="0" t="n">
        <v>118000</v>
      </c>
      <c r="DB220" s="0" t="str">
        <f aca="false">IF($A220="","",IF($A220&lt;&gt;21,"対象外",IF($AE220&amp;""="00000000","在職",IF($AE220&amp;""=設定!$C$4,"4/1喪失","その他喪失"))))</f>
        <v>対象外</v>
      </c>
    </row>
    <row r="221" customFormat="false" ht="15" hidden="false" customHeight="false" outlineLevel="0" collapsed="false">
      <c r="A221" s="0" t="n">
        <v>31</v>
      </c>
      <c r="AA221" s="0" t="n">
        <v>21</v>
      </c>
      <c r="AB221" s="0" t="s">
        <v>496</v>
      </c>
      <c r="AD221" s="0" t="n">
        <v>0</v>
      </c>
      <c r="AE221" s="0" t="s">
        <v>295</v>
      </c>
      <c r="AH221" s="0" t="n">
        <v>1</v>
      </c>
      <c r="AJ221" s="0" t="n">
        <v>41</v>
      </c>
      <c r="AP221" s="0" t="n">
        <v>134000</v>
      </c>
      <c r="DB221" s="0" t="str">
        <f aca="false">IF($A221="","",IF($A221&lt;&gt;21,"対象外",IF($AE221&amp;""="00000000","在職",IF($AE221&amp;""=設定!$C$4,"4/1喪失","その他喪失"))))</f>
        <v>対象外</v>
      </c>
    </row>
    <row r="222" customFormat="false" ht="15" hidden="false" customHeight="false" outlineLevel="0" collapsed="false">
      <c r="A222" s="0" t="n">
        <v>31</v>
      </c>
      <c r="AA222" s="0" t="n">
        <v>21</v>
      </c>
      <c r="AB222" s="0" t="s">
        <v>496</v>
      </c>
      <c r="AD222" s="0" t="n">
        <v>0</v>
      </c>
      <c r="AE222" s="0" t="s">
        <v>295</v>
      </c>
      <c r="AH222" s="0" t="n">
        <v>1</v>
      </c>
      <c r="AJ222" s="0" t="n">
        <v>41</v>
      </c>
      <c r="AP222" s="0" t="n">
        <v>134000</v>
      </c>
      <c r="DB222" s="0" t="str">
        <f aca="false">IF($A222="","",IF($A222&lt;&gt;21,"対象外",IF($AE222&amp;""="00000000","在職",IF($AE222&amp;""=設定!$C$4,"4/1喪失","その他喪失"))))</f>
        <v>対象外</v>
      </c>
    </row>
    <row r="223" customFormat="false" ht="15" hidden="false" customHeight="false" outlineLevel="0" collapsed="false">
      <c r="A223" s="0" t="n">
        <v>31</v>
      </c>
      <c r="AA223" s="0" t="n">
        <v>21</v>
      </c>
      <c r="AB223" s="0" t="s">
        <v>496</v>
      </c>
      <c r="AD223" s="0" t="n">
        <v>0</v>
      </c>
      <c r="AE223" s="0" t="s">
        <v>295</v>
      </c>
      <c r="AH223" s="0" t="n">
        <v>1</v>
      </c>
      <c r="AJ223" s="0" t="n">
        <v>41</v>
      </c>
      <c r="AP223" s="0" t="n">
        <v>200000</v>
      </c>
      <c r="DB223" s="0" t="str">
        <f aca="false">IF($A223="","",IF($A223&lt;&gt;21,"対象外",IF($AE223&amp;""="00000000","在職",IF($AE223&amp;""=設定!$C$4,"4/1喪失","その他喪失"))))</f>
        <v>対象外</v>
      </c>
    </row>
    <row r="224" customFormat="false" ht="15" hidden="false" customHeight="false" outlineLevel="0" collapsed="false">
      <c r="A224" s="0" t="n">
        <v>31</v>
      </c>
      <c r="AA224" s="0" t="n">
        <v>21</v>
      </c>
      <c r="AB224" s="0" t="s">
        <v>496</v>
      </c>
      <c r="AD224" s="0" t="n">
        <v>0</v>
      </c>
      <c r="AE224" s="0" t="s">
        <v>295</v>
      </c>
      <c r="AH224" s="0" t="n">
        <v>1</v>
      </c>
      <c r="AJ224" s="0" t="n">
        <v>41</v>
      </c>
      <c r="AP224" s="0" t="n">
        <v>240000</v>
      </c>
      <c r="DB224" s="0" t="str">
        <f aca="false">IF($A224="","",IF($A224&lt;&gt;21,"対象外",IF($AE224&amp;""="00000000","在職",IF($AE224&amp;""=設定!$C$4,"4/1喪失","その他喪失"))))</f>
        <v>対象外</v>
      </c>
    </row>
    <row r="225" customFormat="false" ht="15" hidden="false" customHeight="false" outlineLevel="0" collapsed="false">
      <c r="A225" s="0" t="n">
        <v>31</v>
      </c>
      <c r="AA225" s="0" t="n">
        <v>21</v>
      </c>
      <c r="AB225" s="0" t="s">
        <v>96</v>
      </c>
      <c r="AD225" s="0" t="n">
        <v>0</v>
      </c>
      <c r="AE225" s="0" t="s">
        <v>295</v>
      </c>
      <c r="AH225" s="0" t="n">
        <v>1</v>
      </c>
      <c r="AJ225" s="0" t="n">
        <v>41</v>
      </c>
      <c r="AP225" s="0" t="n">
        <v>220000</v>
      </c>
      <c r="DB225" s="0" t="str">
        <f aca="false">IF($A225="","",IF($A225&lt;&gt;21,"対象外",IF($AE225&amp;""="00000000","在職",IF($AE225&amp;""=設定!$C$4,"4/1喪失","その他喪失"))))</f>
        <v>対象外</v>
      </c>
    </row>
    <row r="226" customFormat="false" ht="15" hidden="false" customHeight="false" outlineLevel="0" collapsed="false">
      <c r="A226" s="0" t="n">
        <v>31</v>
      </c>
      <c r="AA226" s="0" t="n">
        <v>21</v>
      </c>
      <c r="AB226" s="0" t="s">
        <v>496</v>
      </c>
      <c r="AD226" s="0" t="n">
        <v>0</v>
      </c>
      <c r="AE226" s="0" t="s">
        <v>295</v>
      </c>
      <c r="AH226" s="0" t="n">
        <v>11</v>
      </c>
      <c r="AJ226" s="0" t="n">
        <v>41</v>
      </c>
      <c r="AP226" s="0" t="n">
        <v>126000</v>
      </c>
      <c r="DB226" s="0" t="str">
        <f aca="false">IF($A226="","",IF($A226&lt;&gt;21,"対象外",IF($AE226&amp;""="00000000","在職",IF($AE226&amp;""=設定!$C$4,"4/1喪失","その他喪失"))))</f>
        <v>対象外</v>
      </c>
    </row>
    <row r="227" customFormat="false" ht="15" hidden="false" customHeight="false" outlineLevel="0" collapsed="false">
      <c r="A227" s="0" t="n">
        <v>31</v>
      </c>
      <c r="AA227" s="0" t="n">
        <v>21</v>
      </c>
      <c r="AB227" s="0" t="s">
        <v>496</v>
      </c>
      <c r="AD227" s="0" t="n">
        <v>0</v>
      </c>
      <c r="AE227" s="0" t="s">
        <v>295</v>
      </c>
      <c r="AH227" s="0" t="n">
        <v>11</v>
      </c>
      <c r="AJ227" s="0" t="n">
        <v>41</v>
      </c>
      <c r="AP227" s="0" t="n">
        <v>118000</v>
      </c>
      <c r="DB227" s="0" t="str">
        <f aca="false">IF($A227="","",IF($A227&lt;&gt;21,"対象外",IF($AE227&amp;""="00000000","在職",IF($AE227&amp;""=設定!$C$4,"4/1喪失","その他喪失"))))</f>
        <v>対象外</v>
      </c>
    </row>
    <row r="228" customFormat="false" ht="15" hidden="false" customHeight="false" outlineLevel="0" collapsed="false">
      <c r="A228" s="0" t="n">
        <v>31</v>
      </c>
      <c r="AA228" s="0" t="n">
        <v>21</v>
      </c>
      <c r="AB228" s="0" t="s">
        <v>496</v>
      </c>
      <c r="AD228" s="0" t="n">
        <v>0</v>
      </c>
      <c r="AE228" s="0" t="s">
        <v>295</v>
      </c>
      <c r="AH228" s="0" t="n">
        <v>1</v>
      </c>
      <c r="AJ228" s="0" t="n">
        <v>41</v>
      </c>
      <c r="AP228" s="0" t="n">
        <v>142000</v>
      </c>
      <c r="DB228" s="0" t="str">
        <f aca="false">IF($A228="","",IF($A228&lt;&gt;21,"対象外",IF($AE228&amp;""="00000000","在職",IF($AE228&amp;""=設定!$C$4,"4/1喪失","その他喪失"))))</f>
        <v>対象外</v>
      </c>
    </row>
    <row r="229" customFormat="false" ht="15" hidden="false" customHeight="false" outlineLevel="0" collapsed="false">
      <c r="A229" s="0" t="n">
        <v>21</v>
      </c>
      <c r="AA229" s="0" t="n">
        <v>24</v>
      </c>
      <c r="AB229" s="0" t="s">
        <v>410</v>
      </c>
      <c r="AD229" s="0" t="n">
        <v>0</v>
      </c>
      <c r="AE229" s="0" t="s">
        <v>295</v>
      </c>
      <c r="AH229" s="0" t="n">
        <v>20</v>
      </c>
      <c r="AJ229" s="0" t="n">
        <v>10</v>
      </c>
      <c r="AP229" s="0" t="n">
        <v>320000</v>
      </c>
      <c r="DB229" s="0" t="str">
        <f aca="false">IF($A229="","",IF($A229&lt;&gt;21,"対象外",IF($AE229&amp;""="00000000","在職",IF($AE229&amp;""=設定!$C$4,"4/1喪失","その他喪失"))))</f>
        <v>在職</v>
      </c>
    </row>
    <row r="230" customFormat="false" ht="15" hidden="false" customHeight="false" outlineLevel="0" collapsed="false">
      <c r="A230" s="0" t="n">
        <v>31</v>
      </c>
      <c r="AA230" s="0" t="n">
        <v>21</v>
      </c>
      <c r="AB230" s="0" t="s">
        <v>496</v>
      </c>
      <c r="AD230" s="0" t="n">
        <v>0</v>
      </c>
      <c r="AE230" s="0" t="s">
        <v>295</v>
      </c>
      <c r="AH230" s="0" t="n">
        <v>11</v>
      </c>
      <c r="AJ230" s="0" t="n">
        <v>41</v>
      </c>
      <c r="AP230" s="0" t="n">
        <v>134000</v>
      </c>
      <c r="DB230" s="0" t="str">
        <f aca="false">IF($A230="","",IF($A230&lt;&gt;21,"対象外",IF($AE230&amp;""="00000000","在職",IF($AE230&amp;""=設定!$C$4,"4/1喪失","その他喪失"))))</f>
        <v>対象外</v>
      </c>
    </row>
    <row r="231" customFormat="false" ht="15" hidden="false" customHeight="false" outlineLevel="0" collapsed="false">
      <c r="A231" s="0" t="n">
        <v>31</v>
      </c>
      <c r="AA231" s="0" t="n">
        <v>21</v>
      </c>
      <c r="AB231" s="0" t="s">
        <v>496</v>
      </c>
      <c r="AD231" s="0" t="n">
        <v>0</v>
      </c>
      <c r="AE231" s="0" t="s">
        <v>295</v>
      </c>
      <c r="AH231" s="0" t="n">
        <v>1</v>
      </c>
      <c r="AJ231" s="0" t="n">
        <v>41</v>
      </c>
      <c r="AP231" s="0" t="n">
        <v>220000</v>
      </c>
      <c r="DB231" s="0" t="str">
        <f aca="false">IF($A231="","",IF($A231&lt;&gt;21,"対象外",IF($AE231&amp;""="00000000","在職",IF($AE231&amp;""=設定!$C$4,"4/1喪失","その他喪失"))))</f>
        <v>対象外</v>
      </c>
    </row>
    <row r="232" customFormat="false" ht="15" hidden="false" customHeight="false" outlineLevel="0" collapsed="false">
      <c r="A232" s="0" t="n">
        <v>21</v>
      </c>
      <c r="AA232" s="0" t="n">
        <v>21</v>
      </c>
      <c r="AB232" s="0" t="s">
        <v>387</v>
      </c>
      <c r="AD232" s="0" t="n">
        <v>0</v>
      </c>
      <c r="AE232" s="0" t="s">
        <v>295</v>
      </c>
      <c r="AH232" s="0" t="n">
        <v>11</v>
      </c>
      <c r="AJ232" s="0" t="n">
        <v>10</v>
      </c>
      <c r="AP232" s="0" t="n">
        <v>320000</v>
      </c>
      <c r="DB232" s="0" t="str">
        <f aca="false">IF($A232="","",IF($A232&lt;&gt;21,"対象外",IF($AE232&amp;""="00000000","在職",IF($AE232&amp;""=設定!$C$4,"4/1喪失","その他喪失"))))</f>
        <v>在職</v>
      </c>
    </row>
    <row r="233" customFormat="false" ht="15" hidden="false" customHeight="false" outlineLevel="0" collapsed="false">
      <c r="A233" s="0" t="n">
        <v>21</v>
      </c>
      <c r="AA233" s="0" t="n">
        <v>21</v>
      </c>
      <c r="AB233" s="0" t="s">
        <v>426</v>
      </c>
      <c r="AD233" s="0" t="n">
        <v>0</v>
      </c>
      <c r="AE233" s="0" t="s">
        <v>295</v>
      </c>
      <c r="AH233" s="0" t="n">
        <v>20</v>
      </c>
      <c r="AJ233" s="0" t="n">
        <v>10</v>
      </c>
      <c r="AP233" s="0" t="n">
        <v>260000</v>
      </c>
      <c r="DB233" s="0" t="str">
        <f aca="false">IF($A233="","",IF($A233&lt;&gt;21,"対象外",IF($AE233&amp;""="00000000","在職",IF($AE233&amp;""=設定!$C$4,"4/1喪失","その他喪失"))))</f>
        <v>在職</v>
      </c>
    </row>
    <row r="234" customFormat="false" ht="15" hidden="false" customHeight="false" outlineLevel="0" collapsed="false">
      <c r="A234" s="0" t="n">
        <v>31</v>
      </c>
      <c r="AA234" s="0" t="n">
        <v>21</v>
      </c>
      <c r="AB234" s="0" t="s">
        <v>496</v>
      </c>
      <c r="AD234" s="0" t="n">
        <v>0</v>
      </c>
      <c r="AE234" s="0" t="s">
        <v>295</v>
      </c>
      <c r="AH234" s="0" t="n">
        <v>1</v>
      </c>
      <c r="AJ234" s="0" t="n">
        <v>41</v>
      </c>
      <c r="AP234" s="0" t="n">
        <v>142000</v>
      </c>
      <c r="DB234" s="0" t="str">
        <f aca="false">IF($A234="","",IF($A234&lt;&gt;21,"対象外",IF($AE234&amp;""="00000000","在職",IF($AE234&amp;""=設定!$C$4,"4/1喪失","その他喪失"))))</f>
        <v>対象外</v>
      </c>
    </row>
    <row r="235" customFormat="false" ht="15" hidden="false" customHeight="false" outlineLevel="0" collapsed="false">
      <c r="A235" s="0" t="n">
        <v>31</v>
      </c>
      <c r="AA235" s="0" t="n">
        <v>21</v>
      </c>
      <c r="AB235" s="0" t="s">
        <v>496</v>
      </c>
      <c r="AD235" s="0" t="n">
        <v>0</v>
      </c>
      <c r="AE235" s="0" t="s">
        <v>295</v>
      </c>
      <c r="AH235" s="0" t="n">
        <v>1</v>
      </c>
      <c r="AJ235" s="0" t="n">
        <v>41</v>
      </c>
      <c r="AP235" s="0" t="n">
        <v>200000</v>
      </c>
      <c r="DB235" s="0" t="str">
        <f aca="false">IF($A235="","",IF($A235&lt;&gt;21,"対象外",IF($AE235&amp;""="00000000","在職",IF($AE235&amp;""=設定!$C$4,"4/1喪失","その他喪失"))))</f>
        <v>対象外</v>
      </c>
    </row>
    <row r="236" customFormat="false" ht="15" hidden="false" customHeight="false" outlineLevel="0" collapsed="false">
      <c r="A236" s="0" t="n">
        <v>31</v>
      </c>
      <c r="AA236" s="0" t="n">
        <v>21</v>
      </c>
      <c r="AB236" s="0" t="s">
        <v>496</v>
      </c>
      <c r="AD236" s="0" t="n">
        <v>0</v>
      </c>
      <c r="AE236" s="0" t="s">
        <v>295</v>
      </c>
      <c r="AH236" s="0" t="n">
        <v>1</v>
      </c>
      <c r="AJ236" s="0" t="n">
        <v>41</v>
      </c>
      <c r="AP236" s="0" t="n">
        <v>200000</v>
      </c>
      <c r="DB236" s="0" t="str">
        <f aca="false">IF($A236="","",IF($A236&lt;&gt;21,"対象外",IF($AE236&amp;""="00000000","在職",IF($AE236&amp;""=設定!$C$4,"4/1喪失","その他喪失"))))</f>
        <v>対象外</v>
      </c>
    </row>
    <row r="237" customFormat="false" ht="15" hidden="false" customHeight="false" outlineLevel="0" collapsed="false">
      <c r="A237" s="0" t="n">
        <v>21</v>
      </c>
      <c r="AA237" s="0" t="n">
        <v>21</v>
      </c>
      <c r="AB237" s="0" t="s">
        <v>441</v>
      </c>
      <c r="AD237" s="0" t="n">
        <v>0</v>
      </c>
      <c r="AE237" s="0" t="s">
        <v>295</v>
      </c>
      <c r="AH237" s="0" t="n">
        <v>11</v>
      </c>
      <c r="AJ237" s="0" t="n">
        <v>10</v>
      </c>
      <c r="AP237" s="0" t="n">
        <v>320000</v>
      </c>
      <c r="DB237" s="0" t="str">
        <f aca="false">IF($A237="","",IF($A237&lt;&gt;21,"対象外",IF($AE237&amp;""="00000000","在職",IF($AE237&amp;""=設定!$C$4,"4/1喪失","その他喪失"))))</f>
        <v>在職</v>
      </c>
    </row>
    <row r="238" customFormat="false" ht="15" hidden="false" customHeight="false" outlineLevel="0" collapsed="false">
      <c r="A238" s="0" t="n">
        <v>31</v>
      </c>
      <c r="AA238" s="0" t="n">
        <v>21</v>
      </c>
      <c r="AB238" s="0" t="s">
        <v>496</v>
      </c>
      <c r="AD238" s="0" t="n">
        <v>0</v>
      </c>
      <c r="AE238" s="0" t="s">
        <v>295</v>
      </c>
      <c r="AH238" s="0" t="n">
        <v>11</v>
      </c>
      <c r="AJ238" s="0" t="n">
        <v>41</v>
      </c>
      <c r="AP238" s="0" t="n">
        <v>126000</v>
      </c>
      <c r="DB238" s="0" t="str">
        <f aca="false">IF($A238="","",IF($A238&lt;&gt;21,"対象外",IF($AE238&amp;""="00000000","在職",IF($AE238&amp;""=設定!$C$4,"4/1喪失","その他喪失"))))</f>
        <v>対象外</v>
      </c>
    </row>
    <row r="239" customFormat="false" ht="15" hidden="false" customHeight="false" outlineLevel="0" collapsed="false">
      <c r="A239" s="0" t="n">
        <v>21</v>
      </c>
      <c r="AA239" s="0" t="n">
        <v>21</v>
      </c>
      <c r="AB239" s="0" t="s">
        <v>760</v>
      </c>
      <c r="AD239" s="0" t="n">
        <v>0</v>
      </c>
      <c r="AE239" s="0" t="s">
        <v>295</v>
      </c>
      <c r="AH239" s="0" t="n">
        <v>20</v>
      </c>
      <c r="AJ239" s="0" t="n">
        <v>10</v>
      </c>
      <c r="AP239" s="0" t="n">
        <v>360000</v>
      </c>
      <c r="DB239" s="0" t="str">
        <f aca="false">IF($A239="","",IF($A239&lt;&gt;21,"対象外",IF($AE239&amp;""="00000000","在職",IF($AE239&amp;""=設定!$C$4,"4/1喪失","その他喪失"))))</f>
        <v>在職</v>
      </c>
    </row>
    <row r="240" customFormat="false" ht="15" hidden="false" customHeight="false" outlineLevel="0" collapsed="false">
      <c r="A240" s="0" t="n">
        <v>21</v>
      </c>
      <c r="AA240" s="0" t="n">
        <v>21</v>
      </c>
      <c r="AB240" s="0" t="s">
        <v>487</v>
      </c>
      <c r="AD240" s="0" t="n">
        <v>0</v>
      </c>
      <c r="AE240" s="0" t="s">
        <v>295</v>
      </c>
      <c r="AH240" s="0" t="n">
        <v>20</v>
      </c>
      <c r="AJ240" s="0" t="n">
        <v>10</v>
      </c>
      <c r="AP240" s="0" t="n">
        <v>260000</v>
      </c>
      <c r="DB240" s="0" t="str">
        <f aca="false">IF($A240="","",IF($A240&lt;&gt;21,"対象外",IF($AE240&amp;""="00000000","在職",IF($AE240&amp;""=設定!$C$4,"4/1喪失","その他喪失"))))</f>
        <v>在職</v>
      </c>
    </row>
    <row r="241" customFormat="false" ht="15" hidden="false" customHeight="false" outlineLevel="0" collapsed="false">
      <c r="A241" s="0" t="n">
        <v>31</v>
      </c>
      <c r="AA241" s="0" t="n">
        <v>21</v>
      </c>
      <c r="AB241" s="0" t="s">
        <v>496</v>
      </c>
      <c r="AD241" s="0" t="n">
        <v>0</v>
      </c>
      <c r="AE241" s="0" t="s">
        <v>295</v>
      </c>
      <c r="AH241" s="0" t="n">
        <v>1</v>
      </c>
      <c r="AJ241" s="0" t="n">
        <v>41</v>
      </c>
      <c r="AP241" s="0" t="n">
        <v>150000</v>
      </c>
      <c r="DB241" s="0" t="str">
        <f aca="false">IF($A241="","",IF($A241&lt;&gt;21,"対象外",IF($AE241&amp;""="00000000","在職",IF($AE241&amp;""=設定!$C$4,"4/1喪失","その他喪失"))))</f>
        <v>対象外</v>
      </c>
    </row>
    <row r="242" customFormat="false" ht="15" hidden="false" customHeight="false" outlineLevel="0" collapsed="false">
      <c r="A242" s="0" t="n">
        <v>21</v>
      </c>
      <c r="AA242" s="0" t="n">
        <v>21</v>
      </c>
      <c r="AB242" s="0" t="s">
        <v>761</v>
      </c>
      <c r="AD242" s="0" t="n">
        <v>0</v>
      </c>
      <c r="AE242" s="0" t="s">
        <v>295</v>
      </c>
      <c r="AH242" s="0" t="n">
        <v>11</v>
      </c>
      <c r="AJ242" s="0" t="n">
        <v>10</v>
      </c>
      <c r="AP242" s="0" t="n">
        <v>300000</v>
      </c>
      <c r="DB242" s="0" t="str">
        <f aca="false">IF($A242="","",IF($A242&lt;&gt;21,"対象外",IF($AE242&amp;""="00000000","在職",IF($AE242&amp;""=設定!$C$4,"4/1喪失","その他喪失"))))</f>
        <v>在職</v>
      </c>
    </row>
    <row r="243" customFormat="false" ht="15" hidden="false" customHeight="false" outlineLevel="0" collapsed="false">
      <c r="A243" s="0" t="n">
        <v>21</v>
      </c>
      <c r="AA243" s="0" t="n">
        <v>21</v>
      </c>
      <c r="AB243" s="0" t="s">
        <v>762</v>
      </c>
      <c r="AD243" s="0" t="n">
        <v>0</v>
      </c>
      <c r="AE243" s="0" t="s">
        <v>295</v>
      </c>
      <c r="AH243" s="0" t="n">
        <v>20</v>
      </c>
      <c r="AJ243" s="0" t="n">
        <v>10</v>
      </c>
      <c r="AP243" s="0" t="n">
        <v>410000</v>
      </c>
      <c r="DB243" s="0" t="str">
        <f aca="false">IF($A243="","",IF($A243&lt;&gt;21,"対象外",IF($AE243&amp;""="00000000","在職",IF($AE243&amp;""=設定!$C$4,"4/1喪失","その他喪失"))))</f>
        <v>在職</v>
      </c>
    </row>
    <row r="244" customFormat="false" ht="15" hidden="false" customHeight="false" outlineLevel="0" collapsed="false">
      <c r="A244" s="0" t="n">
        <v>31</v>
      </c>
      <c r="AA244" s="0" t="n">
        <v>21</v>
      </c>
      <c r="AB244" s="0" t="s">
        <v>496</v>
      </c>
      <c r="AD244" s="0" t="n">
        <v>0</v>
      </c>
      <c r="AE244" s="0" t="s">
        <v>295</v>
      </c>
      <c r="AH244" s="0" t="n">
        <v>1</v>
      </c>
      <c r="AJ244" s="0" t="n">
        <v>41</v>
      </c>
      <c r="AP244" s="0" t="n">
        <v>150000</v>
      </c>
      <c r="DB244" s="0" t="str">
        <f aca="false">IF($A244="","",IF($A244&lt;&gt;21,"対象外",IF($AE244&amp;""="00000000","在職",IF($AE244&amp;""=設定!$C$4,"4/1喪失","その他喪失"))))</f>
        <v>対象外</v>
      </c>
    </row>
    <row r="245" customFormat="false" ht="15" hidden="false" customHeight="false" outlineLevel="0" collapsed="false">
      <c r="A245" s="0" t="n">
        <v>31</v>
      </c>
      <c r="AA245" s="0" t="n">
        <v>21</v>
      </c>
      <c r="AB245" s="0" t="s">
        <v>496</v>
      </c>
      <c r="AD245" s="0" t="n">
        <v>0</v>
      </c>
      <c r="AE245" s="0" t="s">
        <v>295</v>
      </c>
      <c r="AH245" s="0" t="n">
        <v>1</v>
      </c>
      <c r="AJ245" s="0" t="n">
        <v>41</v>
      </c>
      <c r="AP245" s="0" t="n">
        <v>150000</v>
      </c>
      <c r="DB245" s="0" t="str">
        <f aca="false">IF($A245="","",IF($A245&lt;&gt;21,"対象外",IF($AE245&amp;""="00000000","在職",IF($AE245&amp;""=設定!$C$4,"4/1喪失","その他喪失"))))</f>
        <v>対象外</v>
      </c>
    </row>
    <row r="246" customFormat="false" ht="15" hidden="false" customHeight="false" outlineLevel="0" collapsed="false">
      <c r="A246" s="0" t="n">
        <v>31</v>
      </c>
      <c r="AA246" s="0" t="n">
        <v>21</v>
      </c>
      <c r="AB246" s="0" t="s">
        <v>496</v>
      </c>
      <c r="AD246" s="0" t="n">
        <v>0</v>
      </c>
      <c r="AE246" s="0" t="s">
        <v>295</v>
      </c>
      <c r="AH246" s="0" t="n">
        <v>1</v>
      </c>
      <c r="AJ246" s="0" t="n">
        <v>41</v>
      </c>
      <c r="AP246" s="0" t="n">
        <v>170000</v>
      </c>
      <c r="DB246" s="0" t="str">
        <f aca="false">IF($A246="","",IF($A246&lt;&gt;21,"対象外",IF($AE246&amp;""="00000000","在職",IF($AE246&amp;""=設定!$C$4,"4/1喪失","その他喪失"))))</f>
        <v>対象外</v>
      </c>
    </row>
    <row r="247" customFormat="false" ht="15" hidden="false" customHeight="false" outlineLevel="0" collapsed="false">
      <c r="A247" s="0" t="n">
        <v>31</v>
      </c>
      <c r="AA247" s="0" t="n">
        <v>21</v>
      </c>
      <c r="AB247" s="0" t="s">
        <v>496</v>
      </c>
      <c r="AD247" s="0" t="n">
        <v>0</v>
      </c>
      <c r="AE247" s="0" t="s">
        <v>295</v>
      </c>
      <c r="AH247" s="0" t="n">
        <v>11</v>
      </c>
      <c r="AJ247" s="0" t="n">
        <v>41</v>
      </c>
      <c r="AP247" s="0" t="n">
        <v>118000</v>
      </c>
      <c r="DB247" s="0" t="str">
        <f aca="false">IF($A247="","",IF($A247&lt;&gt;21,"対象外",IF($AE247&amp;""="00000000","在職",IF($AE247&amp;""=設定!$C$4,"4/1喪失","その他喪失"))))</f>
        <v>対象外</v>
      </c>
    </row>
    <row r="248" customFormat="false" ht="15" hidden="false" customHeight="false" outlineLevel="0" collapsed="false">
      <c r="A248" s="0" t="n">
        <v>21</v>
      </c>
      <c r="AA248" s="0" t="n">
        <v>21</v>
      </c>
      <c r="AB248" s="0" t="s">
        <v>438</v>
      </c>
      <c r="AD248" s="0" t="n">
        <v>0</v>
      </c>
      <c r="AE248" s="0" t="s">
        <v>295</v>
      </c>
      <c r="AH248" s="0" t="n">
        <v>11</v>
      </c>
      <c r="AJ248" s="0" t="n">
        <v>10</v>
      </c>
      <c r="AP248" s="0" t="n">
        <v>300000</v>
      </c>
      <c r="DB248" s="0" t="str">
        <f aca="false">IF($A248="","",IF($A248&lt;&gt;21,"対象外",IF($AE248&amp;""="00000000","在職",IF($AE248&amp;""=設定!$C$4,"4/1喪失","その他喪失"))))</f>
        <v>在職</v>
      </c>
    </row>
    <row r="249" customFormat="false" ht="15" hidden="false" customHeight="false" outlineLevel="0" collapsed="false">
      <c r="A249" s="0" t="n">
        <v>21</v>
      </c>
      <c r="AA249" s="0" t="n">
        <v>24</v>
      </c>
      <c r="AB249" s="0" t="s">
        <v>606</v>
      </c>
      <c r="AD249" s="0" t="n">
        <v>0</v>
      </c>
      <c r="AE249" s="0" t="s">
        <v>295</v>
      </c>
      <c r="AH249" s="0" t="n">
        <v>20</v>
      </c>
      <c r="AJ249" s="0" t="n">
        <v>10</v>
      </c>
      <c r="AP249" s="0" t="n">
        <v>280000</v>
      </c>
      <c r="DB249" s="0" t="str">
        <f aca="false">IF($A249="","",IF($A249&lt;&gt;21,"対象外",IF($AE249&amp;""="00000000","在職",IF($AE249&amp;""=設定!$C$4,"4/1喪失","その他喪失"))))</f>
        <v>在職</v>
      </c>
    </row>
    <row r="250" customFormat="false" ht="15" hidden="false" customHeight="false" outlineLevel="0" collapsed="false">
      <c r="A250" s="0" t="n">
        <v>31</v>
      </c>
      <c r="AA250" s="0" t="n">
        <v>21</v>
      </c>
      <c r="AB250" s="0" t="s">
        <v>496</v>
      </c>
      <c r="AD250" s="0" t="n">
        <v>0</v>
      </c>
      <c r="AE250" s="0" t="s">
        <v>295</v>
      </c>
      <c r="AH250" s="0" t="n">
        <v>1</v>
      </c>
      <c r="AJ250" s="0" t="n">
        <v>41</v>
      </c>
      <c r="AP250" s="0" t="n">
        <v>134000</v>
      </c>
      <c r="DB250" s="0" t="str">
        <f aca="false">IF($A250="","",IF($A250&lt;&gt;21,"対象外",IF($AE250&amp;""="00000000","在職",IF($AE250&amp;""=設定!$C$4,"4/1喪失","その他喪失"))))</f>
        <v>対象外</v>
      </c>
    </row>
    <row r="251" customFormat="false" ht="15" hidden="false" customHeight="false" outlineLevel="0" collapsed="false">
      <c r="A251" s="0" t="n">
        <v>31</v>
      </c>
      <c r="AA251" s="0" t="n">
        <v>21</v>
      </c>
      <c r="AB251" s="0" t="s">
        <v>496</v>
      </c>
      <c r="AD251" s="0" t="n">
        <v>0</v>
      </c>
      <c r="AE251" s="0" t="s">
        <v>295</v>
      </c>
      <c r="AH251" s="0" t="n">
        <v>1</v>
      </c>
      <c r="AJ251" s="0" t="n">
        <v>10</v>
      </c>
      <c r="AP251" s="0" t="n">
        <v>260000</v>
      </c>
      <c r="DB251" s="0" t="str">
        <f aca="false">IF($A251="","",IF($A251&lt;&gt;21,"対象外",IF($AE251&amp;""="00000000","在職",IF($AE251&amp;""=設定!$C$4,"4/1喪失","その他喪失"))))</f>
        <v>対象外</v>
      </c>
    </row>
    <row r="252" customFormat="false" ht="15" hidden="false" customHeight="false" outlineLevel="0" collapsed="false">
      <c r="A252" s="0" t="n">
        <v>31</v>
      </c>
      <c r="AA252" s="0" t="n">
        <v>21</v>
      </c>
      <c r="AB252" s="0" t="s">
        <v>496</v>
      </c>
      <c r="AD252" s="0" t="n">
        <v>0</v>
      </c>
      <c r="AE252" s="0" t="s">
        <v>295</v>
      </c>
      <c r="AH252" s="0" t="n">
        <v>1</v>
      </c>
      <c r="AJ252" s="0" t="n">
        <v>41</v>
      </c>
      <c r="AP252" s="0" t="n">
        <v>240000</v>
      </c>
      <c r="DB252" s="0" t="str">
        <f aca="false">IF($A252="","",IF($A252&lt;&gt;21,"対象外",IF($AE252&amp;""="00000000","在職",IF($AE252&amp;""=設定!$C$4,"4/1喪失","その他喪失"))))</f>
        <v>対象外</v>
      </c>
    </row>
    <row r="253" customFormat="false" ht="15" hidden="false" customHeight="false" outlineLevel="0" collapsed="false">
      <c r="A253" s="0" t="n">
        <v>31</v>
      </c>
      <c r="AA253" s="0" t="n">
        <v>21</v>
      </c>
      <c r="AB253" s="0" t="s">
        <v>494</v>
      </c>
      <c r="AD253" s="0" t="n">
        <v>0</v>
      </c>
      <c r="AE253" s="0" t="s">
        <v>295</v>
      </c>
      <c r="AH253" s="0" t="n">
        <v>11</v>
      </c>
      <c r="AJ253" s="0" t="n">
        <v>41</v>
      </c>
      <c r="AP253" s="0" t="n">
        <v>190000</v>
      </c>
      <c r="DB253" s="0" t="str">
        <f aca="false">IF($A253="","",IF($A253&lt;&gt;21,"対象外",IF($AE253&amp;""="00000000","在職",IF($AE253&amp;""=設定!$C$4,"4/1喪失","その他喪失"))))</f>
        <v>対象外</v>
      </c>
    </row>
    <row r="254" customFormat="false" ht="15" hidden="false" customHeight="false" outlineLevel="0" collapsed="false">
      <c r="A254" s="0" t="n">
        <v>31</v>
      </c>
      <c r="AA254" s="0" t="n">
        <v>21</v>
      </c>
      <c r="AB254" s="0" t="s">
        <v>613</v>
      </c>
      <c r="AD254" s="0" t="n">
        <v>0</v>
      </c>
      <c r="AE254" s="0" t="s">
        <v>295</v>
      </c>
      <c r="AH254" s="0" t="n">
        <v>1</v>
      </c>
      <c r="AJ254" s="0" t="n">
        <v>10</v>
      </c>
      <c r="AP254" s="0" t="n">
        <v>260000</v>
      </c>
      <c r="DB254" s="0" t="str">
        <f aca="false">IF($A254="","",IF($A254&lt;&gt;21,"対象外",IF($AE254&amp;""="00000000","在職",IF($AE254&amp;""=設定!$C$4,"4/1喪失","その他喪失"))))</f>
        <v>対象外</v>
      </c>
    </row>
    <row r="255" customFormat="false" ht="15" hidden="false" customHeight="false" outlineLevel="0" collapsed="false">
      <c r="A255" s="0" t="n">
        <v>31</v>
      </c>
      <c r="AA255" s="0" t="n">
        <v>21</v>
      </c>
      <c r="AB255" s="0" t="s">
        <v>496</v>
      </c>
      <c r="AD255" s="0" t="n">
        <v>0</v>
      </c>
      <c r="AE255" s="0" t="s">
        <v>295</v>
      </c>
      <c r="AH255" s="0" t="n">
        <v>1</v>
      </c>
      <c r="AJ255" s="0" t="n">
        <v>41</v>
      </c>
      <c r="AP255" s="0" t="n">
        <v>150000</v>
      </c>
      <c r="DB255" s="0" t="str">
        <f aca="false">IF($A255="","",IF($A255&lt;&gt;21,"対象外",IF($AE255&amp;""="00000000","在職",IF($AE255&amp;""=設定!$C$4,"4/1喪失","その他喪失"))))</f>
        <v>対象外</v>
      </c>
    </row>
    <row r="256" customFormat="false" ht="15" hidden="false" customHeight="false" outlineLevel="0" collapsed="false">
      <c r="A256" s="0" t="n">
        <v>31</v>
      </c>
      <c r="AA256" s="0" t="n">
        <v>21</v>
      </c>
      <c r="AB256" s="0" t="s">
        <v>496</v>
      </c>
      <c r="AD256" s="0" t="n">
        <v>0</v>
      </c>
      <c r="AE256" s="0" t="s">
        <v>295</v>
      </c>
      <c r="AH256" s="0" t="n">
        <v>1</v>
      </c>
      <c r="AJ256" s="0" t="n">
        <v>41</v>
      </c>
      <c r="AP256" s="0" t="n">
        <v>220000</v>
      </c>
      <c r="DB256" s="0" t="str">
        <f aca="false">IF($A256="","",IF($A256&lt;&gt;21,"対象外",IF($AE256&amp;""="00000000","在職",IF($AE256&amp;""=設定!$C$4,"4/1喪失","その他喪失"))))</f>
        <v>対象外</v>
      </c>
    </row>
    <row r="257" customFormat="false" ht="15" hidden="false" customHeight="false" outlineLevel="0" collapsed="false">
      <c r="A257" s="0" t="n">
        <v>31</v>
      </c>
      <c r="AA257" s="0" t="n">
        <v>21</v>
      </c>
      <c r="AB257" s="0" t="s">
        <v>496</v>
      </c>
      <c r="AD257" s="0" t="n">
        <v>0</v>
      </c>
      <c r="AE257" s="0" t="s">
        <v>295</v>
      </c>
      <c r="AH257" s="0" t="n">
        <v>1</v>
      </c>
      <c r="AJ257" s="0" t="n">
        <v>41</v>
      </c>
      <c r="AP257" s="0" t="n">
        <v>160000</v>
      </c>
      <c r="DB257" s="0" t="str">
        <f aca="false">IF($A257="","",IF($A257&lt;&gt;21,"対象外",IF($AE257&amp;""="00000000","在職",IF($AE257&amp;""=設定!$C$4,"4/1喪失","その他喪失"))))</f>
        <v>対象外</v>
      </c>
    </row>
    <row r="258" customFormat="false" ht="15" hidden="false" customHeight="false" outlineLevel="0" collapsed="false">
      <c r="A258" s="0" t="n">
        <v>31</v>
      </c>
      <c r="AA258" s="0" t="n">
        <v>21</v>
      </c>
      <c r="AB258" s="0" t="s">
        <v>496</v>
      </c>
      <c r="AD258" s="0" t="n">
        <v>0</v>
      </c>
      <c r="AE258" s="0" t="s">
        <v>295</v>
      </c>
      <c r="AH258" s="0" t="n">
        <v>1</v>
      </c>
      <c r="AJ258" s="0" t="n">
        <v>41</v>
      </c>
      <c r="AP258" s="0" t="n">
        <v>142000</v>
      </c>
      <c r="DB258" s="0" t="str">
        <f aca="false">IF($A258="","",IF($A258&lt;&gt;21,"対象外",IF($AE258&amp;""="00000000","在職",IF($AE258&amp;""=設定!$C$4,"4/1喪失","その他喪失"))))</f>
        <v>対象外</v>
      </c>
    </row>
    <row r="259" customFormat="false" ht="15" hidden="false" customHeight="false" outlineLevel="0" collapsed="false">
      <c r="A259" s="0" t="n">
        <v>31</v>
      </c>
      <c r="AA259" s="0" t="n">
        <v>21</v>
      </c>
      <c r="AB259" s="0" t="s">
        <v>496</v>
      </c>
      <c r="AD259" s="0" t="n">
        <v>0</v>
      </c>
      <c r="AE259" s="0" t="s">
        <v>295</v>
      </c>
      <c r="AH259" s="0" t="n">
        <v>1</v>
      </c>
      <c r="AJ259" s="0" t="n">
        <v>41</v>
      </c>
      <c r="AP259" s="0" t="n">
        <v>200000</v>
      </c>
      <c r="DB259" s="0" t="str">
        <f aca="false">IF($A259="","",IF($A259&lt;&gt;21,"対象外",IF($AE259&amp;""="00000000","在職",IF($AE259&amp;""=設定!$C$4,"4/1喪失","その他喪失"))))</f>
        <v>対象外</v>
      </c>
    </row>
    <row r="260" customFormat="false" ht="15" hidden="false" customHeight="false" outlineLevel="0" collapsed="false">
      <c r="A260" s="0" t="n">
        <v>31</v>
      </c>
      <c r="AA260" s="0" t="n">
        <v>21</v>
      </c>
      <c r="AB260" s="0" t="s">
        <v>496</v>
      </c>
      <c r="AD260" s="0" t="n">
        <v>0</v>
      </c>
      <c r="AE260" s="0" t="s">
        <v>295</v>
      </c>
      <c r="AH260" s="0" t="n">
        <v>1</v>
      </c>
      <c r="AJ260" s="0" t="n">
        <v>41</v>
      </c>
      <c r="AP260" s="0" t="n">
        <v>190000</v>
      </c>
      <c r="DB260" s="0" t="str">
        <f aca="false">IF($A260="","",IF($A260&lt;&gt;21,"対象外",IF($AE260&amp;""="00000000","在職",IF($AE260&amp;""=設定!$C$4,"4/1喪失","その他喪失"))))</f>
        <v>対象外</v>
      </c>
    </row>
    <row r="261" customFormat="false" ht="15" hidden="false" customHeight="false" outlineLevel="0" collapsed="false">
      <c r="A261" s="0" t="n">
        <v>31</v>
      </c>
      <c r="AA261" s="0" t="n">
        <v>21</v>
      </c>
      <c r="AB261" s="0" t="s">
        <v>496</v>
      </c>
      <c r="AD261" s="0" t="n">
        <v>0</v>
      </c>
      <c r="AE261" s="0" t="s">
        <v>295</v>
      </c>
      <c r="AH261" s="0" t="n">
        <v>1</v>
      </c>
      <c r="AJ261" s="0" t="n">
        <v>41</v>
      </c>
      <c r="AP261" s="0" t="n">
        <v>142000</v>
      </c>
      <c r="DB261" s="0" t="str">
        <f aca="false">IF($A261="","",IF($A261&lt;&gt;21,"対象外",IF($AE261&amp;""="00000000","在職",IF($AE261&amp;""=設定!$C$4,"4/1喪失","その他喪失"))))</f>
        <v>対象外</v>
      </c>
    </row>
    <row r="262" customFormat="false" ht="15" hidden="false" customHeight="false" outlineLevel="0" collapsed="false">
      <c r="A262" s="0" t="n">
        <v>31</v>
      </c>
      <c r="AA262" s="0" t="n">
        <v>21</v>
      </c>
      <c r="AB262" s="0" t="s">
        <v>477</v>
      </c>
      <c r="AD262" s="0" t="n">
        <v>0</v>
      </c>
      <c r="AE262" s="0" t="s">
        <v>295</v>
      </c>
      <c r="AH262" s="0" t="n">
        <v>11</v>
      </c>
      <c r="AJ262" s="0" t="n">
        <v>41</v>
      </c>
      <c r="AP262" s="0" t="n">
        <v>190000</v>
      </c>
      <c r="DB262" s="0" t="str">
        <f aca="false">IF($A262="","",IF($A262&lt;&gt;21,"対象外",IF($AE262&amp;""="00000000","在職",IF($AE262&amp;""=設定!$C$4,"4/1喪失","その他喪失"))))</f>
        <v>対象外</v>
      </c>
    </row>
    <row r="263" customFormat="false" ht="15" hidden="false" customHeight="false" outlineLevel="0" collapsed="false">
      <c r="A263" s="0" t="n">
        <v>31</v>
      </c>
      <c r="AA263" s="0" t="n">
        <v>21</v>
      </c>
      <c r="AB263" s="0" t="s">
        <v>96</v>
      </c>
      <c r="AD263" s="0" t="n">
        <v>0</v>
      </c>
      <c r="AE263" s="0" t="s">
        <v>295</v>
      </c>
      <c r="AH263" s="0" t="n">
        <v>20</v>
      </c>
      <c r="AJ263" s="0" t="n">
        <v>41</v>
      </c>
      <c r="AP263" s="0" t="n">
        <v>260000</v>
      </c>
      <c r="DB263" s="0" t="str">
        <f aca="false">IF($A263="","",IF($A263&lt;&gt;21,"対象外",IF($AE263&amp;""="00000000","在職",IF($AE263&amp;""=設定!$C$4,"4/1喪失","その他喪失"))))</f>
        <v>対象外</v>
      </c>
    </row>
    <row r="264" customFormat="false" ht="15" hidden="false" customHeight="false" outlineLevel="0" collapsed="false">
      <c r="A264" s="0" t="n">
        <v>31</v>
      </c>
      <c r="AA264" s="0" t="n">
        <v>21</v>
      </c>
      <c r="AB264" s="0" t="s">
        <v>496</v>
      </c>
      <c r="AD264" s="0" t="n">
        <v>0</v>
      </c>
      <c r="AE264" s="0" t="s">
        <v>295</v>
      </c>
      <c r="AH264" s="0" t="n">
        <v>1</v>
      </c>
      <c r="AJ264" s="0" t="n">
        <v>41</v>
      </c>
      <c r="AP264" s="0" t="n">
        <v>220000</v>
      </c>
      <c r="DB264" s="0" t="str">
        <f aca="false">IF($A264="","",IF($A264&lt;&gt;21,"対象外",IF($AE264&amp;""="00000000","在職",IF($AE264&amp;""=設定!$C$4,"4/1喪失","その他喪失"))))</f>
        <v>対象外</v>
      </c>
    </row>
    <row r="265" customFormat="false" ht="15" hidden="false" customHeight="false" outlineLevel="0" collapsed="false">
      <c r="A265" s="0" t="n">
        <v>31</v>
      </c>
      <c r="AA265" s="0" t="n">
        <v>21</v>
      </c>
      <c r="AB265" s="0" t="s">
        <v>496</v>
      </c>
      <c r="AD265" s="0" t="n">
        <v>0</v>
      </c>
      <c r="AE265" s="0" t="s">
        <v>295</v>
      </c>
      <c r="AH265" s="0" t="n">
        <v>1</v>
      </c>
      <c r="AJ265" s="0" t="n">
        <v>41</v>
      </c>
      <c r="AP265" s="0" t="n">
        <v>200000</v>
      </c>
      <c r="DB265" s="0" t="str">
        <f aca="false">IF($A265="","",IF($A265&lt;&gt;21,"対象外",IF($AE265&amp;""="00000000","在職",IF($AE265&amp;""=設定!$C$4,"4/1喪失","その他喪失"))))</f>
        <v>対象外</v>
      </c>
    </row>
    <row r="266" customFormat="false" ht="15" hidden="false" customHeight="false" outlineLevel="0" collapsed="false">
      <c r="A266" s="0" t="n">
        <v>31</v>
      </c>
      <c r="AA266" s="0" t="n">
        <v>21</v>
      </c>
      <c r="AB266" s="0" t="s">
        <v>496</v>
      </c>
      <c r="AD266" s="0" t="n">
        <v>0</v>
      </c>
      <c r="AE266" s="0" t="s">
        <v>295</v>
      </c>
      <c r="AH266" s="0" t="n">
        <v>1</v>
      </c>
      <c r="AJ266" s="0" t="n">
        <v>41</v>
      </c>
      <c r="AP266" s="0" t="n">
        <v>200000</v>
      </c>
      <c r="DB266" s="0" t="str">
        <f aca="false">IF($A266="","",IF($A266&lt;&gt;21,"対象外",IF($AE266&amp;""="00000000","在職",IF($AE266&amp;""=設定!$C$4,"4/1喪失","その他喪失"))))</f>
        <v>対象外</v>
      </c>
    </row>
    <row r="267" customFormat="false" ht="15" hidden="false" customHeight="false" outlineLevel="0" collapsed="false">
      <c r="A267" s="0" t="n">
        <v>21</v>
      </c>
      <c r="AA267" s="0" t="n">
        <v>21</v>
      </c>
      <c r="AB267" s="0" t="s">
        <v>763</v>
      </c>
      <c r="AD267" s="0" t="n">
        <v>0</v>
      </c>
      <c r="AE267" s="0" t="s">
        <v>295</v>
      </c>
      <c r="AH267" s="0" t="n">
        <v>20</v>
      </c>
      <c r="AJ267" s="0" t="n">
        <v>10</v>
      </c>
      <c r="AP267" s="0" t="n">
        <v>340000</v>
      </c>
      <c r="DB267" s="0" t="str">
        <f aca="false">IF($A267="","",IF($A267&lt;&gt;21,"対象外",IF($AE267&amp;""="00000000","在職",IF($AE267&amp;""=設定!$C$4,"4/1喪失","その他喪失"))))</f>
        <v>在職</v>
      </c>
    </row>
    <row r="268" customFormat="false" ht="15" hidden="false" customHeight="false" outlineLevel="0" collapsed="false">
      <c r="A268" s="0" t="n">
        <v>21</v>
      </c>
      <c r="AA268" s="0" t="n">
        <v>21</v>
      </c>
      <c r="AB268" s="0" t="s">
        <v>764</v>
      </c>
      <c r="AD268" s="0" t="n">
        <v>0</v>
      </c>
      <c r="AE268" s="0" t="s">
        <v>295</v>
      </c>
      <c r="AH268" s="0" t="n">
        <v>1</v>
      </c>
      <c r="AJ268" s="0" t="n">
        <v>10</v>
      </c>
      <c r="AP268" s="0" t="n">
        <v>360000</v>
      </c>
      <c r="DB268" s="0" t="str">
        <f aca="false">IF($A268="","",IF($A268&lt;&gt;21,"対象外",IF($AE268&amp;""="00000000","在職",IF($AE268&amp;""=設定!$C$4,"4/1喪失","その他喪失"))))</f>
        <v>在職</v>
      </c>
    </row>
    <row r="269" customFormat="false" ht="15" hidden="false" customHeight="false" outlineLevel="0" collapsed="false">
      <c r="A269" s="0" t="n">
        <v>31</v>
      </c>
      <c r="AA269" s="0" t="n">
        <v>21</v>
      </c>
      <c r="AB269" s="0" t="s">
        <v>496</v>
      </c>
      <c r="AD269" s="0" t="n">
        <v>0</v>
      </c>
      <c r="AE269" s="0" t="s">
        <v>295</v>
      </c>
      <c r="AH269" s="0" t="n">
        <v>1</v>
      </c>
      <c r="AJ269" s="0" t="n">
        <v>41</v>
      </c>
      <c r="AP269" s="0" t="n">
        <v>200000</v>
      </c>
      <c r="DB269" s="0" t="str">
        <f aca="false">IF($A269="","",IF($A269&lt;&gt;21,"対象外",IF($AE269&amp;""="00000000","在職",IF($AE269&amp;""=設定!$C$4,"4/1喪失","その他喪失"))))</f>
        <v>対象外</v>
      </c>
    </row>
    <row r="270" customFormat="false" ht="15" hidden="false" customHeight="false" outlineLevel="0" collapsed="false">
      <c r="A270" s="0" t="n">
        <v>31</v>
      </c>
      <c r="AA270" s="0" t="n">
        <v>21</v>
      </c>
      <c r="AB270" s="0" t="s">
        <v>496</v>
      </c>
      <c r="AD270" s="0" t="n">
        <v>0</v>
      </c>
      <c r="AE270" s="0" t="s">
        <v>295</v>
      </c>
      <c r="AH270" s="0" t="n">
        <v>1</v>
      </c>
      <c r="AJ270" s="0" t="n">
        <v>41</v>
      </c>
      <c r="AP270" s="0" t="n">
        <v>134000</v>
      </c>
      <c r="DB270" s="0" t="str">
        <f aca="false">IF($A270="","",IF($A270&lt;&gt;21,"対象外",IF($AE270&amp;""="00000000","在職",IF($AE270&amp;""=設定!$C$4,"4/1喪失","その他喪失"))))</f>
        <v>対象外</v>
      </c>
    </row>
    <row r="271" customFormat="false" ht="15" hidden="false" customHeight="false" outlineLevel="0" collapsed="false">
      <c r="A271" s="0" t="n">
        <v>31</v>
      </c>
      <c r="AA271" s="0" t="n">
        <v>21</v>
      </c>
      <c r="AB271" s="0" t="s">
        <v>496</v>
      </c>
      <c r="AD271" s="0" t="n">
        <v>0</v>
      </c>
      <c r="AE271" s="0" t="s">
        <v>295</v>
      </c>
      <c r="AH271" s="0" t="n">
        <v>1</v>
      </c>
      <c r="AJ271" s="0" t="n">
        <v>41</v>
      </c>
      <c r="AP271" s="0" t="n">
        <v>150000</v>
      </c>
      <c r="DB271" s="0" t="str">
        <f aca="false">IF($A271="","",IF($A271&lt;&gt;21,"対象外",IF($AE271&amp;""="00000000","在職",IF($AE271&amp;""=設定!$C$4,"4/1喪失","その他喪失"))))</f>
        <v>対象外</v>
      </c>
    </row>
    <row r="272" customFormat="false" ht="15" hidden="false" customHeight="false" outlineLevel="0" collapsed="false">
      <c r="A272" s="0" t="n">
        <v>31</v>
      </c>
      <c r="AA272" s="0" t="n">
        <v>21</v>
      </c>
      <c r="AB272" s="0" t="s">
        <v>496</v>
      </c>
      <c r="AD272" s="0" t="n">
        <v>0</v>
      </c>
      <c r="AE272" s="0" t="s">
        <v>295</v>
      </c>
      <c r="AH272" s="0" t="n">
        <v>1</v>
      </c>
      <c r="AJ272" s="0" t="n">
        <v>41</v>
      </c>
      <c r="AP272" s="0" t="n">
        <v>170000</v>
      </c>
      <c r="DB272" s="0" t="str">
        <f aca="false">IF($A272="","",IF($A272&lt;&gt;21,"対象外",IF($AE272&amp;""="00000000","在職",IF($AE272&amp;""=設定!$C$4,"4/1喪失","その他喪失"))))</f>
        <v>対象外</v>
      </c>
    </row>
    <row r="273" customFormat="false" ht="15" hidden="false" customHeight="false" outlineLevel="0" collapsed="false">
      <c r="A273" s="0" t="n">
        <v>21</v>
      </c>
      <c r="AA273" s="0" t="n">
        <v>21</v>
      </c>
      <c r="AB273" s="0" t="s">
        <v>765</v>
      </c>
      <c r="AD273" s="0" t="n">
        <v>0</v>
      </c>
      <c r="AE273" s="0" t="s">
        <v>295</v>
      </c>
      <c r="AH273" s="0" t="n">
        <v>20</v>
      </c>
      <c r="AJ273" s="0" t="n">
        <v>10</v>
      </c>
      <c r="AP273" s="0" t="n">
        <v>340000</v>
      </c>
      <c r="DB273" s="0" t="str">
        <f aca="false">IF($A273="","",IF($A273&lt;&gt;21,"対象外",IF($AE273&amp;""="00000000","在職",IF($AE273&amp;""=設定!$C$4,"4/1喪失","その他喪失"))))</f>
        <v>在職</v>
      </c>
    </row>
    <row r="274" customFormat="false" ht="15" hidden="false" customHeight="false" outlineLevel="0" collapsed="false">
      <c r="A274" s="0" t="n">
        <v>31</v>
      </c>
      <c r="AA274" s="0" t="n">
        <v>21</v>
      </c>
      <c r="AB274" s="0" t="s">
        <v>496</v>
      </c>
      <c r="AD274" s="0" t="n">
        <v>0</v>
      </c>
      <c r="AE274" s="0" t="s">
        <v>295</v>
      </c>
      <c r="AH274" s="0" t="n">
        <v>1</v>
      </c>
      <c r="AJ274" s="0" t="n">
        <v>41</v>
      </c>
      <c r="AP274" s="0" t="n">
        <v>200000</v>
      </c>
      <c r="DB274" s="0" t="str">
        <f aca="false">IF($A274="","",IF($A274&lt;&gt;21,"対象外",IF($AE274&amp;""="00000000","在職",IF($AE274&amp;""=設定!$C$4,"4/1喪失","その他喪失"))))</f>
        <v>対象外</v>
      </c>
    </row>
    <row r="275" customFormat="false" ht="15" hidden="false" customHeight="false" outlineLevel="0" collapsed="false">
      <c r="A275" s="0" t="n">
        <v>31</v>
      </c>
      <c r="AA275" s="0" t="n">
        <v>21</v>
      </c>
      <c r="AB275" s="0" t="s">
        <v>496</v>
      </c>
      <c r="AD275" s="0" t="n">
        <v>0</v>
      </c>
      <c r="AE275" s="0" t="s">
        <v>295</v>
      </c>
      <c r="AH275" s="0" t="n">
        <v>1</v>
      </c>
      <c r="AJ275" s="0" t="n">
        <v>41</v>
      </c>
      <c r="AP275" s="0" t="n">
        <v>142000</v>
      </c>
      <c r="DB275" s="0" t="str">
        <f aca="false">IF($A275="","",IF($A275&lt;&gt;21,"対象外",IF($AE275&amp;""="00000000","在職",IF($AE275&amp;""=設定!$C$4,"4/1喪失","その他喪失"))))</f>
        <v>対象外</v>
      </c>
    </row>
    <row r="276" customFormat="false" ht="15" hidden="false" customHeight="false" outlineLevel="0" collapsed="false">
      <c r="A276" s="0" t="n">
        <v>31</v>
      </c>
      <c r="AA276" s="0" t="n">
        <v>21</v>
      </c>
      <c r="AB276" s="0" t="s">
        <v>491</v>
      </c>
      <c r="AD276" s="0" t="n">
        <v>0</v>
      </c>
      <c r="AE276" s="0" t="s">
        <v>295</v>
      </c>
      <c r="AH276" s="0" t="n">
        <v>1</v>
      </c>
      <c r="AJ276" s="0" t="n">
        <v>41</v>
      </c>
      <c r="AP276" s="0" t="n">
        <v>190000</v>
      </c>
      <c r="DB276" s="0" t="str">
        <f aca="false">IF($A276="","",IF($A276&lt;&gt;21,"対象外",IF($AE276&amp;""="00000000","在職",IF($AE276&amp;""=設定!$C$4,"4/1喪失","その他喪失"))))</f>
        <v>対象外</v>
      </c>
    </row>
    <row r="277" customFormat="false" ht="15" hidden="false" customHeight="false" outlineLevel="0" collapsed="false">
      <c r="A277" s="0" t="n">
        <v>31</v>
      </c>
      <c r="AA277" s="0" t="n">
        <v>21</v>
      </c>
      <c r="AB277" s="0" t="s">
        <v>496</v>
      </c>
      <c r="AD277" s="0" t="n">
        <v>0</v>
      </c>
      <c r="AE277" s="0" t="s">
        <v>295</v>
      </c>
      <c r="AH277" s="0" t="n">
        <v>1</v>
      </c>
      <c r="AJ277" s="0" t="n">
        <v>41</v>
      </c>
      <c r="AP277" s="0" t="n">
        <v>150000</v>
      </c>
      <c r="DB277" s="0" t="str">
        <f aca="false">IF($A277="","",IF($A277&lt;&gt;21,"対象外",IF($AE277&amp;""="00000000","在職",IF($AE277&amp;""=設定!$C$4,"4/1喪失","その他喪失"))))</f>
        <v>対象外</v>
      </c>
    </row>
    <row r="278" customFormat="false" ht="15" hidden="false" customHeight="false" outlineLevel="0" collapsed="false">
      <c r="A278" s="0" t="n">
        <v>31</v>
      </c>
      <c r="AA278" s="0" t="n">
        <v>21</v>
      </c>
      <c r="AB278" s="0" t="s">
        <v>496</v>
      </c>
      <c r="AD278" s="0" t="n">
        <v>0</v>
      </c>
      <c r="AE278" s="0" t="s">
        <v>295</v>
      </c>
      <c r="AH278" s="0" t="n">
        <v>11</v>
      </c>
      <c r="AJ278" s="0" t="n">
        <v>41</v>
      </c>
      <c r="AP278" s="0" t="n">
        <v>180000</v>
      </c>
      <c r="DB278" s="0" t="str">
        <f aca="false">IF($A278="","",IF($A278&lt;&gt;21,"対象外",IF($AE278&amp;""="00000000","在職",IF($AE278&amp;""=設定!$C$4,"4/1喪失","その他喪失"))))</f>
        <v>対象外</v>
      </c>
    </row>
    <row r="279" customFormat="false" ht="15" hidden="false" customHeight="false" outlineLevel="0" collapsed="false">
      <c r="A279" s="0" t="n">
        <v>31</v>
      </c>
      <c r="AA279" s="0" t="n">
        <v>21</v>
      </c>
      <c r="AB279" s="0" t="s">
        <v>496</v>
      </c>
      <c r="AD279" s="0" t="n">
        <v>0</v>
      </c>
      <c r="AE279" s="0" t="s">
        <v>295</v>
      </c>
      <c r="AH279" s="0" t="n">
        <v>1</v>
      </c>
      <c r="AJ279" s="0" t="n">
        <v>41</v>
      </c>
      <c r="AP279" s="0" t="n">
        <v>220000</v>
      </c>
      <c r="DB279" s="0" t="str">
        <f aca="false">IF($A279="","",IF($A279&lt;&gt;21,"対象外",IF($AE279&amp;""="00000000","在職",IF($AE279&amp;""=設定!$C$4,"4/1喪失","その他喪失"))))</f>
        <v>対象外</v>
      </c>
    </row>
    <row r="280" customFormat="false" ht="15" hidden="false" customHeight="false" outlineLevel="0" collapsed="false">
      <c r="A280" s="0" t="n">
        <v>31</v>
      </c>
      <c r="AA280" s="0" t="n">
        <v>21</v>
      </c>
      <c r="AB280" s="0" t="s">
        <v>458</v>
      </c>
      <c r="AD280" s="0" t="n">
        <v>0</v>
      </c>
      <c r="AE280" s="0" t="s">
        <v>295</v>
      </c>
      <c r="AH280" s="0" t="n">
        <v>1</v>
      </c>
      <c r="AJ280" s="0" t="n">
        <v>10</v>
      </c>
      <c r="AP280" s="0" t="n">
        <v>280000</v>
      </c>
      <c r="DB280" s="0" t="str">
        <f aca="false">IF($A280="","",IF($A280&lt;&gt;21,"対象外",IF($AE280&amp;""="00000000","在職",IF($AE280&amp;""=設定!$C$4,"4/1喪失","その他喪失"))))</f>
        <v>対象外</v>
      </c>
    </row>
    <row r="281" customFormat="false" ht="15" hidden="false" customHeight="false" outlineLevel="0" collapsed="false">
      <c r="A281" s="0" t="n">
        <v>31</v>
      </c>
      <c r="AA281" s="0" t="n">
        <v>21</v>
      </c>
      <c r="AB281" s="0" t="s">
        <v>96</v>
      </c>
      <c r="AD281" s="0" t="n">
        <v>0</v>
      </c>
      <c r="AE281" s="0" t="s">
        <v>295</v>
      </c>
      <c r="AH281" s="0" t="n">
        <v>20</v>
      </c>
      <c r="AJ281" s="0" t="n">
        <v>41</v>
      </c>
      <c r="AP281" s="0" t="n">
        <v>220000</v>
      </c>
      <c r="DB281" s="0" t="str">
        <f aca="false">IF($A281="","",IF($A281&lt;&gt;21,"対象外",IF($AE281&amp;""="00000000","在職",IF($AE281&amp;""=設定!$C$4,"4/1喪失","その他喪失"))))</f>
        <v>対象外</v>
      </c>
    </row>
    <row r="282" customFormat="false" ht="15" hidden="false" customHeight="false" outlineLevel="0" collapsed="false">
      <c r="A282" s="0" t="n">
        <v>21</v>
      </c>
      <c r="AA282" s="0" t="n">
        <v>21</v>
      </c>
      <c r="AB282" s="0" t="s">
        <v>766</v>
      </c>
      <c r="AD282" s="0" t="n">
        <v>0</v>
      </c>
      <c r="AE282" s="0" t="s">
        <v>295</v>
      </c>
      <c r="AH282" s="0" t="n">
        <v>20</v>
      </c>
      <c r="AJ282" s="0" t="n">
        <v>10</v>
      </c>
      <c r="AP282" s="0" t="n">
        <v>280000</v>
      </c>
      <c r="DB282" s="0" t="str">
        <f aca="false">IF($A282="","",IF($A282&lt;&gt;21,"対象外",IF($AE282&amp;""="00000000","在職",IF($AE282&amp;""=設定!$C$4,"4/1喪失","その他喪失"))))</f>
        <v>在職</v>
      </c>
    </row>
    <row r="283" customFormat="false" ht="15" hidden="false" customHeight="false" outlineLevel="0" collapsed="false">
      <c r="A283" s="0" t="n">
        <v>21</v>
      </c>
      <c r="AA283" s="0" t="n">
        <v>21</v>
      </c>
      <c r="AB283" s="0" t="s">
        <v>431</v>
      </c>
      <c r="AD283" s="0" t="n">
        <v>0</v>
      </c>
      <c r="AE283" s="0" t="s">
        <v>295</v>
      </c>
      <c r="AH283" s="0" t="n">
        <v>11</v>
      </c>
      <c r="AJ283" s="0" t="n">
        <v>10</v>
      </c>
      <c r="AP283" s="0" t="n">
        <v>300000</v>
      </c>
      <c r="DB283" s="0" t="str">
        <f aca="false">IF($A283="","",IF($A283&lt;&gt;21,"対象外",IF($AE283&amp;""="00000000","在職",IF($AE283&amp;""=設定!$C$4,"4/1喪失","その他喪失"))))</f>
        <v>在職</v>
      </c>
    </row>
    <row r="284" customFormat="false" ht="15" hidden="false" customHeight="false" outlineLevel="0" collapsed="false">
      <c r="A284" s="0" t="n">
        <v>31</v>
      </c>
      <c r="AA284" s="0" t="n">
        <v>21</v>
      </c>
      <c r="AB284" s="0" t="s">
        <v>496</v>
      </c>
      <c r="AD284" s="0" t="n">
        <v>0</v>
      </c>
      <c r="AE284" s="0" t="s">
        <v>295</v>
      </c>
      <c r="AH284" s="0" t="n">
        <v>20</v>
      </c>
      <c r="AJ284" s="0" t="n">
        <v>41</v>
      </c>
      <c r="AP284" s="0" t="n">
        <v>220000</v>
      </c>
      <c r="DB284" s="0" t="str">
        <f aca="false">IF($A284="","",IF($A284&lt;&gt;21,"対象外",IF($AE284&amp;""="00000000","在職",IF($AE284&amp;""=設定!$C$4,"4/1喪失","その他喪失"))))</f>
        <v>対象外</v>
      </c>
    </row>
    <row r="285" customFormat="false" ht="15" hidden="false" customHeight="false" outlineLevel="0" collapsed="false">
      <c r="A285" s="0" t="n">
        <v>31</v>
      </c>
      <c r="AA285" s="0" t="n">
        <v>21</v>
      </c>
      <c r="AB285" s="0" t="s">
        <v>513</v>
      </c>
      <c r="AD285" s="0" t="n">
        <v>0</v>
      </c>
      <c r="AE285" s="0" t="s">
        <v>295</v>
      </c>
      <c r="AH285" s="0" t="n">
        <v>1</v>
      </c>
      <c r="AJ285" s="0" t="n">
        <v>41</v>
      </c>
      <c r="AP285" s="0" t="n">
        <v>134000</v>
      </c>
      <c r="DB285" s="0" t="str">
        <f aca="false">IF($A285="","",IF($A285&lt;&gt;21,"対象外",IF($AE285&amp;""="00000000","在職",IF($AE285&amp;""=設定!$C$4,"4/1喪失","その他喪失"))))</f>
        <v>対象外</v>
      </c>
    </row>
    <row r="286" customFormat="false" ht="15" hidden="false" customHeight="false" outlineLevel="0" collapsed="false">
      <c r="A286" s="0" t="n">
        <v>31</v>
      </c>
      <c r="AA286" s="0" t="n">
        <v>21</v>
      </c>
      <c r="AB286" s="0" t="s">
        <v>496</v>
      </c>
      <c r="AD286" s="0" t="n">
        <v>0</v>
      </c>
      <c r="AE286" s="0" t="s">
        <v>295</v>
      </c>
      <c r="AH286" s="0" t="n">
        <v>1</v>
      </c>
      <c r="AJ286" s="0" t="n">
        <v>41</v>
      </c>
      <c r="AP286" s="0" t="n">
        <v>200000</v>
      </c>
      <c r="DB286" s="0" t="str">
        <f aca="false">IF($A286="","",IF($A286&lt;&gt;21,"対象外",IF($AE286&amp;""="00000000","在職",IF($AE286&amp;""=設定!$C$4,"4/1喪失","その他喪失"))))</f>
        <v>対象外</v>
      </c>
    </row>
    <row r="287" customFormat="false" ht="15" hidden="false" customHeight="false" outlineLevel="0" collapsed="false">
      <c r="A287" s="0" t="n">
        <v>21</v>
      </c>
      <c r="AA287" s="0" t="n">
        <v>21</v>
      </c>
      <c r="AB287" s="0" t="s">
        <v>448</v>
      </c>
      <c r="AD287" s="0" t="n">
        <v>0</v>
      </c>
      <c r="AE287" s="0" t="s">
        <v>295</v>
      </c>
      <c r="AH287" s="0" t="n">
        <v>11</v>
      </c>
      <c r="AJ287" s="0" t="n">
        <v>10</v>
      </c>
      <c r="AP287" s="0" t="n">
        <v>280000</v>
      </c>
      <c r="DB287" s="0" t="str">
        <f aca="false">IF($A287="","",IF($A287&lt;&gt;21,"対象外",IF($AE287&amp;""="00000000","在職",IF($AE287&amp;""=設定!$C$4,"4/1喪失","その他喪失"))))</f>
        <v>在職</v>
      </c>
    </row>
    <row r="288" customFormat="false" ht="15" hidden="false" customHeight="false" outlineLevel="0" collapsed="false">
      <c r="A288" s="0" t="n">
        <v>31</v>
      </c>
      <c r="AA288" s="0" t="n">
        <v>21</v>
      </c>
      <c r="AB288" s="0" t="s">
        <v>496</v>
      </c>
      <c r="AD288" s="0" t="n">
        <v>0</v>
      </c>
      <c r="AE288" s="0" t="s">
        <v>295</v>
      </c>
      <c r="AH288" s="0" t="n">
        <v>1</v>
      </c>
      <c r="AJ288" s="0" t="n">
        <v>41</v>
      </c>
      <c r="AP288" s="0" t="n">
        <v>220000</v>
      </c>
      <c r="DB288" s="0" t="str">
        <f aca="false">IF($A288="","",IF($A288&lt;&gt;21,"対象外",IF($AE288&amp;""="00000000","在職",IF($AE288&amp;""=設定!$C$4,"4/1喪失","その他喪失"))))</f>
        <v>対象外</v>
      </c>
    </row>
    <row r="289" customFormat="false" ht="15" hidden="false" customHeight="false" outlineLevel="0" collapsed="false">
      <c r="A289" s="0" t="n">
        <v>31</v>
      </c>
      <c r="AA289" s="0" t="n">
        <v>21</v>
      </c>
      <c r="AB289" s="0" t="s">
        <v>96</v>
      </c>
      <c r="AD289" s="0" t="n">
        <v>0</v>
      </c>
      <c r="AE289" s="0" t="s">
        <v>295</v>
      </c>
      <c r="AH289" s="0" t="n">
        <v>1</v>
      </c>
      <c r="AJ289" s="0" t="n">
        <v>41</v>
      </c>
      <c r="AP289" s="0" t="n">
        <v>220000</v>
      </c>
      <c r="DB289" s="0" t="str">
        <f aca="false">IF($A289="","",IF($A289&lt;&gt;21,"対象外",IF($AE289&amp;""="00000000","在職",IF($AE289&amp;""=設定!$C$4,"4/1喪失","その他喪失"))))</f>
        <v>対象外</v>
      </c>
    </row>
    <row r="290" customFormat="false" ht="15" hidden="false" customHeight="false" outlineLevel="0" collapsed="false">
      <c r="A290" s="0" t="n">
        <v>31</v>
      </c>
      <c r="AA290" s="0" t="n">
        <v>21</v>
      </c>
      <c r="AB290" s="0" t="s">
        <v>496</v>
      </c>
      <c r="AD290" s="0" t="n">
        <v>0</v>
      </c>
      <c r="AE290" s="0" t="s">
        <v>295</v>
      </c>
      <c r="AH290" s="0" t="n">
        <v>1</v>
      </c>
      <c r="AJ290" s="0" t="n">
        <v>41</v>
      </c>
      <c r="AP290" s="0" t="n">
        <v>142000</v>
      </c>
      <c r="DB290" s="0" t="str">
        <f aca="false">IF($A290="","",IF($A290&lt;&gt;21,"対象外",IF($AE290&amp;""="00000000","在職",IF($AE290&amp;""=設定!$C$4,"4/1喪失","その他喪失"))))</f>
        <v>対象外</v>
      </c>
    </row>
    <row r="291" customFormat="false" ht="15" hidden="false" customHeight="false" outlineLevel="0" collapsed="false">
      <c r="A291" s="0" t="n">
        <v>31</v>
      </c>
      <c r="AA291" s="0" t="n">
        <v>24</v>
      </c>
      <c r="AB291" s="0" t="s">
        <v>519</v>
      </c>
      <c r="AD291" s="0" t="n">
        <v>0</v>
      </c>
      <c r="AE291" s="0" t="s">
        <v>295</v>
      </c>
      <c r="AH291" s="0" t="n">
        <v>1</v>
      </c>
      <c r="AJ291" s="0" t="n">
        <v>41</v>
      </c>
      <c r="AP291" s="0" t="n">
        <v>260000</v>
      </c>
      <c r="DB291" s="0" t="str">
        <f aca="false">IF($A291="","",IF($A291&lt;&gt;21,"対象外",IF($AE291&amp;""="00000000","在職",IF($AE291&amp;""=設定!$C$4,"4/1喪失","その他喪失"))))</f>
        <v>対象外</v>
      </c>
    </row>
    <row r="292" customFormat="false" ht="15" hidden="false" customHeight="false" outlineLevel="0" collapsed="false">
      <c r="A292" s="0" t="n">
        <v>31</v>
      </c>
      <c r="AA292" s="0" t="n">
        <v>21</v>
      </c>
      <c r="AB292" s="0" t="s">
        <v>496</v>
      </c>
      <c r="AD292" s="0" t="n">
        <v>0</v>
      </c>
      <c r="AE292" s="0" t="s">
        <v>295</v>
      </c>
      <c r="AH292" s="0" t="n">
        <v>1</v>
      </c>
      <c r="AJ292" s="0" t="n">
        <v>41</v>
      </c>
      <c r="AP292" s="0" t="n">
        <v>142000</v>
      </c>
      <c r="DB292" s="0" t="str">
        <f aca="false">IF($A292="","",IF($A292&lt;&gt;21,"対象外",IF($AE292&amp;""="00000000","在職",IF($AE292&amp;""=設定!$C$4,"4/1喪失","その他喪失"))))</f>
        <v>対象外</v>
      </c>
    </row>
    <row r="293" customFormat="false" ht="15" hidden="false" customHeight="false" outlineLevel="0" collapsed="false">
      <c r="A293" s="0" t="n">
        <v>31</v>
      </c>
      <c r="AA293" s="0" t="n">
        <v>21</v>
      </c>
      <c r="AB293" s="0" t="s">
        <v>496</v>
      </c>
      <c r="AD293" s="0" t="n">
        <v>0</v>
      </c>
      <c r="AE293" s="0" t="s">
        <v>295</v>
      </c>
      <c r="AH293" s="0" t="n">
        <v>1</v>
      </c>
      <c r="AJ293" s="0" t="n">
        <v>41</v>
      </c>
      <c r="AP293" s="0" t="n">
        <v>160000</v>
      </c>
      <c r="DB293" s="0" t="str">
        <f aca="false">IF($A293="","",IF($A293&lt;&gt;21,"対象外",IF($AE293&amp;""="00000000","在職",IF($AE293&amp;""=設定!$C$4,"4/1喪失","その他喪失"))))</f>
        <v>対象外</v>
      </c>
    </row>
    <row r="294" customFormat="false" ht="15" hidden="false" customHeight="false" outlineLevel="0" collapsed="false">
      <c r="A294" s="0" t="n">
        <v>31</v>
      </c>
      <c r="AA294" s="0" t="n">
        <v>21</v>
      </c>
      <c r="AB294" s="0" t="s">
        <v>518</v>
      </c>
      <c r="AD294" s="0" t="n">
        <v>0</v>
      </c>
      <c r="AE294" s="0" t="s">
        <v>295</v>
      </c>
      <c r="AH294" s="0" t="n">
        <v>1</v>
      </c>
      <c r="AJ294" s="0" t="n">
        <v>41</v>
      </c>
      <c r="AP294" s="0" t="n">
        <v>142000</v>
      </c>
      <c r="DB294" s="0" t="str">
        <f aca="false">IF($A294="","",IF($A294&lt;&gt;21,"対象外",IF($AE294&amp;""="00000000","在職",IF($AE294&amp;""=設定!$C$4,"4/1喪失","その他喪失"))))</f>
        <v>対象外</v>
      </c>
    </row>
    <row r="295" customFormat="false" ht="15" hidden="false" customHeight="false" outlineLevel="0" collapsed="false">
      <c r="A295" s="0" t="n">
        <v>31</v>
      </c>
      <c r="AA295" s="0" t="n">
        <v>21</v>
      </c>
      <c r="AB295" s="0" t="s">
        <v>496</v>
      </c>
      <c r="AD295" s="0" t="n">
        <v>0</v>
      </c>
      <c r="AE295" s="0" t="s">
        <v>295</v>
      </c>
      <c r="AH295" s="0" t="n">
        <v>1</v>
      </c>
      <c r="AJ295" s="0" t="n">
        <v>41</v>
      </c>
      <c r="AP295" s="0" t="n">
        <v>150000</v>
      </c>
      <c r="DB295" s="0" t="str">
        <f aca="false">IF($A295="","",IF($A295&lt;&gt;21,"対象外",IF($AE295&amp;""="00000000","在職",IF($AE295&amp;""=設定!$C$4,"4/1喪失","その他喪失"))))</f>
        <v>対象外</v>
      </c>
    </row>
    <row r="296" customFormat="false" ht="15" hidden="false" customHeight="false" outlineLevel="0" collapsed="false">
      <c r="A296" s="0" t="n">
        <v>31</v>
      </c>
      <c r="AA296" s="0" t="n">
        <v>21</v>
      </c>
      <c r="AB296" s="0" t="s">
        <v>496</v>
      </c>
      <c r="AD296" s="0" t="n">
        <v>0</v>
      </c>
      <c r="AE296" s="0" t="s">
        <v>295</v>
      </c>
      <c r="AH296" s="0" t="n">
        <v>1</v>
      </c>
      <c r="AJ296" s="0" t="n">
        <v>41</v>
      </c>
      <c r="AP296" s="0" t="n">
        <v>200000</v>
      </c>
      <c r="DB296" s="0" t="str">
        <f aca="false">IF($A296="","",IF($A296&lt;&gt;21,"対象外",IF($AE296&amp;""="00000000","在職",IF($AE296&amp;""=設定!$C$4,"4/1喪失","その他喪失"))))</f>
        <v>対象外</v>
      </c>
    </row>
    <row r="297" customFormat="false" ht="15" hidden="false" customHeight="false" outlineLevel="0" collapsed="false">
      <c r="A297" s="0" t="n">
        <v>31</v>
      </c>
      <c r="AA297" s="0" t="n">
        <v>21</v>
      </c>
      <c r="AB297" s="0" t="s">
        <v>96</v>
      </c>
      <c r="AD297" s="0" t="n">
        <v>0</v>
      </c>
      <c r="AE297" s="0" t="s">
        <v>295</v>
      </c>
      <c r="AH297" s="0" t="n">
        <v>11</v>
      </c>
      <c r="AJ297" s="0" t="n">
        <v>41</v>
      </c>
      <c r="AP297" s="0" t="n">
        <v>220000</v>
      </c>
      <c r="DB297" s="0" t="str">
        <f aca="false">IF($A297="","",IF($A297&lt;&gt;21,"対象外",IF($AE297&amp;""="00000000","在職",IF($AE297&amp;""=設定!$C$4,"4/1喪失","その他喪失"))))</f>
        <v>対象外</v>
      </c>
    </row>
    <row r="298" customFormat="false" ht="15" hidden="false" customHeight="false" outlineLevel="0" collapsed="false">
      <c r="A298" s="0" t="n">
        <v>31</v>
      </c>
      <c r="AA298" s="0" t="n">
        <v>21</v>
      </c>
      <c r="AB298" s="0" t="s">
        <v>458</v>
      </c>
      <c r="AD298" s="0" t="n">
        <v>0</v>
      </c>
      <c r="AE298" s="0" t="s">
        <v>295</v>
      </c>
      <c r="AH298" s="0" t="n">
        <v>1</v>
      </c>
      <c r="AJ298" s="0" t="n">
        <v>10</v>
      </c>
      <c r="AP298" s="0" t="n">
        <v>280000</v>
      </c>
      <c r="DB298" s="0" t="str">
        <f aca="false">IF($A298="","",IF($A298&lt;&gt;21,"対象外",IF($AE298&amp;""="00000000","在職",IF($AE298&amp;""=設定!$C$4,"4/1喪失","その他喪失"))))</f>
        <v>対象外</v>
      </c>
    </row>
    <row r="299" customFormat="false" ht="15" hidden="false" customHeight="false" outlineLevel="0" collapsed="false">
      <c r="A299" s="0" t="n">
        <v>31</v>
      </c>
      <c r="AA299" s="0" t="n">
        <v>21</v>
      </c>
      <c r="AB299" s="0" t="s">
        <v>496</v>
      </c>
      <c r="AD299" s="0" t="n">
        <v>0</v>
      </c>
      <c r="AE299" s="0" t="s">
        <v>295</v>
      </c>
      <c r="AH299" s="0" t="n">
        <v>1</v>
      </c>
      <c r="AJ299" s="0" t="n">
        <v>41</v>
      </c>
      <c r="AP299" s="0" t="n">
        <v>200000</v>
      </c>
      <c r="DB299" s="0" t="str">
        <f aca="false">IF($A299="","",IF($A299&lt;&gt;21,"対象外",IF($AE299&amp;""="00000000","在職",IF($AE299&amp;""=設定!$C$4,"4/1喪失","その他喪失"))))</f>
        <v>対象外</v>
      </c>
    </row>
    <row r="300" customFormat="false" ht="15" hidden="false" customHeight="false" outlineLevel="0" collapsed="false">
      <c r="A300" s="0" t="n">
        <v>31</v>
      </c>
      <c r="AA300" s="0" t="n">
        <v>21</v>
      </c>
      <c r="AB300" s="0" t="s">
        <v>496</v>
      </c>
      <c r="AD300" s="0" t="n">
        <v>0</v>
      </c>
      <c r="AE300" s="0" t="s">
        <v>295</v>
      </c>
      <c r="AH300" s="0" t="n">
        <v>1</v>
      </c>
      <c r="AJ300" s="0" t="n">
        <v>41</v>
      </c>
      <c r="AP300" s="0" t="n">
        <v>142000</v>
      </c>
      <c r="DB300" s="0" t="str">
        <f aca="false">IF($A300="","",IF($A300&lt;&gt;21,"対象外",IF($AE300&amp;""="00000000","在職",IF($AE300&amp;""=設定!$C$4,"4/1喪失","その他喪失"))))</f>
        <v>対象外</v>
      </c>
    </row>
    <row r="301" customFormat="false" ht="15" hidden="false" customHeight="false" outlineLevel="0" collapsed="false">
      <c r="A301" s="0" t="n">
        <v>21</v>
      </c>
      <c r="AA301" s="0" t="n">
        <v>21</v>
      </c>
      <c r="AB301" s="0" t="s">
        <v>433</v>
      </c>
      <c r="AD301" s="0" t="n">
        <v>0</v>
      </c>
      <c r="AE301" s="0" t="s">
        <v>295</v>
      </c>
      <c r="AH301" s="0" t="n">
        <v>32</v>
      </c>
      <c r="AJ301" s="0" t="n">
        <v>74</v>
      </c>
      <c r="AP301" s="0" t="n">
        <v>340000</v>
      </c>
      <c r="DB301" s="0" t="str">
        <f aca="false">IF($A301="","",IF($A301&lt;&gt;21,"対象外",IF($AE301&amp;""="00000000","在職",IF($AE301&amp;""=設定!$C$4,"4/1喪失","その他喪失"))))</f>
        <v>在職</v>
      </c>
    </row>
    <row r="302" customFormat="false" ht="15" hidden="false" customHeight="false" outlineLevel="0" collapsed="false">
      <c r="A302" s="0" t="n">
        <v>31</v>
      </c>
      <c r="AA302" s="0" t="n">
        <v>21</v>
      </c>
      <c r="AB302" s="0" t="s">
        <v>496</v>
      </c>
      <c r="AD302" s="0" t="n">
        <v>0</v>
      </c>
      <c r="AE302" s="0" t="s">
        <v>295</v>
      </c>
      <c r="AH302" s="0" t="n">
        <v>11</v>
      </c>
      <c r="AJ302" s="0" t="n">
        <v>41</v>
      </c>
      <c r="AP302" s="0" t="n">
        <v>190000</v>
      </c>
      <c r="DB302" s="0" t="str">
        <f aca="false">IF($A302="","",IF($A302&lt;&gt;21,"対象外",IF($AE302&amp;""="00000000","在職",IF($AE302&amp;""=設定!$C$4,"4/1喪失","その他喪失"))))</f>
        <v>対象外</v>
      </c>
    </row>
    <row r="303" customFormat="false" ht="15" hidden="false" customHeight="false" outlineLevel="0" collapsed="false">
      <c r="A303" s="0" t="n">
        <v>31</v>
      </c>
      <c r="AA303" s="0" t="n">
        <v>21</v>
      </c>
      <c r="AB303" s="0" t="s">
        <v>96</v>
      </c>
      <c r="AD303" s="0" t="n">
        <v>0</v>
      </c>
      <c r="AE303" s="0" t="s">
        <v>295</v>
      </c>
      <c r="AH303" s="0" t="n">
        <v>1</v>
      </c>
      <c r="AJ303" s="0" t="n">
        <v>41</v>
      </c>
      <c r="AP303" s="0" t="n">
        <v>134000</v>
      </c>
      <c r="DB303" s="0" t="str">
        <f aca="false">IF($A303="","",IF($A303&lt;&gt;21,"対象外",IF($AE303&amp;""="00000000","在職",IF($AE303&amp;""=設定!$C$4,"4/1喪失","その他喪失"))))</f>
        <v>対象外</v>
      </c>
    </row>
    <row r="304" customFormat="false" ht="15" hidden="false" customHeight="false" outlineLevel="0" collapsed="false">
      <c r="A304" s="0" t="n">
        <v>21</v>
      </c>
      <c r="AA304" s="0" t="n">
        <v>21</v>
      </c>
      <c r="AB304" s="0" t="s">
        <v>409</v>
      </c>
      <c r="AD304" s="0" t="n">
        <v>0</v>
      </c>
      <c r="AE304" s="0" t="s">
        <v>295</v>
      </c>
      <c r="AH304" s="0" t="n">
        <v>1</v>
      </c>
      <c r="AJ304" s="0" t="n">
        <v>10</v>
      </c>
      <c r="AP304" s="0" t="n">
        <v>360000</v>
      </c>
      <c r="DB304" s="0" t="str">
        <f aca="false">IF($A304="","",IF($A304&lt;&gt;21,"対象外",IF($AE304&amp;""="00000000","在職",IF($AE304&amp;""=設定!$C$4,"4/1喪失","その他喪失"))))</f>
        <v>在職</v>
      </c>
    </row>
    <row r="305" customFormat="false" ht="15" hidden="false" customHeight="false" outlineLevel="0" collapsed="false">
      <c r="A305" s="0" t="n">
        <v>21</v>
      </c>
      <c r="AA305" s="0" t="n">
        <v>21</v>
      </c>
      <c r="AB305" s="0" t="s">
        <v>767</v>
      </c>
      <c r="AD305" s="0" t="n">
        <v>0</v>
      </c>
      <c r="AE305" s="0" t="s">
        <v>295</v>
      </c>
      <c r="AH305" s="0" t="n">
        <v>1</v>
      </c>
      <c r="AJ305" s="0" t="n">
        <v>10</v>
      </c>
      <c r="AP305" s="0" t="n">
        <v>380000</v>
      </c>
      <c r="DB305" s="0" t="str">
        <f aca="false">IF($A305="","",IF($A305&lt;&gt;21,"対象外",IF($AE305&amp;""="00000000","在職",IF($AE305&amp;""=設定!$C$4,"4/1喪失","その他喪失"))))</f>
        <v>在職</v>
      </c>
    </row>
    <row r="306" customFormat="false" ht="15" hidden="false" customHeight="false" outlineLevel="0" collapsed="false">
      <c r="A306" s="0" t="n">
        <v>31</v>
      </c>
      <c r="AA306" s="0" t="n">
        <v>21</v>
      </c>
      <c r="AB306" s="0" t="s">
        <v>311</v>
      </c>
      <c r="AD306" s="0" t="n">
        <v>0</v>
      </c>
      <c r="AE306" s="0" t="s">
        <v>295</v>
      </c>
      <c r="AH306" s="0" t="n">
        <v>20</v>
      </c>
      <c r="AJ306" s="0" t="n">
        <v>41</v>
      </c>
      <c r="AP306" s="0" t="n">
        <v>180000</v>
      </c>
      <c r="DB306" s="0" t="str">
        <f aca="false">IF($A306="","",IF($A306&lt;&gt;21,"対象外",IF($AE306&amp;""="00000000","在職",IF($AE306&amp;""=設定!$C$4,"4/1喪失","その他喪失"))))</f>
        <v>対象外</v>
      </c>
    </row>
    <row r="307" customFormat="false" ht="15" hidden="false" customHeight="false" outlineLevel="0" collapsed="false">
      <c r="A307" s="0" t="n">
        <v>31</v>
      </c>
      <c r="AA307" s="0" t="n">
        <v>21</v>
      </c>
      <c r="AB307" s="0" t="s">
        <v>496</v>
      </c>
      <c r="AD307" s="0" t="n">
        <v>0</v>
      </c>
      <c r="AE307" s="0" t="s">
        <v>295</v>
      </c>
      <c r="AH307" s="0" t="n">
        <v>11</v>
      </c>
      <c r="AJ307" s="0" t="n">
        <v>41</v>
      </c>
      <c r="AP307" s="0" t="n">
        <v>200000</v>
      </c>
      <c r="DB307" s="0" t="str">
        <f aca="false">IF($A307="","",IF($A307&lt;&gt;21,"対象外",IF($AE307&amp;""="00000000","在職",IF($AE307&amp;""=設定!$C$4,"4/1喪失","その他喪失"))))</f>
        <v>対象外</v>
      </c>
    </row>
    <row r="308" customFormat="false" ht="15" hidden="false" customHeight="false" outlineLevel="0" collapsed="false">
      <c r="A308" s="0" t="n">
        <v>31</v>
      </c>
      <c r="AA308" s="0" t="n">
        <v>21</v>
      </c>
      <c r="AB308" s="0" t="s">
        <v>496</v>
      </c>
      <c r="AD308" s="0" t="n">
        <v>0</v>
      </c>
      <c r="AE308" s="0" t="s">
        <v>295</v>
      </c>
      <c r="AH308" s="0" t="n">
        <v>1</v>
      </c>
      <c r="AJ308" s="0" t="n">
        <v>10</v>
      </c>
      <c r="AP308" s="0" t="n">
        <v>280000</v>
      </c>
      <c r="DB308" s="0" t="str">
        <f aca="false">IF($A308="","",IF($A308&lt;&gt;21,"対象外",IF($AE308&amp;""="00000000","在職",IF($AE308&amp;""=設定!$C$4,"4/1喪失","その他喪失"))))</f>
        <v>対象外</v>
      </c>
    </row>
    <row r="309" customFormat="false" ht="15" hidden="false" customHeight="false" outlineLevel="0" collapsed="false">
      <c r="A309" s="0" t="n">
        <v>31</v>
      </c>
      <c r="AA309" s="0" t="n">
        <v>21</v>
      </c>
      <c r="AB309" s="0" t="s">
        <v>477</v>
      </c>
      <c r="AD309" s="0" t="n">
        <v>0</v>
      </c>
      <c r="AE309" s="0" t="s">
        <v>295</v>
      </c>
      <c r="AH309" s="0" t="n">
        <v>1</v>
      </c>
      <c r="AJ309" s="0" t="n">
        <v>41</v>
      </c>
      <c r="AP309" s="0" t="n">
        <v>142000</v>
      </c>
      <c r="DB309" s="0" t="str">
        <f aca="false">IF($A309="","",IF($A309&lt;&gt;21,"対象外",IF($AE309&amp;""="00000000","在職",IF($AE309&amp;""=設定!$C$4,"4/1喪失","その他喪失"))))</f>
        <v>対象外</v>
      </c>
    </row>
    <row r="310" customFormat="false" ht="15" hidden="false" customHeight="false" outlineLevel="0" collapsed="false">
      <c r="A310" s="0" t="n">
        <v>31</v>
      </c>
      <c r="AA310" s="0" t="n">
        <v>21</v>
      </c>
      <c r="AB310" s="0" t="s">
        <v>496</v>
      </c>
      <c r="AD310" s="0" t="n">
        <v>0</v>
      </c>
      <c r="AE310" s="0" t="s">
        <v>295</v>
      </c>
      <c r="AH310" s="0" t="n">
        <v>1</v>
      </c>
      <c r="AJ310" s="0" t="n">
        <v>41</v>
      </c>
      <c r="AP310" s="0" t="n">
        <v>126000</v>
      </c>
      <c r="DB310" s="0" t="str">
        <f aca="false">IF($A310="","",IF($A310&lt;&gt;21,"対象外",IF($AE310&amp;""="00000000","在職",IF($AE310&amp;""=設定!$C$4,"4/1喪失","その他喪失"))))</f>
        <v>対象外</v>
      </c>
    </row>
    <row r="311" customFormat="false" ht="15" hidden="false" customHeight="false" outlineLevel="0" collapsed="false">
      <c r="A311" s="0" t="n">
        <v>31</v>
      </c>
      <c r="AA311" s="0" t="n">
        <v>21</v>
      </c>
      <c r="AB311" s="0" t="s">
        <v>496</v>
      </c>
      <c r="AD311" s="0" t="n">
        <v>0</v>
      </c>
      <c r="AE311" s="0" t="s">
        <v>295</v>
      </c>
      <c r="AH311" s="0" t="n">
        <v>1</v>
      </c>
      <c r="AJ311" s="0" t="n">
        <v>41</v>
      </c>
      <c r="AP311" s="0" t="n">
        <v>200000</v>
      </c>
      <c r="DB311" s="0" t="str">
        <f aca="false">IF($A311="","",IF($A311&lt;&gt;21,"対象外",IF($AE311&amp;""="00000000","在職",IF($AE311&amp;""=設定!$C$4,"4/1喪失","その他喪失"))))</f>
        <v>対象外</v>
      </c>
    </row>
    <row r="312" customFormat="false" ht="15" hidden="false" customHeight="false" outlineLevel="0" collapsed="false">
      <c r="A312" s="0" t="n">
        <v>31</v>
      </c>
      <c r="AA312" s="0" t="n">
        <v>21</v>
      </c>
      <c r="AB312" s="0" t="s">
        <v>496</v>
      </c>
      <c r="AD312" s="0" t="n">
        <v>0</v>
      </c>
      <c r="AE312" s="0" t="s">
        <v>295</v>
      </c>
      <c r="AH312" s="0" t="n">
        <v>11</v>
      </c>
      <c r="AJ312" s="0" t="n">
        <v>41</v>
      </c>
      <c r="AP312" s="0" t="n">
        <v>142000</v>
      </c>
      <c r="DB312" s="0" t="str">
        <f aca="false">IF($A312="","",IF($A312&lt;&gt;21,"対象外",IF($AE312&amp;""="00000000","在職",IF($AE312&amp;""=設定!$C$4,"4/1喪失","その他喪失"))))</f>
        <v>対象外</v>
      </c>
    </row>
    <row r="313" customFormat="false" ht="15" hidden="false" customHeight="false" outlineLevel="0" collapsed="false">
      <c r="A313" s="0" t="n">
        <v>31</v>
      </c>
      <c r="AA313" s="0" t="n">
        <v>21</v>
      </c>
      <c r="AB313" s="0" t="s">
        <v>496</v>
      </c>
      <c r="AD313" s="0" t="n">
        <v>0</v>
      </c>
      <c r="AE313" s="0" t="s">
        <v>295</v>
      </c>
      <c r="AH313" s="0" t="n">
        <v>1</v>
      </c>
      <c r="AJ313" s="0" t="n">
        <v>41</v>
      </c>
      <c r="AP313" s="0" t="n">
        <v>200000</v>
      </c>
      <c r="DB313" s="0" t="str">
        <f aca="false">IF($A313="","",IF($A313&lt;&gt;21,"対象外",IF($AE313&amp;""="00000000","在職",IF($AE313&amp;""=設定!$C$4,"4/1喪失","その他喪失"))))</f>
        <v>対象外</v>
      </c>
    </row>
    <row r="314" customFormat="false" ht="15" hidden="false" customHeight="false" outlineLevel="0" collapsed="false">
      <c r="A314" s="0" t="n">
        <v>31</v>
      </c>
      <c r="AA314" s="0" t="n">
        <v>21</v>
      </c>
      <c r="AB314" s="0" t="s">
        <v>508</v>
      </c>
      <c r="AD314" s="0" t="n">
        <v>0</v>
      </c>
      <c r="AE314" s="0" t="s">
        <v>295</v>
      </c>
      <c r="AH314" s="0" t="n">
        <v>1</v>
      </c>
      <c r="AJ314" s="0" t="n">
        <v>41</v>
      </c>
      <c r="AP314" s="0" t="n">
        <v>190000</v>
      </c>
      <c r="DB314" s="0" t="str">
        <f aca="false">IF($A314="","",IF($A314&lt;&gt;21,"対象外",IF($AE314&amp;""="00000000","在職",IF($AE314&amp;""=設定!$C$4,"4/1喪失","その他喪失"))))</f>
        <v>対象外</v>
      </c>
    </row>
    <row r="315" customFormat="false" ht="15" hidden="false" customHeight="false" outlineLevel="0" collapsed="false">
      <c r="A315" s="0" t="n">
        <v>31</v>
      </c>
      <c r="AA315" s="0" t="n">
        <v>21</v>
      </c>
      <c r="AB315" s="0" t="s">
        <v>496</v>
      </c>
      <c r="AD315" s="0" t="n">
        <v>0</v>
      </c>
      <c r="AE315" s="0" t="s">
        <v>295</v>
      </c>
      <c r="AH315" s="0" t="n">
        <v>1</v>
      </c>
      <c r="AJ315" s="0" t="n">
        <v>41</v>
      </c>
      <c r="AP315" s="0" t="n">
        <v>200000</v>
      </c>
      <c r="DB315" s="0" t="str">
        <f aca="false">IF($A315="","",IF($A315&lt;&gt;21,"対象外",IF($AE315&amp;""="00000000","在職",IF($AE315&amp;""=設定!$C$4,"4/1喪失","その他喪失"))))</f>
        <v>対象外</v>
      </c>
    </row>
    <row r="316" customFormat="false" ht="15" hidden="false" customHeight="false" outlineLevel="0" collapsed="false">
      <c r="A316" s="0" t="n">
        <v>21</v>
      </c>
      <c r="AA316" s="0" t="n">
        <v>21</v>
      </c>
      <c r="AB316" s="0" t="s">
        <v>423</v>
      </c>
      <c r="AD316" s="0" t="n">
        <v>0</v>
      </c>
      <c r="AE316" s="0" t="s">
        <v>295</v>
      </c>
      <c r="AH316" s="0" t="n">
        <v>20</v>
      </c>
      <c r="AJ316" s="0" t="n">
        <v>10</v>
      </c>
      <c r="AP316" s="0" t="n">
        <v>320000</v>
      </c>
      <c r="DB316" s="0" t="str">
        <f aca="false">IF($A316="","",IF($A316&lt;&gt;21,"対象外",IF($AE316&amp;""="00000000","在職",IF($AE316&amp;""=設定!$C$4,"4/1喪失","その他喪失"))))</f>
        <v>在職</v>
      </c>
    </row>
    <row r="317" customFormat="false" ht="15" hidden="false" customHeight="false" outlineLevel="0" collapsed="false">
      <c r="A317" s="0" t="n">
        <v>21</v>
      </c>
      <c r="AA317" s="0" t="n">
        <v>21</v>
      </c>
      <c r="AB317" s="0" t="s">
        <v>768</v>
      </c>
      <c r="AD317" s="0" t="n">
        <v>0</v>
      </c>
      <c r="AE317" s="0" t="s">
        <v>295</v>
      </c>
      <c r="AH317" s="0" t="n">
        <v>20</v>
      </c>
      <c r="AJ317" s="0" t="n">
        <v>10</v>
      </c>
      <c r="AP317" s="0" t="n">
        <v>260000</v>
      </c>
      <c r="DB317" s="0" t="str">
        <f aca="false">IF($A317="","",IF($A317&lt;&gt;21,"対象外",IF($AE317&amp;""="00000000","在職",IF($AE317&amp;""=設定!$C$4,"4/1喪失","その他喪失"))))</f>
        <v>在職</v>
      </c>
    </row>
    <row r="318" customFormat="false" ht="15" hidden="false" customHeight="false" outlineLevel="0" collapsed="false">
      <c r="A318" s="0" t="n">
        <v>31</v>
      </c>
      <c r="AA318" s="0" t="n">
        <v>21</v>
      </c>
      <c r="AB318" s="0" t="s">
        <v>494</v>
      </c>
      <c r="AD318" s="0" t="n">
        <v>0</v>
      </c>
      <c r="AE318" s="0" t="s">
        <v>295</v>
      </c>
      <c r="AH318" s="0" t="n">
        <v>1</v>
      </c>
      <c r="AJ318" s="0" t="n">
        <v>41</v>
      </c>
      <c r="AP318" s="0" t="n">
        <v>150000</v>
      </c>
      <c r="DB318" s="0" t="str">
        <f aca="false">IF($A318="","",IF($A318&lt;&gt;21,"対象外",IF($AE318&amp;""="00000000","在職",IF($AE318&amp;""=設定!$C$4,"4/1喪失","その他喪失"))))</f>
        <v>対象外</v>
      </c>
    </row>
    <row r="319" customFormat="false" ht="15" hidden="false" customHeight="false" outlineLevel="0" collapsed="false">
      <c r="A319" s="0" t="n">
        <v>31</v>
      </c>
      <c r="AA319" s="0" t="n">
        <v>21</v>
      </c>
      <c r="AB319" s="0" t="s">
        <v>458</v>
      </c>
      <c r="AD319" s="0" t="n">
        <v>0</v>
      </c>
      <c r="AE319" s="0" t="s">
        <v>295</v>
      </c>
      <c r="AH319" s="0" t="n">
        <v>1</v>
      </c>
      <c r="AJ319" s="0" t="n">
        <v>10</v>
      </c>
      <c r="AP319" s="0" t="n">
        <v>280000</v>
      </c>
      <c r="DB319" s="0" t="str">
        <f aca="false">IF($A319="","",IF($A319&lt;&gt;21,"対象外",IF($AE319&amp;""="00000000","在職",IF($AE319&amp;""=設定!$C$4,"4/1喪失","その他喪失"))))</f>
        <v>対象外</v>
      </c>
    </row>
    <row r="320" customFormat="false" ht="15" hidden="false" customHeight="false" outlineLevel="0" collapsed="false">
      <c r="A320" s="0" t="n">
        <v>31</v>
      </c>
      <c r="AA320" s="0" t="n">
        <v>21</v>
      </c>
      <c r="AB320" s="0" t="s">
        <v>496</v>
      </c>
      <c r="AD320" s="0" t="n">
        <v>0</v>
      </c>
      <c r="AE320" s="0" t="s">
        <v>295</v>
      </c>
      <c r="AH320" s="0" t="n">
        <v>1</v>
      </c>
      <c r="AJ320" s="0" t="n">
        <v>41</v>
      </c>
      <c r="AP320" s="0" t="n">
        <v>170000</v>
      </c>
      <c r="DB320" s="0" t="str">
        <f aca="false">IF($A320="","",IF($A320&lt;&gt;21,"対象外",IF($AE320&amp;""="00000000","在職",IF($AE320&amp;""=設定!$C$4,"4/1喪失","その他喪失"))))</f>
        <v>対象外</v>
      </c>
    </row>
    <row r="321" customFormat="false" ht="15" hidden="false" customHeight="false" outlineLevel="0" collapsed="false">
      <c r="A321" s="0" t="n">
        <v>31</v>
      </c>
      <c r="AA321" s="0" t="n">
        <v>21</v>
      </c>
      <c r="AB321" s="0" t="s">
        <v>496</v>
      </c>
      <c r="AD321" s="0" t="n">
        <v>0</v>
      </c>
      <c r="AE321" s="0" t="s">
        <v>295</v>
      </c>
      <c r="AH321" s="0" t="n">
        <v>1</v>
      </c>
      <c r="AJ321" s="0" t="n">
        <v>41</v>
      </c>
      <c r="AP321" s="0" t="n">
        <v>200000</v>
      </c>
      <c r="DB321" s="0" t="str">
        <f aca="false">IF($A321="","",IF($A321&lt;&gt;21,"対象外",IF($AE321&amp;""="00000000","在職",IF($AE321&amp;""=設定!$C$4,"4/1喪失","その他喪失"))))</f>
        <v>対象外</v>
      </c>
    </row>
    <row r="322" customFormat="false" ht="15" hidden="false" customHeight="false" outlineLevel="0" collapsed="false">
      <c r="A322" s="0" t="n">
        <v>21</v>
      </c>
      <c r="AA322" s="0" t="n">
        <v>21</v>
      </c>
      <c r="AB322" s="0" t="s">
        <v>422</v>
      </c>
      <c r="AD322" s="0" t="n">
        <v>0</v>
      </c>
      <c r="AE322" s="0" t="s">
        <v>295</v>
      </c>
      <c r="AH322" s="0" t="n">
        <v>1</v>
      </c>
      <c r="AJ322" s="0" t="n">
        <v>10</v>
      </c>
      <c r="AP322" s="0" t="n">
        <v>340000</v>
      </c>
      <c r="DB322" s="0" t="str">
        <f aca="false">IF($A322="","",IF($A322&lt;&gt;21,"対象外",IF($AE322&amp;""="00000000","在職",IF($AE322&amp;""=設定!$C$4,"4/1喪失","その他喪失"))))</f>
        <v>在職</v>
      </c>
    </row>
    <row r="323" customFormat="false" ht="15" hidden="false" customHeight="false" outlineLevel="0" collapsed="false">
      <c r="A323" s="0" t="n">
        <v>21</v>
      </c>
      <c r="AA323" s="0" t="n">
        <v>21</v>
      </c>
      <c r="AB323" s="0" t="s">
        <v>413</v>
      </c>
      <c r="AD323" s="0" t="n">
        <v>0</v>
      </c>
      <c r="AE323" s="0" t="s">
        <v>295</v>
      </c>
      <c r="AH323" s="0" t="n">
        <v>11</v>
      </c>
      <c r="AJ323" s="0" t="n">
        <v>10</v>
      </c>
      <c r="AP323" s="0" t="n">
        <v>360000</v>
      </c>
      <c r="DB323" s="0" t="str">
        <f aca="false">IF($A323="","",IF($A323&lt;&gt;21,"対象外",IF($AE323&amp;""="00000000","在職",IF($AE323&amp;""=設定!$C$4,"4/1喪失","その他喪失"))))</f>
        <v>在職</v>
      </c>
    </row>
    <row r="324" customFormat="false" ht="15" hidden="false" customHeight="false" outlineLevel="0" collapsed="false">
      <c r="A324" s="0" t="n">
        <v>31</v>
      </c>
      <c r="AA324" s="0" t="n">
        <v>21</v>
      </c>
      <c r="AB324" s="0" t="s">
        <v>496</v>
      </c>
      <c r="AD324" s="0" t="n">
        <v>0</v>
      </c>
      <c r="AE324" s="0" t="s">
        <v>295</v>
      </c>
      <c r="AH324" s="0" t="n">
        <v>1</v>
      </c>
      <c r="AJ324" s="0" t="n">
        <v>41</v>
      </c>
      <c r="AP324" s="0" t="n">
        <v>190000</v>
      </c>
      <c r="DB324" s="0" t="str">
        <f aca="false">IF($A324="","",IF($A324&lt;&gt;21,"対象外",IF($AE324&amp;""="00000000","在職",IF($AE324&amp;""=設定!$C$4,"4/1喪失","その他喪失"))))</f>
        <v>対象外</v>
      </c>
    </row>
    <row r="325" customFormat="false" ht="15" hidden="false" customHeight="false" outlineLevel="0" collapsed="false">
      <c r="A325" s="0" t="n">
        <v>31</v>
      </c>
      <c r="AA325" s="0" t="n">
        <v>21</v>
      </c>
      <c r="AB325" s="0" t="s">
        <v>496</v>
      </c>
      <c r="AD325" s="0" t="n">
        <v>0</v>
      </c>
      <c r="AE325" s="0" t="s">
        <v>295</v>
      </c>
      <c r="AH325" s="0" t="n">
        <v>1</v>
      </c>
      <c r="AJ325" s="0" t="n">
        <v>41</v>
      </c>
      <c r="AP325" s="0" t="n">
        <v>220000</v>
      </c>
      <c r="DB325" s="0" t="str">
        <f aca="false">IF($A325="","",IF($A325&lt;&gt;21,"対象外",IF($AE325&amp;""="00000000","在職",IF($AE325&amp;""=設定!$C$4,"4/1喪失","その他喪失"))))</f>
        <v>対象外</v>
      </c>
    </row>
    <row r="326" customFormat="false" ht="15" hidden="false" customHeight="false" outlineLevel="0" collapsed="false">
      <c r="A326" s="0" t="n">
        <v>21</v>
      </c>
      <c r="AA326" s="0" t="n">
        <v>21</v>
      </c>
      <c r="AB326" s="0" t="s">
        <v>448</v>
      </c>
      <c r="AD326" s="0" t="n">
        <v>0</v>
      </c>
      <c r="AE326" s="0" t="s">
        <v>295</v>
      </c>
      <c r="AH326" s="0" t="n">
        <v>1</v>
      </c>
      <c r="AJ326" s="0" t="n">
        <v>10</v>
      </c>
      <c r="AP326" s="0" t="n">
        <v>300000</v>
      </c>
      <c r="DB326" s="0" t="str">
        <f aca="false">IF($A326="","",IF($A326&lt;&gt;21,"対象外",IF($AE326&amp;""="00000000","在職",IF($AE326&amp;""=設定!$C$4,"4/1喪失","その他喪失"))))</f>
        <v>在職</v>
      </c>
    </row>
    <row r="327" customFormat="false" ht="15" hidden="false" customHeight="false" outlineLevel="0" collapsed="false">
      <c r="A327" s="0" t="n">
        <v>31</v>
      </c>
      <c r="AA327" s="0" t="n">
        <v>21</v>
      </c>
      <c r="AB327" s="0" t="s">
        <v>96</v>
      </c>
      <c r="AD327" s="0" t="n">
        <v>0</v>
      </c>
      <c r="AE327" s="0" t="s">
        <v>295</v>
      </c>
      <c r="AH327" s="0" t="n">
        <v>1</v>
      </c>
      <c r="AJ327" s="0" t="n">
        <v>41</v>
      </c>
      <c r="AP327" s="0" t="n">
        <v>142000</v>
      </c>
      <c r="DB327" s="0" t="str">
        <f aca="false">IF($A327="","",IF($A327&lt;&gt;21,"対象外",IF($AE327&amp;""="00000000","在職",IF($AE327&amp;""=設定!$C$4,"4/1喪失","その他喪失"))))</f>
        <v>対象外</v>
      </c>
    </row>
    <row r="328" customFormat="false" ht="15" hidden="false" customHeight="false" outlineLevel="0" collapsed="false">
      <c r="A328" s="0" t="n">
        <v>21</v>
      </c>
      <c r="AA328" s="0" t="n">
        <v>21</v>
      </c>
      <c r="AB328" s="0" t="s">
        <v>437</v>
      </c>
      <c r="AD328" s="0" t="n">
        <v>0</v>
      </c>
      <c r="AE328" s="0" t="s">
        <v>295</v>
      </c>
      <c r="AH328" s="0" t="n">
        <v>20</v>
      </c>
      <c r="AJ328" s="0" t="n">
        <v>10</v>
      </c>
      <c r="AP328" s="0" t="n">
        <v>340000</v>
      </c>
      <c r="DB328" s="0" t="str">
        <f aca="false">IF($A328="","",IF($A328&lt;&gt;21,"対象外",IF($AE328&amp;""="00000000","在職",IF($AE328&amp;""=設定!$C$4,"4/1喪失","その他喪失"))))</f>
        <v>在職</v>
      </c>
    </row>
    <row r="329" customFormat="false" ht="15" hidden="false" customHeight="false" outlineLevel="0" collapsed="false">
      <c r="A329" s="0" t="n">
        <v>31</v>
      </c>
      <c r="AA329" s="0" t="n">
        <v>21</v>
      </c>
      <c r="AB329" s="0" t="s">
        <v>458</v>
      </c>
      <c r="AD329" s="0" t="n">
        <v>0</v>
      </c>
      <c r="AE329" s="0" t="s">
        <v>295</v>
      </c>
      <c r="AH329" s="0" t="n">
        <v>1</v>
      </c>
      <c r="AJ329" s="0" t="n">
        <v>41</v>
      </c>
      <c r="AP329" s="0" t="n">
        <v>200000</v>
      </c>
      <c r="DB329" s="0" t="str">
        <f aca="false">IF($A329="","",IF($A329&lt;&gt;21,"対象外",IF($AE329&amp;""="00000000","在職",IF($AE329&amp;""=設定!$C$4,"4/1喪失","その他喪失"))))</f>
        <v>対象外</v>
      </c>
    </row>
    <row r="330" customFormat="false" ht="15" hidden="false" customHeight="false" outlineLevel="0" collapsed="false">
      <c r="A330" s="0" t="n">
        <v>31</v>
      </c>
      <c r="AA330" s="0" t="n">
        <v>21</v>
      </c>
      <c r="AB330" s="0" t="s">
        <v>496</v>
      </c>
      <c r="AD330" s="0" t="n">
        <v>0</v>
      </c>
      <c r="AE330" s="0" t="s">
        <v>295</v>
      </c>
      <c r="AH330" s="0" t="n">
        <v>1</v>
      </c>
      <c r="AJ330" s="0" t="n">
        <v>41</v>
      </c>
      <c r="AP330" s="0" t="n">
        <v>134000</v>
      </c>
      <c r="DB330" s="0" t="str">
        <f aca="false">IF($A330="","",IF($A330&lt;&gt;21,"対象外",IF($AE330&amp;""="00000000","在職",IF($AE330&amp;""=設定!$C$4,"4/1喪失","その他喪失"))))</f>
        <v>対象外</v>
      </c>
    </row>
    <row r="331" customFormat="false" ht="15" hidden="false" customHeight="false" outlineLevel="0" collapsed="false">
      <c r="A331" s="0" t="n">
        <v>31</v>
      </c>
      <c r="AA331" s="0" t="n">
        <v>21</v>
      </c>
      <c r="AB331" s="0" t="s">
        <v>496</v>
      </c>
      <c r="AD331" s="0" t="n">
        <v>0</v>
      </c>
      <c r="AE331" s="0" t="s">
        <v>295</v>
      </c>
      <c r="AH331" s="0" t="n">
        <v>1</v>
      </c>
      <c r="AJ331" s="0" t="n">
        <v>41</v>
      </c>
      <c r="AP331" s="0" t="n">
        <v>220000</v>
      </c>
      <c r="DB331" s="0" t="str">
        <f aca="false">IF($A331="","",IF($A331&lt;&gt;21,"対象外",IF($AE331&amp;""="00000000","在職",IF($AE331&amp;""=設定!$C$4,"4/1喪失","その他喪失"))))</f>
        <v>対象外</v>
      </c>
    </row>
    <row r="332" customFormat="false" ht="15" hidden="false" customHeight="false" outlineLevel="0" collapsed="false">
      <c r="A332" s="0" t="n">
        <v>31</v>
      </c>
      <c r="AA332" s="0" t="n">
        <v>21</v>
      </c>
      <c r="AB332" s="0" t="s">
        <v>496</v>
      </c>
      <c r="AD332" s="0" t="n">
        <v>0</v>
      </c>
      <c r="AE332" s="0" t="s">
        <v>295</v>
      </c>
      <c r="AH332" s="0" t="n">
        <v>1</v>
      </c>
      <c r="AJ332" s="0" t="n">
        <v>41</v>
      </c>
      <c r="AP332" s="0" t="n">
        <v>200000</v>
      </c>
      <c r="DB332" s="0" t="str">
        <f aca="false">IF($A332="","",IF($A332&lt;&gt;21,"対象外",IF($AE332&amp;""="00000000","在職",IF($AE332&amp;""=設定!$C$4,"4/1喪失","その他喪失"))))</f>
        <v>対象外</v>
      </c>
    </row>
    <row r="333" customFormat="false" ht="15" hidden="false" customHeight="false" outlineLevel="0" collapsed="false">
      <c r="A333" s="0" t="n">
        <v>31</v>
      </c>
      <c r="AA333" s="0" t="n">
        <v>21</v>
      </c>
      <c r="AB333" s="0" t="s">
        <v>496</v>
      </c>
      <c r="AD333" s="0" t="n">
        <v>0</v>
      </c>
      <c r="AE333" s="0" t="s">
        <v>295</v>
      </c>
      <c r="AH333" s="0" t="n">
        <v>1</v>
      </c>
      <c r="AJ333" s="0" t="n">
        <v>41</v>
      </c>
      <c r="AP333" s="0" t="n">
        <v>142000</v>
      </c>
      <c r="DB333" s="0" t="str">
        <f aca="false">IF($A333="","",IF($A333&lt;&gt;21,"対象外",IF($AE333&amp;""="00000000","在職",IF($AE333&amp;""=設定!$C$4,"4/1喪失","その他喪失"))))</f>
        <v>対象外</v>
      </c>
    </row>
    <row r="334" customFormat="false" ht="15" hidden="false" customHeight="false" outlineLevel="0" collapsed="false">
      <c r="A334" s="0" t="n">
        <v>21</v>
      </c>
      <c r="AA334" s="0" t="n">
        <v>21</v>
      </c>
      <c r="AB334" s="0" t="s">
        <v>446</v>
      </c>
      <c r="AD334" s="0" t="n">
        <v>0</v>
      </c>
      <c r="AE334" s="0" t="s">
        <v>295</v>
      </c>
      <c r="AH334" s="0" t="n">
        <v>11</v>
      </c>
      <c r="AJ334" s="0" t="n">
        <v>10</v>
      </c>
      <c r="AP334" s="0" t="n">
        <v>280000</v>
      </c>
      <c r="DB334" s="0" t="str">
        <f aca="false">IF($A334="","",IF($A334&lt;&gt;21,"対象外",IF($AE334&amp;""="00000000","在職",IF($AE334&amp;""=設定!$C$4,"4/1喪失","その他喪失"))))</f>
        <v>在職</v>
      </c>
    </row>
    <row r="335" customFormat="false" ht="15" hidden="false" customHeight="false" outlineLevel="0" collapsed="false">
      <c r="A335" s="0" t="n">
        <v>31</v>
      </c>
      <c r="AA335" s="0" t="n">
        <v>21</v>
      </c>
      <c r="AB335" s="0" t="s">
        <v>96</v>
      </c>
      <c r="AD335" s="0" t="n">
        <v>0</v>
      </c>
      <c r="AE335" s="0" t="s">
        <v>295</v>
      </c>
      <c r="AH335" s="0" t="n">
        <v>20</v>
      </c>
      <c r="AJ335" s="0" t="n">
        <v>41</v>
      </c>
      <c r="AP335" s="0" t="n">
        <v>260000</v>
      </c>
      <c r="DB335" s="0" t="str">
        <f aca="false">IF($A335="","",IF($A335&lt;&gt;21,"対象外",IF($AE335&amp;""="00000000","在職",IF($AE335&amp;""=設定!$C$4,"4/1喪失","その他喪失"))))</f>
        <v>対象外</v>
      </c>
    </row>
    <row r="336" customFormat="false" ht="15" hidden="false" customHeight="false" outlineLevel="0" collapsed="false">
      <c r="A336" s="0" t="n">
        <v>31</v>
      </c>
      <c r="AA336" s="0" t="n">
        <v>21</v>
      </c>
      <c r="AB336" s="0" t="s">
        <v>496</v>
      </c>
      <c r="AD336" s="0" t="n">
        <v>0</v>
      </c>
      <c r="AE336" s="0" t="s">
        <v>295</v>
      </c>
      <c r="AH336" s="0" t="n">
        <v>1</v>
      </c>
      <c r="AJ336" s="0" t="n">
        <v>41</v>
      </c>
      <c r="AP336" s="0" t="n">
        <v>150000</v>
      </c>
      <c r="DB336" s="0" t="str">
        <f aca="false">IF($A336="","",IF($A336&lt;&gt;21,"対象外",IF($AE336&amp;""="00000000","在職",IF($AE336&amp;""=設定!$C$4,"4/1喪失","その他喪失"))))</f>
        <v>対象外</v>
      </c>
    </row>
    <row r="337" customFormat="false" ht="15" hidden="false" customHeight="false" outlineLevel="0" collapsed="false">
      <c r="A337" s="0" t="n">
        <v>31</v>
      </c>
      <c r="AA337" s="0" t="n">
        <v>21</v>
      </c>
      <c r="AB337" s="0" t="s">
        <v>496</v>
      </c>
      <c r="AD337" s="0" t="n">
        <v>0</v>
      </c>
      <c r="AE337" s="0" t="s">
        <v>295</v>
      </c>
      <c r="AH337" s="0" t="n">
        <v>1</v>
      </c>
      <c r="AJ337" s="0" t="n">
        <v>41</v>
      </c>
      <c r="AP337" s="0" t="n">
        <v>142000</v>
      </c>
      <c r="DB337" s="0" t="str">
        <f aca="false">IF($A337="","",IF($A337&lt;&gt;21,"対象外",IF($AE337&amp;""="00000000","在職",IF($AE337&amp;""=設定!$C$4,"4/1喪失","その他喪失"))))</f>
        <v>対象外</v>
      </c>
    </row>
    <row r="338" customFormat="false" ht="15" hidden="false" customHeight="false" outlineLevel="0" collapsed="false">
      <c r="A338" s="0" t="n">
        <v>31</v>
      </c>
      <c r="AA338" s="0" t="n">
        <v>21</v>
      </c>
      <c r="AB338" s="0" t="s">
        <v>96</v>
      </c>
      <c r="AD338" s="0" t="n">
        <v>0</v>
      </c>
      <c r="AE338" s="0" t="s">
        <v>295</v>
      </c>
      <c r="AH338" s="0" t="n">
        <v>1</v>
      </c>
      <c r="AJ338" s="0" t="n">
        <v>41</v>
      </c>
      <c r="AP338" s="0" t="n">
        <v>220000</v>
      </c>
      <c r="DB338" s="0" t="str">
        <f aca="false">IF($A338="","",IF($A338&lt;&gt;21,"対象外",IF($AE338&amp;""="00000000","在職",IF($AE338&amp;""=設定!$C$4,"4/1喪失","その他喪失"))))</f>
        <v>対象外</v>
      </c>
    </row>
    <row r="339" customFormat="false" ht="15" hidden="false" customHeight="false" outlineLevel="0" collapsed="false">
      <c r="A339" s="0" t="n">
        <v>31</v>
      </c>
      <c r="AA339" s="0" t="n">
        <v>21</v>
      </c>
      <c r="AB339" s="0" t="s">
        <v>496</v>
      </c>
      <c r="AD339" s="0" t="n">
        <v>0</v>
      </c>
      <c r="AE339" s="0" t="s">
        <v>295</v>
      </c>
      <c r="AH339" s="0" t="n">
        <v>11</v>
      </c>
      <c r="AJ339" s="0" t="n">
        <v>41</v>
      </c>
      <c r="AP339" s="0" t="n">
        <v>142000</v>
      </c>
      <c r="DB339" s="0" t="str">
        <f aca="false">IF($A339="","",IF($A339&lt;&gt;21,"対象外",IF($AE339&amp;""="00000000","在職",IF($AE339&amp;""=設定!$C$4,"4/1喪失","その他喪失"))))</f>
        <v>対象外</v>
      </c>
    </row>
    <row r="340" customFormat="false" ht="15" hidden="false" customHeight="false" outlineLevel="0" collapsed="false">
      <c r="A340" s="0" t="n">
        <v>215</v>
      </c>
      <c r="AA340" s="0" t="n">
        <v>21</v>
      </c>
      <c r="AB340" s="0" t="s">
        <v>96</v>
      </c>
      <c r="AD340" s="0" t="n">
        <v>0</v>
      </c>
      <c r="AE340" s="0" t="s">
        <v>295</v>
      </c>
      <c r="AH340" s="0" t="n">
        <v>20</v>
      </c>
      <c r="AJ340" s="0" t="n">
        <v>10</v>
      </c>
      <c r="AP340" s="0" t="n">
        <v>440000</v>
      </c>
      <c r="DB340" s="0" t="str">
        <f aca="false">IF($A340="","",IF($A340&lt;&gt;21,"対象外",IF($AE340&amp;""="00000000","在職",IF($AE340&amp;""=設定!$C$4,"4/1喪失","その他喪失"))))</f>
        <v>対象外</v>
      </c>
    </row>
    <row r="341" customFormat="false" ht="15" hidden="false" customHeight="false" outlineLevel="0" collapsed="false">
      <c r="A341" s="0" t="n">
        <v>31</v>
      </c>
      <c r="AA341" s="0" t="n">
        <v>21</v>
      </c>
      <c r="AB341" s="0" t="s">
        <v>496</v>
      </c>
      <c r="AD341" s="0" t="n">
        <v>0</v>
      </c>
      <c r="AE341" s="0" t="s">
        <v>295</v>
      </c>
      <c r="AH341" s="0" t="n">
        <v>1</v>
      </c>
      <c r="AJ341" s="0" t="n">
        <v>41</v>
      </c>
      <c r="AP341" s="0" t="n">
        <v>200000</v>
      </c>
      <c r="DB341" s="0" t="str">
        <f aca="false">IF($A341="","",IF($A341&lt;&gt;21,"対象外",IF($AE341&amp;""="00000000","在職",IF($AE341&amp;""=設定!$C$4,"4/1喪失","その他喪失"))))</f>
        <v>対象外</v>
      </c>
    </row>
    <row r="342" customFormat="false" ht="15" hidden="false" customHeight="false" outlineLevel="0" collapsed="false">
      <c r="A342" s="0" t="n">
        <v>31</v>
      </c>
      <c r="AA342" s="0" t="n">
        <v>21</v>
      </c>
      <c r="AB342" s="0" t="s">
        <v>496</v>
      </c>
      <c r="AD342" s="0" t="n">
        <v>0</v>
      </c>
      <c r="AE342" s="0" t="s">
        <v>295</v>
      </c>
      <c r="AH342" s="0" t="n">
        <v>1</v>
      </c>
      <c r="AJ342" s="0" t="n">
        <v>41</v>
      </c>
      <c r="AP342" s="0" t="n">
        <v>240000</v>
      </c>
      <c r="DB342" s="0" t="str">
        <f aca="false">IF($A342="","",IF($A342&lt;&gt;21,"対象外",IF($AE342&amp;""="00000000","在職",IF($AE342&amp;""=設定!$C$4,"4/1喪失","その他喪失"))))</f>
        <v>対象外</v>
      </c>
    </row>
    <row r="343" customFormat="false" ht="15" hidden="false" customHeight="false" outlineLevel="0" collapsed="false">
      <c r="A343" s="0" t="n">
        <v>31</v>
      </c>
      <c r="AA343" s="0" t="n">
        <v>21</v>
      </c>
      <c r="AB343" s="0" t="s">
        <v>496</v>
      </c>
      <c r="AD343" s="0" t="n">
        <v>0</v>
      </c>
      <c r="AE343" s="0" t="s">
        <v>295</v>
      </c>
      <c r="AH343" s="0" t="n">
        <v>1</v>
      </c>
      <c r="AJ343" s="0" t="n">
        <v>41</v>
      </c>
      <c r="AP343" s="0" t="n">
        <v>200000</v>
      </c>
      <c r="DB343" s="0" t="str">
        <f aca="false">IF($A343="","",IF($A343&lt;&gt;21,"対象外",IF($AE343&amp;""="00000000","在職",IF($AE343&amp;""=設定!$C$4,"4/1喪失","その他喪失"))))</f>
        <v>対象外</v>
      </c>
    </row>
    <row r="344" customFormat="false" ht="15" hidden="false" customHeight="false" outlineLevel="0" collapsed="false">
      <c r="A344" s="0" t="n">
        <v>21</v>
      </c>
      <c r="AA344" s="0" t="n">
        <v>21</v>
      </c>
      <c r="AB344" s="0" t="s">
        <v>409</v>
      </c>
      <c r="AD344" s="0" t="n">
        <v>0</v>
      </c>
      <c r="AE344" s="0" t="s">
        <v>295</v>
      </c>
      <c r="AH344" s="0" t="n">
        <v>1</v>
      </c>
      <c r="AJ344" s="0" t="n">
        <v>10</v>
      </c>
      <c r="AP344" s="0" t="n">
        <v>380000</v>
      </c>
      <c r="DB344" s="0" t="str">
        <f aca="false">IF($A344="","",IF($A344&lt;&gt;21,"対象外",IF($AE344&amp;""="00000000","在職",IF($AE344&amp;""=設定!$C$4,"4/1喪失","その他喪失"))))</f>
        <v>在職</v>
      </c>
    </row>
    <row r="345" customFormat="false" ht="15" hidden="false" customHeight="false" outlineLevel="0" collapsed="false">
      <c r="A345" s="0" t="n">
        <v>31</v>
      </c>
      <c r="AA345" s="0" t="n">
        <v>21</v>
      </c>
      <c r="AB345" s="0" t="s">
        <v>458</v>
      </c>
      <c r="AD345" s="0" t="n">
        <v>0</v>
      </c>
      <c r="AE345" s="0" t="s">
        <v>295</v>
      </c>
      <c r="AH345" s="0" t="n">
        <v>1</v>
      </c>
      <c r="AJ345" s="0" t="n">
        <v>41</v>
      </c>
      <c r="AP345" s="0" t="n">
        <v>180000</v>
      </c>
      <c r="DB345" s="0" t="str">
        <f aca="false">IF($A345="","",IF($A345&lt;&gt;21,"対象外",IF($AE345&amp;""="00000000","在職",IF($AE345&amp;""=設定!$C$4,"4/1喪失","その他喪失"))))</f>
        <v>対象外</v>
      </c>
    </row>
    <row r="346" customFormat="false" ht="15" hidden="false" customHeight="false" outlineLevel="0" collapsed="false">
      <c r="A346" s="0" t="n">
        <v>31</v>
      </c>
      <c r="AA346" s="0" t="n">
        <v>21</v>
      </c>
      <c r="AB346" s="0" t="s">
        <v>496</v>
      </c>
      <c r="AD346" s="0" t="n">
        <v>0</v>
      </c>
      <c r="AE346" s="0" t="s">
        <v>295</v>
      </c>
      <c r="AH346" s="0" t="n">
        <v>1</v>
      </c>
      <c r="AJ346" s="0" t="n">
        <v>41</v>
      </c>
      <c r="AP346" s="0" t="n">
        <v>200000</v>
      </c>
      <c r="DB346" s="0" t="str">
        <f aca="false">IF($A346="","",IF($A346&lt;&gt;21,"対象外",IF($AE346&amp;""="00000000","在職",IF($AE346&amp;""=設定!$C$4,"4/1喪失","その他喪失"))))</f>
        <v>対象外</v>
      </c>
    </row>
    <row r="347" customFormat="false" ht="15" hidden="false" customHeight="false" outlineLevel="0" collapsed="false">
      <c r="A347" s="0" t="n">
        <v>21</v>
      </c>
      <c r="AA347" s="0" t="n">
        <v>21</v>
      </c>
      <c r="AB347" s="0" t="s">
        <v>394</v>
      </c>
      <c r="AD347" s="0" t="n">
        <v>0</v>
      </c>
      <c r="AE347" s="0" t="s">
        <v>295</v>
      </c>
      <c r="AH347" s="0" t="n">
        <v>1</v>
      </c>
      <c r="AJ347" s="0" t="n">
        <v>10</v>
      </c>
      <c r="AP347" s="0" t="n">
        <v>340000</v>
      </c>
      <c r="DB347" s="0" t="str">
        <f aca="false">IF($A347="","",IF($A347&lt;&gt;21,"対象外",IF($AE347&amp;""="00000000","在職",IF($AE347&amp;""=設定!$C$4,"4/1喪失","その他喪失"))))</f>
        <v>在職</v>
      </c>
    </row>
    <row r="348" customFormat="false" ht="15" hidden="false" customHeight="false" outlineLevel="0" collapsed="false">
      <c r="A348" s="0" t="n">
        <v>31</v>
      </c>
      <c r="AA348" s="0" t="n">
        <v>21</v>
      </c>
      <c r="AB348" s="0" t="s">
        <v>294</v>
      </c>
      <c r="AD348" s="0" t="n">
        <v>0</v>
      </c>
      <c r="AE348" s="0" t="s">
        <v>295</v>
      </c>
      <c r="AH348" s="0" t="n">
        <v>1</v>
      </c>
      <c r="AJ348" s="0" t="n">
        <v>41</v>
      </c>
      <c r="AP348" s="0" t="n">
        <v>190000</v>
      </c>
      <c r="DB348" s="0" t="str">
        <f aca="false">IF($A348="","",IF($A348&lt;&gt;21,"対象外",IF($AE348&amp;""="00000000","在職",IF($AE348&amp;""=設定!$C$4,"4/1喪失","その他喪失"))))</f>
        <v>対象外</v>
      </c>
    </row>
    <row r="349" customFormat="false" ht="15" hidden="false" customHeight="false" outlineLevel="0" collapsed="false">
      <c r="A349" s="0" t="n">
        <v>31</v>
      </c>
      <c r="AA349" s="0" t="n">
        <v>21</v>
      </c>
      <c r="AB349" s="0" t="s">
        <v>458</v>
      </c>
      <c r="AD349" s="0" t="n">
        <v>0</v>
      </c>
      <c r="AE349" s="0" t="s">
        <v>295</v>
      </c>
      <c r="AH349" s="0" t="n">
        <v>1</v>
      </c>
      <c r="AJ349" s="0" t="n">
        <v>10</v>
      </c>
      <c r="AP349" s="0" t="n">
        <v>280000</v>
      </c>
      <c r="DB349" s="0" t="str">
        <f aca="false">IF($A349="","",IF($A349&lt;&gt;21,"対象外",IF($AE349&amp;""="00000000","在職",IF($AE349&amp;""=設定!$C$4,"4/1喪失","その他喪失"))))</f>
        <v>対象外</v>
      </c>
    </row>
    <row r="350" customFormat="false" ht="15" hidden="false" customHeight="false" outlineLevel="0" collapsed="false">
      <c r="A350" s="0" t="n">
        <v>31</v>
      </c>
      <c r="AA350" s="0" t="n">
        <v>21</v>
      </c>
      <c r="AB350" s="0" t="s">
        <v>496</v>
      </c>
      <c r="AD350" s="0" t="n">
        <v>0</v>
      </c>
      <c r="AE350" s="0" t="s">
        <v>295</v>
      </c>
      <c r="AH350" s="0" t="n">
        <v>1</v>
      </c>
      <c r="AJ350" s="0" t="n">
        <v>41</v>
      </c>
      <c r="AP350" s="0" t="n">
        <v>134000</v>
      </c>
      <c r="DB350" s="0" t="str">
        <f aca="false">IF($A350="","",IF($A350&lt;&gt;21,"対象外",IF($AE350&amp;""="00000000","在職",IF($AE350&amp;""=設定!$C$4,"4/1喪失","その他喪失"))))</f>
        <v>対象外</v>
      </c>
    </row>
    <row r="351" customFormat="false" ht="15" hidden="false" customHeight="false" outlineLevel="0" collapsed="false">
      <c r="A351" s="0" t="n">
        <v>31</v>
      </c>
      <c r="AA351" s="0" t="n">
        <v>21</v>
      </c>
      <c r="AB351" s="0" t="s">
        <v>496</v>
      </c>
      <c r="AD351" s="0" t="n">
        <v>0</v>
      </c>
      <c r="AE351" s="0" t="s">
        <v>295</v>
      </c>
      <c r="AH351" s="0" t="n">
        <v>1</v>
      </c>
      <c r="AJ351" s="0" t="n">
        <v>41</v>
      </c>
      <c r="AP351" s="0" t="n">
        <v>104000</v>
      </c>
      <c r="DB351" s="0" t="str">
        <f aca="false">IF($A351="","",IF($A351&lt;&gt;21,"対象外",IF($AE351&amp;""="00000000","在職",IF($AE351&amp;""=設定!$C$4,"4/1喪失","その他喪失"))))</f>
        <v>対象外</v>
      </c>
    </row>
    <row r="352" customFormat="false" ht="15" hidden="false" customHeight="false" outlineLevel="0" collapsed="false">
      <c r="A352" s="0" t="n">
        <v>31</v>
      </c>
      <c r="AA352" s="0" t="n">
        <v>21</v>
      </c>
      <c r="AB352" s="0" t="s">
        <v>496</v>
      </c>
      <c r="AD352" s="0" t="n">
        <v>0</v>
      </c>
      <c r="AE352" s="0" t="s">
        <v>295</v>
      </c>
      <c r="AH352" s="0" t="n">
        <v>1</v>
      </c>
      <c r="AJ352" s="0" t="n">
        <v>41</v>
      </c>
      <c r="AP352" s="0" t="n">
        <v>160000</v>
      </c>
      <c r="DB352" s="0" t="str">
        <f aca="false">IF($A352="","",IF($A352&lt;&gt;21,"対象外",IF($AE352&amp;""="00000000","在職",IF($AE352&amp;""=設定!$C$4,"4/1喪失","その他喪失"))))</f>
        <v>対象外</v>
      </c>
    </row>
    <row r="353" customFormat="false" ht="15" hidden="false" customHeight="false" outlineLevel="0" collapsed="false">
      <c r="A353" s="0" t="n">
        <v>21</v>
      </c>
      <c r="AA353" s="0" t="n">
        <v>21</v>
      </c>
      <c r="AB353" s="0" t="s">
        <v>443</v>
      </c>
      <c r="AD353" s="0" t="n">
        <v>0</v>
      </c>
      <c r="AE353" s="0" t="s">
        <v>295</v>
      </c>
      <c r="AH353" s="0" t="n">
        <v>11</v>
      </c>
      <c r="AJ353" s="0" t="n">
        <v>10</v>
      </c>
      <c r="AP353" s="0" t="n">
        <v>280000</v>
      </c>
      <c r="DB353" s="0" t="str">
        <f aca="false">IF($A353="","",IF($A353&lt;&gt;21,"対象外",IF($AE353&amp;""="00000000","在職",IF($AE353&amp;""=設定!$C$4,"4/1喪失","その他喪失"))))</f>
        <v>在職</v>
      </c>
    </row>
    <row r="354" customFormat="false" ht="15" hidden="false" customHeight="false" outlineLevel="0" collapsed="false">
      <c r="A354" s="0" t="n">
        <v>21</v>
      </c>
      <c r="AA354" s="0" t="n">
        <v>21</v>
      </c>
      <c r="AB354" s="0" t="s">
        <v>394</v>
      </c>
      <c r="AD354" s="0" t="n">
        <v>0</v>
      </c>
      <c r="AE354" s="0" t="s">
        <v>295</v>
      </c>
      <c r="AH354" s="0" t="n">
        <v>20</v>
      </c>
      <c r="AJ354" s="0" t="n">
        <v>10</v>
      </c>
      <c r="AP354" s="0" t="n">
        <v>360000</v>
      </c>
      <c r="DB354" s="0" t="str">
        <f aca="false">IF($A354="","",IF($A354&lt;&gt;21,"対象外",IF($AE354&amp;""="00000000","在職",IF($AE354&amp;""=設定!$C$4,"4/1喪失","その他喪失"))))</f>
        <v>在職</v>
      </c>
    </row>
    <row r="355" customFormat="false" ht="15" hidden="false" customHeight="false" outlineLevel="0" collapsed="false">
      <c r="A355" s="0" t="n">
        <v>21</v>
      </c>
      <c r="AA355" s="0" t="n">
        <v>21</v>
      </c>
      <c r="AB355" s="0" t="s">
        <v>407</v>
      </c>
      <c r="AD355" s="0" t="n">
        <v>0</v>
      </c>
      <c r="AE355" s="0" t="s">
        <v>295</v>
      </c>
      <c r="AH355" s="0" t="n">
        <v>20</v>
      </c>
      <c r="AJ355" s="0" t="n">
        <v>10</v>
      </c>
      <c r="AP355" s="0" t="n">
        <v>340000</v>
      </c>
      <c r="DB355" s="0" t="str">
        <f aca="false">IF($A355="","",IF($A355&lt;&gt;21,"対象外",IF($AE355&amp;""="00000000","在職",IF($AE355&amp;""=設定!$C$4,"4/1喪失","その他喪失"))))</f>
        <v>在職</v>
      </c>
    </row>
    <row r="356" customFormat="false" ht="15" hidden="false" customHeight="false" outlineLevel="0" collapsed="false">
      <c r="A356" s="0" t="n">
        <v>31</v>
      </c>
      <c r="AA356" s="0" t="n">
        <v>21</v>
      </c>
      <c r="AB356" s="0" t="s">
        <v>496</v>
      </c>
      <c r="AD356" s="0" t="n">
        <v>0</v>
      </c>
      <c r="AE356" s="0" t="s">
        <v>295</v>
      </c>
      <c r="AH356" s="0" t="n">
        <v>1</v>
      </c>
      <c r="AJ356" s="0" t="n">
        <v>41</v>
      </c>
      <c r="AP356" s="0" t="n">
        <v>200000</v>
      </c>
      <c r="DB356" s="0" t="str">
        <f aca="false">IF($A356="","",IF($A356&lt;&gt;21,"対象外",IF($AE356&amp;""="00000000","在職",IF($AE356&amp;""=設定!$C$4,"4/1喪失","その他喪失"))))</f>
        <v>対象外</v>
      </c>
    </row>
    <row r="357" customFormat="false" ht="15" hidden="false" customHeight="false" outlineLevel="0" collapsed="false">
      <c r="A357" s="0" t="n">
        <v>31</v>
      </c>
      <c r="AA357" s="0" t="n">
        <v>21</v>
      </c>
      <c r="AB357" s="0" t="s">
        <v>496</v>
      </c>
      <c r="AD357" s="0" t="n">
        <v>0</v>
      </c>
      <c r="AE357" s="0" t="s">
        <v>295</v>
      </c>
      <c r="AH357" s="0" t="n">
        <v>1</v>
      </c>
      <c r="AJ357" s="0" t="n">
        <v>41</v>
      </c>
      <c r="AP357" s="0" t="n">
        <v>220000</v>
      </c>
      <c r="DB357" s="0" t="str">
        <f aca="false">IF($A357="","",IF($A357&lt;&gt;21,"対象外",IF($AE357&amp;""="00000000","在職",IF($AE357&amp;""=設定!$C$4,"4/1喪失","その他喪失"))))</f>
        <v>対象外</v>
      </c>
    </row>
    <row r="358" customFormat="false" ht="15" hidden="false" customHeight="false" outlineLevel="0" collapsed="false">
      <c r="A358" s="0" t="n">
        <v>31</v>
      </c>
      <c r="AA358" s="0" t="n">
        <v>21</v>
      </c>
      <c r="AB358" s="0" t="s">
        <v>496</v>
      </c>
      <c r="AD358" s="0" t="n">
        <v>0</v>
      </c>
      <c r="AE358" s="0" t="s">
        <v>295</v>
      </c>
      <c r="AH358" s="0" t="n">
        <v>1</v>
      </c>
      <c r="AJ358" s="0" t="n">
        <v>41</v>
      </c>
      <c r="AP358" s="0" t="n">
        <v>88000</v>
      </c>
      <c r="DB358" s="0" t="str">
        <f aca="false">IF($A358="","",IF($A358&lt;&gt;21,"対象外",IF($AE358&amp;""="00000000","在職",IF($AE358&amp;""=設定!$C$4,"4/1喪失","その他喪失"))))</f>
        <v>対象外</v>
      </c>
    </row>
    <row r="359" customFormat="false" ht="15" hidden="false" customHeight="false" outlineLevel="0" collapsed="false">
      <c r="A359" s="0" t="n">
        <v>31</v>
      </c>
      <c r="AA359" s="0" t="n">
        <v>21</v>
      </c>
      <c r="AB359" s="0" t="s">
        <v>496</v>
      </c>
      <c r="AD359" s="0" t="n">
        <v>0</v>
      </c>
      <c r="AE359" s="0" t="s">
        <v>295</v>
      </c>
      <c r="AH359" s="0" t="n">
        <v>1</v>
      </c>
      <c r="AJ359" s="0" t="n">
        <v>41</v>
      </c>
      <c r="AP359" s="0" t="n">
        <v>190000</v>
      </c>
      <c r="DB359" s="0" t="str">
        <f aca="false">IF($A359="","",IF($A359&lt;&gt;21,"対象外",IF($AE359&amp;""="00000000","在職",IF($AE359&amp;""=設定!$C$4,"4/1喪失","その他喪失"))))</f>
        <v>対象外</v>
      </c>
    </row>
    <row r="360" customFormat="false" ht="15" hidden="false" customHeight="false" outlineLevel="0" collapsed="false">
      <c r="A360" s="0" t="n">
        <v>31</v>
      </c>
      <c r="AA360" s="0" t="n">
        <v>21</v>
      </c>
      <c r="AB360" s="0" t="s">
        <v>496</v>
      </c>
      <c r="AD360" s="0" t="n">
        <v>0</v>
      </c>
      <c r="AE360" s="0" t="s">
        <v>295</v>
      </c>
      <c r="AH360" s="0" t="n">
        <v>1</v>
      </c>
      <c r="AJ360" s="0" t="n">
        <v>41</v>
      </c>
      <c r="AP360" s="0" t="n">
        <v>200000</v>
      </c>
      <c r="DB360" s="0" t="str">
        <f aca="false">IF($A360="","",IF($A360&lt;&gt;21,"対象外",IF($AE360&amp;""="00000000","在職",IF($AE360&amp;""=設定!$C$4,"4/1喪失","その他喪失"))))</f>
        <v>対象外</v>
      </c>
    </row>
    <row r="361" customFormat="false" ht="15" hidden="false" customHeight="false" outlineLevel="0" collapsed="false">
      <c r="A361" s="0" t="n">
        <v>31</v>
      </c>
      <c r="AA361" s="0" t="n">
        <v>21</v>
      </c>
      <c r="AB361" s="0" t="s">
        <v>496</v>
      </c>
      <c r="AD361" s="0" t="n">
        <v>0</v>
      </c>
      <c r="AE361" s="0" t="s">
        <v>295</v>
      </c>
      <c r="AH361" s="0" t="n">
        <v>1</v>
      </c>
      <c r="AJ361" s="0" t="n">
        <v>41</v>
      </c>
      <c r="AP361" s="0" t="n">
        <v>142000</v>
      </c>
      <c r="DB361" s="0" t="str">
        <f aca="false">IF($A361="","",IF($A361&lt;&gt;21,"対象外",IF($AE361&amp;""="00000000","在職",IF($AE361&amp;""=設定!$C$4,"4/1喪失","その他喪失"))))</f>
        <v>対象外</v>
      </c>
    </row>
    <row r="362" customFormat="false" ht="15" hidden="false" customHeight="false" outlineLevel="0" collapsed="false">
      <c r="A362" s="0" t="n">
        <v>31</v>
      </c>
      <c r="AA362" s="0" t="n">
        <v>21</v>
      </c>
      <c r="AB362" s="0" t="s">
        <v>96</v>
      </c>
      <c r="AD362" s="0" t="n">
        <v>0</v>
      </c>
      <c r="AE362" s="0" t="s">
        <v>295</v>
      </c>
      <c r="AH362" s="0" t="n">
        <v>1</v>
      </c>
      <c r="AJ362" s="0" t="n">
        <v>41</v>
      </c>
      <c r="AP362" s="0" t="n">
        <v>220000</v>
      </c>
      <c r="DB362" s="0" t="str">
        <f aca="false">IF($A362="","",IF($A362&lt;&gt;21,"対象外",IF($AE362&amp;""="00000000","在職",IF($AE362&amp;""=設定!$C$4,"4/1喪失","その他喪失"))))</f>
        <v>対象外</v>
      </c>
    </row>
    <row r="363" customFormat="false" ht="15" hidden="false" customHeight="false" outlineLevel="0" collapsed="false">
      <c r="A363" s="0" t="n">
        <v>21</v>
      </c>
      <c r="AA363" s="0" t="n">
        <v>21</v>
      </c>
      <c r="AB363" s="0" t="s">
        <v>413</v>
      </c>
      <c r="AD363" s="0" t="n">
        <v>0</v>
      </c>
      <c r="AE363" s="0" t="s">
        <v>295</v>
      </c>
      <c r="AH363" s="0" t="n">
        <v>1</v>
      </c>
      <c r="AJ363" s="0" t="n">
        <v>10</v>
      </c>
      <c r="AP363" s="0" t="n">
        <v>340000</v>
      </c>
      <c r="DB363" s="0" t="str">
        <f aca="false">IF($A363="","",IF($A363&lt;&gt;21,"対象外",IF($AE363&amp;""="00000000","在職",IF($AE363&amp;""=設定!$C$4,"4/1喪失","その他喪失"))))</f>
        <v>在職</v>
      </c>
    </row>
    <row r="364" customFormat="false" ht="15" hidden="false" customHeight="false" outlineLevel="0" collapsed="false">
      <c r="A364" s="0" t="n">
        <v>21</v>
      </c>
      <c r="AA364" s="0" t="n">
        <v>21</v>
      </c>
      <c r="AB364" s="0" t="s">
        <v>422</v>
      </c>
      <c r="AD364" s="0" t="n">
        <v>0</v>
      </c>
      <c r="AE364" s="0" t="s">
        <v>295</v>
      </c>
      <c r="AH364" s="0" t="n">
        <v>47</v>
      </c>
      <c r="AJ364" s="0" t="n">
        <v>74</v>
      </c>
      <c r="AP364" s="0" t="n">
        <v>360000</v>
      </c>
      <c r="DB364" s="0" t="str">
        <f aca="false">IF($A364="","",IF($A364&lt;&gt;21,"対象外",IF($AE364&amp;""="00000000","在職",IF($AE364&amp;""=設定!$C$4,"4/1喪失","その他喪失"))))</f>
        <v>在職</v>
      </c>
    </row>
    <row r="365" customFormat="false" ht="15" hidden="false" customHeight="false" outlineLevel="0" collapsed="false">
      <c r="A365" s="0" t="n">
        <v>31</v>
      </c>
      <c r="AA365" s="0" t="n">
        <v>21</v>
      </c>
      <c r="AB365" s="0" t="s">
        <v>496</v>
      </c>
      <c r="AD365" s="0" t="n">
        <v>0</v>
      </c>
      <c r="AE365" s="0" t="s">
        <v>295</v>
      </c>
      <c r="AH365" s="0" t="n">
        <v>20</v>
      </c>
      <c r="AJ365" s="0" t="n">
        <v>41</v>
      </c>
      <c r="AP365" s="0" t="n">
        <v>300000</v>
      </c>
      <c r="DB365" s="0" t="str">
        <f aca="false">IF($A365="","",IF($A365&lt;&gt;21,"対象外",IF($AE365&amp;""="00000000","在職",IF($AE365&amp;""=設定!$C$4,"4/1喪失","その他喪失"))))</f>
        <v>対象外</v>
      </c>
    </row>
    <row r="366" customFormat="false" ht="15" hidden="false" customHeight="false" outlineLevel="0" collapsed="false">
      <c r="A366" s="0" t="n">
        <v>31</v>
      </c>
      <c r="AA366" s="0" t="n">
        <v>21</v>
      </c>
      <c r="AB366" s="0" t="s">
        <v>496</v>
      </c>
      <c r="AD366" s="0" t="n">
        <v>0</v>
      </c>
      <c r="AE366" s="0" t="s">
        <v>295</v>
      </c>
      <c r="AH366" s="0" t="n">
        <v>11</v>
      </c>
      <c r="AJ366" s="0" t="n">
        <v>41</v>
      </c>
      <c r="AP366" s="0" t="n">
        <v>200000</v>
      </c>
      <c r="DB366" s="0" t="str">
        <f aca="false">IF($A366="","",IF($A366&lt;&gt;21,"対象外",IF($AE366&amp;""="00000000","在職",IF($AE366&amp;""=設定!$C$4,"4/1喪失","その他喪失"))))</f>
        <v>対象外</v>
      </c>
    </row>
    <row r="367" customFormat="false" ht="15" hidden="false" customHeight="false" outlineLevel="0" collapsed="false">
      <c r="A367" s="0" t="n">
        <v>21</v>
      </c>
      <c r="AA367" s="0" t="n">
        <v>21</v>
      </c>
      <c r="AB367" s="0" t="s">
        <v>448</v>
      </c>
      <c r="AD367" s="0" t="n">
        <v>0</v>
      </c>
      <c r="AE367" s="0" t="s">
        <v>295</v>
      </c>
      <c r="AH367" s="0" t="n">
        <v>11</v>
      </c>
      <c r="AJ367" s="0" t="n">
        <v>10</v>
      </c>
      <c r="AP367" s="0" t="n">
        <v>280000</v>
      </c>
      <c r="DB367" s="0" t="str">
        <f aca="false">IF($A367="","",IF($A367&lt;&gt;21,"対象外",IF($AE367&amp;""="00000000","在職",IF($AE367&amp;""=設定!$C$4,"4/1喪失","その他喪失"))))</f>
        <v>在職</v>
      </c>
    </row>
    <row r="368" customFormat="false" ht="15" hidden="false" customHeight="false" outlineLevel="0" collapsed="false">
      <c r="A368" s="0" t="n">
        <v>21</v>
      </c>
      <c r="AA368" s="0" t="n">
        <v>21</v>
      </c>
      <c r="AB368" s="0" t="s">
        <v>769</v>
      </c>
      <c r="AD368" s="0" t="n">
        <v>0</v>
      </c>
      <c r="AE368" s="0" t="s">
        <v>295</v>
      </c>
      <c r="AH368" s="0" t="n">
        <v>20</v>
      </c>
      <c r="AJ368" s="0" t="n">
        <v>10</v>
      </c>
      <c r="AP368" s="0" t="n">
        <v>340000</v>
      </c>
      <c r="DB368" s="0" t="str">
        <f aca="false">IF($A368="","",IF($A368&lt;&gt;21,"対象外",IF($AE368&amp;""="00000000","在職",IF($AE368&amp;""=設定!$C$4,"4/1喪失","その他喪失"))))</f>
        <v>在職</v>
      </c>
    </row>
    <row r="369" customFormat="false" ht="15" hidden="false" customHeight="false" outlineLevel="0" collapsed="false">
      <c r="A369" s="0" t="n">
        <v>31</v>
      </c>
      <c r="AA369" s="0" t="n">
        <v>21</v>
      </c>
      <c r="AB369" s="0" t="s">
        <v>496</v>
      </c>
      <c r="AD369" s="0" t="n">
        <v>0</v>
      </c>
      <c r="AE369" s="0" t="s">
        <v>295</v>
      </c>
      <c r="AH369" s="0" t="n">
        <v>1</v>
      </c>
      <c r="AJ369" s="0" t="n">
        <v>41</v>
      </c>
      <c r="AP369" s="0" t="n">
        <v>134000</v>
      </c>
      <c r="DB369" s="0" t="str">
        <f aca="false">IF($A369="","",IF($A369&lt;&gt;21,"対象外",IF($AE369&amp;""="00000000","在職",IF($AE369&amp;""=設定!$C$4,"4/1喪失","その他喪失"))))</f>
        <v>対象外</v>
      </c>
    </row>
    <row r="370" customFormat="false" ht="15" hidden="false" customHeight="false" outlineLevel="0" collapsed="false">
      <c r="A370" s="0" t="n">
        <v>31</v>
      </c>
      <c r="AA370" s="0" t="n">
        <v>21</v>
      </c>
      <c r="AB370" s="0" t="s">
        <v>312</v>
      </c>
      <c r="AD370" s="0" t="n">
        <v>0</v>
      </c>
      <c r="AE370" s="0" t="s">
        <v>295</v>
      </c>
      <c r="AH370" s="0" t="n">
        <v>11</v>
      </c>
      <c r="AJ370" s="0" t="n">
        <v>41</v>
      </c>
      <c r="AP370" s="0" t="n">
        <v>78000</v>
      </c>
      <c r="DB370" s="0" t="str">
        <f aca="false">IF($A370="","",IF($A370&lt;&gt;21,"対象外",IF($AE370&amp;""="00000000","在職",IF($AE370&amp;""=設定!$C$4,"4/1喪失","その他喪失"))))</f>
        <v>対象外</v>
      </c>
    </row>
    <row r="371" customFormat="false" ht="15" hidden="false" customHeight="false" outlineLevel="0" collapsed="false">
      <c r="A371" s="0" t="n">
        <v>31</v>
      </c>
      <c r="AA371" s="0" t="n">
        <v>21</v>
      </c>
      <c r="AB371" s="0" t="s">
        <v>496</v>
      </c>
      <c r="AD371" s="0" t="n">
        <v>0</v>
      </c>
      <c r="AE371" s="0" t="s">
        <v>295</v>
      </c>
      <c r="AH371" s="0" t="n">
        <v>1</v>
      </c>
      <c r="AJ371" s="0" t="n">
        <v>41</v>
      </c>
      <c r="AP371" s="0" t="n">
        <v>220000</v>
      </c>
      <c r="DB371" s="0" t="str">
        <f aca="false">IF($A371="","",IF($A371&lt;&gt;21,"対象外",IF($AE371&amp;""="00000000","在職",IF($AE371&amp;""=設定!$C$4,"4/1喪失","その他喪失"))))</f>
        <v>対象外</v>
      </c>
    </row>
    <row r="372" customFormat="false" ht="15" hidden="false" customHeight="false" outlineLevel="0" collapsed="false">
      <c r="A372" s="0" t="n">
        <v>21</v>
      </c>
      <c r="AA372" s="0" t="n">
        <v>21</v>
      </c>
      <c r="AB372" s="0" t="s">
        <v>450</v>
      </c>
      <c r="AD372" s="0" t="n">
        <v>0</v>
      </c>
      <c r="AE372" s="0" t="s">
        <v>295</v>
      </c>
      <c r="AH372" s="0" t="n">
        <v>11</v>
      </c>
      <c r="AJ372" s="0" t="n">
        <v>10</v>
      </c>
      <c r="AP372" s="0" t="n">
        <v>360000</v>
      </c>
      <c r="DB372" s="0" t="str">
        <f aca="false">IF($A372="","",IF($A372&lt;&gt;21,"対象外",IF($AE372&amp;""="00000000","在職",IF($AE372&amp;""=設定!$C$4,"4/1喪失","その他喪失"))))</f>
        <v>在職</v>
      </c>
    </row>
    <row r="373" customFormat="false" ht="15" hidden="false" customHeight="false" outlineLevel="0" collapsed="false">
      <c r="A373" s="0" t="n">
        <v>31</v>
      </c>
      <c r="AA373" s="0" t="n">
        <v>21</v>
      </c>
      <c r="AB373" s="0" t="s">
        <v>496</v>
      </c>
      <c r="AD373" s="0" t="n">
        <v>0</v>
      </c>
      <c r="AE373" s="0" t="s">
        <v>295</v>
      </c>
      <c r="AH373" s="0" t="n">
        <v>1</v>
      </c>
      <c r="AJ373" s="0" t="n">
        <v>41</v>
      </c>
      <c r="AP373" s="0" t="n">
        <v>200000</v>
      </c>
      <c r="DB373" s="0" t="str">
        <f aca="false">IF($A373="","",IF($A373&lt;&gt;21,"対象外",IF($AE373&amp;""="00000000","在職",IF($AE373&amp;""=設定!$C$4,"4/1喪失","その他喪失"))))</f>
        <v>対象外</v>
      </c>
    </row>
    <row r="374" customFormat="false" ht="15" hidden="false" customHeight="false" outlineLevel="0" collapsed="false">
      <c r="A374" s="0" t="n">
        <v>31</v>
      </c>
      <c r="AA374" s="0" t="n">
        <v>21</v>
      </c>
      <c r="AB374" s="0" t="s">
        <v>496</v>
      </c>
      <c r="AD374" s="0" t="n">
        <v>0</v>
      </c>
      <c r="AE374" s="0" t="s">
        <v>295</v>
      </c>
      <c r="AH374" s="0" t="n">
        <v>1</v>
      </c>
      <c r="AJ374" s="0" t="n">
        <v>41</v>
      </c>
      <c r="AP374" s="0" t="n">
        <v>220000</v>
      </c>
      <c r="DB374" s="0" t="str">
        <f aca="false">IF($A374="","",IF($A374&lt;&gt;21,"対象外",IF($AE374&amp;""="00000000","在職",IF($AE374&amp;""=設定!$C$4,"4/1喪失","その他喪失"))))</f>
        <v>対象外</v>
      </c>
    </row>
    <row r="375" customFormat="false" ht="15" hidden="false" customHeight="false" outlineLevel="0" collapsed="false">
      <c r="A375" s="0" t="n">
        <v>31</v>
      </c>
      <c r="AA375" s="0" t="n">
        <v>21</v>
      </c>
      <c r="AB375" s="0" t="s">
        <v>496</v>
      </c>
      <c r="AD375" s="0" t="n">
        <v>0</v>
      </c>
      <c r="AE375" s="0" t="s">
        <v>295</v>
      </c>
      <c r="AH375" s="0" t="n">
        <v>1</v>
      </c>
      <c r="AJ375" s="0" t="n">
        <v>41</v>
      </c>
      <c r="AP375" s="0" t="n">
        <v>200000</v>
      </c>
      <c r="DB375" s="0" t="str">
        <f aca="false">IF($A375="","",IF($A375&lt;&gt;21,"対象外",IF($AE375&amp;""="00000000","在職",IF($AE375&amp;""=設定!$C$4,"4/1喪失","その他喪失"))))</f>
        <v>対象外</v>
      </c>
    </row>
    <row r="376" customFormat="false" ht="15" hidden="false" customHeight="false" outlineLevel="0" collapsed="false">
      <c r="A376" s="0" t="n">
        <v>21</v>
      </c>
      <c r="AA376" s="0" t="n">
        <v>21</v>
      </c>
      <c r="AB376" s="0" t="s">
        <v>413</v>
      </c>
      <c r="AD376" s="0" t="n">
        <v>0</v>
      </c>
      <c r="AE376" s="0" t="s">
        <v>295</v>
      </c>
      <c r="AH376" s="0" t="n">
        <v>1</v>
      </c>
      <c r="AJ376" s="0" t="n">
        <v>10</v>
      </c>
      <c r="AP376" s="0" t="n">
        <v>360000</v>
      </c>
      <c r="DB376" s="0" t="str">
        <f aca="false">IF($A376="","",IF($A376&lt;&gt;21,"対象外",IF($AE376&amp;""="00000000","在職",IF($AE376&amp;""=設定!$C$4,"4/1喪失","その他喪失"))))</f>
        <v>在職</v>
      </c>
    </row>
    <row r="377" customFormat="false" ht="15" hidden="false" customHeight="false" outlineLevel="0" collapsed="false">
      <c r="A377" s="0" t="n">
        <v>31</v>
      </c>
      <c r="AA377" s="0" t="n">
        <v>21</v>
      </c>
      <c r="AB377" s="0" t="s">
        <v>494</v>
      </c>
      <c r="AD377" s="0" t="n">
        <v>0</v>
      </c>
      <c r="AE377" s="0" t="s">
        <v>295</v>
      </c>
      <c r="AH377" s="0" t="n">
        <v>1</v>
      </c>
      <c r="AJ377" s="0" t="n">
        <v>41</v>
      </c>
      <c r="AP377" s="0" t="n">
        <v>126000</v>
      </c>
      <c r="DB377" s="0" t="str">
        <f aca="false">IF($A377="","",IF($A377&lt;&gt;21,"対象外",IF($AE377&amp;""="00000000","在職",IF($AE377&amp;""=設定!$C$4,"4/1喪失","その他喪失"))))</f>
        <v>対象外</v>
      </c>
    </row>
    <row r="378" customFormat="false" ht="15" hidden="false" customHeight="false" outlineLevel="0" collapsed="false">
      <c r="A378" s="0" t="n">
        <v>31</v>
      </c>
      <c r="AA378" s="0" t="n">
        <v>21</v>
      </c>
      <c r="AB378" s="0" t="s">
        <v>496</v>
      </c>
      <c r="AD378" s="0" t="n">
        <v>0</v>
      </c>
      <c r="AE378" s="0" t="s">
        <v>295</v>
      </c>
      <c r="AH378" s="0" t="n">
        <v>1</v>
      </c>
      <c r="AJ378" s="0" t="n">
        <v>41</v>
      </c>
      <c r="AP378" s="0" t="n">
        <v>190000</v>
      </c>
      <c r="DB378" s="0" t="str">
        <f aca="false">IF($A378="","",IF($A378&lt;&gt;21,"対象外",IF($AE378&amp;""="00000000","在職",IF($AE378&amp;""=設定!$C$4,"4/1喪失","その他喪失"))))</f>
        <v>対象外</v>
      </c>
    </row>
    <row r="379" customFormat="false" ht="15" hidden="false" customHeight="false" outlineLevel="0" collapsed="false">
      <c r="A379" s="0" t="n">
        <v>31</v>
      </c>
      <c r="AA379" s="0" t="n">
        <v>21</v>
      </c>
      <c r="AB379" s="0" t="s">
        <v>496</v>
      </c>
      <c r="AD379" s="0" t="n">
        <v>0</v>
      </c>
      <c r="AE379" s="0" t="s">
        <v>295</v>
      </c>
      <c r="AH379" s="0" t="n">
        <v>1</v>
      </c>
      <c r="AJ379" s="0" t="n">
        <v>41</v>
      </c>
      <c r="AP379" s="0" t="n">
        <v>142000</v>
      </c>
      <c r="DB379" s="0" t="str">
        <f aca="false">IF($A379="","",IF($A379&lt;&gt;21,"対象外",IF($AE379&amp;""="00000000","在職",IF($AE379&amp;""=設定!$C$4,"4/1喪失","その他喪失"))))</f>
        <v>対象外</v>
      </c>
    </row>
    <row r="380" customFormat="false" ht="15" hidden="false" customHeight="false" outlineLevel="0" collapsed="false">
      <c r="A380" s="0" t="n">
        <v>31</v>
      </c>
      <c r="AA380" s="0" t="n">
        <v>21</v>
      </c>
      <c r="AB380" s="0" t="s">
        <v>96</v>
      </c>
      <c r="AD380" s="0" t="n">
        <v>0</v>
      </c>
      <c r="AE380" s="0" t="s">
        <v>295</v>
      </c>
      <c r="AH380" s="0" t="n">
        <v>11</v>
      </c>
      <c r="AJ380" s="0" t="n">
        <v>41</v>
      </c>
      <c r="AP380" s="0" t="n">
        <v>240000</v>
      </c>
      <c r="DB380" s="0" t="str">
        <f aca="false">IF($A380="","",IF($A380&lt;&gt;21,"対象外",IF($AE380&amp;""="00000000","在職",IF($AE380&amp;""=設定!$C$4,"4/1喪失","その他喪失"))))</f>
        <v>対象外</v>
      </c>
    </row>
    <row r="381" customFormat="false" ht="15" hidden="false" customHeight="false" outlineLevel="0" collapsed="false">
      <c r="A381" s="0" t="n">
        <v>31</v>
      </c>
      <c r="AA381" s="0" t="n">
        <v>21</v>
      </c>
      <c r="AB381" s="0" t="s">
        <v>303</v>
      </c>
      <c r="AD381" s="0" t="n">
        <v>0</v>
      </c>
      <c r="AE381" s="0" t="s">
        <v>295</v>
      </c>
      <c r="AH381" s="0" t="n">
        <v>1</v>
      </c>
      <c r="AJ381" s="0" t="n">
        <v>41</v>
      </c>
      <c r="AP381" s="0" t="n">
        <v>170000</v>
      </c>
      <c r="DB381" s="0" t="str">
        <f aca="false">IF($A381="","",IF($A381&lt;&gt;21,"対象外",IF($AE381&amp;""="00000000","在職",IF($AE381&amp;""=設定!$C$4,"4/1喪失","その他喪失"))))</f>
        <v>対象外</v>
      </c>
    </row>
    <row r="382" customFormat="false" ht="15" hidden="false" customHeight="false" outlineLevel="0" collapsed="false">
      <c r="A382" s="0" t="n">
        <v>31</v>
      </c>
      <c r="AA382" s="0" t="n">
        <v>21</v>
      </c>
      <c r="AB382" s="0" t="s">
        <v>496</v>
      </c>
      <c r="AD382" s="0" t="n">
        <v>0</v>
      </c>
      <c r="AE382" s="0" t="s">
        <v>295</v>
      </c>
      <c r="AH382" s="0" t="n">
        <v>1</v>
      </c>
      <c r="AJ382" s="0" t="n">
        <v>41</v>
      </c>
      <c r="AP382" s="0" t="n">
        <v>260000</v>
      </c>
      <c r="DB382" s="0" t="str">
        <f aca="false">IF($A382="","",IF($A382&lt;&gt;21,"対象外",IF($AE382&amp;""="00000000","在職",IF($AE382&amp;""=設定!$C$4,"4/1喪失","その他喪失"))))</f>
        <v>対象外</v>
      </c>
    </row>
    <row r="383" customFormat="false" ht="15" hidden="false" customHeight="false" outlineLevel="0" collapsed="false">
      <c r="A383" s="0" t="n">
        <v>31</v>
      </c>
      <c r="AA383" s="0" t="n">
        <v>21</v>
      </c>
      <c r="AB383" s="0" t="s">
        <v>496</v>
      </c>
      <c r="AD383" s="0" t="n">
        <v>0</v>
      </c>
      <c r="AE383" s="0" t="s">
        <v>295</v>
      </c>
      <c r="AH383" s="0" t="n">
        <v>1</v>
      </c>
      <c r="AJ383" s="0" t="n">
        <v>41</v>
      </c>
      <c r="AP383" s="0" t="n">
        <v>160000</v>
      </c>
      <c r="DB383" s="0" t="str">
        <f aca="false">IF($A383="","",IF($A383&lt;&gt;21,"対象外",IF($AE383&amp;""="00000000","在職",IF($AE383&amp;""=設定!$C$4,"4/1喪失","その他喪失"))))</f>
        <v>対象外</v>
      </c>
    </row>
    <row r="384" customFormat="false" ht="15" hidden="false" customHeight="false" outlineLevel="0" collapsed="false">
      <c r="A384" s="0" t="n">
        <v>31</v>
      </c>
      <c r="AA384" s="0" t="n">
        <v>21</v>
      </c>
      <c r="AB384" s="0" t="s">
        <v>496</v>
      </c>
      <c r="AD384" s="0" t="n">
        <v>0</v>
      </c>
      <c r="AE384" s="0" t="s">
        <v>295</v>
      </c>
      <c r="AH384" s="0" t="n">
        <v>1</v>
      </c>
      <c r="AJ384" s="0" t="n">
        <v>41</v>
      </c>
      <c r="AP384" s="0" t="n">
        <v>220000</v>
      </c>
      <c r="DB384" s="0" t="str">
        <f aca="false">IF($A384="","",IF($A384&lt;&gt;21,"対象外",IF($AE384&amp;""="00000000","在職",IF($AE384&amp;""=設定!$C$4,"4/1喪失","その他喪失"))))</f>
        <v>対象外</v>
      </c>
    </row>
    <row r="385" customFormat="false" ht="15" hidden="false" customHeight="false" outlineLevel="0" collapsed="false">
      <c r="A385" s="0" t="n">
        <v>21</v>
      </c>
      <c r="AA385" s="0" t="n">
        <v>21</v>
      </c>
      <c r="AB385" s="0" t="s">
        <v>468</v>
      </c>
      <c r="AD385" s="0" t="n">
        <v>0</v>
      </c>
      <c r="AE385" s="0" t="s">
        <v>295</v>
      </c>
      <c r="AH385" s="0" t="n">
        <v>20</v>
      </c>
      <c r="AJ385" s="0" t="n">
        <v>10</v>
      </c>
      <c r="AP385" s="0" t="n">
        <v>1150000</v>
      </c>
      <c r="DB385" s="0" t="str">
        <f aca="false">IF($A385="","",IF($A385&lt;&gt;21,"対象外",IF($AE385&amp;""="00000000","在職",IF($AE385&amp;""=設定!$C$4,"4/1喪失","その他喪失"))))</f>
        <v>在職</v>
      </c>
    </row>
    <row r="386" customFormat="false" ht="15" hidden="false" customHeight="false" outlineLevel="0" collapsed="false">
      <c r="A386" s="0" t="n">
        <v>31</v>
      </c>
      <c r="AA386" s="0" t="n">
        <v>21</v>
      </c>
      <c r="AB386" s="0" t="s">
        <v>96</v>
      </c>
      <c r="AD386" s="0" t="n">
        <v>0</v>
      </c>
      <c r="AE386" s="0" t="s">
        <v>295</v>
      </c>
      <c r="AH386" s="0" t="n">
        <v>1</v>
      </c>
      <c r="AJ386" s="0" t="n">
        <v>41</v>
      </c>
      <c r="AP386" s="0" t="n">
        <v>220000</v>
      </c>
      <c r="DB386" s="0" t="str">
        <f aca="false">IF($A386="","",IF($A386&lt;&gt;21,"対象外",IF($AE386&amp;""="00000000","在職",IF($AE386&amp;""=設定!$C$4,"4/1喪失","その他喪失"))))</f>
        <v>対象外</v>
      </c>
    </row>
    <row r="387" customFormat="false" ht="15" hidden="false" customHeight="false" outlineLevel="0" collapsed="false">
      <c r="A387" s="0" t="n">
        <v>31</v>
      </c>
      <c r="AA387" s="0" t="n">
        <v>21</v>
      </c>
      <c r="AB387" s="0" t="s">
        <v>496</v>
      </c>
      <c r="AD387" s="0" t="n">
        <v>0</v>
      </c>
      <c r="AE387" s="0" t="s">
        <v>295</v>
      </c>
      <c r="AH387" s="0" t="n">
        <v>1</v>
      </c>
      <c r="AJ387" s="0" t="n">
        <v>41</v>
      </c>
      <c r="AP387" s="0" t="n">
        <v>190000</v>
      </c>
      <c r="DB387" s="0" t="str">
        <f aca="false">IF($A387="","",IF($A387&lt;&gt;21,"対象外",IF($AE387&amp;""="00000000","在職",IF($AE387&amp;""=設定!$C$4,"4/1喪失","その他喪失"))))</f>
        <v>対象外</v>
      </c>
    </row>
    <row r="388" customFormat="false" ht="15" hidden="false" customHeight="false" outlineLevel="0" collapsed="false">
      <c r="A388" s="0" t="n">
        <v>31</v>
      </c>
      <c r="AA388" s="0" t="n">
        <v>21</v>
      </c>
      <c r="AB388" s="0" t="s">
        <v>496</v>
      </c>
      <c r="AD388" s="0" t="n">
        <v>0</v>
      </c>
      <c r="AE388" s="0" t="s">
        <v>295</v>
      </c>
      <c r="AH388" s="0" t="n">
        <v>11</v>
      </c>
      <c r="AJ388" s="0" t="n">
        <v>41</v>
      </c>
      <c r="AP388" s="0" t="n">
        <v>200000</v>
      </c>
      <c r="DB388" s="0" t="str">
        <f aca="false">IF($A388="","",IF($A388&lt;&gt;21,"対象外",IF($AE388&amp;""="00000000","在職",IF($AE388&amp;""=設定!$C$4,"4/1喪失","その他喪失"))))</f>
        <v>対象外</v>
      </c>
    </row>
    <row r="389" customFormat="false" ht="15" hidden="false" customHeight="false" outlineLevel="0" collapsed="false">
      <c r="A389" s="0" t="n">
        <v>31</v>
      </c>
      <c r="AA389" s="0" t="n">
        <v>21</v>
      </c>
      <c r="AB389" s="0" t="s">
        <v>303</v>
      </c>
      <c r="AD389" s="0" t="n">
        <v>0</v>
      </c>
      <c r="AE389" s="0" t="s">
        <v>295</v>
      </c>
      <c r="AH389" s="0" t="n">
        <v>1</v>
      </c>
      <c r="AJ389" s="0" t="n">
        <v>41</v>
      </c>
      <c r="AP389" s="0" t="n">
        <v>200000</v>
      </c>
      <c r="DB389" s="0" t="str">
        <f aca="false">IF($A389="","",IF($A389&lt;&gt;21,"対象外",IF($AE389&amp;""="00000000","在職",IF($AE389&amp;""=設定!$C$4,"4/1喪失","その他喪失"))))</f>
        <v>対象外</v>
      </c>
    </row>
    <row r="390" customFormat="false" ht="15" hidden="false" customHeight="false" outlineLevel="0" collapsed="false">
      <c r="A390" s="0" t="n">
        <v>31</v>
      </c>
      <c r="AA390" s="0" t="n">
        <v>21</v>
      </c>
      <c r="AB390" s="0" t="s">
        <v>496</v>
      </c>
      <c r="AD390" s="0" t="n">
        <v>0</v>
      </c>
      <c r="AE390" s="0" t="s">
        <v>295</v>
      </c>
      <c r="AH390" s="0" t="n">
        <v>11</v>
      </c>
      <c r="AJ390" s="0" t="n">
        <v>41</v>
      </c>
      <c r="AP390" s="0" t="n">
        <v>200000</v>
      </c>
      <c r="DB390" s="0" t="str">
        <f aca="false">IF($A390="","",IF($A390&lt;&gt;21,"対象外",IF($AE390&amp;""="00000000","在職",IF($AE390&amp;""=設定!$C$4,"4/1喪失","その他喪失"))))</f>
        <v>対象外</v>
      </c>
    </row>
    <row r="391" customFormat="false" ht="15" hidden="false" customHeight="false" outlineLevel="0" collapsed="false">
      <c r="A391" s="0" t="n">
        <v>31</v>
      </c>
      <c r="AA391" s="0" t="n">
        <v>21</v>
      </c>
      <c r="AB391" s="0" t="s">
        <v>496</v>
      </c>
      <c r="AD391" s="0" t="n">
        <v>0</v>
      </c>
      <c r="AE391" s="0" t="s">
        <v>295</v>
      </c>
      <c r="AH391" s="0" t="n">
        <v>1</v>
      </c>
      <c r="AJ391" s="0" t="n">
        <v>41</v>
      </c>
      <c r="AP391" s="0" t="n">
        <v>190000</v>
      </c>
      <c r="DB391" s="0" t="str">
        <f aca="false">IF($A391="","",IF($A391&lt;&gt;21,"対象外",IF($AE391&amp;""="00000000","在職",IF($AE391&amp;""=設定!$C$4,"4/1喪失","その他喪失"))))</f>
        <v>対象外</v>
      </c>
    </row>
    <row r="392" customFormat="false" ht="15" hidden="false" customHeight="false" outlineLevel="0" collapsed="false">
      <c r="A392" s="0" t="n">
        <v>31</v>
      </c>
      <c r="AA392" s="0" t="n">
        <v>21</v>
      </c>
      <c r="AB392" s="0" t="s">
        <v>496</v>
      </c>
      <c r="AD392" s="0" t="n">
        <v>0</v>
      </c>
      <c r="AE392" s="0" t="s">
        <v>295</v>
      </c>
      <c r="AH392" s="0" t="n">
        <v>1</v>
      </c>
      <c r="AJ392" s="0" t="n">
        <v>41</v>
      </c>
      <c r="AP392" s="0" t="n">
        <v>220000</v>
      </c>
      <c r="DB392" s="0" t="str">
        <f aca="false">IF($A392="","",IF($A392&lt;&gt;21,"対象外",IF($AE392&amp;""="00000000","在職",IF($AE392&amp;""=設定!$C$4,"4/1喪失","その他喪失"))))</f>
        <v>対象外</v>
      </c>
    </row>
    <row r="393" customFormat="false" ht="15" hidden="false" customHeight="false" outlineLevel="0" collapsed="false">
      <c r="A393" s="0" t="n">
        <v>31</v>
      </c>
      <c r="AA393" s="0" t="n">
        <v>21</v>
      </c>
      <c r="AB393" s="0" t="s">
        <v>496</v>
      </c>
      <c r="AD393" s="0" t="n">
        <v>0</v>
      </c>
      <c r="AE393" s="0" t="s">
        <v>295</v>
      </c>
      <c r="AH393" s="0" t="n">
        <v>1</v>
      </c>
      <c r="AJ393" s="0" t="n">
        <v>41</v>
      </c>
      <c r="AP393" s="0" t="n">
        <v>220000</v>
      </c>
      <c r="DB393" s="0" t="str">
        <f aca="false">IF($A393="","",IF($A393&lt;&gt;21,"対象外",IF($AE393&amp;""="00000000","在職",IF($AE393&amp;""=設定!$C$4,"4/1喪失","その他喪失"))))</f>
        <v>対象外</v>
      </c>
    </row>
    <row r="394" customFormat="false" ht="15" hidden="false" customHeight="false" outlineLevel="0" collapsed="false">
      <c r="A394" s="0" t="n">
        <v>31</v>
      </c>
      <c r="AA394" s="0" t="n">
        <v>21</v>
      </c>
      <c r="AB394" s="0" t="s">
        <v>96</v>
      </c>
      <c r="AD394" s="0" t="n">
        <v>0</v>
      </c>
      <c r="AE394" s="0" t="s">
        <v>295</v>
      </c>
      <c r="AH394" s="0" t="n">
        <v>11</v>
      </c>
      <c r="AJ394" s="0" t="n">
        <v>41</v>
      </c>
      <c r="AP394" s="0" t="n">
        <v>220000</v>
      </c>
      <c r="DB394" s="0" t="str">
        <f aca="false">IF($A394="","",IF($A394&lt;&gt;21,"対象外",IF($AE394&amp;""="00000000","在職",IF($AE394&amp;""=設定!$C$4,"4/1喪失","その他喪失"))))</f>
        <v>対象外</v>
      </c>
    </row>
    <row r="395" customFormat="false" ht="15" hidden="false" customHeight="false" outlineLevel="0" collapsed="false">
      <c r="A395" s="0" t="n">
        <v>31</v>
      </c>
      <c r="AA395" s="0" t="n">
        <v>21</v>
      </c>
      <c r="AB395" s="0" t="s">
        <v>496</v>
      </c>
      <c r="AD395" s="0" t="n">
        <v>0</v>
      </c>
      <c r="AE395" s="0" t="s">
        <v>295</v>
      </c>
      <c r="AH395" s="0" t="n">
        <v>1</v>
      </c>
      <c r="AJ395" s="0" t="n">
        <v>41</v>
      </c>
      <c r="AP395" s="0" t="n">
        <v>142000</v>
      </c>
      <c r="DB395" s="0" t="str">
        <f aca="false">IF($A395="","",IF($A395&lt;&gt;21,"対象外",IF($AE395&amp;""="00000000","在職",IF($AE395&amp;""=設定!$C$4,"4/1喪失","その他喪失"))))</f>
        <v>対象外</v>
      </c>
    </row>
    <row r="396" customFormat="false" ht="15" hidden="false" customHeight="false" outlineLevel="0" collapsed="false">
      <c r="A396" s="0" t="n">
        <v>31</v>
      </c>
      <c r="AA396" s="0" t="n">
        <v>21</v>
      </c>
      <c r="AB396" s="0" t="s">
        <v>496</v>
      </c>
      <c r="AD396" s="0" t="n">
        <v>0</v>
      </c>
      <c r="AE396" s="0" t="s">
        <v>295</v>
      </c>
      <c r="AH396" s="0" t="n">
        <v>1</v>
      </c>
      <c r="AJ396" s="0" t="n">
        <v>41</v>
      </c>
      <c r="AP396" s="0" t="n">
        <v>150000</v>
      </c>
      <c r="DB396" s="0" t="str">
        <f aca="false">IF($A396="","",IF($A396&lt;&gt;21,"対象外",IF($AE396&amp;""="00000000","在職",IF($AE396&amp;""=設定!$C$4,"4/1喪失","その他喪失"))))</f>
        <v>対象外</v>
      </c>
    </row>
    <row r="397" customFormat="false" ht="15" hidden="false" customHeight="false" outlineLevel="0" collapsed="false">
      <c r="A397" s="0" t="n">
        <v>21</v>
      </c>
      <c r="AA397" s="0" t="n">
        <v>21</v>
      </c>
      <c r="AB397" s="0" t="s">
        <v>450</v>
      </c>
      <c r="AD397" s="0" t="n">
        <v>0</v>
      </c>
      <c r="AE397" s="0" t="s">
        <v>295</v>
      </c>
      <c r="AH397" s="0" t="n">
        <v>1</v>
      </c>
      <c r="AJ397" s="0" t="n">
        <v>10</v>
      </c>
      <c r="AP397" s="0" t="n">
        <v>320000</v>
      </c>
      <c r="DB397" s="0" t="str">
        <f aca="false">IF($A397="","",IF($A397&lt;&gt;21,"対象外",IF($AE397&amp;""="00000000","在職",IF($AE397&amp;""=設定!$C$4,"4/1喪失","その他喪失"))))</f>
        <v>在職</v>
      </c>
    </row>
    <row r="398" customFormat="false" ht="15" hidden="false" customHeight="false" outlineLevel="0" collapsed="false">
      <c r="A398" s="0" t="n">
        <v>21</v>
      </c>
      <c r="AA398" s="0" t="n">
        <v>21</v>
      </c>
      <c r="AB398" s="0" t="s">
        <v>604</v>
      </c>
      <c r="AD398" s="0" t="n">
        <v>0</v>
      </c>
      <c r="AE398" s="0" t="s">
        <v>295</v>
      </c>
      <c r="AH398" s="0" t="n">
        <v>20</v>
      </c>
      <c r="AJ398" s="0" t="n">
        <v>10</v>
      </c>
      <c r="AP398" s="0" t="n">
        <v>380000</v>
      </c>
      <c r="DB398" s="0" t="str">
        <f aca="false">IF($A398="","",IF($A398&lt;&gt;21,"対象外",IF($AE398&amp;""="00000000","在職",IF($AE398&amp;""=設定!$C$4,"4/1喪失","その他喪失"))))</f>
        <v>在職</v>
      </c>
    </row>
    <row r="399" customFormat="false" ht="15" hidden="false" customHeight="false" outlineLevel="0" collapsed="false">
      <c r="A399" s="0" t="n">
        <v>31</v>
      </c>
      <c r="AA399" s="0" t="n">
        <v>21</v>
      </c>
      <c r="AB399" s="0" t="s">
        <v>496</v>
      </c>
      <c r="AD399" s="0" t="n">
        <v>0</v>
      </c>
      <c r="AE399" s="0" t="s">
        <v>295</v>
      </c>
      <c r="AH399" s="0" t="n">
        <v>20</v>
      </c>
      <c r="AJ399" s="0" t="n">
        <v>41</v>
      </c>
      <c r="AP399" s="0" t="n">
        <v>190000</v>
      </c>
      <c r="DB399" s="0" t="str">
        <f aca="false">IF($A399="","",IF($A399&lt;&gt;21,"対象外",IF($AE399&amp;""="00000000","在職",IF($AE399&amp;""=設定!$C$4,"4/1喪失","その他喪失"))))</f>
        <v>対象外</v>
      </c>
    </row>
    <row r="400" customFormat="false" ht="15" hidden="false" customHeight="false" outlineLevel="0" collapsed="false">
      <c r="A400" s="0" t="n">
        <v>31</v>
      </c>
      <c r="AA400" s="0" t="n">
        <v>21</v>
      </c>
      <c r="AB400" s="0" t="s">
        <v>496</v>
      </c>
      <c r="AD400" s="0" t="n">
        <v>0</v>
      </c>
      <c r="AE400" s="0" t="s">
        <v>295</v>
      </c>
      <c r="AH400" s="0" t="n">
        <v>11</v>
      </c>
      <c r="AJ400" s="0" t="n">
        <v>41</v>
      </c>
      <c r="AP400" s="0" t="n">
        <v>180000</v>
      </c>
      <c r="DB400" s="0" t="str">
        <f aca="false">IF($A400="","",IF($A400&lt;&gt;21,"対象外",IF($AE400&amp;""="00000000","在職",IF($AE400&amp;""=設定!$C$4,"4/1喪失","その他喪失"))))</f>
        <v>対象外</v>
      </c>
    </row>
    <row r="401" customFormat="false" ht="15" hidden="false" customHeight="false" outlineLevel="0" collapsed="false">
      <c r="A401" s="0" t="n">
        <v>31</v>
      </c>
      <c r="AA401" s="0" t="n">
        <v>21</v>
      </c>
      <c r="AB401" s="0" t="s">
        <v>496</v>
      </c>
      <c r="AD401" s="0" t="n">
        <v>0</v>
      </c>
      <c r="AE401" s="0" t="s">
        <v>295</v>
      </c>
      <c r="AH401" s="0" t="n">
        <v>1</v>
      </c>
      <c r="AJ401" s="0" t="n">
        <v>41</v>
      </c>
      <c r="AP401" s="0" t="n">
        <v>200000</v>
      </c>
      <c r="DB401" s="0" t="str">
        <f aca="false">IF($A401="","",IF($A401&lt;&gt;21,"対象外",IF($AE401&amp;""="00000000","在職",IF($AE401&amp;""=設定!$C$4,"4/1喪失","その他喪失"))))</f>
        <v>対象外</v>
      </c>
    </row>
    <row r="402" customFormat="false" ht="15" hidden="false" customHeight="false" outlineLevel="0" collapsed="false">
      <c r="A402" s="0" t="n">
        <v>31</v>
      </c>
      <c r="AA402" s="0" t="n">
        <v>21</v>
      </c>
      <c r="AB402" s="0" t="s">
        <v>496</v>
      </c>
      <c r="AD402" s="0" t="n">
        <v>0</v>
      </c>
      <c r="AE402" s="0" t="s">
        <v>295</v>
      </c>
      <c r="AH402" s="0" t="n">
        <v>1</v>
      </c>
      <c r="AJ402" s="0" t="n">
        <v>41</v>
      </c>
      <c r="AP402" s="0" t="n">
        <v>190000</v>
      </c>
      <c r="DB402" s="0" t="str">
        <f aca="false">IF($A402="","",IF($A402&lt;&gt;21,"対象外",IF($AE402&amp;""="00000000","在職",IF($AE402&amp;""=設定!$C$4,"4/1喪失","その他喪失"))))</f>
        <v>対象外</v>
      </c>
    </row>
    <row r="403" customFormat="false" ht="15" hidden="false" customHeight="false" outlineLevel="0" collapsed="false">
      <c r="A403" s="0" t="n">
        <v>31</v>
      </c>
      <c r="AA403" s="0" t="n">
        <v>21</v>
      </c>
      <c r="AB403" s="0" t="s">
        <v>496</v>
      </c>
      <c r="AD403" s="0" t="n">
        <v>0</v>
      </c>
      <c r="AE403" s="0" t="s">
        <v>295</v>
      </c>
      <c r="AH403" s="0" t="n">
        <v>1</v>
      </c>
      <c r="AJ403" s="0" t="n">
        <v>41</v>
      </c>
      <c r="AP403" s="0" t="n">
        <v>142000</v>
      </c>
      <c r="DB403" s="0" t="str">
        <f aca="false">IF($A403="","",IF($A403&lt;&gt;21,"対象外",IF($AE403&amp;""="00000000","在職",IF($AE403&amp;""=設定!$C$4,"4/1喪失","その他喪失"))))</f>
        <v>対象外</v>
      </c>
    </row>
    <row r="404" customFormat="false" ht="15" hidden="false" customHeight="false" outlineLevel="0" collapsed="false">
      <c r="A404" s="0" t="n">
        <v>31</v>
      </c>
      <c r="AA404" s="0" t="n">
        <v>21</v>
      </c>
      <c r="AB404" s="0" t="s">
        <v>496</v>
      </c>
      <c r="AD404" s="0" t="n">
        <v>0</v>
      </c>
      <c r="AE404" s="0" t="s">
        <v>295</v>
      </c>
      <c r="AH404" s="0" t="n">
        <v>1</v>
      </c>
      <c r="AJ404" s="0" t="n">
        <v>41</v>
      </c>
      <c r="AP404" s="0" t="n">
        <v>220000</v>
      </c>
      <c r="DB404" s="0" t="str">
        <f aca="false">IF($A404="","",IF($A404&lt;&gt;21,"対象外",IF($AE404&amp;""="00000000","在職",IF($AE404&amp;""=設定!$C$4,"4/1喪失","その他喪失"))))</f>
        <v>対象外</v>
      </c>
    </row>
    <row r="405" customFormat="false" ht="15" hidden="false" customHeight="false" outlineLevel="0" collapsed="false">
      <c r="A405" s="0" t="n">
        <v>31</v>
      </c>
      <c r="AA405" s="0" t="n">
        <v>21</v>
      </c>
      <c r="AB405" s="0" t="s">
        <v>508</v>
      </c>
      <c r="AD405" s="0" t="n">
        <v>0</v>
      </c>
      <c r="AE405" s="0" t="s">
        <v>295</v>
      </c>
      <c r="AH405" s="0" t="n">
        <v>1</v>
      </c>
      <c r="AJ405" s="0" t="n">
        <v>41</v>
      </c>
      <c r="AP405" s="0" t="n">
        <v>134000</v>
      </c>
      <c r="DB405" s="0" t="str">
        <f aca="false">IF($A405="","",IF($A405&lt;&gt;21,"対象外",IF($AE405&amp;""="00000000","在職",IF($AE405&amp;""=設定!$C$4,"4/1喪失","その他喪失"))))</f>
        <v>対象外</v>
      </c>
    </row>
    <row r="406" customFormat="false" ht="15" hidden="false" customHeight="false" outlineLevel="0" collapsed="false">
      <c r="A406" s="0" t="n">
        <v>31</v>
      </c>
      <c r="AA406" s="0" t="n">
        <v>21</v>
      </c>
      <c r="AB406" s="0" t="s">
        <v>496</v>
      </c>
      <c r="AD406" s="0" t="n">
        <v>0</v>
      </c>
      <c r="AE406" s="0" t="s">
        <v>295</v>
      </c>
      <c r="AH406" s="0" t="n">
        <v>1</v>
      </c>
      <c r="AJ406" s="0" t="n">
        <v>41</v>
      </c>
      <c r="AP406" s="0" t="n">
        <v>150000</v>
      </c>
      <c r="DB406" s="0" t="str">
        <f aca="false">IF($A406="","",IF($A406&lt;&gt;21,"対象外",IF($AE406&amp;""="00000000","在職",IF($AE406&amp;""=設定!$C$4,"4/1喪失","その他喪失"))))</f>
        <v>対象外</v>
      </c>
    </row>
    <row r="407" customFormat="false" ht="15" hidden="false" customHeight="false" outlineLevel="0" collapsed="false">
      <c r="A407" s="0" t="n">
        <v>21</v>
      </c>
      <c r="AA407" s="0" t="n">
        <v>21</v>
      </c>
      <c r="AB407" s="0" t="s">
        <v>426</v>
      </c>
      <c r="AD407" s="0" t="n">
        <v>0</v>
      </c>
      <c r="AE407" s="0" t="s">
        <v>295</v>
      </c>
      <c r="AH407" s="0" t="n">
        <v>20</v>
      </c>
      <c r="AJ407" s="0" t="n">
        <v>10</v>
      </c>
      <c r="AP407" s="0" t="n">
        <v>280000</v>
      </c>
      <c r="DB407" s="0" t="str">
        <f aca="false">IF($A407="","",IF($A407&lt;&gt;21,"対象外",IF($AE407&amp;""="00000000","在職",IF($AE407&amp;""=設定!$C$4,"4/1喪失","その他喪失"))))</f>
        <v>在職</v>
      </c>
    </row>
    <row r="408" customFormat="false" ht="15" hidden="false" customHeight="false" outlineLevel="0" collapsed="false">
      <c r="A408" s="0" t="n">
        <v>31</v>
      </c>
      <c r="AA408" s="0" t="n">
        <v>21</v>
      </c>
      <c r="AB408" s="0" t="s">
        <v>496</v>
      </c>
      <c r="AD408" s="0" t="n">
        <v>0</v>
      </c>
      <c r="AE408" s="0" t="s">
        <v>295</v>
      </c>
      <c r="AH408" s="0" t="n">
        <v>1</v>
      </c>
      <c r="AJ408" s="0" t="n">
        <v>41</v>
      </c>
      <c r="AP408" s="0" t="n">
        <v>200000</v>
      </c>
      <c r="DB408" s="0" t="str">
        <f aca="false">IF($A408="","",IF($A408&lt;&gt;21,"対象外",IF($AE408&amp;""="00000000","在職",IF($AE408&amp;""=設定!$C$4,"4/1喪失","その他喪失"))))</f>
        <v>対象外</v>
      </c>
    </row>
    <row r="409" customFormat="false" ht="15" hidden="false" customHeight="false" outlineLevel="0" collapsed="false">
      <c r="A409" s="0" t="n">
        <v>31</v>
      </c>
      <c r="AA409" s="0" t="n">
        <v>21</v>
      </c>
      <c r="AB409" s="0" t="s">
        <v>770</v>
      </c>
      <c r="AD409" s="0" t="n">
        <v>0</v>
      </c>
      <c r="AE409" s="0" t="s">
        <v>295</v>
      </c>
      <c r="AH409" s="0" t="n">
        <v>1</v>
      </c>
      <c r="AJ409" s="0" t="n">
        <v>10</v>
      </c>
      <c r="AP409" s="0" t="n">
        <v>260000</v>
      </c>
      <c r="DB409" s="0" t="str">
        <f aca="false">IF($A409="","",IF($A409&lt;&gt;21,"対象外",IF($AE409&amp;""="00000000","在職",IF($AE409&amp;""=設定!$C$4,"4/1喪失","その他喪失"))))</f>
        <v>対象外</v>
      </c>
    </row>
    <row r="410" customFormat="false" ht="15" hidden="false" customHeight="false" outlineLevel="0" collapsed="false">
      <c r="A410" s="0" t="n">
        <v>31</v>
      </c>
      <c r="AA410" s="0" t="n">
        <v>21</v>
      </c>
      <c r="AB410" s="0" t="s">
        <v>496</v>
      </c>
      <c r="AD410" s="0" t="n">
        <v>0</v>
      </c>
      <c r="AE410" s="0" t="s">
        <v>295</v>
      </c>
      <c r="AH410" s="0" t="n">
        <v>1</v>
      </c>
      <c r="AJ410" s="0" t="n">
        <v>41</v>
      </c>
      <c r="AP410" s="0" t="n">
        <v>200000</v>
      </c>
      <c r="DB410" s="0" t="str">
        <f aca="false">IF($A410="","",IF($A410&lt;&gt;21,"対象外",IF($AE410&amp;""="00000000","在職",IF($AE410&amp;""=設定!$C$4,"4/1喪失","その他喪失"))))</f>
        <v>対象外</v>
      </c>
    </row>
    <row r="411" customFormat="false" ht="15" hidden="false" customHeight="false" outlineLevel="0" collapsed="false">
      <c r="A411" s="0" t="n">
        <v>31</v>
      </c>
      <c r="AA411" s="0" t="n">
        <v>21</v>
      </c>
      <c r="AB411" s="0" t="s">
        <v>496</v>
      </c>
      <c r="AD411" s="0" t="n">
        <v>0</v>
      </c>
      <c r="AE411" s="0" t="s">
        <v>295</v>
      </c>
      <c r="AH411" s="0" t="n">
        <v>1</v>
      </c>
      <c r="AJ411" s="0" t="n">
        <v>41</v>
      </c>
      <c r="AP411" s="0" t="n">
        <v>150000</v>
      </c>
      <c r="DB411" s="0" t="str">
        <f aca="false">IF($A411="","",IF($A411&lt;&gt;21,"対象外",IF($AE411&amp;""="00000000","在職",IF($AE411&amp;""=設定!$C$4,"4/1喪失","その他喪失"))))</f>
        <v>対象外</v>
      </c>
    </row>
    <row r="412" customFormat="false" ht="15" hidden="false" customHeight="false" outlineLevel="0" collapsed="false">
      <c r="A412" s="0" t="n">
        <v>21</v>
      </c>
      <c r="AA412" s="0" t="n">
        <v>21</v>
      </c>
      <c r="AB412" s="0" t="s">
        <v>446</v>
      </c>
      <c r="AD412" s="0" t="n">
        <v>0</v>
      </c>
      <c r="AE412" s="0" t="s">
        <v>295</v>
      </c>
      <c r="AH412" s="0" t="n">
        <v>1</v>
      </c>
      <c r="AJ412" s="0" t="n">
        <v>10</v>
      </c>
      <c r="AP412" s="0" t="n">
        <v>280000</v>
      </c>
      <c r="DB412" s="0" t="str">
        <f aca="false">IF($A412="","",IF($A412&lt;&gt;21,"対象外",IF($AE412&amp;""="00000000","在職",IF($AE412&amp;""=設定!$C$4,"4/1喪失","その他喪失"))))</f>
        <v>在職</v>
      </c>
    </row>
    <row r="413" customFormat="false" ht="15" hidden="false" customHeight="false" outlineLevel="0" collapsed="false">
      <c r="A413" s="0" t="n">
        <v>31</v>
      </c>
      <c r="AA413" s="0" t="n">
        <v>21</v>
      </c>
      <c r="AB413" s="0" t="s">
        <v>569</v>
      </c>
      <c r="AD413" s="0" t="n">
        <v>0</v>
      </c>
      <c r="AE413" s="0" t="s">
        <v>295</v>
      </c>
      <c r="AH413" s="0" t="n">
        <v>1</v>
      </c>
      <c r="AJ413" s="0" t="n">
        <v>41</v>
      </c>
      <c r="AP413" s="0" t="n">
        <v>150000</v>
      </c>
      <c r="DB413" s="0" t="str">
        <f aca="false">IF($A413="","",IF($A413&lt;&gt;21,"対象外",IF($AE413&amp;""="00000000","在職",IF($AE413&amp;""=設定!$C$4,"4/1喪失","その他喪失"))))</f>
        <v>対象外</v>
      </c>
    </row>
    <row r="414" customFormat="false" ht="15" hidden="false" customHeight="false" outlineLevel="0" collapsed="false">
      <c r="A414" s="0" t="n">
        <v>31</v>
      </c>
      <c r="AA414" s="0" t="n">
        <v>21</v>
      </c>
      <c r="AB414" s="0" t="s">
        <v>613</v>
      </c>
      <c r="AD414" s="0" t="n">
        <v>0</v>
      </c>
      <c r="AE414" s="0" t="s">
        <v>295</v>
      </c>
      <c r="AH414" s="0" t="n">
        <v>1</v>
      </c>
      <c r="AJ414" s="0" t="n">
        <v>10</v>
      </c>
      <c r="AP414" s="0" t="n">
        <v>260000</v>
      </c>
      <c r="DB414" s="0" t="str">
        <f aca="false">IF($A414="","",IF($A414&lt;&gt;21,"対象外",IF($AE414&amp;""="00000000","在職",IF($AE414&amp;""=設定!$C$4,"4/1喪失","その他喪失"))))</f>
        <v>対象外</v>
      </c>
    </row>
    <row r="415" customFormat="false" ht="15" hidden="false" customHeight="false" outlineLevel="0" collapsed="false">
      <c r="A415" s="0" t="n">
        <v>21</v>
      </c>
      <c r="AA415" s="0" t="n">
        <v>21</v>
      </c>
      <c r="AB415" s="0" t="s">
        <v>606</v>
      </c>
      <c r="AD415" s="0" t="n">
        <v>0</v>
      </c>
      <c r="AE415" s="0" t="s">
        <v>295</v>
      </c>
      <c r="AH415" s="0" t="n">
        <v>20</v>
      </c>
      <c r="AJ415" s="0" t="n">
        <v>10</v>
      </c>
      <c r="AP415" s="0" t="n">
        <v>260000</v>
      </c>
      <c r="DB415" s="0" t="str">
        <f aca="false">IF($A415="","",IF($A415&lt;&gt;21,"対象外",IF($AE415&amp;""="00000000","在職",IF($AE415&amp;""=設定!$C$4,"4/1喪失","その他喪失"))))</f>
        <v>在職</v>
      </c>
    </row>
    <row r="416" customFormat="false" ht="15" hidden="false" customHeight="false" outlineLevel="0" collapsed="false">
      <c r="A416" s="0" t="n">
        <v>31</v>
      </c>
      <c r="AA416" s="0" t="n">
        <v>21</v>
      </c>
      <c r="AB416" s="0" t="s">
        <v>496</v>
      </c>
      <c r="AD416" s="0" t="n">
        <v>0</v>
      </c>
      <c r="AE416" s="0" t="s">
        <v>295</v>
      </c>
      <c r="AH416" s="0" t="n">
        <v>1</v>
      </c>
      <c r="AJ416" s="0" t="n">
        <v>41</v>
      </c>
      <c r="AP416" s="0" t="n">
        <v>220000</v>
      </c>
      <c r="DB416" s="0" t="str">
        <f aca="false">IF($A416="","",IF($A416&lt;&gt;21,"対象外",IF($AE416&amp;""="00000000","在職",IF($AE416&amp;""=設定!$C$4,"4/1喪失","その他喪失"))))</f>
        <v>対象外</v>
      </c>
    </row>
    <row r="417" customFormat="false" ht="15" hidden="false" customHeight="false" outlineLevel="0" collapsed="false">
      <c r="A417" s="0" t="n">
        <v>31</v>
      </c>
      <c r="AA417" s="0" t="n">
        <v>21</v>
      </c>
      <c r="AB417" s="0" t="s">
        <v>496</v>
      </c>
      <c r="AD417" s="0" t="n">
        <v>0</v>
      </c>
      <c r="AE417" s="0" t="s">
        <v>295</v>
      </c>
      <c r="AH417" s="0" t="n">
        <v>1</v>
      </c>
      <c r="AJ417" s="0" t="n">
        <v>41</v>
      </c>
      <c r="AP417" s="0" t="n">
        <v>150000</v>
      </c>
      <c r="DB417" s="0" t="str">
        <f aca="false">IF($A417="","",IF($A417&lt;&gt;21,"対象外",IF($AE417&amp;""="00000000","在職",IF($AE417&amp;""=設定!$C$4,"4/1喪失","その他喪失"))))</f>
        <v>対象外</v>
      </c>
    </row>
    <row r="418" customFormat="false" ht="15" hidden="false" customHeight="false" outlineLevel="0" collapsed="false">
      <c r="A418" s="0" t="n">
        <v>31</v>
      </c>
      <c r="AA418" s="0" t="n">
        <v>24</v>
      </c>
      <c r="AB418" s="0" t="s">
        <v>303</v>
      </c>
      <c r="AD418" s="0" t="n">
        <v>0</v>
      </c>
      <c r="AE418" s="0" t="s">
        <v>295</v>
      </c>
      <c r="AH418" s="0" t="n">
        <v>1</v>
      </c>
      <c r="AJ418" s="0" t="n">
        <v>41</v>
      </c>
      <c r="AP418" s="0" t="n">
        <v>142000</v>
      </c>
      <c r="DB418" s="0" t="str">
        <f aca="false">IF($A418="","",IF($A418&lt;&gt;21,"対象外",IF($AE418&amp;""="00000000","在職",IF($AE418&amp;""=設定!$C$4,"4/1喪失","その他喪失"))))</f>
        <v>対象外</v>
      </c>
    </row>
    <row r="419" customFormat="false" ht="15" hidden="false" customHeight="false" outlineLevel="0" collapsed="false">
      <c r="A419" s="0" t="n">
        <v>21</v>
      </c>
      <c r="AA419" s="0" t="n">
        <v>21</v>
      </c>
      <c r="AB419" s="0" t="s">
        <v>387</v>
      </c>
      <c r="AD419" s="0" t="n">
        <v>0</v>
      </c>
      <c r="AE419" s="0" t="s">
        <v>295</v>
      </c>
      <c r="AH419" s="0" t="n">
        <v>1</v>
      </c>
      <c r="AJ419" s="0" t="n">
        <v>10</v>
      </c>
      <c r="AP419" s="0" t="n">
        <v>360000</v>
      </c>
      <c r="DB419" s="0" t="str">
        <f aca="false">IF($A419="","",IF($A419&lt;&gt;21,"対象外",IF($AE419&amp;""="00000000","在職",IF($AE419&amp;""=設定!$C$4,"4/1喪失","その他喪失"))))</f>
        <v>在職</v>
      </c>
    </row>
    <row r="420" customFormat="false" ht="15" hidden="false" customHeight="false" outlineLevel="0" collapsed="false">
      <c r="A420" s="0" t="n">
        <v>21</v>
      </c>
      <c r="AA420" s="0" t="n">
        <v>21</v>
      </c>
      <c r="AB420" s="0" t="s">
        <v>448</v>
      </c>
      <c r="AD420" s="0" t="n">
        <v>0</v>
      </c>
      <c r="AE420" s="0" t="s">
        <v>295</v>
      </c>
      <c r="AH420" s="0" t="n">
        <v>11</v>
      </c>
      <c r="AJ420" s="0" t="n">
        <v>10</v>
      </c>
      <c r="AP420" s="0" t="n">
        <v>280000</v>
      </c>
      <c r="DB420" s="0" t="str">
        <f aca="false">IF($A420="","",IF($A420&lt;&gt;21,"対象外",IF($AE420&amp;""="00000000","在職",IF($AE420&amp;""=設定!$C$4,"4/1喪失","その他喪失"))))</f>
        <v>在職</v>
      </c>
    </row>
    <row r="421" customFormat="false" ht="15" hidden="false" customHeight="false" outlineLevel="0" collapsed="false">
      <c r="A421" s="0" t="n">
        <v>21</v>
      </c>
      <c r="AA421" s="0" t="n">
        <v>21</v>
      </c>
      <c r="AB421" s="0" t="s">
        <v>484</v>
      </c>
      <c r="AD421" s="0" t="n">
        <v>0</v>
      </c>
      <c r="AE421" s="0" t="s">
        <v>295</v>
      </c>
      <c r="AH421" s="0" t="n">
        <v>1</v>
      </c>
      <c r="AJ421" s="0" t="n">
        <v>10</v>
      </c>
      <c r="AP421" s="0" t="n">
        <v>260000</v>
      </c>
      <c r="DB421" s="0" t="str">
        <f aca="false">IF($A421="","",IF($A421&lt;&gt;21,"対象外",IF($AE421&amp;""="00000000","在職",IF($AE421&amp;""=設定!$C$4,"4/1喪失","その他喪失"))))</f>
        <v>在職</v>
      </c>
    </row>
    <row r="422" customFormat="false" ht="15" hidden="false" customHeight="false" outlineLevel="0" collapsed="false">
      <c r="A422" s="0" t="n">
        <v>31</v>
      </c>
      <c r="AA422" s="0" t="n">
        <v>21</v>
      </c>
      <c r="AB422" s="0" t="s">
        <v>496</v>
      </c>
      <c r="AD422" s="0" t="n">
        <v>0</v>
      </c>
      <c r="AE422" s="0" t="s">
        <v>295</v>
      </c>
      <c r="AH422" s="0" t="n">
        <v>11</v>
      </c>
      <c r="AJ422" s="0" t="n">
        <v>41</v>
      </c>
      <c r="AP422" s="0" t="n">
        <v>126000</v>
      </c>
      <c r="DB422" s="0" t="str">
        <f aca="false">IF($A422="","",IF($A422&lt;&gt;21,"対象外",IF($AE422&amp;""="00000000","在職",IF($AE422&amp;""=設定!$C$4,"4/1喪失","その他喪失"))))</f>
        <v>対象外</v>
      </c>
    </row>
    <row r="423" customFormat="false" ht="15" hidden="false" customHeight="false" outlineLevel="0" collapsed="false">
      <c r="A423" s="0" t="n">
        <v>31</v>
      </c>
      <c r="AA423" s="0" t="n">
        <v>21</v>
      </c>
      <c r="AB423" s="0" t="s">
        <v>496</v>
      </c>
      <c r="AD423" s="0" t="n">
        <v>0</v>
      </c>
      <c r="AE423" s="0" t="s">
        <v>295</v>
      </c>
      <c r="AH423" s="0" t="n">
        <v>1</v>
      </c>
      <c r="AJ423" s="0" t="n">
        <v>41</v>
      </c>
      <c r="AP423" s="0" t="n">
        <v>142000</v>
      </c>
      <c r="DB423" s="0" t="str">
        <f aca="false">IF($A423="","",IF($A423&lt;&gt;21,"対象外",IF($AE423&amp;""="00000000","在職",IF($AE423&amp;""=設定!$C$4,"4/1喪失","その他喪失"))))</f>
        <v>対象外</v>
      </c>
    </row>
    <row r="424" customFormat="false" ht="15" hidden="false" customHeight="false" outlineLevel="0" collapsed="false">
      <c r="A424" s="0" t="n">
        <v>31</v>
      </c>
      <c r="AA424" s="0" t="n">
        <v>21</v>
      </c>
      <c r="AB424" s="0" t="s">
        <v>496</v>
      </c>
      <c r="AD424" s="0" t="n">
        <v>0</v>
      </c>
      <c r="AE424" s="0" t="s">
        <v>295</v>
      </c>
      <c r="AH424" s="0" t="n">
        <v>1</v>
      </c>
      <c r="AJ424" s="0" t="n">
        <v>41</v>
      </c>
      <c r="AP424" s="0" t="n">
        <v>150000</v>
      </c>
      <c r="DB424" s="0" t="str">
        <f aca="false">IF($A424="","",IF($A424&lt;&gt;21,"対象外",IF($AE424&amp;""="00000000","在職",IF($AE424&amp;""=設定!$C$4,"4/1喪失","その他喪失"))))</f>
        <v>対象外</v>
      </c>
    </row>
    <row r="425" customFormat="false" ht="15" hidden="false" customHeight="false" outlineLevel="0" collapsed="false">
      <c r="A425" s="0" t="n">
        <v>31</v>
      </c>
      <c r="AA425" s="0" t="n">
        <v>21</v>
      </c>
      <c r="AB425" s="0" t="s">
        <v>496</v>
      </c>
      <c r="AD425" s="0" t="n">
        <v>0</v>
      </c>
      <c r="AE425" s="0" t="s">
        <v>295</v>
      </c>
      <c r="AH425" s="0" t="n">
        <v>11</v>
      </c>
      <c r="AJ425" s="0" t="n">
        <v>41</v>
      </c>
      <c r="AP425" s="0" t="n">
        <v>190000</v>
      </c>
      <c r="DB425" s="0" t="str">
        <f aca="false">IF($A425="","",IF($A425&lt;&gt;21,"対象外",IF($AE425&amp;""="00000000","在職",IF($AE425&amp;""=設定!$C$4,"4/1喪失","その他喪失"))))</f>
        <v>対象外</v>
      </c>
    </row>
    <row r="426" customFormat="false" ht="15" hidden="false" customHeight="false" outlineLevel="0" collapsed="false">
      <c r="A426" s="0" t="n">
        <v>31</v>
      </c>
      <c r="AA426" s="0" t="n">
        <v>21</v>
      </c>
      <c r="AB426" s="0" t="s">
        <v>496</v>
      </c>
      <c r="AD426" s="0" t="n">
        <v>0</v>
      </c>
      <c r="AE426" s="0" t="s">
        <v>295</v>
      </c>
      <c r="AH426" s="0" t="n">
        <v>1</v>
      </c>
      <c r="AJ426" s="0" t="n">
        <v>41</v>
      </c>
      <c r="AP426" s="0" t="n">
        <v>142000</v>
      </c>
      <c r="DB426" s="0" t="str">
        <f aca="false">IF($A426="","",IF($A426&lt;&gt;21,"対象外",IF($AE426&amp;""="00000000","在職",IF($AE426&amp;""=設定!$C$4,"4/1喪失","その他喪失"))))</f>
        <v>対象外</v>
      </c>
    </row>
    <row r="427" customFormat="false" ht="15" hidden="false" customHeight="false" outlineLevel="0" collapsed="false">
      <c r="A427" s="0" t="n">
        <v>31</v>
      </c>
      <c r="AA427" s="0" t="n">
        <v>21</v>
      </c>
      <c r="AB427" s="0" t="s">
        <v>496</v>
      </c>
      <c r="AD427" s="0" t="n">
        <v>0</v>
      </c>
      <c r="AE427" s="0" t="s">
        <v>295</v>
      </c>
      <c r="AH427" s="0" t="n">
        <v>1</v>
      </c>
      <c r="AJ427" s="0" t="n">
        <v>41</v>
      </c>
      <c r="AP427" s="0" t="n">
        <v>200000</v>
      </c>
      <c r="DB427" s="0" t="str">
        <f aca="false">IF($A427="","",IF($A427&lt;&gt;21,"対象外",IF($AE427&amp;""="00000000","在職",IF($AE427&amp;""=設定!$C$4,"4/1喪失","その他喪失"))))</f>
        <v>対象外</v>
      </c>
    </row>
    <row r="428" customFormat="false" ht="15" hidden="false" customHeight="false" outlineLevel="0" collapsed="false">
      <c r="A428" s="0" t="n">
        <v>21</v>
      </c>
      <c r="AA428" s="0" t="n">
        <v>21</v>
      </c>
      <c r="AB428" s="0" t="s">
        <v>771</v>
      </c>
      <c r="AD428" s="0" t="n">
        <v>12</v>
      </c>
      <c r="AE428" s="0" t="s">
        <v>772</v>
      </c>
      <c r="AH428" s="0" t="n">
        <v>0</v>
      </c>
      <c r="AJ428" s="0" t="n">
        <v>10</v>
      </c>
      <c r="AP428" s="0" t="n">
        <v>470886</v>
      </c>
      <c r="DB428" s="0" t="str">
        <f aca="false">IF($A428="","",IF($A428&lt;&gt;21,"対象外",IF($AE428&amp;""="00000000","在職",IF($AE428&amp;""=設定!$C$4,"4/1喪失","その他喪失"))))</f>
        <v>その他喪失</v>
      </c>
    </row>
    <row r="429" customFormat="false" ht="15" hidden="false" customHeight="false" outlineLevel="0" collapsed="false">
      <c r="A429" s="0" t="n">
        <v>21</v>
      </c>
      <c r="AA429" s="0" t="n">
        <v>21</v>
      </c>
      <c r="AB429" s="0" t="s">
        <v>387</v>
      </c>
      <c r="AD429" s="0" t="n">
        <v>12</v>
      </c>
      <c r="AE429" s="0" t="s">
        <v>442</v>
      </c>
      <c r="AH429" s="0" t="n">
        <v>11</v>
      </c>
      <c r="AJ429" s="0" t="n">
        <v>10</v>
      </c>
      <c r="AP429" s="0" t="n">
        <v>500000</v>
      </c>
      <c r="DB429" s="0" t="str">
        <f aca="false">IF($A429="","",IF($A429&lt;&gt;21,"対象外",IF($AE429&amp;""="00000000","在職",IF($AE429&amp;""=設定!$C$4,"4/1喪失","その他喪失"))))</f>
        <v>その他喪失</v>
      </c>
    </row>
    <row r="430" customFormat="false" ht="15" hidden="false" customHeight="false" outlineLevel="0" collapsed="false">
      <c r="A430" s="0" t="n">
        <v>21</v>
      </c>
      <c r="AA430" s="0" t="n">
        <v>21</v>
      </c>
      <c r="AB430" s="0" t="s">
        <v>387</v>
      </c>
      <c r="AD430" s="0" t="n">
        <v>12</v>
      </c>
      <c r="AE430" s="0" t="s">
        <v>96</v>
      </c>
      <c r="AH430" s="0" t="n">
        <v>5</v>
      </c>
      <c r="AJ430" s="0" t="n">
        <v>30</v>
      </c>
      <c r="AP430" s="0" t="n">
        <v>560000</v>
      </c>
      <c r="DB430" s="0" t="str">
        <f aca="false">IF($A430="","",IF($A430&lt;&gt;21,"対象外",IF($AE430&amp;""="00000000","在職",IF($AE430&amp;""=設定!$C$4,"4/1喪失","その他喪失"))))</f>
        <v>4/1喪失</v>
      </c>
    </row>
    <row r="431" customFormat="false" ht="15" hidden="false" customHeight="false" outlineLevel="0" collapsed="false">
      <c r="A431" s="0" t="n">
        <v>21</v>
      </c>
      <c r="AA431" s="0" t="n">
        <v>21</v>
      </c>
      <c r="AB431" s="0" t="s">
        <v>409</v>
      </c>
      <c r="AD431" s="0" t="n">
        <v>12</v>
      </c>
      <c r="AE431" s="0" t="s">
        <v>96</v>
      </c>
      <c r="AH431" s="0" t="n">
        <v>1</v>
      </c>
      <c r="AJ431" s="0" t="n">
        <v>10</v>
      </c>
      <c r="AP431" s="0" t="n">
        <v>560000</v>
      </c>
      <c r="DB431" s="0" t="str">
        <f aca="false">IF($A431="","",IF($A431&lt;&gt;21,"対象外",IF($AE431&amp;""="00000000","在職",IF($AE431&amp;""=設定!$C$4,"4/1喪失","その他喪失"))))</f>
        <v>4/1喪失</v>
      </c>
    </row>
    <row r="432" customFormat="false" ht="15" hidden="false" customHeight="false" outlineLevel="0" collapsed="false">
      <c r="A432" s="0" t="n">
        <v>21</v>
      </c>
      <c r="AA432" s="0" t="n">
        <v>21</v>
      </c>
      <c r="AB432" s="0" t="s">
        <v>387</v>
      </c>
      <c r="AD432" s="0" t="n">
        <v>12</v>
      </c>
      <c r="AE432" s="0" t="s">
        <v>96</v>
      </c>
      <c r="AH432" s="0" t="n">
        <v>5</v>
      </c>
      <c r="AJ432" s="0" t="n">
        <v>10</v>
      </c>
      <c r="AP432" s="0" t="n">
        <v>620000</v>
      </c>
      <c r="DB432" s="0" t="str">
        <f aca="false">IF($A432="","",IF($A432&lt;&gt;21,"対象外",IF($AE432&amp;""="00000000","在職",IF($AE432&amp;""=設定!$C$4,"4/1喪失","その他喪失"))))</f>
        <v>4/1喪失</v>
      </c>
    </row>
    <row r="433" customFormat="false" ht="15" hidden="false" customHeight="false" outlineLevel="0" collapsed="false">
      <c r="A433" s="0" t="n">
        <v>21</v>
      </c>
      <c r="AA433" s="0" t="n">
        <v>21</v>
      </c>
      <c r="AB433" s="0" t="s">
        <v>409</v>
      </c>
      <c r="AD433" s="0" t="n">
        <v>11</v>
      </c>
      <c r="AE433" s="0" t="s">
        <v>96</v>
      </c>
      <c r="AH433" s="0" t="n">
        <v>20</v>
      </c>
      <c r="AJ433" s="0" t="n">
        <v>10</v>
      </c>
      <c r="AP433" s="0" t="n">
        <v>500000</v>
      </c>
      <c r="DB433" s="0" t="str">
        <f aca="false">IF($A433="","",IF($A433&lt;&gt;21,"対象外",IF($AE433&amp;""="00000000","在職",IF($AE433&amp;""=設定!$C$4,"4/1喪失","その他喪失"))))</f>
        <v>4/1喪失</v>
      </c>
    </row>
    <row r="434" customFormat="false" ht="15" hidden="false" customHeight="false" outlineLevel="0" collapsed="false">
      <c r="A434" s="0" t="n">
        <v>21</v>
      </c>
      <c r="AA434" s="0" t="n">
        <v>21</v>
      </c>
      <c r="AB434" s="0" t="s">
        <v>417</v>
      </c>
      <c r="AD434" s="0" t="n">
        <v>12</v>
      </c>
      <c r="AE434" s="0" t="s">
        <v>773</v>
      </c>
      <c r="AH434" s="0" t="n">
        <v>1</v>
      </c>
      <c r="AJ434" s="0" t="n">
        <v>10</v>
      </c>
      <c r="AP434" s="0" t="n">
        <v>440000</v>
      </c>
      <c r="DB434" s="0" t="str">
        <f aca="false">IF($A434="","",IF($A434&lt;&gt;21,"対象外",IF($AE434&amp;""="00000000","在職",IF($AE434&amp;""=設定!$C$4,"4/1喪失","その他喪失"))))</f>
        <v>その他喪失</v>
      </c>
    </row>
    <row r="435" customFormat="false" ht="15" hidden="false" customHeight="false" outlineLevel="0" collapsed="false">
      <c r="A435" s="0" t="n">
        <v>21</v>
      </c>
      <c r="AA435" s="0" t="n">
        <v>21</v>
      </c>
      <c r="AB435" s="0" t="s">
        <v>387</v>
      </c>
      <c r="AD435" s="0" t="n">
        <v>12</v>
      </c>
      <c r="AE435" s="0" t="s">
        <v>96</v>
      </c>
      <c r="AH435" s="0" t="n">
        <v>1</v>
      </c>
      <c r="AJ435" s="0" t="n">
        <v>10</v>
      </c>
      <c r="AP435" s="0" t="n">
        <v>590000</v>
      </c>
      <c r="DB435" s="0" t="str">
        <f aca="false">IF($A435="","",IF($A435&lt;&gt;21,"対象外",IF($AE435&amp;""="00000000","在職",IF($AE435&amp;""=設定!$C$4,"4/1喪失","その他喪失"))))</f>
        <v>4/1喪失</v>
      </c>
    </row>
    <row r="436" customFormat="false" ht="15" hidden="false" customHeight="false" outlineLevel="0" collapsed="false">
      <c r="A436" s="0" t="n">
        <v>21</v>
      </c>
      <c r="AA436" s="0" t="n">
        <v>21</v>
      </c>
      <c r="AB436" s="0" t="s">
        <v>387</v>
      </c>
      <c r="AD436" s="0" t="n">
        <v>12</v>
      </c>
      <c r="AE436" s="0" t="s">
        <v>96</v>
      </c>
      <c r="AH436" s="0" t="n">
        <v>1</v>
      </c>
      <c r="AJ436" s="0" t="n">
        <v>10</v>
      </c>
      <c r="AP436" s="0" t="n">
        <v>710000</v>
      </c>
      <c r="DB436" s="0" t="str">
        <f aca="false">IF($A436="","",IF($A436&lt;&gt;21,"対象外",IF($AE436&amp;""="00000000","在職",IF($AE436&amp;""=設定!$C$4,"4/1喪失","その他喪失"))))</f>
        <v>4/1喪失</v>
      </c>
    </row>
    <row r="437" customFormat="false" ht="15" hidden="false" customHeight="false" outlineLevel="0" collapsed="false">
      <c r="A437" s="0" t="n">
        <v>21</v>
      </c>
      <c r="AA437" s="0" t="n">
        <v>21</v>
      </c>
      <c r="AB437" s="0" t="s">
        <v>417</v>
      </c>
      <c r="AD437" s="0" t="n">
        <v>12</v>
      </c>
      <c r="AE437" s="0" t="s">
        <v>766</v>
      </c>
      <c r="AH437" s="0" t="n">
        <v>1</v>
      </c>
      <c r="AJ437" s="0" t="n">
        <v>10</v>
      </c>
      <c r="AP437" s="0" t="n">
        <v>530000</v>
      </c>
      <c r="DB437" s="0" t="str">
        <f aca="false">IF($A437="","",IF($A437&lt;&gt;21,"対象外",IF($AE437&amp;""="00000000","在職",IF($AE437&amp;""=設定!$C$4,"4/1喪失","その他喪失"))))</f>
        <v>その他喪失</v>
      </c>
    </row>
    <row r="438" customFormat="false" ht="15" hidden="false" customHeight="false" outlineLevel="0" collapsed="false">
      <c r="A438" s="0" t="n">
        <v>21</v>
      </c>
      <c r="AA438" s="0" t="n">
        <v>21</v>
      </c>
      <c r="AB438" s="0" t="s">
        <v>390</v>
      </c>
      <c r="AD438" s="0" t="n">
        <v>12</v>
      </c>
      <c r="AE438" s="0" t="s">
        <v>96</v>
      </c>
      <c r="AH438" s="0" t="n">
        <v>5</v>
      </c>
      <c r="AJ438" s="0" t="n">
        <v>30</v>
      </c>
      <c r="AP438" s="0" t="n">
        <v>530000</v>
      </c>
      <c r="DB438" s="0" t="str">
        <f aca="false">IF($A438="","",IF($A438&lt;&gt;21,"対象外",IF($AE438&amp;""="00000000","在職",IF($AE438&amp;""=設定!$C$4,"4/1喪失","その他喪失"))))</f>
        <v>4/1喪失</v>
      </c>
    </row>
    <row r="439" customFormat="false" ht="15" hidden="false" customHeight="false" outlineLevel="0" collapsed="false">
      <c r="A439" s="0" t="n">
        <v>21</v>
      </c>
      <c r="AA439" s="0" t="n">
        <v>21</v>
      </c>
      <c r="AB439" s="0" t="s">
        <v>400</v>
      </c>
      <c r="AD439" s="0" t="n">
        <v>12</v>
      </c>
      <c r="AE439" s="0" t="s">
        <v>466</v>
      </c>
      <c r="AH439" s="0" t="n">
        <v>0</v>
      </c>
      <c r="AJ439" s="0" t="n">
        <v>10</v>
      </c>
      <c r="AP439" s="0" t="n">
        <v>403300</v>
      </c>
      <c r="DB439" s="0" t="str">
        <f aca="false">IF($A439="","",IF($A439&lt;&gt;21,"対象外",IF($AE439&amp;""="00000000","在職",IF($AE439&amp;""=設定!$C$4,"4/1喪失","その他喪失"))))</f>
        <v>その他喪失</v>
      </c>
    </row>
    <row r="440" customFormat="false" ht="15" hidden="false" customHeight="false" outlineLevel="0" collapsed="false">
      <c r="A440" s="0" t="n">
        <v>21</v>
      </c>
      <c r="AA440" s="0" t="n">
        <v>21</v>
      </c>
      <c r="AB440" s="0" t="s">
        <v>446</v>
      </c>
      <c r="AD440" s="0" t="n">
        <v>12</v>
      </c>
      <c r="AE440" s="0" t="s">
        <v>442</v>
      </c>
      <c r="AH440" s="0" t="n">
        <v>11</v>
      </c>
      <c r="AJ440" s="0" t="n">
        <v>10</v>
      </c>
      <c r="AP440" s="0" t="n">
        <v>590000</v>
      </c>
      <c r="DB440" s="0" t="str">
        <f aca="false">IF($A440="","",IF($A440&lt;&gt;21,"対象外",IF($AE440&amp;""="00000000","在職",IF($AE440&amp;""=設定!$C$4,"4/1喪失","その他喪失"))))</f>
        <v>その他喪失</v>
      </c>
    </row>
    <row r="441" customFormat="false" ht="15" hidden="false" customHeight="false" outlineLevel="0" collapsed="false">
      <c r="A441" s="0" t="n">
        <v>21</v>
      </c>
      <c r="AA441" s="0" t="n">
        <v>21</v>
      </c>
      <c r="AB441" s="0" t="s">
        <v>387</v>
      </c>
      <c r="AD441" s="0" t="n">
        <v>12</v>
      </c>
      <c r="AE441" s="0" t="s">
        <v>96</v>
      </c>
      <c r="AH441" s="0" t="n">
        <v>5</v>
      </c>
      <c r="AJ441" s="0" t="n">
        <v>10</v>
      </c>
      <c r="AP441" s="0" t="n">
        <v>590000</v>
      </c>
      <c r="DB441" s="0" t="str">
        <f aca="false">IF($A441="","",IF($A441&lt;&gt;21,"対象外",IF($AE441&amp;""="00000000","在職",IF($AE441&amp;""=設定!$C$4,"4/1喪失","その他喪失"))))</f>
        <v>4/1喪失</v>
      </c>
    </row>
    <row r="442" customFormat="false" ht="15" hidden="false" customHeight="false" outlineLevel="0" collapsed="false">
      <c r="A442" s="0" t="n">
        <v>21</v>
      </c>
      <c r="AA442" s="0" t="n">
        <v>21</v>
      </c>
      <c r="AB442" s="0" t="s">
        <v>409</v>
      </c>
      <c r="AD442" s="0" t="n">
        <v>12</v>
      </c>
      <c r="AE442" s="0" t="s">
        <v>96</v>
      </c>
      <c r="AH442" s="0" t="n">
        <v>1</v>
      </c>
      <c r="AJ442" s="0" t="n">
        <v>10</v>
      </c>
      <c r="AP442" s="0" t="n">
        <v>650000</v>
      </c>
      <c r="DB442" s="0" t="str">
        <f aca="false">IF($A442="","",IF($A442&lt;&gt;21,"対象外",IF($AE442&amp;""="00000000","在職",IF($AE442&amp;""=設定!$C$4,"4/1喪失","その他喪失"))))</f>
        <v>4/1喪失</v>
      </c>
    </row>
    <row r="443" customFormat="false" ht="15" hidden="false" customHeight="false" outlineLevel="0" collapsed="false">
      <c r="A443" s="0" t="n">
        <v>31</v>
      </c>
      <c r="AA443" s="0" t="n">
        <v>21</v>
      </c>
      <c r="AB443" s="0" t="s">
        <v>496</v>
      </c>
      <c r="AD443" s="0" t="n">
        <v>12</v>
      </c>
      <c r="AE443" s="0" t="s">
        <v>774</v>
      </c>
      <c r="AH443" s="0" t="n">
        <v>20</v>
      </c>
      <c r="AJ443" s="0" t="n">
        <v>41</v>
      </c>
      <c r="AP443" s="0" t="n">
        <v>150000</v>
      </c>
      <c r="DB443" s="0" t="str">
        <f aca="false">IF($A443="","",IF($A443&lt;&gt;21,"対象外",IF($AE443&amp;""="00000000","在職",IF($AE443&amp;""=設定!$C$4,"4/1喪失","その他喪失"))))</f>
        <v>対象外</v>
      </c>
    </row>
    <row r="444" customFormat="false" ht="15" hidden="false" customHeight="false" outlineLevel="0" collapsed="false">
      <c r="A444" s="0" t="n">
        <v>21</v>
      </c>
      <c r="AA444" s="0" t="n">
        <v>21</v>
      </c>
      <c r="AB444" s="0" t="s">
        <v>413</v>
      </c>
      <c r="AD444" s="0" t="n">
        <v>12</v>
      </c>
      <c r="AE444" s="0" t="s">
        <v>494</v>
      </c>
      <c r="AH444" s="0" t="n">
        <v>1</v>
      </c>
      <c r="AJ444" s="0" t="n">
        <v>10</v>
      </c>
      <c r="AP444" s="0" t="n">
        <v>560000</v>
      </c>
      <c r="DB444" s="0" t="str">
        <f aca="false">IF($A444="","",IF($A444&lt;&gt;21,"対象外",IF($AE444&amp;""="00000000","在職",IF($AE444&amp;""=設定!$C$4,"4/1喪失","その他喪失"))))</f>
        <v>その他喪失</v>
      </c>
    </row>
    <row r="445" customFormat="false" ht="15" hidden="false" customHeight="false" outlineLevel="0" collapsed="false">
      <c r="A445" s="0" t="n">
        <v>21</v>
      </c>
      <c r="AA445" s="0" t="n">
        <v>21</v>
      </c>
      <c r="AB445" s="0" t="s">
        <v>456</v>
      </c>
      <c r="AD445" s="0" t="n">
        <v>12</v>
      </c>
      <c r="AE445" s="0" t="s">
        <v>423</v>
      </c>
      <c r="AH445" s="0" t="n">
        <v>11</v>
      </c>
      <c r="AJ445" s="0" t="n">
        <v>10</v>
      </c>
      <c r="AP445" s="0" t="n">
        <v>411400</v>
      </c>
      <c r="DB445" s="0" t="str">
        <f aca="false">IF($A445="","",IF($A445&lt;&gt;21,"対象外",IF($AE445&amp;""="00000000","在職",IF($AE445&amp;""=設定!$C$4,"4/1喪失","その他喪失"))))</f>
        <v>その他喪失</v>
      </c>
    </row>
    <row r="446" customFormat="false" ht="15" hidden="false" customHeight="false" outlineLevel="0" collapsed="false">
      <c r="A446" s="0" t="n">
        <v>21</v>
      </c>
      <c r="AA446" s="0" t="n">
        <v>21</v>
      </c>
      <c r="AB446" s="0" t="s">
        <v>387</v>
      </c>
      <c r="AD446" s="0" t="n">
        <v>12</v>
      </c>
      <c r="AE446" s="0" t="s">
        <v>479</v>
      </c>
      <c r="AH446" s="0" t="n">
        <v>1</v>
      </c>
      <c r="AJ446" s="0" t="n">
        <v>10</v>
      </c>
      <c r="AP446" s="0" t="n">
        <v>380000</v>
      </c>
      <c r="DB446" s="0" t="str">
        <f aca="false">IF($A446="","",IF($A446&lt;&gt;21,"対象外",IF($AE446&amp;""="00000000","在職",IF($AE446&amp;""=設定!$C$4,"4/1喪失","その他喪失"))))</f>
        <v>その他喪失</v>
      </c>
    </row>
    <row r="447" customFormat="false" ht="15" hidden="false" customHeight="false" outlineLevel="0" collapsed="false">
      <c r="A447" s="0" t="n">
        <v>21</v>
      </c>
      <c r="AA447" s="0" t="n">
        <v>21</v>
      </c>
      <c r="AB447" s="0" t="s">
        <v>387</v>
      </c>
      <c r="AD447" s="0" t="n">
        <v>12</v>
      </c>
      <c r="AE447" s="0" t="s">
        <v>96</v>
      </c>
      <c r="AH447" s="0" t="n">
        <v>1</v>
      </c>
      <c r="AJ447" s="0" t="n">
        <v>10</v>
      </c>
      <c r="AP447" s="0" t="n">
        <v>650000</v>
      </c>
      <c r="DB447" s="0" t="str">
        <f aca="false">IF($A447="","",IF($A447&lt;&gt;21,"対象外",IF($AE447&amp;""="00000000","在職",IF($AE447&amp;""=設定!$C$4,"4/1喪失","その他喪失"))))</f>
        <v>4/1喪失</v>
      </c>
    </row>
    <row r="448" customFormat="false" ht="15" hidden="false" customHeight="false" outlineLevel="0" collapsed="false">
      <c r="A448" s="0" t="n">
        <v>21</v>
      </c>
      <c r="AA448" s="0" t="n">
        <v>21</v>
      </c>
      <c r="AB448" s="0" t="s">
        <v>417</v>
      </c>
      <c r="AD448" s="0" t="n">
        <v>15</v>
      </c>
      <c r="AE448" s="0" t="s">
        <v>775</v>
      </c>
      <c r="AH448" s="0" t="n">
        <v>1</v>
      </c>
      <c r="AJ448" s="0" t="n">
        <v>10</v>
      </c>
      <c r="AP448" s="0" t="n">
        <v>620000</v>
      </c>
      <c r="DB448" s="0" t="str">
        <f aca="false">IF($A448="","",IF($A448&lt;&gt;21,"対象外",IF($AE448&amp;""="00000000","在職",IF($AE448&amp;""=設定!$C$4,"4/1喪失","その他喪失"))))</f>
        <v>その他喪失</v>
      </c>
    </row>
    <row r="449" customFormat="false" ht="15" hidden="false" customHeight="false" outlineLevel="0" collapsed="false">
      <c r="A449" s="0" t="n">
        <v>21</v>
      </c>
      <c r="AA449" s="0" t="n">
        <v>21</v>
      </c>
      <c r="AB449" s="0" t="s">
        <v>391</v>
      </c>
      <c r="AD449" s="0" t="n">
        <v>12</v>
      </c>
      <c r="AE449" s="0" t="s">
        <v>477</v>
      </c>
      <c r="AH449" s="0" t="n">
        <v>1</v>
      </c>
      <c r="AJ449" s="0" t="n">
        <v>10</v>
      </c>
      <c r="AP449" s="0" t="n">
        <v>440000</v>
      </c>
      <c r="DB449" s="0" t="str">
        <f aca="false">IF($A449="","",IF($A449&lt;&gt;21,"対象外",IF($AE449&amp;""="00000000","在職",IF($AE449&amp;""=設定!$C$4,"4/1喪失","その他喪失"))))</f>
        <v>その他喪失</v>
      </c>
    </row>
    <row r="450" customFormat="false" ht="15" hidden="false" customHeight="false" outlineLevel="0" collapsed="false">
      <c r="A450" s="0" t="n">
        <v>21</v>
      </c>
      <c r="AA450" s="0" t="n">
        <v>21</v>
      </c>
      <c r="AB450" s="0" t="s">
        <v>439</v>
      </c>
      <c r="AD450" s="0" t="n">
        <v>12</v>
      </c>
      <c r="AE450" s="0" t="s">
        <v>496</v>
      </c>
      <c r="AH450" s="0" t="n">
        <v>1</v>
      </c>
      <c r="AJ450" s="0" t="n">
        <v>10</v>
      </c>
      <c r="AP450" s="0" t="n">
        <v>1090000</v>
      </c>
      <c r="DB450" s="0" t="str">
        <f aca="false">IF($A450="","",IF($A450&lt;&gt;21,"対象外",IF($AE450&amp;""="00000000","在職",IF($AE450&amp;""=設定!$C$4,"4/1喪失","その他喪失"))))</f>
        <v>その他喪失</v>
      </c>
    </row>
    <row r="451" customFormat="false" ht="15" hidden="false" customHeight="false" outlineLevel="0" collapsed="false">
      <c r="A451" s="0" t="n">
        <v>21</v>
      </c>
      <c r="AA451" s="0" t="n">
        <v>21</v>
      </c>
      <c r="AB451" s="0" t="s">
        <v>390</v>
      </c>
      <c r="AD451" s="0" t="n">
        <v>12</v>
      </c>
      <c r="AE451" s="0" t="s">
        <v>96</v>
      </c>
      <c r="AH451" s="0" t="n">
        <v>4</v>
      </c>
      <c r="AJ451" s="0" t="n">
        <v>10</v>
      </c>
      <c r="AP451" s="0" t="n">
        <v>470000</v>
      </c>
      <c r="DB451" s="0" t="str">
        <f aca="false">IF($A451="","",IF($A451&lt;&gt;21,"対象外",IF($AE451&amp;""="00000000","在職",IF($AE451&amp;""=設定!$C$4,"4/1喪失","その他喪失"))))</f>
        <v>4/1喪失</v>
      </c>
    </row>
    <row r="452" customFormat="false" ht="15" hidden="false" customHeight="false" outlineLevel="0" collapsed="false">
      <c r="A452" s="0" t="n">
        <v>21</v>
      </c>
      <c r="AA452" s="0" t="n">
        <v>21</v>
      </c>
      <c r="AB452" s="0" t="s">
        <v>387</v>
      </c>
      <c r="AD452" s="0" t="n">
        <v>12</v>
      </c>
      <c r="AE452" s="0" t="s">
        <v>476</v>
      </c>
      <c r="AH452" s="0" t="n">
        <v>1</v>
      </c>
      <c r="AJ452" s="0" t="n">
        <v>10</v>
      </c>
      <c r="AP452" s="0" t="n">
        <v>590000</v>
      </c>
      <c r="DB452" s="0" t="str">
        <f aca="false">IF($A452="","",IF($A452&lt;&gt;21,"対象外",IF($AE452&amp;""="00000000","在職",IF($AE452&amp;""=設定!$C$4,"4/1喪失","その他喪失"))))</f>
        <v>その他喪失</v>
      </c>
    </row>
    <row r="453" customFormat="false" ht="15" hidden="false" customHeight="false" outlineLevel="0" collapsed="false">
      <c r="A453" s="0" t="n">
        <v>21</v>
      </c>
      <c r="AA453" s="0" t="n">
        <v>21</v>
      </c>
      <c r="AB453" s="0" t="s">
        <v>448</v>
      </c>
      <c r="AD453" s="0" t="n">
        <v>11</v>
      </c>
      <c r="AE453" s="0" t="s">
        <v>96</v>
      </c>
      <c r="AH453" s="0" t="n">
        <v>1</v>
      </c>
      <c r="AJ453" s="0" t="n">
        <v>10</v>
      </c>
      <c r="AP453" s="0" t="n">
        <v>620000</v>
      </c>
      <c r="DB453" s="0" t="str">
        <f aca="false">IF($A453="","",IF($A453&lt;&gt;21,"対象外",IF($AE453&amp;""="00000000","在職",IF($AE453&amp;""=設定!$C$4,"4/1喪失","その他喪失"))))</f>
        <v>4/1喪失</v>
      </c>
    </row>
    <row r="454" customFormat="false" ht="15" hidden="false" customHeight="false" outlineLevel="0" collapsed="false">
      <c r="A454" s="0" t="n">
        <v>21</v>
      </c>
      <c r="AA454" s="0" t="n">
        <v>21</v>
      </c>
      <c r="AB454" s="0" t="s">
        <v>776</v>
      </c>
      <c r="AD454" s="0" t="n">
        <v>12</v>
      </c>
      <c r="AE454" s="0" t="s">
        <v>777</v>
      </c>
      <c r="AH454" s="0" t="n">
        <v>20</v>
      </c>
      <c r="AJ454" s="0" t="n">
        <v>10</v>
      </c>
      <c r="AP454" s="0" t="n">
        <v>930000</v>
      </c>
      <c r="DB454" s="0" t="str">
        <f aca="false">IF($A454="","",IF($A454&lt;&gt;21,"対象外",IF($AE454&amp;""="00000000","在職",IF($AE454&amp;""=設定!$C$4,"4/1喪失","その他喪失"))))</f>
        <v>その他喪失</v>
      </c>
    </row>
    <row r="455" customFormat="false" ht="15" hidden="false" customHeight="false" outlineLevel="0" collapsed="false">
      <c r="A455" s="0" t="n">
        <v>21</v>
      </c>
      <c r="AA455" s="0" t="n">
        <v>21</v>
      </c>
      <c r="AB455" s="0" t="s">
        <v>409</v>
      </c>
      <c r="AD455" s="0" t="n">
        <v>12</v>
      </c>
      <c r="AE455" s="0" t="s">
        <v>96</v>
      </c>
      <c r="AH455" s="0" t="n">
        <v>1</v>
      </c>
      <c r="AJ455" s="0" t="n">
        <v>10</v>
      </c>
      <c r="AP455" s="0" t="n">
        <v>590000</v>
      </c>
      <c r="DB455" s="0" t="str">
        <f aca="false">IF($A455="","",IF($A455&lt;&gt;21,"対象外",IF($AE455&amp;""="00000000","在職",IF($AE455&amp;""=設定!$C$4,"4/1喪失","その他喪失"))))</f>
        <v>4/1喪失</v>
      </c>
    </row>
    <row r="456" customFormat="false" ht="15" hidden="false" customHeight="false" outlineLevel="0" collapsed="false">
      <c r="A456" s="0" t="n">
        <v>21</v>
      </c>
      <c r="AA456" s="0" t="n">
        <v>21</v>
      </c>
      <c r="AB456" s="0" t="s">
        <v>409</v>
      </c>
      <c r="AD456" s="0" t="n">
        <v>12</v>
      </c>
      <c r="AE456" s="0" t="s">
        <v>96</v>
      </c>
      <c r="AH456" s="0" t="n">
        <v>1</v>
      </c>
      <c r="AJ456" s="0" t="n">
        <v>10</v>
      </c>
      <c r="AP456" s="0" t="n">
        <v>620000</v>
      </c>
      <c r="DB456" s="0" t="str">
        <f aca="false">IF($A456="","",IF($A456&lt;&gt;21,"対象外",IF($AE456&amp;""="00000000","在職",IF($AE456&amp;""=設定!$C$4,"4/1喪失","その他喪失"))))</f>
        <v>4/1喪失</v>
      </c>
    </row>
    <row r="457" customFormat="false" ht="15" hidden="false" customHeight="false" outlineLevel="0" collapsed="false">
      <c r="A457" s="0" t="n">
        <v>21</v>
      </c>
      <c r="AA457" s="0" t="n">
        <v>21</v>
      </c>
      <c r="AB457" s="0" t="s">
        <v>394</v>
      </c>
      <c r="AD457" s="0" t="n">
        <v>11</v>
      </c>
      <c r="AE457" s="0" t="s">
        <v>96</v>
      </c>
      <c r="AH457" s="0" t="n">
        <v>1</v>
      </c>
      <c r="AJ457" s="0" t="n">
        <v>10</v>
      </c>
      <c r="AP457" s="0" t="n">
        <v>560000</v>
      </c>
      <c r="DB457" s="0" t="str">
        <f aca="false">IF($A457="","",IF($A457&lt;&gt;21,"対象外",IF($AE457&amp;""="00000000","在職",IF($AE457&amp;""=設定!$C$4,"4/1喪失","その他喪失"))))</f>
        <v>4/1喪失</v>
      </c>
    </row>
    <row r="458" customFormat="false" ht="15" hidden="false" customHeight="false" outlineLevel="0" collapsed="false">
      <c r="A458" s="0" t="n">
        <v>21</v>
      </c>
      <c r="AA458" s="0" t="n">
        <v>21</v>
      </c>
      <c r="AB458" s="0" t="s">
        <v>413</v>
      </c>
      <c r="AD458" s="0" t="n">
        <v>12</v>
      </c>
      <c r="AE458" s="0" t="s">
        <v>96</v>
      </c>
      <c r="AH458" s="0" t="n">
        <v>47</v>
      </c>
      <c r="AJ458" s="0" t="n">
        <v>74</v>
      </c>
      <c r="AP458" s="0" t="n">
        <v>530000</v>
      </c>
      <c r="DB458" s="0" t="str">
        <f aca="false">IF($A458="","",IF($A458&lt;&gt;21,"対象外",IF($AE458&amp;""="00000000","在職",IF($AE458&amp;""=設定!$C$4,"4/1喪失","その他喪失"))))</f>
        <v>4/1喪失</v>
      </c>
    </row>
    <row r="459" customFormat="false" ht="15" hidden="false" customHeight="false" outlineLevel="0" collapsed="false">
      <c r="A459" s="0" t="n">
        <v>21</v>
      </c>
      <c r="AA459" s="0" t="n">
        <v>21</v>
      </c>
      <c r="AB459" s="0" t="s">
        <v>457</v>
      </c>
      <c r="AD459" s="0" t="n">
        <v>12</v>
      </c>
      <c r="AE459" s="0" t="s">
        <v>400</v>
      </c>
      <c r="AH459" s="0" t="n">
        <v>0</v>
      </c>
      <c r="AJ459" s="0" t="n">
        <v>10</v>
      </c>
      <c r="AP459" s="0" t="n">
        <v>380500</v>
      </c>
      <c r="DB459" s="0" t="str">
        <f aca="false">IF($A459="","",IF($A459&lt;&gt;21,"対象外",IF($AE459&amp;""="00000000","在職",IF($AE459&amp;""=設定!$C$4,"4/1喪失","その他喪失"))))</f>
        <v>その他喪失</v>
      </c>
    </row>
    <row r="460" customFormat="false" ht="15" hidden="false" customHeight="false" outlineLevel="0" collapsed="false">
      <c r="A460" s="0" t="n">
        <v>21</v>
      </c>
      <c r="AA460" s="0" t="n">
        <v>21</v>
      </c>
      <c r="AB460" s="0" t="s">
        <v>409</v>
      </c>
      <c r="AD460" s="0" t="n">
        <v>12</v>
      </c>
      <c r="AE460" s="0" t="s">
        <v>96</v>
      </c>
      <c r="AH460" s="0" t="n">
        <v>1</v>
      </c>
      <c r="AJ460" s="0" t="n">
        <v>10</v>
      </c>
      <c r="AP460" s="0" t="n">
        <v>500000</v>
      </c>
      <c r="DB460" s="0" t="str">
        <f aca="false">IF($A460="","",IF($A460&lt;&gt;21,"対象外",IF($AE460&amp;""="00000000","在職",IF($AE460&amp;""=設定!$C$4,"4/1喪失","その他喪失"))))</f>
        <v>4/1喪失</v>
      </c>
    </row>
    <row r="461" customFormat="false" ht="15" hidden="false" customHeight="false" outlineLevel="0" collapsed="false">
      <c r="A461" s="0" t="n">
        <v>21</v>
      </c>
      <c r="AA461" s="0" t="n">
        <v>21</v>
      </c>
      <c r="AB461" s="0" t="s">
        <v>423</v>
      </c>
      <c r="AD461" s="0" t="n">
        <v>12</v>
      </c>
      <c r="AE461" s="0" t="s">
        <v>778</v>
      </c>
      <c r="AH461" s="0" t="n">
        <v>1</v>
      </c>
      <c r="AJ461" s="0" t="n">
        <v>10</v>
      </c>
      <c r="AP461" s="0" t="n">
        <v>650000</v>
      </c>
      <c r="DB461" s="0" t="str">
        <f aca="false">IF($A461="","",IF($A461&lt;&gt;21,"対象外",IF($AE461&amp;""="00000000","在職",IF($AE461&amp;""=設定!$C$4,"4/1喪失","その他喪失"))))</f>
        <v>その他喪失</v>
      </c>
    </row>
    <row r="462" customFormat="false" ht="15" hidden="false" customHeight="false" outlineLevel="0" collapsed="false">
      <c r="A462" s="0" t="n">
        <v>21</v>
      </c>
      <c r="AA462" s="0" t="n">
        <v>21</v>
      </c>
      <c r="AB462" s="0" t="s">
        <v>415</v>
      </c>
      <c r="AD462" s="0" t="n">
        <v>12</v>
      </c>
      <c r="AE462" s="0" t="s">
        <v>96</v>
      </c>
      <c r="AH462" s="0" t="n">
        <v>1</v>
      </c>
      <c r="AJ462" s="0" t="n">
        <v>10</v>
      </c>
      <c r="AP462" s="0" t="n">
        <v>750000</v>
      </c>
      <c r="DB462" s="0" t="str">
        <f aca="false">IF($A462="","",IF($A462&lt;&gt;21,"対象外",IF($AE462&amp;""="00000000","在職",IF($AE462&amp;""=設定!$C$4,"4/1喪失","その他喪失"))))</f>
        <v>4/1喪失</v>
      </c>
    </row>
    <row r="463" customFormat="false" ht="15" hidden="false" customHeight="false" outlineLevel="0" collapsed="false">
      <c r="A463" s="0" t="n">
        <v>21</v>
      </c>
      <c r="AA463" s="0" t="n">
        <v>21</v>
      </c>
      <c r="AB463" s="0" t="s">
        <v>387</v>
      </c>
      <c r="AD463" s="0" t="n">
        <v>15</v>
      </c>
      <c r="AE463" s="0" t="s">
        <v>779</v>
      </c>
      <c r="AH463" s="0" t="n">
        <v>1</v>
      </c>
      <c r="AJ463" s="0" t="n">
        <v>10</v>
      </c>
      <c r="AP463" s="0" t="n">
        <v>470000</v>
      </c>
      <c r="DB463" s="0" t="str">
        <f aca="false">IF($A463="","",IF($A463&lt;&gt;21,"対象外",IF($AE463&amp;""="00000000","在職",IF($AE463&amp;""=設定!$C$4,"4/1喪失","その他喪失"))))</f>
        <v>その他喪失</v>
      </c>
    </row>
    <row r="464" customFormat="false" ht="15" hidden="false" customHeight="false" outlineLevel="0" collapsed="false">
      <c r="A464" s="0" t="n">
        <v>21</v>
      </c>
      <c r="AA464" s="0" t="n">
        <v>21</v>
      </c>
      <c r="AB464" s="0" t="s">
        <v>393</v>
      </c>
      <c r="AD464" s="0" t="n">
        <v>12</v>
      </c>
      <c r="AE464" s="0" t="s">
        <v>439</v>
      </c>
      <c r="AH464" s="0" t="n">
        <v>0</v>
      </c>
      <c r="AJ464" s="0" t="n">
        <v>10</v>
      </c>
      <c r="AP464" s="0" t="n">
        <v>388688</v>
      </c>
      <c r="DB464" s="0" t="str">
        <f aca="false">IF($A464="","",IF($A464&lt;&gt;21,"対象外",IF($AE464&amp;""="00000000","在職",IF($AE464&amp;""=設定!$C$4,"4/1喪失","その他喪失"))))</f>
        <v>その他喪失</v>
      </c>
    </row>
    <row r="465" customFormat="false" ht="15" hidden="false" customHeight="false" outlineLevel="0" collapsed="false">
      <c r="A465" s="0" t="n">
        <v>21</v>
      </c>
      <c r="AA465" s="0" t="n">
        <v>21</v>
      </c>
      <c r="AB465" s="0" t="s">
        <v>409</v>
      </c>
      <c r="AD465" s="0" t="n">
        <v>12</v>
      </c>
      <c r="AE465" s="0" t="s">
        <v>494</v>
      </c>
      <c r="AH465" s="0" t="n">
        <v>1</v>
      </c>
      <c r="AJ465" s="0" t="n">
        <v>10</v>
      </c>
      <c r="AP465" s="0" t="n">
        <v>560000</v>
      </c>
      <c r="DB465" s="0" t="str">
        <f aca="false">IF($A465="","",IF($A465&lt;&gt;21,"対象外",IF($AE465&amp;""="00000000","在職",IF($AE465&amp;""=設定!$C$4,"4/1喪失","その他喪失"))))</f>
        <v>その他喪失</v>
      </c>
    </row>
    <row r="466" customFormat="false" ht="15" hidden="false" customHeight="false" outlineLevel="0" collapsed="false">
      <c r="A466" s="0" t="n">
        <v>21</v>
      </c>
      <c r="AA466" s="0" t="n">
        <v>21</v>
      </c>
      <c r="AB466" s="0" t="s">
        <v>417</v>
      </c>
      <c r="AD466" s="0" t="n">
        <v>12</v>
      </c>
      <c r="AE466" s="0" t="s">
        <v>96</v>
      </c>
      <c r="AH466" s="0" t="n">
        <v>4</v>
      </c>
      <c r="AJ466" s="0" t="n">
        <v>11</v>
      </c>
      <c r="AP466" s="0" t="n">
        <v>710000</v>
      </c>
      <c r="DB466" s="0" t="str">
        <f aca="false">IF($A466="","",IF($A466&lt;&gt;21,"対象外",IF($AE466&amp;""="00000000","在職",IF($AE466&amp;""=設定!$C$4,"4/1喪失","その他喪失"))))</f>
        <v>4/1喪失</v>
      </c>
    </row>
    <row r="467" customFormat="false" ht="15" hidden="false" customHeight="false" outlineLevel="0" collapsed="false">
      <c r="A467" s="0" t="n">
        <v>31</v>
      </c>
      <c r="AA467" s="0" t="n">
        <v>21</v>
      </c>
      <c r="AB467" s="0" t="s">
        <v>496</v>
      </c>
      <c r="AD467" s="0" t="n">
        <v>12</v>
      </c>
      <c r="AE467" s="0" t="s">
        <v>477</v>
      </c>
      <c r="AH467" s="0" t="n">
        <v>1</v>
      </c>
      <c r="AJ467" s="0" t="n">
        <v>41</v>
      </c>
      <c r="AP467" s="0" t="n">
        <v>142000</v>
      </c>
      <c r="DB467" s="0" t="str">
        <f aca="false">IF($A467="","",IF($A467&lt;&gt;21,"対象外",IF($AE467&amp;""="00000000","在職",IF($AE467&amp;""=設定!$C$4,"4/1喪失","その他喪失"))))</f>
        <v>対象外</v>
      </c>
    </row>
    <row r="468" customFormat="false" ht="15" hidden="false" customHeight="false" outlineLevel="0" collapsed="false">
      <c r="A468" s="0" t="n">
        <v>21</v>
      </c>
      <c r="AA468" s="0" t="n">
        <v>21</v>
      </c>
      <c r="AB468" s="0" t="s">
        <v>456</v>
      </c>
      <c r="AD468" s="0" t="n">
        <v>12</v>
      </c>
      <c r="AE468" s="0" t="s">
        <v>400</v>
      </c>
      <c r="AH468" s="0" t="n">
        <v>0</v>
      </c>
      <c r="AJ468" s="0" t="n">
        <v>10</v>
      </c>
      <c r="AP468" s="0" t="n">
        <v>383500</v>
      </c>
      <c r="DB468" s="0" t="str">
        <f aca="false">IF($A468="","",IF($A468&lt;&gt;21,"対象外",IF($AE468&amp;""="00000000","在職",IF($AE468&amp;""=設定!$C$4,"4/1喪失","その他喪失"))))</f>
        <v>その他喪失</v>
      </c>
    </row>
    <row r="469" customFormat="false" ht="15" hidden="false" customHeight="false" outlineLevel="0" collapsed="false">
      <c r="A469" s="0" t="n">
        <v>21</v>
      </c>
      <c r="AA469" s="0" t="n">
        <v>21</v>
      </c>
      <c r="AB469" s="0" t="s">
        <v>413</v>
      </c>
      <c r="AD469" s="0" t="n">
        <v>12</v>
      </c>
      <c r="AE469" s="0" t="s">
        <v>96</v>
      </c>
      <c r="AH469" s="0" t="n">
        <v>1</v>
      </c>
      <c r="AJ469" s="0" t="n">
        <v>10</v>
      </c>
      <c r="AP469" s="0" t="n">
        <v>790000</v>
      </c>
      <c r="DB469" s="0" t="str">
        <f aca="false">IF($A469="","",IF($A469&lt;&gt;21,"対象外",IF($AE469&amp;""="00000000","在職",IF($AE469&amp;""=設定!$C$4,"4/1喪失","その他喪失"))))</f>
        <v>4/1喪失</v>
      </c>
    </row>
    <row r="470" customFormat="false" ht="15" hidden="false" customHeight="false" outlineLevel="0" collapsed="false">
      <c r="A470" s="0" t="n">
        <v>21</v>
      </c>
      <c r="AA470" s="0" t="n">
        <v>21</v>
      </c>
      <c r="AB470" s="0" t="s">
        <v>409</v>
      </c>
      <c r="AD470" s="0" t="n">
        <v>12</v>
      </c>
      <c r="AE470" s="0" t="s">
        <v>477</v>
      </c>
      <c r="AH470" s="0" t="n">
        <v>1</v>
      </c>
      <c r="AJ470" s="0" t="n">
        <v>10</v>
      </c>
      <c r="AP470" s="0" t="n">
        <v>680000</v>
      </c>
      <c r="DB470" s="0" t="str">
        <f aca="false">IF($A470="","",IF($A470&lt;&gt;21,"対象外",IF($AE470&amp;""="00000000","在職",IF($AE470&amp;""=設定!$C$4,"4/1喪失","その他喪失"))))</f>
        <v>その他喪失</v>
      </c>
    </row>
    <row r="471" customFormat="false" ht="15" hidden="false" customHeight="false" outlineLevel="0" collapsed="false">
      <c r="A471" s="0" t="n">
        <v>21</v>
      </c>
      <c r="AA471" s="0" t="n">
        <v>21</v>
      </c>
      <c r="AB471" s="0" t="s">
        <v>409</v>
      </c>
      <c r="AD471" s="0" t="n">
        <v>12</v>
      </c>
      <c r="AE471" s="0" t="s">
        <v>96</v>
      </c>
      <c r="AH471" s="0" t="n">
        <v>1</v>
      </c>
      <c r="AJ471" s="0" t="n">
        <v>10</v>
      </c>
      <c r="AP471" s="0" t="n">
        <v>650000</v>
      </c>
      <c r="DB471" s="0" t="str">
        <f aca="false">IF($A471="","",IF($A471&lt;&gt;21,"対象外",IF($AE471&amp;""="00000000","在職",IF($AE471&amp;""=設定!$C$4,"4/1喪失","その他喪失"))))</f>
        <v>4/1喪失</v>
      </c>
    </row>
    <row r="472" customFormat="false" ht="15" hidden="false" customHeight="false" outlineLevel="0" collapsed="false">
      <c r="A472" s="0" t="n">
        <v>21</v>
      </c>
      <c r="AA472" s="0" t="n">
        <v>21</v>
      </c>
      <c r="AB472" s="0" t="s">
        <v>415</v>
      </c>
      <c r="AD472" s="0" t="n">
        <v>12</v>
      </c>
      <c r="AE472" s="0" t="s">
        <v>294</v>
      </c>
      <c r="AH472" s="0" t="n">
        <v>1</v>
      </c>
      <c r="AJ472" s="0" t="n">
        <v>11</v>
      </c>
      <c r="AP472" s="0" t="n">
        <v>1090000</v>
      </c>
      <c r="DB472" s="0" t="str">
        <f aca="false">IF($A472="","",IF($A472&lt;&gt;21,"対象外",IF($AE472&amp;""="00000000","在職",IF($AE472&amp;""=設定!$C$4,"4/1喪失","その他喪失"))))</f>
        <v>その他喪失</v>
      </c>
    </row>
    <row r="473" customFormat="false" ht="15" hidden="false" customHeight="false" outlineLevel="0" collapsed="false">
      <c r="A473" s="0" t="n">
        <v>21</v>
      </c>
      <c r="AA473" s="0" t="n">
        <v>21</v>
      </c>
      <c r="AB473" s="0" t="s">
        <v>409</v>
      </c>
      <c r="AD473" s="0" t="n">
        <v>12</v>
      </c>
      <c r="AE473" s="0" t="s">
        <v>477</v>
      </c>
      <c r="AH473" s="0" t="n">
        <v>1</v>
      </c>
      <c r="AJ473" s="0" t="n">
        <v>10</v>
      </c>
      <c r="AP473" s="0" t="n">
        <v>750000</v>
      </c>
      <c r="DB473" s="0" t="str">
        <f aca="false">IF($A473="","",IF($A473&lt;&gt;21,"対象外",IF($AE473&amp;""="00000000","在職",IF($AE473&amp;""=設定!$C$4,"4/1喪失","その他喪失"))))</f>
        <v>その他喪失</v>
      </c>
    </row>
    <row r="474" customFormat="false" ht="15" hidden="false" customHeight="false" outlineLevel="0" collapsed="false">
      <c r="A474" s="0" t="n">
        <v>21</v>
      </c>
      <c r="AA474" s="0" t="n">
        <v>21</v>
      </c>
      <c r="AB474" s="0" t="s">
        <v>413</v>
      </c>
      <c r="AD474" s="0" t="n">
        <v>11</v>
      </c>
      <c r="AE474" s="0" t="s">
        <v>96</v>
      </c>
      <c r="AH474" s="0" t="n">
        <v>1</v>
      </c>
      <c r="AJ474" s="0" t="n">
        <v>10</v>
      </c>
      <c r="AP474" s="0" t="n">
        <v>680000</v>
      </c>
      <c r="DB474" s="0" t="str">
        <f aca="false">IF($A474="","",IF($A474&lt;&gt;21,"対象外",IF($AE474&amp;""="00000000","在職",IF($AE474&amp;""=設定!$C$4,"4/1喪失","その他喪失"))))</f>
        <v>4/1喪失</v>
      </c>
    </row>
    <row r="475" customFormat="false" ht="15" hidden="false" customHeight="false" outlineLevel="0" collapsed="false">
      <c r="A475" s="0" t="n">
        <v>21</v>
      </c>
      <c r="AA475" s="0" t="n">
        <v>21</v>
      </c>
      <c r="AB475" s="0" t="s">
        <v>409</v>
      </c>
      <c r="AD475" s="0" t="n">
        <v>12</v>
      </c>
      <c r="AE475" s="0" t="s">
        <v>96</v>
      </c>
      <c r="AH475" s="0" t="n">
        <v>4</v>
      </c>
      <c r="AJ475" s="0" t="n">
        <v>10</v>
      </c>
      <c r="AP475" s="0" t="n">
        <v>620000</v>
      </c>
      <c r="DB475" s="0" t="str">
        <f aca="false">IF($A475="","",IF($A475&lt;&gt;21,"対象外",IF($AE475&amp;""="00000000","在職",IF($AE475&amp;""=設定!$C$4,"4/1喪失","その他喪失"))))</f>
        <v>4/1喪失</v>
      </c>
    </row>
    <row r="476" customFormat="false" ht="15" hidden="false" customHeight="false" outlineLevel="0" collapsed="false">
      <c r="A476" s="0" t="n">
        <v>21</v>
      </c>
      <c r="AA476" s="0" t="n">
        <v>21</v>
      </c>
      <c r="AB476" s="0" t="s">
        <v>413</v>
      </c>
      <c r="AD476" s="0" t="n">
        <v>12</v>
      </c>
      <c r="AE476" s="0" t="s">
        <v>96</v>
      </c>
      <c r="AH476" s="0" t="n">
        <v>1</v>
      </c>
      <c r="AJ476" s="0" t="n">
        <v>10</v>
      </c>
      <c r="AP476" s="0" t="n">
        <v>590000</v>
      </c>
      <c r="DB476" s="0" t="str">
        <f aca="false">IF($A476="","",IF($A476&lt;&gt;21,"対象外",IF($AE476&amp;""="00000000","在職",IF($AE476&amp;""=設定!$C$4,"4/1喪失","その他喪失"))))</f>
        <v>4/1喪失</v>
      </c>
    </row>
    <row r="477" customFormat="false" ht="15" hidden="false" customHeight="false" outlineLevel="0" collapsed="false">
      <c r="A477" s="0" t="n">
        <v>21</v>
      </c>
      <c r="AA477" s="0" t="n">
        <v>21</v>
      </c>
      <c r="AB477" s="0" t="s">
        <v>413</v>
      </c>
      <c r="AD477" s="0" t="n">
        <v>11</v>
      </c>
      <c r="AE477" s="0" t="s">
        <v>96</v>
      </c>
      <c r="AH477" s="0" t="n">
        <v>1</v>
      </c>
      <c r="AJ477" s="0" t="n">
        <v>10</v>
      </c>
      <c r="AP477" s="0" t="n">
        <v>620000</v>
      </c>
      <c r="DB477" s="0" t="str">
        <f aca="false">IF($A477="","",IF($A477&lt;&gt;21,"対象外",IF($AE477&amp;""="00000000","在職",IF($AE477&amp;""=設定!$C$4,"4/1喪失","その他喪失"))))</f>
        <v>4/1喪失</v>
      </c>
    </row>
    <row r="478" customFormat="false" ht="15" hidden="false" customHeight="false" outlineLevel="0" collapsed="false">
      <c r="A478" s="0" t="n">
        <v>21</v>
      </c>
      <c r="AA478" s="0" t="n">
        <v>21</v>
      </c>
      <c r="AB478" s="0" t="s">
        <v>441</v>
      </c>
      <c r="AD478" s="0" t="n">
        <v>12</v>
      </c>
      <c r="AE478" s="0" t="s">
        <v>442</v>
      </c>
      <c r="AH478" s="0" t="n">
        <v>11</v>
      </c>
      <c r="AJ478" s="0" t="n">
        <v>10</v>
      </c>
      <c r="AP478" s="0" t="n">
        <v>590000</v>
      </c>
      <c r="DB478" s="0" t="str">
        <f aca="false">IF($A478="","",IF($A478&lt;&gt;21,"対象外",IF($AE478&amp;""="00000000","在職",IF($AE478&amp;""=設定!$C$4,"4/1喪失","その他喪失"))))</f>
        <v>その他喪失</v>
      </c>
    </row>
    <row r="479" customFormat="false" ht="15" hidden="false" customHeight="false" outlineLevel="0" collapsed="false">
      <c r="A479" s="0" t="n">
        <v>21</v>
      </c>
      <c r="AA479" s="0" t="n">
        <v>21</v>
      </c>
      <c r="AB479" s="0" t="s">
        <v>394</v>
      </c>
      <c r="AD479" s="0" t="n">
        <v>12</v>
      </c>
      <c r="AE479" s="0" t="s">
        <v>96</v>
      </c>
      <c r="AH479" s="0" t="n">
        <v>1</v>
      </c>
      <c r="AJ479" s="0" t="n">
        <v>10</v>
      </c>
      <c r="AP479" s="0" t="n">
        <v>560000</v>
      </c>
      <c r="DB479" s="0" t="str">
        <f aca="false">IF($A479="","",IF($A479&lt;&gt;21,"対象外",IF($AE479&amp;""="00000000","在職",IF($AE479&amp;""=設定!$C$4,"4/1喪失","その他喪失"))))</f>
        <v>4/1喪失</v>
      </c>
    </row>
    <row r="480" customFormat="false" ht="15" hidden="false" customHeight="false" outlineLevel="0" collapsed="false">
      <c r="A480" s="0" t="n">
        <v>21</v>
      </c>
      <c r="AA480" s="0" t="n">
        <v>21</v>
      </c>
      <c r="AB480" s="0" t="s">
        <v>413</v>
      </c>
      <c r="AD480" s="0" t="n">
        <v>12</v>
      </c>
      <c r="AE480" s="0" t="s">
        <v>96</v>
      </c>
      <c r="AH480" s="0" t="n">
        <v>14</v>
      </c>
      <c r="AJ480" s="0" t="n">
        <v>10</v>
      </c>
      <c r="AP480" s="0" t="n">
        <v>710000</v>
      </c>
      <c r="DB480" s="0" t="str">
        <f aca="false">IF($A480="","",IF($A480&lt;&gt;21,"対象外",IF($AE480&amp;""="00000000","在職",IF($AE480&amp;""=設定!$C$4,"4/1喪失","その他喪失"))))</f>
        <v>4/1喪失</v>
      </c>
    </row>
    <row r="481" customFormat="false" ht="15" hidden="false" customHeight="false" outlineLevel="0" collapsed="false">
      <c r="A481" s="0" t="n">
        <v>21</v>
      </c>
      <c r="AA481" s="0" t="n">
        <v>21</v>
      </c>
      <c r="AB481" s="0" t="s">
        <v>413</v>
      </c>
      <c r="AD481" s="0" t="n">
        <v>11</v>
      </c>
      <c r="AE481" s="0" t="s">
        <v>96</v>
      </c>
      <c r="AH481" s="0" t="n">
        <v>1</v>
      </c>
      <c r="AJ481" s="0" t="n">
        <v>10</v>
      </c>
      <c r="AP481" s="0" t="n">
        <v>650000</v>
      </c>
      <c r="DB481" s="0" t="str">
        <f aca="false">IF($A481="","",IF($A481&lt;&gt;21,"対象外",IF($AE481&amp;""="00000000","在職",IF($AE481&amp;""=設定!$C$4,"4/1喪失","その他喪失"))))</f>
        <v>4/1喪失</v>
      </c>
    </row>
    <row r="482" customFormat="false" ht="15" hidden="false" customHeight="false" outlineLevel="0" collapsed="false">
      <c r="A482" s="0" t="n">
        <v>21</v>
      </c>
      <c r="AA482" s="0" t="n">
        <v>21</v>
      </c>
      <c r="AB482" s="0" t="s">
        <v>387</v>
      </c>
      <c r="AD482" s="0" t="n">
        <v>12</v>
      </c>
      <c r="AE482" s="0" t="s">
        <v>96</v>
      </c>
      <c r="AH482" s="0" t="n">
        <v>11</v>
      </c>
      <c r="AJ482" s="0" t="n">
        <v>10</v>
      </c>
      <c r="AP482" s="0" t="n">
        <v>470000</v>
      </c>
      <c r="DB482" s="0" t="str">
        <f aca="false">IF($A482="","",IF($A482&lt;&gt;21,"対象外",IF($AE482&amp;""="00000000","在職",IF($AE482&amp;""=設定!$C$4,"4/1喪失","その他喪失"))))</f>
        <v>4/1喪失</v>
      </c>
    </row>
    <row r="483" customFormat="false" ht="15" hidden="false" customHeight="false" outlineLevel="0" collapsed="false">
      <c r="A483" s="0" t="n">
        <v>31</v>
      </c>
      <c r="AA483" s="0" t="n">
        <v>21</v>
      </c>
      <c r="AB483" s="0" t="s">
        <v>96</v>
      </c>
      <c r="AD483" s="0" t="n">
        <v>12</v>
      </c>
      <c r="AE483" s="0" t="s">
        <v>294</v>
      </c>
      <c r="AH483" s="0" t="n">
        <v>1</v>
      </c>
      <c r="AJ483" s="0" t="n">
        <v>41</v>
      </c>
      <c r="AP483" s="0" t="n">
        <v>260000</v>
      </c>
      <c r="DB483" s="0" t="str">
        <f aca="false">IF($A483="","",IF($A483&lt;&gt;21,"対象外",IF($AE483&amp;""="00000000","在職",IF($AE483&amp;""=設定!$C$4,"4/1喪失","その他喪失"))))</f>
        <v>対象外</v>
      </c>
    </row>
    <row r="484" customFormat="false" ht="15" hidden="false" customHeight="false" outlineLevel="0" collapsed="false">
      <c r="A484" s="0" t="n">
        <v>21</v>
      </c>
      <c r="AA484" s="0" t="n">
        <v>21</v>
      </c>
      <c r="AB484" s="0" t="s">
        <v>422</v>
      </c>
      <c r="AD484" s="0" t="n">
        <v>12</v>
      </c>
      <c r="AE484" s="0" t="s">
        <v>484</v>
      </c>
      <c r="AH484" s="0" t="n">
        <v>11</v>
      </c>
      <c r="AJ484" s="0" t="n">
        <v>10</v>
      </c>
      <c r="AP484" s="0" t="n">
        <v>470000</v>
      </c>
      <c r="DB484" s="0" t="str">
        <f aca="false">IF($A484="","",IF($A484&lt;&gt;21,"対象外",IF($AE484&amp;""="00000000","在職",IF($AE484&amp;""=設定!$C$4,"4/1喪失","その他喪失"))))</f>
        <v>その他喪失</v>
      </c>
    </row>
    <row r="485" customFormat="false" ht="15" hidden="false" customHeight="false" outlineLevel="0" collapsed="false">
      <c r="A485" s="0" t="n">
        <v>21</v>
      </c>
      <c r="AA485" s="0" t="n">
        <v>21</v>
      </c>
      <c r="AB485" s="0" t="s">
        <v>387</v>
      </c>
      <c r="AD485" s="0" t="n">
        <v>12</v>
      </c>
      <c r="AE485" s="0" t="s">
        <v>96</v>
      </c>
      <c r="AH485" s="0" t="n">
        <v>1</v>
      </c>
      <c r="AJ485" s="0" t="n">
        <v>10</v>
      </c>
      <c r="AP485" s="0" t="n">
        <v>560000</v>
      </c>
      <c r="DB485" s="0" t="str">
        <f aca="false">IF($A485="","",IF($A485&lt;&gt;21,"対象外",IF($AE485&amp;""="00000000","在職",IF($AE485&amp;""=設定!$C$4,"4/1喪失","その他喪失"))))</f>
        <v>4/1喪失</v>
      </c>
    </row>
    <row r="486" customFormat="false" ht="15" hidden="false" customHeight="false" outlineLevel="0" collapsed="false">
      <c r="A486" s="0" t="n">
        <v>21</v>
      </c>
      <c r="AA486" s="0" t="n">
        <v>21</v>
      </c>
      <c r="AB486" s="0" t="s">
        <v>387</v>
      </c>
      <c r="AD486" s="0" t="n">
        <v>12</v>
      </c>
      <c r="AE486" s="0" t="s">
        <v>459</v>
      </c>
      <c r="AH486" s="0" t="n">
        <v>0</v>
      </c>
      <c r="AJ486" s="0" t="n">
        <v>10</v>
      </c>
      <c r="AP486" s="0" t="n">
        <v>360000</v>
      </c>
      <c r="DB486" s="0" t="str">
        <f aca="false">IF($A486="","",IF($A486&lt;&gt;21,"対象外",IF($AE486&amp;""="00000000","在職",IF($AE486&amp;""=設定!$C$4,"4/1喪失","その他喪失"))))</f>
        <v>その他喪失</v>
      </c>
    </row>
    <row r="487" customFormat="false" ht="15" hidden="false" customHeight="false" outlineLevel="0" collapsed="false">
      <c r="A487" s="0" t="n">
        <v>21</v>
      </c>
      <c r="AA487" s="0" t="n">
        <v>21</v>
      </c>
      <c r="AB487" s="0" t="s">
        <v>457</v>
      </c>
      <c r="AD487" s="0" t="n">
        <v>12</v>
      </c>
      <c r="AE487" s="0" t="s">
        <v>400</v>
      </c>
      <c r="AH487" s="0" t="n">
        <v>0</v>
      </c>
      <c r="AJ487" s="0" t="n">
        <v>10</v>
      </c>
      <c r="AP487" s="0" t="n">
        <v>403000</v>
      </c>
      <c r="DB487" s="0" t="str">
        <f aca="false">IF($A487="","",IF($A487&lt;&gt;21,"対象外",IF($AE487&amp;""="00000000","在職",IF($AE487&amp;""=設定!$C$4,"4/1喪失","その他喪失"))))</f>
        <v>その他喪失</v>
      </c>
    </row>
    <row r="488" customFormat="false" ht="15" hidden="false" customHeight="false" outlineLevel="0" collapsed="false">
      <c r="A488" s="0" t="n">
        <v>21</v>
      </c>
      <c r="AA488" s="0" t="n">
        <v>21</v>
      </c>
      <c r="AB488" s="0" t="s">
        <v>413</v>
      </c>
      <c r="AD488" s="0" t="n">
        <v>15</v>
      </c>
      <c r="AE488" s="0" t="s">
        <v>780</v>
      </c>
      <c r="AH488" s="0" t="n">
        <v>1</v>
      </c>
      <c r="AJ488" s="0" t="n">
        <v>10</v>
      </c>
      <c r="AP488" s="0" t="n">
        <v>750000</v>
      </c>
      <c r="DB488" s="0" t="str">
        <f aca="false">IF($A488="","",IF($A488&lt;&gt;21,"対象外",IF($AE488&amp;""="00000000","在職",IF($AE488&amp;""=設定!$C$4,"4/1喪失","その他喪失"))))</f>
        <v>その他喪失</v>
      </c>
    </row>
    <row r="489" customFormat="false" ht="15" hidden="false" customHeight="false" outlineLevel="0" collapsed="false">
      <c r="A489" s="0" t="n">
        <v>21</v>
      </c>
      <c r="AA489" s="0" t="n">
        <v>24</v>
      </c>
      <c r="AB489" s="0" t="s">
        <v>410</v>
      </c>
      <c r="AD489" s="0" t="n">
        <v>11</v>
      </c>
      <c r="AE489" s="0" t="s">
        <v>96</v>
      </c>
      <c r="AH489" s="0" t="n">
        <v>1</v>
      </c>
      <c r="AJ489" s="0" t="n">
        <v>10</v>
      </c>
      <c r="AP489" s="0" t="n">
        <v>560000</v>
      </c>
      <c r="DB489" s="0" t="str">
        <f aca="false">IF($A489="","",IF($A489&lt;&gt;21,"対象外",IF($AE489&amp;""="00000000","在職",IF($AE489&amp;""=設定!$C$4,"4/1喪失","その他喪失"))))</f>
        <v>4/1喪失</v>
      </c>
    </row>
    <row r="490" customFormat="false" ht="15" hidden="false" customHeight="false" outlineLevel="0" collapsed="false">
      <c r="A490" s="0" t="n">
        <v>21</v>
      </c>
      <c r="AA490" s="0" t="n">
        <v>21</v>
      </c>
      <c r="AB490" s="0" t="s">
        <v>410</v>
      </c>
      <c r="AD490" s="0" t="n">
        <v>12</v>
      </c>
      <c r="AE490" s="0" t="s">
        <v>635</v>
      </c>
      <c r="AH490" s="0" t="n">
        <v>11</v>
      </c>
      <c r="AJ490" s="0" t="n">
        <v>10</v>
      </c>
      <c r="AP490" s="0" t="n">
        <v>360000</v>
      </c>
      <c r="DB490" s="0" t="str">
        <f aca="false">IF($A490="","",IF($A490&lt;&gt;21,"対象外",IF($AE490&amp;""="00000000","在職",IF($AE490&amp;""=設定!$C$4,"4/1喪失","その他喪失"))))</f>
        <v>その他喪失</v>
      </c>
    </row>
    <row r="491" customFormat="false" ht="15" hidden="false" customHeight="false" outlineLevel="0" collapsed="false">
      <c r="A491" s="0" t="n">
        <v>21</v>
      </c>
      <c r="AA491" s="0" t="n">
        <v>21</v>
      </c>
      <c r="AB491" s="0" t="s">
        <v>409</v>
      </c>
      <c r="AD491" s="0" t="n">
        <v>12</v>
      </c>
      <c r="AE491" s="0" t="s">
        <v>96</v>
      </c>
      <c r="AH491" s="0" t="n">
        <v>1</v>
      </c>
      <c r="AJ491" s="0" t="n">
        <v>10</v>
      </c>
      <c r="AP491" s="0" t="n">
        <v>560000</v>
      </c>
      <c r="DB491" s="0" t="str">
        <f aca="false">IF($A491="","",IF($A491&lt;&gt;21,"対象外",IF($AE491&amp;""="00000000","在職",IF($AE491&amp;""=設定!$C$4,"4/1喪失","その他喪失"))))</f>
        <v>4/1喪失</v>
      </c>
    </row>
    <row r="492" customFormat="false" ht="15" hidden="false" customHeight="false" outlineLevel="0" collapsed="false">
      <c r="A492" s="0" t="n">
        <v>21</v>
      </c>
      <c r="AA492" s="0" t="n">
        <v>21</v>
      </c>
      <c r="AB492" s="0" t="s">
        <v>413</v>
      </c>
      <c r="AD492" s="0" t="n">
        <v>12</v>
      </c>
      <c r="AE492" s="0" t="s">
        <v>96</v>
      </c>
      <c r="AH492" s="0" t="n">
        <v>1</v>
      </c>
      <c r="AJ492" s="0" t="n">
        <v>10</v>
      </c>
      <c r="AP492" s="0" t="n">
        <v>620000</v>
      </c>
      <c r="DB492" s="0" t="str">
        <f aca="false">IF($A492="","",IF($A492&lt;&gt;21,"対象外",IF($AE492&amp;""="00000000","在職",IF($AE492&amp;""=設定!$C$4,"4/1喪失","その他喪失"))))</f>
        <v>4/1喪失</v>
      </c>
    </row>
    <row r="493" customFormat="false" ht="15" hidden="false" customHeight="false" outlineLevel="0" collapsed="false">
      <c r="A493" s="0" t="n">
        <v>21</v>
      </c>
      <c r="AA493" s="0" t="n">
        <v>21</v>
      </c>
      <c r="AB493" s="0" t="s">
        <v>413</v>
      </c>
      <c r="AD493" s="0" t="n">
        <v>12</v>
      </c>
      <c r="AE493" s="0" t="s">
        <v>96</v>
      </c>
      <c r="AH493" s="0" t="n">
        <v>1</v>
      </c>
      <c r="AJ493" s="0" t="n">
        <v>10</v>
      </c>
      <c r="AP493" s="0" t="n">
        <v>620000</v>
      </c>
      <c r="DB493" s="0" t="str">
        <f aca="false">IF($A493="","",IF($A493&lt;&gt;21,"対象外",IF($AE493&amp;""="00000000","在職",IF($AE493&amp;""=設定!$C$4,"4/1喪失","その他喪失"))))</f>
        <v>4/1喪失</v>
      </c>
    </row>
    <row r="494" customFormat="false" ht="15" hidden="false" customHeight="false" outlineLevel="0" collapsed="false">
      <c r="A494" s="0" t="n">
        <v>21</v>
      </c>
      <c r="AA494" s="0" t="n">
        <v>21</v>
      </c>
      <c r="AB494" s="0" t="s">
        <v>409</v>
      </c>
      <c r="AD494" s="0" t="n">
        <v>12</v>
      </c>
      <c r="AE494" s="0" t="s">
        <v>96</v>
      </c>
      <c r="AH494" s="0" t="n">
        <v>13</v>
      </c>
      <c r="AJ494" s="0" t="n">
        <v>10</v>
      </c>
      <c r="AP494" s="0" t="n">
        <v>710000</v>
      </c>
      <c r="DB494" s="0" t="str">
        <f aca="false">IF($A494="","",IF($A494&lt;&gt;21,"対象外",IF($AE494&amp;""="00000000","在職",IF($AE494&amp;""=設定!$C$4,"4/1喪失","その他喪失"))))</f>
        <v>4/1喪失</v>
      </c>
    </row>
    <row r="495" customFormat="false" ht="15" hidden="false" customHeight="false" outlineLevel="0" collapsed="false">
      <c r="A495" s="0" t="n">
        <v>21</v>
      </c>
      <c r="AA495" s="0" t="n">
        <v>21</v>
      </c>
      <c r="AB495" s="0" t="s">
        <v>410</v>
      </c>
      <c r="AD495" s="0" t="n">
        <v>12</v>
      </c>
      <c r="AE495" s="0" t="s">
        <v>476</v>
      </c>
      <c r="AH495" s="0" t="n">
        <v>1</v>
      </c>
      <c r="AJ495" s="0" t="n">
        <v>10</v>
      </c>
      <c r="AP495" s="0" t="n">
        <v>830000</v>
      </c>
      <c r="DB495" s="0" t="str">
        <f aca="false">IF($A495="","",IF($A495&lt;&gt;21,"対象外",IF($AE495&amp;""="00000000","在職",IF($AE495&amp;""=設定!$C$4,"4/1喪失","その他喪失"))))</f>
        <v>その他喪失</v>
      </c>
    </row>
    <row r="496" customFormat="false" ht="15" hidden="false" customHeight="false" outlineLevel="0" collapsed="false">
      <c r="A496" s="0" t="n">
        <v>21</v>
      </c>
      <c r="AA496" s="0" t="n">
        <v>21</v>
      </c>
      <c r="AB496" s="0" t="s">
        <v>409</v>
      </c>
      <c r="AD496" s="0" t="n">
        <v>12</v>
      </c>
      <c r="AE496" s="0" t="s">
        <v>504</v>
      </c>
      <c r="AH496" s="0" t="n">
        <v>1</v>
      </c>
      <c r="AJ496" s="0" t="n">
        <v>10</v>
      </c>
      <c r="AP496" s="0" t="n">
        <v>500000</v>
      </c>
      <c r="DB496" s="0" t="str">
        <f aca="false">IF($A496="","",IF($A496&lt;&gt;21,"対象外",IF($AE496&amp;""="00000000","在職",IF($AE496&amp;""=設定!$C$4,"4/1喪失","その他喪失"))))</f>
        <v>その他喪失</v>
      </c>
    </row>
    <row r="497" customFormat="false" ht="15" hidden="false" customHeight="false" outlineLevel="0" collapsed="false">
      <c r="A497" s="0" t="n">
        <v>21</v>
      </c>
      <c r="AA497" s="0" t="n">
        <v>21</v>
      </c>
      <c r="AB497" s="0" t="s">
        <v>387</v>
      </c>
      <c r="AD497" s="0" t="n">
        <v>12</v>
      </c>
      <c r="AE497" s="0" t="s">
        <v>96</v>
      </c>
      <c r="AH497" s="0" t="n">
        <v>5</v>
      </c>
      <c r="AJ497" s="0" t="n">
        <v>30</v>
      </c>
      <c r="AP497" s="0" t="n">
        <v>590000</v>
      </c>
      <c r="DB497" s="0" t="str">
        <f aca="false">IF($A497="","",IF($A497&lt;&gt;21,"対象外",IF($AE497&amp;""="00000000","在職",IF($AE497&amp;""=設定!$C$4,"4/1喪失","その他喪失"))))</f>
        <v>4/1喪失</v>
      </c>
    </row>
    <row r="498" customFormat="false" ht="15" hidden="false" customHeight="false" outlineLevel="0" collapsed="false">
      <c r="A498" s="0" t="n">
        <v>21</v>
      </c>
      <c r="AA498" s="0" t="n">
        <v>21</v>
      </c>
      <c r="AB498" s="0" t="s">
        <v>409</v>
      </c>
      <c r="AD498" s="0" t="n">
        <v>12</v>
      </c>
      <c r="AE498" s="0" t="s">
        <v>476</v>
      </c>
      <c r="AH498" s="0" t="n">
        <v>1</v>
      </c>
      <c r="AJ498" s="0" t="n">
        <v>10</v>
      </c>
      <c r="AP498" s="0" t="n">
        <v>470000</v>
      </c>
      <c r="DB498" s="0" t="str">
        <f aca="false">IF($A498="","",IF($A498&lt;&gt;21,"対象外",IF($AE498&amp;""="00000000","在職",IF($AE498&amp;""=設定!$C$4,"4/1喪失","その他喪失"))))</f>
        <v>その他喪失</v>
      </c>
    </row>
    <row r="499" customFormat="false" ht="15" hidden="false" customHeight="false" outlineLevel="0" collapsed="false">
      <c r="A499" s="0" t="n">
        <v>21</v>
      </c>
      <c r="AA499" s="0" t="n">
        <v>21</v>
      </c>
      <c r="AB499" s="0" t="s">
        <v>387</v>
      </c>
      <c r="AD499" s="0" t="n">
        <v>12</v>
      </c>
      <c r="AE499" s="0" t="s">
        <v>96</v>
      </c>
      <c r="AH499" s="0" t="n">
        <v>5</v>
      </c>
      <c r="AJ499" s="0" t="n">
        <v>30</v>
      </c>
      <c r="AP499" s="0" t="n">
        <v>560000</v>
      </c>
      <c r="DB499" s="0" t="str">
        <f aca="false">IF($A499="","",IF($A499&lt;&gt;21,"対象外",IF($AE499&amp;""="00000000","在職",IF($AE499&amp;""=設定!$C$4,"4/1喪失","その他喪失"))))</f>
        <v>4/1喪失</v>
      </c>
    </row>
    <row r="500" customFormat="false" ht="15" hidden="false" customHeight="false" outlineLevel="0" collapsed="false">
      <c r="A500" s="0" t="n">
        <v>21</v>
      </c>
      <c r="AA500" s="0" t="n">
        <v>21</v>
      </c>
      <c r="AB500" s="0" t="s">
        <v>781</v>
      </c>
      <c r="AD500" s="0" t="n">
        <v>12</v>
      </c>
      <c r="AE500" s="0" t="s">
        <v>463</v>
      </c>
      <c r="AH500" s="0" t="n">
        <v>0</v>
      </c>
      <c r="AJ500" s="0" t="n">
        <v>10</v>
      </c>
      <c r="AP500" s="0" t="n">
        <v>1</v>
      </c>
      <c r="DB500" s="0" t="str">
        <f aca="false">IF($A500="","",IF($A500&lt;&gt;21,"対象外",IF($AE500&amp;""="00000000","在職",IF($AE500&amp;""=設定!$C$4,"4/1喪失","その他喪失"))))</f>
        <v>その他喪失</v>
      </c>
    </row>
    <row r="501" customFormat="false" ht="15" hidden="false" customHeight="false" outlineLevel="0" collapsed="false">
      <c r="A501" s="0" t="n">
        <v>21</v>
      </c>
      <c r="AA501" s="0" t="n">
        <v>21</v>
      </c>
      <c r="AB501" s="0" t="s">
        <v>782</v>
      </c>
      <c r="AD501" s="0" t="n">
        <v>12</v>
      </c>
      <c r="AE501" s="0" t="s">
        <v>459</v>
      </c>
      <c r="AH501" s="0" t="n">
        <v>0</v>
      </c>
      <c r="AJ501" s="0" t="n">
        <v>10</v>
      </c>
      <c r="AP501" s="0" t="n">
        <v>1022031</v>
      </c>
      <c r="DB501" s="0" t="str">
        <f aca="false">IF($A501="","",IF($A501&lt;&gt;21,"対象外",IF($AE501&amp;""="00000000","在職",IF($AE501&amp;""=設定!$C$4,"4/1喪失","その他喪失"))))</f>
        <v>その他喪失</v>
      </c>
    </row>
    <row r="502" customFormat="false" ht="15" hidden="false" customHeight="false" outlineLevel="0" collapsed="false">
      <c r="A502" s="0" t="n">
        <v>21</v>
      </c>
      <c r="AA502" s="0" t="n">
        <v>21</v>
      </c>
      <c r="AB502" s="0" t="s">
        <v>443</v>
      </c>
      <c r="AD502" s="0" t="n">
        <v>12</v>
      </c>
      <c r="AE502" s="0" t="s">
        <v>459</v>
      </c>
      <c r="AH502" s="0" t="n">
        <v>0</v>
      </c>
      <c r="AJ502" s="0" t="n">
        <v>10</v>
      </c>
      <c r="AP502" s="0" t="n">
        <v>1160999</v>
      </c>
      <c r="DB502" s="0" t="str">
        <f aca="false">IF($A502="","",IF($A502&lt;&gt;21,"対象外",IF($AE502&amp;""="00000000","在職",IF($AE502&amp;""=設定!$C$4,"4/1喪失","その他喪失"))))</f>
        <v>その他喪失</v>
      </c>
    </row>
    <row r="503" customFormat="false" ht="15" hidden="false" customHeight="false" outlineLevel="0" collapsed="false">
      <c r="A503" s="0" t="n">
        <v>21</v>
      </c>
      <c r="AA503" s="0" t="n">
        <v>21</v>
      </c>
      <c r="AB503" s="0" t="s">
        <v>413</v>
      </c>
      <c r="AD503" s="0" t="n">
        <v>12</v>
      </c>
      <c r="AE503" s="0" t="s">
        <v>96</v>
      </c>
      <c r="AH503" s="0" t="n">
        <v>1</v>
      </c>
      <c r="AJ503" s="0" t="n">
        <v>10</v>
      </c>
      <c r="AP503" s="0" t="n">
        <v>560000</v>
      </c>
      <c r="DB503" s="0" t="str">
        <f aca="false">IF($A503="","",IF($A503&lt;&gt;21,"対象外",IF($AE503&amp;""="00000000","在職",IF($AE503&amp;""=設定!$C$4,"4/1喪失","その他喪失"))))</f>
        <v>4/1喪失</v>
      </c>
    </row>
    <row r="504" customFormat="false" ht="15" hidden="false" customHeight="false" outlineLevel="0" collapsed="false">
      <c r="A504" s="0" t="n">
        <v>21</v>
      </c>
      <c r="AA504" s="0" t="n">
        <v>21</v>
      </c>
      <c r="AB504" s="0" t="s">
        <v>388</v>
      </c>
      <c r="AD504" s="0" t="n">
        <v>15</v>
      </c>
      <c r="AE504" s="0" t="s">
        <v>783</v>
      </c>
      <c r="AH504" s="0" t="n">
        <v>5</v>
      </c>
      <c r="AJ504" s="0" t="n">
        <v>10</v>
      </c>
      <c r="AP504" s="0" t="n">
        <v>620000</v>
      </c>
      <c r="DB504" s="0" t="str">
        <f aca="false">IF($A504="","",IF($A504&lt;&gt;21,"対象外",IF($AE504&amp;""="00000000","在職",IF($AE504&amp;""=設定!$C$4,"4/1喪失","その他喪失"))))</f>
        <v>その他喪失</v>
      </c>
    </row>
    <row r="505" customFormat="false" ht="15" hidden="false" customHeight="false" outlineLevel="0" collapsed="false">
      <c r="A505" s="0" t="n">
        <v>21</v>
      </c>
      <c r="AA505" s="0" t="n">
        <v>21</v>
      </c>
      <c r="AB505" s="0" t="s">
        <v>417</v>
      </c>
      <c r="AD505" s="0" t="n">
        <v>12</v>
      </c>
      <c r="AE505" s="0" t="s">
        <v>96</v>
      </c>
      <c r="AH505" s="0" t="n">
        <v>1</v>
      </c>
      <c r="AJ505" s="0" t="n">
        <v>10</v>
      </c>
      <c r="AP505" s="0" t="n">
        <v>620000</v>
      </c>
      <c r="DB505" s="0" t="str">
        <f aca="false">IF($A505="","",IF($A505&lt;&gt;21,"対象外",IF($AE505&amp;""="00000000","在職",IF($AE505&amp;""=設定!$C$4,"4/1喪失","その他喪失"))))</f>
        <v>4/1喪失</v>
      </c>
    </row>
    <row r="506" customFormat="false" ht="15" hidden="false" customHeight="false" outlineLevel="0" collapsed="false">
      <c r="A506" s="0" t="n">
        <v>21</v>
      </c>
      <c r="AA506" s="0" t="n">
        <v>21</v>
      </c>
      <c r="AB506" s="0" t="s">
        <v>409</v>
      </c>
      <c r="AD506" s="0" t="n">
        <v>12</v>
      </c>
      <c r="AE506" s="0" t="s">
        <v>442</v>
      </c>
      <c r="AH506" s="0" t="n">
        <v>1</v>
      </c>
      <c r="AJ506" s="0" t="n">
        <v>10</v>
      </c>
      <c r="AP506" s="0" t="n">
        <v>590000</v>
      </c>
      <c r="DB506" s="0" t="str">
        <f aca="false">IF($A506="","",IF($A506&lt;&gt;21,"対象外",IF($AE506&amp;""="00000000","在職",IF($AE506&amp;""=設定!$C$4,"4/1喪失","その他喪失"))))</f>
        <v>その他喪失</v>
      </c>
    </row>
    <row r="507" customFormat="false" ht="15" hidden="false" customHeight="false" outlineLevel="0" collapsed="false">
      <c r="A507" s="0" t="n">
        <v>21</v>
      </c>
      <c r="AA507" s="0" t="n">
        <v>21</v>
      </c>
      <c r="AB507" s="0" t="s">
        <v>390</v>
      </c>
      <c r="AD507" s="0" t="n">
        <v>12</v>
      </c>
      <c r="AE507" s="0" t="s">
        <v>499</v>
      </c>
      <c r="AH507" s="0" t="n">
        <v>1</v>
      </c>
      <c r="AJ507" s="0" t="n">
        <v>10</v>
      </c>
      <c r="AP507" s="0" t="n">
        <v>500000</v>
      </c>
      <c r="DB507" s="0" t="str">
        <f aca="false">IF($A507="","",IF($A507&lt;&gt;21,"対象外",IF($AE507&amp;""="00000000","在職",IF($AE507&amp;""=設定!$C$4,"4/1喪失","その他喪失"))))</f>
        <v>その他喪失</v>
      </c>
    </row>
    <row r="508" customFormat="false" ht="15" hidden="false" customHeight="false" outlineLevel="0" collapsed="false">
      <c r="A508" s="0" t="n">
        <v>21</v>
      </c>
      <c r="AA508" s="0" t="n">
        <v>21</v>
      </c>
      <c r="AB508" s="0" t="s">
        <v>453</v>
      </c>
      <c r="AD508" s="0" t="n">
        <v>12</v>
      </c>
      <c r="AE508" s="0" t="s">
        <v>457</v>
      </c>
      <c r="AH508" s="0" t="n">
        <v>0</v>
      </c>
      <c r="AJ508" s="0" t="n">
        <v>10</v>
      </c>
      <c r="AP508" s="0" t="n">
        <v>1</v>
      </c>
      <c r="DB508" s="0" t="str">
        <f aca="false">IF($A508="","",IF($A508&lt;&gt;21,"対象外",IF($AE508&amp;""="00000000","在職",IF($AE508&amp;""=設定!$C$4,"4/1喪失","その他喪失"))))</f>
        <v>その他喪失</v>
      </c>
    </row>
    <row r="509" customFormat="false" ht="15" hidden="false" customHeight="false" outlineLevel="0" collapsed="false">
      <c r="A509" s="0" t="n">
        <v>21</v>
      </c>
      <c r="AA509" s="0" t="n">
        <v>21</v>
      </c>
      <c r="AB509" s="0" t="s">
        <v>413</v>
      </c>
      <c r="AD509" s="0" t="n">
        <v>12</v>
      </c>
      <c r="AE509" s="0" t="s">
        <v>96</v>
      </c>
      <c r="AH509" s="0" t="n">
        <v>4</v>
      </c>
      <c r="AJ509" s="0" t="n">
        <v>10</v>
      </c>
      <c r="AP509" s="0" t="n">
        <v>590000</v>
      </c>
      <c r="DB509" s="0" t="str">
        <f aca="false">IF($A509="","",IF($A509&lt;&gt;21,"対象外",IF($AE509&amp;""="00000000","在職",IF($AE509&amp;""=設定!$C$4,"4/1喪失","その他喪失"))))</f>
        <v>4/1喪失</v>
      </c>
    </row>
    <row r="510" customFormat="false" ht="15" hidden="false" customHeight="false" outlineLevel="0" collapsed="false">
      <c r="A510" s="0" t="n">
        <v>21</v>
      </c>
      <c r="AA510" s="0" t="n">
        <v>21</v>
      </c>
      <c r="AB510" s="0" t="s">
        <v>413</v>
      </c>
      <c r="AD510" s="0" t="n">
        <v>12</v>
      </c>
      <c r="AE510" s="0" t="s">
        <v>477</v>
      </c>
      <c r="AH510" s="0" t="n">
        <v>1</v>
      </c>
      <c r="AJ510" s="0" t="n">
        <v>10</v>
      </c>
      <c r="AP510" s="0" t="n">
        <v>470000</v>
      </c>
      <c r="DB510" s="0" t="str">
        <f aca="false">IF($A510="","",IF($A510&lt;&gt;21,"対象外",IF($AE510&amp;""="00000000","在職",IF($AE510&amp;""=設定!$C$4,"4/1喪失","その他喪失"))))</f>
        <v>その他喪失</v>
      </c>
    </row>
    <row r="511" customFormat="false" ht="15" hidden="false" customHeight="false" outlineLevel="0" collapsed="false">
      <c r="A511" s="0" t="n">
        <v>21</v>
      </c>
      <c r="AA511" s="0" t="n">
        <v>21</v>
      </c>
      <c r="AB511" s="0" t="s">
        <v>391</v>
      </c>
      <c r="AD511" s="0" t="n">
        <v>12</v>
      </c>
      <c r="AE511" s="0" t="s">
        <v>96</v>
      </c>
      <c r="AH511" s="0" t="n">
        <v>5</v>
      </c>
      <c r="AJ511" s="0" t="n">
        <v>10</v>
      </c>
      <c r="AP511" s="0" t="n">
        <v>560000</v>
      </c>
      <c r="DB511" s="0" t="str">
        <f aca="false">IF($A511="","",IF($A511&lt;&gt;21,"対象外",IF($AE511&amp;""="00000000","在職",IF($AE511&amp;""=設定!$C$4,"4/1喪失","その他喪失"))))</f>
        <v>4/1喪失</v>
      </c>
    </row>
    <row r="512" customFormat="false" ht="15" hidden="false" customHeight="false" outlineLevel="0" collapsed="false">
      <c r="A512" s="0" t="n">
        <v>21</v>
      </c>
      <c r="AA512" s="0" t="n">
        <v>21</v>
      </c>
      <c r="AB512" s="0" t="s">
        <v>388</v>
      </c>
      <c r="AD512" s="0" t="n">
        <v>12</v>
      </c>
      <c r="AE512" s="0" t="s">
        <v>96</v>
      </c>
      <c r="AH512" s="0" t="n">
        <v>5</v>
      </c>
      <c r="AJ512" s="0" t="n">
        <v>10</v>
      </c>
      <c r="AP512" s="0" t="n">
        <v>650000</v>
      </c>
      <c r="DB512" s="0" t="str">
        <f aca="false">IF($A512="","",IF($A512&lt;&gt;21,"対象外",IF($AE512&amp;""="00000000","在職",IF($AE512&amp;""=設定!$C$4,"4/1喪失","その他喪失"))))</f>
        <v>4/1喪失</v>
      </c>
    </row>
    <row r="513" customFormat="false" ht="15" hidden="false" customHeight="false" outlineLevel="0" collapsed="false">
      <c r="A513" s="0" t="n">
        <v>21</v>
      </c>
      <c r="AA513" s="0" t="n">
        <v>24</v>
      </c>
      <c r="AB513" s="0" t="s">
        <v>484</v>
      </c>
      <c r="AD513" s="0" t="n">
        <v>12</v>
      </c>
      <c r="AE513" s="0" t="s">
        <v>476</v>
      </c>
      <c r="AH513" s="0" t="n">
        <v>11</v>
      </c>
      <c r="AJ513" s="0" t="n">
        <v>10</v>
      </c>
      <c r="AP513" s="0" t="n">
        <v>590000</v>
      </c>
      <c r="DB513" s="0" t="str">
        <f aca="false">IF($A513="","",IF($A513&lt;&gt;21,"対象外",IF($AE513&amp;""="00000000","在職",IF($AE513&amp;""=設定!$C$4,"4/1喪失","その他喪失"))))</f>
        <v>その他喪失</v>
      </c>
    </row>
    <row r="514" customFormat="false" ht="15" hidden="false" customHeight="false" outlineLevel="0" collapsed="false">
      <c r="A514" s="0" t="n">
        <v>21</v>
      </c>
      <c r="AA514" s="0" t="n">
        <v>21</v>
      </c>
      <c r="AB514" s="0" t="s">
        <v>387</v>
      </c>
      <c r="AD514" s="0" t="n">
        <v>12</v>
      </c>
      <c r="AE514" s="0" t="s">
        <v>96</v>
      </c>
      <c r="AH514" s="0" t="n">
        <v>1</v>
      </c>
      <c r="AJ514" s="0" t="n">
        <v>10</v>
      </c>
      <c r="AP514" s="0" t="n">
        <v>620000</v>
      </c>
      <c r="DB514" s="0" t="str">
        <f aca="false">IF($A514="","",IF($A514&lt;&gt;21,"対象外",IF($AE514&amp;""="00000000","在職",IF($AE514&amp;""=設定!$C$4,"4/1喪失","その他喪失"))))</f>
        <v>4/1喪失</v>
      </c>
    </row>
    <row r="515" customFormat="false" ht="15" hidden="false" customHeight="false" outlineLevel="0" collapsed="false">
      <c r="A515" s="0" t="n">
        <v>21</v>
      </c>
      <c r="AA515" s="0" t="n">
        <v>21</v>
      </c>
      <c r="AB515" s="0" t="s">
        <v>413</v>
      </c>
      <c r="AD515" s="0" t="n">
        <v>12</v>
      </c>
      <c r="AE515" s="0" t="s">
        <v>96</v>
      </c>
      <c r="AH515" s="0" t="n">
        <v>1</v>
      </c>
      <c r="AJ515" s="0" t="n">
        <v>10</v>
      </c>
      <c r="AP515" s="0" t="n">
        <v>750000</v>
      </c>
      <c r="DB515" s="0" t="str">
        <f aca="false">IF($A515="","",IF($A515&lt;&gt;21,"対象外",IF($AE515&amp;""="00000000","在職",IF($AE515&amp;""=設定!$C$4,"4/1喪失","その他喪失"))))</f>
        <v>4/1喪失</v>
      </c>
    </row>
    <row r="516" customFormat="false" ht="15" hidden="false" customHeight="false" outlineLevel="0" collapsed="false">
      <c r="A516" s="0" t="n">
        <v>21</v>
      </c>
      <c r="AA516" s="0" t="n">
        <v>21</v>
      </c>
      <c r="AB516" s="0" t="s">
        <v>484</v>
      </c>
      <c r="AD516" s="0" t="n">
        <v>12</v>
      </c>
      <c r="AE516" s="0" t="s">
        <v>496</v>
      </c>
      <c r="AH516" s="0" t="n">
        <v>20</v>
      </c>
      <c r="AJ516" s="0" t="n">
        <v>10</v>
      </c>
      <c r="AP516" s="0" t="n">
        <v>240000</v>
      </c>
      <c r="DB516" s="0" t="str">
        <f aca="false">IF($A516="","",IF($A516&lt;&gt;21,"対象外",IF($AE516&amp;""="00000000","在職",IF($AE516&amp;""=設定!$C$4,"4/1喪失","その他喪失"))))</f>
        <v>その他喪失</v>
      </c>
    </row>
    <row r="517" customFormat="false" ht="15" hidden="false" customHeight="false" outlineLevel="0" collapsed="false">
      <c r="A517" s="0" t="n">
        <v>21</v>
      </c>
      <c r="AA517" s="0" t="n">
        <v>21</v>
      </c>
      <c r="AB517" s="0" t="s">
        <v>429</v>
      </c>
      <c r="AD517" s="0" t="n">
        <v>12</v>
      </c>
      <c r="AE517" s="0" t="s">
        <v>96</v>
      </c>
      <c r="AH517" s="0" t="n">
        <v>11</v>
      </c>
      <c r="AJ517" s="0" t="n">
        <v>10</v>
      </c>
      <c r="AP517" s="0" t="n">
        <v>470000</v>
      </c>
      <c r="DB517" s="0" t="str">
        <f aca="false">IF($A517="","",IF($A517&lt;&gt;21,"対象外",IF($AE517&amp;""="00000000","在職",IF($AE517&amp;""=設定!$C$4,"4/1喪失","その他喪失"))))</f>
        <v>4/1喪失</v>
      </c>
    </row>
    <row r="518" customFormat="false" ht="15" hidden="false" customHeight="false" outlineLevel="0" collapsed="false">
      <c r="A518" s="0" t="n">
        <v>21</v>
      </c>
      <c r="AA518" s="0" t="n">
        <v>21</v>
      </c>
      <c r="AB518" s="0" t="s">
        <v>387</v>
      </c>
      <c r="AD518" s="0" t="n">
        <v>12</v>
      </c>
      <c r="AE518" s="0" t="s">
        <v>96</v>
      </c>
      <c r="AH518" s="0" t="n">
        <v>1</v>
      </c>
      <c r="AJ518" s="0" t="n">
        <v>10</v>
      </c>
      <c r="AP518" s="0" t="n">
        <v>560000</v>
      </c>
      <c r="DB518" s="0" t="str">
        <f aca="false">IF($A518="","",IF($A518&lt;&gt;21,"対象外",IF($AE518&amp;""="00000000","在職",IF($AE518&amp;""=設定!$C$4,"4/1喪失","その他喪失"))))</f>
        <v>4/1喪失</v>
      </c>
    </row>
    <row r="519" customFormat="false" ht="15" hidden="false" customHeight="false" outlineLevel="0" collapsed="false">
      <c r="A519" s="0" t="n">
        <v>21</v>
      </c>
      <c r="AA519" s="0" t="n">
        <v>21</v>
      </c>
      <c r="AB519" s="0" t="s">
        <v>409</v>
      </c>
      <c r="AD519" s="0" t="n">
        <v>12</v>
      </c>
      <c r="AE519" s="0" t="s">
        <v>96</v>
      </c>
      <c r="AH519" s="0" t="n">
        <v>1</v>
      </c>
      <c r="AJ519" s="0" t="n">
        <v>10</v>
      </c>
      <c r="AP519" s="0" t="n">
        <v>710000</v>
      </c>
      <c r="DB519" s="0" t="str">
        <f aca="false">IF($A519="","",IF($A519&lt;&gt;21,"対象外",IF($AE519&amp;""="00000000","在職",IF($AE519&amp;""=設定!$C$4,"4/1喪失","その他喪失"))))</f>
        <v>4/1喪失</v>
      </c>
    </row>
    <row r="520" customFormat="false" ht="15" hidden="false" customHeight="false" outlineLevel="0" collapsed="false">
      <c r="A520" s="0" t="n">
        <v>21</v>
      </c>
      <c r="AA520" s="0" t="n">
        <v>21</v>
      </c>
      <c r="AB520" s="0" t="s">
        <v>409</v>
      </c>
      <c r="AD520" s="0" t="n">
        <v>12</v>
      </c>
      <c r="AE520" s="0" t="s">
        <v>96</v>
      </c>
      <c r="AH520" s="0" t="n">
        <v>11</v>
      </c>
      <c r="AJ520" s="0" t="n">
        <v>10</v>
      </c>
      <c r="AP520" s="0" t="n">
        <v>530000</v>
      </c>
      <c r="DB520" s="0" t="str">
        <f aca="false">IF($A520="","",IF($A520&lt;&gt;21,"対象外",IF($AE520&amp;""="00000000","在職",IF($AE520&amp;""=設定!$C$4,"4/1喪失","その他喪失"))))</f>
        <v>4/1喪失</v>
      </c>
    </row>
    <row r="521" customFormat="false" ht="15" hidden="false" customHeight="false" outlineLevel="0" collapsed="false">
      <c r="A521" s="0" t="n">
        <v>21</v>
      </c>
      <c r="AA521" s="0" t="n">
        <v>21</v>
      </c>
      <c r="AB521" s="0" t="s">
        <v>456</v>
      </c>
      <c r="AD521" s="0" t="n">
        <v>12</v>
      </c>
      <c r="AE521" s="0" t="s">
        <v>494</v>
      </c>
      <c r="AH521" s="0" t="n">
        <v>5</v>
      </c>
      <c r="AJ521" s="0" t="n">
        <v>30</v>
      </c>
      <c r="AP521" s="0" t="n">
        <v>590000</v>
      </c>
      <c r="DB521" s="0" t="str">
        <f aca="false">IF($A521="","",IF($A521&lt;&gt;21,"対象外",IF($AE521&amp;""="00000000","在職",IF($AE521&amp;""=設定!$C$4,"4/1喪失","その他喪失"))))</f>
        <v>その他喪失</v>
      </c>
    </row>
    <row r="522" customFormat="false" ht="15" hidden="false" customHeight="false" outlineLevel="0" collapsed="false">
      <c r="A522" s="0" t="n">
        <v>21</v>
      </c>
      <c r="AA522" s="0" t="n">
        <v>21</v>
      </c>
      <c r="AB522" s="0" t="s">
        <v>391</v>
      </c>
      <c r="AD522" s="0" t="n">
        <v>12</v>
      </c>
      <c r="AE522" s="0" t="s">
        <v>96</v>
      </c>
      <c r="AH522" s="0" t="n">
        <v>5</v>
      </c>
      <c r="AJ522" s="0" t="n">
        <v>10</v>
      </c>
      <c r="AP522" s="0" t="n">
        <v>650000</v>
      </c>
      <c r="DB522" s="0" t="str">
        <f aca="false">IF($A522="","",IF($A522&lt;&gt;21,"対象外",IF($AE522&amp;""="00000000","在職",IF($AE522&amp;""=設定!$C$4,"4/1喪失","その他喪失"))))</f>
        <v>4/1喪失</v>
      </c>
    </row>
    <row r="523" customFormat="false" ht="15" hidden="false" customHeight="false" outlineLevel="0" collapsed="false">
      <c r="A523" s="0" t="n">
        <v>21</v>
      </c>
      <c r="AA523" s="0" t="n">
        <v>21</v>
      </c>
      <c r="AB523" s="0" t="s">
        <v>409</v>
      </c>
      <c r="AD523" s="0" t="n">
        <v>12</v>
      </c>
      <c r="AE523" s="0" t="s">
        <v>96</v>
      </c>
      <c r="AH523" s="0" t="n">
        <v>5</v>
      </c>
      <c r="AJ523" s="0" t="n">
        <v>30</v>
      </c>
      <c r="AP523" s="0" t="n">
        <v>500000</v>
      </c>
      <c r="DB523" s="0" t="str">
        <f aca="false">IF($A523="","",IF($A523&lt;&gt;21,"対象外",IF($AE523&amp;""="00000000","在職",IF($AE523&amp;""=設定!$C$4,"4/1喪失","その他喪失"))))</f>
        <v>4/1喪失</v>
      </c>
    </row>
    <row r="524" customFormat="false" ht="15" hidden="false" customHeight="false" outlineLevel="0" collapsed="false">
      <c r="A524" s="0" t="n">
        <v>21</v>
      </c>
      <c r="AA524" s="0" t="n">
        <v>21</v>
      </c>
      <c r="AB524" s="0" t="s">
        <v>451</v>
      </c>
      <c r="AD524" s="0" t="n">
        <v>12</v>
      </c>
      <c r="AE524" s="0" t="s">
        <v>442</v>
      </c>
      <c r="AH524" s="0" t="n">
        <v>11</v>
      </c>
      <c r="AJ524" s="0" t="n">
        <v>10</v>
      </c>
      <c r="AP524" s="0" t="n">
        <v>590000</v>
      </c>
      <c r="DB524" s="0" t="str">
        <f aca="false">IF($A524="","",IF($A524&lt;&gt;21,"対象外",IF($AE524&amp;""="00000000","在職",IF($AE524&amp;""=設定!$C$4,"4/1喪失","その他喪失"))))</f>
        <v>その他喪失</v>
      </c>
    </row>
    <row r="525" customFormat="false" ht="15" hidden="false" customHeight="false" outlineLevel="0" collapsed="false">
      <c r="A525" s="0" t="n">
        <v>21</v>
      </c>
      <c r="AA525" s="0" t="n">
        <v>21</v>
      </c>
      <c r="AB525" s="0" t="s">
        <v>387</v>
      </c>
      <c r="AD525" s="0" t="n">
        <v>12</v>
      </c>
      <c r="AE525" s="0" t="s">
        <v>96</v>
      </c>
      <c r="AH525" s="0" t="n">
        <v>1</v>
      </c>
      <c r="AJ525" s="0" t="n">
        <v>10</v>
      </c>
      <c r="AP525" s="0" t="n">
        <v>470000</v>
      </c>
      <c r="DB525" s="0" t="str">
        <f aca="false">IF($A525="","",IF($A525&lt;&gt;21,"対象外",IF($AE525&amp;""="00000000","在職",IF($AE525&amp;""=設定!$C$4,"4/1喪失","その他喪失"))))</f>
        <v>4/1喪失</v>
      </c>
    </row>
    <row r="526" customFormat="false" ht="15" hidden="false" customHeight="false" outlineLevel="0" collapsed="false">
      <c r="A526" s="0" t="n">
        <v>21</v>
      </c>
      <c r="AA526" s="0" t="n">
        <v>21</v>
      </c>
      <c r="AB526" s="0" t="s">
        <v>390</v>
      </c>
      <c r="AD526" s="0" t="n">
        <v>12</v>
      </c>
      <c r="AE526" s="0" t="s">
        <v>96</v>
      </c>
      <c r="AH526" s="0" t="n">
        <v>4</v>
      </c>
      <c r="AJ526" s="0" t="n">
        <v>10</v>
      </c>
      <c r="AP526" s="0" t="n">
        <v>650000</v>
      </c>
      <c r="DB526" s="0" t="str">
        <f aca="false">IF($A526="","",IF($A526&lt;&gt;21,"対象外",IF($AE526&amp;""="00000000","在職",IF($AE526&amp;""=設定!$C$4,"4/1喪失","その他喪失"))))</f>
        <v>4/1喪失</v>
      </c>
    </row>
    <row r="527" customFormat="false" ht="15" hidden="false" customHeight="false" outlineLevel="0" collapsed="false">
      <c r="A527" s="0" t="n">
        <v>21</v>
      </c>
      <c r="AA527" s="0" t="n">
        <v>21</v>
      </c>
      <c r="AB527" s="0" t="s">
        <v>413</v>
      </c>
      <c r="AD527" s="0" t="n">
        <v>12</v>
      </c>
      <c r="AE527" s="0" t="s">
        <v>96</v>
      </c>
      <c r="AH527" s="0" t="n">
        <v>1</v>
      </c>
      <c r="AJ527" s="0" t="n">
        <v>10</v>
      </c>
      <c r="AP527" s="0" t="n">
        <v>710000</v>
      </c>
      <c r="DB527" s="0" t="str">
        <f aca="false">IF($A527="","",IF($A527&lt;&gt;21,"対象外",IF($AE527&amp;""="00000000","在職",IF($AE527&amp;""=設定!$C$4,"4/1喪失","その他喪失"))))</f>
        <v>4/1喪失</v>
      </c>
    </row>
    <row r="528" customFormat="false" ht="15" hidden="false" customHeight="false" outlineLevel="0" collapsed="false">
      <c r="A528" s="0" t="n">
        <v>21</v>
      </c>
      <c r="AA528" s="0" t="n">
        <v>21</v>
      </c>
      <c r="AB528" s="0" t="s">
        <v>387</v>
      </c>
      <c r="AD528" s="0" t="n">
        <v>12</v>
      </c>
      <c r="AE528" s="0" t="s">
        <v>303</v>
      </c>
      <c r="AH528" s="0" t="n">
        <v>5</v>
      </c>
      <c r="AJ528" s="0" t="n">
        <v>30</v>
      </c>
      <c r="AP528" s="0" t="n">
        <v>320000</v>
      </c>
      <c r="DB528" s="0" t="str">
        <f aca="false">IF($A528="","",IF($A528&lt;&gt;21,"対象外",IF($AE528&amp;""="00000000","在職",IF($AE528&amp;""=設定!$C$4,"4/1喪失","その他喪失"))))</f>
        <v>その他喪失</v>
      </c>
    </row>
    <row r="529" customFormat="false" ht="15" hidden="false" customHeight="false" outlineLevel="0" collapsed="false">
      <c r="A529" s="0" t="n">
        <v>21</v>
      </c>
      <c r="AA529" s="0" t="n">
        <v>21</v>
      </c>
      <c r="AB529" s="0" t="s">
        <v>387</v>
      </c>
      <c r="AD529" s="0" t="n">
        <v>12</v>
      </c>
      <c r="AE529" s="0" t="s">
        <v>467</v>
      </c>
      <c r="AH529" s="0" t="n">
        <v>0</v>
      </c>
      <c r="AJ529" s="0" t="n">
        <v>10</v>
      </c>
      <c r="AP529" s="0" t="n">
        <v>339700</v>
      </c>
      <c r="DB529" s="0" t="str">
        <f aca="false">IF($A529="","",IF($A529&lt;&gt;21,"対象外",IF($AE529&amp;""="00000000","在職",IF($AE529&amp;""=設定!$C$4,"4/1喪失","その他喪失"))))</f>
        <v>その他喪失</v>
      </c>
    </row>
    <row r="530" customFormat="false" ht="15" hidden="false" customHeight="false" outlineLevel="0" collapsed="false">
      <c r="A530" s="0" t="n">
        <v>21</v>
      </c>
      <c r="AA530" s="0" t="n">
        <v>21</v>
      </c>
      <c r="AB530" s="0" t="s">
        <v>417</v>
      </c>
      <c r="AD530" s="0" t="n">
        <v>11</v>
      </c>
      <c r="AE530" s="0" t="s">
        <v>96</v>
      </c>
      <c r="AH530" s="0" t="n">
        <v>3</v>
      </c>
      <c r="AJ530" s="0" t="n">
        <v>10</v>
      </c>
      <c r="AP530" s="0" t="n">
        <v>650000</v>
      </c>
      <c r="DB530" s="0" t="str">
        <f aca="false">IF($A530="","",IF($A530&lt;&gt;21,"対象外",IF($AE530&amp;""="00000000","在職",IF($AE530&amp;""=設定!$C$4,"4/1喪失","その他喪失"))))</f>
        <v>4/1喪失</v>
      </c>
    </row>
    <row r="531" customFormat="false" ht="15" hidden="false" customHeight="false" outlineLevel="0" collapsed="false">
      <c r="A531" s="0" t="n">
        <v>21</v>
      </c>
      <c r="AA531" s="0" t="n">
        <v>21</v>
      </c>
      <c r="AB531" s="0" t="s">
        <v>418</v>
      </c>
      <c r="AD531" s="0" t="n">
        <v>12</v>
      </c>
      <c r="AE531" s="0" t="s">
        <v>96</v>
      </c>
      <c r="AH531" s="0" t="n">
        <v>45</v>
      </c>
      <c r="AJ531" s="0" t="n">
        <v>74</v>
      </c>
      <c r="AP531" s="0" t="n">
        <v>650000</v>
      </c>
      <c r="DB531" s="0" t="str">
        <f aca="false">IF($A531="","",IF($A531&lt;&gt;21,"対象外",IF($AE531&amp;""="00000000","在職",IF($AE531&amp;""=設定!$C$4,"4/1喪失","その他喪失"))))</f>
        <v>4/1喪失</v>
      </c>
    </row>
    <row r="532" customFormat="false" ht="15" hidden="false" customHeight="false" outlineLevel="0" collapsed="false">
      <c r="A532" s="0" t="n">
        <v>21</v>
      </c>
      <c r="AA532" s="0" t="n">
        <v>21</v>
      </c>
      <c r="AB532" s="0" t="s">
        <v>415</v>
      </c>
      <c r="AD532" s="0" t="n">
        <v>12</v>
      </c>
      <c r="AE532" s="0" t="s">
        <v>96</v>
      </c>
      <c r="AH532" s="0" t="n">
        <v>14</v>
      </c>
      <c r="AJ532" s="0" t="n">
        <v>10</v>
      </c>
      <c r="AP532" s="0" t="n">
        <v>650000</v>
      </c>
      <c r="DB532" s="0" t="str">
        <f aca="false">IF($A532="","",IF($A532&lt;&gt;21,"対象外",IF($AE532&amp;""="00000000","在職",IF($AE532&amp;""=設定!$C$4,"4/1喪失","その他喪失"))))</f>
        <v>4/1喪失</v>
      </c>
    </row>
    <row r="533" customFormat="false" ht="15" hidden="false" customHeight="false" outlineLevel="0" collapsed="false">
      <c r="A533" s="0" t="n">
        <v>21</v>
      </c>
      <c r="AA533" s="0" t="n">
        <v>21</v>
      </c>
      <c r="AB533" s="0" t="s">
        <v>413</v>
      </c>
      <c r="AD533" s="0" t="n">
        <v>12</v>
      </c>
      <c r="AE533" s="0" t="s">
        <v>96</v>
      </c>
      <c r="AH533" s="0" t="n">
        <v>1</v>
      </c>
      <c r="AJ533" s="0" t="n">
        <v>10</v>
      </c>
      <c r="AP533" s="0" t="n">
        <v>470000</v>
      </c>
      <c r="DB533" s="0" t="str">
        <f aca="false">IF($A533="","",IF($A533&lt;&gt;21,"対象外",IF($AE533&amp;""="00000000","在職",IF($AE533&amp;""=設定!$C$4,"4/1喪失","その他喪失"))))</f>
        <v>4/1喪失</v>
      </c>
    </row>
    <row r="534" customFormat="false" ht="15" hidden="false" customHeight="false" outlineLevel="0" collapsed="false">
      <c r="A534" s="0" t="n">
        <v>21</v>
      </c>
      <c r="AA534" s="0" t="n">
        <v>21</v>
      </c>
      <c r="AB534" s="0" t="s">
        <v>417</v>
      </c>
      <c r="AD534" s="0" t="n">
        <v>13</v>
      </c>
      <c r="AE534" s="0" t="s">
        <v>729</v>
      </c>
      <c r="AH534" s="0" t="n">
        <v>1</v>
      </c>
      <c r="AJ534" s="0" t="n">
        <v>10</v>
      </c>
      <c r="AP534" s="0" t="n">
        <v>415500</v>
      </c>
      <c r="DB534" s="0" t="str">
        <f aca="false">IF($A534="","",IF($A534&lt;&gt;21,"対象外",IF($AE534&amp;""="00000000","在職",IF($AE534&amp;""=設定!$C$4,"4/1喪失","その他喪失"))))</f>
        <v>その他喪失</v>
      </c>
    </row>
    <row r="535" customFormat="false" ht="15" hidden="false" customHeight="false" outlineLevel="0" collapsed="false">
      <c r="A535" s="0" t="n">
        <v>21</v>
      </c>
      <c r="AA535" s="0" t="n">
        <v>21</v>
      </c>
      <c r="AB535" s="0" t="s">
        <v>434</v>
      </c>
      <c r="AD535" s="0" t="n">
        <v>12</v>
      </c>
      <c r="AE535" s="0" t="s">
        <v>96</v>
      </c>
      <c r="AH535" s="0" t="n">
        <v>20</v>
      </c>
      <c r="AJ535" s="0" t="n">
        <v>10</v>
      </c>
      <c r="AP535" s="0" t="n">
        <v>590000</v>
      </c>
      <c r="DB535" s="0" t="str">
        <f aca="false">IF($A535="","",IF($A535&lt;&gt;21,"対象外",IF($AE535&amp;""="00000000","在職",IF($AE535&amp;""=設定!$C$4,"4/1喪失","その他喪失"))))</f>
        <v>4/1喪失</v>
      </c>
    </row>
    <row r="536" customFormat="false" ht="15" hidden="false" customHeight="false" outlineLevel="0" collapsed="false">
      <c r="A536" s="0" t="n">
        <v>21</v>
      </c>
      <c r="AA536" s="0" t="n">
        <v>21</v>
      </c>
      <c r="AB536" s="0" t="s">
        <v>784</v>
      </c>
      <c r="AD536" s="0" t="n">
        <v>12</v>
      </c>
      <c r="AE536" s="0" t="s">
        <v>785</v>
      </c>
      <c r="AH536" s="0" t="n">
        <v>0</v>
      </c>
      <c r="AJ536" s="0" t="n">
        <v>10</v>
      </c>
      <c r="AP536" s="0" t="n">
        <v>1</v>
      </c>
      <c r="DB536" s="0" t="str">
        <f aca="false">IF($A536="","",IF($A536&lt;&gt;21,"対象外",IF($AE536&amp;""="00000000","在職",IF($AE536&amp;""=設定!$C$4,"4/1喪失","その他喪失"))))</f>
        <v>その他喪失</v>
      </c>
    </row>
    <row r="537" customFormat="false" ht="15" hidden="false" customHeight="false" outlineLevel="0" collapsed="false">
      <c r="A537" s="0" t="n">
        <v>21</v>
      </c>
      <c r="AA537" s="0" t="n">
        <v>21</v>
      </c>
      <c r="AB537" s="0" t="s">
        <v>409</v>
      </c>
      <c r="AD537" s="0" t="n">
        <v>12</v>
      </c>
      <c r="AE537" s="0" t="s">
        <v>786</v>
      </c>
      <c r="AH537" s="0" t="n">
        <v>1</v>
      </c>
      <c r="AJ537" s="0" t="n">
        <v>10</v>
      </c>
      <c r="AP537" s="0" t="n">
        <v>410000</v>
      </c>
      <c r="DB537" s="0" t="str">
        <f aca="false">IF($A537="","",IF($A537&lt;&gt;21,"対象外",IF($AE537&amp;""="00000000","在職",IF($AE537&amp;""=設定!$C$4,"4/1喪失","その他喪失"))))</f>
        <v>その他喪失</v>
      </c>
    </row>
    <row r="538" customFormat="false" ht="15" hidden="false" customHeight="false" outlineLevel="0" collapsed="false">
      <c r="A538" s="0" t="n">
        <v>21</v>
      </c>
      <c r="AA538" s="0" t="n">
        <v>21</v>
      </c>
      <c r="AB538" s="0" t="s">
        <v>413</v>
      </c>
      <c r="AD538" s="0" t="n">
        <v>12</v>
      </c>
      <c r="AE538" s="0" t="s">
        <v>414</v>
      </c>
      <c r="AH538" s="0" t="n">
        <v>1</v>
      </c>
      <c r="AJ538" s="0" t="n">
        <v>10</v>
      </c>
      <c r="AP538" s="0" t="n">
        <v>410000</v>
      </c>
      <c r="DB538" s="0" t="str">
        <f aca="false">IF($A538="","",IF($A538&lt;&gt;21,"対象外",IF($AE538&amp;""="00000000","在職",IF($AE538&amp;""=設定!$C$4,"4/1喪失","その他喪失"))))</f>
        <v>その他喪失</v>
      </c>
    </row>
    <row r="539" customFormat="false" ht="15" hidden="false" customHeight="false" outlineLevel="0" collapsed="false">
      <c r="A539" s="0" t="n">
        <v>21</v>
      </c>
      <c r="AA539" s="0" t="n">
        <v>21</v>
      </c>
      <c r="AB539" s="0" t="s">
        <v>787</v>
      </c>
      <c r="AD539" s="0" t="n">
        <v>12</v>
      </c>
      <c r="AE539" s="0" t="s">
        <v>788</v>
      </c>
      <c r="AH539" s="0" t="n">
        <v>1</v>
      </c>
      <c r="AJ539" s="0" t="n">
        <v>10</v>
      </c>
      <c r="AP539" s="0" t="n">
        <v>650000</v>
      </c>
      <c r="DB539" s="0" t="str">
        <f aca="false">IF($A539="","",IF($A539&lt;&gt;21,"対象外",IF($AE539&amp;""="00000000","在職",IF($AE539&amp;""=設定!$C$4,"4/1喪失","その他喪失"))))</f>
        <v>その他喪失</v>
      </c>
    </row>
    <row r="540" customFormat="false" ht="15" hidden="false" customHeight="false" outlineLevel="0" collapsed="false">
      <c r="A540" s="0" t="n">
        <v>21</v>
      </c>
      <c r="AA540" s="0" t="n">
        <v>21</v>
      </c>
      <c r="AB540" s="0" t="s">
        <v>789</v>
      </c>
      <c r="AD540" s="0" t="n">
        <v>12</v>
      </c>
      <c r="AE540" s="0" t="s">
        <v>460</v>
      </c>
      <c r="AH540" s="0" t="n">
        <v>0</v>
      </c>
      <c r="AJ540" s="0" t="n">
        <v>10</v>
      </c>
      <c r="AP540" s="0" t="n">
        <v>1033981</v>
      </c>
      <c r="DB540" s="0" t="str">
        <f aca="false">IF($A540="","",IF($A540&lt;&gt;21,"対象外",IF($AE540&amp;""="00000000","在職",IF($AE540&amp;""=設定!$C$4,"4/1喪失","その他喪失"))))</f>
        <v>その他喪失</v>
      </c>
    </row>
    <row r="541" customFormat="false" ht="15" hidden="false" customHeight="false" outlineLevel="0" collapsed="false">
      <c r="A541" s="0" t="n">
        <v>21</v>
      </c>
      <c r="AA541" s="0" t="n">
        <v>21</v>
      </c>
      <c r="AB541" s="0" t="s">
        <v>790</v>
      </c>
      <c r="AD541" s="0" t="n">
        <v>12</v>
      </c>
      <c r="AE541" s="0" t="s">
        <v>791</v>
      </c>
      <c r="AH541" s="0" t="n">
        <v>20</v>
      </c>
      <c r="AJ541" s="0" t="n">
        <v>10</v>
      </c>
      <c r="AP541" s="0" t="n">
        <v>1210000</v>
      </c>
      <c r="DB541" s="0" t="str">
        <f aca="false">IF($A541="","",IF($A541&lt;&gt;21,"対象外",IF($AE541&amp;""="00000000","在職",IF($AE541&amp;""=設定!$C$4,"4/1喪失","その他喪失"))))</f>
        <v>その他喪失</v>
      </c>
    </row>
    <row r="542" customFormat="false" ht="15" hidden="false" customHeight="false" outlineLevel="0" collapsed="false">
      <c r="A542" s="0" t="n">
        <v>21</v>
      </c>
      <c r="AA542" s="0" t="n">
        <v>21</v>
      </c>
      <c r="AB542" s="0" t="s">
        <v>409</v>
      </c>
      <c r="AD542" s="0" t="n">
        <v>12</v>
      </c>
      <c r="AE542" s="0" t="s">
        <v>96</v>
      </c>
      <c r="AH542" s="0" t="n">
        <v>1</v>
      </c>
      <c r="AJ542" s="0" t="n">
        <v>10</v>
      </c>
      <c r="AP542" s="0" t="n">
        <v>590000</v>
      </c>
      <c r="DB542" s="0" t="str">
        <f aca="false">IF($A542="","",IF($A542&lt;&gt;21,"対象外",IF($AE542&amp;""="00000000","在職",IF($AE542&amp;""=設定!$C$4,"4/1喪失","その他喪失"))))</f>
        <v>4/1喪失</v>
      </c>
    </row>
    <row r="543" customFormat="false" ht="15" hidden="false" customHeight="false" outlineLevel="0" collapsed="false">
      <c r="A543" s="0" t="n">
        <v>21</v>
      </c>
      <c r="AA543" s="0" t="n">
        <v>21</v>
      </c>
      <c r="AB543" s="0" t="s">
        <v>665</v>
      </c>
      <c r="AD543" s="0" t="n">
        <v>12</v>
      </c>
      <c r="AE543" s="0" t="s">
        <v>792</v>
      </c>
      <c r="AH543" s="0" t="n">
        <v>20</v>
      </c>
      <c r="AJ543" s="0" t="n">
        <v>10</v>
      </c>
      <c r="AP543" s="0" t="n">
        <v>1090000</v>
      </c>
      <c r="DB543" s="0" t="str">
        <f aca="false">IF($A543="","",IF($A543&lt;&gt;21,"対象外",IF($AE543&amp;""="00000000","在職",IF($AE543&amp;""=設定!$C$4,"4/1喪失","その他喪失"))))</f>
        <v>その他喪失</v>
      </c>
    </row>
    <row r="544" customFormat="false" ht="15" hidden="false" customHeight="false" outlineLevel="0" collapsed="false">
      <c r="A544" s="0" t="n">
        <v>21</v>
      </c>
      <c r="AA544" s="0" t="n">
        <v>21</v>
      </c>
      <c r="AB544" s="0" t="s">
        <v>793</v>
      </c>
      <c r="AD544" s="0" t="n">
        <v>12</v>
      </c>
      <c r="AE544" s="0" t="s">
        <v>794</v>
      </c>
      <c r="AH544" s="0" t="n">
        <v>1</v>
      </c>
      <c r="AJ544" s="0" t="n">
        <v>10</v>
      </c>
      <c r="AP544" s="0" t="n">
        <v>560000</v>
      </c>
      <c r="DB544" s="0" t="str">
        <f aca="false">IF($A544="","",IF($A544&lt;&gt;21,"対象外",IF($AE544&amp;""="00000000","在職",IF($AE544&amp;""=設定!$C$4,"4/1喪失","その他喪失"))))</f>
        <v>その他喪失</v>
      </c>
    </row>
    <row r="545" customFormat="false" ht="15" hidden="false" customHeight="false" outlineLevel="0" collapsed="false">
      <c r="A545" s="0" t="n">
        <v>21</v>
      </c>
      <c r="AA545" s="0" t="n">
        <v>21</v>
      </c>
      <c r="AB545" s="0" t="s">
        <v>413</v>
      </c>
      <c r="AD545" s="0" t="n">
        <v>15</v>
      </c>
      <c r="AE545" s="0" t="s">
        <v>795</v>
      </c>
      <c r="AH545" s="0" t="n">
        <v>4</v>
      </c>
      <c r="AJ545" s="0" t="n">
        <v>10</v>
      </c>
      <c r="AP545" s="0" t="n">
        <v>384200</v>
      </c>
      <c r="DB545" s="0" t="str">
        <f aca="false">IF($A545="","",IF($A545&lt;&gt;21,"対象外",IF($AE545&amp;""="00000000","在職",IF($AE545&amp;""=設定!$C$4,"4/1喪失","その他喪失"))))</f>
        <v>その他喪失</v>
      </c>
    </row>
    <row r="546" customFormat="false" ht="15" hidden="false" customHeight="false" outlineLevel="0" collapsed="false">
      <c r="A546" s="0" t="n">
        <v>21</v>
      </c>
      <c r="AA546" s="0" t="n">
        <v>21</v>
      </c>
      <c r="AB546" s="0" t="s">
        <v>413</v>
      </c>
      <c r="AD546" s="0" t="n">
        <v>15</v>
      </c>
      <c r="AE546" s="0" t="s">
        <v>796</v>
      </c>
      <c r="AH546" s="0" t="n">
        <v>20</v>
      </c>
      <c r="AJ546" s="0" t="n">
        <v>10</v>
      </c>
      <c r="AP546" s="0" t="n">
        <v>590000</v>
      </c>
      <c r="DB546" s="0" t="str">
        <f aca="false">IF($A546="","",IF($A546&lt;&gt;21,"対象外",IF($AE546&amp;""="00000000","在職",IF($AE546&amp;""=設定!$C$4,"4/1喪失","その他喪失"))))</f>
        <v>その他喪失</v>
      </c>
    </row>
    <row r="547" customFormat="false" ht="15" hidden="false" customHeight="false" outlineLevel="0" collapsed="false">
      <c r="A547" s="0" t="n">
        <v>21</v>
      </c>
      <c r="AA547" s="0" t="n">
        <v>21</v>
      </c>
      <c r="AB547" s="0" t="s">
        <v>459</v>
      </c>
      <c r="AD547" s="0" t="n">
        <v>12</v>
      </c>
      <c r="AE547" s="0" t="s">
        <v>439</v>
      </c>
      <c r="AH547" s="0" t="n">
        <v>0</v>
      </c>
      <c r="AJ547" s="0" t="n">
        <v>10</v>
      </c>
      <c r="AP547" s="0" t="n">
        <v>384117</v>
      </c>
      <c r="DB547" s="0" t="str">
        <f aca="false">IF($A547="","",IF($A547&lt;&gt;21,"対象外",IF($AE547&amp;""="00000000","在職",IF($AE547&amp;""=設定!$C$4,"4/1喪失","その他喪失"))))</f>
        <v>その他喪失</v>
      </c>
    </row>
    <row r="548" customFormat="false" ht="15" hidden="false" customHeight="false" outlineLevel="0" collapsed="false">
      <c r="A548" s="0" t="n">
        <v>21</v>
      </c>
      <c r="AA548" s="0" t="n">
        <v>21</v>
      </c>
      <c r="AB548" s="0" t="s">
        <v>391</v>
      </c>
      <c r="AD548" s="0" t="n">
        <v>12</v>
      </c>
      <c r="AE548" s="0" t="s">
        <v>96</v>
      </c>
      <c r="AH548" s="0" t="n">
        <v>5</v>
      </c>
      <c r="AJ548" s="0" t="n">
        <v>10</v>
      </c>
      <c r="AP548" s="0" t="n">
        <v>650000</v>
      </c>
      <c r="DB548" s="0" t="str">
        <f aca="false">IF($A548="","",IF($A548&lt;&gt;21,"対象外",IF($AE548&amp;""="00000000","在職",IF($AE548&amp;""=設定!$C$4,"4/1喪失","その他喪失"))))</f>
        <v>4/1喪失</v>
      </c>
    </row>
    <row r="549" customFormat="false" ht="15" hidden="false" customHeight="false" outlineLevel="0" collapsed="false">
      <c r="A549" s="0" t="n">
        <v>21</v>
      </c>
      <c r="AA549" s="0" t="n">
        <v>21</v>
      </c>
      <c r="AB549" s="0" t="s">
        <v>413</v>
      </c>
      <c r="AD549" s="0" t="n">
        <v>12</v>
      </c>
      <c r="AE549" s="0" t="s">
        <v>96</v>
      </c>
      <c r="AH549" s="0" t="n">
        <v>5</v>
      </c>
      <c r="AJ549" s="0" t="n">
        <v>10</v>
      </c>
      <c r="AP549" s="0" t="n">
        <v>710000</v>
      </c>
      <c r="DB549" s="0" t="str">
        <f aca="false">IF($A549="","",IF($A549&lt;&gt;21,"対象外",IF($AE549&amp;""="00000000","在職",IF($AE549&amp;""=設定!$C$4,"4/1喪失","その他喪失"))))</f>
        <v>4/1喪失</v>
      </c>
    </row>
    <row r="550" customFormat="false" ht="15" hidden="false" customHeight="false" outlineLevel="0" collapsed="false">
      <c r="A550" s="0" t="n">
        <v>21</v>
      </c>
      <c r="AA550" s="0" t="n">
        <v>21</v>
      </c>
      <c r="AB550" s="0" t="s">
        <v>387</v>
      </c>
      <c r="AD550" s="0" t="n">
        <v>12</v>
      </c>
      <c r="AE550" s="0" t="s">
        <v>797</v>
      </c>
      <c r="AH550" s="0" t="n">
        <v>0</v>
      </c>
      <c r="AJ550" s="0" t="n">
        <v>10</v>
      </c>
      <c r="AP550" s="0" t="n">
        <v>369479</v>
      </c>
      <c r="DB550" s="0" t="str">
        <f aca="false">IF($A550="","",IF($A550&lt;&gt;21,"対象外",IF($AE550&amp;""="00000000","在職",IF($AE550&amp;""=設定!$C$4,"4/1喪失","その他喪失"))))</f>
        <v>その他喪失</v>
      </c>
    </row>
    <row r="551" customFormat="false" ht="15" hidden="false" customHeight="false" outlineLevel="0" collapsed="false">
      <c r="A551" s="0" t="n">
        <v>21</v>
      </c>
      <c r="AA551" s="0" t="n">
        <v>21</v>
      </c>
      <c r="AB551" s="0" t="s">
        <v>798</v>
      </c>
      <c r="AD551" s="0" t="n">
        <v>12</v>
      </c>
      <c r="AE551" s="0" t="s">
        <v>744</v>
      </c>
      <c r="AH551" s="0" t="n">
        <v>20</v>
      </c>
      <c r="AJ551" s="0" t="n">
        <v>10</v>
      </c>
      <c r="AP551" s="0" t="n">
        <v>1270000</v>
      </c>
      <c r="DB551" s="0" t="str">
        <f aca="false">IF($A551="","",IF($A551&lt;&gt;21,"対象外",IF($AE551&amp;""="00000000","在職",IF($AE551&amp;""=設定!$C$4,"4/1喪失","その他喪失"))))</f>
        <v>その他喪失</v>
      </c>
    </row>
    <row r="552" customFormat="false" ht="15" hidden="false" customHeight="false" outlineLevel="0" collapsed="false">
      <c r="A552" s="0" t="n">
        <v>21</v>
      </c>
      <c r="AA552" s="0" t="n">
        <v>21</v>
      </c>
      <c r="AB552" s="0" t="s">
        <v>413</v>
      </c>
      <c r="AD552" s="0" t="n">
        <v>12</v>
      </c>
      <c r="AE552" s="0" t="s">
        <v>96</v>
      </c>
      <c r="AH552" s="0" t="n">
        <v>1</v>
      </c>
      <c r="AJ552" s="0" t="n">
        <v>10</v>
      </c>
      <c r="AP552" s="0" t="n">
        <v>710000</v>
      </c>
      <c r="DB552" s="0" t="str">
        <f aca="false">IF($A552="","",IF($A552&lt;&gt;21,"対象外",IF($AE552&amp;""="00000000","在職",IF($AE552&amp;""=設定!$C$4,"4/1喪失","その他喪失"))))</f>
        <v>4/1喪失</v>
      </c>
    </row>
    <row r="553" customFormat="false" ht="15" hidden="false" customHeight="false" outlineLevel="0" collapsed="false">
      <c r="A553" s="0" t="n">
        <v>21</v>
      </c>
      <c r="AA553" s="0" t="n">
        <v>21</v>
      </c>
      <c r="AB553" s="0" t="s">
        <v>410</v>
      </c>
      <c r="AD553" s="0" t="n">
        <v>12</v>
      </c>
      <c r="AE553" s="0" t="s">
        <v>799</v>
      </c>
      <c r="AH553" s="0" t="n">
        <v>1</v>
      </c>
      <c r="AJ553" s="0" t="n">
        <v>10</v>
      </c>
      <c r="AP553" s="0" t="n">
        <v>280000</v>
      </c>
      <c r="DB553" s="0" t="str">
        <f aca="false">IF($A553="","",IF($A553&lt;&gt;21,"対象外",IF($AE553&amp;""="00000000","在職",IF($AE553&amp;""=設定!$C$4,"4/1喪失","その他喪失"))))</f>
        <v>その他喪失</v>
      </c>
    </row>
    <row r="554" customFormat="false" ht="15" hidden="false" customHeight="false" outlineLevel="0" collapsed="false">
      <c r="A554" s="0" t="n">
        <v>21</v>
      </c>
      <c r="AA554" s="0" t="n">
        <v>21</v>
      </c>
      <c r="AB554" s="0" t="s">
        <v>466</v>
      </c>
      <c r="AD554" s="0" t="n">
        <v>12</v>
      </c>
      <c r="AE554" s="0" t="s">
        <v>393</v>
      </c>
      <c r="AH554" s="0" t="n">
        <v>0</v>
      </c>
      <c r="AJ554" s="0" t="n">
        <v>10</v>
      </c>
      <c r="AP554" s="0" t="n">
        <v>412800</v>
      </c>
      <c r="DB554" s="0" t="str">
        <f aca="false">IF($A554="","",IF($A554&lt;&gt;21,"対象外",IF($AE554&amp;""="00000000","在職",IF($AE554&amp;""=設定!$C$4,"4/1喪失","その他喪失"))))</f>
        <v>その他喪失</v>
      </c>
    </row>
    <row r="555" customFormat="false" ht="15" hidden="false" customHeight="false" outlineLevel="0" collapsed="false">
      <c r="A555" s="0" t="n">
        <v>21</v>
      </c>
      <c r="AA555" s="0" t="n">
        <v>21</v>
      </c>
      <c r="AB555" s="0" t="s">
        <v>466</v>
      </c>
      <c r="AD555" s="0" t="n">
        <v>12</v>
      </c>
      <c r="AE555" s="0" t="s">
        <v>393</v>
      </c>
      <c r="AH555" s="0" t="n">
        <v>0</v>
      </c>
      <c r="AJ555" s="0" t="n">
        <v>10</v>
      </c>
      <c r="AP555" s="0" t="n">
        <v>413800</v>
      </c>
      <c r="DB555" s="0" t="str">
        <f aca="false">IF($A555="","",IF($A555&lt;&gt;21,"対象外",IF($AE555&amp;""="00000000","在職",IF($AE555&amp;""=設定!$C$4,"4/1喪失","その他喪失"))))</f>
        <v>その他喪失</v>
      </c>
    </row>
    <row r="556" customFormat="false" ht="15" hidden="false" customHeight="false" outlineLevel="0" collapsed="false">
      <c r="A556" s="0" t="n">
        <v>21</v>
      </c>
      <c r="AA556" s="0" t="n">
        <v>21</v>
      </c>
      <c r="AB556" s="0" t="s">
        <v>394</v>
      </c>
      <c r="AD556" s="0" t="n">
        <v>12</v>
      </c>
      <c r="AE556" s="0" t="s">
        <v>96</v>
      </c>
      <c r="AH556" s="0" t="n">
        <v>1</v>
      </c>
      <c r="AJ556" s="0" t="n">
        <v>10</v>
      </c>
      <c r="AP556" s="0" t="n">
        <v>560000</v>
      </c>
      <c r="DB556" s="0" t="str">
        <f aca="false">IF($A556="","",IF($A556&lt;&gt;21,"対象外",IF($AE556&amp;""="00000000","在職",IF($AE556&amp;""=設定!$C$4,"4/1喪失","その他喪失"))))</f>
        <v>4/1喪失</v>
      </c>
    </row>
    <row r="557" customFormat="false" ht="15" hidden="false" customHeight="false" outlineLevel="0" collapsed="false">
      <c r="A557" s="0" t="n">
        <v>21</v>
      </c>
      <c r="AA557" s="0" t="n">
        <v>21</v>
      </c>
      <c r="AB557" s="0" t="s">
        <v>431</v>
      </c>
      <c r="AD557" s="0" t="n">
        <v>12</v>
      </c>
      <c r="AE557" s="0" t="s">
        <v>494</v>
      </c>
      <c r="AH557" s="0" t="n">
        <v>1</v>
      </c>
      <c r="AJ557" s="0" t="n">
        <v>10</v>
      </c>
      <c r="AP557" s="0" t="n">
        <v>470000</v>
      </c>
      <c r="DB557" s="0" t="str">
        <f aca="false">IF($A557="","",IF($A557&lt;&gt;21,"対象外",IF($AE557&amp;""="00000000","在職",IF($AE557&amp;""=設定!$C$4,"4/1喪失","その他喪失"))))</f>
        <v>その他喪失</v>
      </c>
    </row>
    <row r="558" customFormat="false" ht="15" hidden="false" customHeight="false" outlineLevel="0" collapsed="false">
      <c r="A558" s="0" t="n">
        <v>21</v>
      </c>
      <c r="AA558" s="0" t="n">
        <v>21</v>
      </c>
      <c r="AB558" s="0" t="s">
        <v>800</v>
      </c>
      <c r="AD558" s="0" t="n">
        <v>12</v>
      </c>
      <c r="AE558" s="0" t="s">
        <v>463</v>
      </c>
      <c r="AH558" s="0" t="n">
        <v>0</v>
      </c>
      <c r="AJ558" s="0" t="n">
        <v>10</v>
      </c>
      <c r="AP558" s="0" t="n">
        <v>280110</v>
      </c>
      <c r="DB558" s="0" t="str">
        <f aca="false">IF($A558="","",IF($A558&lt;&gt;21,"対象外",IF($AE558&amp;""="00000000","在職",IF($AE558&amp;""=設定!$C$4,"4/1喪失","その他喪失"))))</f>
        <v>その他喪失</v>
      </c>
    </row>
    <row r="559" customFormat="false" ht="15" hidden="false" customHeight="false" outlineLevel="0" collapsed="false">
      <c r="A559" s="0" t="n">
        <v>21</v>
      </c>
      <c r="AA559" s="0" t="n">
        <v>21</v>
      </c>
      <c r="AB559" s="0" t="s">
        <v>453</v>
      </c>
      <c r="AD559" s="0" t="n">
        <v>12</v>
      </c>
      <c r="AE559" s="0" t="s">
        <v>459</v>
      </c>
      <c r="AH559" s="0" t="n">
        <v>0</v>
      </c>
      <c r="AJ559" s="0" t="n">
        <v>10</v>
      </c>
      <c r="AP559" s="0" t="n">
        <v>576699</v>
      </c>
      <c r="DB559" s="0" t="str">
        <f aca="false">IF($A559="","",IF($A559&lt;&gt;21,"対象外",IF($AE559&amp;""="00000000","在職",IF($AE559&amp;""=設定!$C$4,"4/1喪失","その他喪失"))))</f>
        <v>その他喪失</v>
      </c>
    </row>
    <row r="560" customFormat="false" ht="15" hidden="false" customHeight="false" outlineLevel="0" collapsed="false">
      <c r="A560" s="0" t="n">
        <v>21</v>
      </c>
      <c r="AA560" s="0" t="n">
        <v>24</v>
      </c>
      <c r="AB560" s="0" t="s">
        <v>646</v>
      </c>
      <c r="AD560" s="0" t="n">
        <v>12</v>
      </c>
      <c r="AE560" s="0" t="s">
        <v>463</v>
      </c>
      <c r="AH560" s="0" t="n">
        <v>0</v>
      </c>
      <c r="AJ560" s="0" t="n">
        <v>10</v>
      </c>
      <c r="AP560" s="0" t="n">
        <v>173250</v>
      </c>
      <c r="DB560" s="0" t="str">
        <f aca="false">IF($A560="","",IF($A560&lt;&gt;21,"対象外",IF($AE560&amp;""="00000000","在職",IF($AE560&amp;""=設定!$C$4,"4/1喪失","その他喪失"))))</f>
        <v>その他喪失</v>
      </c>
    </row>
    <row r="561" customFormat="false" ht="15" hidden="false" customHeight="false" outlineLevel="0" collapsed="false">
      <c r="A561" s="0" t="n">
        <v>21</v>
      </c>
      <c r="AA561" s="0" t="n">
        <v>21</v>
      </c>
      <c r="AB561" s="0" t="s">
        <v>459</v>
      </c>
      <c r="AD561" s="0" t="n">
        <v>12</v>
      </c>
      <c r="AE561" s="0" t="s">
        <v>463</v>
      </c>
      <c r="AH561" s="0" t="n">
        <v>0</v>
      </c>
      <c r="AJ561" s="0" t="n">
        <v>10</v>
      </c>
      <c r="AP561" s="0" t="n">
        <v>1</v>
      </c>
      <c r="DB561" s="0" t="str">
        <f aca="false">IF($A561="","",IF($A561&lt;&gt;21,"対象外",IF($AE561&amp;""="00000000","在職",IF($AE561&amp;""=設定!$C$4,"4/1喪失","その他喪失"))))</f>
        <v>その他喪失</v>
      </c>
    </row>
    <row r="562" customFormat="false" ht="15" hidden="false" customHeight="false" outlineLevel="0" collapsed="false">
      <c r="A562" s="0" t="n">
        <v>21</v>
      </c>
      <c r="AA562" s="0" t="n">
        <v>21</v>
      </c>
      <c r="AB562" s="0" t="s">
        <v>716</v>
      </c>
      <c r="AD562" s="0" t="n">
        <v>12</v>
      </c>
      <c r="AE562" s="0" t="s">
        <v>463</v>
      </c>
      <c r="AH562" s="0" t="n">
        <v>0</v>
      </c>
      <c r="AJ562" s="0" t="n">
        <v>10</v>
      </c>
      <c r="AP562" s="0" t="n">
        <v>1</v>
      </c>
      <c r="DB562" s="0" t="str">
        <f aca="false">IF($A562="","",IF($A562&lt;&gt;21,"対象外",IF($AE562&amp;""="00000000","在職",IF($AE562&amp;""=設定!$C$4,"4/1喪失","その他喪失"))))</f>
        <v>その他喪失</v>
      </c>
    </row>
    <row r="563" customFormat="false" ht="15" hidden="false" customHeight="false" outlineLevel="0" collapsed="false">
      <c r="A563" s="0" t="n">
        <v>31</v>
      </c>
      <c r="AA563" s="0" t="n">
        <v>21</v>
      </c>
      <c r="AB563" s="0" t="s">
        <v>801</v>
      </c>
      <c r="AD563" s="0" t="n">
        <v>12</v>
      </c>
      <c r="AE563" s="0" t="s">
        <v>500</v>
      </c>
      <c r="AH563" s="0" t="n">
        <v>1</v>
      </c>
      <c r="AJ563" s="0" t="n">
        <v>41</v>
      </c>
      <c r="AP563" s="0" t="n">
        <v>126000</v>
      </c>
      <c r="DB563" s="0" t="str">
        <f aca="false">IF($A563="","",IF($A563&lt;&gt;21,"対象外",IF($AE563&amp;""="00000000","在職",IF($AE563&amp;""=設定!$C$4,"4/1喪失","その他喪失"))))</f>
        <v>対象外</v>
      </c>
    </row>
    <row r="564" customFormat="false" ht="15" hidden="false" customHeight="false" outlineLevel="0" collapsed="false">
      <c r="A564" s="0" t="n">
        <v>21</v>
      </c>
      <c r="AA564" s="0" t="n">
        <v>21</v>
      </c>
      <c r="AB564" s="0" t="s">
        <v>802</v>
      </c>
      <c r="AD564" s="0" t="n">
        <v>12</v>
      </c>
      <c r="AE564" s="0" t="s">
        <v>463</v>
      </c>
      <c r="AH564" s="0" t="n">
        <v>0</v>
      </c>
      <c r="AJ564" s="0" t="n">
        <v>10</v>
      </c>
      <c r="AP564" s="0" t="n">
        <v>1</v>
      </c>
      <c r="DB564" s="0" t="str">
        <f aca="false">IF($A564="","",IF($A564&lt;&gt;21,"対象外",IF($AE564&amp;""="00000000","在職",IF($AE564&amp;""=設定!$C$4,"4/1喪失","その他喪失"))))</f>
        <v>その他喪失</v>
      </c>
    </row>
    <row r="565" customFormat="false" ht="15" hidden="false" customHeight="false" outlineLevel="0" collapsed="false">
      <c r="A565" s="0" t="n">
        <v>21</v>
      </c>
      <c r="AA565" s="0" t="n">
        <v>21</v>
      </c>
      <c r="AB565" s="0" t="s">
        <v>451</v>
      </c>
      <c r="AD565" s="0" t="n">
        <v>12</v>
      </c>
      <c r="AE565" s="0" t="s">
        <v>463</v>
      </c>
      <c r="AH565" s="0" t="n">
        <v>0</v>
      </c>
      <c r="AJ565" s="0" t="n">
        <v>10</v>
      </c>
      <c r="AP565" s="0" t="n">
        <v>1</v>
      </c>
      <c r="DB565" s="0" t="str">
        <f aca="false">IF($A565="","",IF($A565&lt;&gt;21,"対象外",IF($AE565&amp;""="00000000","在職",IF($AE565&amp;""=設定!$C$4,"4/1喪失","その他喪失"))))</f>
        <v>その他喪失</v>
      </c>
    </row>
    <row r="566" customFormat="false" ht="15" hidden="false" customHeight="false" outlineLevel="0" collapsed="false">
      <c r="A566" s="0" t="n">
        <v>31</v>
      </c>
      <c r="AA566" s="0" t="n">
        <v>21</v>
      </c>
      <c r="AB566" s="0" t="s">
        <v>496</v>
      </c>
      <c r="AD566" s="0" t="n">
        <v>12</v>
      </c>
      <c r="AE566" s="0" t="s">
        <v>477</v>
      </c>
      <c r="AH566" s="0" t="n">
        <v>20</v>
      </c>
      <c r="AJ566" s="0" t="n">
        <v>41</v>
      </c>
      <c r="AP566" s="0" t="n">
        <v>240000</v>
      </c>
      <c r="DB566" s="0" t="str">
        <f aca="false">IF($A566="","",IF($A566&lt;&gt;21,"対象外",IF($AE566&amp;""="00000000","在職",IF($AE566&amp;""=設定!$C$4,"4/1喪失","その他喪失"))))</f>
        <v>対象外</v>
      </c>
    </row>
    <row r="567" customFormat="false" ht="15" hidden="false" customHeight="false" outlineLevel="0" collapsed="false">
      <c r="A567" s="0" t="n">
        <v>21</v>
      </c>
      <c r="AA567" s="0" t="n">
        <v>24</v>
      </c>
      <c r="AB567" s="0" t="s">
        <v>646</v>
      </c>
      <c r="AD567" s="0" t="n">
        <v>12</v>
      </c>
      <c r="AE567" s="0" t="s">
        <v>463</v>
      </c>
      <c r="AH567" s="0" t="n">
        <v>0</v>
      </c>
      <c r="AJ567" s="0" t="n">
        <v>10</v>
      </c>
      <c r="AP567" s="0" t="n">
        <v>142695</v>
      </c>
      <c r="DB567" s="0" t="str">
        <f aca="false">IF($A567="","",IF($A567&lt;&gt;21,"対象外",IF($AE567&amp;""="00000000","在職",IF($AE567&amp;""=設定!$C$4,"4/1喪失","その他喪失"))))</f>
        <v>その他喪失</v>
      </c>
    </row>
    <row r="568" customFormat="false" ht="15" hidden="false" customHeight="false" outlineLevel="0" collapsed="false">
      <c r="A568" s="0" t="n">
        <v>31</v>
      </c>
      <c r="AA568" s="0" t="n">
        <v>21</v>
      </c>
      <c r="AB568" s="0" t="s">
        <v>563</v>
      </c>
      <c r="AD568" s="0" t="n">
        <v>12</v>
      </c>
      <c r="AE568" s="0" t="s">
        <v>494</v>
      </c>
      <c r="AH568" s="0" t="n">
        <v>1</v>
      </c>
      <c r="AJ568" s="0" t="n">
        <v>41</v>
      </c>
      <c r="AP568" s="0" t="n">
        <v>126000</v>
      </c>
      <c r="DB568" s="0" t="str">
        <f aca="false">IF($A568="","",IF($A568&lt;&gt;21,"対象外",IF($AE568&amp;""="00000000","在職",IF($AE568&amp;""=設定!$C$4,"4/1喪失","その他喪失"))))</f>
        <v>対象外</v>
      </c>
    </row>
    <row r="569" customFormat="false" ht="15" hidden="false" customHeight="false" outlineLevel="0" collapsed="false">
      <c r="A569" s="0" t="n">
        <v>21</v>
      </c>
      <c r="AA569" s="0" t="n">
        <v>21</v>
      </c>
      <c r="AB569" s="0" t="s">
        <v>413</v>
      </c>
      <c r="AD569" s="0" t="n">
        <v>12</v>
      </c>
      <c r="AE569" s="0" t="s">
        <v>477</v>
      </c>
      <c r="AH569" s="0" t="n">
        <v>1</v>
      </c>
      <c r="AJ569" s="0" t="n">
        <v>10</v>
      </c>
      <c r="AP569" s="0" t="n">
        <v>530000</v>
      </c>
      <c r="DB569" s="0" t="str">
        <f aca="false">IF($A569="","",IF($A569&lt;&gt;21,"対象外",IF($AE569&amp;""="00000000","在職",IF($AE569&amp;""=設定!$C$4,"4/1喪失","その他喪失"))))</f>
        <v>その他喪失</v>
      </c>
    </row>
    <row r="570" customFormat="false" ht="15" hidden="false" customHeight="false" outlineLevel="0" collapsed="false">
      <c r="A570" s="0" t="n">
        <v>21</v>
      </c>
      <c r="AA570" s="0" t="n">
        <v>21</v>
      </c>
      <c r="AB570" s="0" t="s">
        <v>803</v>
      </c>
      <c r="AD570" s="0" t="n">
        <v>12</v>
      </c>
      <c r="AE570" s="0" t="s">
        <v>463</v>
      </c>
      <c r="AH570" s="0" t="n">
        <v>0</v>
      </c>
      <c r="AJ570" s="0" t="n">
        <v>10</v>
      </c>
      <c r="AP570" s="0" t="n">
        <v>1</v>
      </c>
      <c r="DB570" s="0" t="str">
        <f aca="false">IF($A570="","",IF($A570&lt;&gt;21,"対象外",IF($AE570&amp;""="00000000","在職",IF($AE570&amp;""=設定!$C$4,"4/1喪失","その他喪失"))))</f>
        <v>その他喪失</v>
      </c>
    </row>
    <row r="571" customFormat="false" ht="15" hidden="false" customHeight="false" outlineLevel="0" collapsed="false">
      <c r="A571" s="0" t="n">
        <v>21</v>
      </c>
      <c r="AA571" s="0" t="n">
        <v>21</v>
      </c>
      <c r="AB571" s="0" t="s">
        <v>603</v>
      </c>
      <c r="AD571" s="0" t="n">
        <v>12</v>
      </c>
      <c r="AE571" s="0" t="s">
        <v>463</v>
      </c>
      <c r="AH571" s="0" t="n">
        <v>0</v>
      </c>
      <c r="AJ571" s="0" t="n">
        <v>10</v>
      </c>
      <c r="AP571" s="0" t="n">
        <v>1</v>
      </c>
      <c r="DB571" s="0" t="str">
        <f aca="false">IF($A571="","",IF($A571&lt;&gt;21,"対象外",IF($AE571&amp;""="00000000","在職",IF($AE571&amp;""=設定!$C$4,"4/1喪失","その他喪失"))))</f>
        <v>その他喪失</v>
      </c>
    </row>
    <row r="572" customFormat="false" ht="15" hidden="false" customHeight="false" outlineLevel="0" collapsed="false">
      <c r="A572" s="0" t="n">
        <v>21</v>
      </c>
      <c r="AA572" s="0" t="n">
        <v>21</v>
      </c>
      <c r="AB572" s="0" t="s">
        <v>424</v>
      </c>
      <c r="AD572" s="0" t="n">
        <v>12</v>
      </c>
      <c r="AE572" s="0" t="s">
        <v>439</v>
      </c>
      <c r="AH572" s="0" t="n">
        <v>0</v>
      </c>
      <c r="AJ572" s="0" t="n">
        <v>10</v>
      </c>
      <c r="AP572" s="0" t="n">
        <v>356722</v>
      </c>
      <c r="DB572" s="0" t="str">
        <f aca="false">IF($A572="","",IF($A572&lt;&gt;21,"対象外",IF($AE572&amp;""="00000000","在職",IF($AE572&amp;""=設定!$C$4,"4/1喪失","その他喪失"))))</f>
        <v>その他喪失</v>
      </c>
    </row>
    <row r="573" customFormat="false" ht="15" hidden="false" customHeight="false" outlineLevel="0" collapsed="false">
      <c r="A573" s="0" t="n">
        <v>21</v>
      </c>
      <c r="AA573" s="0" t="n">
        <v>24</v>
      </c>
      <c r="AB573" s="0" t="s">
        <v>460</v>
      </c>
      <c r="AD573" s="0" t="n">
        <v>12</v>
      </c>
      <c r="AE573" s="0" t="s">
        <v>463</v>
      </c>
      <c r="AH573" s="0" t="n">
        <v>0</v>
      </c>
      <c r="AJ573" s="0" t="n">
        <v>10</v>
      </c>
      <c r="AP573" s="0" t="n">
        <v>185773</v>
      </c>
      <c r="DB573" s="0" t="str">
        <f aca="false">IF($A573="","",IF($A573&lt;&gt;21,"対象外",IF($AE573&amp;""="00000000","在職",IF($AE573&amp;""=設定!$C$4,"4/1喪失","その他喪失"))))</f>
        <v>その他喪失</v>
      </c>
    </row>
    <row r="574" customFormat="false" ht="15" hidden="false" customHeight="false" outlineLevel="0" collapsed="false">
      <c r="A574" s="0" t="n">
        <v>21</v>
      </c>
      <c r="AA574" s="0" t="n">
        <v>24</v>
      </c>
      <c r="AB574" s="0" t="s">
        <v>426</v>
      </c>
      <c r="AD574" s="0" t="n">
        <v>12</v>
      </c>
      <c r="AE574" s="0" t="s">
        <v>566</v>
      </c>
      <c r="AH574" s="0" t="n">
        <v>20</v>
      </c>
      <c r="AJ574" s="0" t="n">
        <v>10</v>
      </c>
      <c r="AP574" s="0" t="n">
        <v>260000</v>
      </c>
      <c r="DB574" s="0" t="str">
        <f aca="false">IF($A574="","",IF($A574&lt;&gt;21,"対象外",IF($AE574&amp;""="00000000","在職",IF($AE574&amp;""=設定!$C$4,"4/1喪失","その他喪失"))))</f>
        <v>その他喪失</v>
      </c>
    </row>
    <row r="575" customFormat="false" ht="15" hidden="false" customHeight="false" outlineLevel="0" collapsed="false">
      <c r="A575" s="0" t="n">
        <v>21</v>
      </c>
      <c r="AA575" s="0" t="n">
        <v>21</v>
      </c>
      <c r="AB575" s="0" t="s">
        <v>438</v>
      </c>
      <c r="AD575" s="0" t="n">
        <v>12</v>
      </c>
      <c r="AE575" s="0" t="s">
        <v>463</v>
      </c>
      <c r="AH575" s="0" t="n">
        <v>0</v>
      </c>
      <c r="AJ575" s="0" t="n">
        <v>10</v>
      </c>
      <c r="AP575" s="0" t="n">
        <v>1</v>
      </c>
      <c r="DB575" s="0" t="str">
        <f aca="false">IF($A575="","",IF($A575&lt;&gt;21,"対象外",IF($AE575&amp;""="00000000","在職",IF($AE575&amp;""=設定!$C$4,"4/1喪失","その他喪失"))))</f>
        <v>その他喪失</v>
      </c>
    </row>
    <row r="576" customFormat="false" ht="15" hidden="false" customHeight="false" outlineLevel="0" collapsed="false">
      <c r="A576" s="0" t="n">
        <v>21</v>
      </c>
      <c r="AA576" s="0" t="n">
        <v>21</v>
      </c>
      <c r="AB576" s="0" t="s">
        <v>804</v>
      </c>
      <c r="AD576" s="0" t="n">
        <v>12</v>
      </c>
      <c r="AE576" s="0" t="s">
        <v>463</v>
      </c>
      <c r="AH576" s="0" t="n">
        <v>0</v>
      </c>
      <c r="AJ576" s="0" t="n">
        <v>10</v>
      </c>
      <c r="AP576" s="0" t="n">
        <v>1</v>
      </c>
      <c r="DB576" s="0" t="str">
        <f aca="false">IF($A576="","",IF($A576&lt;&gt;21,"対象外",IF($AE576&amp;""="00000000","在職",IF($AE576&amp;""=設定!$C$4,"4/1喪失","その他喪失"))))</f>
        <v>その他喪失</v>
      </c>
    </row>
    <row r="577" customFormat="false" ht="15" hidden="false" customHeight="false" outlineLevel="0" collapsed="false">
      <c r="A577" s="0" t="n">
        <v>31</v>
      </c>
      <c r="AA577" s="0" t="n">
        <v>21</v>
      </c>
      <c r="AB577" s="0" t="s">
        <v>496</v>
      </c>
      <c r="AD577" s="0" t="n">
        <v>12</v>
      </c>
      <c r="AE577" s="0" t="s">
        <v>477</v>
      </c>
      <c r="AH577" s="0" t="n">
        <v>4</v>
      </c>
      <c r="AJ577" s="0" t="n">
        <v>41</v>
      </c>
      <c r="AP577" s="0" t="n">
        <v>118000</v>
      </c>
      <c r="DB577" s="0" t="str">
        <f aca="false">IF($A577="","",IF($A577&lt;&gt;21,"対象外",IF($AE577&amp;""="00000000","在職",IF($AE577&amp;""=設定!$C$4,"4/1喪失","その他喪失"))))</f>
        <v>対象外</v>
      </c>
    </row>
    <row r="578" customFormat="false" ht="15" hidden="false" customHeight="false" outlineLevel="0" collapsed="false">
      <c r="A578" s="0" t="n">
        <v>21</v>
      </c>
      <c r="AA578" s="0" t="n">
        <v>21</v>
      </c>
      <c r="AB578" s="0" t="s">
        <v>805</v>
      </c>
      <c r="AD578" s="0" t="n">
        <v>12</v>
      </c>
      <c r="AE578" s="0" t="s">
        <v>463</v>
      </c>
      <c r="AH578" s="0" t="n">
        <v>0</v>
      </c>
      <c r="AJ578" s="0" t="n">
        <v>10</v>
      </c>
      <c r="AP578" s="0" t="n">
        <v>1</v>
      </c>
      <c r="DB578" s="0" t="str">
        <f aca="false">IF($A578="","",IF($A578&lt;&gt;21,"対象外",IF($AE578&amp;""="00000000","在職",IF($AE578&amp;""=設定!$C$4,"4/1喪失","その他喪失"))))</f>
        <v>その他喪失</v>
      </c>
    </row>
    <row r="579" customFormat="false" ht="15" hidden="false" customHeight="false" outlineLevel="0" collapsed="false">
      <c r="A579" s="0" t="n">
        <v>21</v>
      </c>
      <c r="AA579" s="0" t="n">
        <v>21</v>
      </c>
      <c r="AB579" s="0" t="s">
        <v>459</v>
      </c>
      <c r="AD579" s="0" t="n">
        <v>12</v>
      </c>
      <c r="AE579" s="0" t="s">
        <v>463</v>
      </c>
      <c r="AH579" s="0" t="n">
        <v>0</v>
      </c>
      <c r="AJ579" s="0" t="n">
        <v>10</v>
      </c>
      <c r="AP579" s="0" t="n">
        <v>1</v>
      </c>
      <c r="DB579" s="0" t="str">
        <f aca="false">IF($A579="","",IF($A579&lt;&gt;21,"対象外",IF($AE579&amp;""="00000000","在職",IF($AE579&amp;""=設定!$C$4,"4/1喪失","その他喪失"))))</f>
        <v>その他喪失</v>
      </c>
    </row>
    <row r="580" customFormat="false" ht="15" hidden="false" customHeight="false" outlineLevel="0" collapsed="false">
      <c r="A580" s="0" t="n">
        <v>31</v>
      </c>
      <c r="AA580" s="0" t="n">
        <v>21</v>
      </c>
      <c r="AB580" s="0" t="s">
        <v>496</v>
      </c>
      <c r="AD580" s="0" t="n">
        <v>12</v>
      </c>
      <c r="AE580" s="0" t="s">
        <v>96</v>
      </c>
      <c r="AH580" s="0" t="n">
        <v>20</v>
      </c>
      <c r="AJ580" s="0" t="n">
        <v>41</v>
      </c>
      <c r="AP580" s="0" t="n">
        <v>240000</v>
      </c>
      <c r="DB580" s="0" t="str">
        <f aca="false">IF($A580="","",IF($A580&lt;&gt;21,"対象外",IF($AE580&amp;""="00000000","在職",IF($AE580&amp;""=設定!$C$4,"4/1喪失","その他喪失"))))</f>
        <v>対象外</v>
      </c>
    </row>
    <row r="581" customFormat="false" ht="15" hidden="false" customHeight="false" outlineLevel="0" collapsed="false">
      <c r="A581" s="0" t="n">
        <v>21</v>
      </c>
      <c r="AA581" s="0" t="n">
        <v>24</v>
      </c>
      <c r="AB581" s="0" t="s">
        <v>806</v>
      </c>
      <c r="AD581" s="0" t="n">
        <v>12</v>
      </c>
      <c r="AE581" s="0" t="s">
        <v>807</v>
      </c>
      <c r="AH581" s="0" t="n">
        <v>0</v>
      </c>
      <c r="AJ581" s="0" t="n">
        <v>10</v>
      </c>
      <c r="AP581" s="0" t="n">
        <v>1</v>
      </c>
      <c r="DB581" s="0" t="str">
        <f aca="false">IF($A581="","",IF($A581&lt;&gt;21,"対象外",IF($AE581&amp;""="00000000","在職",IF($AE581&amp;""=設定!$C$4,"4/1喪失","その他喪失"))))</f>
        <v>その他喪失</v>
      </c>
    </row>
    <row r="582" customFormat="false" ht="15" hidden="false" customHeight="false" outlineLevel="0" collapsed="false">
      <c r="A582" s="0" t="n">
        <v>21</v>
      </c>
      <c r="AA582" s="0" t="n">
        <v>21</v>
      </c>
      <c r="AB582" s="0" t="s">
        <v>441</v>
      </c>
      <c r="AD582" s="0" t="n">
        <v>12</v>
      </c>
      <c r="AE582" s="0" t="s">
        <v>463</v>
      </c>
      <c r="AH582" s="0" t="n">
        <v>0</v>
      </c>
      <c r="AJ582" s="0" t="n">
        <v>10</v>
      </c>
      <c r="AP582" s="0" t="n">
        <v>1</v>
      </c>
      <c r="DB582" s="0" t="str">
        <f aca="false">IF($A582="","",IF($A582&lt;&gt;21,"対象外",IF($AE582&amp;""="00000000","在職",IF($AE582&amp;""=設定!$C$4,"4/1喪失","その他喪失"))))</f>
        <v>その他喪失</v>
      </c>
    </row>
    <row r="583" customFormat="false" ht="15" hidden="false" customHeight="false" outlineLevel="0" collapsed="false">
      <c r="A583" s="0" t="n">
        <v>21</v>
      </c>
      <c r="AA583" s="0" t="n">
        <v>21</v>
      </c>
      <c r="AB583" s="0" t="s">
        <v>413</v>
      </c>
      <c r="AD583" s="0" t="n">
        <v>12</v>
      </c>
      <c r="AE583" s="0" t="s">
        <v>96</v>
      </c>
      <c r="AH583" s="0" t="n">
        <v>1</v>
      </c>
      <c r="AJ583" s="0" t="n">
        <v>10</v>
      </c>
      <c r="AP583" s="0" t="n">
        <v>560000</v>
      </c>
      <c r="DB583" s="0" t="str">
        <f aca="false">IF($A583="","",IF($A583&lt;&gt;21,"対象外",IF($AE583&amp;""="00000000","在職",IF($AE583&amp;""=設定!$C$4,"4/1喪失","その他喪失"))))</f>
        <v>4/1喪失</v>
      </c>
    </row>
    <row r="584" customFormat="false" ht="15" hidden="false" customHeight="false" outlineLevel="0" collapsed="false">
      <c r="A584" s="0" t="n">
        <v>21</v>
      </c>
      <c r="AA584" s="0" t="n">
        <v>21</v>
      </c>
      <c r="AB584" s="0" t="s">
        <v>429</v>
      </c>
      <c r="AD584" s="0" t="n">
        <v>12</v>
      </c>
      <c r="AE584" s="0" t="s">
        <v>463</v>
      </c>
      <c r="AH584" s="0" t="n">
        <v>0</v>
      </c>
      <c r="AJ584" s="0" t="n">
        <v>10</v>
      </c>
      <c r="AP584" s="0" t="n">
        <v>1</v>
      </c>
      <c r="DB584" s="0" t="str">
        <f aca="false">IF($A584="","",IF($A584&lt;&gt;21,"対象外",IF($AE584&amp;""="00000000","在職",IF($AE584&amp;""=設定!$C$4,"4/1喪失","その他喪失"))))</f>
        <v>その他喪失</v>
      </c>
    </row>
    <row r="585" customFormat="false" ht="15" hidden="false" customHeight="false" outlineLevel="0" collapsed="false">
      <c r="A585" s="0" t="n">
        <v>21</v>
      </c>
      <c r="AA585" s="0" t="n">
        <v>21</v>
      </c>
      <c r="AB585" s="0" t="s">
        <v>398</v>
      </c>
      <c r="AD585" s="0" t="n">
        <v>11</v>
      </c>
      <c r="AE585" s="0" t="s">
        <v>96</v>
      </c>
      <c r="AH585" s="0" t="n">
        <v>1</v>
      </c>
      <c r="AJ585" s="0" t="n">
        <v>10</v>
      </c>
      <c r="AP585" s="0" t="n">
        <v>530000</v>
      </c>
      <c r="DB585" s="0" t="str">
        <f aca="false">IF($A585="","",IF($A585&lt;&gt;21,"対象外",IF($AE585&amp;""="00000000","在職",IF($AE585&amp;""=設定!$C$4,"4/1喪失","その他喪失"))))</f>
        <v>4/1喪失</v>
      </c>
    </row>
    <row r="586" customFormat="false" ht="15" hidden="false" customHeight="false" outlineLevel="0" collapsed="false">
      <c r="A586" s="0" t="n">
        <v>21</v>
      </c>
      <c r="AA586" s="0" t="n">
        <v>21</v>
      </c>
      <c r="AB586" s="0" t="s">
        <v>647</v>
      </c>
      <c r="AD586" s="0" t="n">
        <v>12</v>
      </c>
      <c r="AE586" s="0" t="s">
        <v>463</v>
      </c>
      <c r="AH586" s="0" t="n">
        <v>0</v>
      </c>
      <c r="AJ586" s="0" t="n">
        <v>10</v>
      </c>
      <c r="AP586" s="0" t="n">
        <v>134400</v>
      </c>
      <c r="DB586" s="0" t="str">
        <f aca="false">IF($A586="","",IF($A586&lt;&gt;21,"対象外",IF($AE586&amp;""="00000000","在職",IF($AE586&amp;""=設定!$C$4,"4/1喪失","その他喪失"))))</f>
        <v>その他喪失</v>
      </c>
    </row>
    <row r="587" customFormat="false" ht="15" hidden="false" customHeight="false" outlineLevel="0" collapsed="false">
      <c r="A587" s="0" t="n">
        <v>21</v>
      </c>
      <c r="AA587" s="0" t="n">
        <v>21</v>
      </c>
      <c r="AB587" s="0" t="s">
        <v>443</v>
      </c>
      <c r="AD587" s="0" t="n">
        <v>12</v>
      </c>
      <c r="AE587" s="0" t="s">
        <v>462</v>
      </c>
      <c r="AH587" s="0" t="n">
        <v>0</v>
      </c>
      <c r="AJ587" s="0" t="n">
        <v>10</v>
      </c>
      <c r="AP587" s="0" t="n">
        <v>1</v>
      </c>
      <c r="DB587" s="0" t="str">
        <f aca="false">IF($A587="","",IF($A587&lt;&gt;21,"対象外",IF($AE587&amp;""="00000000","在職",IF($AE587&amp;""=設定!$C$4,"4/1喪失","その他喪失"))))</f>
        <v>その他喪失</v>
      </c>
    </row>
    <row r="588" customFormat="false" ht="15" hidden="false" customHeight="false" outlineLevel="0" collapsed="false">
      <c r="A588" s="0" t="n">
        <v>21</v>
      </c>
      <c r="AA588" s="0" t="n">
        <v>24</v>
      </c>
      <c r="AB588" s="0" t="s">
        <v>439</v>
      </c>
      <c r="AD588" s="0" t="n">
        <v>12</v>
      </c>
      <c r="AE588" s="0" t="s">
        <v>496</v>
      </c>
      <c r="AH588" s="0" t="n">
        <v>20</v>
      </c>
      <c r="AJ588" s="0" t="n">
        <v>10</v>
      </c>
      <c r="AP588" s="0" t="n">
        <v>750000</v>
      </c>
      <c r="DB588" s="0" t="str">
        <f aca="false">IF($A588="","",IF($A588&lt;&gt;21,"対象外",IF($AE588&amp;""="00000000","在職",IF($AE588&amp;""=設定!$C$4,"4/1喪失","その他喪失"))))</f>
        <v>その他喪失</v>
      </c>
    </row>
    <row r="589" customFormat="false" ht="15" hidden="false" customHeight="false" outlineLevel="0" collapsed="false">
      <c r="A589" s="0" t="n">
        <v>21</v>
      </c>
      <c r="AA589" s="0" t="n">
        <v>21</v>
      </c>
      <c r="AB589" s="0" t="s">
        <v>647</v>
      </c>
      <c r="AD589" s="0" t="n">
        <v>12</v>
      </c>
      <c r="AE589" s="0" t="s">
        <v>463</v>
      </c>
      <c r="AH589" s="0" t="n">
        <v>0</v>
      </c>
      <c r="AJ589" s="0" t="n">
        <v>10</v>
      </c>
      <c r="AP589" s="0" t="n">
        <v>134400</v>
      </c>
      <c r="DB589" s="0" t="str">
        <f aca="false">IF($A589="","",IF($A589&lt;&gt;21,"対象外",IF($AE589&amp;""="00000000","在職",IF($AE589&amp;""=設定!$C$4,"4/1喪失","その他喪失"))))</f>
        <v>その他喪失</v>
      </c>
    </row>
    <row r="590" customFormat="false" ht="15" hidden="false" customHeight="false" outlineLevel="0" collapsed="false">
      <c r="A590" s="0" t="n">
        <v>21</v>
      </c>
      <c r="AA590" s="0" t="n">
        <v>21</v>
      </c>
      <c r="AB590" s="0" t="s">
        <v>808</v>
      </c>
      <c r="AD590" s="0" t="n">
        <v>12</v>
      </c>
      <c r="AE590" s="0" t="s">
        <v>809</v>
      </c>
      <c r="AH590" s="0" t="n">
        <v>0</v>
      </c>
      <c r="AJ590" s="0" t="n">
        <v>10</v>
      </c>
      <c r="AP590" s="0" t="n">
        <v>1</v>
      </c>
      <c r="DB590" s="0" t="str">
        <f aca="false">IF($A590="","",IF($A590&lt;&gt;21,"対象外",IF($AE590&amp;""="00000000","在職",IF($AE590&amp;""=設定!$C$4,"4/1喪失","その他喪失"))))</f>
        <v>その他喪失</v>
      </c>
    </row>
    <row r="591" customFormat="false" ht="15" hidden="false" customHeight="false" outlineLevel="0" collapsed="false">
      <c r="A591" s="0" t="n">
        <v>31</v>
      </c>
      <c r="AA591" s="0" t="n">
        <v>21</v>
      </c>
      <c r="AB591" s="0" t="s">
        <v>810</v>
      </c>
      <c r="AD591" s="0" t="n">
        <v>12</v>
      </c>
      <c r="AE591" s="0" t="s">
        <v>557</v>
      </c>
      <c r="AH591" s="0" t="n">
        <v>20</v>
      </c>
      <c r="AJ591" s="0" t="n">
        <v>41</v>
      </c>
      <c r="AP591" s="0" t="n">
        <v>180000</v>
      </c>
      <c r="DB591" s="0" t="str">
        <f aca="false">IF($A591="","",IF($A591&lt;&gt;21,"対象外",IF($AE591&amp;""="00000000","在職",IF($AE591&amp;""=設定!$C$4,"4/1喪失","その他喪失"))))</f>
        <v>対象外</v>
      </c>
    </row>
    <row r="592" customFormat="false" ht="15" hidden="false" customHeight="false" outlineLevel="0" collapsed="false">
      <c r="A592" s="0" t="n">
        <v>21</v>
      </c>
      <c r="AA592" s="0" t="n">
        <v>21</v>
      </c>
      <c r="AB592" s="0" t="s">
        <v>457</v>
      </c>
      <c r="AD592" s="0" t="n">
        <v>12</v>
      </c>
      <c r="AE592" s="0" t="s">
        <v>463</v>
      </c>
      <c r="AH592" s="0" t="n">
        <v>0</v>
      </c>
      <c r="AJ592" s="0" t="n">
        <v>10</v>
      </c>
      <c r="AP592" s="0" t="n">
        <v>1</v>
      </c>
      <c r="DB592" s="0" t="str">
        <f aca="false">IF($A592="","",IF($A592&lt;&gt;21,"対象外",IF($AE592&amp;""="00000000","在職",IF($AE592&amp;""=設定!$C$4,"4/1喪失","その他喪失"))))</f>
        <v>その他喪失</v>
      </c>
    </row>
    <row r="593" customFormat="false" ht="15" hidden="false" customHeight="false" outlineLevel="0" collapsed="false">
      <c r="A593" s="0" t="n">
        <v>21</v>
      </c>
      <c r="AA593" s="0" t="n">
        <v>21</v>
      </c>
      <c r="AB593" s="0" t="s">
        <v>811</v>
      </c>
      <c r="AD593" s="0" t="n">
        <v>12</v>
      </c>
      <c r="AE593" s="0" t="s">
        <v>463</v>
      </c>
      <c r="AH593" s="0" t="n">
        <v>0</v>
      </c>
      <c r="AJ593" s="0" t="n">
        <v>10</v>
      </c>
      <c r="AP593" s="0" t="n">
        <v>1</v>
      </c>
      <c r="DB593" s="0" t="str">
        <f aca="false">IF($A593="","",IF($A593&lt;&gt;21,"対象外",IF($AE593&amp;""="00000000","在職",IF($AE593&amp;""=設定!$C$4,"4/1喪失","その他喪失"))))</f>
        <v>その他喪失</v>
      </c>
    </row>
    <row r="594" customFormat="false" ht="15" hidden="false" customHeight="false" outlineLevel="0" collapsed="false">
      <c r="A594" s="0" t="n">
        <v>21</v>
      </c>
      <c r="AA594" s="0" t="n">
        <v>21</v>
      </c>
      <c r="AB594" s="0" t="s">
        <v>401</v>
      </c>
      <c r="AD594" s="0" t="n">
        <v>12</v>
      </c>
      <c r="AE594" s="0" t="s">
        <v>486</v>
      </c>
      <c r="AH594" s="0" t="n">
        <v>20</v>
      </c>
      <c r="AJ594" s="0" t="n">
        <v>10</v>
      </c>
      <c r="AP594" s="0" t="n">
        <v>380000</v>
      </c>
      <c r="DB594" s="0" t="str">
        <f aca="false">IF($A594="","",IF($A594&lt;&gt;21,"対象外",IF($AE594&amp;""="00000000","在職",IF($AE594&amp;""=設定!$C$4,"4/1喪失","その他喪失"))))</f>
        <v>その他喪失</v>
      </c>
    </row>
    <row r="595" customFormat="false" ht="15" hidden="false" customHeight="false" outlineLevel="0" collapsed="false">
      <c r="A595" s="0" t="n">
        <v>21</v>
      </c>
      <c r="AA595" s="0" t="n">
        <v>21</v>
      </c>
      <c r="AB595" s="0" t="s">
        <v>812</v>
      </c>
      <c r="AD595" s="0" t="n">
        <v>12</v>
      </c>
      <c r="AE595" s="0" t="s">
        <v>463</v>
      </c>
      <c r="AH595" s="0" t="n">
        <v>0</v>
      </c>
      <c r="AJ595" s="0" t="n">
        <v>10</v>
      </c>
      <c r="AP595" s="0" t="n">
        <v>1</v>
      </c>
      <c r="DB595" s="0" t="str">
        <f aca="false">IF($A595="","",IF($A595&lt;&gt;21,"対象外",IF($AE595&amp;""="00000000","在職",IF($AE595&amp;""=設定!$C$4,"4/1喪失","その他喪失"))))</f>
        <v>その他喪失</v>
      </c>
    </row>
    <row r="596" customFormat="false" ht="15" hidden="false" customHeight="false" outlineLevel="0" collapsed="false">
      <c r="A596" s="0" t="n">
        <v>31</v>
      </c>
      <c r="AA596" s="0" t="n">
        <v>21</v>
      </c>
      <c r="AB596" s="0" t="s">
        <v>518</v>
      </c>
      <c r="AD596" s="0" t="n">
        <v>12</v>
      </c>
      <c r="AE596" s="0" t="s">
        <v>96</v>
      </c>
      <c r="AH596" s="0" t="n">
        <v>1</v>
      </c>
      <c r="AJ596" s="0" t="n">
        <v>41</v>
      </c>
      <c r="AP596" s="0" t="n">
        <v>134000</v>
      </c>
      <c r="DB596" s="0" t="str">
        <f aca="false">IF($A596="","",IF($A596&lt;&gt;21,"対象外",IF($AE596&amp;""="00000000","在職",IF($AE596&amp;""=設定!$C$4,"4/1喪失","その他喪失"))))</f>
        <v>対象外</v>
      </c>
    </row>
    <row r="597" customFormat="false" ht="15" hidden="false" customHeight="false" outlineLevel="0" collapsed="false">
      <c r="A597" s="0" t="n">
        <v>31</v>
      </c>
      <c r="AA597" s="0" t="n">
        <v>21</v>
      </c>
      <c r="AB597" s="0" t="s">
        <v>496</v>
      </c>
      <c r="AD597" s="0" t="n">
        <v>12</v>
      </c>
      <c r="AE597" s="0" t="s">
        <v>500</v>
      </c>
      <c r="AH597" s="0" t="n">
        <v>20</v>
      </c>
      <c r="AJ597" s="0" t="n">
        <v>41</v>
      </c>
      <c r="AP597" s="0" t="n">
        <v>142000</v>
      </c>
      <c r="DB597" s="0" t="str">
        <f aca="false">IF($A597="","",IF($A597&lt;&gt;21,"対象外",IF($AE597&amp;""="00000000","在職",IF($AE597&amp;""=設定!$C$4,"4/1喪失","その他喪失"))))</f>
        <v>対象外</v>
      </c>
    </row>
    <row r="598" customFormat="false" ht="15" hidden="false" customHeight="false" outlineLevel="0" collapsed="false">
      <c r="A598" s="0" t="n">
        <v>21</v>
      </c>
      <c r="AA598" s="0" t="n">
        <v>21</v>
      </c>
      <c r="AB598" s="0" t="s">
        <v>394</v>
      </c>
      <c r="AD598" s="0" t="n">
        <v>12</v>
      </c>
      <c r="AE598" s="0" t="s">
        <v>494</v>
      </c>
      <c r="AH598" s="0" t="n">
        <v>1</v>
      </c>
      <c r="AJ598" s="0" t="n">
        <v>10</v>
      </c>
      <c r="AP598" s="0" t="n">
        <v>530000</v>
      </c>
      <c r="DB598" s="0" t="str">
        <f aca="false">IF($A598="","",IF($A598&lt;&gt;21,"対象外",IF($AE598&amp;""="00000000","在職",IF($AE598&amp;""=設定!$C$4,"4/1喪失","その他喪失"))))</f>
        <v>その他喪失</v>
      </c>
    </row>
    <row r="599" customFormat="false" ht="15" hidden="false" customHeight="false" outlineLevel="0" collapsed="false">
      <c r="A599" s="0" t="n">
        <v>21</v>
      </c>
      <c r="AA599" s="0" t="n">
        <v>21</v>
      </c>
      <c r="AB599" s="0" t="s">
        <v>812</v>
      </c>
      <c r="AD599" s="0" t="n">
        <v>12</v>
      </c>
      <c r="AE599" s="0" t="s">
        <v>463</v>
      </c>
      <c r="AH599" s="0" t="n">
        <v>0</v>
      </c>
      <c r="AJ599" s="0" t="n">
        <v>10</v>
      </c>
      <c r="AP599" s="0" t="n">
        <v>1</v>
      </c>
      <c r="DB599" s="0" t="str">
        <f aca="false">IF($A599="","",IF($A599&lt;&gt;21,"対象外",IF($AE599&amp;""="00000000","在職",IF($AE599&amp;""=設定!$C$4,"4/1喪失","その他喪失"))))</f>
        <v>その他喪失</v>
      </c>
    </row>
    <row r="600" customFormat="false" ht="15" hidden="false" customHeight="false" outlineLevel="0" collapsed="false">
      <c r="A600" s="0" t="n">
        <v>21</v>
      </c>
      <c r="AA600" s="0" t="n">
        <v>21</v>
      </c>
      <c r="AB600" s="0" t="s">
        <v>394</v>
      </c>
      <c r="AD600" s="0" t="n">
        <v>12</v>
      </c>
      <c r="AE600" s="0" t="s">
        <v>96</v>
      </c>
      <c r="AH600" s="0" t="n">
        <v>1</v>
      </c>
      <c r="AJ600" s="0" t="n">
        <v>10</v>
      </c>
      <c r="AP600" s="0" t="n">
        <v>530000</v>
      </c>
      <c r="DB600" s="0" t="str">
        <f aca="false">IF($A600="","",IF($A600&lt;&gt;21,"対象外",IF($AE600&amp;""="00000000","在職",IF($AE600&amp;""=設定!$C$4,"4/1喪失","その他喪失"))))</f>
        <v>4/1喪失</v>
      </c>
    </row>
    <row r="601" customFormat="false" ht="15" hidden="false" customHeight="false" outlineLevel="0" collapsed="false">
      <c r="A601" s="0" t="n">
        <v>21</v>
      </c>
      <c r="AA601" s="0" t="n">
        <v>21</v>
      </c>
      <c r="AB601" s="0" t="s">
        <v>451</v>
      </c>
      <c r="AD601" s="0" t="n">
        <v>12</v>
      </c>
      <c r="AE601" s="0" t="s">
        <v>463</v>
      </c>
      <c r="AH601" s="0" t="n">
        <v>0</v>
      </c>
      <c r="AJ601" s="0" t="n">
        <v>10</v>
      </c>
      <c r="AP601" s="0" t="n">
        <v>1</v>
      </c>
      <c r="DB601" s="0" t="str">
        <f aca="false">IF($A601="","",IF($A601&lt;&gt;21,"対象外",IF($AE601&amp;""="00000000","在職",IF($AE601&amp;""=設定!$C$4,"4/1喪失","その他喪失"))))</f>
        <v>その他喪失</v>
      </c>
    </row>
    <row r="602" customFormat="false" ht="15" hidden="false" customHeight="false" outlineLevel="0" collapsed="false">
      <c r="A602" s="0" t="n">
        <v>21</v>
      </c>
      <c r="AA602" s="0" t="n">
        <v>21</v>
      </c>
      <c r="AB602" s="0" t="s">
        <v>387</v>
      </c>
      <c r="AD602" s="0" t="n">
        <v>12</v>
      </c>
      <c r="AE602" s="0" t="s">
        <v>477</v>
      </c>
      <c r="AH602" s="0" t="n">
        <v>21</v>
      </c>
      <c r="AJ602" s="0" t="n">
        <v>74</v>
      </c>
      <c r="AP602" s="0" t="n">
        <v>590000</v>
      </c>
      <c r="DB602" s="0" t="str">
        <f aca="false">IF($A602="","",IF($A602&lt;&gt;21,"対象外",IF($AE602&amp;""="00000000","在職",IF($AE602&amp;""=設定!$C$4,"4/1喪失","その他喪失"))))</f>
        <v>その他喪失</v>
      </c>
    </row>
    <row r="603" customFormat="false" ht="15" hidden="false" customHeight="false" outlineLevel="0" collapsed="false">
      <c r="A603" s="0" t="n">
        <v>21</v>
      </c>
      <c r="AA603" s="0" t="n">
        <v>21</v>
      </c>
      <c r="AB603" s="0" t="s">
        <v>453</v>
      </c>
      <c r="AD603" s="0" t="n">
        <v>12</v>
      </c>
      <c r="AE603" s="0" t="s">
        <v>463</v>
      </c>
      <c r="AH603" s="0" t="n">
        <v>0</v>
      </c>
      <c r="AJ603" s="0" t="n">
        <v>10</v>
      </c>
      <c r="AP603" s="0" t="n">
        <v>1</v>
      </c>
      <c r="DB603" s="0" t="str">
        <f aca="false">IF($A603="","",IF($A603&lt;&gt;21,"対象外",IF($AE603&amp;""="00000000","在職",IF($AE603&amp;""=設定!$C$4,"4/1喪失","その他喪失"))))</f>
        <v>その他喪失</v>
      </c>
    </row>
    <row r="604" customFormat="false" ht="15" hidden="false" customHeight="false" outlineLevel="0" collapsed="false">
      <c r="A604" s="0" t="n">
        <v>21</v>
      </c>
      <c r="AA604" s="0" t="n">
        <v>21</v>
      </c>
      <c r="AB604" s="0" t="s">
        <v>405</v>
      </c>
      <c r="AD604" s="0" t="n">
        <v>12</v>
      </c>
      <c r="AE604" s="0" t="s">
        <v>494</v>
      </c>
      <c r="AH604" s="0" t="n">
        <v>1</v>
      </c>
      <c r="AJ604" s="0" t="n">
        <v>10</v>
      </c>
      <c r="AP604" s="0" t="n">
        <v>530000</v>
      </c>
      <c r="DB604" s="0" t="str">
        <f aca="false">IF($A604="","",IF($A604&lt;&gt;21,"対象外",IF($AE604&amp;""="00000000","在職",IF($AE604&amp;""=設定!$C$4,"4/1喪失","その他喪失"))))</f>
        <v>その他喪失</v>
      </c>
    </row>
    <row r="605" customFormat="false" ht="15" hidden="false" customHeight="false" outlineLevel="0" collapsed="false">
      <c r="A605" s="0" t="n">
        <v>21</v>
      </c>
      <c r="AA605" s="0" t="n">
        <v>21</v>
      </c>
      <c r="AB605" s="0" t="s">
        <v>456</v>
      </c>
      <c r="AD605" s="0" t="n">
        <v>12</v>
      </c>
      <c r="AE605" s="0" t="s">
        <v>463</v>
      </c>
      <c r="AH605" s="0" t="n">
        <v>0</v>
      </c>
      <c r="AJ605" s="0" t="n">
        <v>10</v>
      </c>
      <c r="AP605" s="0" t="n">
        <v>1</v>
      </c>
      <c r="DB605" s="0" t="str">
        <f aca="false">IF($A605="","",IF($A605&lt;&gt;21,"対象外",IF($AE605&amp;""="00000000","在職",IF($AE605&amp;""=設定!$C$4,"4/1喪失","その他喪失"))))</f>
        <v>その他喪失</v>
      </c>
    </row>
    <row r="606" customFormat="false" ht="15" hidden="false" customHeight="false" outlineLevel="0" collapsed="false">
      <c r="A606" s="0" t="n">
        <v>21</v>
      </c>
      <c r="AA606" s="0" t="n">
        <v>21</v>
      </c>
      <c r="AB606" s="0" t="s">
        <v>459</v>
      </c>
      <c r="AD606" s="0" t="n">
        <v>12</v>
      </c>
      <c r="AE606" s="0" t="s">
        <v>463</v>
      </c>
      <c r="AH606" s="0" t="n">
        <v>0</v>
      </c>
      <c r="AJ606" s="0" t="n">
        <v>10</v>
      </c>
      <c r="AP606" s="0" t="n">
        <v>1</v>
      </c>
      <c r="DB606" s="0" t="str">
        <f aca="false">IF($A606="","",IF($A606&lt;&gt;21,"対象外",IF($AE606&amp;""="00000000","在職",IF($AE606&amp;""=設定!$C$4,"4/1喪失","その他喪失"))))</f>
        <v>その他喪失</v>
      </c>
    </row>
    <row r="607" customFormat="false" ht="15" hidden="false" customHeight="false" outlineLevel="0" collapsed="false">
      <c r="A607" s="0" t="n">
        <v>21</v>
      </c>
      <c r="AA607" s="0" t="n">
        <v>21</v>
      </c>
      <c r="AB607" s="0" t="s">
        <v>647</v>
      </c>
      <c r="AD607" s="0" t="n">
        <v>12</v>
      </c>
      <c r="AE607" s="0" t="s">
        <v>463</v>
      </c>
      <c r="AH607" s="0" t="n">
        <v>0</v>
      </c>
      <c r="AJ607" s="0" t="n">
        <v>10</v>
      </c>
      <c r="AP607" s="0" t="n">
        <v>134400</v>
      </c>
      <c r="DB607" s="0" t="str">
        <f aca="false">IF($A607="","",IF($A607&lt;&gt;21,"対象外",IF($AE607&amp;""="00000000","在職",IF($AE607&amp;""=設定!$C$4,"4/1喪失","その他喪失"))))</f>
        <v>その他喪失</v>
      </c>
    </row>
    <row r="608" customFormat="false" ht="15" hidden="false" customHeight="false" outlineLevel="0" collapsed="false">
      <c r="A608" s="0" t="n">
        <v>21</v>
      </c>
      <c r="AA608" s="0" t="n">
        <v>21</v>
      </c>
      <c r="AB608" s="0" t="s">
        <v>653</v>
      </c>
      <c r="AD608" s="0" t="n">
        <v>12</v>
      </c>
      <c r="AE608" s="0" t="s">
        <v>463</v>
      </c>
      <c r="AH608" s="0" t="n">
        <v>0</v>
      </c>
      <c r="AJ608" s="0" t="n">
        <v>10</v>
      </c>
      <c r="AP608" s="0" t="n">
        <v>1</v>
      </c>
      <c r="DB608" s="0" t="str">
        <f aca="false">IF($A608="","",IF($A608&lt;&gt;21,"対象外",IF($AE608&amp;""="00000000","在職",IF($AE608&amp;""=設定!$C$4,"4/1喪失","その他喪失"))))</f>
        <v>その他喪失</v>
      </c>
    </row>
    <row r="609" customFormat="false" ht="15" hidden="false" customHeight="false" outlineLevel="0" collapsed="false">
      <c r="A609" s="0" t="n">
        <v>21</v>
      </c>
      <c r="AA609" s="0" t="n">
        <v>21</v>
      </c>
      <c r="AB609" s="0" t="s">
        <v>394</v>
      </c>
      <c r="AD609" s="0" t="n">
        <v>12</v>
      </c>
      <c r="AE609" s="0" t="s">
        <v>484</v>
      </c>
      <c r="AH609" s="0" t="n">
        <v>1</v>
      </c>
      <c r="AJ609" s="0" t="n">
        <v>10</v>
      </c>
      <c r="AP609" s="0" t="n">
        <v>440000</v>
      </c>
      <c r="DB609" s="0" t="str">
        <f aca="false">IF($A609="","",IF($A609&lt;&gt;21,"対象外",IF($AE609&amp;""="00000000","在職",IF($AE609&amp;""=設定!$C$4,"4/1喪失","その他喪失"))))</f>
        <v>その他喪失</v>
      </c>
    </row>
    <row r="610" customFormat="false" ht="15" hidden="false" customHeight="false" outlineLevel="0" collapsed="false">
      <c r="A610" s="0" t="n">
        <v>21</v>
      </c>
      <c r="AA610" s="0" t="n">
        <v>24</v>
      </c>
      <c r="AB610" s="0" t="s">
        <v>459</v>
      </c>
      <c r="AD610" s="0" t="n">
        <v>12</v>
      </c>
      <c r="AE610" s="0" t="s">
        <v>463</v>
      </c>
      <c r="AH610" s="0" t="n">
        <v>0</v>
      </c>
      <c r="AJ610" s="0" t="n">
        <v>10</v>
      </c>
      <c r="AP610" s="0" t="n">
        <v>1</v>
      </c>
      <c r="DB610" s="0" t="str">
        <f aca="false">IF($A610="","",IF($A610&lt;&gt;21,"対象外",IF($AE610&amp;""="00000000","在職",IF($AE610&amp;""=設定!$C$4,"4/1喪失","その他喪失"))))</f>
        <v>その他喪失</v>
      </c>
    </row>
    <row r="611" customFormat="false" ht="15" hidden="false" customHeight="false" outlineLevel="0" collapsed="false">
      <c r="A611" s="0" t="n">
        <v>31</v>
      </c>
      <c r="AA611" s="0" t="n">
        <v>24</v>
      </c>
      <c r="AB611" s="0" t="s">
        <v>505</v>
      </c>
      <c r="AD611" s="0" t="n">
        <v>12</v>
      </c>
      <c r="AE611" s="0" t="s">
        <v>692</v>
      </c>
      <c r="AH611" s="0" t="n">
        <v>11</v>
      </c>
      <c r="AJ611" s="0" t="n">
        <v>41</v>
      </c>
      <c r="AP611" s="0" t="n">
        <v>126000</v>
      </c>
      <c r="DB611" s="0" t="str">
        <f aca="false">IF($A611="","",IF($A611&lt;&gt;21,"対象外",IF($AE611&amp;""="00000000","在職",IF($AE611&amp;""=設定!$C$4,"4/1喪失","その他喪失"))))</f>
        <v>対象外</v>
      </c>
    </row>
    <row r="612" customFormat="false" ht="15" hidden="false" customHeight="false" outlineLevel="0" collapsed="false">
      <c r="A612" s="0" t="n">
        <v>21</v>
      </c>
      <c r="AA612" s="0" t="n">
        <v>21</v>
      </c>
      <c r="AB612" s="0" t="s">
        <v>456</v>
      </c>
      <c r="AD612" s="0" t="n">
        <v>12</v>
      </c>
      <c r="AE612" s="0" t="s">
        <v>463</v>
      </c>
      <c r="AH612" s="0" t="n">
        <v>0</v>
      </c>
      <c r="AJ612" s="0" t="n">
        <v>10</v>
      </c>
      <c r="AP612" s="0" t="n">
        <v>1</v>
      </c>
      <c r="DB612" s="0" t="str">
        <f aca="false">IF($A612="","",IF($A612&lt;&gt;21,"対象外",IF($AE612&amp;""="00000000","在職",IF($AE612&amp;""=設定!$C$4,"4/1喪失","その他喪失"))))</f>
        <v>その他喪失</v>
      </c>
    </row>
    <row r="613" customFormat="false" ht="15" hidden="false" customHeight="false" outlineLevel="0" collapsed="false">
      <c r="A613" s="0" t="n">
        <v>31</v>
      </c>
      <c r="AA613" s="0" t="n">
        <v>21</v>
      </c>
      <c r="AB613" s="0" t="s">
        <v>496</v>
      </c>
      <c r="AD613" s="0" t="n">
        <v>12</v>
      </c>
      <c r="AE613" s="0" t="s">
        <v>692</v>
      </c>
      <c r="AH613" s="0" t="n">
        <v>11</v>
      </c>
      <c r="AJ613" s="0" t="n">
        <v>41</v>
      </c>
      <c r="AP613" s="0" t="n">
        <v>104000</v>
      </c>
      <c r="DB613" s="0" t="str">
        <f aca="false">IF($A613="","",IF($A613&lt;&gt;21,"対象外",IF($AE613&amp;""="00000000","在職",IF($AE613&amp;""=設定!$C$4,"4/1喪失","その他喪失"))))</f>
        <v>対象外</v>
      </c>
    </row>
    <row r="614" customFormat="false" ht="15" hidden="false" customHeight="false" outlineLevel="0" collapsed="false">
      <c r="A614" s="0" t="n">
        <v>21</v>
      </c>
      <c r="AA614" s="0" t="n">
        <v>21</v>
      </c>
      <c r="AB614" s="0" t="s">
        <v>441</v>
      </c>
      <c r="AD614" s="0" t="n">
        <v>12</v>
      </c>
      <c r="AE614" s="0" t="s">
        <v>463</v>
      </c>
      <c r="AH614" s="0" t="n">
        <v>0</v>
      </c>
      <c r="AJ614" s="0" t="n">
        <v>10</v>
      </c>
      <c r="AP614" s="0" t="n">
        <v>1</v>
      </c>
      <c r="DB614" s="0" t="str">
        <f aca="false">IF($A614="","",IF($A614&lt;&gt;21,"対象外",IF($AE614&amp;""="00000000","在職",IF($AE614&amp;""=設定!$C$4,"4/1喪失","その他喪失"))))</f>
        <v>その他喪失</v>
      </c>
    </row>
    <row r="615" customFormat="false" ht="15" hidden="false" customHeight="false" outlineLevel="0" collapsed="false">
      <c r="A615" s="0" t="n">
        <v>31</v>
      </c>
      <c r="AA615" s="0" t="n">
        <v>21</v>
      </c>
      <c r="AB615" s="0" t="s">
        <v>496</v>
      </c>
      <c r="AD615" s="0" t="n">
        <v>12</v>
      </c>
      <c r="AE615" s="0" t="s">
        <v>813</v>
      </c>
      <c r="AH615" s="0" t="n">
        <v>11</v>
      </c>
      <c r="AJ615" s="0" t="n">
        <v>41</v>
      </c>
      <c r="AP615" s="0" t="n">
        <v>160000</v>
      </c>
      <c r="DB615" s="0" t="str">
        <f aca="false">IF($A615="","",IF($A615&lt;&gt;21,"対象外",IF($AE615&amp;""="00000000","在職",IF($AE615&amp;""=設定!$C$4,"4/1喪失","その他喪失"))))</f>
        <v>対象外</v>
      </c>
    </row>
    <row r="616" customFormat="false" ht="15" hidden="false" customHeight="false" outlineLevel="0" collapsed="false">
      <c r="A616" s="0" t="n">
        <v>21</v>
      </c>
      <c r="AA616" s="0" t="n">
        <v>21</v>
      </c>
      <c r="AB616" s="0" t="s">
        <v>453</v>
      </c>
      <c r="AD616" s="0" t="n">
        <v>12</v>
      </c>
      <c r="AE616" s="0" t="s">
        <v>463</v>
      </c>
      <c r="AH616" s="0" t="n">
        <v>0</v>
      </c>
      <c r="AJ616" s="0" t="n">
        <v>10</v>
      </c>
      <c r="AP616" s="0" t="n">
        <v>1</v>
      </c>
      <c r="DB616" s="0" t="str">
        <f aca="false">IF($A616="","",IF($A616&lt;&gt;21,"対象外",IF($AE616&amp;""="00000000","在職",IF($AE616&amp;""=設定!$C$4,"4/1喪失","その他喪失"))))</f>
        <v>その他喪失</v>
      </c>
    </row>
    <row r="617" customFormat="false" ht="15" hidden="false" customHeight="false" outlineLevel="0" collapsed="false">
      <c r="A617" s="0" t="n">
        <v>21</v>
      </c>
      <c r="AA617" s="0" t="n">
        <v>21</v>
      </c>
      <c r="AB617" s="0" t="s">
        <v>446</v>
      </c>
      <c r="AD617" s="0" t="n">
        <v>12</v>
      </c>
      <c r="AE617" s="0" t="s">
        <v>463</v>
      </c>
      <c r="AH617" s="0" t="n">
        <v>0</v>
      </c>
      <c r="AJ617" s="0" t="n">
        <v>10</v>
      </c>
      <c r="AP617" s="0" t="n">
        <v>1</v>
      </c>
      <c r="DB617" s="0" t="str">
        <f aca="false">IF($A617="","",IF($A617&lt;&gt;21,"対象外",IF($AE617&amp;""="00000000","在職",IF($AE617&amp;""=設定!$C$4,"4/1喪失","その他喪失"))))</f>
        <v>その他喪失</v>
      </c>
    </row>
    <row r="618" customFormat="false" ht="15" hidden="false" customHeight="false" outlineLevel="0" collapsed="false">
      <c r="A618" s="0" t="n">
        <v>21</v>
      </c>
      <c r="AA618" s="0" t="n">
        <v>21</v>
      </c>
      <c r="AB618" s="0" t="s">
        <v>448</v>
      </c>
      <c r="AD618" s="0" t="n">
        <v>12</v>
      </c>
      <c r="AE618" s="0" t="s">
        <v>463</v>
      </c>
      <c r="AH618" s="0" t="n">
        <v>0</v>
      </c>
      <c r="AJ618" s="0" t="n">
        <v>10</v>
      </c>
      <c r="AP618" s="0" t="n">
        <v>1</v>
      </c>
      <c r="DB618" s="0" t="str">
        <f aca="false">IF($A618="","",IF($A618&lt;&gt;21,"対象外",IF($AE618&amp;""="00000000","在職",IF($AE618&amp;""=設定!$C$4,"4/1喪失","その他喪失"))))</f>
        <v>その他喪失</v>
      </c>
    </row>
    <row r="619" customFormat="false" ht="15" hidden="false" customHeight="false" outlineLevel="0" collapsed="false">
      <c r="A619" s="0" t="n">
        <v>31</v>
      </c>
      <c r="AA619" s="0" t="n">
        <v>21</v>
      </c>
      <c r="AB619" s="0" t="s">
        <v>496</v>
      </c>
      <c r="AD619" s="0" t="n">
        <v>12</v>
      </c>
      <c r="AE619" s="0" t="s">
        <v>687</v>
      </c>
      <c r="AH619" s="0" t="n">
        <v>11</v>
      </c>
      <c r="AJ619" s="0" t="n">
        <v>41</v>
      </c>
      <c r="AP619" s="0" t="n">
        <v>118000</v>
      </c>
      <c r="DB619" s="0" t="str">
        <f aca="false">IF($A619="","",IF($A619&lt;&gt;21,"対象外",IF($AE619&amp;""="00000000","在職",IF($AE619&amp;""=設定!$C$4,"4/1喪失","その他喪失"))))</f>
        <v>対象外</v>
      </c>
    </row>
    <row r="620" customFormat="false" ht="15" hidden="false" customHeight="false" outlineLevel="0" collapsed="false">
      <c r="A620" s="0" t="n">
        <v>21</v>
      </c>
      <c r="AA620" s="0" t="n">
        <v>21</v>
      </c>
      <c r="AB620" s="0" t="s">
        <v>814</v>
      </c>
      <c r="AD620" s="0" t="n">
        <v>12</v>
      </c>
      <c r="AE620" s="0" t="s">
        <v>463</v>
      </c>
      <c r="AH620" s="0" t="n">
        <v>0</v>
      </c>
      <c r="AJ620" s="0" t="n">
        <v>10</v>
      </c>
      <c r="AP620" s="0" t="n">
        <v>1</v>
      </c>
      <c r="DB620" s="0" t="str">
        <f aca="false">IF($A620="","",IF($A620&lt;&gt;21,"対象外",IF($AE620&amp;""="00000000","在職",IF($AE620&amp;""=設定!$C$4,"4/1喪失","その他喪失"))))</f>
        <v>その他喪失</v>
      </c>
    </row>
    <row r="621" customFormat="false" ht="15" hidden="false" customHeight="false" outlineLevel="0" collapsed="false">
      <c r="A621" s="0" t="n">
        <v>21</v>
      </c>
      <c r="AA621" s="0" t="n">
        <v>21</v>
      </c>
      <c r="AB621" s="0" t="s">
        <v>446</v>
      </c>
      <c r="AD621" s="0" t="n">
        <v>12</v>
      </c>
      <c r="AE621" s="0" t="s">
        <v>463</v>
      </c>
      <c r="AH621" s="0" t="n">
        <v>0</v>
      </c>
      <c r="AJ621" s="0" t="n">
        <v>10</v>
      </c>
      <c r="AP621" s="0" t="n">
        <v>1</v>
      </c>
      <c r="DB621" s="0" t="str">
        <f aca="false">IF($A621="","",IF($A621&lt;&gt;21,"対象外",IF($AE621&amp;""="00000000","在職",IF($AE621&amp;""=設定!$C$4,"4/1喪失","その他喪失"))))</f>
        <v>その他喪失</v>
      </c>
    </row>
    <row r="622" customFormat="false" ht="15" hidden="false" customHeight="false" outlineLevel="0" collapsed="false">
      <c r="A622" s="0" t="n">
        <v>21</v>
      </c>
      <c r="AA622" s="0" t="n">
        <v>21</v>
      </c>
      <c r="AB622" s="0" t="s">
        <v>451</v>
      </c>
      <c r="AD622" s="0" t="n">
        <v>12</v>
      </c>
      <c r="AE622" s="0" t="s">
        <v>463</v>
      </c>
      <c r="AH622" s="0" t="n">
        <v>0</v>
      </c>
      <c r="AJ622" s="0" t="n">
        <v>10</v>
      </c>
      <c r="AP622" s="0" t="n">
        <v>1</v>
      </c>
      <c r="DB622" s="0" t="str">
        <f aca="false">IF($A622="","",IF($A622&lt;&gt;21,"対象外",IF($AE622&amp;""="00000000","在職",IF($AE622&amp;""=設定!$C$4,"4/1喪失","その他喪失"))))</f>
        <v>その他喪失</v>
      </c>
    </row>
    <row r="623" customFormat="false" ht="15" hidden="false" customHeight="false" outlineLevel="0" collapsed="false">
      <c r="A623" s="0" t="n">
        <v>31</v>
      </c>
      <c r="AA623" s="0" t="n">
        <v>21</v>
      </c>
      <c r="AB623" s="0" t="s">
        <v>553</v>
      </c>
      <c r="AD623" s="0" t="n">
        <v>12</v>
      </c>
      <c r="AE623" s="0" t="s">
        <v>494</v>
      </c>
      <c r="AH623" s="0" t="n">
        <v>20</v>
      </c>
      <c r="AJ623" s="0" t="n">
        <v>41</v>
      </c>
      <c r="AP623" s="0" t="n">
        <v>240000</v>
      </c>
      <c r="DB623" s="0" t="str">
        <f aca="false">IF($A623="","",IF($A623&lt;&gt;21,"対象外",IF($AE623&amp;""="00000000","在職",IF($AE623&amp;""=設定!$C$4,"4/1喪失","その他喪失"))))</f>
        <v>対象外</v>
      </c>
    </row>
    <row r="624" customFormat="false" ht="15" hidden="false" customHeight="false" outlineLevel="0" collapsed="false">
      <c r="A624" s="0" t="n">
        <v>21</v>
      </c>
      <c r="AA624" s="0" t="n">
        <v>21</v>
      </c>
      <c r="AB624" s="0" t="s">
        <v>459</v>
      </c>
      <c r="AD624" s="0" t="n">
        <v>12</v>
      </c>
      <c r="AE624" s="0" t="s">
        <v>463</v>
      </c>
      <c r="AH624" s="0" t="n">
        <v>0</v>
      </c>
      <c r="AJ624" s="0" t="n">
        <v>10</v>
      </c>
      <c r="AP624" s="0" t="n">
        <v>1</v>
      </c>
      <c r="DB624" s="0" t="str">
        <f aca="false">IF($A624="","",IF($A624&lt;&gt;21,"対象外",IF($AE624&amp;""="00000000","在職",IF($AE624&amp;""=設定!$C$4,"4/1喪失","その他喪失"))))</f>
        <v>その他喪失</v>
      </c>
    </row>
    <row r="625" customFormat="false" ht="15" hidden="false" customHeight="false" outlineLevel="0" collapsed="false">
      <c r="A625" s="0" t="n">
        <v>21</v>
      </c>
      <c r="AA625" s="0" t="n">
        <v>21</v>
      </c>
      <c r="AB625" s="0" t="s">
        <v>664</v>
      </c>
      <c r="AD625" s="0" t="n">
        <v>12</v>
      </c>
      <c r="AE625" s="0" t="s">
        <v>463</v>
      </c>
      <c r="AH625" s="0" t="n">
        <v>0</v>
      </c>
      <c r="AJ625" s="0" t="n">
        <v>10</v>
      </c>
      <c r="AP625" s="0" t="n">
        <v>1</v>
      </c>
      <c r="DB625" s="0" t="str">
        <f aca="false">IF($A625="","",IF($A625&lt;&gt;21,"対象外",IF($AE625&amp;""="00000000","在職",IF($AE625&amp;""=設定!$C$4,"4/1喪失","その他喪失"))))</f>
        <v>その他喪失</v>
      </c>
    </row>
    <row r="626" customFormat="false" ht="15" hidden="false" customHeight="false" outlineLevel="0" collapsed="false">
      <c r="A626" s="0" t="n">
        <v>31</v>
      </c>
      <c r="AA626" s="0" t="n">
        <v>21</v>
      </c>
      <c r="AB626" s="0" t="s">
        <v>496</v>
      </c>
      <c r="AD626" s="0" t="n">
        <v>12</v>
      </c>
      <c r="AE626" s="0" t="s">
        <v>494</v>
      </c>
      <c r="AH626" s="0" t="n">
        <v>1</v>
      </c>
      <c r="AJ626" s="0" t="n">
        <v>41</v>
      </c>
      <c r="AP626" s="0" t="n">
        <v>190000</v>
      </c>
      <c r="DB626" s="0" t="str">
        <f aca="false">IF($A626="","",IF($A626&lt;&gt;21,"対象外",IF($AE626&amp;""="00000000","在職",IF($AE626&amp;""=設定!$C$4,"4/1喪失","その他喪失"))))</f>
        <v>対象外</v>
      </c>
    </row>
    <row r="627" customFormat="false" ht="15" hidden="false" customHeight="false" outlineLevel="0" collapsed="false">
      <c r="A627" s="0" t="n">
        <v>21</v>
      </c>
      <c r="AA627" s="0" t="n">
        <v>21</v>
      </c>
      <c r="AB627" s="0" t="s">
        <v>409</v>
      </c>
      <c r="AD627" s="0" t="n">
        <v>12</v>
      </c>
      <c r="AE627" s="0" t="s">
        <v>476</v>
      </c>
      <c r="AH627" s="0" t="n">
        <v>1</v>
      </c>
      <c r="AJ627" s="0" t="n">
        <v>10</v>
      </c>
      <c r="AP627" s="0" t="n">
        <v>410000</v>
      </c>
      <c r="DB627" s="0" t="str">
        <f aca="false">IF($A627="","",IF($A627&lt;&gt;21,"対象外",IF($AE627&amp;""="00000000","在職",IF($AE627&amp;""=設定!$C$4,"4/1喪失","その他喪失"))))</f>
        <v>その他喪失</v>
      </c>
    </row>
    <row r="628" customFormat="false" ht="15" hidden="false" customHeight="false" outlineLevel="0" collapsed="false">
      <c r="A628" s="0" t="n">
        <v>31</v>
      </c>
      <c r="AA628" s="0" t="n">
        <v>24</v>
      </c>
      <c r="AB628" s="0" t="s">
        <v>518</v>
      </c>
      <c r="AD628" s="0" t="n">
        <v>12</v>
      </c>
      <c r="AE628" s="0" t="s">
        <v>294</v>
      </c>
      <c r="AH628" s="0" t="n">
        <v>1</v>
      </c>
      <c r="AJ628" s="0" t="n">
        <v>41</v>
      </c>
      <c r="AP628" s="0" t="n">
        <v>134000</v>
      </c>
      <c r="DB628" s="0" t="str">
        <f aca="false">IF($A628="","",IF($A628&lt;&gt;21,"対象外",IF($AE628&amp;""="00000000","在職",IF($AE628&amp;""=設定!$C$4,"4/1喪失","その他喪失"))))</f>
        <v>対象外</v>
      </c>
    </row>
    <row r="629" customFormat="false" ht="15" hidden="false" customHeight="false" outlineLevel="0" collapsed="false">
      <c r="A629" s="0" t="n">
        <v>21</v>
      </c>
      <c r="AA629" s="0" t="n">
        <v>21</v>
      </c>
      <c r="AB629" s="0" t="s">
        <v>404</v>
      </c>
      <c r="AD629" s="0" t="n">
        <v>11</v>
      </c>
      <c r="AE629" s="0" t="s">
        <v>96</v>
      </c>
      <c r="AH629" s="0" t="n">
        <v>1</v>
      </c>
      <c r="AJ629" s="0" t="n">
        <v>10</v>
      </c>
      <c r="AP629" s="0" t="n">
        <v>530000</v>
      </c>
      <c r="DB629" s="0" t="str">
        <f aca="false">IF($A629="","",IF($A629&lt;&gt;21,"対象外",IF($AE629&amp;""="00000000","在職",IF($AE629&amp;""=設定!$C$4,"4/1喪失","その他喪失"))))</f>
        <v>4/1喪失</v>
      </c>
    </row>
    <row r="630" customFormat="false" ht="15" hidden="false" customHeight="false" outlineLevel="0" collapsed="false">
      <c r="A630" s="0" t="n">
        <v>21</v>
      </c>
      <c r="AA630" s="0" t="n">
        <v>21</v>
      </c>
      <c r="AB630" s="0" t="s">
        <v>417</v>
      </c>
      <c r="AD630" s="0" t="n">
        <v>12</v>
      </c>
      <c r="AE630" s="0" t="s">
        <v>452</v>
      </c>
      <c r="AH630" s="0" t="n">
        <v>1</v>
      </c>
      <c r="AJ630" s="0" t="n">
        <v>10</v>
      </c>
      <c r="AP630" s="0" t="n">
        <v>530000</v>
      </c>
      <c r="DB630" s="0" t="str">
        <f aca="false">IF($A630="","",IF($A630&lt;&gt;21,"対象外",IF($AE630&amp;""="00000000","在職",IF($AE630&amp;""=設定!$C$4,"4/1喪失","その他喪失"))))</f>
        <v>その他喪失</v>
      </c>
    </row>
    <row r="631" customFormat="false" ht="15" hidden="false" customHeight="false" outlineLevel="0" collapsed="false">
      <c r="A631" s="0" t="n">
        <v>31</v>
      </c>
      <c r="AA631" s="0" t="n">
        <v>24</v>
      </c>
      <c r="AB631" s="0" t="s">
        <v>560</v>
      </c>
      <c r="AD631" s="0" t="n">
        <v>12</v>
      </c>
      <c r="AE631" s="0" t="s">
        <v>815</v>
      </c>
      <c r="AH631" s="0" t="n">
        <v>1</v>
      </c>
      <c r="AJ631" s="0" t="n">
        <v>41</v>
      </c>
      <c r="AP631" s="0" t="n">
        <v>118000</v>
      </c>
      <c r="DB631" s="0" t="str">
        <f aca="false">IF($A631="","",IF($A631&lt;&gt;21,"対象外",IF($AE631&amp;""="00000000","在職",IF($AE631&amp;""=設定!$C$4,"4/1喪失","その他喪失"))))</f>
        <v>対象外</v>
      </c>
    </row>
    <row r="632" customFormat="false" ht="15" hidden="false" customHeight="false" outlineLevel="0" collapsed="false">
      <c r="A632" s="0" t="n">
        <v>21</v>
      </c>
      <c r="AA632" s="0" t="n">
        <v>21</v>
      </c>
      <c r="AB632" s="0" t="s">
        <v>816</v>
      </c>
      <c r="AD632" s="0" t="n">
        <v>12</v>
      </c>
      <c r="AE632" s="0" t="s">
        <v>456</v>
      </c>
      <c r="AH632" s="0" t="n">
        <v>0</v>
      </c>
      <c r="AJ632" s="0" t="n">
        <v>10</v>
      </c>
      <c r="AP632" s="0" t="n">
        <v>1</v>
      </c>
      <c r="DB632" s="0" t="str">
        <f aca="false">IF($A632="","",IF($A632&lt;&gt;21,"対象外",IF($AE632&amp;""="00000000","在職",IF($AE632&amp;""=設定!$C$4,"4/1喪失","その他喪失"))))</f>
        <v>その他喪失</v>
      </c>
    </row>
    <row r="633" customFormat="false" ht="15" hidden="false" customHeight="false" outlineLevel="0" collapsed="false">
      <c r="A633" s="0" t="n">
        <v>21</v>
      </c>
      <c r="AA633" s="0" t="n">
        <v>21</v>
      </c>
      <c r="AB633" s="0" t="s">
        <v>448</v>
      </c>
      <c r="AD633" s="0" t="n">
        <v>12</v>
      </c>
      <c r="AE633" s="0" t="s">
        <v>457</v>
      </c>
      <c r="AH633" s="0" t="n">
        <v>0</v>
      </c>
      <c r="AJ633" s="0" t="n">
        <v>10</v>
      </c>
      <c r="AP633" s="0" t="n">
        <v>1</v>
      </c>
      <c r="DB633" s="0" t="str">
        <f aca="false">IF($A633="","",IF($A633&lt;&gt;21,"対象外",IF($AE633&amp;""="00000000","在職",IF($AE633&amp;""=設定!$C$4,"4/1喪失","その他喪失"))))</f>
        <v>その他喪失</v>
      </c>
    </row>
    <row r="634" customFormat="false" ht="15" hidden="false" customHeight="false" outlineLevel="0" collapsed="false">
      <c r="A634" s="0" t="n">
        <v>21</v>
      </c>
      <c r="AA634" s="0" t="n">
        <v>21</v>
      </c>
      <c r="AB634" s="0" t="s">
        <v>441</v>
      </c>
      <c r="AD634" s="0" t="n">
        <v>12</v>
      </c>
      <c r="AE634" s="0" t="s">
        <v>96</v>
      </c>
      <c r="AH634" s="0" t="n">
        <v>11</v>
      </c>
      <c r="AJ634" s="0" t="n">
        <v>10</v>
      </c>
      <c r="AP634" s="0" t="n">
        <v>410000</v>
      </c>
      <c r="DB634" s="0" t="str">
        <f aca="false">IF($A634="","",IF($A634&lt;&gt;21,"対象外",IF($AE634&amp;""="00000000","在職",IF($AE634&amp;""=設定!$C$4,"4/1喪失","その他喪失"))))</f>
        <v>4/1喪失</v>
      </c>
    </row>
    <row r="635" customFormat="false" ht="15" hidden="false" customHeight="false" outlineLevel="0" collapsed="false">
      <c r="A635" s="0" t="n">
        <v>21</v>
      </c>
      <c r="AA635" s="0" t="n">
        <v>21</v>
      </c>
      <c r="AB635" s="0" t="s">
        <v>817</v>
      </c>
      <c r="AD635" s="0" t="n">
        <v>12</v>
      </c>
      <c r="AE635" s="0" t="s">
        <v>463</v>
      </c>
      <c r="AH635" s="0" t="n">
        <v>0</v>
      </c>
      <c r="AJ635" s="0" t="n">
        <v>10</v>
      </c>
      <c r="AP635" s="0" t="n">
        <v>119301</v>
      </c>
      <c r="DB635" s="0" t="str">
        <f aca="false">IF($A635="","",IF($A635&lt;&gt;21,"対象外",IF($AE635&amp;""="00000000","在職",IF($AE635&amp;""=設定!$C$4,"4/1喪失","その他喪失"))))</f>
        <v>その他喪失</v>
      </c>
    </row>
    <row r="636" customFormat="false" ht="15" hidden="false" customHeight="false" outlineLevel="0" collapsed="false">
      <c r="A636" s="0" t="n">
        <v>21</v>
      </c>
      <c r="AA636" s="0" t="n">
        <v>21</v>
      </c>
      <c r="AB636" s="0" t="s">
        <v>603</v>
      </c>
      <c r="AD636" s="0" t="n">
        <v>12</v>
      </c>
      <c r="AE636" s="0" t="s">
        <v>459</v>
      </c>
      <c r="AH636" s="0" t="n">
        <v>0</v>
      </c>
      <c r="AJ636" s="0" t="n">
        <v>10</v>
      </c>
      <c r="AP636" s="0" t="n">
        <v>298755</v>
      </c>
      <c r="DB636" s="0" t="str">
        <f aca="false">IF($A636="","",IF($A636&lt;&gt;21,"対象外",IF($AE636&amp;""="00000000","在職",IF($AE636&amp;""=設定!$C$4,"4/1喪失","その他喪失"))))</f>
        <v>その他喪失</v>
      </c>
    </row>
    <row r="637" customFormat="false" ht="15" hidden="false" customHeight="false" outlineLevel="0" collapsed="false">
      <c r="A637" s="0" t="n">
        <v>21</v>
      </c>
      <c r="AA637" s="0" t="n">
        <v>21</v>
      </c>
      <c r="AB637" s="0" t="s">
        <v>818</v>
      </c>
      <c r="AD637" s="0" t="n">
        <v>12</v>
      </c>
      <c r="AE637" s="0" t="s">
        <v>463</v>
      </c>
      <c r="AH637" s="0" t="n">
        <v>0</v>
      </c>
      <c r="AJ637" s="0" t="n">
        <v>10</v>
      </c>
      <c r="AP637" s="0" t="n">
        <v>1</v>
      </c>
      <c r="DB637" s="0" t="str">
        <f aca="false">IF($A637="","",IF($A637&lt;&gt;21,"対象外",IF($AE637&amp;""="00000000","在職",IF($AE637&amp;""=設定!$C$4,"4/1喪失","その他喪失"))))</f>
        <v>その他喪失</v>
      </c>
    </row>
    <row r="638" customFormat="false" ht="15" hidden="false" customHeight="false" outlineLevel="0" collapsed="false">
      <c r="A638" s="0" t="n">
        <v>31</v>
      </c>
      <c r="AA638" s="0" t="n">
        <v>21</v>
      </c>
      <c r="AB638" s="0" t="s">
        <v>582</v>
      </c>
      <c r="AD638" s="0" t="n">
        <v>12</v>
      </c>
      <c r="AE638" s="0" t="s">
        <v>301</v>
      </c>
      <c r="AH638" s="0" t="n">
        <v>20</v>
      </c>
      <c r="AJ638" s="0" t="n">
        <v>41</v>
      </c>
      <c r="AP638" s="0" t="n">
        <v>200000</v>
      </c>
      <c r="DB638" s="0" t="str">
        <f aca="false">IF($A638="","",IF($A638&lt;&gt;21,"対象外",IF($AE638&amp;""="00000000","在職",IF($AE638&amp;""=設定!$C$4,"4/1喪失","その他喪失"))))</f>
        <v>対象外</v>
      </c>
    </row>
    <row r="639" customFormat="false" ht="15" hidden="false" customHeight="false" outlineLevel="0" collapsed="false">
      <c r="A639" s="0" t="n">
        <v>21</v>
      </c>
      <c r="AA639" s="0" t="n">
        <v>21</v>
      </c>
      <c r="AB639" s="0" t="s">
        <v>462</v>
      </c>
      <c r="AD639" s="0" t="n">
        <v>12</v>
      </c>
      <c r="AE639" s="0" t="s">
        <v>463</v>
      </c>
      <c r="AH639" s="0" t="n">
        <v>0</v>
      </c>
      <c r="AJ639" s="0" t="n">
        <v>10</v>
      </c>
      <c r="AP639" s="0" t="n">
        <v>157733</v>
      </c>
      <c r="DB639" s="0" t="str">
        <f aca="false">IF($A639="","",IF($A639&lt;&gt;21,"対象外",IF($AE639&amp;""="00000000","在職",IF($AE639&amp;""=設定!$C$4,"4/1喪失","その他喪失"))))</f>
        <v>その他喪失</v>
      </c>
    </row>
    <row r="640" customFormat="false" ht="15" hidden="false" customHeight="false" outlineLevel="0" collapsed="false">
      <c r="A640" s="0" t="n">
        <v>21</v>
      </c>
      <c r="AA640" s="0" t="n">
        <v>21</v>
      </c>
      <c r="AB640" s="0" t="s">
        <v>409</v>
      </c>
      <c r="AD640" s="0" t="n">
        <v>12</v>
      </c>
      <c r="AE640" s="0" t="s">
        <v>96</v>
      </c>
      <c r="AH640" s="0" t="n">
        <v>21</v>
      </c>
      <c r="AJ640" s="0" t="n">
        <v>74</v>
      </c>
      <c r="AP640" s="0" t="n">
        <v>560000</v>
      </c>
      <c r="DB640" s="0" t="str">
        <f aca="false">IF($A640="","",IF($A640&lt;&gt;21,"対象外",IF($AE640&amp;""="00000000","在職",IF($AE640&amp;""=設定!$C$4,"4/1喪失","その他喪失"))))</f>
        <v>4/1喪失</v>
      </c>
    </row>
    <row r="641" customFormat="false" ht="15" hidden="false" customHeight="false" outlineLevel="0" collapsed="false">
      <c r="A641" s="0" t="n">
        <v>31</v>
      </c>
      <c r="AA641" s="0" t="n">
        <v>21</v>
      </c>
      <c r="AB641" s="0" t="s">
        <v>476</v>
      </c>
      <c r="AD641" s="0" t="n">
        <v>12</v>
      </c>
      <c r="AE641" s="0" t="s">
        <v>494</v>
      </c>
      <c r="AH641" s="0" t="n">
        <v>1</v>
      </c>
      <c r="AJ641" s="0" t="n">
        <v>10</v>
      </c>
      <c r="AP641" s="0" t="n">
        <v>220000</v>
      </c>
      <c r="DB641" s="0" t="str">
        <f aca="false">IF($A641="","",IF($A641&lt;&gt;21,"対象外",IF($AE641&amp;""="00000000","在職",IF($AE641&amp;""=設定!$C$4,"4/1喪失","その他喪失"))))</f>
        <v>対象外</v>
      </c>
    </row>
    <row r="642" customFormat="false" ht="15" hidden="false" customHeight="false" outlineLevel="0" collapsed="false">
      <c r="A642" s="0" t="n">
        <v>31</v>
      </c>
      <c r="AA642" s="0" t="n">
        <v>21</v>
      </c>
      <c r="AB642" s="0" t="s">
        <v>496</v>
      </c>
      <c r="AD642" s="0" t="n">
        <v>12</v>
      </c>
      <c r="AE642" s="0" t="s">
        <v>96</v>
      </c>
      <c r="AH642" s="0" t="n">
        <v>1</v>
      </c>
      <c r="AJ642" s="0" t="n">
        <v>41</v>
      </c>
      <c r="AP642" s="0" t="n">
        <v>220000</v>
      </c>
      <c r="DB642" s="0" t="str">
        <f aca="false">IF($A642="","",IF($A642&lt;&gt;21,"対象外",IF($AE642&amp;""="00000000","在職",IF($AE642&amp;""=設定!$C$4,"4/1喪失","その他喪失"))))</f>
        <v>対象外</v>
      </c>
    </row>
    <row r="643" customFormat="false" ht="15" hidden="false" customHeight="false" outlineLevel="0" collapsed="false">
      <c r="A643" s="0" t="n">
        <v>31</v>
      </c>
      <c r="AA643" s="0" t="n">
        <v>21</v>
      </c>
      <c r="AB643" s="0" t="s">
        <v>496</v>
      </c>
      <c r="AD643" s="0" t="n">
        <v>12</v>
      </c>
      <c r="AE643" s="0" t="s">
        <v>494</v>
      </c>
      <c r="AH643" s="0" t="n">
        <v>1</v>
      </c>
      <c r="AJ643" s="0" t="n">
        <v>41</v>
      </c>
      <c r="AP643" s="0" t="n">
        <v>118000</v>
      </c>
      <c r="DB643" s="0" t="str">
        <f aca="false">IF($A643="","",IF($A643&lt;&gt;21,"対象外",IF($AE643&amp;""="00000000","在職",IF($AE643&amp;""=設定!$C$4,"4/1喪失","その他喪失"))))</f>
        <v>対象外</v>
      </c>
    </row>
    <row r="644" customFormat="false" ht="15" hidden="false" customHeight="false" outlineLevel="0" collapsed="false">
      <c r="A644" s="0" t="n">
        <v>21</v>
      </c>
      <c r="AA644" s="0" t="n">
        <v>21</v>
      </c>
      <c r="AB644" s="0" t="s">
        <v>436</v>
      </c>
      <c r="AD644" s="0" t="n">
        <v>12</v>
      </c>
      <c r="AE644" s="0" t="s">
        <v>463</v>
      </c>
      <c r="AH644" s="0" t="n">
        <v>0</v>
      </c>
      <c r="AJ644" s="0" t="n">
        <v>10</v>
      </c>
      <c r="AP644" s="0" t="n">
        <v>1</v>
      </c>
      <c r="DB644" s="0" t="str">
        <f aca="false">IF($A644="","",IF($A644&lt;&gt;21,"対象外",IF($AE644&amp;""="00000000","在職",IF($AE644&amp;""=設定!$C$4,"4/1喪失","その他喪失"))))</f>
        <v>その他喪失</v>
      </c>
    </row>
    <row r="645" customFormat="false" ht="15" hidden="false" customHeight="false" outlineLevel="0" collapsed="false">
      <c r="A645" s="0" t="n">
        <v>21</v>
      </c>
      <c r="AA645" s="0" t="n">
        <v>21</v>
      </c>
      <c r="AB645" s="0" t="s">
        <v>404</v>
      </c>
      <c r="AD645" s="0" t="n">
        <v>12</v>
      </c>
      <c r="AE645" s="0" t="s">
        <v>477</v>
      </c>
      <c r="AH645" s="0" t="n">
        <v>11</v>
      </c>
      <c r="AJ645" s="0" t="n">
        <v>10</v>
      </c>
      <c r="AP645" s="0" t="n">
        <v>560000</v>
      </c>
      <c r="DB645" s="0" t="str">
        <f aca="false">IF($A645="","",IF($A645&lt;&gt;21,"対象外",IF($AE645&amp;""="00000000","在職",IF($AE645&amp;""=設定!$C$4,"4/1喪失","その他喪失"))))</f>
        <v>その他喪失</v>
      </c>
    </row>
    <row r="646" customFormat="false" ht="15" hidden="false" customHeight="false" outlineLevel="0" collapsed="false">
      <c r="A646" s="0" t="n">
        <v>21</v>
      </c>
      <c r="AA646" s="0" t="n">
        <v>21</v>
      </c>
      <c r="AB646" s="0" t="s">
        <v>409</v>
      </c>
      <c r="AD646" s="0" t="n">
        <v>12</v>
      </c>
      <c r="AE646" s="0" t="s">
        <v>96</v>
      </c>
      <c r="AH646" s="0" t="n">
        <v>1</v>
      </c>
      <c r="AJ646" s="0" t="n">
        <v>10</v>
      </c>
      <c r="AP646" s="0" t="n">
        <v>500000</v>
      </c>
      <c r="DB646" s="0" t="str">
        <f aca="false">IF($A646="","",IF($A646&lt;&gt;21,"対象外",IF($AE646&amp;""="00000000","在職",IF($AE646&amp;""=設定!$C$4,"4/1喪失","その他喪失"))))</f>
        <v>4/1喪失</v>
      </c>
    </row>
    <row r="647" customFormat="false" ht="15" hidden="false" customHeight="false" outlineLevel="0" collapsed="false">
      <c r="A647" s="0" t="n">
        <v>31</v>
      </c>
      <c r="AA647" s="0" t="n">
        <v>21</v>
      </c>
      <c r="AB647" s="0" t="s">
        <v>96</v>
      </c>
      <c r="AD647" s="0" t="n">
        <v>12</v>
      </c>
      <c r="AE647" s="0" t="s">
        <v>296</v>
      </c>
      <c r="AH647" s="0" t="n">
        <v>1</v>
      </c>
      <c r="AJ647" s="0" t="n">
        <v>41</v>
      </c>
      <c r="AP647" s="0" t="n">
        <v>220000</v>
      </c>
      <c r="DB647" s="0" t="str">
        <f aca="false">IF($A647="","",IF($A647&lt;&gt;21,"対象外",IF($AE647&amp;""="00000000","在職",IF($AE647&amp;""=設定!$C$4,"4/1喪失","その他喪失"))))</f>
        <v>対象外</v>
      </c>
    </row>
    <row r="648" customFormat="false" ht="15" hidden="false" customHeight="false" outlineLevel="0" collapsed="false">
      <c r="A648" s="0" t="n">
        <v>21</v>
      </c>
      <c r="AA648" s="0" t="n">
        <v>21</v>
      </c>
      <c r="AB648" s="0" t="s">
        <v>819</v>
      </c>
      <c r="AD648" s="0" t="n">
        <v>12</v>
      </c>
      <c r="AE648" s="0" t="s">
        <v>463</v>
      </c>
      <c r="AH648" s="0" t="n">
        <v>0</v>
      </c>
      <c r="AJ648" s="0" t="n">
        <v>10</v>
      </c>
      <c r="AP648" s="0" t="n">
        <v>1</v>
      </c>
      <c r="DB648" s="0" t="str">
        <f aca="false">IF($A648="","",IF($A648&lt;&gt;21,"対象外",IF($AE648&amp;""="00000000","在職",IF($AE648&amp;""=設定!$C$4,"4/1喪失","その他喪失"))))</f>
        <v>その他喪失</v>
      </c>
    </row>
    <row r="649" customFormat="false" ht="15" hidden="false" customHeight="false" outlineLevel="0" collapsed="false">
      <c r="A649" s="0" t="n">
        <v>21</v>
      </c>
      <c r="AA649" s="0" t="n">
        <v>21</v>
      </c>
      <c r="AB649" s="0" t="s">
        <v>436</v>
      </c>
      <c r="AD649" s="0" t="n">
        <v>12</v>
      </c>
      <c r="AE649" s="0" t="s">
        <v>410</v>
      </c>
      <c r="AH649" s="0" t="n">
        <v>11</v>
      </c>
      <c r="AJ649" s="0" t="n">
        <v>10</v>
      </c>
      <c r="AP649" s="0" t="n">
        <v>410000</v>
      </c>
      <c r="DB649" s="0" t="str">
        <f aca="false">IF($A649="","",IF($A649&lt;&gt;21,"対象外",IF($AE649&amp;""="00000000","在職",IF($AE649&amp;""=設定!$C$4,"4/1喪失","その他喪失"))))</f>
        <v>その他喪失</v>
      </c>
    </row>
    <row r="650" customFormat="false" ht="15" hidden="false" customHeight="false" outlineLevel="0" collapsed="false">
      <c r="A650" s="0" t="n">
        <v>21</v>
      </c>
      <c r="AA650" s="0" t="n">
        <v>21</v>
      </c>
      <c r="AB650" s="0" t="s">
        <v>413</v>
      </c>
      <c r="AD650" s="0" t="n">
        <v>12</v>
      </c>
      <c r="AE650" s="0" t="s">
        <v>494</v>
      </c>
      <c r="AH650" s="0" t="n">
        <v>1</v>
      </c>
      <c r="AJ650" s="0" t="n">
        <v>10</v>
      </c>
      <c r="AP650" s="0" t="n">
        <v>590000</v>
      </c>
      <c r="DB650" s="0" t="str">
        <f aca="false">IF($A650="","",IF($A650&lt;&gt;21,"対象外",IF($AE650&amp;""="00000000","在職",IF($AE650&amp;""=設定!$C$4,"4/1喪失","その他喪失"))))</f>
        <v>その他喪失</v>
      </c>
    </row>
    <row r="651" customFormat="false" ht="15" hidden="false" customHeight="false" outlineLevel="0" collapsed="false">
      <c r="A651" s="0" t="n">
        <v>21</v>
      </c>
      <c r="AA651" s="0" t="n">
        <v>21</v>
      </c>
      <c r="AB651" s="0" t="s">
        <v>451</v>
      </c>
      <c r="AD651" s="0" t="n">
        <v>12</v>
      </c>
      <c r="AE651" s="0" t="s">
        <v>463</v>
      </c>
      <c r="AH651" s="0" t="n">
        <v>0</v>
      </c>
      <c r="AJ651" s="0" t="n">
        <v>10</v>
      </c>
      <c r="AP651" s="0" t="n">
        <v>1</v>
      </c>
      <c r="DB651" s="0" t="str">
        <f aca="false">IF($A651="","",IF($A651&lt;&gt;21,"対象外",IF($AE651&amp;""="00000000","在職",IF($AE651&amp;""=設定!$C$4,"4/1喪失","その他喪失"))))</f>
        <v>その他喪失</v>
      </c>
    </row>
    <row r="652" customFormat="false" ht="15" hidden="false" customHeight="false" outlineLevel="0" collapsed="false">
      <c r="A652" s="0" t="n">
        <v>31</v>
      </c>
      <c r="AA652" s="0" t="n">
        <v>21</v>
      </c>
      <c r="AB652" s="0" t="s">
        <v>496</v>
      </c>
      <c r="AD652" s="0" t="n">
        <v>12</v>
      </c>
      <c r="AE652" s="0" t="s">
        <v>564</v>
      </c>
      <c r="AH652" s="0" t="n">
        <v>1</v>
      </c>
      <c r="AJ652" s="0" t="n">
        <v>41</v>
      </c>
      <c r="AP652" s="0" t="n">
        <v>110000</v>
      </c>
      <c r="DB652" s="0" t="str">
        <f aca="false">IF($A652="","",IF($A652&lt;&gt;21,"対象外",IF($AE652&amp;""="00000000","在職",IF($AE652&amp;""=設定!$C$4,"4/1喪失","その他喪失"))))</f>
        <v>対象外</v>
      </c>
    </row>
    <row r="653" customFormat="false" ht="15" hidden="false" customHeight="false" outlineLevel="0" collapsed="false">
      <c r="A653" s="0" t="n">
        <v>31</v>
      </c>
      <c r="AA653" s="0" t="n">
        <v>21</v>
      </c>
      <c r="AB653" s="0" t="s">
        <v>496</v>
      </c>
      <c r="AD653" s="0" t="n">
        <v>12</v>
      </c>
      <c r="AE653" s="0" t="s">
        <v>692</v>
      </c>
      <c r="AH653" s="0" t="n">
        <v>11</v>
      </c>
      <c r="AJ653" s="0" t="n">
        <v>41</v>
      </c>
      <c r="AP653" s="0" t="n">
        <v>104000</v>
      </c>
      <c r="DB653" s="0" t="str">
        <f aca="false">IF($A653="","",IF($A653&lt;&gt;21,"対象外",IF($AE653&amp;""="00000000","在職",IF($AE653&amp;""=設定!$C$4,"4/1喪失","その他喪失"))))</f>
        <v>対象外</v>
      </c>
    </row>
    <row r="654" customFormat="false" ht="15" hidden="false" customHeight="false" outlineLevel="0" collapsed="false">
      <c r="A654" s="0" t="n">
        <v>21</v>
      </c>
      <c r="AA654" s="0" t="n">
        <v>21</v>
      </c>
      <c r="AB654" s="0" t="s">
        <v>401</v>
      </c>
      <c r="AD654" s="0" t="n">
        <v>12</v>
      </c>
      <c r="AE654" s="0" t="s">
        <v>458</v>
      </c>
      <c r="AH654" s="0" t="n">
        <v>20</v>
      </c>
      <c r="AJ654" s="0" t="n">
        <v>10</v>
      </c>
      <c r="AP654" s="0" t="n">
        <v>590000</v>
      </c>
      <c r="DB654" s="0" t="str">
        <f aca="false">IF($A654="","",IF($A654&lt;&gt;21,"対象外",IF($AE654&amp;""="00000000","在職",IF($AE654&amp;""=設定!$C$4,"4/1喪失","その他喪失"))))</f>
        <v>その他喪失</v>
      </c>
    </row>
    <row r="655" customFormat="false" ht="15" hidden="false" customHeight="false" outlineLevel="0" collapsed="false">
      <c r="A655" s="0" t="n">
        <v>21</v>
      </c>
      <c r="AA655" s="0" t="n">
        <v>21</v>
      </c>
      <c r="AB655" s="0" t="s">
        <v>413</v>
      </c>
      <c r="AD655" s="0" t="n">
        <v>12</v>
      </c>
      <c r="AE655" s="0" t="s">
        <v>96</v>
      </c>
      <c r="AH655" s="0" t="n">
        <v>1</v>
      </c>
      <c r="AJ655" s="0" t="n">
        <v>10</v>
      </c>
      <c r="AP655" s="0" t="n">
        <v>560000</v>
      </c>
      <c r="DB655" s="0" t="str">
        <f aca="false">IF($A655="","",IF($A655&lt;&gt;21,"対象外",IF($AE655&amp;""="00000000","在職",IF($AE655&amp;""=設定!$C$4,"4/1喪失","その他喪失"))))</f>
        <v>4/1喪失</v>
      </c>
    </row>
    <row r="656" customFormat="false" ht="15" hidden="false" customHeight="false" outlineLevel="0" collapsed="false">
      <c r="A656" s="0" t="n">
        <v>31</v>
      </c>
      <c r="AA656" s="0" t="n">
        <v>24</v>
      </c>
      <c r="AB656" s="0" t="s">
        <v>504</v>
      </c>
      <c r="AD656" s="0" t="n">
        <v>12</v>
      </c>
      <c r="AE656" s="0" t="s">
        <v>96</v>
      </c>
      <c r="AH656" s="0" t="n">
        <v>1</v>
      </c>
      <c r="AJ656" s="0" t="n">
        <v>41</v>
      </c>
      <c r="AP656" s="0" t="n">
        <v>126000</v>
      </c>
      <c r="DB656" s="0" t="str">
        <f aca="false">IF($A656="","",IF($A656&lt;&gt;21,"対象外",IF($AE656&amp;""="00000000","在職",IF($AE656&amp;""=設定!$C$4,"4/1喪失","その他喪失"))))</f>
        <v>対象外</v>
      </c>
    </row>
    <row r="657" customFormat="false" ht="15" hidden="false" customHeight="false" outlineLevel="0" collapsed="false">
      <c r="A657" s="0" t="n">
        <v>21</v>
      </c>
      <c r="AA657" s="0" t="n">
        <v>21</v>
      </c>
      <c r="AB657" s="0" t="s">
        <v>807</v>
      </c>
      <c r="AD657" s="0" t="n">
        <v>12</v>
      </c>
      <c r="AE657" s="0" t="s">
        <v>457</v>
      </c>
      <c r="AH657" s="0" t="n">
        <v>0</v>
      </c>
      <c r="AJ657" s="0" t="n">
        <v>10</v>
      </c>
      <c r="AP657" s="0" t="n">
        <v>1</v>
      </c>
      <c r="DB657" s="0" t="str">
        <f aca="false">IF($A657="","",IF($A657&lt;&gt;21,"対象外",IF($AE657&amp;""="00000000","在職",IF($AE657&amp;""=設定!$C$4,"4/1喪失","その他喪失"))))</f>
        <v>その他喪失</v>
      </c>
    </row>
    <row r="658" customFormat="false" ht="15" hidden="false" customHeight="false" outlineLevel="0" collapsed="false">
      <c r="A658" s="0" t="n">
        <v>21</v>
      </c>
      <c r="AA658" s="0" t="n">
        <v>21</v>
      </c>
      <c r="AB658" s="0" t="s">
        <v>820</v>
      </c>
      <c r="AD658" s="0" t="n">
        <v>12</v>
      </c>
      <c r="AE658" s="0" t="s">
        <v>821</v>
      </c>
      <c r="AH658" s="0" t="n">
        <v>0</v>
      </c>
      <c r="AJ658" s="0" t="n">
        <v>10</v>
      </c>
      <c r="AP658" s="0" t="n">
        <v>1</v>
      </c>
      <c r="DB658" s="0" t="str">
        <f aca="false">IF($A658="","",IF($A658&lt;&gt;21,"対象外",IF($AE658&amp;""="00000000","在職",IF($AE658&amp;""=設定!$C$4,"4/1喪失","その他喪失"))))</f>
        <v>その他喪失</v>
      </c>
    </row>
    <row r="659" customFormat="false" ht="15" hidden="false" customHeight="false" outlineLevel="0" collapsed="false">
      <c r="A659" s="0" t="n">
        <v>21</v>
      </c>
      <c r="AA659" s="0" t="n">
        <v>21</v>
      </c>
      <c r="AB659" s="0" t="s">
        <v>401</v>
      </c>
      <c r="AD659" s="0" t="n">
        <v>12</v>
      </c>
      <c r="AE659" s="0" t="s">
        <v>96</v>
      </c>
      <c r="AH659" s="0" t="n">
        <v>20</v>
      </c>
      <c r="AJ659" s="0" t="n">
        <v>10</v>
      </c>
      <c r="AP659" s="0" t="n">
        <v>680000</v>
      </c>
      <c r="DB659" s="0" t="str">
        <f aca="false">IF($A659="","",IF($A659&lt;&gt;21,"対象外",IF($AE659&amp;""="00000000","在職",IF($AE659&amp;""=設定!$C$4,"4/1喪失","その他喪失"))))</f>
        <v>4/1喪失</v>
      </c>
    </row>
    <row r="660" customFormat="false" ht="15" hidden="false" customHeight="false" outlineLevel="0" collapsed="false">
      <c r="A660" s="0" t="n">
        <v>21</v>
      </c>
      <c r="AA660" s="0" t="n">
        <v>21</v>
      </c>
      <c r="AB660" s="0" t="s">
        <v>822</v>
      </c>
      <c r="AD660" s="0" t="n">
        <v>12</v>
      </c>
      <c r="AE660" s="0" t="s">
        <v>463</v>
      </c>
      <c r="AH660" s="0" t="n">
        <v>0</v>
      </c>
      <c r="AJ660" s="0" t="n">
        <v>10</v>
      </c>
      <c r="AP660" s="0" t="n">
        <v>1</v>
      </c>
      <c r="DB660" s="0" t="str">
        <f aca="false">IF($A660="","",IF($A660&lt;&gt;21,"対象外",IF($AE660&amp;""="00000000","在職",IF($AE660&amp;""=設定!$C$4,"4/1喪失","その他喪失"))))</f>
        <v>その他喪失</v>
      </c>
    </row>
    <row r="661" customFormat="false" ht="15" hidden="false" customHeight="false" outlineLevel="0" collapsed="false">
      <c r="A661" s="0" t="n">
        <v>21</v>
      </c>
      <c r="AA661" s="0" t="n">
        <v>21</v>
      </c>
      <c r="AB661" s="0" t="s">
        <v>453</v>
      </c>
      <c r="AD661" s="0" t="n">
        <v>12</v>
      </c>
      <c r="AE661" s="0" t="s">
        <v>463</v>
      </c>
      <c r="AH661" s="0" t="n">
        <v>0</v>
      </c>
      <c r="AJ661" s="0" t="n">
        <v>10</v>
      </c>
      <c r="AP661" s="0" t="n">
        <v>1</v>
      </c>
      <c r="DB661" s="0" t="str">
        <f aca="false">IF($A661="","",IF($A661&lt;&gt;21,"対象外",IF($AE661&amp;""="00000000","在職",IF($AE661&amp;""=設定!$C$4,"4/1喪失","その他喪失"))))</f>
        <v>その他喪失</v>
      </c>
    </row>
    <row r="662" customFormat="false" ht="15" hidden="false" customHeight="false" outlineLevel="0" collapsed="false">
      <c r="A662" s="0" t="n">
        <v>21</v>
      </c>
      <c r="AA662" s="0" t="n">
        <v>21</v>
      </c>
      <c r="AB662" s="0" t="s">
        <v>394</v>
      </c>
      <c r="AD662" s="0" t="n">
        <v>12</v>
      </c>
      <c r="AE662" s="0" t="s">
        <v>494</v>
      </c>
      <c r="AH662" s="0" t="n">
        <v>1</v>
      </c>
      <c r="AJ662" s="0" t="n">
        <v>10</v>
      </c>
      <c r="AP662" s="0" t="n">
        <v>500000</v>
      </c>
      <c r="DB662" s="0" t="str">
        <f aca="false">IF($A662="","",IF($A662&lt;&gt;21,"対象外",IF($AE662&amp;""="00000000","在職",IF($AE662&amp;""=設定!$C$4,"4/1喪失","その他喪失"))))</f>
        <v>その他喪失</v>
      </c>
    </row>
    <row r="663" customFormat="false" ht="15" hidden="false" customHeight="false" outlineLevel="0" collapsed="false">
      <c r="A663" s="0" t="n">
        <v>21</v>
      </c>
      <c r="AA663" s="0" t="n">
        <v>21</v>
      </c>
      <c r="AB663" s="0" t="s">
        <v>453</v>
      </c>
      <c r="AD663" s="0" t="n">
        <v>12</v>
      </c>
      <c r="AE663" s="0" t="s">
        <v>463</v>
      </c>
      <c r="AH663" s="0" t="n">
        <v>0</v>
      </c>
      <c r="AJ663" s="0" t="n">
        <v>10</v>
      </c>
      <c r="AP663" s="0" t="n">
        <v>1</v>
      </c>
      <c r="DB663" s="0" t="str">
        <f aca="false">IF($A663="","",IF($A663&lt;&gt;21,"対象外",IF($AE663&amp;""="00000000","在職",IF($AE663&amp;""=設定!$C$4,"4/1喪失","その他喪失"))))</f>
        <v>その他喪失</v>
      </c>
    </row>
    <row r="664" customFormat="false" ht="15" hidden="false" customHeight="false" outlineLevel="0" collapsed="false">
      <c r="A664" s="0" t="n">
        <v>21</v>
      </c>
      <c r="AA664" s="0" t="n">
        <v>21</v>
      </c>
      <c r="AB664" s="0" t="s">
        <v>690</v>
      </c>
      <c r="AD664" s="0" t="n">
        <v>12</v>
      </c>
      <c r="AE664" s="0" t="s">
        <v>823</v>
      </c>
      <c r="AH664" s="0" t="n">
        <v>0</v>
      </c>
      <c r="AJ664" s="0" t="n">
        <v>10</v>
      </c>
      <c r="AP664" s="0" t="n">
        <v>123732</v>
      </c>
      <c r="DB664" s="0" t="str">
        <f aca="false">IF($A664="","",IF($A664&lt;&gt;21,"対象外",IF($AE664&amp;""="00000000","在職",IF($AE664&amp;""=設定!$C$4,"4/1喪失","その他喪失"))))</f>
        <v>その他喪失</v>
      </c>
    </row>
    <row r="665" customFormat="false" ht="15" hidden="false" customHeight="false" outlineLevel="0" collapsed="false">
      <c r="A665" s="0" t="n">
        <v>21</v>
      </c>
      <c r="AA665" s="0" t="n">
        <v>21</v>
      </c>
      <c r="AB665" s="0" t="s">
        <v>451</v>
      </c>
      <c r="AD665" s="0" t="n">
        <v>12</v>
      </c>
      <c r="AE665" s="0" t="s">
        <v>459</v>
      </c>
      <c r="AH665" s="0" t="n">
        <v>0</v>
      </c>
      <c r="AJ665" s="0" t="n">
        <v>10</v>
      </c>
      <c r="AP665" s="0" t="n">
        <v>169900</v>
      </c>
      <c r="DB665" s="0" t="str">
        <f aca="false">IF($A665="","",IF($A665&lt;&gt;21,"対象外",IF($AE665&amp;""="00000000","在職",IF($AE665&amp;""=設定!$C$4,"4/1喪失","その他喪失"))))</f>
        <v>その他喪失</v>
      </c>
    </row>
    <row r="666" customFormat="false" ht="15" hidden="false" customHeight="false" outlineLevel="0" collapsed="false">
      <c r="A666" s="0" t="n">
        <v>21</v>
      </c>
      <c r="AA666" s="0" t="n">
        <v>21</v>
      </c>
      <c r="AB666" s="0" t="s">
        <v>683</v>
      </c>
      <c r="AD666" s="0" t="n">
        <v>12</v>
      </c>
      <c r="AE666" s="0" t="s">
        <v>708</v>
      </c>
      <c r="AH666" s="0" t="n">
        <v>0</v>
      </c>
      <c r="AJ666" s="0" t="n">
        <v>10</v>
      </c>
      <c r="AP666" s="0" t="n">
        <v>154200</v>
      </c>
      <c r="DB666" s="0" t="str">
        <f aca="false">IF($A666="","",IF($A666&lt;&gt;21,"対象外",IF($AE666&amp;""="00000000","在職",IF($AE666&amp;""=設定!$C$4,"4/1喪失","その他喪失"))))</f>
        <v>その他喪失</v>
      </c>
    </row>
    <row r="667" customFormat="false" ht="15" hidden="false" customHeight="false" outlineLevel="0" collapsed="false">
      <c r="A667" s="0" t="n">
        <v>21</v>
      </c>
      <c r="AA667" s="0" t="n">
        <v>21</v>
      </c>
      <c r="AB667" s="0" t="s">
        <v>403</v>
      </c>
      <c r="AD667" s="0" t="n">
        <v>12</v>
      </c>
      <c r="AE667" s="0" t="s">
        <v>96</v>
      </c>
      <c r="AH667" s="0" t="n">
        <v>20</v>
      </c>
      <c r="AJ667" s="0" t="n">
        <v>10</v>
      </c>
      <c r="AP667" s="0" t="n">
        <v>560000</v>
      </c>
      <c r="DB667" s="0" t="str">
        <f aca="false">IF($A667="","",IF($A667&lt;&gt;21,"対象外",IF($AE667&amp;""="00000000","在職",IF($AE667&amp;""=設定!$C$4,"4/1喪失","その他喪失"))))</f>
        <v>4/1喪失</v>
      </c>
    </row>
    <row r="668" customFormat="false" ht="15" hidden="false" customHeight="false" outlineLevel="0" collapsed="false">
      <c r="A668" s="0" t="n">
        <v>21</v>
      </c>
      <c r="AA668" s="0" t="n">
        <v>21</v>
      </c>
      <c r="AB668" s="0" t="s">
        <v>441</v>
      </c>
      <c r="AD668" s="0" t="n">
        <v>12</v>
      </c>
      <c r="AE668" s="0" t="s">
        <v>463</v>
      </c>
      <c r="AH668" s="0" t="n">
        <v>0</v>
      </c>
      <c r="AJ668" s="0" t="n">
        <v>10</v>
      </c>
      <c r="AP668" s="0" t="n">
        <v>1</v>
      </c>
      <c r="DB668" s="0" t="str">
        <f aca="false">IF($A668="","",IF($A668&lt;&gt;21,"対象外",IF($AE668&amp;""="00000000","在職",IF($AE668&amp;""=設定!$C$4,"4/1喪失","その他喪失"))))</f>
        <v>その他喪失</v>
      </c>
    </row>
    <row r="669" customFormat="false" ht="15" hidden="false" customHeight="false" outlineLevel="0" collapsed="false">
      <c r="A669" s="0" t="n">
        <v>21</v>
      </c>
      <c r="AA669" s="0" t="n">
        <v>21</v>
      </c>
      <c r="AB669" s="0" t="s">
        <v>824</v>
      </c>
      <c r="AD669" s="0" t="n">
        <v>12</v>
      </c>
      <c r="AE669" s="0" t="s">
        <v>463</v>
      </c>
      <c r="AH669" s="0" t="n">
        <v>0</v>
      </c>
      <c r="AJ669" s="0" t="n">
        <v>10</v>
      </c>
      <c r="AP669" s="0" t="n">
        <v>1</v>
      </c>
      <c r="DB669" s="0" t="str">
        <f aca="false">IF($A669="","",IF($A669&lt;&gt;21,"対象外",IF($AE669&amp;""="00000000","在職",IF($AE669&amp;""=設定!$C$4,"4/1喪失","その他喪失"))))</f>
        <v>その他喪失</v>
      </c>
    </row>
    <row r="670" customFormat="false" ht="15" hidden="false" customHeight="false" outlineLevel="0" collapsed="false">
      <c r="A670" s="0" t="n">
        <v>21</v>
      </c>
      <c r="AA670" s="0" t="n">
        <v>21</v>
      </c>
      <c r="AB670" s="0" t="s">
        <v>708</v>
      </c>
      <c r="AD670" s="0" t="n">
        <v>12</v>
      </c>
      <c r="AE670" s="0" t="s">
        <v>825</v>
      </c>
      <c r="AH670" s="0" t="n">
        <v>0</v>
      </c>
      <c r="AJ670" s="0" t="n">
        <v>10</v>
      </c>
      <c r="AP670" s="0" t="n">
        <v>171150</v>
      </c>
      <c r="DB670" s="0" t="str">
        <f aca="false">IF($A670="","",IF($A670&lt;&gt;21,"対象外",IF($AE670&amp;""="00000000","在職",IF($AE670&amp;""=設定!$C$4,"4/1喪失","その他喪失"))))</f>
        <v>その他喪失</v>
      </c>
    </row>
    <row r="671" customFormat="false" ht="15" hidden="false" customHeight="false" outlineLevel="0" collapsed="false">
      <c r="A671" s="0" t="n">
        <v>31</v>
      </c>
      <c r="AA671" s="0" t="n">
        <v>24</v>
      </c>
      <c r="AB671" s="0" t="s">
        <v>540</v>
      </c>
      <c r="AD671" s="0" t="n">
        <v>12</v>
      </c>
      <c r="AE671" s="0" t="s">
        <v>299</v>
      </c>
      <c r="AH671" s="0" t="n">
        <v>1</v>
      </c>
      <c r="AJ671" s="0" t="n">
        <v>41</v>
      </c>
      <c r="AP671" s="0" t="n">
        <v>134000</v>
      </c>
      <c r="DB671" s="0" t="str">
        <f aca="false">IF($A671="","",IF($A671&lt;&gt;21,"対象外",IF($AE671&amp;""="00000000","在職",IF($AE671&amp;""=設定!$C$4,"4/1喪失","その他喪失"))))</f>
        <v>対象外</v>
      </c>
    </row>
    <row r="672" customFormat="false" ht="15" hidden="false" customHeight="false" outlineLevel="0" collapsed="false">
      <c r="A672" s="0" t="n">
        <v>31</v>
      </c>
      <c r="AA672" s="0" t="n">
        <v>21</v>
      </c>
      <c r="AB672" s="0" t="s">
        <v>731</v>
      </c>
      <c r="AD672" s="0" t="n">
        <v>12</v>
      </c>
      <c r="AE672" s="0" t="s">
        <v>826</v>
      </c>
      <c r="AH672" s="0" t="n">
        <v>11</v>
      </c>
      <c r="AJ672" s="0" t="n">
        <v>41</v>
      </c>
      <c r="AP672" s="0" t="n">
        <v>78000</v>
      </c>
      <c r="DB672" s="0" t="str">
        <f aca="false">IF($A672="","",IF($A672&lt;&gt;21,"対象外",IF($AE672&amp;""="00000000","在職",IF($AE672&amp;""=設定!$C$4,"4/1喪失","その他喪失"))))</f>
        <v>対象外</v>
      </c>
    </row>
    <row r="673" customFormat="false" ht="15" hidden="false" customHeight="false" outlineLevel="0" collapsed="false">
      <c r="A673" s="0" t="n">
        <v>21</v>
      </c>
      <c r="AA673" s="0" t="n">
        <v>21</v>
      </c>
      <c r="AB673" s="0" t="s">
        <v>827</v>
      </c>
      <c r="AD673" s="0" t="n">
        <v>12</v>
      </c>
      <c r="AE673" s="0" t="s">
        <v>640</v>
      </c>
      <c r="AH673" s="0" t="n">
        <v>0</v>
      </c>
      <c r="AJ673" s="0" t="n">
        <v>10</v>
      </c>
      <c r="AP673" s="0" t="n">
        <v>1</v>
      </c>
      <c r="DB673" s="0" t="str">
        <f aca="false">IF($A673="","",IF($A673&lt;&gt;21,"対象外",IF($AE673&amp;""="00000000","在職",IF($AE673&amp;""=設定!$C$4,"4/1喪失","その他喪失"))))</f>
        <v>その他喪失</v>
      </c>
    </row>
    <row r="674" customFormat="false" ht="15" hidden="false" customHeight="false" outlineLevel="0" collapsed="false">
      <c r="A674" s="0" t="n">
        <v>21</v>
      </c>
      <c r="AA674" s="0" t="n">
        <v>21</v>
      </c>
      <c r="AB674" s="0" t="s">
        <v>828</v>
      </c>
      <c r="AD674" s="0" t="n">
        <v>12</v>
      </c>
      <c r="AE674" s="0" t="s">
        <v>458</v>
      </c>
      <c r="AH674" s="0" t="n">
        <v>20</v>
      </c>
      <c r="AJ674" s="0" t="n">
        <v>10</v>
      </c>
      <c r="AP674" s="0" t="n">
        <v>590000</v>
      </c>
      <c r="DB674" s="0" t="str">
        <f aca="false">IF($A674="","",IF($A674&lt;&gt;21,"対象外",IF($AE674&amp;""="00000000","在職",IF($AE674&amp;""=設定!$C$4,"4/1喪失","その他喪失"))))</f>
        <v>その他喪失</v>
      </c>
    </row>
    <row r="675" customFormat="false" ht="15" hidden="false" customHeight="false" outlineLevel="0" collapsed="false">
      <c r="A675" s="0" t="n">
        <v>31</v>
      </c>
      <c r="AA675" s="0" t="n">
        <v>21</v>
      </c>
      <c r="AB675" s="0" t="s">
        <v>496</v>
      </c>
      <c r="AD675" s="0" t="n">
        <v>12</v>
      </c>
      <c r="AE675" s="0" t="s">
        <v>494</v>
      </c>
      <c r="AH675" s="0" t="n">
        <v>1</v>
      </c>
      <c r="AJ675" s="0" t="n">
        <v>41</v>
      </c>
      <c r="AP675" s="0" t="n">
        <v>118000</v>
      </c>
      <c r="DB675" s="0" t="str">
        <f aca="false">IF($A675="","",IF($A675&lt;&gt;21,"対象外",IF($AE675&amp;""="00000000","在職",IF($AE675&amp;""=設定!$C$4,"4/1喪失","その他喪失"))))</f>
        <v>対象外</v>
      </c>
    </row>
    <row r="676" customFormat="false" ht="15" hidden="false" customHeight="false" outlineLevel="0" collapsed="false">
      <c r="A676" s="0" t="n">
        <v>21</v>
      </c>
      <c r="AA676" s="0" t="n">
        <v>21</v>
      </c>
      <c r="AB676" s="0" t="s">
        <v>456</v>
      </c>
      <c r="AD676" s="0" t="n">
        <v>12</v>
      </c>
      <c r="AE676" s="0" t="s">
        <v>823</v>
      </c>
      <c r="AH676" s="0" t="n">
        <v>0</v>
      </c>
      <c r="AJ676" s="0" t="n">
        <v>10</v>
      </c>
      <c r="AP676" s="0" t="n">
        <v>136162</v>
      </c>
      <c r="DB676" s="0" t="str">
        <f aca="false">IF($A676="","",IF($A676&lt;&gt;21,"対象外",IF($AE676&amp;""="00000000","在職",IF($AE676&amp;""=設定!$C$4,"4/1喪失","その他喪失"))))</f>
        <v>その他喪失</v>
      </c>
    </row>
    <row r="677" customFormat="false" ht="15" hidden="false" customHeight="false" outlineLevel="0" collapsed="false">
      <c r="A677" s="0" t="n">
        <v>21</v>
      </c>
      <c r="AA677" s="0" t="n">
        <v>21</v>
      </c>
      <c r="AB677" s="0" t="s">
        <v>441</v>
      </c>
      <c r="AD677" s="0" t="n">
        <v>12</v>
      </c>
      <c r="AE677" s="0" t="s">
        <v>463</v>
      </c>
      <c r="AH677" s="0" t="n">
        <v>0</v>
      </c>
      <c r="AJ677" s="0" t="n">
        <v>10</v>
      </c>
      <c r="AP677" s="0" t="n">
        <v>1</v>
      </c>
      <c r="DB677" s="0" t="str">
        <f aca="false">IF($A677="","",IF($A677&lt;&gt;21,"対象外",IF($AE677&amp;""="00000000","在職",IF($AE677&amp;""=設定!$C$4,"4/1喪失","その他喪失"))))</f>
        <v>その他喪失</v>
      </c>
    </row>
    <row r="678" customFormat="false" ht="15" hidden="false" customHeight="false" outlineLevel="0" collapsed="false">
      <c r="A678" s="0" t="n">
        <v>21</v>
      </c>
      <c r="AA678" s="0" t="n">
        <v>21</v>
      </c>
      <c r="AB678" s="0" t="s">
        <v>446</v>
      </c>
      <c r="AD678" s="0" t="n">
        <v>12</v>
      </c>
      <c r="AE678" s="0" t="s">
        <v>463</v>
      </c>
      <c r="AH678" s="0" t="n">
        <v>0</v>
      </c>
      <c r="AJ678" s="0" t="n">
        <v>10</v>
      </c>
      <c r="AP678" s="0" t="n">
        <v>1</v>
      </c>
      <c r="DB678" s="0" t="str">
        <f aca="false">IF($A678="","",IF($A678&lt;&gt;21,"対象外",IF($AE678&amp;""="00000000","在職",IF($AE678&amp;""=設定!$C$4,"4/1喪失","その他喪失"))))</f>
        <v>その他喪失</v>
      </c>
    </row>
    <row r="679" customFormat="false" ht="15" hidden="false" customHeight="false" outlineLevel="0" collapsed="false">
      <c r="A679" s="0" t="n">
        <v>31</v>
      </c>
      <c r="AA679" s="0" t="n">
        <v>21</v>
      </c>
      <c r="AB679" s="0" t="s">
        <v>496</v>
      </c>
      <c r="AD679" s="0" t="n">
        <v>12</v>
      </c>
      <c r="AE679" s="0" t="s">
        <v>732</v>
      </c>
      <c r="AH679" s="0" t="n">
        <v>11</v>
      </c>
      <c r="AJ679" s="0" t="n">
        <v>41</v>
      </c>
      <c r="AP679" s="0" t="n">
        <v>126000</v>
      </c>
      <c r="DB679" s="0" t="str">
        <f aca="false">IF($A679="","",IF($A679&lt;&gt;21,"対象外",IF($AE679&amp;""="00000000","在職",IF($AE679&amp;""=設定!$C$4,"4/1喪失","その他喪失"))))</f>
        <v>対象外</v>
      </c>
    </row>
    <row r="680" customFormat="false" ht="15" hidden="false" customHeight="false" outlineLevel="0" collapsed="false">
      <c r="A680" s="0" t="n">
        <v>21</v>
      </c>
      <c r="AA680" s="0" t="n">
        <v>21</v>
      </c>
      <c r="AB680" s="0" t="s">
        <v>439</v>
      </c>
      <c r="AD680" s="0" t="n">
        <v>11</v>
      </c>
      <c r="AE680" s="0" t="s">
        <v>96</v>
      </c>
      <c r="AH680" s="0" t="n">
        <v>20</v>
      </c>
      <c r="AJ680" s="0" t="n">
        <v>10</v>
      </c>
      <c r="AP680" s="0" t="n">
        <v>440000</v>
      </c>
      <c r="DB680" s="0" t="str">
        <f aca="false">IF($A680="","",IF($A680&lt;&gt;21,"対象外",IF($AE680&amp;""="00000000","在職",IF($AE680&amp;""=設定!$C$4,"4/1喪失","その他喪失"))))</f>
        <v>4/1喪失</v>
      </c>
    </row>
    <row r="681" customFormat="false" ht="15" hidden="false" customHeight="false" outlineLevel="0" collapsed="false">
      <c r="A681" s="0" t="n">
        <v>21</v>
      </c>
      <c r="AA681" s="0" t="n">
        <v>24</v>
      </c>
      <c r="AB681" s="0" t="s">
        <v>829</v>
      </c>
      <c r="AD681" s="0" t="n">
        <v>12</v>
      </c>
      <c r="AE681" s="0" t="s">
        <v>463</v>
      </c>
      <c r="AH681" s="0" t="n">
        <v>0</v>
      </c>
      <c r="AJ681" s="0" t="n">
        <v>10</v>
      </c>
      <c r="AP681" s="0" t="n">
        <v>1</v>
      </c>
      <c r="DB681" s="0" t="str">
        <f aca="false">IF($A681="","",IF($A681&lt;&gt;21,"対象外",IF($AE681&amp;""="00000000","在職",IF($AE681&amp;""=設定!$C$4,"4/1喪失","その他喪失"))))</f>
        <v>その他喪失</v>
      </c>
    </row>
    <row r="682" customFormat="false" ht="15" hidden="false" customHeight="false" outlineLevel="0" collapsed="false">
      <c r="A682" s="0" t="n">
        <v>21</v>
      </c>
      <c r="AA682" s="0" t="n">
        <v>21</v>
      </c>
      <c r="AB682" s="0" t="s">
        <v>409</v>
      </c>
      <c r="AD682" s="0" t="n">
        <v>12</v>
      </c>
      <c r="AE682" s="0" t="s">
        <v>96</v>
      </c>
      <c r="AH682" s="0" t="n">
        <v>1</v>
      </c>
      <c r="AJ682" s="0" t="n">
        <v>10</v>
      </c>
      <c r="AP682" s="0" t="n">
        <v>590000</v>
      </c>
      <c r="DB682" s="0" t="str">
        <f aca="false">IF($A682="","",IF($A682&lt;&gt;21,"対象外",IF($AE682&amp;""="00000000","在職",IF($AE682&amp;""=設定!$C$4,"4/1喪失","その他喪失"))))</f>
        <v>4/1喪失</v>
      </c>
    </row>
    <row r="683" customFormat="false" ht="15" hidden="false" customHeight="false" outlineLevel="0" collapsed="false">
      <c r="A683" s="0" t="n">
        <v>21</v>
      </c>
      <c r="AA683" s="0" t="n">
        <v>21</v>
      </c>
      <c r="AB683" s="0" t="s">
        <v>830</v>
      </c>
      <c r="AD683" s="0" t="n">
        <v>12</v>
      </c>
      <c r="AE683" s="0" t="s">
        <v>459</v>
      </c>
      <c r="AH683" s="0" t="n">
        <v>0</v>
      </c>
      <c r="AJ683" s="0" t="n">
        <v>10</v>
      </c>
      <c r="AP683" s="0" t="n">
        <v>169900</v>
      </c>
      <c r="DB683" s="0" t="str">
        <f aca="false">IF($A683="","",IF($A683&lt;&gt;21,"対象外",IF($AE683&amp;""="00000000","在職",IF($AE683&amp;""=設定!$C$4,"4/1喪失","その他喪失"))))</f>
        <v>その他喪失</v>
      </c>
    </row>
    <row r="684" customFormat="false" ht="15" hidden="false" customHeight="false" outlineLevel="0" collapsed="false">
      <c r="A684" s="0" t="n">
        <v>21</v>
      </c>
      <c r="AA684" s="0" t="n">
        <v>21</v>
      </c>
      <c r="AB684" s="0" t="s">
        <v>415</v>
      </c>
      <c r="AD684" s="0" t="n">
        <v>12</v>
      </c>
      <c r="AE684" s="0" t="s">
        <v>494</v>
      </c>
      <c r="AH684" s="0" t="n">
        <v>35</v>
      </c>
      <c r="AJ684" s="0" t="n">
        <v>74</v>
      </c>
      <c r="AP684" s="0" t="n">
        <v>560000</v>
      </c>
      <c r="DB684" s="0" t="str">
        <f aca="false">IF($A684="","",IF($A684&lt;&gt;21,"対象外",IF($AE684&amp;""="00000000","在職",IF($AE684&amp;""=設定!$C$4,"4/1喪失","その他喪失"))))</f>
        <v>その他喪失</v>
      </c>
    </row>
    <row r="685" customFormat="false" ht="15" hidden="false" customHeight="false" outlineLevel="0" collapsed="false">
      <c r="A685" s="0" t="n">
        <v>21</v>
      </c>
      <c r="AA685" s="0" t="n">
        <v>21</v>
      </c>
      <c r="AB685" s="0" t="s">
        <v>439</v>
      </c>
      <c r="AD685" s="0" t="n">
        <v>12</v>
      </c>
      <c r="AE685" s="0" t="s">
        <v>502</v>
      </c>
      <c r="AH685" s="0" t="n">
        <v>20</v>
      </c>
      <c r="AJ685" s="0" t="n">
        <v>10</v>
      </c>
      <c r="AP685" s="0" t="n">
        <v>380000</v>
      </c>
      <c r="DB685" s="0" t="str">
        <f aca="false">IF($A685="","",IF($A685&lt;&gt;21,"対象外",IF($AE685&amp;""="00000000","在職",IF($AE685&amp;""=設定!$C$4,"4/1喪失","その他喪失"))))</f>
        <v>その他喪失</v>
      </c>
    </row>
    <row r="686" customFormat="false" ht="15" hidden="false" customHeight="false" outlineLevel="0" collapsed="false">
      <c r="A686" s="0" t="n">
        <v>21</v>
      </c>
      <c r="AA686" s="0" t="n">
        <v>21</v>
      </c>
      <c r="AB686" s="0" t="s">
        <v>712</v>
      </c>
      <c r="AD686" s="0" t="n">
        <v>12</v>
      </c>
      <c r="AE686" s="0" t="s">
        <v>463</v>
      </c>
      <c r="AH686" s="0" t="n">
        <v>0</v>
      </c>
      <c r="AJ686" s="0" t="n">
        <v>10</v>
      </c>
      <c r="AP686" s="0" t="n">
        <v>1</v>
      </c>
      <c r="DB686" s="0" t="str">
        <f aca="false">IF($A686="","",IF($A686&lt;&gt;21,"対象外",IF($AE686&amp;""="00000000","在職",IF($AE686&amp;""=設定!$C$4,"4/1喪失","その他喪失"))))</f>
        <v>その他喪失</v>
      </c>
    </row>
    <row r="687" customFormat="false" ht="15" hidden="false" customHeight="false" outlineLevel="0" collapsed="false">
      <c r="A687" s="0" t="n">
        <v>21</v>
      </c>
      <c r="AA687" s="0" t="n">
        <v>21</v>
      </c>
      <c r="AB687" s="0" t="s">
        <v>424</v>
      </c>
      <c r="AD687" s="0" t="n">
        <v>12</v>
      </c>
      <c r="AE687" s="0" t="s">
        <v>476</v>
      </c>
      <c r="AH687" s="0" t="n">
        <v>20</v>
      </c>
      <c r="AJ687" s="0" t="n">
        <v>10</v>
      </c>
      <c r="AP687" s="0" t="n">
        <v>590000</v>
      </c>
      <c r="DB687" s="0" t="str">
        <f aca="false">IF($A687="","",IF($A687&lt;&gt;21,"対象外",IF($AE687&amp;""="00000000","在職",IF($AE687&amp;""=設定!$C$4,"4/1喪失","その他喪失"))))</f>
        <v>その他喪失</v>
      </c>
    </row>
    <row r="688" customFormat="false" ht="15" hidden="false" customHeight="false" outlineLevel="0" collapsed="false">
      <c r="A688" s="0" t="n">
        <v>21</v>
      </c>
      <c r="AA688" s="0" t="n">
        <v>21</v>
      </c>
      <c r="AB688" s="0" t="s">
        <v>394</v>
      </c>
      <c r="AD688" s="0" t="n">
        <v>11</v>
      </c>
      <c r="AE688" s="0" t="s">
        <v>96</v>
      </c>
      <c r="AH688" s="0" t="n">
        <v>1</v>
      </c>
      <c r="AJ688" s="0" t="n">
        <v>10</v>
      </c>
      <c r="AP688" s="0" t="n">
        <v>500000</v>
      </c>
      <c r="DB688" s="0" t="str">
        <f aca="false">IF($A688="","",IF($A688&lt;&gt;21,"対象外",IF($AE688&amp;""="00000000","在職",IF($AE688&amp;""=設定!$C$4,"4/1喪失","その他喪失"))))</f>
        <v>4/1喪失</v>
      </c>
    </row>
    <row r="689" customFormat="false" ht="15" hidden="false" customHeight="false" outlineLevel="0" collapsed="false">
      <c r="A689" s="0" t="n">
        <v>21</v>
      </c>
      <c r="AA689" s="0" t="n">
        <v>21</v>
      </c>
      <c r="AB689" s="0" t="s">
        <v>443</v>
      </c>
      <c r="AD689" s="0" t="n">
        <v>12</v>
      </c>
      <c r="AE689" s="0" t="s">
        <v>452</v>
      </c>
      <c r="AH689" s="0" t="n">
        <v>11</v>
      </c>
      <c r="AJ689" s="0" t="n">
        <v>10</v>
      </c>
      <c r="AP689" s="0" t="n">
        <v>380000</v>
      </c>
      <c r="DB689" s="0" t="str">
        <f aca="false">IF($A689="","",IF($A689&lt;&gt;21,"対象外",IF($AE689&amp;""="00000000","在職",IF($AE689&amp;""=設定!$C$4,"4/1喪失","その他喪失"))))</f>
        <v>その他喪失</v>
      </c>
    </row>
    <row r="690" customFormat="false" ht="15" hidden="false" customHeight="false" outlineLevel="0" collapsed="false">
      <c r="A690" s="0" t="n">
        <v>21</v>
      </c>
      <c r="AA690" s="0" t="n">
        <v>21</v>
      </c>
      <c r="AB690" s="0" t="s">
        <v>831</v>
      </c>
      <c r="AD690" s="0" t="n">
        <v>12</v>
      </c>
      <c r="AE690" s="0" t="s">
        <v>463</v>
      </c>
      <c r="AH690" s="0" t="n">
        <v>0</v>
      </c>
      <c r="AJ690" s="0" t="n">
        <v>10</v>
      </c>
      <c r="AP690" s="0" t="n">
        <v>1</v>
      </c>
      <c r="DB690" s="0" t="str">
        <f aca="false">IF($A690="","",IF($A690&lt;&gt;21,"対象外",IF($AE690&amp;""="00000000","在職",IF($AE690&amp;""=設定!$C$4,"4/1喪失","その他喪失"))))</f>
        <v>その他喪失</v>
      </c>
    </row>
    <row r="691" customFormat="false" ht="15" hidden="false" customHeight="false" outlineLevel="0" collapsed="false">
      <c r="A691" s="0" t="n">
        <v>21</v>
      </c>
      <c r="AA691" s="0" t="n">
        <v>21</v>
      </c>
      <c r="AB691" s="0" t="s">
        <v>403</v>
      </c>
      <c r="AD691" s="0" t="n">
        <v>12</v>
      </c>
      <c r="AE691" s="0" t="s">
        <v>832</v>
      </c>
      <c r="AH691" s="0" t="n">
        <v>20</v>
      </c>
      <c r="AJ691" s="0" t="n">
        <v>10</v>
      </c>
      <c r="AP691" s="0" t="n">
        <v>395000</v>
      </c>
      <c r="DB691" s="0" t="str">
        <f aca="false">IF($A691="","",IF($A691&lt;&gt;21,"対象外",IF($AE691&amp;""="00000000","在職",IF($AE691&amp;""=設定!$C$4,"4/1喪失","その他喪失"))))</f>
        <v>その他喪失</v>
      </c>
    </row>
    <row r="692" customFormat="false" ht="15" hidden="false" customHeight="false" outlineLevel="0" collapsed="false">
      <c r="A692" s="0" t="n">
        <v>21</v>
      </c>
      <c r="AA692" s="0" t="n">
        <v>21</v>
      </c>
      <c r="AB692" s="0" t="s">
        <v>833</v>
      </c>
      <c r="AD692" s="0" t="n">
        <v>12</v>
      </c>
      <c r="AE692" s="0" t="s">
        <v>650</v>
      </c>
      <c r="AH692" s="0" t="n">
        <v>0</v>
      </c>
      <c r="AJ692" s="0" t="n">
        <v>10</v>
      </c>
      <c r="AP692" s="0" t="n">
        <v>1</v>
      </c>
      <c r="DB692" s="0" t="str">
        <f aca="false">IF($A692="","",IF($A692&lt;&gt;21,"対象外",IF($AE692&amp;""="00000000","在職",IF($AE692&amp;""=設定!$C$4,"4/1喪失","その他喪失"))))</f>
        <v>その他喪失</v>
      </c>
    </row>
    <row r="693" customFormat="false" ht="15" hidden="false" customHeight="false" outlineLevel="0" collapsed="false">
      <c r="A693" s="0" t="n">
        <v>21</v>
      </c>
      <c r="AA693" s="0" t="n">
        <v>21</v>
      </c>
      <c r="AB693" s="0" t="s">
        <v>834</v>
      </c>
      <c r="AD693" s="0" t="n">
        <v>12</v>
      </c>
      <c r="AE693" s="0" t="s">
        <v>649</v>
      </c>
      <c r="AH693" s="0" t="n">
        <v>0</v>
      </c>
      <c r="AJ693" s="0" t="n">
        <v>10</v>
      </c>
      <c r="AP693" s="0" t="n">
        <v>1</v>
      </c>
      <c r="DB693" s="0" t="str">
        <f aca="false">IF($A693="","",IF($A693&lt;&gt;21,"対象外",IF($AE693&amp;""="00000000","在職",IF($AE693&amp;""=設定!$C$4,"4/1喪失","その他喪失"))))</f>
        <v>その他喪失</v>
      </c>
    </row>
    <row r="694" customFormat="false" ht="15" hidden="false" customHeight="false" outlineLevel="0" collapsed="false">
      <c r="A694" s="0" t="n">
        <v>21</v>
      </c>
      <c r="AA694" s="0" t="n">
        <v>21</v>
      </c>
      <c r="AB694" s="0" t="s">
        <v>459</v>
      </c>
      <c r="AD694" s="0" t="n">
        <v>12</v>
      </c>
      <c r="AE694" s="0" t="s">
        <v>463</v>
      </c>
      <c r="AH694" s="0" t="n">
        <v>0</v>
      </c>
      <c r="AJ694" s="0" t="n">
        <v>10</v>
      </c>
      <c r="AP694" s="0" t="n">
        <v>1</v>
      </c>
      <c r="DB694" s="0" t="str">
        <f aca="false">IF($A694="","",IF($A694&lt;&gt;21,"対象外",IF($AE694&amp;""="00000000","在職",IF($AE694&amp;""=設定!$C$4,"4/1喪失","その他喪失"))))</f>
        <v>その他喪失</v>
      </c>
    </row>
    <row r="695" customFormat="false" ht="15" hidden="false" customHeight="false" outlineLevel="0" collapsed="false">
      <c r="A695" s="0" t="n">
        <v>21</v>
      </c>
      <c r="AA695" s="0" t="n">
        <v>21</v>
      </c>
      <c r="AB695" s="0" t="s">
        <v>736</v>
      </c>
      <c r="AD695" s="0" t="n">
        <v>12</v>
      </c>
      <c r="AE695" s="0" t="s">
        <v>457</v>
      </c>
      <c r="AH695" s="0" t="n">
        <v>0</v>
      </c>
      <c r="AJ695" s="0" t="n">
        <v>10</v>
      </c>
      <c r="AP695" s="0" t="n">
        <v>1</v>
      </c>
      <c r="DB695" s="0" t="str">
        <f aca="false">IF($A695="","",IF($A695&lt;&gt;21,"対象外",IF($AE695&amp;""="00000000","在職",IF($AE695&amp;""=設定!$C$4,"4/1喪失","その他喪失"))))</f>
        <v>その他喪失</v>
      </c>
    </row>
    <row r="696" customFormat="false" ht="15" hidden="false" customHeight="false" outlineLevel="0" collapsed="false">
      <c r="A696" s="0" t="n">
        <v>21</v>
      </c>
      <c r="AA696" s="0" t="n">
        <v>21</v>
      </c>
      <c r="AB696" s="0" t="s">
        <v>602</v>
      </c>
      <c r="AD696" s="0" t="n">
        <v>12</v>
      </c>
      <c r="AE696" s="0" t="s">
        <v>463</v>
      </c>
      <c r="AH696" s="0" t="n">
        <v>0</v>
      </c>
      <c r="AJ696" s="0" t="n">
        <v>10</v>
      </c>
      <c r="AP696" s="0" t="n">
        <v>1</v>
      </c>
      <c r="DB696" s="0" t="str">
        <f aca="false">IF($A696="","",IF($A696&lt;&gt;21,"対象外",IF($AE696&amp;""="00000000","在職",IF($AE696&amp;""=設定!$C$4,"4/1喪失","その他喪失"))))</f>
        <v>その他喪失</v>
      </c>
    </row>
    <row r="697" customFormat="false" ht="15" hidden="false" customHeight="false" outlineLevel="0" collapsed="false">
      <c r="A697" s="0" t="n">
        <v>21</v>
      </c>
      <c r="AA697" s="0" t="n">
        <v>24</v>
      </c>
      <c r="AB697" s="0" t="s">
        <v>673</v>
      </c>
      <c r="AD697" s="0" t="n">
        <v>12</v>
      </c>
      <c r="AE697" s="0" t="s">
        <v>463</v>
      </c>
      <c r="AH697" s="0" t="n">
        <v>0</v>
      </c>
      <c r="AJ697" s="0" t="n">
        <v>10</v>
      </c>
      <c r="AP697" s="0" t="n">
        <v>107100</v>
      </c>
      <c r="DB697" s="0" t="str">
        <f aca="false">IF($A697="","",IF($A697&lt;&gt;21,"対象外",IF($AE697&amp;""="00000000","在職",IF($AE697&amp;""=設定!$C$4,"4/1喪失","その他喪失"))))</f>
        <v>その他喪失</v>
      </c>
    </row>
    <row r="698" customFormat="false" ht="15" hidden="false" customHeight="false" outlineLevel="0" collapsed="false">
      <c r="A698" s="0" t="n">
        <v>21</v>
      </c>
      <c r="AA698" s="0" t="n">
        <v>21</v>
      </c>
      <c r="AB698" s="0" t="s">
        <v>453</v>
      </c>
      <c r="AD698" s="0" t="n">
        <v>12</v>
      </c>
      <c r="AE698" s="0" t="s">
        <v>463</v>
      </c>
      <c r="AH698" s="0" t="n">
        <v>0</v>
      </c>
      <c r="AJ698" s="0" t="n">
        <v>10</v>
      </c>
      <c r="AP698" s="0" t="n">
        <v>1</v>
      </c>
      <c r="DB698" s="0" t="str">
        <f aca="false">IF($A698="","",IF($A698&lt;&gt;21,"対象外",IF($AE698&amp;""="00000000","在職",IF($AE698&amp;""=設定!$C$4,"4/1喪失","その他喪失"))))</f>
        <v>その他喪失</v>
      </c>
    </row>
    <row r="699" customFormat="false" ht="15" hidden="false" customHeight="false" outlineLevel="0" collapsed="false">
      <c r="A699" s="0" t="n">
        <v>21</v>
      </c>
      <c r="AA699" s="0" t="n">
        <v>21</v>
      </c>
      <c r="AB699" s="0" t="s">
        <v>835</v>
      </c>
      <c r="AD699" s="0" t="n">
        <v>12</v>
      </c>
      <c r="AE699" s="0" t="s">
        <v>463</v>
      </c>
      <c r="AH699" s="0" t="n">
        <v>0</v>
      </c>
      <c r="AJ699" s="0" t="n">
        <v>10</v>
      </c>
      <c r="AP699" s="0" t="n">
        <v>1</v>
      </c>
      <c r="DB699" s="0" t="str">
        <f aca="false">IF($A699="","",IF($A699&lt;&gt;21,"対象外",IF($AE699&amp;""="00000000","在職",IF($AE699&amp;""=設定!$C$4,"4/1喪失","その他喪失"))))</f>
        <v>その他喪失</v>
      </c>
    </row>
    <row r="700" customFormat="false" ht="15" hidden="false" customHeight="false" outlineLevel="0" collapsed="false">
      <c r="A700" s="0" t="n">
        <v>21</v>
      </c>
      <c r="AA700" s="0" t="n">
        <v>21</v>
      </c>
      <c r="AB700" s="0" t="s">
        <v>836</v>
      </c>
      <c r="AD700" s="0" t="n">
        <v>12</v>
      </c>
      <c r="AE700" s="0" t="s">
        <v>459</v>
      </c>
      <c r="AH700" s="0" t="n">
        <v>0</v>
      </c>
      <c r="AJ700" s="0" t="n">
        <v>10</v>
      </c>
      <c r="AP700" s="0" t="n">
        <v>196000</v>
      </c>
      <c r="DB700" s="0" t="str">
        <f aca="false">IF($A700="","",IF($A700&lt;&gt;21,"対象外",IF($AE700&amp;""="00000000","在職",IF($AE700&amp;""=設定!$C$4,"4/1喪失","その他喪失"))))</f>
        <v>その他喪失</v>
      </c>
    </row>
    <row r="701" customFormat="false" ht="15" hidden="false" customHeight="false" outlineLevel="0" collapsed="false">
      <c r="A701" s="0" t="n">
        <v>21</v>
      </c>
      <c r="AA701" s="0" t="n">
        <v>21</v>
      </c>
      <c r="AB701" s="0" t="s">
        <v>743</v>
      </c>
      <c r="AD701" s="0" t="n">
        <v>12</v>
      </c>
      <c r="AE701" s="0" t="s">
        <v>463</v>
      </c>
      <c r="AH701" s="0" t="n">
        <v>0</v>
      </c>
      <c r="AJ701" s="0" t="n">
        <v>10</v>
      </c>
      <c r="AP701" s="0" t="n">
        <v>1</v>
      </c>
      <c r="DB701" s="0" t="str">
        <f aca="false">IF($A701="","",IF($A701&lt;&gt;21,"対象外",IF($AE701&amp;""="00000000","在職",IF($AE701&amp;""=設定!$C$4,"4/1喪失","その他喪失"))))</f>
        <v>その他喪失</v>
      </c>
    </row>
    <row r="702" customFormat="false" ht="15" hidden="false" customHeight="false" outlineLevel="0" collapsed="false">
      <c r="A702" s="0" t="n">
        <v>31</v>
      </c>
      <c r="AA702" s="0" t="n">
        <v>21</v>
      </c>
      <c r="AB702" s="0" t="s">
        <v>496</v>
      </c>
      <c r="AD702" s="0" t="n">
        <v>12</v>
      </c>
      <c r="AE702" s="0" t="s">
        <v>96</v>
      </c>
      <c r="AH702" s="0" t="n">
        <v>1</v>
      </c>
      <c r="AJ702" s="0" t="n">
        <v>41</v>
      </c>
      <c r="AP702" s="0" t="n">
        <v>190000</v>
      </c>
      <c r="DB702" s="0" t="str">
        <f aca="false">IF($A702="","",IF($A702&lt;&gt;21,"対象外",IF($AE702&amp;""="00000000","在職",IF($AE702&amp;""=設定!$C$4,"4/1喪失","その他喪失"))))</f>
        <v>対象外</v>
      </c>
    </row>
    <row r="703" customFormat="false" ht="15" hidden="false" customHeight="false" outlineLevel="0" collapsed="false">
      <c r="A703" s="0" t="n">
        <v>21</v>
      </c>
      <c r="AA703" s="0" t="n">
        <v>21</v>
      </c>
      <c r="AB703" s="0" t="s">
        <v>451</v>
      </c>
      <c r="AD703" s="0" t="n">
        <v>12</v>
      </c>
      <c r="AE703" s="0" t="s">
        <v>463</v>
      </c>
      <c r="AH703" s="0" t="n">
        <v>0</v>
      </c>
      <c r="AJ703" s="0" t="n">
        <v>10</v>
      </c>
      <c r="AP703" s="0" t="n">
        <v>1</v>
      </c>
      <c r="DB703" s="0" t="str">
        <f aca="false">IF($A703="","",IF($A703&lt;&gt;21,"対象外",IF($AE703&amp;""="00000000","在職",IF($AE703&amp;""=設定!$C$4,"4/1喪失","その他喪失"))))</f>
        <v>その他喪失</v>
      </c>
    </row>
    <row r="704" customFormat="false" ht="15" hidden="false" customHeight="false" outlineLevel="0" collapsed="false">
      <c r="A704" s="0" t="n">
        <v>21</v>
      </c>
      <c r="AA704" s="0" t="n">
        <v>21</v>
      </c>
      <c r="AB704" s="0" t="s">
        <v>441</v>
      </c>
      <c r="AD704" s="0" t="n">
        <v>12</v>
      </c>
      <c r="AE704" s="0" t="s">
        <v>400</v>
      </c>
      <c r="AH704" s="0" t="n">
        <v>0</v>
      </c>
      <c r="AJ704" s="0" t="n">
        <v>10</v>
      </c>
      <c r="AP704" s="0" t="n">
        <v>273900</v>
      </c>
      <c r="DB704" s="0" t="str">
        <f aca="false">IF($A704="","",IF($A704&lt;&gt;21,"対象外",IF($AE704&amp;""="00000000","在職",IF($AE704&amp;""=設定!$C$4,"4/1喪失","その他喪失"))))</f>
        <v>その他喪失</v>
      </c>
    </row>
    <row r="705" customFormat="false" ht="15" hidden="false" customHeight="false" outlineLevel="0" collapsed="false">
      <c r="A705" s="0" t="n">
        <v>21</v>
      </c>
      <c r="AA705" s="0" t="n">
        <v>21</v>
      </c>
      <c r="AB705" s="0" t="s">
        <v>837</v>
      </c>
      <c r="AD705" s="0" t="n">
        <v>12</v>
      </c>
      <c r="AE705" s="0" t="s">
        <v>463</v>
      </c>
      <c r="AH705" s="0" t="n">
        <v>0</v>
      </c>
      <c r="AJ705" s="0" t="n">
        <v>10</v>
      </c>
      <c r="AP705" s="0" t="n">
        <v>1</v>
      </c>
      <c r="DB705" s="0" t="str">
        <f aca="false">IF($A705="","",IF($A705&lt;&gt;21,"対象外",IF($AE705&amp;""="00000000","在職",IF($AE705&amp;""=設定!$C$4,"4/1喪失","その他喪失"))))</f>
        <v>その他喪失</v>
      </c>
    </row>
    <row r="706" customFormat="false" ht="15" hidden="false" customHeight="false" outlineLevel="0" collapsed="false">
      <c r="A706" s="0" t="n">
        <v>21</v>
      </c>
      <c r="AA706" s="0" t="n">
        <v>24</v>
      </c>
      <c r="AB706" s="0" t="s">
        <v>673</v>
      </c>
      <c r="AD706" s="0" t="n">
        <v>12</v>
      </c>
      <c r="AE706" s="0" t="s">
        <v>463</v>
      </c>
      <c r="AH706" s="0" t="n">
        <v>0</v>
      </c>
      <c r="AJ706" s="0" t="n">
        <v>10</v>
      </c>
      <c r="AP706" s="0" t="n">
        <v>155400</v>
      </c>
      <c r="DB706" s="0" t="str">
        <f aca="false">IF($A706="","",IF($A706&lt;&gt;21,"対象外",IF($AE706&amp;""="00000000","在職",IF($AE706&amp;""=設定!$C$4,"4/1喪失","その他喪失"))))</f>
        <v>その他喪失</v>
      </c>
    </row>
    <row r="707" customFormat="false" ht="15" hidden="false" customHeight="false" outlineLevel="0" collapsed="false">
      <c r="A707" s="0" t="n">
        <v>31</v>
      </c>
      <c r="AA707" s="0" t="n">
        <v>21</v>
      </c>
      <c r="AB707" s="0" t="s">
        <v>557</v>
      </c>
      <c r="AD707" s="0" t="n">
        <v>12</v>
      </c>
      <c r="AE707" s="0" t="s">
        <v>838</v>
      </c>
      <c r="AH707" s="0" t="n">
        <v>1</v>
      </c>
      <c r="AJ707" s="0" t="n">
        <v>41</v>
      </c>
      <c r="AP707" s="0" t="n">
        <v>134000</v>
      </c>
      <c r="DB707" s="0" t="str">
        <f aca="false">IF($A707="","",IF($A707&lt;&gt;21,"対象外",IF($AE707&amp;""="00000000","在職",IF($AE707&amp;""=設定!$C$4,"4/1喪失","その他喪失"))))</f>
        <v>対象外</v>
      </c>
    </row>
    <row r="708" customFormat="false" ht="15" hidden="false" customHeight="false" outlineLevel="0" collapsed="false">
      <c r="A708" s="0" t="n">
        <v>21</v>
      </c>
      <c r="AA708" s="0" t="n">
        <v>21</v>
      </c>
      <c r="AB708" s="0" t="s">
        <v>839</v>
      </c>
      <c r="AD708" s="0" t="n">
        <v>12</v>
      </c>
      <c r="AE708" s="0" t="s">
        <v>463</v>
      </c>
      <c r="AH708" s="0" t="n">
        <v>0</v>
      </c>
      <c r="AJ708" s="0" t="n">
        <v>10</v>
      </c>
      <c r="AP708" s="0" t="n">
        <v>1</v>
      </c>
      <c r="DB708" s="0" t="str">
        <f aca="false">IF($A708="","",IF($A708&lt;&gt;21,"対象外",IF($AE708&amp;""="00000000","在職",IF($AE708&amp;""=設定!$C$4,"4/1喪失","その他喪失"))))</f>
        <v>その他喪失</v>
      </c>
    </row>
    <row r="709" customFormat="false" ht="15" hidden="false" customHeight="false" outlineLevel="0" collapsed="false">
      <c r="A709" s="0" t="n">
        <v>21</v>
      </c>
      <c r="AA709" s="0" t="n">
        <v>21</v>
      </c>
      <c r="AB709" s="0" t="s">
        <v>390</v>
      </c>
      <c r="AD709" s="0" t="n">
        <v>12</v>
      </c>
      <c r="AE709" s="0" t="s">
        <v>423</v>
      </c>
      <c r="AH709" s="0" t="n">
        <v>1</v>
      </c>
      <c r="AJ709" s="0" t="n">
        <v>10</v>
      </c>
      <c r="AP709" s="0" t="n">
        <v>418500</v>
      </c>
      <c r="DB709" s="0" t="str">
        <f aca="false">IF($A709="","",IF($A709&lt;&gt;21,"対象外",IF($AE709&amp;""="00000000","在職",IF($AE709&amp;""=設定!$C$4,"4/1喪失","その他喪失"))))</f>
        <v>その他喪失</v>
      </c>
    </row>
    <row r="710" customFormat="false" ht="15" hidden="false" customHeight="false" outlineLevel="0" collapsed="false">
      <c r="A710" s="0" t="n">
        <v>21</v>
      </c>
      <c r="AA710" s="0" t="n">
        <v>21</v>
      </c>
      <c r="AB710" s="0" t="s">
        <v>390</v>
      </c>
      <c r="AD710" s="0" t="n">
        <v>12</v>
      </c>
      <c r="AE710" s="0" t="s">
        <v>478</v>
      </c>
      <c r="AH710" s="0" t="n">
        <v>1</v>
      </c>
      <c r="AJ710" s="0" t="n">
        <v>10</v>
      </c>
      <c r="AP710" s="0" t="n">
        <v>410000</v>
      </c>
      <c r="DB710" s="0" t="str">
        <f aca="false">IF($A710="","",IF($A710&lt;&gt;21,"対象外",IF($AE710&amp;""="00000000","在職",IF($AE710&amp;""=設定!$C$4,"4/1喪失","その他喪失"))))</f>
        <v>その他喪失</v>
      </c>
    </row>
    <row r="711" customFormat="false" ht="15" hidden="false" customHeight="false" outlineLevel="0" collapsed="false">
      <c r="A711" s="0" t="n">
        <v>21</v>
      </c>
      <c r="AA711" s="0" t="n">
        <v>21</v>
      </c>
      <c r="AB711" s="0" t="s">
        <v>451</v>
      </c>
      <c r="AD711" s="0" t="n">
        <v>12</v>
      </c>
      <c r="AE711" s="0" t="s">
        <v>463</v>
      </c>
      <c r="AH711" s="0" t="n">
        <v>0</v>
      </c>
      <c r="AJ711" s="0" t="n">
        <v>10</v>
      </c>
      <c r="AP711" s="0" t="n">
        <v>1</v>
      </c>
      <c r="DB711" s="0" t="str">
        <f aca="false">IF($A711="","",IF($A711&lt;&gt;21,"対象外",IF($AE711&amp;""="00000000","在職",IF($AE711&amp;""=設定!$C$4,"4/1喪失","その他喪失"))))</f>
        <v>その他喪失</v>
      </c>
    </row>
    <row r="712" customFormat="false" ht="15" hidden="false" customHeight="false" outlineLevel="0" collapsed="false">
      <c r="A712" s="0" t="n">
        <v>21</v>
      </c>
      <c r="AA712" s="0" t="n">
        <v>21</v>
      </c>
      <c r="AB712" s="0" t="s">
        <v>407</v>
      </c>
      <c r="AD712" s="0" t="n">
        <v>12</v>
      </c>
      <c r="AE712" s="0" t="s">
        <v>484</v>
      </c>
      <c r="AH712" s="0" t="n">
        <v>20</v>
      </c>
      <c r="AJ712" s="0" t="n">
        <v>10</v>
      </c>
      <c r="AP712" s="0" t="n">
        <v>530000</v>
      </c>
      <c r="DB712" s="0" t="str">
        <f aca="false">IF($A712="","",IF($A712&lt;&gt;21,"対象外",IF($AE712&amp;""="00000000","在職",IF($AE712&amp;""=設定!$C$4,"4/1喪失","その他喪失"))))</f>
        <v>その他喪失</v>
      </c>
    </row>
    <row r="713" customFormat="false" ht="15" hidden="false" customHeight="false" outlineLevel="0" collapsed="false">
      <c r="A713" s="0" t="n">
        <v>31</v>
      </c>
      <c r="AA713" s="0" t="n">
        <v>21</v>
      </c>
      <c r="AB713" s="0" t="s">
        <v>528</v>
      </c>
      <c r="AD713" s="0" t="n">
        <v>12</v>
      </c>
      <c r="AE713" s="0" t="s">
        <v>692</v>
      </c>
      <c r="AH713" s="0" t="n">
        <v>11</v>
      </c>
      <c r="AJ713" s="0" t="n">
        <v>41</v>
      </c>
      <c r="AP713" s="0" t="n">
        <v>118000</v>
      </c>
      <c r="DB713" s="0" t="str">
        <f aca="false">IF($A713="","",IF($A713&lt;&gt;21,"対象外",IF($AE713&amp;""="00000000","在職",IF($AE713&amp;""=設定!$C$4,"4/1喪失","その他喪失"))))</f>
        <v>対象外</v>
      </c>
    </row>
    <row r="714" customFormat="false" ht="15" hidden="false" customHeight="false" outlineLevel="0" collapsed="false">
      <c r="A714" s="0" t="n">
        <v>31</v>
      </c>
      <c r="AA714" s="0" t="n">
        <v>21</v>
      </c>
      <c r="AB714" s="0" t="s">
        <v>477</v>
      </c>
      <c r="AD714" s="0" t="n">
        <v>12</v>
      </c>
      <c r="AE714" s="0" t="s">
        <v>494</v>
      </c>
      <c r="AH714" s="0" t="n">
        <v>1</v>
      </c>
      <c r="AJ714" s="0" t="n">
        <v>41</v>
      </c>
      <c r="AP714" s="0" t="n">
        <v>126000</v>
      </c>
      <c r="DB714" s="0" t="str">
        <f aca="false">IF($A714="","",IF($A714&lt;&gt;21,"対象外",IF($AE714&amp;""="00000000","在職",IF($AE714&amp;""=設定!$C$4,"4/1喪失","その他喪失"))))</f>
        <v>対象外</v>
      </c>
    </row>
    <row r="715" customFormat="false" ht="15" hidden="false" customHeight="false" outlineLevel="0" collapsed="false">
      <c r="A715" s="0" t="n">
        <v>21</v>
      </c>
      <c r="AA715" s="0" t="n">
        <v>21</v>
      </c>
      <c r="AB715" s="0" t="s">
        <v>840</v>
      </c>
      <c r="AD715" s="0" t="n">
        <v>12</v>
      </c>
      <c r="AE715" s="0" t="s">
        <v>463</v>
      </c>
      <c r="AH715" s="0" t="n">
        <v>0</v>
      </c>
      <c r="AJ715" s="0" t="n">
        <v>10</v>
      </c>
      <c r="AP715" s="0" t="n">
        <v>1</v>
      </c>
      <c r="DB715" s="0" t="str">
        <f aca="false">IF($A715="","",IF($A715&lt;&gt;21,"対象外",IF($AE715&amp;""="00000000","在職",IF($AE715&amp;""=設定!$C$4,"4/1喪失","その他喪失"))))</f>
        <v>その他喪失</v>
      </c>
    </row>
    <row r="716" customFormat="false" ht="15" hidden="false" customHeight="false" outlineLevel="0" collapsed="false">
      <c r="A716" s="0" t="n">
        <v>21</v>
      </c>
      <c r="AA716" s="0" t="n">
        <v>21</v>
      </c>
      <c r="AB716" s="0" t="s">
        <v>406</v>
      </c>
      <c r="AD716" s="0" t="n">
        <v>12</v>
      </c>
      <c r="AE716" s="0" t="s">
        <v>96</v>
      </c>
      <c r="AH716" s="0" t="n">
        <v>20</v>
      </c>
      <c r="AJ716" s="0" t="n">
        <v>10</v>
      </c>
      <c r="AP716" s="0" t="n">
        <v>590000</v>
      </c>
      <c r="DB716" s="0" t="str">
        <f aca="false">IF($A716="","",IF($A716&lt;&gt;21,"対象外",IF($AE716&amp;""="00000000","在職",IF($AE716&amp;""=設定!$C$4,"4/1喪失","その他喪失"))))</f>
        <v>4/1喪失</v>
      </c>
    </row>
    <row r="717" customFormat="false" ht="15" hidden="false" customHeight="false" outlineLevel="0" collapsed="false">
      <c r="A717" s="0" t="n">
        <v>21</v>
      </c>
      <c r="AA717" s="0" t="n">
        <v>21</v>
      </c>
      <c r="AB717" s="0" t="s">
        <v>433</v>
      </c>
      <c r="AD717" s="0" t="n">
        <v>12</v>
      </c>
      <c r="AE717" s="0" t="s">
        <v>841</v>
      </c>
      <c r="AH717" s="0" t="n">
        <v>0</v>
      </c>
      <c r="AJ717" s="0" t="n">
        <v>10</v>
      </c>
      <c r="AP717" s="0" t="n">
        <v>1</v>
      </c>
      <c r="DB717" s="0" t="str">
        <f aca="false">IF($A717="","",IF($A717&lt;&gt;21,"対象外",IF($AE717&amp;""="00000000","在職",IF($AE717&amp;""=設定!$C$4,"4/1喪失","その他喪失"))))</f>
        <v>その他喪失</v>
      </c>
    </row>
    <row r="718" customFormat="false" ht="15" hidden="false" customHeight="false" outlineLevel="0" collapsed="false">
      <c r="A718" s="0" t="n">
        <v>21</v>
      </c>
      <c r="AA718" s="0" t="n">
        <v>21</v>
      </c>
      <c r="AB718" s="0" t="s">
        <v>395</v>
      </c>
      <c r="AD718" s="0" t="n">
        <v>12</v>
      </c>
      <c r="AE718" s="0" t="s">
        <v>96</v>
      </c>
      <c r="AH718" s="0" t="n">
        <v>20</v>
      </c>
      <c r="AJ718" s="0" t="n">
        <v>10</v>
      </c>
      <c r="AP718" s="0" t="n">
        <v>590000</v>
      </c>
      <c r="DB718" s="0" t="str">
        <f aca="false">IF($A718="","",IF($A718&lt;&gt;21,"対象外",IF($AE718&amp;""="00000000","在職",IF($AE718&amp;""=設定!$C$4,"4/1喪失","その他喪失"))))</f>
        <v>4/1喪失</v>
      </c>
    </row>
    <row r="719" customFormat="false" ht="15" hidden="false" customHeight="false" outlineLevel="0" collapsed="false">
      <c r="A719" s="0" t="n">
        <v>21</v>
      </c>
      <c r="AA719" s="0" t="n">
        <v>21</v>
      </c>
      <c r="AB719" s="0" t="s">
        <v>448</v>
      </c>
      <c r="AD719" s="0" t="n">
        <v>12</v>
      </c>
      <c r="AE719" s="0" t="s">
        <v>463</v>
      </c>
      <c r="AH719" s="0" t="n">
        <v>0</v>
      </c>
      <c r="AJ719" s="0" t="n">
        <v>10</v>
      </c>
      <c r="AP719" s="0" t="n">
        <v>1</v>
      </c>
      <c r="DB719" s="0" t="str">
        <f aca="false">IF($A719="","",IF($A719&lt;&gt;21,"対象外",IF($AE719&amp;""="00000000","在職",IF($AE719&amp;""=設定!$C$4,"4/1喪失","その他喪失"))))</f>
        <v>その他喪失</v>
      </c>
    </row>
    <row r="720" customFormat="false" ht="15" hidden="false" customHeight="false" outlineLevel="0" collapsed="false">
      <c r="A720" s="0" t="n">
        <v>31</v>
      </c>
      <c r="AA720" s="0" t="n">
        <v>21</v>
      </c>
      <c r="AB720" s="0" t="s">
        <v>496</v>
      </c>
      <c r="AD720" s="0" t="n">
        <v>12</v>
      </c>
      <c r="AE720" s="0" t="s">
        <v>301</v>
      </c>
      <c r="AH720" s="0" t="n">
        <v>11</v>
      </c>
      <c r="AJ720" s="0" t="n">
        <v>41</v>
      </c>
      <c r="AP720" s="0" t="n">
        <v>190000</v>
      </c>
      <c r="DB720" s="0" t="str">
        <f aca="false">IF($A720="","",IF($A720&lt;&gt;21,"対象外",IF($AE720&amp;""="00000000","在職",IF($AE720&amp;""=設定!$C$4,"4/1喪失","その他喪失"))))</f>
        <v>対象外</v>
      </c>
    </row>
    <row r="721" customFormat="false" ht="15" hidden="false" customHeight="false" outlineLevel="0" collapsed="false">
      <c r="A721" s="0" t="n">
        <v>21</v>
      </c>
      <c r="AA721" s="0" t="n">
        <v>21</v>
      </c>
      <c r="AB721" s="0" t="s">
        <v>404</v>
      </c>
      <c r="AD721" s="0" t="n">
        <v>12</v>
      </c>
      <c r="AE721" s="0" t="s">
        <v>96</v>
      </c>
      <c r="AH721" s="0" t="n">
        <v>1</v>
      </c>
      <c r="AJ721" s="0" t="n">
        <v>10</v>
      </c>
      <c r="AP721" s="0" t="n">
        <v>500000</v>
      </c>
      <c r="DB721" s="0" t="str">
        <f aca="false">IF($A721="","",IF($A721&lt;&gt;21,"対象外",IF($AE721&amp;""="00000000","在職",IF($AE721&amp;""=設定!$C$4,"4/1喪失","その他喪失"))))</f>
        <v>4/1喪失</v>
      </c>
    </row>
    <row r="722" customFormat="false" ht="15" hidden="false" customHeight="false" outlineLevel="0" collapsed="false">
      <c r="A722" s="0" t="n">
        <v>21</v>
      </c>
      <c r="AA722" s="0" t="n">
        <v>24</v>
      </c>
      <c r="AB722" s="0" t="s">
        <v>673</v>
      </c>
      <c r="AD722" s="0" t="n">
        <v>12</v>
      </c>
      <c r="AE722" s="0" t="s">
        <v>463</v>
      </c>
      <c r="AH722" s="0" t="n">
        <v>0</v>
      </c>
      <c r="AJ722" s="0" t="n">
        <v>10</v>
      </c>
      <c r="AP722" s="0" t="n">
        <v>107100</v>
      </c>
      <c r="DB722" s="0" t="str">
        <f aca="false">IF($A722="","",IF($A722&lt;&gt;21,"対象外",IF($AE722&amp;""="00000000","在職",IF($AE722&amp;""=設定!$C$4,"4/1喪失","その他喪失"))))</f>
        <v>その他喪失</v>
      </c>
    </row>
    <row r="723" customFormat="false" ht="15" hidden="false" customHeight="false" outlineLevel="0" collapsed="false">
      <c r="A723" s="0" t="n">
        <v>21</v>
      </c>
      <c r="AA723" s="0" t="n">
        <v>21</v>
      </c>
      <c r="AB723" s="0" t="s">
        <v>842</v>
      </c>
      <c r="AD723" s="0" t="n">
        <v>12</v>
      </c>
      <c r="AE723" s="0" t="s">
        <v>459</v>
      </c>
      <c r="AH723" s="0" t="n">
        <v>0</v>
      </c>
      <c r="AJ723" s="0" t="n">
        <v>10</v>
      </c>
      <c r="AP723" s="0" t="n">
        <v>138400</v>
      </c>
      <c r="DB723" s="0" t="str">
        <f aca="false">IF($A723="","",IF($A723&lt;&gt;21,"対象外",IF($AE723&amp;""="00000000","在職",IF($AE723&amp;""=設定!$C$4,"4/1喪失","その他喪失"))))</f>
        <v>その他喪失</v>
      </c>
    </row>
    <row r="724" customFormat="false" ht="15" hidden="false" customHeight="false" outlineLevel="0" collapsed="false">
      <c r="A724" s="0" t="n">
        <v>21</v>
      </c>
      <c r="AA724" s="0" t="n">
        <v>21</v>
      </c>
      <c r="AB724" s="0" t="s">
        <v>401</v>
      </c>
      <c r="AD724" s="0" t="n">
        <v>12</v>
      </c>
      <c r="AE724" s="0" t="s">
        <v>96</v>
      </c>
      <c r="AH724" s="0" t="n">
        <v>20</v>
      </c>
      <c r="AJ724" s="0" t="n">
        <v>10</v>
      </c>
      <c r="AP724" s="0" t="n">
        <v>680000</v>
      </c>
      <c r="DB724" s="0" t="str">
        <f aca="false">IF($A724="","",IF($A724&lt;&gt;21,"対象外",IF($AE724&amp;""="00000000","在職",IF($AE724&amp;""=設定!$C$4,"4/1喪失","その他喪失"))))</f>
        <v>4/1喪失</v>
      </c>
    </row>
    <row r="725" customFormat="false" ht="15" hidden="false" customHeight="false" outlineLevel="0" collapsed="false">
      <c r="A725" s="0" t="n">
        <v>21</v>
      </c>
      <c r="AA725" s="0" t="n">
        <v>21</v>
      </c>
      <c r="AB725" s="0" t="s">
        <v>394</v>
      </c>
      <c r="AD725" s="0" t="n">
        <v>12</v>
      </c>
      <c r="AE725" s="0" t="s">
        <v>725</v>
      </c>
      <c r="AH725" s="0" t="n">
        <v>1</v>
      </c>
      <c r="AJ725" s="0" t="n">
        <v>10</v>
      </c>
      <c r="AP725" s="0" t="n">
        <v>530000</v>
      </c>
      <c r="DB725" s="0" t="str">
        <f aca="false">IF($A725="","",IF($A725&lt;&gt;21,"対象外",IF($AE725&amp;""="00000000","在職",IF($AE725&amp;""=設定!$C$4,"4/1喪失","その他喪失"))))</f>
        <v>その他喪失</v>
      </c>
    </row>
    <row r="726" customFormat="false" ht="15" hidden="false" customHeight="false" outlineLevel="0" collapsed="false">
      <c r="A726" s="0" t="n">
        <v>31</v>
      </c>
      <c r="AA726" s="0" t="n">
        <v>21</v>
      </c>
      <c r="AB726" s="0" t="s">
        <v>496</v>
      </c>
      <c r="AD726" s="0" t="n">
        <v>12</v>
      </c>
      <c r="AE726" s="0" t="s">
        <v>494</v>
      </c>
      <c r="AH726" s="0" t="n">
        <v>1</v>
      </c>
      <c r="AJ726" s="0" t="n">
        <v>41</v>
      </c>
      <c r="AP726" s="0" t="n">
        <v>200000</v>
      </c>
      <c r="DB726" s="0" t="str">
        <f aca="false">IF($A726="","",IF($A726&lt;&gt;21,"対象外",IF($AE726&amp;""="00000000","在職",IF($AE726&amp;""=設定!$C$4,"4/1喪失","その他喪失"))))</f>
        <v>対象外</v>
      </c>
    </row>
    <row r="727" customFormat="false" ht="15" hidden="false" customHeight="false" outlineLevel="0" collapsed="false">
      <c r="A727" s="0" t="n">
        <v>21</v>
      </c>
      <c r="AA727" s="0" t="n">
        <v>21</v>
      </c>
      <c r="AB727" s="0" t="s">
        <v>446</v>
      </c>
      <c r="AD727" s="0" t="n">
        <v>12</v>
      </c>
      <c r="AE727" s="0" t="s">
        <v>463</v>
      </c>
      <c r="AH727" s="0" t="n">
        <v>0</v>
      </c>
      <c r="AJ727" s="0" t="n">
        <v>10</v>
      </c>
      <c r="AP727" s="0" t="n">
        <v>1</v>
      </c>
      <c r="DB727" s="0" t="str">
        <f aca="false">IF($A727="","",IF($A727&lt;&gt;21,"対象外",IF($AE727&amp;""="00000000","在職",IF($AE727&amp;""=設定!$C$4,"4/1喪失","その他喪失"))))</f>
        <v>その他喪失</v>
      </c>
    </row>
    <row r="728" customFormat="false" ht="15" hidden="false" customHeight="false" outlineLevel="0" collapsed="false">
      <c r="A728" s="0" t="n">
        <v>31</v>
      </c>
      <c r="AA728" s="0" t="n">
        <v>21</v>
      </c>
      <c r="AB728" s="0" t="s">
        <v>496</v>
      </c>
      <c r="AD728" s="0" t="n">
        <v>12</v>
      </c>
      <c r="AE728" s="0" t="s">
        <v>477</v>
      </c>
      <c r="AH728" s="0" t="n">
        <v>1</v>
      </c>
      <c r="AJ728" s="0" t="n">
        <v>41</v>
      </c>
      <c r="AP728" s="0" t="n">
        <v>200000</v>
      </c>
      <c r="DB728" s="0" t="str">
        <f aca="false">IF($A728="","",IF($A728&lt;&gt;21,"対象外",IF($AE728&amp;""="00000000","在職",IF($AE728&amp;""=設定!$C$4,"4/1喪失","その他喪失"))))</f>
        <v>対象外</v>
      </c>
    </row>
    <row r="729" customFormat="false" ht="15" hidden="false" customHeight="false" outlineLevel="0" collapsed="false">
      <c r="A729" s="0" t="n">
        <v>21</v>
      </c>
      <c r="AA729" s="0" t="n">
        <v>21</v>
      </c>
      <c r="AB729" s="0" t="s">
        <v>843</v>
      </c>
      <c r="AD729" s="0" t="n">
        <v>12</v>
      </c>
      <c r="AE729" s="0" t="s">
        <v>463</v>
      </c>
      <c r="AH729" s="0" t="n">
        <v>0</v>
      </c>
      <c r="AJ729" s="0" t="n">
        <v>10</v>
      </c>
      <c r="AP729" s="0" t="n">
        <v>1</v>
      </c>
      <c r="DB729" s="0" t="str">
        <f aca="false">IF($A729="","",IF($A729&lt;&gt;21,"対象外",IF($AE729&amp;""="00000000","在職",IF($AE729&amp;""=設定!$C$4,"4/1喪失","その他喪失"))))</f>
        <v>その他喪失</v>
      </c>
    </row>
    <row r="730" customFormat="false" ht="15" hidden="false" customHeight="false" outlineLevel="0" collapsed="false">
      <c r="A730" s="0" t="n">
        <v>21</v>
      </c>
      <c r="AA730" s="0" t="n">
        <v>21</v>
      </c>
      <c r="AB730" s="0" t="s">
        <v>443</v>
      </c>
      <c r="AD730" s="0" t="n">
        <v>12</v>
      </c>
      <c r="AE730" s="0" t="s">
        <v>463</v>
      </c>
      <c r="AH730" s="0" t="n">
        <v>0</v>
      </c>
      <c r="AJ730" s="0" t="n">
        <v>10</v>
      </c>
      <c r="AP730" s="0" t="n">
        <v>1</v>
      </c>
      <c r="DB730" s="0" t="str">
        <f aca="false">IF($A730="","",IF($A730&lt;&gt;21,"対象外",IF($AE730&amp;""="00000000","在職",IF($AE730&amp;""=設定!$C$4,"4/1喪失","その他喪失"))))</f>
        <v>その他喪失</v>
      </c>
    </row>
    <row r="731" customFormat="false" ht="15" hidden="false" customHeight="false" outlineLevel="0" collapsed="false">
      <c r="A731" s="0" t="n">
        <v>21</v>
      </c>
      <c r="AA731" s="0" t="n">
        <v>21</v>
      </c>
      <c r="AB731" s="0" t="s">
        <v>844</v>
      </c>
      <c r="AD731" s="0" t="n">
        <v>12</v>
      </c>
      <c r="AE731" s="0" t="s">
        <v>463</v>
      </c>
      <c r="AH731" s="0" t="n">
        <v>0</v>
      </c>
      <c r="AJ731" s="0" t="n">
        <v>10</v>
      </c>
      <c r="AP731" s="0" t="n">
        <v>1</v>
      </c>
      <c r="DB731" s="0" t="str">
        <f aca="false">IF($A731="","",IF($A731&lt;&gt;21,"対象外",IF($AE731&amp;""="00000000","在職",IF($AE731&amp;""=設定!$C$4,"4/1喪失","その他喪失"))))</f>
        <v>その他喪失</v>
      </c>
    </row>
    <row r="732" customFormat="false" ht="15" hidden="false" customHeight="false" outlineLevel="0" collapsed="false">
      <c r="A732" s="0" t="n">
        <v>31</v>
      </c>
      <c r="AA732" s="0" t="n">
        <v>21</v>
      </c>
      <c r="AB732" s="0" t="s">
        <v>600</v>
      </c>
      <c r="AD732" s="0" t="n">
        <v>12</v>
      </c>
      <c r="AE732" s="0" t="s">
        <v>476</v>
      </c>
      <c r="AH732" s="0" t="n">
        <v>1</v>
      </c>
      <c r="AJ732" s="0" t="n">
        <v>10</v>
      </c>
      <c r="AP732" s="0" t="n">
        <v>200000</v>
      </c>
      <c r="DB732" s="0" t="str">
        <f aca="false">IF($A732="","",IF($A732&lt;&gt;21,"対象外",IF($AE732&amp;""="00000000","在職",IF($AE732&amp;""=設定!$C$4,"4/1喪失","その他喪失"))))</f>
        <v>対象外</v>
      </c>
    </row>
    <row r="733" customFormat="false" ht="15" hidden="false" customHeight="false" outlineLevel="0" collapsed="false">
      <c r="A733" s="0" t="n">
        <v>21</v>
      </c>
      <c r="AA733" s="0" t="n">
        <v>21</v>
      </c>
      <c r="AB733" s="0" t="s">
        <v>413</v>
      </c>
      <c r="AD733" s="0" t="n">
        <v>12</v>
      </c>
      <c r="AE733" s="0" t="s">
        <v>96</v>
      </c>
      <c r="AH733" s="0" t="n">
        <v>1</v>
      </c>
      <c r="AJ733" s="0" t="n">
        <v>10</v>
      </c>
      <c r="AP733" s="0" t="n">
        <v>470000</v>
      </c>
      <c r="DB733" s="0" t="str">
        <f aca="false">IF($A733="","",IF($A733&lt;&gt;21,"対象外",IF($AE733&amp;""="00000000","在職",IF($AE733&amp;""=設定!$C$4,"4/1喪失","その他喪失"))))</f>
        <v>4/1喪失</v>
      </c>
    </row>
    <row r="734" customFormat="false" ht="15" hidden="false" customHeight="false" outlineLevel="0" collapsed="false">
      <c r="A734" s="0" t="n">
        <v>21</v>
      </c>
      <c r="AA734" s="0" t="n">
        <v>21</v>
      </c>
      <c r="AB734" s="0" t="s">
        <v>653</v>
      </c>
      <c r="AD734" s="0" t="n">
        <v>12</v>
      </c>
      <c r="AE734" s="0" t="s">
        <v>463</v>
      </c>
      <c r="AH734" s="0" t="n">
        <v>0</v>
      </c>
      <c r="AJ734" s="0" t="n">
        <v>10</v>
      </c>
      <c r="AP734" s="0" t="n">
        <v>1</v>
      </c>
      <c r="DB734" s="0" t="str">
        <f aca="false">IF($A734="","",IF($A734&lt;&gt;21,"対象外",IF($AE734&amp;""="00000000","在職",IF($AE734&amp;""=設定!$C$4,"4/1喪失","その他喪失"))))</f>
        <v>その他喪失</v>
      </c>
    </row>
    <row r="735" customFormat="false" ht="15" hidden="false" customHeight="false" outlineLevel="0" collapsed="false">
      <c r="A735" s="0" t="n">
        <v>21</v>
      </c>
      <c r="AA735" s="0" t="n">
        <v>21</v>
      </c>
      <c r="AB735" s="0" t="s">
        <v>453</v>
      </c>
      <c r="AD735" s="0" t="n">
        <v>12</v>
      </c>
      <c r="AE735" s="0" t="s">
        <v>463</v>
      </c>
      <c r="AH735" s="0" t="n">
        <v>0</v>
      </c>
      <c r="AJ735" s="0" t="n">
        <v>10</v>
      </c>
      <c r="AP735" s="0" t="n">
        <v>1</v>
      </c>
      <c r="DB735" s="0" t="str">
        <f aca="false">IF($A735="","",IF($A735&lt;&gt;21,"対象外",IF($AE735&amp;""="00000000","在職",IF($AE735&amp;""=設定!$C$4,"4/1喪失","その他喪失"))))</f>
        <v>その他喪失</v>
      </c>
    </row>
    <row r="736" customFormat="false" ht="15" hidden="false" customHeight="false" outlineLevel="0" collapsed="false">
      <c r="A736" s="0" t="n">
        <v>21</v>
      </c>
      <c r="AA736" s="0" t="n">
        <v>21</v>
      </c>
      <c r="AB736" s="0" t="s">
        <v>441</v>
      </c>
      <c r="AD736" s="0" t="n">
        <v>12</v>
      </c>
      <c r="AE736" s="0" t="s">
        <v>463</v>
      </c>
      <c r="AH736" s="0" t="n">
        <v>0</v>
      </c>
      <c r="AJ736" s="0" t="n">
        <v>10</v>
      </c>
      <c r="AP736" s="0" t="n">
        <v>1</v>
      </c>
      <c r="DB736" s="0" t="str">
        <f aca="false">IF($A736="","",IF($A736&lt;&gt;21,"対象外",IF($AE736&amp;""="00000000","在職",IF($AE736&amp;""=設定!$C$4,"4/1喪失","その他喪失"))))</f>
        <v>その他喪失</v>
      </c>
    </row>
    <row r="737" customFormat="false" ht="15" hidden="false" customHeight="false" outlineLevel="0" collapsed="false">
      <c r="A737" s="0" t="n">
        <v>21</v>
      </c>
      <c r="AA737" s="0" t="n">
        <v>21</v>
      </c>
      <c r="AB737" s="0" t="s">
        <v>845</v>
      </c>
      <c r="AD737" s="0" t="n">
        <v>12</v>
      </c>
      <c r="AE737" s="0" t="s">
        <v>410</v>
      </c>
      <c r="AH737" s="0" t="n">
        <v>20</v>
      </c>
      <c r="AJ737" s="0" t="n">
        <v>10</v>
      </c>
      <c r="AP737" s="0" t="n">
        <v>380000</v>
      </c>
      <c r="DB737" s="0" t="str">
        <f aca="false">IF($A737="","",IF($A737&lt;&gt;21,"対象外",IF($AE737&amp;""="00000000","在職",IF($AE737&amp;""=設定!$C$4,"4/1喪失","その他喪失"))))</f>
        <v>その他喪失</v>
      </c>
    </row>
    <row r="738" customFormat="false" ht="15" hidden="false" customHeight="false" outlineLevel="0" collapsed="false">
      <c r="A738" s="0" t="n">
        <v>21</v>
      </c>
      <c r="AA738" s="0" t="n">
        <v>21</v>
      </c>
      <c r="AB738" s="0" t="s">
        <v>603</v>
      </c>
      <c r="AD738" s="0" t="n">
        <v>12</v>
      </c>
      <c r="AE738" s="0" t="s">
        <v>457</v>
      </c>
      <c r="AH738" s="0" t="n">
        <v>0</v>
      </c>
      <c r="AJ738" s="0" t="n">
        <v>10</v>
      </c>
      <c r="AP738" s="0" t="n">
        <v>1</v>
      </c>
      <c r="DB738" s="0" t="str">
        <f aca="false">IF($A738="","",IF($A738&lt;&gt;21,"対象外",IF($AE738&amp;""="00000000","在職",IF($AE738&amp;""=設定!$C$4,"4/1喪失","その他喪失"))))</f>
        <v>その他喪失</v>
      </c>
    </row>
    <row r="739" customFormat="false" ht="15" hidden="false" customHeight="false" outlineLevel="0" collapsed="false">
      <c r="A739" s="0" t="n">
        <v>21</v>
      </c>
      <c r="AA739" s="0" t="n">
        <v>21</v>
      </c>
      <c r="AB739" s="0" t="s">
        <v>846</v>
      </c>
      <c r="AD739" s="0" t="n">
        <v>12</v>
      </c>
      <c r="AE739" s="0" t="s">
        <v>463</v>
      </c>
      <c r="AH739" s="0" t="n">
        <v>0</v>
      </c>
      <c r="AJ739" s="0" t="n">
        <v>10</v>
      </c>
      <c r="AP739" s="0" t="n">
        <v>1</v>
      </c>
      <c r="DB739" s="0" t="str">
        <f aca="false">IF($A739="","",IF($A739&lt;&gt;21,"対象外",IF($AE739&amp;""="00000000","在職",IF($AE739&amp;""=設定!$C$4,"4/1喪失","その他喪失"))))</f>
        <v>その他喪失</v>
      </c>
    </row>
    <row r="740" customFormat="false" ht="15" hidden="false" customHeight="false" outlineLevel="0" collapsed="false">
      <c r="A740" s="0" t="n">
        <v>21</v>
      </c>
      <c r="AA740" s="0" t="n">
        <v>24</v>
      </c>
      <c r="AB740" s="0" t="s">
        <v>457</v>
      </c>
      <c r="AD740" s="0" t="n">
        <v>12</v>
      </c>
      <c r="AE740" s="0" t="s">
        <v>463</v>
      </c>
      <c r="AH740" s="0" t="n">
        <v>0</v>
      </c>
      <c r="AJ740" s="0" t="n">
        <v>10</v>
      </c>
      <c r="AP740" s="0" t="n">
        <v>1</v>
      </c>
      <c r="DB740" s="0" t="str">
        <f aca="false">IF($A740="","",IF($A740&lt;&gt;21,"対象外",IF($AE740&amp;""="00000000","在職",IF($AE740&amp;""=設定!$C$4,"4/1喪失","その他喪失"))))</f>
        <v>その他喪失</v>
      </c>
    </row>
    <row r="741" customFormat="false" ht="15" hidden="false" customHeight="false" outlineLevel="0" collapsed="false">
      <c r="A741" s="0" t="n">
        <v>21</v>
      </c>
      <c r="AA741" s="0" t="n">
        <v>21</v>
      </c>
      <c r="AB741" s="0" t="s">
        <v>847</v>
      </c>
      <c r="AD741" s="0" t="n">
        <v>12</v>
      </c>
      <c r="AE741" s="0" t="s">
        <v>728</v>
      </c>
      <c r="AH741" s="0" t="n">
        <v>0</v>
      </c>
      <c r="AJ741" s="0" t="n">
        <v>10</v>
      </c>
      <c r="AP741" s="0" t="n">
        <v>1</v>
      </c>
      <c r="DB741" s="0" t="str">
        <f aca="false">IF($A741="","",IF($A741&lt;&gt;21,"対象外",IF($AE741&amp;""="00000000","在職",IF($AE741&amp;""=設定!$C$4,"4/1喪失","その他喪失"))))</f>
        <v>その他喪失</v>
      </c>
    </row>
    <row r="742" customFormat="false" ht="15" hidden="false" customHeight="false" outlineLevel="0" collapsed="false">
      <c r="A742" s="0" t="n">
        <v>21</v>
      </c>
      <c r="AA742" s="0" t="n">
        <v>21</v>
      </c>
      <c r="AB742" s="0" t="s">
        <v>728</v>
      </c>
      <c r="AD742" s="0" t="n">
        <v>12</v>
      </c>
      <c r="AE742" s="0" t="s">
        <v>463</v>
      </c>
      <c r="AH742" s="0" t="n">
        <v>0</v>
      </c>
      <c r="AJ742" s="0" t="n">
        <v>10</v>
      </c>
      <c r="AP742" s="0" t="n">
        <v>1</v>
      </c>
      <c r="DB742" s="0" t="str">
        <f aca="false">IF($A742="","",IF($A742&lt;&gt;21,"対象外",IF($AE742&amp;""="00000000","在職",IF($AE742&amp;""=設定!$C$4,"4/1喪失","その他喪失"))))</f>
        <v>その他喪失</v>
      </c>
    </row>
    <row r="743" customFormat="false" ht="15" hidden="false" customHeight="false" outlineLevel="0" collapsed="false">
      <c r="A743" s="0" t="n">
        <v>21</v>
      </c>
      <c r="AA743" s="0" t="n">
        <v>21</v>
      </c>
      <c r="AB743" s="0" t="s">
        <v>450</v>
      </c>
      <c r="AD743" s="0" t="n">
        <v>12</v>
      </c>
      <c r="AE743" s="0" t="s">
        <v>96</v>
      </c>
      <c r="AH743" s="0" t="n">
        <v>1</v>
      </c>
      <c r="AJ743" s="0" t="n">
        <v>10</v>
      </c>
      <c r="AP743" s="0" t="n">
        <v>500000</v>
      </c>
      <c r="DB743" s="0" t="str">
        <f aca="false">IF($A743="","",IF($A743&lt;&gt;21,"対象外",IF($AE743&amp;""="00000000","在職",IF($AE743&amp;""=設定!$C$4,"4/1喪失","その他喪失"))))</f>
        <v>4/1喪失</v>
      </c>
    </row>
    <row r="744" customFormat="false" ht="15" hidden="false" customHeight="false" outlineLevel="0" collapsed="false">
      <c r="A744" s="0" t="n">
        <v>31</v>
      </c>
      <c r="AA744" s="0" t="n">
        <v>21</v>
      </c>
      <c r="AB744" s="0" t="s">
        <v>496</v>
      </c>
      <c r="AD744" s="0" t="n">
        <v>15</v>
      </c>
      <c r="AE744" s="0" t="s">
        <v>848</v>
      </c>
      <c r="AH744" s="0" t="n">
        <v>1</v>
      </c>
      <c r="AJ744" s="0" t="n">
        <v>41</v>
      </c>
      <c r="AP744" s="0" t="n">
        <v>134000</v>
      </c>
      <c r="DB744" s="0" t="str">
        <f aca="false">IF($A744="","",IF($A744&lt;&gt;21,"対象外",IF($AE744&amp;""="00000000","在職",IF($AE744&amp;""=設定!$C$4,"4/1喪失","その他喪失"))))</f>
        <v>対象外</v>
      </c>
    </row>
    <row r="745" customFormat="false" ht="15" hidden="false" customHeight="false" outlineLevel="0" collapsed="false">
      <c r="A745" s="0" t="n">
        <v>21</v>
      </c>
      <c r="AA745" s="0" t="n">
        <v>21</v>
      </c>
      <c r="AB745" s="0" t="s">
        <v>453</v>
      </c>
      <c r="AD745" s="0" t="n">
        <v>12</v>
      </c>
      <c r="AE745" s="0" t="s">
        <v>463</v>
      </c>
      <c r="AH745" s="0" t="n">
        <v>0</v>
      </c>
      <c r="AJ745" s="0" t="n">
        <v>10</v>
      </c>
      <c r="AP745" s="0" t="n">
        <v>1</v>
      </c>
      <c r="DB745" s="0" t="str">
        <f aca="false">IF($A745="","",IF($A745&lt;&gt;21,"対象外",IF($AE745&amp;""="00000000","在職",IF($AE745&amp;""=設定!$C$4,"4/1喪失","その他喪失"))))</f>
        <v>その他喪失</v>
      </c>
    </row>
    <row r="746" customFormat="false" ht="15" hidden="false" customHeight="false" outlineLevel="0" collapsed="false">
      <c r="A746" s="0" t="n">
        <v>21</v>
      </c>
      <c r="AA746" s="0" t="n">
        <v>21</v>
      </c>
      <c r="AB746" s="0" t="s">
        <v>397</v>
      </c>
      <c r="AD746" s="0" t="n">
        <v>12</v>
      </c>
      <c r="AE746" s="0" t="s">
        <v>96</v>
      </c>
      <c r="AH746" s="0" t="n">
        <v>1</v>
      </c>
      <c r="AJ746" s="0" t="n">
        <v>10</v>
      </c>
      <c r="AP746" s="0" t="n">
        <v>500000</v>
      </c>
      <c r="DB746" s="0" t="str">
        <f aca="false">IF($A746="","",IF($A746&lt;&gt;21,"対象外",IF($AE746&amp;""="00000000","在職",IF($AE746&amp;""=設定!$C$4,"4/1喪失","その他喪失"))))</f>
        <v>4/1喪失</v>
      </c>
    </row>
    <row r="747" customFormat="false" ht="15" hidden="false" customHeight="false" outlineLevel="0" collapsed="false">
      <c r="A747" s="0" t="n">
        <v>21</v>
      </c>
      <c r="AA747" s="0" t="n">
        <v>21</v>
      </c>
      <c r="AB747" s="0" t="s">
        <v>849</v>
      </c>
      <c r="AD747" s="0" t="n">
        <v>12</v>
      </c>
      <c r="AE747" s="0" t="s">
        <v>463</v>
      </c>
      <c r="AH747" s="0" t="n">
        <v>0</v>
      </c>
      <c r="AJ747" s="0" t="n">
        <v>10</v>
      </c>
      <c r="AP747" s="0" t="n">
        <v>1</v>
      </c>
      <c r="DB747" s="0" t="str">
        <f aca="false">IF($A747="","",IF($A747&lt;&gt;21,"対象外",IF($AE747&amp;""="00000000","在職",IF($AE747&amp;""=設定!$C$4,"4/1喪失","その他喪失"))))</f>
        <v>その他喪失</v>
      </c>
    </row>
    <row r="748" customFormat="false" ht="15" hidden="false" customHeight="false" outlineLevel="0" collapsed="false">
      <c r="A748" s="0" t="n">
        <v>21</v>
      </c>
      <c r="AA748" s="0" t="n">
        <v>21</v>
      </c>
      <c r="AB748" s="0" t="s">
        <v>413</v>
      </c>
      <c r="AD748" s="0" t="n">
        <v>12</v>
      </c>
      <c r="AE748" s="0" t="s">
        <v>96</v>
      </c>
      <c r="AH748" s="0" t="n">
        <v>1</v>
      </c>
      <c r="AJ748" s="0" t="n">
        <v>10</v>
      </c>
      <c r="AP748" s="0" t="n">
        <v>710000</v>
      </c>
      <c r="DB748" s="0" t="str">
        <f aca="false">IF($A748="","",IF($A748&lt;&gt;21,"対象外",IF($AE748&amp;""="00000000","在職",IF($AE748&amp;""=設定!$C$4,"4/1喪失","その他喪失"))))</f>
        <v>4/1喪失</v>
      </c>
    </row>
    <row r="749" customFormat="false" ht="15" hidden="false" customHeight="false" outlineLevel="0" collapsed="false">
      <c r="A749" s="0" t="n">
        <v>21</v>
      </c>
      <c r="AA749" s="0" t="n">
        <v>21</v>
      </c>
      <c r="AB749" s="0" t="s">
        <v>728</v>
      </c>
      <c r="AD749" s="0" t="n">
        <v>12</v>
      </c>
      <c r="AE749" s="0" t="s">
        <v>823</v>
      </c>
      <c r="AH749" s="0" t="n">
        <v>0</v>
      </c>
      <c r="AJ749" s="0" t="n">
        <v>10</v>
      </c>
      <c r="AP749" s="0" t="n">
        <v>139545</v>
      </c>
      <c r="DB749" s="0" t="str">
        <f aca="false">IF($A749="","",IF($A749&lt;&gt;21,"対象外",IF($AE749&amp;""="00000000","在職",IF($AE749&amp;""=設定!$C$4,"4/1喪失","その他喪失"))))</f>
        <v>その他喪失</v>
      </c>
    </row>
    <row r="750" customFormat="false" ht="15" hidden="false" customHeight="false" outlineLevel="0" collapsed="false">
      <c r="A750" s="0" t="n">
        <v>21</v>
      </c>
      <c r="AA750" s="0" t="n">
        <v>21</v>
      </c>
      <c r="AB750" s="0" t="s">
        <v>409</v>
      </c>
      <c r="AD750" s="0" t="n">
        <v>12</v>
      </c>
      <c r="AE750" s="0" t="s">
        <v>96</v>
      </c>
      <c r="AH750" s="0" t="n">
        <v>32</v>
      </c>
      <c r="AJ750" s="0" t="n">
        <v>74</v>
      </c>
      <c r="AP750" s="0" t="n">
        <v>530000</v>
      </c>
      <c r="DB750" s="0" t="str">
        <f aca="false">IF($A750="","",IF($A750&lt;&gt;21,"対象外",IF($AE750&amp;""="00000000","在職",IF($AE750&amp;""=設定!$C$4,"4/1喪失","その他喪失"))))</f>
        <v>4/1喪失</v>
      </c>
    </row>
    <row r="751" customFormat="false" ht="15" hidden="false" customHeight="false" outlineLevel="0" collapsed="false">
      <c r="A751" s="0" t="n">
        <v>21</v>
      </c>
      <c r="AA751" s="0" t="n">
        <v>21</v>
      </c>
      <c r="AB751" s="0" t="s">
        <v>665</v>
      </c>
      <c r="AD751" s="0" t="n">
        <v>12</v>
      </c>
      <c r="AE751" s="0" t="s">
        <v>850</v>
      </c>
      <c r="AH751" s="0" t="n">
        <v>20</v>
      </c>
      <c r="AJ751" s="0" t="n">
        <v>10</v>
      </c>
      <c r="AP751" s="0" t="n">
        <v>220000</v>
      </c>
      <c r="DB751" s="0" t="str">
        <f aca="false">IF($A751="","",IF($A751&lt;&gt;21,"対象外",IF($AE751&amp;""="00000000","在職",IF($AE751&amp;""=設定!$C$4,"4/1喪失","その他喪失"))))</f>
        <v>その他喪失</v>
      </c>
    </row>
    <row r="752" customFormat="false" ht="15" hidden="false" customHeight="false" outlineLevel="0" collapsed="false">
      <c r="A752" s="0" t="n">
        <v>21</v>
      </c>
      <c r="AA752" s="0" t="n">
        <v>21</v>
      </c>
      <c r="AB752" s="0" t="s">
        <v>422</v>
      </c>
      <c r="AD752" s="0" t="n">
        <v>12</v>
      </c>
      <c r="AE752" s="0" t="s">
        <v>477</v>
      </c>
      <c r="AH752" s="0" t="n">
        <v>1</v>
      </c>
      <c r="AJ752" s="0" t="n">
        <v>10</v>
      </c>
      <c r="AP752" s="0" t="n">
        <v>560000</v>
      </c>
      <c r="DB752" s="0" t="str">
        <f aca="false">IF($A752="","",IF($A752&lt;&gt;21,"対象外",IF($AE752&amp;""="00000000","在職",IF($AE752&amp;""=設定!$C$4,"4/1喪失","その他喪失"))))</f>
        <v>その他喪失</v>
      </c>
    </row>
    <row r="753" customFormat="false" ht="15" hidden="false" customHeight="false" outlineLevel="0" collapsed="false">
      <c r="A753" s="0" t="n">
        <v>21</v>
      </c>
      <c r="AA753" s="0" t="n">
        <v>21</v>
      </c>
      <c r="AB753" s="0" t="s">
        <v>448</v>
      </c>
      <c r="AD753" s="0" t="n">
        <v>12</v>
      </c>
      <c r="AE753" s="0" t="s">
        <v>452</v>
      </c>
      <c r="AH753" s="0" t="n">
        <v>11</v>
      </c>
      <c r="AJ753" s="0" t="n">
        <v>10</v>
      </c>
      <c r="AP753" s="0" t="n">
        <v>360000</v>
      </c>
      <c r="DB753" s="0" t="str">
        <f aca="false">IF($A753="","",IF($A753&lt;&gt;21,"対象外",IF($AE753&amp;""="00000000","在職",IF($AE753&amp;""=設定!$C$4,"4/1喪失","その他喪失"))))</f>
        <v>その他喪失</v>
      </c>
    </row>
    <row r="754" customFormat="false" ht="15" hidden="false" customHeight="false" outlineLevel="0" collapsed="false">
      <c r="A754" s="0" t="n">
        <v>21</v>
      </c>
      <c r="AA754" s="0" t="n">
        <v>21</v>
      </c>
      <c r="AB754" s="0" t="s">
        <v>851</v>
      </c>
      <c r="AD754" s="0" t="n">
        <v>12</v>
      </c>
      <c r="AE754" s="0" t="s">
        <v>463</v>
      </c>
      <c r="AH754" s="0" t="n">
        <v>0</v>
      </c>
      <c r="AJ754" s="0" t="n">
        <v>10</v>
      </c>
      <c r="AP754" s="0" t="n">
        <v>1</v>
      </c>
      <c r="DB754" s="0" t="str">
        <f aca="false">IF($A754="","",IF($A754&lt;&gt;21,"対象外",IF($AE754&amp;""="00000000","在職",IF($AE754&amp;""=設定!$C$4,"4/1喪失","その他喪失"))))</f>
        <v>その他喪失</v>
      </c>
    </row>
    <row r="755" customFormat="false" ht="15" hidden="false" customHeight="false" outlineLevel="0" collapsed="false">
      <c r="A755" s="0" t="n">
        <v>21</v>
      </c>
      <c r="AA755" s="0" t="n">
        <v>21</v>
      </c>
      <c r="AB755" s="0" t="s">
        <v>448</v>
      </c>
      <c r="AD755" s="0" t="n">
        <v>12</v>
      </c>
      <c r="AE755" s="0" t="s">
        <v>463</v>
      </c>
      <c r="AH755" s="0" t="n">
        <v>0</v>
      </c>
      <c r="AJ755" s="0" t="n">
        <v>10</v>
      </c>
      <c r="AP755" s="0" t="n">
        <v>1</v>
      </c>
      <c r="DB755" s="0" t="str">
        <f aca="false">IF($A755="","",IF($A755&lt;&gt;21,"対象外",IF($AE755&amp;""="00000000","在職",IF($AE755&amp;""=設定!$C$4,"4/1喪失","その他喪失"))))</f>
        <v>その他喪失</v>
      </c>
    </row>
    <row r="756" customFormat="false" ht="15" hidden="false" customHeight="false" outlineLevel="0" collapsed="false">
      <c r="A756" s="0" t="n">
        <v>31</v>
      </c>
      <c r="AA756" s="0" t="n">
        <v>21</v>
      </c>
      <c r="AB756" s="0" t="s">
        <v>477</v>
      </c>
      <c r="AD756" s="0" t="n">
        <v>12</v>
      </c>
      <c r="AE756" s="0" t="s">
        <v>852</v>
      </c>
      <c r="AH756" s="0" t="n">
        <v>1</v>
      </c>
      <c r="AJ756" s="0" t="n">
        <v>41</v>
      </c>
      <c r="AP756" s="0" t="n">
        <v>142000</v>
      </c>
      <c r="DB756" s="0" t="str">
        <f aca="false">IF($A756="","",IF($A756&lt;&gt;21,"対象外",IF($AE756&amp;""="00000000","在職",IF($AE756&amp;""=設定!$C$4,"4/1喪失","その他喪失"))))</f>
        <v>対象外</v>
      </c>
    </row>
    <row r="757" customFormat="false" ht="15" hidden="false" customHeight="false" outlineLevel="0" collapsed="false">
      <c r="A757" s="0" t="n">
        <v>21</v>
      </c>
      <c r="AA757" s="0" t="n">
        <v>21</v>
      </c>
      <c r="AB757" s="0" t="s">
        <v>457</v>
      </c>
      <c r="AD757" s="0" t="n">
        <v>12</v>
      </c>
      <c r="AE757" s="0" t="s">
        <v>853</v>
      </c>
      <c r="AH757" s="0" t="n">
        <v>0</v>
      </c>
      <c r="AJ757" s="0" t="n">
        <v>10</v>
      </c>
      <c r="AP757" s="0" t="n">
        <v>562680</v>
      </c>
      <c r="DB757" s="0" t="str">
        <f aca="false">IF($A757="","",IF($A757&lt;&gt;21,"対象外",IF($AE757&amp;""="00000000","在職",IF($AE757&amp;""=設定!$C$4,"4/1喪失","その他喪失"))))</f>
        <v>その他喪失</v>
      </c>
    </row>
    <row r="758" customFormat="false" ht="15" hidden="false" customHeight="false" outlineLevel="0" collapsed="false">
      <c r="A758" s="0" t="n">
        <v>21</v>
      </c>
      <c r="AA758" s="0" t="n">
        <v>21</v>
      </c>
      <c r="AB758" s="0" t="s">
        <v>427</v>
      </c>
      <c r="AD758" s="0" t="n">
        <v>12</v>
      </c>
      <c r="AE758" s="0" t="s">
        <v>466</v>
      </c>
      <c r="AH758" s="0" t="n">
        <v>0</v>
      </c>
      <c r="AJ758" s="0" t="n">
        <v>10</v>
      </c>
      <c r="AP758" s="0" t="n">
        <v>368600</v>
      </c>
      <c r="DB758" s="0" t="str">
        <f aca="false">IF($A758="","",IF($A758&lt;&gt;21,"対象外",IF($AE758&amp;""="00000000","在職",IF($AE758&amp;""=設定!$C$4,"4/1喪失","その他喪失"))))</f>
        <v>その他喪失</v>
      </c>
    </row>
    <row r="759" customFormat="false" ht="15" hidden="false" customHeight="false" outlineLevel="0" collapsed="false">
      <c r="A759" s="0" t="n">
        <v>21</v>
      </c>
      <c r="AA759" s="0" t="n">
        <v>24</v>
      </c>
      <c r="AB759" s="0" t="s">
        <v>400</v>
      </c>
      <c r="AD759" s="0" t="n">
        <v>12</v>
      </c>
      <c r="AE759" s="0" t="s">
        <v>96</v>
      </c>
      <c r="AH759" s="0" t="n">
        <v>1</v>
      </c>
      <c r="AJ759" s="0" t="n">
        <v>10</v>
      </c>
      <c r="AP759" s="0" t="n">
        <v>560000</v>
      </c>
      <c r="DB759" s="0" t="str">
        <f aca="false">IF($A759="","",IF($A759&lt;&gt;21,"対象外",IF($AE759&amp;""="00000000","在職",IF($AE759&amp;""=設定!$C$4,"4/1喪失","その他喪失"))))</f>
        <v>4/1喪失</v>
      </c>
    </row>
    <row r="760" customFormat="false" ht="15" hidden="false" customHeight="false" outlineLevel="0" collapsed="false">
      <c r="A760" s="0" t="n">
        <v>21</v>
      </c>
      <c r="AA760" s="0" t="n">
        <v>21</v>
      </c>
      <c r="AB760" s="0" t="s">
        <v>457</v>
      </c>
      <c r="AD760" s="0" t="n">
        <v>12</v>
      </c>
      <c r="AE760" s="0" t="s">
        <v>463</v>
      </c>
      <c r="AH760" s="0" t="n">
        <v>0</v>
      </c>
      <c r="AJ760" s="0" t="n">
        <v>10</v>
      </c>
      <c r="AP760" s="0" t="n">
        <v>1</v>
      </c>
      <c r="DB760" s="0" t="str">
        <f aca="false">IF($A760="","",IF($A760&lt;&gt;21,"対象外",IF($AE760&amp;""="00000000","在職",IF($AE760&amp;""=設定!$C$4,"4/1喪失","その他喪失"))))</f>
        <v>その他喪失</v>
      </c>
    </row>
    <row r="761" customFormat="false" ht="15" hidden="false" customHeight="false" outlineLevel="0" collapsed="false">
      <c r="A761" s="0" t="n">
        <v>21</v>
      </c>
      <c r="AA761" s="0" t="n">
        <v>21</v>
      </c>
      <c r="AB761" s="0" t="s">
        <v>401</v>
      </c>
      <c r="AD761" s="0" t="n">
        <v>12</v>
      </c>
      <c r="AE761" s="0" t="s">
        <v>458</v>
      </c>
      <c r="AH761" s="0" t="n">
        <v>20</v>
      </c>
      <c r="AJ761" s="0" t="n">
        <v>10</v>
      </c>
      <c r="AP761" s="0" t="n">
        <v>530000</v>
      </c>
      <c r="DB761" s="0" t="str">
        <f aca="false">IF($A761="","",IF($A761&lt;&gt;21,"対象外",IF($AE761&amp;""="00000000","在職",IF($AE761&amp;""=設定!$C$4,"4/1喪失","その他喪失"))))</f>
        <v>その他喪失</v>
      </c>
    </row>
    <row r="762" customFormat="false" ht="15" hidden="false" customHeight="false" outlineLevel="0" collapsed="false">
      <c r="A762" s="0" t="n">
        <v>21</v>
      </c>
      <c r="AA762" s="0" t="n">
        <v>21</v>
      </c>
      <c r="AB762" s="0" t="s">
        <v>673</v>
      </c>
      <c r="AD762" s="0" t="n">
        <v>12</v>
      </c>
      <c r="AE762" s="0" t="s">
        <v>463</v>
      </c>
      <c r="AH762" s="0" t="n">
        <v>0</v>
      </c>
      <c r="AJ762" s="0" t="n">
        <v>10</v>
      </c>
      <c r="AP762" s="0" t="n">
        <v>372187</v>
      </c>
      <c r="DB762" s="0" t="str">
        <f aca="false">IF($A762="","",IF($A762&lt;&gt;21,"対象外",IF($AE762&amp;""="00000000","在職",IF($AE762&amp;""=設定!$C$4,"4/1喪失","その他喪失"))))</f>
        <v>その他喪失</v>
      </c>
    </row>
    <row r="763" customFormat="false" ht="15" hidden="false" customHeight="false" outlineLevel="0" collapsed="false">
      <c r="A763" s="0" t="n">
        <v>21</v>
      </c>
      <c r="AA763" s="0" t="n">
        <v>21</v>
      </c>
      <c r="AB763" s="0" t="s">
        <v>812</v>
      </c>
      <c r="AD763" s="0" t="n">
        <v>12</v>
      </c>
      <c r="AE763" s="0" t="s">
        <v>463</v>
      </c>
      <c r="AH763" s="0" t="n">
        <v>0</v>
      </c>
      <c r="AJ763" s="0" t="n">
        <v>10</v>
      </c>
      <c r="AP763" s="0" t="n">
        <v>1</v>
      </c>
      <c r="DB763" s="0" t="str">
        <f aca="false">IF($A763="","",IF($A763&lt;&gt;21,"対象外",IF($AE763&amp;""="00000000","在職",IF($AE763&amp;""=設定!$C$4,"4/1喪失","その他喪失"))))</f>
        <v>その他喪失</v>
      </c>
    </row>
    <row r="764" customFormat="false" ht="15" hidden="false" customHeight="false" outlineLevel="0" collapsed="false">
      <c r="A764" s="0" t="n">
        <v>21</v>
      </c>
      <c r="AA764" s="0" t="n">
        <v>21</v>
      </c>
      <c r="AB764" s="0" t="s">
        <v>456</v>
      </c>
      <c r="AD764" s="0" t="n">
        <v>12</v>
      </c>
      <c r="AE764" s="0" t="s">
        <v>463</v>
      </c>
      <c r="AH764" s="0" t="n">
        <v>0</v>
      </c>
      <c r="AJ764" s="0" t="n">
        <v>10</v>
      </c>
      <c r="AP764" s="0" t="n">
        <v>1</v>
      </c>
      <c r="DB764" s="0" t="str">
        <f aca="false">IF($A764="","",IF($A764&lt;&gt;21,"対象外",IF($AE764&amp;""="00000000","在職",IF($AE764&amp;""=設定!$C$4,"4/1喪失","その他喪失"))))</f>
        <v>その他喪失</v>
      </c>
    </row>
    <row r="765" customFormat="false" ht="15" hidden="false" customHeight="false" outlineLevel="0" collapsed="false">
      <c r="A765" s="0" t="n">
        <v>31</v>
      </c>
      <c r="AA765" s="0" t="n">
        <v>21</v>
      </c>
      <c r="AB765" s="0" t="s">
        <v>496</v>
      </c>
      <c r="AD765" s="0" t="n">
        <v>12</v>
      </c>
      <c r="AE765" s="0" t="s">
        <v>96</v>
      </c>
      <c r="AH765" s="0" t="n">
        <v>1</v>
      </c>
      <c r="AJ765" s="0" t="n">
        <v>41</v>
      </c>
      <c r="AP765" s="0" t="n">
        <v>180000</v>
      </c>
      <c r="DB765" s="0" t="str">
        <f aca="false">IF($A765="","",IF($A765&lt;&gt;21,"対象外",IF($AE765&amp;""="00000000","在職",IF($AE765&amp;""=設定!$C$4,"4/1喪失","その他喪失"))))</f>
        <v>対象外</v>
      </c>
    </row>
    <row r="766" customFormat="false" ht="15" hidden="false" customHeight="false" outlineLevel="0" collapsed="false">
      <c r="A766" s="0" t="n">
        <v>21</v>
      </c>
      <c r="AA766" s="0" t="n">
        <v>21</v>
      </c>
      <c r="AB766" s="0" t="s">
        <v>390</v>
      </c>
      <c r="AD766" s="0" t="n">
        <v>12</v>
      </c>
      <c r="AE766" s="0" t="s">
        <v>96</v>
      </c>
      <c r="AH766" s="0" t="n">
        <v>1</v>
      </c>
      <c r="AJ766" s="0" t="n">
        <v>10</v>
      </c>
      <c r="AP766" s="0" t="n">
        <v>560000</v>
      </c>
      <c r="DB766" s="0" t="str">
        <f aca="false">IF($A766="","",IF($A766&lt;&gt;21,"対象外",IF($AE766&amp;""="00000000","在職",IF($AE766&amp;""=設定!$C$4,"4/1喪失","その他喪失"))))</f>
        <v>4/1喪失</v>
      </c>
    </row>
    <row r="767" customFormat="false" ht="15" hidden="false" customHeight="false" outlineLevel="0" collapsed="false">
      <c r="A767" s="0" t="n">
        <v>21</v>
      </c>
      <c r="AA767" s="0" t="n">
        <v>21</v>
      </c>
      <c r="AB767" s="0" t="s">
        <v>854</v>
      </c>
      <c r="AD767" s="0" t="n">
        <v>12</v>
      </c>
      <c r="AE767" s="0" t="s">
        <v>463</v>
      </c>
      <c r="AH767" s="0" t="n">
        <v>0</v>
      </c>
      <c r="AJ767" s="0" t="n">
        <v>10</v>
      </c>
      <c r="AP767" s="0" t="n">
        <v>1</v>
      </c>
      <c r="DB767" s="0" t="str">
        <f aca="false">IF($A767="","",IF($A767&lt;&gt;21,"対象外",IF($AE767&amp;""="00000000","在職",IF($AE767&amp;""=設定!$C$4,"4/1喪失","その他喪失"))))</f>
        <v>その他喪失</v>
      </c>
    </row>
    <row r="768" customFormat="false" ht="15" hidden="false" customHeight="false" outlineLevel="0" collapsed="false">
      <c r="A768" s="0" t="n">
        <v>21</v>
      </c>
      <c r="AA768" s="0" t="n">
        <v>21</v>
      </c>
      <c r="AB768" s="0" t="s">
        <v>690</v>
      </c>
      <c r="AD768" s="0" t="n">
        <v>12</v>
      </c>
      <c r="AE768" s="0" t="s">
        <v>463</v>
      </c>
      <c r="AH768" s="0" t="n">
        <v>0</v>
      </c>
      <c r="AJ768" s="0" t="n">
        <v>10</v>
      </c>
      <c r="AP768" s="0" t="n">
        <v>1</v>
      </c>
      <c r="DB768" s="0" t="str">
        <f aca="false">IF($A768="","",IF($A768&lt;&gt;21,"対象外",IF($AE768&amp;""="00000000","在職",IF($AE768&amp;""=設定!$C$4,"4/1喪失","その他喪失"))))</f>
        <v>その他喪失</v>
      </c>
    </row>
    <row r="769" customFormat="false" ht="15" hidden="false" customHeight="false" outlineLevel="0" collapsed="false">
      <c r="A769" s="0" t="n">
        <v>21</v>
      </c>
      <c r="AA769" s="0" t="n">
        <v>21</v>
      </c>
      <c r="AB769" s="0" t="s">
        <v>457</v>
      </c>
      <c r="AD769" s="0" t="n">
        <v>12</v>
      </c>
      <c r="AE769" s="0" t="s">
        <v>463</v>
      </c>
      <c r="AH769" s="0" t="n">
        <v>0</v>
      </c>
      <c r="AJ769" s="0" t="n">
        <v>10</v>
      </c>
      <c r="AP769" s="0" t="n">
        <v>1</v>
      </c>
      <c r="DB769" s="0" t="str">
        <f aca="false">IF($A769="","",IF($A769&lt;&gt;21,"対象外",IF($AE769&amp;""="00000000","在職",IF($AE769&amp;""=設定!$C$4,"4/1喪失","その他喪失"))))</f>
        <v>その他喪失</v>
      </c>
    </row>
    <row r="770" customFormat="false" ht="15" hidden="false" customHeight="false" outlineLevel="0" collapsed="false">
      <c r="A770" s="0" t="n">
        <v>21</v>
      </c>
      <c r="AA770" s="0" t="n">
        <v>21</v>
      </c>
      <c r="AB770" s="0" t="s">
        <v>855</v>
      </c>
      <c r="AD770" s="0" t="n">
        <v>12</v>
      </c>
      <c r="AE770" s="0" t="s">
        <v>459</v>
      </c>
      <c r="AH770" s="0" t="n">
        <v>0</v>
      </c>
      <c r="AJ770" s="0" t="n">
        <v>10</v>
      </c>
      <c r="AP770" s="0" t="n">
        <v>164010</v>
      </c>
      <c r="DB770" s="0" t="str">
        <f aca="false">IF($A770="","",IF($A770&lt;&gt;21,"対象外",IF($AE770&amp;""="00000000","在職",IF($AE770&amp;""=設定!$C$4,"4/1喪失","その他喪失"))))</f>
        <v>その他喪失</v>
      </c>
    </row>
    <row r="771" customFormat="false" ht="15" hidden="false" customHeight="false" outlineLevel="0" collapsed="false">
      <c r="A771" s="0" t="n">
        <v>21</v>
      </c>
      <c r="AA771" s="0" t="n">
        <v>21</v>
      </c>
      <c r="AB771" s="0" t="s">
        <v>459</v>
      </c>
      <c r="AD771" s="0" t="n">
        <v>12</v>
      </c>
      <c r="AE771" s="0" t="s">
        <v>463</v>
      </c>
      <c r="AH771" s="0" t="n">
        <v>0</v>
      </c>
      <c r="AJ771" s="0" t="n">
        <v>10</v>
      </c>
      <c r="AP771" s="0" t="n">
        <v>1</v>
      </c>
      <c r="DB771" s="0" t="str">
        <f aca="false">IF($A771="","",IF($A771&lt;&gt;21,"対象外",IF($AE771&amp;""="00000000","在職",IF($AE771&amp;""=設定!$C$4,"4/1喪失","その他喪失"))))</f>
        <v>その他喪失</v>
      </c>
    </row>
    <row r="772" customFormat="false" ht="15" hidden="false" customHeight="false" outlineLevel="0" collapsed="false">
      <c r="A772" s="0" t="n">
        <v>21</v>
      </c>
      <c r="AA772" s="0" t="n">
        <v>21</v>
      </c>
      <c r="AB772" s="0" t="s">
        <v>453</v>
      </c>
      <c r="AD772" s="0" t="n">
        <v>12</v>
      </c>
      <c r="AE772" s="0" t="s">
        <v>463</v>
      </c>
      <c r="AH772" s="0" t="n">
        <v>0</v>
      </c>
      <c r="AJ772" s="0" t="n">
        <v>10</v>
      </c>
      <c r="AP772" s="0" t="n">
        <v>1</v>
      </c>
      <c r="DB772" s="0" t="str">
        <f aca="false">IF($A772="","",IF($A772&lt;&gt;21,"対象外",IF($AE772&amp;""="00000000","在職",IF($AE772&amp;""=設定!$C$4,"4/1喪失","その他喪失"))))</f>
        <v>その他喪失</v>
      </c>
    </row>
    <row r="773" customFormat="false" ht="15" hidden="false" customHeight="false" outlineLevel="0" collapsed="false">
      <c r="A773" s="0" t="n">
        <v>21</v>
      </c>
      <c r="AA773" s="0" t="n">
        <v>21</v>
      </c>
      <c r="AB773" s="0" t="s">
        <v>438</v>
      </c>
      <c r="AD773" s="0" t="n">
        <v>12</v>
      </c>
      <c r="AE773" s="0" t="s">
        <v>476</v>
      </c>
      <c r="AH773" s="0" t="n">
        <v>1</v>
      </c>
      <c r="AJ773" s="0" t="n">
        <v>10</v>
      </c>
      <c r="AP773" s="0" t="n">
        <v>410000</v>
      </c>
      <c r="DB773" s="0" t="str">
        <f aca="false">IF($A773="","",IF($A773&lt;&gt;21,"対象外",IF($AE773&amp;""="00000000","在職",IF($AE773&amp;""=設定!$C$4,"4/1喪失","その他喪失"))))</f>
        <v>その他喪失</v>
      </c>
    </row>
    <row r="774" customFormat="false" ht="15" hidden="false" customHeight="false" outlineLevel="0" collapsed="false">
      <c r="A774" s="0" t="n">
        <v>21</v>
      </c>
      <c r="AA774" s="0" t="n">
        <v>21</v>
      </c>
      <c r="AB774" s="0" t="s">
        <v>856</v>
      </c>
      <c r="AD774" s="0" t="n">
        <v>12</v>
      </c>
      <c r="AE774" s="0" t="s">
        <v>463</v>
      </c>
      <c r="AH774" s="0" t="n">
        <v>0</v>
      </c>
      <c r="AJ774" s="0" t="n">
        <v>10</v>
      </c>
      <c r="AP774" s="0" t="n">
        <v>1</v>
      </c>
      <c r="DB774" s="0" t="str">
        <f aca="false">IF($A774="","",IF($A774&lt;&gt;21,"対象外",IF($AE774&amp;""="00000000","在職",IF($AE774&amp;""=設定!$C$4,"4/1喪失","その他喪失"))))</f>
        <v>その他喪失</v>
      </c>
    </row>
    <row r="775" customFormat="false" ht="15" hidden="false" customHeight="false" outlineLevel="0" collapsed="false">
      <c r="A775" s="0" t="n">
        <v>21</v>
      </c>
      <c r="AA775" s="0" t="n">
        <v>21</v>
      </c>
      <c r="AB775" s="0" t="s">
        <v>647</v>
      </c>
      <c r="AD775" s="0" t="n">
        <v>12</v>
      </c>
      <c r="AE775" s="0" t="s">
        <v>463</v>
      </c>
      <c r="AH775" s="0" t="n">
        <v>0</v>
      </c>
      <c r="AJ775" s="0" t="n">
        <v>10</v>
      </c>
      <c r="AP775" s="0" t="n">
        <v>138390</v>
      </c>
      <c r="DB775" s="0" t="str">
        <f aca="false">IF($A775="","",IF($A775&lt;&gt;21,"対象外",IF($AE775&amp;""="00000000","在職",IF($AE775&amp;""=設定!$C$4,"4/1喪失","その他喪失"))))</f>
        <v>その他喪失</v>
      </c>
    </row>
    <row r="776" customFormat="false" ht="15" hidden="false" customHeight="false" outlineLevel="0" collapsed="false">
      <c r="A776" s="0" t="n">
        <v>21</v>
      </c>
      <c r="AA776" s="0" t="n">
        <v>21</v>
      </c>
      <c r="AB776" s="0" t="s">
        <v>397</v>
      </c>
      <c r="AD776" s="0" t="n">
        <v>12</v>
      </c>
      <c r="AE776" s="0" t="s">
        <v>477</v>
      </c>
      <c r="AH776" s="0" t="n">
        <v>1</v>
      </c>
      <c r="AJ776" s="0" t="n">
        <v>10</v>
      </c>
      <c r="AP776" s="0" t="n">
        <v>500000</v>
      </c>
      <c r="DB776" s="0" t="str">
        <f aca="false">IF($A776="","",IF($A776&lt;&gt;21,"対象外",IF($AE776&amp;""="00000000","在職",IF($AE776&amp;""=設定!$C$4,"4/1喪失","その他喪失"))))</f>
        <v>その他喪失</v>
      </c>
    </row>
    <row r="777" customFormat="false" ht="15" hidden="false" customHeight="false" outlineLevel="0" collapsed="false">
      <c r="A777" s="0" t="n">
        <v>31</v>
      </c>
      <c r="AA777" s="0" t="n">
        <v>21</v>
      </c>
      <c r="AB777" s="0" t="s">
        <v>477</v>
      </c>
      <c r="AD777" s="0" t="n">
        <v>12</v>
      </c>
      <c r="AE777" s="0" t="s">
        <v>506</v>
      </c>
      <c r="AH777" s="0" t="n">
        <v>1</v>
      </c>
      <c r="AJ777" s="0" t="n">
        <v>41</v>
      </c>
      <c r="AP777" s="0" t="n">
        <v>118000</v>
      </c>
      <c r="DB777" s="0" t="str">
        <f aca="false">IF($A777="","",IF($A777&lt;&gt;21,"対象外",IF($AE777&amp;""="00000000","在職",IF($AE777&amp;""=設定!$C$4,"4/1喪失","その他喪失"))))</f>
        <v>対象外</v>
      </c>
    </row>
    <row r="778" customFormat="false" ht="15" hidden="false" customHeight="false" outlineLevel="0" collapsed="false">
      <c r="A778" s="0" t="n">
        <v>31</v>
      </c>
      <c r="AA778" s="0" t="n">
        <v>21</v>
      </c>
      <c r="AB778" s="0" t="s">
        <v>515</v>
      </c>
      <c r="AD778" s="0" t="n">
        <v>12</v>
      </c>
      <c r="AE778" s="0" t="s">
        <v>96</v>
      </c>
      <c r="AH778" s="0" t="n">
        <v>11</v>
      </c>
      <c r="AJ778" s="0" t="n">
        <v>41</v>
      </c>
      <c r="AP778" s="0" t="n">
        <v>220000</v>
      </c>
      <c r="DB778" s="0" t="str">
        <f aca="false">IF($A778="","",IF($A778&lt;&gt;21,"対象外",IF($AE778&amp;""="00000000","在職",IF($AE778&amp;""=設定!$C$4,"4/1喪失","その他喪失"))))</f>
        <v>対象外</v>
      </c>
    </row>
    <row r="779" customFormat="false" ht="15" hidden="false" customHeight="false" outlineLevel="0" collapsed="false">
      <c r="A779" s="0" t="n">
        <v>21</v>
      </c>
      <c r="AA779" s="0" t="n">
        <v>21</v>
      </c>
      <c r="AB779" s="0" t="s">
        <v>647</v>
      </c>
      <c r="AD779" s="0" t="n">
        <v>12</v>
      </c>
      <c r="AE779" s="0" t="s">
        <v>463</v>
      </c>
      <c r="AH779" s="0" t="n">
        <v>0</v>
      </c>
      <c r="AJ779" s="0" t="n">
        <v>10</v>
      </c>
      <c r="AP779" s="0" t="n">
        <v>134400</v>
      </c>
      <c r="DB779" s="0" t="str">
        <f aca="false">IF($A779="","",IF($A779&lt;&gt;21,"対象外",IF($AE779&amp;""="00000000","在職",IF($AE779&amp;""=設定!$C$4,"4/1喪失","その他喪失"))))</f>
        <v>その他喪失</v>
      </c>
    </row>
    <row r="780" customFormat="false" ht="15" hidden="false" customHeight="false" outlineLevel="0" collapsed="false">
      <c r="A780" s="0" t="n">
        <v>21</v>
      </c>
      <c r="AA780" s="0" t="n">
        <v>21</v>
      </c>
      <c r="AB780" s="0" t="s">
        <v>403</v>
      </c>
      <c r="AD780" s="0" t="n">
        <v>12</v>
      </c>
      <c r="AE780" s="0" t="s">
        <v>857</v>
      </c>
      <c r="AH780" s="0" t="n">
        <v>0</v>
      </c>
      <c r="AJ780" s="0" t="n">
        <v>10</v>
      </c>
      <c r="AP780" s="0" t="n">
        <v>370600</v>
      </c>
      <c r="DB780" s="0" t="str">
        <f aca="false">IF($A780="","",IF($A780&lt;&gt;21,"対象外",IF($AE780&amp;""="00000000","在職",IF($AE780&amp;""=設定!$C$4,"4/1喪失","その他喪失"))))</f>
        <v>その他喪失</v>
      </c>
    </row>
    <row r="781" customFormat="false" ht="15" hidden="false" customHeight="false" outlineLevel="0" collapsed="false">
      <c r="A781" s="0" t="n">
        <v>21</v>
      </c>
      <c r="AA781" s="0" t="n">
        <v>21</v>
      </c>
      <c r="AB781" s="0" t="s">
        <v>394</v>
      </c>
      <c r="AD781" s="0" t="n">
        <v>12</v>
      </c>
      <c r="AE781" s="0" t="s">
        <v>494</v>
      </c>
      <c r="AH781" s="0" t="n">
        <v>1</v>
      </c>
      <c r="AJ781" s="0" t="n">
        <v>10</v>
      </c>
      <c r="AP781" s="0" t="n">
        <v>500000</v>
      </c>
      <c r="DB781" s="0" t="str">
        <f aca="false">IF($A781="","",IF($A781&lt;&gt;21,"対象外",IF($AE781&amp;""="00000000","在職",IF($AE781&amp;""=設定!$C$4,"4/1喪失","その他喪失"))))</f>
        <v>その他喪失</v>
      </c>
    </row>
    <row r="782" customFormat="false" ht="15" hidden="false" customHeight="false" outlineLevel="0" collapsed="false">
      <c r="A782" s="0" t="n">
        <v>31</v>
      </c>
      <c r="AA782" s="0" t="n">
        <v>21</v>
      </c>
      <c r="AB782" s="0" t="s">
        <v>496</v>
      </c>
      <c r="AD782" s="0" t="n">
        <v>12</v>
      </c>
      <c r="AE782" s="0" t="s">
        <v>617</v>
      </c>
      <c r="AH782" s="0" t="n">
        <v>20</v>
      </c>
      <c r="AJ782" s="0" t="n">
        <v>41</v>
      </c>
      <c r="AP782" s="0" t="n">
        <v>170000</v>
      </c>
      <c r="DB782" s="0" t="str">
        <f aca="false">IF($A782="","",IF($A782&lt;&gt;21,"対象外",IF($AE782&amp;""="00000000","在職",IF($AE782&amp;""=設定!$C$4,"4/1喪失","その他喪失"))))</f>
        <v>対象外</v>
      </c>
    </row>
    <row r="783" customFormat="false" ht="15" hidden="false" customHeight="false" outlineLevel="0" collapsed="false">
      <c r="A783" s="0" t="n">
        <v>21</v>
      </c>
      <c r="AA783" s="0" t="n">
        <v>21</v>
      </c>
      <c r="AB783" s="0" t="s">
        <v>743</v>
      </c>
      <c r="AD783" s="0" t="n">
        <v>12</v>
      </c>
      <c r="AE783" s="0" t="s">
        <v>463</v>
      </c>
      <c r="AH783" s="0" t="n">
        <v>0</v>
      </c>
      <c r="AJ783" s="0" t="n">
        <v>10</v>
      </c>
      <c r="AP783" s="0" t="n">
        <v>1</v>
      </c>
      <c r="DB783" s="0" t="str">
        <f aca="false">IF($A783="","",IF($A783&lt;&gt;21,"対象外",IF($AE783&amp;""="00000000","在職",IF($AE783&amp;""=設定!$C$4,"4/1喪失","その他喪失"))))</f>
        <v>その他喪失</v>
      </c>
    </row>
    <row r="784" customFormat="false" ht="15" hidden="false" customHeight="false" outlineLevel="0" collapsed="false">
      <c r="A784" s="0" t="n">
        <v>21</v>
      </c>
      <c r="AA784" s="0" t="n">
        <v>21</v>
      </c>
      <c r="AB784" s="0" t="s">
        <v>451</v>
      </c>
      <c r="AD784" s="0" t="n">
        <v>12</v>
      </c>
      <c r="AE784" s="0" t="s">
        <v>463</v>
      </c>
      <c r="AH784" s="0" t="n">
        <v>0</v>
      </c>
      <c r="AJ784" s="0" t="n">
        <v>10</v>
      </c>
      <c r="AP784" s="0" t="n">
        <v>1</v>
      </c>
      <c r="DB784" s="0" t="str">
        <f aca="false">IF($A784="","",IF($A784&lt;&gt;21,"対象外",IF($AE784&amp;""="00000000","在職",IF($AE784&amp;""=設定!$C$4,"4/1喪失","その他喪失"))))</f>
        <v>その他喪失</v>
      </c>
    </row>
    <row r="785" customFormat="false" ht="15" hidden="false" customHeight="false" outlineLevel="0" collapsed="false">
      <c r="A785" s="0" t="n">
        <v>21</v>
      </c>
      <c r="AA785" s="0" t="n">
        <v>24</v>
      </c>
      <c r="AB785" s="0" t="s">
        <v>426</v>
      </c>
      <c r="AD785" s="0" t="n">
        <v>12</v>
      </c>
      <c r="AE785" s="0" t="s">
        <v>858</v>
      </c>
      <c r="AH785" s="0" t="n">
        <v>20</v>
      </c>
      <c r="AJ785" s="0" t="n">
        <v>10</v>
      </c>
      <c r="AP785" s="0" t="n">
        <v>240000</v>
      </c>
      <c r="DB785" s="0" t="str">
        <f aca="false">IF($A785="","",IF($A785&lt;&gt;21,"対象外",IF($AE785&amp;""="00000000","在職",IF($AE785&amp;""=設定!$C$4,"4/1喪失","その他喪失"))))</f>
        <v>その他喪失</v>
      </c>
    </row>
    <row r="786" customFormat="false" ht="15" hidden="false" customHeight="false" outlineLevel="0" collapsed="false">
      <c r="A786" s="0" t="n">
        <v>21</v>
      </c>
      <c r="AA786" s="0" t="n">
        <v>21</v>
      </c>
      <c r="AB786" s="0" t="s">
        <v>859</v>
      </c>
      <c r="AD786" s="0" t="n">
        <v>12</v>
      </c>
      <c r="AE786" s="0" t="s">
        <v>463</v>
      </c>
      <c r="AH786" s="0" t="n">
        <v>0</v>
      </c>
      <c r="AJ786" s="0" t="n">
        <v>10</v>
      </c>
      <c r="AP786" s="0" t="n">
        <v>1</v>
      </c>
      <c r="DB786" s="0" t="str">
        <f aca="false">IF($A786="","",IF($A786&lt;&gt;21,"対象外",IF($AE786&amp;""="00000000","在職",IF($AE786&amp;""=設定!$C$4,"4/1喪失","その他喪失"))))</f>
        <v>その他喪失</v>
      </c>
    </row>
    <row r="787" customFormat="false" ht="15" hidden="false" customHeight="false" outlineLevel="0" collapsed="false">
      <c r="A787" s="0" t="n">
        <v>21</v>
      </c>
      <c r="AA787" s="0" t="n">
        <v>21</v>
      </c>
      <c r="AB787" s="0" t="s">
        <v>441</v>
      </c>
      <c r="AD787" s="0" t="n">
        <v>12</v>
      </c>
      <c r="AE787" s="0" t="s">
        <v>484</v>
      </c>
      <c r="AH787" s="0" t="n">
        <v>1</v>
      </c>
      <c r="AJ787" s="0" t="n">
        <v>10</v>
      </c>
      <c r="AP787" s="0" t="n">
        <v>440000</v>
      </c>
      <c r="DB787" s="0" t="str">
        <f aca="false">IF($A787="","",IF($A787&lt;&gt;21,"対象外",IF($AE787&amp;""="00000000","在職",IF($AE787&amp;""=設定!$C$4,"4/1喪失","その他喪失"))))</f>
        <v>その他喪失</v>
      </c>
    </row>
    <row r="788" customFormat="false" ht="15" hidden="false" customHeight="false" outlineLevel="0" collapsed="false">
      <c r="A788" s="0" t="n">
        <v>21</v>
      </c>
      <c r="AA788" s="0" t="n">
        <v>21</v>
      </c>
      <c r="AB788" s="0" t="s">
        <v>459</v>
      </c>
      <c r="AD788" s="0" t="n">
        <v>12</v>
      </c>
      <c r="AE788" s="0" t="s">
        <v>463</v>
      </c>
      <c r="AH788" s="0" t="n">
        <v>0</v>
      </c>
      <c r="AJ788" s="0" t="n">
        <v>10</v>
      </c>
      <c r="AP788" s="0" t="n">
        <v>1</v>
      </c>
      <c r="DB788" s="0" t="str">
        <f aca="false">IF($A788="","",IF($A788&lt;&gt;21,"対象外",IF($AE788&amp;""="00000000","在職",IF($AE788&amp;""=設定!$C$4,"4/1喪失","その他喪失"))))</f>
        <v>その他喪失</v>
      </c>
    </row>
    <row r="789" customFormat="false" ht="15" hidden="false" customHeight="false" outlineLevel="0" collapsed="false">
      <c r="A789" s="0" t="n">
        <v>21</v>
      </c>
      <c r="AA789" s="0" t="n">
        <v>21</v>
      </c>
      <c r="AB789" s="0" t="s">
        <v>409</v>
      </c>
      <c r="AD789" s="0" t="n">
        <v>12</v>
      </c>
      <c r="AE789" s="0" t="s">
        <v>477</v>
      </c>
      <c r="AH789" s="0" t="n">
        <v>1</v>
      </c>
      <c r="AJ789" s="0" t="n">
        <v>10</v>
      </c>
      <c r="AP789" s="0" t="n">
        <v>590000</v>
      </c>
      <c r="DB789" s="0" t="str">
        <f aca="false">IF($A789="","",IF($A789&lt;&gt;21,"対象外",IF($AE789&amp;""="00000000","在職",IF($AE789&amp;""=設定!$C$4,"4/1喪失","その他喪失"))))</f>
        <v>その他喪失</v>
      </c>
    </row>
    <row r="790" customFormat="false" ht="15" hidden="false" customHeight="false" outlineLevel="0" collapsed="false">
      <c r="A790" s="0" t="n">
        <v>31</v>
      </c>
      <c r="AA790" s="0" t="n">
        <v>21</v>
      </c>
      <c r="AB790" s="0" t="s">
        <v>96</v>
      </c>
      <c r="AD790" s="0" t="n">
        <v>12</v>
      </c>
      <c r="AE790" s="0" t="s">
        <v>329</v>
      </c>
      <c r="AH790" s="0" t="n">
        <v>1</v>
      </c>
      <c r="AJ790" s="0" t="n">
        <v>41</v>
      </c>
      <c r="AP790" s="0" t="n">
        <v>200000</v>
      </c>
      <c r="DB790" s="0" t="str">
        <f aca="false">IF($A790="","",IF($A790&lt;&gt;21,"対象外",IF($AE790&amp;""="00000000","在職",IF($AE790&amp;""=設定!$C$4,"4/1喪失","その他喪失"))))</f>
        <v>対象外</v>
      </c>
    </row>
    <row r="791" customFormat="false" ht="15" hidden="false" customHeight="false" outlineLevel="0" collapsed="false">
      <c r="A791" s="0" t="n">
        <v>31</v>
      </c>
      <c r="AA791" s="0" t="n">
        <v>24</v>
      </c>
      <c r="AB791" s="0" t="s">
        <v>536</v>
      </c>
      <c r="AD791" s="0" t="n">
        <v>12</v>
      </c>
      <c r="AE791" s="0" t="s">
        <v>96</v>
      </c>
      <c r="AH791" s="0" t="n">
        <v>1</v>
      </c>
      <c r="AJ791" s="0" t="n">
        <v>41</v>
      </c>
      <c r="AP791" s="0" t="n">
        <v>134000</v>
      </c>
      <c r="DB791" s="0" t="str">
        <f aca="false">IF($A791="","",IF($A791&lt;&gt;21,"対象外",IF($AE791&amp;""="00000000","在職",IF($AE791&amp;""=設定!$C$4,"4/1喪失","その他喪失"))))</f>
        <v>対象外</v>
      </c>
    </row>
    <row r="792" customFormat="false" ht="15" hidden="false" customHeight="false" outlineLevel="0" collapsed="false">
      <c r="A792" s="0" t="n">
        <v>21</v>
      </c>
      <c r="AA792" s="0" t="n">
        <v>21</v>
      </c>
      <c r="AB792" s="0" t="s">
        <v>860</v>
      </c>
      <c r="AD792" s="0" t="n">
        <v>12</v>
      </c>
      <c r="AE792" s="0" t="s">
        <v>458</v>
      </c>
      <c r="AH792" s="0" t="n">
        <v>20</v>
      </c>
      <c r="AJ792" s="0" t="n">
        <v>10</v>
      </c>
      <c r="AP792" s="0" t="n">
        <v>500000</v>
      </c>
      <c r="DB792" s="0" t="str">
        <f aca="false">IF($A792="","",IF($A792&lt;&gt;21,"対象外",IF($AE792&amp;""="00000000","在職",IF($AE792&amp;""=設定!$C$4,"4/1喪失","その他喪失"))))</f>
        <v>その他喪失</v>
      </c>
    </row>
    <row r="793" customFormat="false" ht="15" hidden="false" customHeight="false" outlineLevel="0" collapsed="false">
      <c r="A793" s="0" t="n">
        <v>21</v>
      </c>
      <c r="AA793" s="0" t="n">
        <v>21</v>
      </c>
      <c r="AB793" s="0" t="s">
        <v>647</v>
      </c>
      <c r="AD793" s="0" t="n">
        <v>12</v>
      </c>
      <c r="AE793" s="0" t="s">
        <v>463</v>
      </c>
      <c r="AH793" s="0" t="n">
        <v>0</v>
      </c>
      <c r="AJ793" s="0" t="n">
        <v>10</v>
      </c>
      <c r="AP793" s="0" t="n">
        <v>137760</v>
      </c>
      <c r="DB793" s="0" t="str">
        <f aca="false">IF($A793="","",IF($A793&lt;&gt;21,"対象外",IF($AE793&amp;""="00000000","在職",IF($AE793&amp;""=設定!$C$4,"4/1喪失","その他喪失"))))</f>
        <v>その他喪失</v>
      </c>
    </row>
    <row r="794" customFormat="false" ht="15" hidden="false" customHeight="false" outlineLevel="0" collapsed="false">
      <c r="A794" s="0" t="n">
        <v>219</v>
      </c>
      <c r="AA794" s="0" t="n">
        <v>0</v>
      </c>
      <c r="AB794" s="0" t="s">
        <v>295</v>
      </c>
      <c r="AD794" s="0" t="n">
        <v>0</v>
      </c>
      <c r="AE794" s="0" t="s">
        <v>295</v>
      </c>
      <c r="AH794" s="0" t="n">
        <v>0</v>
      </c>
      <c r="AJ794" s="0" t="n">
        <v>50</v>
      </c>
      <c r="AP794" s="0" t="n">
        <v>0</v>
      </c>
      <c r="DB794" s="0" t="str">
        <f aca="false">IF($A794="","",IF($A794&lt;&gt;21,"対象外",IF($AE794&amp;""="00000000","在職",IF($AE794&amp;""=設定!$C$4,"4/1喪失","その他喪失"))))</f>
        <v>対象外</v>
      </c>
    </row>
    <row r="795" customFormat="false" ht="15" hidden="false" customHeight="false" outlineLevel="0" collapsed="false">
      <c r="A795" s="0" t="n">
        <v>219</v>
      </c>
      <c r="AA795" s="0" t="n">
        <v>0</v>
      </c>
      <c r="AB795" s="0" t="s">
        <v>295</v>
      </c>
      <c r="AD795" s="0" t="n">
        <v>0</v>
      </c>
      <c r="AE795" s="0" t="s">
        <v>295</v>
      </c>
      <c r="AH795" s="0" t="n">
        <v>0</v>
      </c>
      <c r="AJ795" s="0" t="n">
        <v>50</v>
      </c>
      <c r="AP795" s="0" t="n">
        <v>0</v>
      </c>
      <c r="DB795" s="0" t="str">
        <f aca="false">IF($A795="","",IF($A795&lt;&gt;21,"対象外",IF($AE795&amp;""="00000000","在職",IF($AE795&amp;""=設定!$C$4,"4/1喪失","その他喪失"))))</f>
        <v>対象外</v>
      </c>
    </row>
    <row r="796" customFormat="false" ht="15" hidden="false" customHeight="false" outlineLevel="0" collapsed="false">
      <c r="A796" s="0" t="n">
        <v>219</v>
      </c>
      <c r="AA796" s="0" t="n">
        <v>0</v>
      </c>
      <c r="AB796" s="0" t="s">
        <v>295</v>
      </c>
      <c r="AD796" s="0" t="n">
        <v>0</v>
      </c>
      <c r="AE796" s="0" t="s">
        <v>295</v>
      </c>
      <c r="AH796" s="0" t="n">
        <v>0</v>
      </c>
      <c r="AJ796" s="0" t="n">
        <v>50</v>
      </c>
      <c r="AP796" s="0" t="n">
        <v>0</v>
      </c>
      <c r="DB796" s="0" t="str">
        <f aca="false">IF($A796="","",IF($A796&lt;&gt;21,"対象外",IF($AE796&amp;""="00000000","在職",IF($AE796&amp;""=設定!$C$4,"4/1喪失","その他喪失"))))</f>
        <v>対象外</v>
      </c>
    </row>
    <row r="797" customFormat="false" ht="15" hidden="false" customHeight="false" outlineLevel="0" collapsed="false">
      <c r="A797" s="0" t="n">
        <v>219</v>
      </c>
      <c r="AA797" s="0" t="n">
        <v>0</v>
      </c>
      <c r="AB797" s="0" t="s">
        <v>295</v>
      </c>
      <c r="AD797" s="0" t="n">
        <v>0</v>
      </c>
      <c r="AE797" s="0" t="s">
        <v>295</v>
      </c>
      <c r="AH797" s="0" t="n">
        <v>0</v>
      </c>
      <c r="AJ797" s="0" t="n">
        <v>50</v>
      </c>
      <c r="AP797" s="0" t="n">
        <v>0</v>
      </c>
      <c r="DB797" s="0" t="str">
        <f aca="false">IF($A797="","",IF($A797&lt;&gt;21,"対象外",IF($AE797&amp;""="00000000","在職",IF($AE797&amp;""=設定!$C$4,"4/1喪失","その他喪失"))))</f>
        <v>対象外</v>
      </c>
    </row>
    <row r="798" customFormat="false" ht="15" hidden="false" customHeight="false" outlineLevel="0" collapsed="false">
      <c r="A798" s="0" t="n">
        <v>219</v>
      </c>
      <c r="AA798" s="0" t="n">
        <v>0</v>
      </c>
      <c r="AB798" s="0" t="s">
        <v>295</v>
      </c>
      <c r="AD798" s="0" t="n">
        <v>0</v>
      </c>
      <c r="AE798" s="0" t="s">
        <v>295</v>
      </c>
      <c r="AH798" s="0" t="n">
        <v>0</v>
      </c>
      <c r="AJ798" s="0" t="n">
        <v>50</v>
      </c>
      <c r="AP798" s="0" t="n">
        <v>0</v>
      </c>
      <c r="DB798" s="0" t="str">
        <f aca="false">IF($A798="","",IF($A798&lt;&gt;21,"対象外",IF($AE798&amp;""="00000000","在職",IF($AE798&amp;""=設定!$C$4,"4/1喪失","その他喪失"))))</f>
        <v>対象外</v>
      </c>
    </row>
    <row r="799" customFormat="false" ht="15" hidden="false" customHeight="false" outlineLevel="0" collapsed="false">
      <c r="A799" s="0" t="n">
        <v>219</v>
      </c>
      <c r="AA799" s="0" t="n">
        <v>0</v>
      </c>
      <c r="AB799" s="0" t="s">
        <v>295</v>
      </c>
      <c r="AD799" s="0" t="n">
        <v>0</v>
      </c>
      <c r="AE799" s="0" t="s">
        <v>295</v>
      </c>
      <c r="AH799" s="0" t="n">
        <v>0</v>
      </c>
      <c r="AJ799" s="0" t="n">
        <v>50</v>
      </c>
      <c r="AP799" s="0" t="n">
        <v>0</v>
      </c>
      <c r="DB799" s="0" t="str">
        <f aca="false">IF($A799="","",IF($A799&lt;&gt;21,"対象外",IF($AE799&amp;""="00000000","在職",IF($AE799&amp;""=設定!$C$4,"4/1喪失","その他喪失"))))</f>
        <v>対象外</v>
      </c>
    </row>
    <row r="800" customFormat="false" ht="15" hidden="false" customHeight="false" outlineLevel="0" collapsed="false">
      <c r="A800" s="0" t="n">
        <v>219</v>
      </c>
      <c r="AA800" s="0" t="n">
        <v>0</v>
      </c>
      <c r="AB800" s="0" t="s">
        <v>295</v>
      </c>
      <c r="AD800" s="0" t="n">
        <v>0</v>
      </c>
      <c r="AE800" s="0" t="s">
        <v>295</v>
      </c>
      <c r="AH800" s="0" t="n">
        <v>0</v>
      </c>
      <c r="AJ800" s="0" t="n">
        <v>50</v>
      </c>
      <c r="AP800" s="0" t="n">
        <v>0</v>
      </c>
      <c r="DB800" s="0" t="str">
        <f aca="false">IF($A800="","",IF($A800&lt;&gt;21,"対象外",IF($AE800&amp;""="00000000","在職",IF($AE800&amp;""=設定!$C$4,"4/1喪失","その他喪失"))))</f>
        <v>対象外</v>
      </c>
    </row>
    <row r="801" customFormat="false" ht="15" hidden="false" customHeight="false" outlineLevel="0" collapsed="false">
      <c r="A801" s="0" t="n">
        <v>219</v>
      </c>
      <c r="AA801" s="0" t="n">
        <v>0</v>
      </c>
      <c r="AB801" s="0" t="s">
        <v>295</v>
      </c>
      <c r="AD801" s="0" t="n">
        <v>0</v>
      </c>
      <c r="AE801" s="0" t="s">
        <v>295</v>
      </c>
      <c r="AH801" s="0" t="n">
        <v>0</v>
      </c>
      <c r="AJ801" s="0" t="n">
        <v>50</v>
      </c>
      <c r="AP801" s="0" t="n">
        <v>0</v>
      </c>
      <c r="DB801" s="0" t="str">
        <f aca="false">IF($A801="","",IF($A801&lt;&gt;21,"対象外",IF($AE801&amp;""="00000000","在職",IF($AE801&amp;""=設定!$C$4,"4/1喪失","その他喪失"))))</f>
        <v>対象外</v>
      </c>
    </row>
    <row r="802" customFormat="false" ht="15" hidden="false" customHeight="false" outlineLevel="0" collapsed="false">
      <c r="A802" s="0" t="n">
        <v>219</v>
      </c>
      <c r="AA802" s="0" t="n">
        <v>0</v>
      </c>
      <c r="AB802" s="0" t="s">
        <v>295</v>
      </c>
      <c r="AD802" s="0" t="n">
        <v>0</v>
      </c>
      <c r="AE802" s="0" t="s">
        <v>295</v>
      </c>
      <c r="AH802" s="0" t="n">
        <v>0</v>
      </c>
      <c r="AJ802" s="0" t="n">
        <v>50</v>
      </c>
      <c r="AP802" s="0" t="n">
        <v>0</v>
      </c>
      <c r="DB802" s="0" t="str">
        <f aca="false">IF($A802="","",IF($A802&lt;&gt;21,"対象外",IF($AE802&amp;""="00000000","在職",IF($AE802&amp;""=設定!$C$4,"4/1喪失","その他喪失"))))</f>
        <v>対象外</v>
      </c>
    </row>
    <row r="803" customFormat="false" ht="15" hidden="false" customHeight="false" outlineLevel="0" collapsed="false">
      <c r="A803" s="0" t="n">
        <v>219</v>
      </c>
      <c r="AA803" s="0" t="n">
        <v>0</v>
      </c>
      <c r="AB803" s="0" t="s">
        <v>295</v>
      </c>
      <c r="AD803" s="0" t="n">
        <v>0</v>
      </c>
      <c r="AE803" s="0" t="s">
        <v>295</v>
      </c>
      <c r="AH803" s="0" t="n">
        <v>0</v>
      </c>
      <c r="AJ803" s="0" t="n">
        <v>50</v>
      </c>
      <c r="AP803" s="0" t="n">
        <v>0</v>
      </c>
      <c r="DB803" s="0" t="str">
        <f aca="false">IF($A803="","",IF($A803&lt;&gt;21,"対象外",IF($AE803&amp;""="00000000","在職",IF($AE803&amp;""=設定!$C$4,"4/1喪失","その他喪失"))))</f>
        <v>対象外</v>
      </c>
    </row>
    <row r="804" customFormat="false" ht="15" hidden="false" customHeight="false" outlineLevel="0" collapsed="false">
      <c r="A804" s="0" t="n">
        <v>219</v>
      </c>
      <c r="AA804" s="0" t="n">
        <v>0</v>
      </c>
      <c r="AB804" s="0" t="s">
        <v>295</v>
      </c>
      <c r="AD804" s="0" t="n">
        <v>0</v>
      </c>
      <c r="AE804" s="0" t="s">
        <v>295</v>
      </c>
      <c r="AH804" s="0" t="n">
        <v>0</v>
      </c>
      <c r="AJ804" s="0" t="n">
        <v>50</v>
      </c>
      <c r="AP804" s="0" t="n">
        <v>0</v>
      </c>
      <c r="DB804" s="0" t="str">
        <f aca="false">IF($A804="","",IF($A804&lt;&gt;21,"対象外",IF($AE804&amp;""="00000000","在職",IF($AE804&amp;""=設定!$C$4,"4/1喪失","その他喪失"))))</f>
        <v>対象外</v>
      </c>
    </row>
    <row r="805" customFormat="false" ht="15" hidden="false" customHeight="false" outlineLevel="0" collapsed="false">
      <c r="A805" s="0" t="n">
        <v>219</v>
      </c>
      <c r="AA805" s="0" t="n">
        <v>0</v>
      </c>
      <c r="AB805" s="0" t="s">
        <v>295</v>
      </c>
      <c r="AD805" s="0" t="n">
        <v>0</v>
      </c>
      <c r="AE805" s="0" t="s">
        <v>295</v>
      </c>
      <c r="AH805" s="0" t="n">
        <v>0</v>
      </c>
      <c r="AJ805" s="0" t="n">
        <v>50</v>
      </c>
      <c r="AP805" s="0" t="n">
        <v>0</v>
      </c>
      <c r="DB805" s="0" t="str">
        <f aca="false">IF($A805="","",IF($A805&lt;&gt;21,"対象外",IF($AE805&amp;""="00000000","在職",IF($AE805&amp;""=設定!$C$4,"4/1喪失","その他喪失"))))</f>
        <v>対象外</v>
      </c>
    </row>
    <row r="806" customFormat="false" ht="15" hidden="false" customHeight="false" outlineLevel="0" collapsed="false">
      <c r="A806" s="0" t="n">
        <v>219</v>
      </c>
      <c r="AA806" s="0" t="n">
        <v>0</v>
      </c>
      <c r="AB806" s="0" t="s">
        <v>295</v>
      </c>
      <c r="AD806" s="0" t="n">
        <v>0</v>
      </c>
      <c r="AE806" s="0" t="s">
        <v>295</v>
      </c>
      <c r="AH806" s="0" t="n">
        <v>0</v>
      </c>
      <c r="AJ806" s="0" t="n">
        <v>50</v>
      </c>
      <c r="AP806" s="0" t="n">
        <v>0</v>
      </c>
      <c r="DB806" s="0" t="str">
        <f aca="false">IF($A806="","",IF($A806&lt;&gt;21,"対象外",IF($AE806&amp;""="00000000","在職",IF($AE806&amp;""=設定!$C$4,"4/1喪失","その他喪失"))))</f>
        <v>対象外</v>
      </c>
    </row>
    <row r="807" customFormat="false" ht="15" hidden="false" customHeight="false" outlineLevel="0" collapsed="false">
      <c r="A807" s="0" t="n">
        <v>219</v>
      </c>
      <c r="AA807" s="0" t="n">
        <v>0</v>
      </c>
      <c r="AB807" s="0" t="s">
        <v>295</v>
      </c>
      <c r="AD807" s="0" t="n">
        <v>0</v>
      </c>
      <c r="AE807" s="0" t="s">
        <v>295</v>
      </c>
      <c r="AH807" s="0" t="n">
        <v>0</v>
      </c>
      <c r="AJ807" s="0" t="n">
        <v>50</v>
      </c>
      <c r="AP807" s="0" t="n">
        <v>0</v>
      </c>
      <c r="DB807" s="0" t="str">
        <f aca="false">IF($A807="","",IF($A807&lt;&gt;21,"対象外",IF($AE807&amp;""="00000000","在職",IF($AE807&amp;""=設定!$C$4,"4/1喪失","その他喪失"))))</f>
        <v>対象外</v>
      </c>
    </row>
    <row r="808" customFormat="false" ht="15" hidden="false" customHeight="false" outlineLevel="0" collapsed="false">
      <c r="A808" s="0" t="n">
        <v>219</v>
      </c>
      <c r="AA808" s="0" t="n">
        <v>0</v>
      </c>
      <c r="AB808" s="0" t="s">
        <v>295</v>
      </c>
      <c r="AD808" s="0" t="n">
        <v>0</v>
      </c>
      <c r="AE808" s="0" t="s">
        <v>295</v>
      </c>
      <c r="AH808" s="0" t="n">
        <v>0</v>
      </c>
      <c r="AJ808" s="0" t="n">
        <v>50</v>
      </c>
      <c r="AP808" s="0" t="n">
        <v>0</v>
      </c>
      <c r="DB808" s="0" t="str">
        <f aca="false">IF($A808="","",IF($A808&lt;&gt;21,"対象外",IF($AE808&amp;""="00000000","在職",IF($AE808&amp;""=設定!$C$4,"4/1喪失","その他喪失"))))</f>
        <v>対象外</v>
      </c>
    </row>
    <row r="809" customFormat="false" ht="15" hidden="false" customHeight="false" outlineLevel="0" collapsed="false">
      <c r="A809" s="0" t="n">
        <v>219</v>
      </c>
      <c r="AA809" s="0" t="n">
        <v>0</v>
      </c>
      <c r="AB809" s="0" t="s">
        <v>295</v>
      </c>
      <c r="AD809" s="0" t="n">
        <v>0</v>
      </c>
      <c r="AE809" s="0" t="s">
        <v>295</v>
      </c>
      <c r="AH809" s="0" t="n">
        <v>0</v>
      </c>
      <c r="AJ809" s="0" t="n">
        <v>50</v>
      </c>
      <c r="AP809" s="0" t="n">
        <v>0</v>
      </c>
      <c r="DB809" s="0" t="str">
        <f aca="false">IF($A809="","",IF($A809&lt;&gt;21,"対象外",IF($AE809&amp;""="00000000","在職",IF($AE809&amp;""=設定!$C$4,"4/1喪失","その他喪失"))))</f>
        <v>対象外</v>
      </c>
    </row>
    <row r="810" customFormat="false" ht="15" hidden="false" customHeight="false" outlineLevel="0" collapsed="false">
      <c r="A810" s="0" t="n">
        <v>219</v>
      </c>
      <c r="AA810" s="0" t="n">
        <v>0</v>
      </c>
      <c r="AB810" s="0" t="s">
        <v>295</v>
      </c>
      <c r="AD810" s="0" t="n">
        <v>0</v>
      </c>
      <c r="AE810" s="0" t="s">
        <v>295</v>
      </c>
      <c r="AH810" s="0" t="n">
        <v>0</v>
      </c>
      <c r="AJ810" s="0" t="n">
        <v>50</v>
      </c>
      <c r="AP810" s="0" t="n">
        <v>0</v>
      </c>
      <c r="DB810" s="0" t="str">
        <f aca="false">IF($A810="","",IF($A810&lt;&gt;21,"対象外",IF($AE810&amp;""="00000000","在職",IF($AE810&amp;""=設定!$C$4,"4/1喪失","その他喪失"))))</f>
        <v>対象外</v>
      </c>
    </row>
    <row r="811" customFormat="false" ht="15" hidden="false" customHeight="false" outlineLevel="0" collapsed="false">
      <c r="A811" s="0" t="n">
        <v>219</v>
      </c>
      <c r="AA811" s="0" t="n">
        <v>0</v>
      </c>
      <c r="AB811" s="0" t="s">
        <v>295</v>
      </c>
      <c r="AD811" s="0" t="n">
        <v>0</v>
      </c>
      <c r="AE811" s="0" t="s">
        <v>295</v>
      </c>
      <c r="AH811" s="0" t="n">
        <v>0</v>
      </c>
      <c r="AJ811" s="0" t="n">
        <v>50</v>
      </c>
      <c r="AP811" s="0" t="n">
        <v>0</v>
      </c>
      <c r="DB811" s="0" t="str">
        <f aca="false">IF($A811="","",IF($A811&lt;&gt;21,"対象外",IF($AE811&amp;""="00000000","在職",IF($AE811&amp;""=設定!$C$4,"4/1喪失","その他喪失"))))</f>
        <v>対象外</v>
      </c>
    </row>
    <row r="812" customFormat="false" ht="15" hidden="false" customHeight="false" outlineLevel="0" collapsed="false">
      <c r="A812" s="0" t="n">
        <v>219</v>
      </c>
      <c r="AA812" s="0" t="n">
        <v>0</v>
      </c>
      <c r="AB812" s="0" t="s">
        <v>295</v>
      </c>
      <c r="AD812" s="0" t="n">
        <v>0</v>
      </c>
      <c r="AE812" s="0" t="s">
        <v>295</v>
      </c>
      <c r="AH812" s="0" t="n">
        <v>0</v>
      </c>
      <c r="AJ812" s="0" t="n">
        <v>50</v>
      </c>
      <c r="AP812" s="0" t="n">
        <v>0</v>
      </c>
      <c r="DB812" s="0" t="str">
        <f aca="false">IF($A812="","",IF($A812&lt;&gt;21,"対象外",IF($AE812&amp;""="00000000","在職",IF($AE812&amp;""=設定!$C$4,"4/1喪失","その他喪失"))))</f>
        <v>対象外</v>
      </c>
    </row>
    <row r="813" customFormat="false" ht="15" hidden="false" customHeight="false" outlineLevel="0" collapsed="false">
      <c r="A813" s="0" t="n">
        <v>219</v>
      </c>
      <c r="AA813" s="0" t="n">
        <v>0</v>
      </c>
      <c r="AB813" s="0" t="s">
        <v>295</v>
      </c>
      <c r="AD813" s="0" t="n">
        <v>0</v>
      </c>
      <c r="AE813" s="0" t="s">
        <v>295</v>
      </c>
      <c r="AH813" s="0" t="n">
        <v>0</v>
      </c>
      <c r="AJ813" s="0" t="n">
        <v>50</v>
      </c>
      <c r="AP813" s="0" t="n">
        <v>0</v>
      </c>
      <c r="DB813" s="0" t="str">
        <f aca="false">IF($A813="","",IF($A813&lt;&gt;21,"対象外",IF($AE813&amp;""="00000000","在職",IF($AE813&amp;""=設定!$C$4,"4/1喪失","その他喪失"))))</f>
        <v>対象外</v>
      </c>
    </row>
    <row r="814" customFormat="false" ht="15" hidden="false" customHeight="false" outlineLevel="0" collapsed="false">
      <c r="A814" s="0" t="n">
        <v>219</v>
      </c>
      <c r="AA814" s="0" t="n">
        <v>0</v>
      </c>
      <c r="AB814" s="0" t="s">
        <v>295</v>
      </c>
      <c r="AD814" s="0" t="n">
        <v>0</v>
      </c>
      <c r="AE814" s="0" t="s">
        <v>295</v>
      </c>
      <c r="AH814" s="0" t="n">
        <v>0</v>
      </c>
      <c r="AJ814" s="0" t="n">
        <v>50</v>
      </c>
      <c r="AP814" s="0" t="n">
        <v>0</v>
      </c>
      <c r="DB814" s="0" t="str">
        <f aca="false">IF($A814="","",IF($A814&lt;&gt;21,"対象外",IF($AE814&amp;""="00000000","在職",IF($AE814&amp;""=設定!$C$4,"4/1喪失","その他喪失"))))</f>
        <v>対象外</v>
      </c>
    </row>
    <row r="815" customFormat="false" ht="15" hidden="false" customHeight="false" outlineLevel="0" collapsed="false">
      <c r="A815" s="0" t="n">
        <v>219</v>
      </c>
      <c r="AA815" s="0" t="n">
        <v>0</v>
      </c>
      <c r="AB815" s="0" t="s">
        <v>295</v>
      </c>
      <c r="AD815" s="0" t="n">
        <v>0</v>
      </c>
      <c r="AE815" s="0" t="s">
        <v>295</v>
      </c>
      <c r="AH815" s="0" t="n">
        <v>0</v>
      </c>
      <c r="AJ815" s="0" t="n">
        <v>50</v>
      </c>
      <c r="AP815" s="0" t="n">
        <v>0</v>
      </c>
      <c r="DB815" s="0" t="str">
        <f aca="false">IF($A815="","",IF($A815&lt;&gt;21,"対象外",IF($AE815&amp;""="00000000","在職",IF($AE815&amp;""=設定!$C$4,"4/1喪失","その他喪失"))))</f>
        <v>対象外</v>
      </c>
    </row>
    <row r="816" customFormat="false" ht="15" hidden="false" customHeight="false" outlineLevel="0" collapsed="false">
      <c r="A816" s="0" t="n">
        <v>219</v>
      </c>
      <c r="AA816" s="0" t="n">
        <v>0</v>
      </c>
      <c r="AB816" s="0" t="s">
        <v>295</v>
      </c>
      <c r="AD816" s="0" t="n">
        <v>0</v>
      </c>
      <c r="AE816" s="0" t="s">
        <v>295</v>
      </c>
      <c r="AH816" s="0" t="n">
        <v>0</v>
      </c>
      <c r="AJ816" s="0" t="n">
        <v>50</v>
      </c>
      <c r="AP816" s="0" t="n">
        <v>0</v>
      </c>
      <c r="DB816" s="0" t="str">
        <f aca="false">IF($A816="","",IF($A816&lt;&gt;21,"対象外",IF($AE816&amp;""="00000000","在職",IF($AE816&amp;""=設定!$C$4,"4/1喪失","その他喪失"))))</f>
        <v>対象外</v>
      </c>
    </row>
    <row r="817" customFormat="false" ht="15" hidden="false" customHeight="false" outlineLevel="0" collapsed="false">
      <c r="A817" s="0" t="n">
        <v>219</v>
      </c>
      <c r="AA817" s="0" t="n">
        <v>0</v>
      </c>
      <c r="AB817" s="0" t="s">
        <v>295</v>
      </c>
      <c r="AD817" s="0" t="n">
        <v>0</v>
      </c>
      <c r="AE817" s="0" t="s">
        <v>295</v>
      </c>
      <c r="AH817" s="0" t="n">
        <v>0</v>
      </c>
      <c r="AJ817" s="0" t="n">
        <v>50</v>
      </c>
      <c r="AP817" s="0" t="n">
        <v>0</v>
      </c>
      <c r="DB817" s="0" t="str">
        <f aca="false">IF($A817="","",IF($A817&lt;&gt;21,"対象外",IF($AE817&amp;""="00000000","在職",IF($AE817&amp;""=設定!$C$4,"4/1喪失","その他喪失"))))</f>
        <v>対象外</v>
      </c>
    </row>
    <row r="818" customFormat="false" ht="15" hidden="false" customHeight="false" outlineLevel="0" collapsed="false">
      <c r="A818" s="0" t="n">
        <v>219</v>
      </c>
      <c r="AA818" s="0" t="n">
        <v>0</v>
      </c>
      <c r="AB818" s="0" t="s">
        <v>295</v>
      </c>
      <c r="AD818" s="0" t="n">
        <v>0</v>
      </c>
      <c r="AE818" s="0" t="s">
        <v>295</v>
      </c>
      <c r="AH818" s="0" t="n">
        <v>0</v>
      </c>
      <c r="AJ818" s="0" t="n">
        <v>50</v>
      </c>
      <c r="AP818" s="0" t="n">
        <v>0</v>
      </c>
      <c r="DB818" s="0" t="str">
        <f aca="false">IF($A818="","",IF($A818&lt;&gt;21,"対象外",IF($AE818&amp;""="00000000","在職",IF($AE818&amp;""=設定!$C$4,"4/1喪失","その他喪失"))))</f>
        <v>対象外</v>
      </c>
    </row>
    <row r="819" customFormat="false" ht="15" hidden="false" customHeight="false" outlineLevel="0" collapsed="false">
      <c r="A819" s="0" t="n">
        <v>219</v>
      </c>
      <c r="AA819" s="0" t="n">
        <v>0</v>
      </c>
      <c r="AB819" s="0" t="s">
        <v>295</v>
      </c>
      <c r="AD819" s="0" t="n">
        <v>0</v>
      </c>
      <c r="AE819" s="0" t="s">
        <v>295</v>
      </c>
      <c r="AH819" s="0" t="n">
        <v>0</v>
      </c>
      <c r="AJ819" s="0" t="n">
        <v>50</v>
      </c>
      <c r="AP819" s="0" t="n">
        <v>0</v>
      </c>
      <c r="DB819" s="0" t="str">
        <f aca="false">IF($A819="","",IF($A819&lt;&gt;21,"対象外",IF($AE819&amp;""="00000000","在職",IF($AE819&amp;""=設定!$C$4,"4/1喪失","その他喪失"))))</f>
        <v>対象外</v>
      </c>
    </row>
    <row r="820" customFormat="false" ht="15" hidden="false" customHeight="false" outlineLevel="0" collapsed="false">
      <c r="A820" s="0" t="n">
        <v>219</v>
      </c>
      <c r="AA820" s="0" t="n">
        <v>0</v>
      </c>
      <c r="AB820" s="0" t="s">
        <v>295</v>
      </c>
      <c r="AD820" s="0" t="n">
        <v>0</v>
      </c>
      <c r="AE820" s="0" t="s">
        <v>295</v>
      </c>
      <c r="AH820" s="0" t="n">
        <v>0</v>
      </c>
      <c r="AJ820" s="0" t="n">
        <v>50</v>
      </c>
      <c r="AP820" s="0" t="n">
        <v>0</v>
      </c>
      <c r="DB820" s="0" t="str">
        <f aca="false">IF($A820="","",IF($A820&lt;&gt;21,"対象外",IF($AE820&amp;""="00000000","在職",IF($AE820&amp;""=設定!$C$4,"4/1喪失","その他喪失"))))</f>
        <v>対象外</v>
      </c>
    </row>
    <row r="821" customFormat="false" ht="15" hidden="false" customHeight="false" outlineLevel="0" collapsed="false">
      <c r="A821" s="0" t="n">
        <v>219</v>
      </c>
      <c r="AA821" s="0" t="n">
        <v>0</v>
      </c>
      <c r="AB821" s="0" t="s">
        <v>295</v>
      </c>
      <c r="AD821" s="0" t="n">
        <v>0</v>
      </c>
      <c r="AE821" s="0" t="s">
        <v>295</v>
      </c>
      <c r="AH821" s="0" t="n">
        <v>0</v>
      </c>
      <c r="AJ821" s="0" t="n">
        <v>50</v>
      </c>
      <c r="AP821" s="0" t="n">
        <v>0</v>
      </c>
      <c r="DB821" s="0" t="str">
        <f aca="false">IF($A821="","",IF($A821&lt;&gt;21,"対象外",IF($AE821&amp;""="00000000","在職",IF($AE821&amp;""=設定!$C$4,"4/1喪失","その他喪失"))))</f>
        <v>対象外</v>
      </c>
    </row>
    <row r="822" customFormat="false" ht="15" hidden="false" customHeight="false" outlineLevel="0" collapsed="false">
      <c r="A822" s="0" t="n">
        <v>219</v>
      </c>
      <c r="AA822" s="0" t="n">
        <v>0</v>
      </c>
      <c r="AB822" s="0" t="s">
        <v>295</v>
      </c>
      <c r="AD822" s="0" t="n">
        <v>0</v>
      </c>
      <c r="AE822" s="0" t="s">
        <v>295</v>
      </c>
      <c r="AH822" s="0" t="n">
        <v>0</v>
      </c>
      <c r="AJ822" s="0" t="n">
        <v>50</v>
      </c>
      <c r="AP822" s="0" t="n">
        <v>0</v>
      </c>
      <c r="DB822" s="0" t="str">
        <f aca="false">IF($A822="","",IF($A822&lt;&gt;21,"対象外",IF($AE822&amp;""="00000000","在職",IF($AE822&amp;""=設定!$C$4,"4/1喪失","その他喪失"))))</f>
        <v>対象外</v>
      </c>
    </row>
    <row r="823" customFormat="false" ht="15" hidden="false" customHeight="false" outlineLevel="0" collapsed="false">
      <c r="A823" s="0" t="n">
        <v>219</v>
      </c>
      <c r="AA823" s="0" t="n">
        <v>0</v>
      </c>
      <c r="AB823" s="0" t="s">
        <v>295</v>
      </c>
      <c r="AD823" s="0" t="n">
        <v>0</v>
      </c>
      <c r="AE823" s="0" t="s">
        <v>295</v>
      </c>
      <c r="AH823" s="0" t="n">
        <v>0</v>
      </c>
      <c r="AJ823" s="0" t="n">
        <v>50</v>
      </c>
      <c r="AP823" s="0" t="n">
        <v>0</v>
      </c>
      <c r="DB823" s="0" t="str">
        <f aca="false">IF($A823="","",IF($A823&lt;&gt;21,"対象外",IF($AE823&amp;""="00000000","在職",IF($AE823&amp;""=設定!$C$4,"4/1喪失","その他喪失"))))</f>
        <v>対象外</v>
      </c>
    </row>
    <row r="824" customFormat="false" ht="15" hidden="false" customHeight="false" outlineLevel="0" collapsed="false">
      <c r="A824" s="0" t="n">
        <v>219</v>
      </c>
      <c r="AA824" s="0" t="n">
        <v>0</v>
      </c>
      <c r="AB824" s="0" t="s">
        <v>295</v>
      </c>
      <c r="AD824" s="0" t="n">
        <v>0</v>
      </c>
      <c r="AE824" s="0" t="s">
        <v>295</v>
      </c>
      <c r="AH824" s="0" t="n">
        <v>0</v>
      </c>
      <c r="AJ824" s="0" t="n">
        <v>50</v>
      </c>
      <c r="AP824" s="0" t="n">
        <v>0</v>
      </c>
      <c r="DB824" s="0" t="str">
        <f aca="false">IF($A824="","",IF($A824&lt;&gt;21,"対象外",IF($AE824&amp;""="00000000","在職",IF($AE824&amp;""=設定!$C$4,"4/1喪失","その他喪失"))))</f>
        <v>対象外</v>
      </c>
    </row>
    <row r="825" customFormat="false" ht="15" hidden="false" customHeight="false" outlineLevel="0" collapsed="false">
      <c r="A825" s="0" t="n">
        <v>219</v>
      </c>
      <c r="AA825" s="0" t="n">
        <v>0</v>
      </c>
      <c r="AB825" s="0" t="s">
        <v>295</v>
      </c>
      <c r="AD825" s="0" t="n">
        <v>0</v>
      </c>
      <c r="AE825" s="0" t="s">
        <v>295</v>
      </c>
      <c r="AH825" s="0" t="n">
        <v>0</v>
      </c>
      <c r="AJ825" s="0" t="n">
        <v>50</v>
      </c>
      <c r="AP825" s="0" t="n">
        <v>0</v>
      </c>
      <c r="DB825" s="0" t="str">
        <f aca="false">IF($A825="","",IF($A825&lt;&gt;21,"対象外",IF($AE825&amp;""="00000000","在職",IF($AE825&amp;""=設定!$C$4,"4/1喪失","その他喪失"))))</f>
        <v>対象外</v>
      </c>
    </row>
    <row r="826" customFormat="false" ht="15" hidden="false" customHeight="false" outlineLevel="0" collapsed="false">
      <c r="A826" s="0" t="n">
        <v>219</v>
      </c>
      <c r="AA826" s="0" t="n">
        <v>0</v>
      </c>
      <c r="AB826" s="0" t="s">
        <v>295</v>
      </c>
      <c r="AD826" s="0" t="n">
        <v>0</v>
      </c>
      <c r="AE826" s="0" t="s">
        <v>295</v>
      </c>
      <c r="AH826" s="0" t="n">
        <v>0</v>
      </c>
      <c r="AJ826" s="0" t="n">
        <v>50</v>
      </c>
      <c r="AP826" s="0" t="n">
        <v>0</v>
      </c>
      <c r="DB826" s="0" t="str">
        <f aca="false">IF($A826="","",IF($A826&lt;&gt;21,"対象外",IF($AE826&amp;""="00000000","在職",IF($AE826&amp;""=設定!$C$4,"4/1喪失","その他喪失"))))</f>
        <v>対象外</v>
      </c>
    </row>
    <row r="827" customFormat="false" ht="15" hidden="false" customHeight="false" outlineLevel="0" collapsed="false">
      <c r="A827" s="0" t="n">
        <v>219</v>
      </c>
      <c r="AA827" s="0" t="n">
        <v>0</v>
      </c>
      <c r="AB827" s="0" t="s">
        <v>295</v>
      </c>
      <c r="AD827" s="0" t="n">
        <v>0</v>
      </c>
      <c r="AE827" s="0" t="s">
        <v>295</v>
      </c>
      <c r="AH827" s="0" t="n">
        <v>0</v>
      </c>
      <c r="AJ827" s="0" t="n">
        <v>50</v>
      </c>
      <c r="AP827" s="0" t="n">
        <v>0</v>
      </c>
      <c r="DB827" s="0" t="str">
        <f aca="false">IF($A827="","",IF($A827&lt;&gt;21,"対象外",IF($AE827&amp;""="00000000","在職",IF($AE827&amp;""=設定!$C$4,"4/1喪失","その他喪失"))))</f>
        <v>対象外</v>
      </c>
    </row>
    <row r="828" customFormat="false" ht="15" hidden="false" customHeight="false" outlineLevel="0" collapsed="false">
      <c r="A828" s="0" t="n">
        <v>219</v>
      </c>
      <c r="AA828" s="0" t="n">
        <v>0</v>
      </c>
      <c r="AB828" s="0" t="s">
        <v>295</v>
      </c>
      <c r="AD828" s="0" t="n">
        <v>0</v>
      </c>
      <c r="AE828" s="0" t="s">
        <v>295</v>
      </c>
      <c r="AH828" s="0" t="n">
        <v>0</v>
      </c>
      <c r="AJ828" s="0" t="n">
        <v>50</v>
      </c>
      <c r="AP828" s="0" t="n">
        <v>0</v>
      </c>
      <c r="DB828" s="0" t="str">
        <f aca="false">IF($A828="","",IF($A828&lt;&gt;21,"対象外",IF($AE828&amp;""="00000000","在職",IF($AE828&amp;""=設定!$C$4,"4/1喪失","その他喪失"))))</f>
        <v>対象外</v>
      </c>
    </row>
    <row r="829" customFormat="false" ht="15" hidden="false" customHeight="false" outlineLevel="0" collapsed="false">
      <c r="A829" s="0" t="n">
        <v>219</v>
      </c>
      <c r="AA829" s="0" t="n">
        <v>0</v>
      </c>
      <c r="AB829" s="0" t="s">
        <v>295</v>
      </c>
      <c r="AD829" s="0" t="n">
        <v>0</v>
      </c>
      <c r="AE829" s="0" t="s">
        <v>295</v>
      </c>
      <c r="AH829" s="0" t="n">
        <v>0</v>
      </c>
      <c r="AJ829" s="0" t="n">
        <v>50</v>
      </c>
      <c r="AP829" s="0" t="n">
        <v>0</v>
      </c>
      <c r="DB829" s="0" t="str">
        <f aca="false">IF($A829="","",IF($A829&lt;&gt;21,"対象外",IF($AE829&amp;""="00000000","在職",IF($AE829&amp;""=設定!$C$4,"4/1喪失","その他喪失"))))</f>
        <v>対象外</v>
      </c>
    </row>
    <row r="830" customFormat="false" ht="15" hidden="false" customHeight="false" outlineLevel="0" collapsed="false">
      <c r="A830" s="0" t="n">
        <v>219</v>
      </c>
      <c r="AA830" s="0" t="n">
        <v>0</v>
      </c>
      <c r="AB830" s="0" t="s">
        <v>295</v>
      </c>
      <c r="AD830" s="0" t="n">
        <v>0</v>
      </c>
      <c r="AE830" s="0" t="s">
        <v>295</v>
      </c>
      <c r="AH830" s="0" t="n">
        <v>0</v>
      </c>
      <c r="AJ830" s="0" t="n">
        <v>50</v>
      </c>
      <c r="AP830" s="0" t="n">
        <v>0</v>
      </c>
      <c r="DB830" s="0" t="str">
        <f aca="false">IF($A830="","",IF($A830&lt;&gt;21,"対象外",IF($AE830&amp;""="00000000","在職",IF($AE830&amp;""=設定!$C$4,"4/1喪失","その他喪失"))))</f>
        <v>対象外</v>
      </c>
    </row>
    <row r="831" customFormat="false" ht="15" hidden="false" customHeight="false" outlineLevel="0" collapsed="false">
      <c r="A831" s="0" t="n">
        <v>219</v>
      </c>
      <c r="AA831" s="0" t="n">
        <v>0</v>
      </c>
      <c r="AB831" s="0" t="s">
        <v>295</v>
      </c>
      <c r="AD831" s="0" t="n">
        <v>0</v>
      </c>
      <c r="AE831" s="0" t="s">
        <v>295</v>
      </c>
      <c r="AH831" s="0" t="n">
        <v>0</v>
      </c>
      <c r="AJ831" s="0" t="n">
        <v>50</v>
      </c>
      <c r="AP831" s="0" t="n">
        <v>0</v>
      </c>
      <c r="DB831" s="0" t="str">
        <f aca="false">IF($A831="","",IF($A831&lt;&gt;21,"対象外",IF($AE831&amp;""="00000000","在職",IF($AE831&amp;""=設定!$C$4,"4/1喪失","その他喪失"))))</f>
        <v>対象外</v>
      </c>
    </row>
    <row r="832" customFormat="false" ht="15" hidden="false" customHeight="false" outlineLevel="0" collapsed="false">
      <c r="A832" s="0" t="n">
        <v>219</v>
      </c>
      <c r="AA832" s="0" t="n">
        <v>0</v>
      </c>
      <c r="AB832" s="0" t="s">
        <v>295</v>
      </c>
      <c r="AD832" s="0" t="n">
        <v>0</v>
      </c>
      <c r="AE832" s="0" t="s">
        <v>295</v>
      </c>
      <c r="AH832" s="0" t="n">
        <v>0</v>
      </c>
      <c r="AJ832" s="0" t="n">
        <v>50</v>
      </c>
      <c r="AP832" s="0" t="n">
        <v>0</v>
      </c>
      <c r="DB832" s="0" t="str">
        <f aca="false">IF($A832="","",IF($A832&lt;&gt;21,"対象外",IF($AE832&amp;""="00000000","在職",IF($AE832&amp;""=設定!$C$4,"4/1喪失","その他喪失"))))</f>
        <v>対象外</v>
      </c>
    </row>
    <row r="833" customFormat="false" ht="15" hidden="false" customHeight="false" outlineLevel="0" collapsed="false">
      <c r="A833" s="0" t="n">
        <v>219</v>
      </c>
      <c r="AA833" s="0" t="n">
        <v>0</v>
      </c>
      <c r="AB833" s="0" t="s">
        <v>295</v>
      </c>
      <c r="AD833" s="0" t="n">
        <v>0</v>
      </c>
      <c r="AE833" s="0" t="s">
        <v>295</v>
      </c>
      <c r="AH833" s="0" t="n">
        <v>0</v>
      </c>
      <c r="AJ833" s="0" t="n">
        <v>50</v>
      </c>
      <c r="AP833" s="0" t="n">
        <v>0</v>
      </c>
      <c r="DB833" s="0" t="str">
        <f aca="false">IF($A833="","",IF($A833&lt;&gt;21,"対象外",IF($AE833&amp;""="00000000","在職",IF($AE833&amp;""=設定!$C$4,"4/1喪失","その他喪失"))))</f>
        <v>対象外</v>
      </c>
    </row>
    <row r="834" customFormat="false" ht="15" hidden="false" customHeight="false" outlineLevel="0" collapsed="false">
      <c r="A834" s="0" t="n">
        <v>219</v>
      </c>
      <c r="AA834" s="0" t="n">
        <v>0</v>
      </c>
      <c r="AB834" s="0" t="s">
        <v>295</v>
      </c>
      <c r="AD834" s="0" t="n">
        <v>0</v>
      </c>
      <c r="AE834" s="0" t="s">
        <v>295</v>
      </c>
      <c r="AH834" s="0" t="n">
        <v>0</v>
      </c>
      <c r="AJ834" s="0" t="n">
        <v>50</v>
      </c>
      <c r="AP834" s="0" t="n">
        <v>0</v>
      </c>
      <c r="DB834" s="0" t="str">
        <f aca="false">IF($A834="","",IF($A834&lt;&gt;21,"対象外",IF($AE834&amp;""="00000000","在職",IF($AE834&amp;""=設定!$C$4,"4/1喪失","その他喪失"))))</f>
        <v>対象外</v>
      </c>
    </row>
    <row r="835" customFormat="false" ht="15" hidden="false" customHeight="false" outlineLevel="0" collapsed="false">
      <c r="A835" s="0" t="n">
        <v>219</v>
      </c>
      <c r="AA835" s="0" t="n">
        <v>0</v>
      </c>
      <c r="AB835" s="0" t="s">
        <v>295</v>
      </c>
      <c r="AD835" s="0" t="n">
        <v>0</v>
      </c>
      <c r="AE835" s="0" t="s">
        <v>295</v>
      </c>
      <c r="AH835" s="0" t="n">
        <v>0</v>
      </c>
      <c r="AJ835" s="0" t="n">
        <v>50</v>
      </c>
      <c r="AP835" s="0" t="n">
        <v>0</v>
      </c>
      <c r="DB835" s="0" t="str">
        <f aca="false">IF($A835="","",IF($A835&lt;&gt;21,"対象外",IF($AE835&amp;""="00000000","在職",IF($AE835&amp;""=設定!$C$4,"4/1喪失","その他喪失"))))</f>
        <v>対象外</v>
      </c>
    </row>
    <row r="836" customFormat="false" ht="15" hidden="false" customHeight="false" outlineLevel="0" collapsed="false">
      <c r="A836" s="0" t="n">
        <v>219</v>
      </c>
      <c r="AA836" s="0" t="n">
        <v>0</v>
      </c>
      <c r="AB836" s="0" t="s">
        <v>295</v>
      </c>
      <c r="AD836" s="0" t="n">
        <v>0</v>
      </c>
      <c r="AE836" s="0" t="s">
        <v>295</v>
      </c>
      <c r="AH836" s="0" t="n">
        <v>0</v>
      </c>
      <c r="AJ836" s="0" t="n">
        <v>50</v>
      </c>
      <c r="AP836" s="0" t="n">
        <v>0</v>
      </c>
      <c r="DB836" s="0" t="str">
        <f aca="false">IF($A836="","",IF($A836&lt;&gt;21,"対象外",IF($AE836&amp;""="00000000","在職",IF($AE836&amp;""=設定!$C$4,"4/1喪失","その他喪失"))))</f>
        <v>対象外</v>
      </c>
    </row>
    <row r="837" customFormat="false" ht="15" hidden="false" customHeight="false" outlineLevel="0" collapsed="false">
      <c r="A837" s="0" t="n">
        <v>219</v>
      </c>
      <c r="AA837" s="0" t="n">
        <v>0</v>
      </c>
      <c r="AB837" s="0" t="s">
        <v>295</v>
      </c>
      <c r="AD837" s="0" t="n">
        <v>0</v>
      </c>
      <c r="AE837" s="0" t="s">
        <v>295</v>
      </c>
      <c r="AH837" s="0" t="n">
        <v>0</v>
      </c>
      <c r="AJ837" s="0" t="n">
        <v>50</v>
      </c>
      <c r="AP837" s="0" t="n">
        <v>0</v>
      </c>
      <c r="DB837" s="0" t="str">
        <f aca="false">IF($A837="","",IF($A837&lt;&gt;21,"対象外",IF($AE837&amp;""="00000000","在職",IF($AE837&amp;""=設定!$C$4,"4/1喪失","その他喪失"))))</f>
        <v>対象外</v>
      </c>
    </row>
    <row r="838" customFormat="false" ht="15" hidden="false" customHeight="false" outlineLevel="0" collapsed="false">
      <c r="A838" s="0" t="n">
        <v>219</v>
      </c>
      <c r="AA838" s="0" t="n">
        <v>0</v>
      </c>
      <c r="AB838" s="0" t="s">
        <v>295</v>
      </c>
      <c r="AD838" s="0" t="n">
        <v>0</v>
      </c>
      <c r="AE838" s="0" t="s">
        <v>295</v>
      </c>
      <c r="AH838" s="0" t="n">
        <v>0</v>
      </c>
      <c r="AJ838" s="0" t="n">
        <v>50</v>
      </c>
      <c r="AP838" s="0" t="n">
        <v>0</v>
      </c>
      <c r="DB838" s="0" t="str">
        <f aca="false">IF($A838="","",IF($A838&lt;&gt;21,"対象外",IF($AE838&amp;""="00000000","在職",IF($AE838&amp;""=設定!$C$4,"4/1喪失","その他喪失"))))</f>
        <v>対象外</v>
      </c>
    </row>
    <row r="839" customFormat="false" ht="15" hidden="false" customHeight="false" outlineLevel="0" collapsed="false">
      <c r="A839" s="0" t="n">
        <v>219</v>
      </c>
      <c r="AA839" s="0" t="n">
        <v>0</v>
      </c>
      <c r="AB839" s="0" t="s">
        <v>295</v>
      </c>
      <c r="AD839" s="0" t="n">
        <v>0</v>
      </c>
      <c r="AE839" s="0" t="s">
        <v>295</v>
      </c>
      <c r="AH839" s="0" t="n">
        <v>0</v>
      </c>
      <c r="AJ839" s="0" t="n">
        <v>50</v>
      </c>
      <c r="AP839" s="0" t="n">
        <v>0</v>
      </c>
      <c r="DB839" s="0" t="str">
        <f aca="false">IF($A839="","",IF($A839&lt;&gt;21,"対象外",IF($AE839&amp;""="00000000","在職",IF($AE839&amp;""=設定!$C$4,"4/1喪失","その他喪失"))))</f>
        <v>対象外</v>
      </c>
    </row>
    <row r="840" customFormat="false" ht="15" hidden="false" customHeight="false" outlineLevel="0" collapsed="false">
      <c r="A840" s="0" t="n">
        <v>219</v>
      </c>
      <c r="AA840" s="0" t="n">
        <v>0</v>
      </c>
      <c r="AB840" s="0" t="s">
        <v>295</v>
      </c>
      <c r="AD840" s="0" t="n">
        <v>0</v>
      </c>
      <c r="AE840" s="0" t="s">
        <v>295</v>
      </c>
      <c r="AH840" s="0" t="n">
        <v>0</v>
      </c>
      <c r="AJ840" s="0" t="n">
        <v>50</v>
      </c>
      <c r="AP840" s="0" t="n">
        <v>0</v>
      </c>
      <c r="DB840" s="0" t="str">
        <f aca="false">IF($A840="","",IF($A840&lt;&gt;21,"対象外",IF($AE840&amp;""="00000000","在職",IF($AE840&amp;""=設定!$C$4,"4/1喪失","その他喪失"))))</f>
        <v>対象外</v>
      </c>
    </row>
    <row r="841" customFormat="false" ht="15" hidden="false" customHeight="false" outlineLevel="0" collapsed="false">
      <c r="A841" s="0" t="n">
        <v>219</v>
      </c>
      <c r="AA841" s="0" t="n">
        <v>0</v>
      </c>
      <c r="AB841" s="0" t="s">
        <v>295</v>
      </c>
      <c r="AD841" s="0" t="n">
        <v>0</v>
      </c>
      <c r="AE841" s="0" t="s">
        <v>295</v>
      </c>
      <c r="AH841" s="0" t="n">
        <v>0</v>
      </c>
      <c r="AJ841" s="0" t="n">
        <v>50</v>
      </c>
      <c r="AP841" s="0" t="n">
        <v>0</v>
      </c>
      <c r="DB841" s="0" t="str">
        <f aca="false">IF($A841="","",IF($A841&lt;&gt;21,"対象外",IF($AE841&amp;""="00000000","在職",IF($AE841&amp;""=設定!$C$4,"4/1喪失","その他喪失"))))</f>
        <v>対象外</v>
      </c>
    </row>
    <row r="842" customFormat="false" ht="15" hidden="false" customHeight="false" outlineLevel="0" collapsed="false">
      <c r="A842" s="0" t="n">
        <v>219</v>
      </c>
      <c r="AA842" s="0" t="n">
        <v>0</v>
      </c>
      <c r="AB842" s="0" t="s">
        <v>295</v>
      </c>
      <c r="AD842" s="0" t="n">
        <v>0</v>
      </c>
      <c r="AE842" s="0" t="s">
        <v>295</v>
      </c>
      <c r="AH842" s="0" t="n">
        <v>0</v>
      </c>
      <c r="AJ842" s="0" t="n">
        <v>50</v>
      </c>
      <c r="AP842" s="0" t="n">
        <v>0</v>
      </c>
      <c r="DB842" s="0" t="str">
        <f aca="false">IF($A842="","",IF($A842&lt;&gt;21,"対象外",IF($AE842&amp;""="00000000","在職",IF($AE842&amp;""=設定!$C$4,"4/1喪失","その他喪失"))))</f>
        <v>対象外</v>
      </c>
    </row>
    <row r="843" customFormat="false" ht="15" hidden="false" customHeight="false" outlineLevel="0" collapsed="false">
      <c r="A843" s="0" t="n">
        <v>219</v>
      </c>
      <c r="AA843" s="0" t="n">
        <v>0</v>
      </c>
      <c r="AB843" s="0" t="s">
        <v>295</v>
      </c>
      <c r="AD843" s="0" t="n">
        <v>0</v>
      </c>
      <c r="AE843" s="0" t="s">
        <v>295</v>
      </c>
      <c r="AH843" s="0" t="n">
        <v>0</v>
      </c>
      <c r="AJ843" s="0" t="n">
        <v>50</v>
      </c>
      <c r="AP843" s="0" t="n">
        <v>0</v>
      </c>
      <c r="DB843" s="0" t="str">
        <f aca="false">IF($A843="","",IF($A843&lt;&gt;21,"対象外",IF($AE843&amp;""="00000000","在職",IF($AE843&amp;""=設定!$C$4,"4/1喪失","その他喪失"))))</f>
        <v>対象外</v>
      </c>
    </row>
    <row r="844" customFormat="false" ht="15" hidden="false" customHeight="false" outlineLevel="0" collapsed="false">
      <c r="A844" s="0" t="n">
        <v>219</v>
      </c>
      <c r="AA844" s="0" t="n">
        <v>0</v>
      </c>
      <c r="AB844" s="0" t="s">
        <v>295</v>
      </c>
      <c r="AD844" s="0" t="n">
        <v>0</v>
      </c>
      <c r="AE844" s="0" t="s">
        <v>295</v>
      </c>
      <c r="AH844" s="0" t="n">
        <v>0</v>
      </c>
      <c r="AJ844" s="0" t="n">
        <v>50</v>
      </c>
      <c r="AP844" s="0" t="n">
        <v>0</v>
      </c>
      <c r="DB844" s="0" t="str">
        <f aca="false">IF($A844="","",IF($A844&lt;&gt;21,"対象外",IF($AE844&amp;""="00000000","在職",IF($AE844&amp;""=設定!$C$4,"4/1喪失","その他喪失"))))</f>
        <v>対象外</v>
      </c>
    </row>
    <row r="845" customFormat="false" ht="15" hidden="false" customHeight="false" outlineLevel="0" collapsed="false">
      <c r="A845" s="0" t="n">
        <v>219</v>
      </c>
      <c r="AA845" s="0" t="n">
        <v>0</v>
      </c>
      <c r="AB845" s="0" t="s">
        <v>295</v>
      </c>
      <c r="AD845" s="0" t="n">
        <v>0</v>
      </c>
      <c r="AE845" s="0" t="s">
        <v>295</v>
      </c>
      <c r="AH845" s="0" t="n">
        <v>0</v>
      </c>
      <c r="AJ845" s="0" t="n">
        <v>50</v>
      </c>
      <c r="AP845" s="0" t="n">
        <v>0</v>
      </c>
      <c r="DB845" s="0" t="str">
        <f aca="false">IF($A845="","",IF($A845&lt;&gt;21,"対象外",IF($AE845&amp;""="00000000","在職",IF($AE845&amp;""=設定!$C$4,"4/1喪失","その他喪失"))))</f>
        <v>対象外</v>
      </c>
    </row>
    <row r="846" customFormat="false" ht="15" hidden="false" customHeight="false" outlineLevel="0" collapsed="false">
      <c r="A846" s="0" t="n">
        <v>219</v>
      </c>
      <c r="AA846" s="0" t="n">
        <v>0</v>
      </c>
      <c r="AB846" s="0" t="s">
        <v>295</v>
      </c>
      <c r="AD846" s="0" t="n">
        <v>0</v>
      </c>
      <c r="AE846" s="0" t="s">
        <v>295</v>
      </c>
      <c r="AH846" s="0" t="n">
        <v>0</v>
      </c>
      <c r="AJ846" s="0" t="n">
        <v>50</v>
      </c>
      <c r="AP846" s="0" t="n">
        <v>0</v>
      </c>
      <c r="DB846" s="0" t="str">
        <f aca="false">IF($A846="","",IF($A846&lt;&gt;21,"対象外",IF($AE846&amp;""="00000000","在職",IF($AE846&amp;""=設定!$C$4,"4/1喪失","その他喪失"))))</f>
        <v>対象外</v>
      </c>
    </row>
    <row r="847" customFormat="false" ht="15" hidden="false" customHeight="false" outlineLevel="0" collapsed="false">
      <c r="DB847" s="0" t="str">
        <f aca="false">IF($A847="","",IF($A847&lt;&gt;21,"対象外",IF($AE847&amp;""="00000000","在職",IF($AE847&amp;""=設定!$C$4,"4/1喪失","その他喪失"))))</f>
        <v/>
      </c>
    </row>
    <row r="848" customFormat="false" ht="15" hidden="false" customHeight="false" outlineLevel="0" collapsed="false">
      <c r="DB848" s="0" t="str">
        <f aca="false">IF($A848="","",IF($A848&lt;&gt;21,"対象外",IF($AE848&amp;""="00000000","在職",IF($AE848&amp;""=設定!$C$4,"4/1喪失","その他喪失"))))</f>
        <v/>
      </c>
    </row>
    <row r="849" customFormat="false" ht="15" hidden="false" customHeight="false" outlineLevel="0" collapsed="false">
      <c r="DB849" s="0" t="str">
        <f aca="false">IF($A849="","",IF($A849&lt;&gt;21,"対象外",IF($AE849&amp;""="00000000","在職",IF($AE849&amp;""=設定!$C$4,"4/1喪失","その他喪失"))))</f>
        <v/>
      </c>
    </row>
    <row r="850" customFormat="false" ht="15" hidden="false" customHeight="false" outlineLevel="0" collapsed="false">
      <c r="DB850" s="0" t="str">
        <f aca="false">IF($A850="","",IF($A850&lt;&gt;21,"対象外",IF($AE850&amp;""="00000000","在職",IF($AE850&amp;""=設定!$C$4,"4/1喪失","その他喪失"))))</f>
        <v/>
      </c>
    </row>
    <row r="851" customFormat="false" ht="15" hidden="false" customHeight="false" outlineLevel="0" collapsed="false">
      <c r="DB851" s="0" t="str">
        <f aca="false">IF($A851="","",IF($A851&lt;&gt;21,"対象外",IF($AE851&amp;""="00000000","在職",IF($AE851&amp;""=設定!$C$4,"4/1喪失","その他喪失"))))</f>
        <v/>
      </c>
    </row>
    <row r="852" customFormat="false" ht="15" hidden="false" customHeight="false" outlineLevel="0" collapsed="false">
      <c r="DB852" s="0" t="str">
        <f aca="false">IF($A852="","",IF($A852&lt;&gt;21,"対象外",IF($AE852&amp;""="00000000","在職",IF($AE852&amp;""=設定!$C$4,"4/1喪失","その他喪失"))))</f>
        <v/>
      </c>
    </row>
    <row r="853" customFormat="false" ht="15" hidden="false" customHeight="false" outlineLevel="0" collapsed="false">
      <c r="DB853" s="0" t="str">
        <f aca="false">IF($A853="","",IF($A853&lt;&gt;21,"対象外",IF($AE853&amp;""="00000000","在職",IF($AE853&amp;""=設定!$C$4,"4/1喪失","その他喪失"))))</f>
        <v/>
      </c>
    </row>
    <row r="854" customFormat="false" ht="15" hidden="false" customHeight="false" outlineLevel="0" collapsed="false">
      <c r="DB854" s="0" t="str">
        <f aca="false">IF($A854="","",IF($A854&lt;&gt;21,"対象外",IF($AE854&amp;""="00000000","在職",IF($AE854&amp;""=設定!$C$4,"4/1喪失","その他喪失"))))</f>
        <v/>
      </c>
    </row>
    <row r="855" customFormat="false" ht="15" hidden="false" customHeight="false" outlineLevel="0" collapsed="false">
      <c r="DB855" s="0" t="str">
        <f aca="false">IF($A855="","",IF($A855&lt;&gt;21,"対象外",IF($AE855&amp;""="00000000","在職",IF($AE855&amp;""=設定!$C$4,"4/1喪失","その他喪失"))))</f>
        <v/>
      </c>
    </row>
    <row r="856" customFormat="false" ht="15" hidden="false" customHeight="false" outlineLevel="0" collapsed="false">
      <c r="DB856" s="0" t="str">
        <f aca="false">IF($A856="","",IF($A856&lt;&gt;21,"対象外",IF($AE856&amp;""="00000000","在職",IF($AE856&amp;""=設定!$C$4,"4/1喪失","その他喪失"))))</f>
        <v/>
      </c>
    </row>
    <row r="857" customFormat="false" ht="15" hidden="false" customHeight="false" outlineLevel="0" collapsed="false">
      <c r="DB857" s="0" t="str">
        <f aca="false">IF($A857="","",IF($A857&lt;&gt;21,"対象外",IF($AE857&amp;""="00000000","在職",IF($AE857&amp;""=設定!$C$4,"4/1喪失","その他喪失"))))</f>
        <v/>
      </c>
    </row>
    <row r="858" customFormat="false" ht="15" hidden="false" customHeight="false" outlineLevel="0" collapsed="false">
      <c r="DB858" s="0" t="str">
        <f aca="false">IF($A858="","",IF($A858&lt;&gt;21,"対象外",IF($AE858&amp;""="00000000","在職",IF($AE858&amp;""=設定!$C$4,"4/1喪失","その他喪失"))))</f>
        <v/>
      </c>
    </row>
    <row r="859" customFormat="false" ht="15" hidden="false" customHeight="false" outlineLevel="0" collapsed="false">
      <c r="DB859" s="0" t="str">
        <f aca="false">IF($A859="","",IF($A859&lt;&gt;21,"対象外",IF($AE859&amp;""="00000000","在職",IF($AE859&amp;""=設定!$C$4,"4/1喪失","その他喪失"))))</f>
        <v/>
      </c>
    </row>
    <row r="860" customFormat="false" ht="15" hidden="false" customHeight="false" outlineLevel="0" collapsed="false">
      <c r="DB860" s="0" t="str">
        <f aca="false">IF($A860="","",IF($A860&lt;&gt;21,"対象外",IF($AE860&amp;""="00000000","在職",IF($AE860&amp;""=設定!$C$4,"4/1喪失","その他喪失"))))</f>
        <v/>
      </c>
    </row>
    <row r="861" customFormat="false" ht="15" hidden="false" customHeight="false" outlineLevel="0" collapsed="false">
      <c r="DB861" s="0" t="str">
        <f aca="false">IF($A861="","",IF($A861&lt;&gt;21,"対象外",IF($AE861&amp;""="00000000","在職",IF($AE861&amp;""=設定!$C$4,"4/1喪失","その他喪失"))))</f>
        <v/>
      </c>
    </row>
    <row r="862" customFormat="false" ht="15" hidden="false" customHeight="false" outlineLevel="0" collapsed="false">
      <c r="DB862" s="0" t="str">
        <f aca="false">IF($A862="","",IF($A862&lt;&gt;21,"対象外",IF($AE862&amp;""="00000000","在職",IF($AE862&amp;""=設定!$C$4,"4/1喪失","その他喪失"))))</f>
        <v/>
      </c>
    </row>
    <row r="863" customFormat="false" ht="15" hidden="false" customHeight="false" outlineLevel="0" collapsed="false">
      <c r="DB863" s="0" t="str">
        <f aca="false">IF($A863="","",IF($A863&lt;&gt;21,"対象外",IF($AE863&amp;""="00000000","在職",IF($AE863&amp;""=設定!$C$4,"4/1喪失","その他喪失"))))</f>
        <v/>
      </c>
    </row>
    <row r="864" customFormat="false" ht="15" hidden="false" customHeight="false" outlineLevel="0" collapsed="false">
      <c r="DB864" s="0" t="str">
        <f aca="false">IF($A864="","",IF($A864&lt;&gt;21,"対象外",IF($AE864&amp;""="00000000","在職",IF($AE864&amp;""=設定!$C$4,"4/1喪失","その他喪失"))))</f>
        <v/>
      </c>
    </row>
    <row r="865" customFormat="false" ht="15" hidden="false" customHeight="false" outlineLevel="0" collapsed="false">
      <c r="DB865" s="0" t="str">
        <f aca="false">IF($A865="","",IF($A865&lt;&gt;21,"対象外",IF($AE865&amp;""="00000000","在職",IF($AE865&amp;""=設定!$C$4,"4/1喪失","その他喪失"))))</f>
        <v/>
      </c>
    </row>
    <row r="866" customFormat="false" ht="15" hidden="false" customHeight="false" outlineLevel="0" collapsed="false">
      <c r="DB866" s="0" t="str">
        <f aca="false">IF($A866="","",IF($A866&lt;&gt;21,"対象外",IF($AE866&amp;""="00000000","在職",IF($AE866&amp;""=設定!$C$4,"4/1喪失","その他喪失"))))</f>
        <v/>
      </c>
    </row>
    <row r="867" customFormat="false" ht="15" hidden="false" customHeight="false" outlineLevel="0" collapsed="false">
      <c r="DB867" s="0" t="str">
        <f aca="false">IF($A867="","",IF($A867&lt;&gt;21,"対象外",IF($AE867&amp;""="00000000","在職",IF($AE867&amp;""=設定!$C$4,"4/1喪失","その他喪失"))))</f>
        <v/>
      </c>
    </row>
    <row r="868" customFormat="false" ht="15" hidden="false" customHeight="false" outlineLevel="0" collapsed="false">
      <c r="DB868" s="0" t="str">
        <f aca="false">IF($A868="","",IF($A868&lt;&gt;21,"対象外",IF($AE868&amp;""="00000000","在職",IF($AE868&amp;""=設定!$C$4,"4/1喪失","その他喪失"))))</f>
        <v/>
      </c>
    </row>
    <row r="869" customFormat="false" ht="15" hidden="false" customHeight="false" outlineLevel="0" collapsed="false">
      <c r="DB869" s="0" t="str">
        <f aca="false">IF($A869="","",IF($A869&lt;&gt;21,"対象外",IF($AE869&amp;""="00000000","在職",IF($AE869&amp;""=設定!$C$4,"4/1喪失","その他喪失"))))</f>
        <v/>
      </c>
    </row>
    <row r="870" customFormat="false" ht="15" hidden="false" customHeight="false" outlineLevel="0" collapsed="false">
      <c r="DB870" s="0" t="str">
        <f aca="false">IF($A870="","",IF($A870&lt;&gt;21,"対象外",IF($AE870&amp;""="00000000","在職",IF($AE870&amp;""=設定!$C$4,"4/1喪失","その他喪失"))))</f>
        <v/>
      </c>
    </row>
    <row r="871" customFormat="false" ht="15" hidden="false" customHeight="false" outlineLevel="0" collapsed="false">
      <c r="DB871" s="0" t="str">
        <f aca="false">IF($A871="","",IF($A871&lt;&gt;21,"対象外",IF($AE871&amp;""="00000000","在職",IF($AE871&amp;""=設定!$C$4,"4/1喪失","その他喪失"))))</f>
        <v/>
      </c>
    </row>
    <row r="872" customFormat="false" ht="15" hidden="false" customHeight="false" outlineLevel="0" collapsed="false">
      <c r="DB872" s="0" t="str">
        <f aca="false">IF($A872="","",IF($A872&lt;&gt;21,"対象外",IF($AE872&amp;""="00000000","在職",IF($AE872&amp;""=設定!$C$4,"4/1喪失","その他喪失"))))</f>
        <v/>
      </c>
    </row>
    <row r="873" customFormat="false" ht="15" hidden="false" customHeight="false" outlineLevel="0" collapsed="false">
      <c r="DB873" s="0" t="str">
        <f aca="false">IF($A873="","",IF($A873&lt;&gt;21,"対象外",IF($AE873&amp;""="00000000","在職",IF($AE873&amp;""=設定!$C$4,"4/1喪失","その他喪失"))))</f>
        <v/>
      </c>
    </row>
    <row r="874" customFormat="false" ht="15" hidden="false" customHeight="false" outlineLevel="0" collapsed="false">
      <c r="DB874" s="0" t="str">
        <f aca="false">IF($A874="","",IF($A874&lt;&gt;21,"対象外",IF($AE874&amp;""="00000000","在職",IF($AE874&amp;""=設定!$C$4,"4/1喪失","その他喪失"))))</f>
        <v/>
      </c>
    </row>
    <row r="875" customFormat="false" ht="15" hidden="false" customHeight="false" outlineLevel="0" collapsed="false">
      <c r="DB875" s="0" t="str">
        <f aca="false">IF($A875="","",IF($A875&lt;&gt;21,"対象外",IF($AE875&amp;""="00000000","在職",IF($AE875&amp;""=設定!$C$4,"4/1喪失","その他喪失"))))</f>
        <v/>
      </c>
    </row>
    <row r="876" customFormat="false" ht="15" hidden="false" customHeight="false" outlineLevel="0" collapsed="false">
      <c r="DB876" s="0" t="str">
        <f aca="false">IF($A876="","",IF($A876&lt;&gt;21,"対象外",IF($AE876&amp;""="00000000","在職",IF($AE876&amp;""=設定!$C$4,"4/1喪失","その他喪失"))))</f>
        <v/>
      </c>
    </row>
    <row r="877" customFormat="false" ht="15" hidden="false" customHeight="false" outlineLevel="0" collapsed="false">
      <c r="DB877" s="0" t="str">
        <f aca="false">IF($A877="","",IF($A877&lt;&gt;21,"対象外",IF($AE877&amp;""="00000000","在職",IF($AE877&amp;""=設定!$C$4,"4/1喪失","その他喪失"))))</f>
        <v/>
      </c>
    </row>
    <row r="878" customFormat="false" ht="15" hidden="false" customHeight="false" outlineLevel="0" collapsed="false">
      <c r="DB878" s="0" t="str">
        <f aca="false">IF($A878="","",IF($A878&lt;&gt;21,"対象外",IF($AE878&amp;""="00000000","在職",IF($AE878&amp;""=設定!$C$4,"4/1喪失","その他喪失"))))</f>
        <v/>
      </c>
    </row>
    <row r="879" customFormat="false" ht="15" hidden="false" customHeight="false" outlineLevel="0" collapsed="false">
      <c r="DB879" s="0" t="str">
        <f aca="false">IF($A879="","",IF($A879&lt;&gt;21,"対象外",IF($AE879&amp;""="00000000","在職",IF($AE879&amp;""=設定!$C$4,"4/1喪失","その他喪失"))))</f>
        <v/>
      </c>
    </row>
    <row r="880" customFormat="false" ht="15" hidden="false" customHeight="false" outlineLevel="0" collapsed="false">
      <c r="DB880" s="0" t="str">
        <f aca="false">IF($A880="","",IF($A880&lt;&gt;21,"対象外",IF($AE880&amp;""="00000000","在職",IF($AE880&amp;""=設定!$C$4,"4/1喪失","その他喪失"))))</f>
        <v/>
      </c>
    </row>
    <row r="881" customFormat="false" ht="15" hidden="false" customHeight="false" outlineLevel="0" collapsed="false">
      <c r="DB881" s="0" t="str">
        <f aca="false">IF($A881="","",IF($A881&lt;&gt;21,"対象外",IF($AE881&amp;""="00000000","在職",IF($AE881&amp;""=設定!$C$4,"4/1喪失","その他喪失"))))</f>
        <v/>
      </c>
    </row>
    <row r="882" customFormat="false" ht="15" hidden="false" customHeight="false" outlineLevel="0" collapsed="false">
      <c r="DB882" s="0" t="str">
        <f aca="false">IF($A882="","",IF($A882&lt;&gt;21,"対象外",IF($AE882&amp;""="00000000","在職",IF($AE882&amp;""=設定!$C$4,"4/1喪失","その他喪失"))))</f>
        <v/>
      </c>
    </row>
    <row r="883" customFormat="false" ht="15" hidden="false" customHeight="false" outlineLevel="0" collapsed="false">
      <c r="DB883" s="0" t="str">
        <f aca="false">IF($A883="","",IF($A883&lt;&gt;21,"対象外",IF($AE883&amp;""="00000000","在職",IF($AE883&amp;""=設定!$C$4,"4/1喪失","その他喪失"))))</f>
        <v/>
      </c>
    </row>
    <row r="884" customFormat="false" ht="15" hidden="false" customHeight="false" outlineLevel="0" collapsed="false">
      <c r="DB884" s="0" t="str">
        <f aca="false">IF($A884="","",IF($A884&lt;&gt;21,"対象外",IF($AE884&amp;""="00000000","在職",IF($AE884&amp;""=設定!$C$4,"4/1喪失","その他喪失"))))</f>
        <v/>
      </c>
    </row>
    <row r="885" customFormat="false" ht="15" hidden="false" customHeight="false" outlineLevel="0" collapsed="false">
      <c r="DB885" s="0" t="str">
        <f aca="false">IF($A885="","",IF($A885&lt;&gt;21,"対象外",IF($AE885&amp;""="00000000","在職",IF($AE885&amp;""=設定!$C$4,"4/1喪失","その他喪失"))))</f>
        <v/>
      </c>
    </row>
    <row r="886" customFormat="false" ht="15" hidden="false" customHeight="false" outlineLevel="0" collapsed="false">
      <c r="DB886" s="0" t="str">
        <f aca="false">IF($A886="","",IF($A886&lt;&gt;21,"対象外",IF($AE886&amp;""="00000000","在職",IF($AE886&amp;""=設定!$C$4,"4/1喪失","その他喪失"))))</f>
        <v/>
      </c>
    </row>
    <row r="887" customFormat="false" ht="15" hidden="false" customHeight="false" outlineLevel="0" collapsed="false">
      <c r="DB887" s="0" t="str">
        <f aca="false">IF($A887="","",IF($A887&lt;&gt;21,"対象外",IF($AE887&amp;""="00000000","在職",IF($AE887&amp;""=設定!$C$4,"4/1喪失","その他喪失"))))</f>
        <v/>
      </c>
    </row>
    <row r="888" customFormat="false" ht="15" hidden="false" customHeight="false" outlineLevel="0" collapsed="false">
      <c r="DB888" s="0" t="str">
        <f aca="false">IF($A888="","",IF($A888&lt;&gt;21,"対象外",IF($AE888&amp;""="00000000","在職",IF($AE888&amp;""=設定!$C$4,"4/1喪失","その他喪失"))))</f>
        <v/>
      </c>
    </row>
    <row r="889" customFormat="false" ht="15" hidden="false" customHeight="false" outlineLevel="0" collapsed="false">
      <c r="DB889" s="0" t="str">
        <f aca="false">IF($A889="","",IF($A889&lt;&gt;21,"対象外",IF($AE889&amp;""="00000000","在職",IF($AE889&amp;""=設定!$C$4,"4/1喪失","その他喪失"))))</f>
        <v/>
      </c>
    </row>
    <row r="890" customFormat="false" ht="15" hidden="false" customHeight="false" outlineLevel="0" collapsed="false">
      <c r="DB890" s="0" t="str">
        <f aca="false">IF($A890="","",IF($A890&lt;&gt;21,"対象外",IF($AE890&amp;""="00000000","在職",IF($AE890&amp;""=設定!$C$4,"4/1喪失","その他喪失"))))</f>
        <v/>
      </c>
    </row>
    <row r="891" customFormat="false" ht="15" hidden="false" customHeight="false" outlineLevel="0" collapsed="false">
      <c r="DB891" s="0" t="str">
        <f aca="false">IF($A891="","",IF($A891&lt;&gt;21,"対象外",IF($AE891&amp;""="00000000","在職",IF($AE891&amp;""=設定!$C$4,"4/1喪失","その他喪失"))))</f>
        <v/>
      </c>
    </row>
    <row r="892" customFormat="false" ht="15" hidden="false" customHeight="false" outlineLevel="0" collapsed="false">
      <c r="DB892" s="0" t="str">
        <f aca="false">IF($A892="","",IF($A892&lt;&gt;21,"対象外",IF($AE892&amp;""="00000000","在職",IF($AE892&amp;""=設定!$C$4,"4/1喪失","その他喪失"))))</f>
        <v/>
      </c>
    </row>
    <row r="893" customFormat="false" ht="15" hidden="false" customHeight="false" outlineLevel="0" collapsed="false">
      <c r="DB893" s="0" t="str">
        <f aca="false">IF($A893="","",IF($A893&lt;&gt;21,"対象外",IF($AE893&amp;""="00000000","在職",IF($AE893&amp;""=設定!$C$4,"4/1喪失","その他喪失"))))</f>
        <v/>
      </c>
    </row>
    <row r="894" customFormat="false" ht="15" hidden="false" customHeight="false" outlineLevel="0" collapsed="false">
      <c r="DB894" s="0" t="str">
        <f aca="false">IF($A894="","",IF($A894&lt;&gt;21,"対象外",IF($AE894&amp;""="00000000","在職",IF($AE894&amp;""=設定!$C$4,"4/1喪失","その他喪失"))))</f>
        <v/>
      </c>
    </row>
    <row r="895" customFormat="false" ht="15" hidden="false" customHeight="false" outlineLevel="0" collapsed="false">
      <c r="DB895" s="0" t="str">
        <f aca="false">IF($A895="","",IF($A895&lt;&gt;21,"対象外",IF($AE895&amp;""="00000000","在職",IF($AE895&amp;""=設定!$C$4,"4/1喪失","その他喪失"))))</f>
        <v/>
      </c>
    </row>
    <row r="896" customFormat="false" ht="15" hidden="false" customHeight="false" outlineLevel="0" collapsed="false">
      <c r="DB896" s="0" t="str">
        <f aca="false">IF($A896="","",IF($A896&lt;&gt;21,"対象外",IF($AE896&amp;""="00000000","在職",IF($AE896&amp;""=設定!$C$4,"4/1喪失","その他喪失"))))</f>
        <v/>
      </c>
    </row>
    <row r="897" customFormat="false" ht="15" hidden="false" customHeight="false" outlineLevel="0" collapsed="false">
      <c r="DB897" s="0" t="str">
        <f aca="false">IF($A897="","",IF($A897&lt;&gt;21,"対象外",IF($AE897&amp;""="00000000","在職",IF($AE897&amp;""=設定!$C$4,"4/1喪失","その他喪失"))))</f>
        <v/>
      </c>
    </row>
    <row r="898" customFormat="false" ht="15" hidden="false" customHeight="false" outlineLevel="0" collapsed="false">
      <c r="DB898" s="0" t="str">
        <f aca="false">IF($A898="","",IF($A898&lt;&gt;21,"対象外",IF($AE898&amp;""="00000000","在職",IF($AE898&amp;""=設定!$C$4,"4/1喪失","その他喪失"))))</f>
        <v/>
      </c>
    </row>
    <row r="899" customFormat="false" ht="15" hidden="false" customHeight="false" outlineLevel="0" collapsed="false">
      <c r="DB899" s="0" t="str">
        <f aca="false">IF($A899="","",IF($A899&lt;&gt;21,"対象外",IF($AE899&amp;""="00000000","在職",IF($AE899&amp;""=設定!$C$4,"4/1喪失","その他喪失"))))</f>
        <v/>
      </c>
    </row>
    <row r="900" customFormat="false" ht="15" hidden="false" customHeight="false" outlineLevel="0" collapsed="false">
      <c r="DB900" s="0" t="str">
        <f aca="false">IF($A900="","",IF($A900&lt;&gt;21,"対象外",IF($AE900&amp;""="00000000","在職",IF($AE900&amp;""=設定!$C$4,"4/1喪失","その他喪失"))))</f>
        <v/>
      </c>
    </row>
    <row r="901" customFormat="false" ht="15" hidden="false" customHeight="false" outlineLevel="0" collapsed="false">
      <c r="DB901" s="0" t="str">
        <f aca="false">IF($A901="","",IF($A901&lt;&gt;21,"対象外",IF($AE901&amp;""="00000000","在職",IF($AE901&amp;""=設定!$C$4,"4/1喪失","その他喪失"))))</f>
        <v/>
      </c>
    </row>
    <row r="902" customFormat="false" ht="15" hidden="false" customHeight="false" outlineLevel="0" collapsed="false">
      <c r="DB902" s="0" t="str">
        <f aca="false">IF($A902="","",IF($A902&lt;&gt;21,"対象外",IF($AE902&amp;""="00000000","在職",IF($AE902&amp;""=設定!$C$4,"4/1喪失","その他喪失"))))</f>
        <v/>
      </c>
    </row>
    <row r="903" customFormat="false" ht="15" hidden="false" customHeight="false" outlineLevel="0" collapsed="false">
      <c r="DB903" s="0" t="str">
        <f aca="false">IF($A903="","",IF($A903&lt;&gt;21,"対象外",IF($AE903&amp;""="00000000","在職",IF($AE903&amp;""=設定!$C$4,"4/1喪失","その他喪失"))))</f>
        <v/>
      </c>
    </row>
    <row r="904" customFormat="false" ht="15" hidden="false" customHeight="false" outlineLevel="0" collapsed="false">
      <c r="DB904" s="0" t="str">
        <f aca="false">IF($A904="","",IF($A904&lt;&gt;21,"対象外",IF($AE904&amp;""="00000000","在職",IF($AE904&amp;""=設定!$C$4,"4/1喪失","その他喪失"))))</f>
        <v/>
      </c>
    </row>
    <row r="905" customFormat="false" ht="15" hidden="false" customHeight="false" outlineLevel="0" collapsed="false">
      <c r="DB905" s="0" t="str">
        <f aca="false">IF($A905="","",IF($A905&lt;&gt;21,"対象外",IF($AE905&amp;""="00000000","在職",IF($AE905&amp;""=設定!$C$4,"4/1喪失","その他喪失"))))</f>
        <v/>
      </c>
    </row>
    <row r="906" customFormat="false" ht="15" hidden="false" customHeight="false" outlineLevel="0" collapsed="false">
      <c r="DB906" s="0" t="str">
        <f aca="false">IF($A906="","",IF($A906&lt;&gt;21,"対象外",IF($AE906&amp;""="00000000","在職",IF($AE906&amp;""=設定!$C$4,"4/1喪失","その他喪失"))))</f>
        <v/>
      </c>
    </row>
    <row r="907" customFormat="false" ht="15" hidden="false" customHeight="false" outlineLevel="0" collapsed="false">
      <c r="DB907" s="0" t="str">
        <f aca="false">IF($A907="","",IF($A907&lt;&gt;21,"対象外",IF($AE907&amp;""="00000000","在職",IF($AE907&amp;""=設定!$C$4,"4/1喪失","その他喪失"))))</f>
        <v/>
      </c>
    </row>
    <row r="908" customFormat="false" ht="15" hidden="false" customHeight="false" outlineLevel="0" collapsed="false">
      <c r="DB908" s="0" t="str">
        <f aca="false">IF($A908="","",IF($A908&lt;&gt;21,"対象外",IF($AE908&amp;""="00000000","在職",IF($AE908&amp;""=設定!$C$4,"4/1喪失","その他喪失"))))</f>
        <v/>
      </c>
    </row>
    <row r="909" customFormat="false" ht="15" hidden="false" customHeight="false" outlineLevel="0" collapsed="false">
      <c r="DB909" s="0" t="str">
        <f aca="false">IF($A909="","",IF($A909&lt;&gt;21,"対象外",IF($AE909&amp;""="00000000","在職",IF($AE909&amp;""=設定!$C$4,"4/1喪失","その他喪失"))))</f>
        <v/>
      </c>
    </row>
    <row r="910" customFormat="false" ht="15" hidden="false" customHeight="false" outlineLevel="0" collapsed="false">
      <c r="DB910" s="0" t="str">
        <f aca="false">IF($A910="","",IF($A910&lt;&gt;21,"対象外",IF($AE910&amp;""="00000000","在職",IF($AE910&amp;""=設定!$C$4,"4/1喪失","その他喪失"))))</f>
        <v/>
      </c>
    </row>
    <row r="911" customFormat="false" ht="15" hidden="false" customHeight="false" outlineLevel="0" collapsed="false">
      <c r="DB911" s="0" t="str">
        <f aca="false">IF($A911="","",IF($A911&lt;&gt;21,"対象外",IF($AE911&amp;""="00000000","在職",IF($AE911&amp;""=設定!$C$4,"4/1喪失","その他喪失"))))</f>
        <v/>
      </c>
    </row>
    <row r="912" customFormat="false" ht="15" hidden="false" customHeight="false" outlineLevel="0" collapsed="false">
      <c r="DB912" s="0" t="str">
        <f aca="false">IF($A912="","",IF($A912&lt;&gt;21,"対象外",IF($AE912&amp;""="00000000","在職",IF($AE912&amp;""=設定!$C$4,"4/1喪失","その他喪失"))))</f>
        <v/>
      </c>
    </row>
    <row r="913" customFormat="false" ht="15" hidden="false" customHeight="false" outlineLevel="0" collapsed="false">
      <c r="DB913" s="0" t="str">
        <f aca="false">IF($A913="","",IF($A913&lt;&gt;21,"対象外",IF($AE913&amp;""="00000000","在職",IF($AE913&amp;""=設定!$C$4,"4/1喪失","その他喪失"))))</f>
        <v/>
      </c>
    </row>
    <row r="914" customFormat="false" ht="15" hidden="false" customHeight="false" outlineLevel="0" collapsed="false">
      <c r="DB914" s="0" t="str">
        <f aca="false">IF($A914="","",IF($A914&lt;&gt;21,"対象外",IF($AE914&amp;""="00000000","在職",IF($AE914&amp;""=設定!$C$4,"4/1喪失","その他喪失"))))</f>
        <v/>
      </c>
    </row>
    <row r="915" customFormat="false" ht="15" hidden="false" customHeight="false" outlineLevel="0" collapsed="false">
      <c r="DB915" s="0" t="str">
        <f aca="false">IF($A915="","",IF($A915&lt;&gt;21,"対象外",IF($AE915&amp;""="00000000","在職",IF($AE915&amp;""=設定!$C$4,"4/1喪失","その他喪失"))))</f>
        <v/>
      </c>
    </row>
    <row r="916" customFormat="false" ht="15" hidden="false" customHeight="false" outlineLevel="0" collapsed="false">
      <c r="DB916" s="0" t="str">
        <f aca="false">IF($A916="","",IF($A916&lt;&gt;21,"対象外",IF($AE916&amp;""="00000000","在職",IF($AE916&amp;""=設定!$C$4,"4/1喪失","その他喪失"))))</f>
        <v/>
      </c>
    </row>
    <row r="917" customFormat="false" ht="15" hidden="false" customHeight="false" outlineLevel="0" collapsed="false">
      <c r="DB917" s="0" t="str">
        <f aca="false">IF($A917="","",IF($A917&lt;&gt;21,"対象外",IF($AE917&amp;""="00000000","在職",IF($AE917&amp;""=設定!$C$4,"4/1喪失","その他喪失"))))</f>
        <v/>
      </c>
    </row>
    <row r="918" customFormat="false" ht="15" hidden="false" customHeight="false" outlineLevel="0" collapsed="false">
      <c r="DB918" s="0" t="str">
        <f aca="false">IF($A918="","",IF($A918&lt;&gt;21,"対象外",IF($AE918&amp;""="00000000","在職",IF($AE918&amp;""=設定!$C$4,"4/1喪失","その他喪失"))))</f>
        <v/>
      </c>
    </row>
    <row r="919" customFormat="false" ht="15" hidden="false" customHeight="false" outlineLevel="0" collapsed="false">
      <c r="DB919" s="0" t="str">
        <f aca="false">IF($A919="","",IF($A919&lt;&gt;21,"対象外",IF($AE919&amp;""="00000000","在職",IF($AE919&amp;""=設定!$C$4,"4/1喪失","その他喪失"))))</f>
        <v/>
      </c>
    </row>
    <row r="920" customFormat="false" ht="15" hidden="false" customHeight="false" outlineLevel="0" collapsed="false">
      <c r="DB920" s="0" t="str">
        <f aca="false">IF($A920="","",IF($A920&lt;&gt;21,"対象外",IF($AE920&amp;""="00000000","在職",IF($AE920&amp;""=設定!$C$4,"4/1喪失","その他喪失"))))</f>
        <v/>
      </c>
    </row>
    <row r="921" customFormat="false" ht="15" hidden="false" customHeight="false" outlineLevel="0" collapsed="false">
      <c r="DB921" s="0" t="str">
        <f aca="false">IF($A921="","",IF($A921&lt;&gt;21,"対象外",IF($AE921&amp;""="00000000","在職",IF($AE921&amp;""=設定!$C$4,"4/1喪失","その他喪失"))))</f>
        <v/>
      </c>
    </row>
    <row r="922" customFormat="false" ht="15" hidden="false" customHeight="false" outlineLevel="0" collapsed="false">
      <c r="DB922" s="0" t="str">
        <f aca="false">IF($A922="","",IF($A922&lt;&gt;21,"対象外",IF($AE922&amp;""="00000000","在職",IF($AE922&amp;""=設定!$C$4,"4/1喪失","その他喪失"))))</f>
        <v/>
      </c>
    </row>
    <row r="923" customFormat="false" ht="15" hidden="false" customHeight="false" outlineLevel="0" collapsed="false">
      <c r="DB923" s="0" t="str">
        <f aca="false">IF($A923="","",IF($A923&lt;&gt;21,"対象外",IF($AE923&amp;""="00000000","在職",IF($AE923&amp;""=設定!$C$4,"4/1喪失","その他喪失"))))</f>
        <v/>
      </c>
    </row>
    <row r="924" customFormat="false" ht="15" hidden="false" customHeight="false" outlineLevel="0" collapsed="false">
      <c r="DB924" s="0" t="str">
        <f aca="false">IF($A924="","",IF($A924&lt;&gt;21,"対象外",IF($AE924&amp;""="00000000","在職",IF($AE924&amp;""=設定!$C$4,"4/1喪失","その他喪失"))))</f>
        <v/>
      </c>
    </row>
    <row r="925" customFormat="false" ht="15" hidden="false" customHeight="false" outlineLevel="0" collapsed="false">
      <c r="DB925" s="0" t="str">
        <f aca="false">IF($A925="","",IF($A925&lt;&gt;21,"対象外",IF($AE925&amp;""="00000000","在職",IF($AE925&amp;""=設定!$C$4,"4/1喪失","その他喪失"))))</f>
        <v/>
      </c>
    </row>
    <row r="926" customFormat="false" ht="15" hidden="false" customHeight="false" outlineLevel="0" collapsed="false">
      <c r="DB926" s="0" t="str">
        <f aca="false">IF($A926="","",IF($A926&lt;&gt;21,"対象外",IF($AE926&amp;""="00000000","在職",IF($AE926&amp;""=設定!$C$4,"4/1喪失","その他喪失"))))</f>
        <v/>
      </c>
    </row>
    <row r="927" customFormat="false" ht="15" hidden="false" customHeight="false" outlineLevel="0" collapsed="false">
      <c r="DB927" s="0" t="str">
        <f aca="false">IF($A927="","",IF($A927&lt;&gt;21,"対象外",IF($AE927&amp;""="00000000","在職",IF($AE927&amp;""=設定!$C$4,"4/1喪失","その他喪失"))))</f>
        <v/>
      </c>
    </row>
    <row r="928" customFormat="false" ht="15" hidden="false" customHeight="false" outlineLevel="0" collapsed="false">
      <c r="DB928" s="0" t="str">
        <f aca="false">IF($A928="","",IF($A928&lt;&gt;21,"対象外",IF($AE928&amp;""="00000000","在職",IF($AE928&amp;""=設定!$C$4,"4/1喪失","その他喪失"))))</f>
        <v/>
      </c>
    </row>
    <row r="929" customFormat="false" ht="15" hidden="false" customHeight="false" outlineLevel="0" collapsed="false">
      <c r="DB929" s="0" t="str">
        <f aca="false">IF($A929="","",IF($A929&lt;&gt;21,"対象外",IF($AE929&amp;""="00000000","在職",IF($AE929&amp;""=設定!$C$4,"4/1喪失","その他喪失"))))</f>
        <v/>
      </c>
    </row>
    <row r="930" customFormat="false" ht="15" hidden="false" customHeight="false" outlineLevel="0" collapsed="false">
      <c r="DB930" s="0" t="str">
        <f aca="false">IF($A930="","",IF($A930&lt;&gt;21,"対象外",IF($AE930&amp;""="00000000","在職",IF($AE930&amp;""=設定!$C$4,"4/1喪失","その他喪失"))))</f>
        <v/>
      </c>
    </row>
    <row r="931" customFormat="false" ht="15" hidden="false" customHeight="false" outlineLevel="0" collapsed="false">
      <c r="DB931" s="0" t="str">
        <f aca="false">IF($A931="","",IF($A931&lt;&gt;21,"対象外",IF($AE931&amp;""="00000000","在職",IF($AE931&amp;""=設定!$C$4,"4/1喪失","その他喪失"))))</f>
        <v/>
      </c>
    </row>
    <row r="932" customFormat="false" ht="15" hidden="false" customHeight="false" outlineLevel="0" collapsed="false">
      <c r="DB932" s="0" t="str">
        <f aca="false">IF($A932="","",IF($A932&lt;&gt;21,"対象外",IF($AE932&amp;""="00000000","在職",IF($AE932&amp;""=設定!$C$4,"4/1喪失","その他喪失"))))</f>
        <v/>
      </c>
    </row>
    <row r="933" customFormat="false" ht="15" hidden="false" customHeight="false" outlineLevel="0" collapsed="false">
      <c r="DB933" s="0" t="str">
        <f aca="false">IF($A933="","",IF($A933&lt;&gt;21,"対象外",IF($AE933&amp;""="00000000","在職",IF($AE933&amp;""=設定!$C$4,"4/1喪失","その他喪失"))))</f>
        <v/>
      </c>
    </row>
    <row r="934" customFormat="false" ht="15" hidden="false" customHeight="false" outlineLevel="0" collapsed="false">
      <c r="DB934" s="0" t="str">
        <f aca="false">IF($A934="","",IF($A934&lt;&gt;21,"対象外",IF($AE934&amp;""="00000000","在職",IF($AE934&amp;""=設定!$C$4,"4/1喪失","その他喪失"))))</f>
        <v/>
      </c>
    </row>
    <row r="935" customFormat="false" ht="15" hidden="false" customHeight="false" outlineLevel="0" collapsed="false">
      <c r="DB935" s="0" t="str">
        <f aca="false">IF($A935="","",IF($A935&lt;&gt;21,"対象外",IF($AE935&amp;""="00000000","在職",IF($AE935&amp;""=設定!$C$4,"4/1喪失","その他喪失"))))</f>
        <v/>
      </c>
    </row>
    <row r="936" customFormat="false" ht="15" hidden="false" customHeight="false" outlineLevel="0" collapsed="false">
      <c r="DB936" s="0" t="str">
        <f aca="false">IF($A936="","",IF($A936&lt;&gt;21,"対象外",IF($AE936&amp;""="00000000","在職",IF($AE936&amp;""=設定!$C$4,"4/1喪失","その他喪失"))))</f>
        <v/>
      </c>
    </row>
    <row r="937" customFormat="false" ht="15" hidden="false" customHeight="false" outlineLevel="0" collapsed="false">
      <c r="DB937" s="0" t="str">
        <f aca="false">IF($A937="","",IF($A937&lt;&gt;21,"対象外",IF($AE937&amp;""="00000000","在職",IF($AE937&amp;""=設定!$C$4,"4/1喪失","その他喪失"))))</f>
        <v/>
      </c>
    </row>
    <row r="938" customFormat="false" ht="15" hidden="false" customHeight="false" outlineLevel="0" collapsed="false">
      <c r="DB938" s="0" t="str">
        <f aca="false">IF($A938="","",IF($A938&lt;&gt;21,"対象外",IF($AE938&amp;""="00000000","在職",IF($AE938&amp;""=設定!$C$4,"4/1喪失","その他喪失"))))</f>
        <v/>
      </c>
    </row>
    <row r="939" customFormat="false" ht="15" hidden="false" customHeight="false" outlineLevel="0" collapsed="false">
      <c r="DB939" s="0" t="str">
        <f aca="false">IF($A939="","",IF($A939&lt;&gt;21,"対象外",IF($AE939&amp;""="00000000","在職",IF($AE939&amp;""=設定!$C$4,"4/1喪失","その他喪失"))))</f>
        <v/>
      </c>
    </row>
    <row r="940" customFormat="false" ht="15" hidden="false" customHeight="false" outlineLevel="0" collapsed="false">
      <c r="DB940" s="0" t="str">
        <f aca="false">IF($A940="","",IF($A940&lt;&gt;21,"対象外",IF($AE940&amp;""="00000000","在職",IF($AE940&amp;""=設定!$C$4,"4/1喪失","その他喪失"))))</f>
        <v/>
      </c>
    </row>
    <row r="941" customFormat="false" ht="15" hidden="false" customHeight="false" outlineLevel="0" collapsed="false">
      <c r="DB941" s="0" t="str">
        <f aca="false">IF($A941="","",IF($A941&lt;&gt;21,"対象外",IF($AE941&amp;""="00000000","在職",IF($AE941&amp;""=設定!$C$4,"4/1喪失","その他喪失"))))</f>
        <v/>
      </c>
    </row>
    <row r="942" customFormat="false" ht="15" hidden="false" customHeight="false" outlineLevel="0" collapsed="false">
      <c r="DB942" s="0" t="str">
        <f aca="false">IF($A942="","",IF($A942&lt;&gt;21,"対象外",IF($AE942&amp;""="00000000","在職",IF($AE942&amp;""=設定!$C$4,"4/1喪失","その他喪失"))))</f>
        <v/>
      </c>
    </row>
    <row r="943" customFormat="false" ht="15" hidden="false" customHeight="false" outlineLevel="0" collapsed="false">
      <c r="DB943" s="0" t="str">
        <f aca="false">IF($A943="","",IF($A943&lt;&gt;21,"対象外",IF($AE943&amp;""="00000000","在職",IF($AE943&amp;""=設定!$C$4,"4/1喪失","その他喪失"))))</f>
        <v/>
      </c>
    </row>
    <row r="944" customFormat="false" ht="15" hidden="false" customHeight="false" outlineLevel="0" collapsed="false">
      <c r="DB944" s="0" t="str">
        <f aca="false">IF($A944="","",IF($A944&lt;&gt;21,"対象外",IF($AE944&amp;""="00000000","在職",IF($AE944&amp;""=設定!$C$4,"4/1喪失","その他喪失"))))</f>
        <v/>
      </c>
    </row>
    <row r="945" customFormat="false" ht="15" hidden="false" customHeight="false" outlineLevel="0" collapsed="false">
      <c r="DB945" s="0" t="str">
        <f aca="false">IF($A945="","",IF($A945&lt;&gt;21,"対象外",IF($AE945&amp;""="00000000","在職",IF($AE945&amp;""=設定!$C$4,"4/1喪失","その他喪失"))))</f>
        <v/>
      </c>
    </row>
    <row r="946" customFormat="false" ht="15" hidden="false" customHeight="false" outlineLevel="0" collapsed="false">
      <c r="DB946" s="0" t="str">
        <f aca="false">IF($A946="","",IF($A946&lt;&gt;21,"対象外",IF($AE946&amp;""="00000000","在職",IF($AE946&amp;""=設定!$C$4,"4/1喪失","その他喪失"))))</f>
        <v/>
      </c>
    </row>
    <row r="947" customFormat="false" ht="15" hidden="false" customHeight="false" outlineLevel="0" collapsed="false">
      <c r="DB947" s="0" t="str">
        <f aca="false">IF($A947="","",IF($A947&lt;&gt;21,"対象外",IF($AE947&amp;""="00000000","在職",IF($AE947&amp;""=設定!$C$4,"4/1喪失","その他喪失"))))</f>
        <v/>
      </c>
    </row>
    <row r="948" customFormat="false" ht="15" hidden="false" customHeight="false" outlineLevel="0" collapsed="false">
      <c r="DB948" s="0" t="str">
        <f aca="false">IF($A948="","",IF($A948&lt;&gt;21,"対象外",IF($AE948&amp;""="00000000","在職",IF($AE948&amp;""=設定!$C$4,"4/1喪失","その他喪失"))))</f>
        <v/>
      </c>
    </row>
    <row r="949" customFormat="false" ht="15" hidden="false" customHeight="false" outlineLevel="0" collapsed="false">
      <c r="DB949" s="0" t="str">
        <f aca="false">IF($A949="","",IF($A949&lt;&gt;21,"対象外",IF($AE949&amp;""="00000000","在職",IF($AE949&amp;""=設定!$C$4,"4/1喪失","その他喪失"))))</f>
        <v/>
      </c>
    </row>
    <row r="950" customFormat="false" ht="15" hidden="false" customHeight="false" outlineLevel="0" collapsed="false">
      <c r="DB950" s="0" t="str">
        <f aca="false">IF($A950="","",IF($A950&lt;&gt;21,"対象外",IF($AE950&amp;""="00000000","在職",IF($AE950&amp;""=設定!$C$4,"4/1喪失","その他喪失"))))</f>
        <v/>
      </c>
    </row>
    <row r="951" customFormat="false" ht="15" hidden="false" customHeight="false" outlineLevel="0" collapsed="false">
      <c r="DB951" s="0" t="str">
        <f aca="false">IF($A951="","",IF($A951&lt;&gt;21,"対象外",IF($AE951&amp;""="00000000","在職",IF($AE951&amp;""=設定!$C$4,"4/1喪失","その他喪失"))))</f>
        <v/>
      </c>
    </row>
    <row r="952" customFormat="false" ht="15" hidden="false" customHeight="false" outlineLevel="0" collapsed="false">
      <c r="DB952" s="0" t="str">
        <f aca="false">IF($A952="","",IF($A952&lt;&gt;21,"対象外",IF($AE952&amp;""="00000000","在職",IF($AE952&amp;""=設定!$C$4,"4/1喪失","その他喪失"))))</f>
        <v/>
      </c>
    </row>
    <row r="953" customFormat="false" ht="15" hidden="false" customHeight="false" outlineLevel="0" collapsed="false">
      <c r="DB953" s="0" t="str">
        <f aca="false">IF($A953="","",IF($A953&lt;&gt;21,"対象外",IF($AE953&amp;""="00000000","在職",IF($AE953&amp;""=設定!$C$4,"4/1喪失","その他喪失"))))</f>
        <v/>
      </c>
    </row>
    <row r="954" customFormat="false" ht="15" hidden="false" customHeight="false" outlineLevel="0" collapsed="false">
      <c r="DB954" s="0" t="str">
        <f aca="false">IF($A954="","",IF($A954&lt;&gt;21,"対象外",IF($AE954&amp;""="00000000","在職",IF($AE954&amp;""=設定!$C$4,"4/1喪失","その他喪失"))))</f>
        <v/>
      </c>
    </row>
    <row r="955" customFormat="false" ht="15" hidden="false" customHeight="false" outlineLevel="0" collapsed="false">
      <c r="DB955" s="0" t="str">
        <f aca="false">IF($A955="","",IF($A955&lt;&gt;21,"対象外",IF($AE955&amp;""="00000000","在職",IF($AE955&amp;""=設定!$C$4,"4/1喪失","その他喪失"))))</f>
        <v/>
      </c>
    </row>
    <row r="956" customFormat="false" ht="15" hidden="false" customHeight="false" outlineLevel="0" collapsed="false">
      <c r="DB956" s="0" t="str">
        <f aca="false">IF($A956="","",IF($A956&lt;&gt;21,"対象外",IF($AE956&amp;""="00000000","在職",IF($AE956&amp;""=設定!$C$4,"4/1喪失","その他喪失"))))</f>
        <v/>
      </c>
    </row>
    <row r="957" customFormat="false" ht="15" hidden="false" customHeight="false" outlineLevel="0" collapsed="false">
      <c r="DB957" s="0" t="str">
        <f aca="false">IF($A957="","",IF($A957&lt;&gt;21,"対象外",IF($AE957&amp;""="00000000","在職",IF($AE957&amp;""=設定!$C$4,"4/1喪失","その他喪失"))))</f>
        <v/>
      </c>
    </row>
    <row r="958" customFormat="false" ht="15" hidden="false" customHeight="false" outlineLevel="0" collapsed="false">
      <c r="DB958" s="0" t="str">
        <f aca="false">IF($A958="","",IF($A958&lt;&gt;21,"対象外",IF($AE958&amp;""="00000000","在職",IF($AE958&amp;""=設定!$C$4,"4/1喪失","その他喪失"))))</f>
        <v/>
      </c>
    </row>
    <row r="959" customFormat="false" ht="15" hidden="false" customHeight="false" outlineLevel="0" collapsed="false">
      <c r="DB959" s="0" t="str">
        <f aca="false">IF($A959="","",IF($A959&lt;&gt;21,"対象外",IF($AE959&amp;""="00000000","在職",IF($AE959&amp;""=設定!$C$4,"4/1喪失","その他喪失"))))</f>
        <v/>
      </c>
    </row>
    <row r="960" customFormat="false" ht="15" hidden="false" customHeight="false" outlineLevel="0" collapsed="false">
      <c r="DB960" s="0" t="str">
        <f aca="false">IF($A960="","",IF($A960&lt;&gt;21,"対象外",IF($AE960&amp;""="00000000","在職",IF($AE960&amp;""=設定!$C$4,"4/1喪失","その他喪失"))))</f>
        <v/>
      </c>
    </row>
    <row r="961" customFormat="false" ht="15" hidden="false" customHeight="false" outlineLevel="0" collapsed="false">
      <c r="DB961" s="0" t="str">
        <f aca="false">IF($A961="","",IF($A961&lt;&gt;21,"対象外",IF($AE961&amp;""="00000000","在職",IF($AE961&amp;""=設定!$C$4,"4/1喪失","その他喪失"))))</f>
        <v/>
      </c>
    </row>
    <row r="962" customFormat="false" ht="15" hidden="false" customHeight="false" outlineLevel="0" collapsed="false">
      <c r="DB962" s="0" t="str">
        <f aca="false">IF($A962="","",IF($A962&lt;&gt;21,"対象外",IF($AE962&amp;""="00000000","在職",IF($AE962&amp;""=設定!$C$4,"4/1喪失","その他喪失"))))</f>
        <v/>
      </c>
    </row>
    <row r="963" customFormat="false" ht="15" hidden="false" customHeight="false" outlineLevel="0" collapsed="false">
      <c r="DB963" s="0" t="str">
        <f aca="false">IF($A963="","",IF($A963&lt;&gt;21,"対象外",IF($AE963&amp;""="00000000","在職",IF($AE963&amp;""=設定!$C$4,"4/1喪失","その他喪失"))))</f>
        <v/>
      </c>
    </row>
    <row r="964" customFormat="false" ht="15" hidden="false" customHeight="false" outlineLevel="0" collapsed="false">
      <c r="DB964" s="0" t="str">
        <f aca="false">IF($A964="","",IF($A964&lt;&gt;21,"対象外",IF($AE964&amp;""="00000000","在職",IF($AE964&amp;""=設定!$C$4,"4/1喪失","その他喪失"))))</f>
        <v/>
      </c>
    </row>
    <row r="965" customFormat="false" ht="15" hidden="false" customHeight="false" outlineLevel="0" collapsed="false">
      <c r="DB965" s="0" t="str">
        <f aca="false">IF($A965="","",IF($A965&lt;&gt;21,"対象外",IF($AE965&amp;""="00000000","在職",IF($AE965&amp;""=設定!$C$4,"4/1喪失","その他喪失"))))</f>
        <v/>
      </c>
    </row>
    <row r="966" customFormat="false" ht="15" hidden="false" customHeight="false" outlineLevel="0" collapsed="false">
      <c r="DB966" s="0" t="str">
        <f aca="false">IF($A966="","",IF($A966&lt;&gt;21,"対象外",IF($AE966&amp;""="00000000","在職",IF($AE966&amp;""=設定!$C$4,"4/1喪失","その他喪失"))))</f>
        <v/>
      </c>
    </row>
    <row r="967" customFormat="false" ht="15" hidden="false" customHeight="false" outlineLevel="0" collapsed="false">
      <c r="DB967" s="0" t="str">
        <f aca="false">IF($A967="","",IF($A967&lt;&gt;21,"対象外",IF($AE967&amp;""="00000000","在職",IF($AE967&amp;""=設定!$C$4,"4/1喪失","その他喪失"))))</f>
        <v/>
      </c>
    </row>
    <row r="968" customFormat="false" ht="15" hidden="false" customHeight="false" outlineLevel="0" collapsed="false">
      <c r="DB968" s="0" t="str">
        <f aca="false">IF($A968="","",IF($A968&lt;&gt;21,"対象外",IF($AE968&amp;""="00000000","在職",IF($AE968&amp;""=設定!$C$4,"4/1喪失","その他喪失"))))</f>
        <v/>
      </c>
    </row>
    <row r="969" customFormat="false" ht="15" hidden="false" customHeight="false" outlineLevel="0" collapsed="false">
      <c r="DB969" s="0" t="str">
        <f aca="false">IF($A969="","",IF($A969&lt;&gt;21,"対象外",IF($AE969&amp;""="00000000","在職",IF($AE969&amp;""=設定!$C$4,"4/1喪失","その他喪失"))))</f>
        <v/>
      </c>
    </row>
    <row r="970" customFormat="false" ht="15" hidden="false" customHeight="false" outlineLevel="0" collapsed="false">
      <c r="DB970" s="0" t="str">
        <f aca="false">IF($A970="","",IF($A970&lt;&gt;21,"対象外",IF($AE970&amp;""="00000000","在職",IF($AE970&amp;""=設定!$C$4,"4/1喪失","その他喪失"))))</f>
        <v/>
      </c>
    </row>
    <row r="971" customFormat="false" ht="15" hidden="false" customHeight="false" outlineLevel="0" collapsed="false">
      <c r="DB971" s="0" t="str">
        <f aca="false">IF($A971="","",IF($A971&lt;&gt;21,"対象外",IF($AE971&amp;""="00000000","在職",IF($AE971&amp;""=設定!$C$4,"4/1喪失","その他喪失"))))</f>
        <v/>
      </c>
    </row>
    <row r="972" customFormat="false" ht="15" hidden="false" customHeight="false" outlineLevel="0" collapsed="false">
      <c r="DB972" s="0" t="str">
        <f aca="false">IF($A972="","",IF($A972&lt;&gt;21,"対象外",IF($AE972&amp;""="00000000","在職",IF($AE972&amp;""=設定!$C$4,"4/1喪失","その他喪失"))))</f>
        <v/>
      </c>
    </row>
    <row r="973" customFormat="false" ht="15" hidden="false" customHeight="false" outlineLevel="0" collapsed="false">
      <c r="DB973" s="0" t="str">
        <f aca="false">IF($A973="","",IF($A973&lt;&gt;21,"対象外",IF($AE973&amp;""="00000000","在職",IF($AE973&amp;""=設定!$C$4,"4/1喪失","その他喪失"))))</f>
        <v/>
      </c>
    </row>
    <row r="974" customFormat="false" ht="15" hidden="false" customHeight="false" outlineLevel="0" collapsed="false">
      <c r="DB974" s="0" t="str">
        <f aca="false">IF($A974="","",IF($A974&lt;&gt;21,"対象外",IF($AE974&amp;""="00000000","在職",IF($AE974&amp;""=設定!$C$4,"4/1喪失","その他喪失"))))</f>
        <v/>
      </c>
    </row>
    <row r="975" customFormat="false" ht="15" hidden="false" customHeight="false" outlineLevel="0" collapsed="false">
      <c r="DB975" s="0" t="str">
        <f aca="false">IF($A975="","",IF($A975&lt;&gt;21,"対象外",IF($AE975&amp;""="00000000","在職",IF($AE975&amp;""=設定!$C$4,"4/1喪失","その他喪失"))))</f>
        <v/>
      </c>
    </row>
    <row r="976" customFormat="false" ht="15" hidden="false" customHeight="false" outlineLevel="0" collapsed="false">
      <c r="DB976" s="0" t="str">
        <f aca="false">IF($A976="","",IF($A976&lt;&gt;21,"対象外",IF($AE976&amp;""="00000000","在職",IF($AE976&amp;""=設定!$C$4,"4/1喪失","その他喪失"))))</f>
        <v/>
      </c>
    </row>
    <row r="977" customFormat="false" ht="15" hidden="false" customHeight="false" outlineLevel="0" collapsed="false">
      <c r="DB977" s="0" t="str">
        <f aca="false">IF($A977="","",IF($A977&lt;&gt;21,"対象外",IF($AE977&amp;""="00000000","在職",IF($AE977&amp;""=設定!$C$4,"4/1喪失","その他喪失"))))</f>
        <v/>
      </c>
    </row>
    <row r="978" customFormat="false" ht="15" hidden="false" customHeight="false" outlineLevel="0" collapsed="false">
      <c r="DB978" s="0" t="str">
        <f aca="false">IF($A978="","",IF($A978&lt;&gt;21,"対象外",IF($AE978&amp;""="00000000","在職",IF($AE978&amp;""=設定!$C$4,"4/1喪失","その他喪失"))))</f>
        <v/>
      </c>
    </row>
    <row r="979" customFormat="false" ht="15" hidden="false" customHeight="false" outlineLevel="0" collapsed="false">
      <c r="DB979" s="0" t="str">
        <f aca="false">IF($A979="","",IF($A979&lt;&gt;21,"対象外",IF($AE979&amp;""="00000000","在職",IF($AE979&amp;""=設定!$C$4,"4/1喪失","その他喪失"))))</f>
        <v/>
      </c>
    </row>
    <row r="980" customFormat="false" ht="15" hidden="false" customHeight="false" outlineLevel="0" collapsed="false">
      <c r="DB980" s="0" t="str">
        <f aca="false">IF($A980="","",IF($A980&lt;&gt;21,"対象外",IF($AE980&amp;""="00000000","在職",IF($AE980&amp;""=設定!$C$4,"4/1喪失","その他喪失"))))</f>
        <v/>
      </c>
    </row>
    <row r="981" customFormat="false" ht="15" hidden="false" customHeight="false" outlineLevel="0" collapsed="false">
      <c r="DB981" s="0" t="str">
        <f aca="false">IF($A981="","",IF($A981&lt;&gt;21,"対象外",IF($AE981&amp;""="00000000","在職",IF($AE981&amp;""=設定!$C$4,"4/1喪失","その他喪失"))))</f>
        <v/>
      </c>
    </row>
    <row r="982" customFormat="false" ht="15" hidden="false" customHeight="false" outlineLevel="0" collapsed="false">
      <c r="DB982" s="0" t="str">
        <f aca="false">IF($A982="","",IF($A982&lt;&gt;21,"対象外",IF($AE982&amp;""="00000000","在職",IF($AE982&amp;""=設定!$C$4,"4/1喪失","その他喪失"))))</f>
        <v/>
      </c>
    </row>
    <row r="983" customFormat="false" ht="15" hidden="false" customHeight="false" outlineLevel="0" collapsed="false">
      <c r="DB983" s="0" t="str">
        <f aca="false">IF($A983="","",IF($A983&lt;&gt;21,"対象外",IF($AE983&amp;""="00000000","在職",IF($AE983&amp;""=設定!$C$4,"4/1喪失","その他喪失"))))</f>
        <v/>
      </c>
    </row>
    <row r="984" customFormat="false" ht="15" hidden="false" customHeight="false" outlineLevel="0" collapsed="false">
      <c r="DB984" s="0" t="str">
        <f aca="false">IF($A984="","",IF($A984&lt;&gt;21,"対象外",IF($AE984&amp;""="00000000","在職",IF($AE984&amp;""=設定!$C$4,"4/1喪失","その他喪失"))))</f>
        <v/>
      </c>
    </row>
    <row r="985" customFormat="false" ht="15" hidden="false" customHeight="false" outlineLevel="0" collapsed="false">
      <c r="DB985" s="0" t="str">
        <f aca="false">IF($A985="","",IF($A985&lt;&gt;21,"対象外",IF($AE985&amp;""="00000000","在職",IF($AE985&amp;""=設定!$C$4,"4/1喪失","その他喪失"))))</f>
        <v/>
      </c>
    </row>
    <row r="986" customFormat="false" ht="15" hidden="false" customHeight="false" outlineLevel="0" collapsed="false">
      <c r="DB986" s="0" t="str">
        <f aca="false">IF($A986="","",IF($A986&lt;&gt;21,"対象外",IF($AE986&amp;""="00000000","在職",IF($AE986&amp;""=設定!$C$4,"4/1喪失","その他喪失"))))</f>
        <v/>
      </c>
    </row>
    <row r="987" customFormat="false" ht="15" hidden="false" customHeight="false" outlineLevel="0" collapsed="false">
      <c r="DB987" s="0" t="str">
        <f aca="false">IF($A987="","",IF($A987&lt;&gt;21,"対象外",IF($AE987&amp;""="00000000","在職",IF($AE987&amp;""=設定!$C$4,"4/1喪失","その他喪失"))))</f>
        <v/>
      </c>
    </row>
    <row r="988" customFormat="false" ht="15" hidden="false" customHeight="false" outlineLevel="0" collapsed="false">
      <c r="DB988" s="0" t="str">
        <f aca="false">IF($A988="","",IF($A988&lt;&gt;21,"対象外",IF($AE988&amp;""="00000000","在職",IF($AE988&amp;""=設定!$C$4,"4/1喪失","その他喪失"))))</f>
        <v/>
      </c>
    </row>
    <row r="989" customFormat="false" ht="15" hidden="false" customHeight="false" outlineLevel="0" collapsed="false">
      <c r="DB989" s="0" t="str">
        <f aca="false">IF($A989="","",IF($A989&lt;&gt;21,"対象外",IF($AE989&amp;""="00000000","在職",IF($AE989&amp;""=設定!$C$4,"4/1喪失","その他喪失"))))</f>
        <v/>
      </c>
    </row>
    <row r="990" customFormat="false" ht="15" hidden="false" customHeight="false" outlineLevel="0" collapsed="false">
      <c r="DB990" s="0" t="str">
        <f aca="false">IF($A990="","",IF($A990&lt;&gt;21,"対象外",IF($AE990&amp;""="00000000","在職",IF($AE990&amp;""=設定!$C$4,"4/1喪失","その他喪失"))))</f>
        <v/>
      </c>
    </row>
    <row r="991" customFormat="false" ht="15" hidden="false" customHeight="false" outlineLevel="0" collapsed="false">
      <c r="DB991" s="0" t="str">
        <f aca="false">IF($A991="","",IF($A991&lt;&gt;21,"対象外",IF($AE991&amp;""="00000000","在職",IF($AE991&amp;""=設定!$C$4,"4/1喪失","その他喪失"))))</f>
        <v/>
      </c>
    </row>
    <row r="992" customFormat="false" ht="15" hidden="false" customHeight="false" outlineLevel="0" collapsed="false">
      <c r="DB992" s="0" t="str">
        <f aca="false">IF($A992="","",IF($A992&lt;&gt;21,"対象外",IF($AE992&amp;""="00000000","在職",IF($AE992&amp;""=設定!$C$4,"4/1喪失","その他喪失"))))</f>
        <v/>
      </c>
    </row>
    <row r="993" customFormat="false" ht="15" hidden="false" customHeight="false" outlineLevel="0" collapsed="false">
      <c r="DB993" s="0" t="str">
        <f aca="false">IF($A993="","",IF($A993&lt;&gt;21,"対象外",IF($AE993&amp;""="00000000","在職",IF($AE993&amp;""=設定!$C$4,"4/1喪失","その他喪失"))))</f>
        <v/>
      </c>
    </row>
    <row r="994" customFormat="false" ht="15" hidden="false" customHeight="false" outlineLevel="0" collapsed="false">
      <c r="DB994" s="0" t="str">
        <f aca="false">IF($A994="","",IF($A994&lt;&gt;21,"対象外",IF($AE994&amp;""="00000000","在職",IF($AE994&amp;""=設定!$C$4,"4/1喪失","その他喪失"))))</f>
        <v/>
      </c>
    </row>
    <row r="995" customFormat="false" ht="15" hidden="false" customHeight="false" outlineLevel="0" collapsed="false">
      <c r="DB995" s="0" t="str">
        <f aca="false">IF($A995="","",IF($A995&lt;&gt;21,"対象外",IF($AE995&amp;""="00000000","在職",IF($AE995&amp;""=設定!$C$4,"4/1喪失","その他喪失"))))</f>
        <v/>
      </c>
    </row>
    <row r="996" customFormat="false" ht="15" hidden="false" customHeight="false" outlineLevel="0" collapsed="false">
      <c r="DB996" s="0" t="str">
        <f aca="false">IF($A996="","",IF($A996&lt;&gt;21,"対象外",IF($AE996&amp;""="00000000","在職",IF($AE996&amp;""=設定!$C$4,"4/1喪失","その他喪失"))))</f>
        <v/>
      </c>
    </row>
    <row r="997" customFormat="false" ht="15" hidden="false" customHeight="false" outlineLevel="0" collapsed="false">
      <c r="DB997" s="0" t="str">
        <f aca="false">IF($A997="","",IF($A997&lt;&gt;21,"対象外",IF($AE997&amp;""="00000000","在職",IF($AE997&amp;""=設定!$C$4,"4/1喪失","その他喪失"))))</f>
        <v/>
      </c>
    </row>
    <row r="998" customFormat="false" ht="15" hidden="false" customHeight="false" outlineLevel="0" collapsed="false">
      <c r="DB998" s="0" t="str">
        <f aca="false">IF($A998="","",IF($A998&lt;&gt;21,"対象外",IF($AE998&amp;""="00000000","在職",IF($AE998&amp;""=設定!$C$4,"4/1喪失","その他喪失"))))</f>
        <v/>
      </c>
    </row>
    <row r="999" customFormat="false" ht="15" hidden="false" customHeight="false" outlineLevel="0" collapsed="false">
      <c r="DB999" s="0" t="str">
        <f aca="false">IF($A999="","",IF($A999&lt;&gt;21,"対象外",IF($AE999&amp;""="00000000","在職",IF($AE999&amp;""=設定!$C$4,"4/1喪失","その他喪失"))))</f>
        <v/>
      </c>
    </row>
    <row r="1000" customFormat="false" ht="15" hidden="false" customHeight="false" outlineLevel="0" collapsed="false">
      <c r="DB1000" s="0" t="str">
        <f aca="false">IF($A1000="","",IF($A1000&lt;&gt;21,"対象外",IF($AE1000&amp;""="00000000","在職",IF($AE1000&amp;""=設定!$C$4,"4/1喪失","その他喪失"))))</f>
        <v/>
      </c>
    </row>
    <row r="1001" customFormat="false" ht="15" hidden="false" customHeight="false" outlineLevel="0" collapsed="false">
      <c r="DB1001" s="0" t="str">
        <f aca="false">IF($A1001="","",IF($A1001&lt;&gt;21,"対象外",IF($AE1001&amp;""="00000000","在職",IF($AE1001&amp;""=設定!$C$4,"4/1喪失","その他喪失"))))</f>
        <v/>
      </c>
    </row>
    <row r="1002" customFormat="false" ht="15" hidden="false" customHeight="false" outlineLevel="0" collapsed="false">
      <c r="DB1002" s="0" t="str">
        <f aca="false">IF($A1002="","",IF($A1002&lt;&gt;21,"対象外",IF($AE1002&amp;""="00000000","在職",IF($AE1002&amp;""=設定!$C$4,"4/1喪失","その他喪失"))))</f>
        <v/>
      </c>
    </row>
    <row r="1003" customFormat="false" ht="15" hidden="false" customHeight="false" outlineLevel="0" collapsed="false">
      <c r="DB1003" s="0" t="str">
        <f aca="false">IF($A1003="","",IF($A1003&lt;&gt;21,"対象外",IF($AE1003&amp;""="00000000","在職",IF($AE1003&amp;""=設定!$C$4,"4/1喪失","その他喪失"))))</f>
        <v/>
      </c>
    </row>
    <row r="1004" customFormat="false" ht="15" hidden="false" customHeight="false" outlineLevel="0" collapsed="false">
      <c r="DB1004" s="0" t="str">
        <f aca="false">IF($A1004="","",IF($A1004&lt;&gt;21,"対象外",IF($AE1004&amp;""="00000000","在職",IF($AE1004&amp;""=設定!$C$4,"4/1喪失","その他喪失"))))</f>
        <v/>
      </c>
    </row>
    <row r="1005" customFormat="false" ht="15" hidden="false" customHeight="false" outlineLevel="0" collapsed="false">
      <c r="DB1005" s="0" t="str">
        <f aca="false">IF($A1005="","",IF($A1005&lt;&gt;21,"対象外",IF($AE1005&amp;""="00000000","在職",IF($AE1005&amp;""=設定!$C$4,"4/1喪失","その他喪失"))))</f>
        <v/>
      </c>
    </row>
    <row r="1006" customFormat="false" ht="15" hidden="false" customHeight="false" outlineLevel="0" collapsed="false">
      <c r="DB1006" s="0" t="str">
        <f aca="false">IF($A1006="","",IF($A1006&lt;&gt;21,"対象外",IF($AE1006&amp;""="00000000","在職",IF($AE1006&amp;""=設定!$C$4,"4/1喪失","その他喪失"))))</f>
        <v/>
      </c>
    </row>
    <row r="1007" customFormat="false" ht="15" hidden="false" customHeight="false" outlineLevel="0" collapsed="false">
      <c r="DB1007" s="0" t="str">
        <f aca="false">IF($A1007="","",IF($A1007&lt;&gt;21,"対象外",IF($AE1007&amp;""="00000000","在職",IF($AE1007&amp;""=設定!$C$4,"4/1喪失","その他喪失"))))</f>
        <v/>
      </c>
    </row>
    <row r="1008" customFormat="false" ht="15" hidden="false" customHeight="false" outlineLevel="0" collapsed="false">
      <c r="DB1008" s="0" t="str">
        <f aca="false">IF($A1008="","",IF($A1008&lt;&gt;21,"対象外",IF($AE1008&amp;""="00000000","在職",IF($AE1008&amp;""=設定!$C$4,"4/1喪失","その他喪失"))))</f>
        <v/>
      </c>
    </row>
    <row r="1009" customFormat="false" ht="15" hidden="false" customHeight="false" outlineLevel="0" collapsed="false">
      <c r="DB1009" s="0" t="str">
        <f aca="false">IF($A1009="","",IF($A1009&lt;&gt;21,"対象外",IF($AE1009&amp;""="00000000","在職",IF($AE1009&amp;""=設定!$C$4,"4/1喪失","その他喪失"))))</f>
        <v/>
      </c>
    </row>
    <row r="1010" customFormat="false" ht="15" hidden="false" customHeight="false" outlineLevel="0" collapsed="false">
      <c r="DB1010" s="0" t="str">
        <f aca="false">IF($A1010="","",IF($A1010&lt;&gt;21,"対象外",IF($AE1010&amp;""="00000000","在職",IF($AE1010&amp;""=設定!$C$4,"4/1喪失","その他喪失"))))</f>
        <v/>
      </c>
    </row>
    <row r="1011" customFormat="false" ht="15" hidden="false" customHeight="false" outlineLevel="0" collapsed="false">
      <c r="DB1011" s="0" t="str">
        <f aca="false">IF($A1011="","",IF($A1011&lt;&gt;21,"対象外",IF($AE1011&amp;""="00000000","在職",IF($AE1011&amp;""=設定!$C$4,"4/1喪失","その他喪失"))))</f>
        <v/>
      </c>
    </row>
    <row r="1012" customFormat="false" ht="15" hidden="false" customHeight="false" outlineLevel="0" collapsed="false">
      <c r="DB1012" s="0" t="str">
        <f aca="false">IF($A1012="","",IF($A1012&lt;&gt;21,"対象外",IF($AE1012&amp;""="00000000","在職",IF($AE1012&amp;""=設定!$C$4,"4/1喪失","その他喪失"))))</f>
        <v/>
      </c>
    </row>
    <row r="1013" customFormat="false" ht="15" hidden="false" customHeight="false" outlineLevel="0" collapsed="false">
      <c r="DB1013" s="0" t="str">
        <f aca="false">IF($A1013="","",IF($A1013&lt;&gt;21,"対象外",IF($AE1013&amp;""="00000000","在職",IF($AE1013&amp;""=設定!$C$4,"4/1喪失","その他喪失"))))</f>
        <v/>
      </c>
    </row>
    <row r="1014" customFormat="false" ht="15" hidden="false" customHeight="false" outlineLevel="0" collapsed="false">
      <c r="DB1014" s="0" t="str">
        <f aca="false">IF($A1014="","",IF($A1014&lt;&gt;21,"対象外",IF($AE1014&amp;""="00000000","在職",IF($AE1014&amp;""=設定!$C$4,"4/1喪失","その他喪失"))))</f>
        <v/>
      </c>
    </row>
    <row r="1015" customFormat="false" ht="15" hidden="false" customHeight="false" outlineLevel="0" collapsed="false">
      <c r="DB1015" s="0" t="str">
        <f aca="false">IF($A1015="","",IF($A1015&lt;&gt;21,"対象外",IF($AE1015&amp;""="00000000","在職",IF($AE1015&amp;""=設定!$C$4,"4/1喪失","その他喪失"))))</f>
        <v/>
      </c>
    </row>
    <row r="1016" customFormat="false" ht="15" hidden="false" customHeight="false" outlineLevel="0" collapsed="false">
      <c r="DB1016" s="0" t="str">
        <f aca="false">IF($A1016="","",IF($A1016&lt;&gt;21,"対象外",IF($AE1016&amp;""="00000000","在職",IF($AE1016&amp;""=設定!$C$4,"4/1喪失","その他喪失"))))</f>
        <v/>
      </c>
    </row>
    <row r="1017" customFormat="false" ht="15" hidden="false" customHeight="false" outlineLevel="0" collapsed="false">
      <c r="DB1017" s="0" t="str">
        <f aca="false">IF($A1017="","",IF($A1017&lt;&gt;21,"対象外",IF($AE1017&amp;""="00000000","在職",IF($AE1017&amp;""=設定!$C$4,"4/1喪失","その他喪失"))))</f>
        <v/>
      </c>
    </row>
    <row r="1018" customFormat="false" ht="15" hidden="false" customHeight="false" outlineLevel="0" collapsed="false">
      <c r="DB1018" s="0" t="str">
        <f aca="false">IF($A1018="","",IF($A1018&lt;&gt;21,"対象外",IF($AE1018&amp;""="00000000","在職",IF($AE1018&amp;""=設定!$C$4,"4/1喪失","その他喪失"))))</f>
        <v/>
      </c>
    </row>
    <row r="1019" customFormat="false" ht="15" hidden="false" customHeight="false" outlineLevel="0" collapsed="false">
      <c r="DB1019" s="0" t="str">
        <f aca="false">IF($A1019="","",IF($A1019&lt;&gt;21,"対象外",IF($AE1019&amp;""="00000000","在職",IF($AE1019&amp;""=設定!$C$4,"4/1喪失","その他喪失"))))</f>
        <v/>
      </c>
    </row>
    <row r="1020" customFormat="false" ht="15" hidden="false" customHeight="false" outlineLevel="0" collapsed="false">
      <c r="DB1020" s="0" t="str">
        <f aca="false">IF($A1020="","",IF($A1020&lt;&gt;21,"対象外",IF($AE1020&amp;""="00000000","在職",IF($AE1020&amp;""=設定!$C$4,"4/1喪失","その他喪失"))))</f>
        <v/>
      </c>
    </row>
    <row r="1021" customFormat="false" ht="15" hidden="false" customHeight="false" outlineLevel="0" collapsed="false">
      <c r="DB1021" s="0" t="str">
        <f aca="false">IF($A1021="","",IF($A1021&lt;&gt;21,"対象外",IF($AE1021&amp;""="00000000","在職",IF($AE1021&amp;""=設定!$C$4,"4/1喪失","その他喪失"))))</f>
        <v/>
      </c>
    </row>
    <row r="1022" customFormat="false" ht="15" hidden="false" customHeight="false" outlineLevel="0" collapsed="false">
      <c r="DB1022" s="0" t="str">
        <f aca="false">IF($A1022="","",IF($A1022&lt;&gt;21,"対象外",IF($AE1022&amp;""="00000000","在職",IF($AE1022&amp;""=設定!$C$4,"4/1喪失","その他喪失"))))</f>
        <v/>
      </c>
    </row>
    <row r="1023" customFormat="false" ht="15" hidden="false" customHeight="false" outlineLevel="0" collapsed="false">
      <c r="DB1023" s="0" t="str">
        <f aca="false">IF($A1023="","",IF($A1023&lt;&gt;21,"対象外",IF($AE1023&amp;""="00000000","在職",IF($AE1023&amp;""=設定!$C$4,"4/1喪失","その他喪失"))))</f>
        <v/>
      </c>
    </row>
    <row r="1024" customFormat="false" ht="15" hidden="false" customHeight="false" outlineLevel="0" collapsed="false">
      <c r="DB1024" s="0" t="str">
        <f aca="false">IF($A1024="","",IF($A1024&lt;&gt;21,"対象外",IF($AE1024&amp;""="00000000","在職",IF($AE1024&amp;""=設定!$C$4,"4/1喪失","その他喪失"))))</f>
        <v/>
      </c>
    </row>
    <row r="1025" customFormat="false" ht="15" hidden="false" customHeight="false" outlineLevel="0" collapsed="false">
      <c r="DB1025" s="0" t="str">
        <f aca="false">IF($A1025="","",IF($A1025&lt;&gt;21,"対象外",IF($AE1025&amp;""="00000000","在職",IF($AE1025&amp;""=設定!$C$4,"4/1喪失","その他喪失"))))</f>
        <v/>
      </c>
    </row>
    <row r="1026" customFormat="false" ht="15" hidden="false" customHeight="false" outlineLevel="0" collapsed="false">
      <c r="DB1026" s="0" t="str">
        <f aca="false">IF($A1026="","",IF($A1026&lt;&gt;21,"対象外",IF($AE1026&amp;""="00000000","在職",IF($AE1026&amp;""=設定!$C$4,"4/1喪失","その他喪失"))))</f>
        <v/>
      </c>
    </row>
    <row r="1027" customFormat="false" ht="15" hidden="false" customHeight="false" outlineLevel="0" collapsed="false">
      <c r="DB1027" s="0" t="str">
        <f aca="false">IF($A1027="","",IF($A1027&lt;&gt;21,"対象外",IF($AE1027&amp;""="00000000","在職",IF($AE1027&amp;""=設定!$C$4,"4/1喪失","その他喪失"))))</f>
        <v/>
      </c>
    </row>
    <row r="1028" customFormat="false" ht="15" hidden="false" customHeight="false" outlineLevel="0" collapsed="false">
      <c r="DB1028" s="0" t="str">
        <f aca="false">IF($A1028="","",IF($A1028&lt;&gt;21,"対象外",IF($AE1028&amp;""="00000000","在職",IF($AE1028&amp;""=設定!$C$4,"4/1喪失","その他喪失"))))</f>
        <v/>
      </c>
    </row>
    <row r="1029" customFormat="false" ht="15" hidden="false" customHeight="false" outlineLevel="0" collapsed="false">
      <c r="DB1029" s="0" t="str">
        <f aca="false">IF($A1029="","",IF($A1029&lt;&gt;21,"対象外",IF($AE1029&amp;""="00000000","在職",IF($AE1029&amp;""=設定!$C$4,"4/1喪失","その他喪失"))))</f>
        <v/>
      </c>
    </row>
    <row r="1030" customFormat="false" ht="15" hidden="false" customHeight="false" outlineLevel="0" collapsed="false">
      <c r="DB1030" s="0" t="str">
        <f aca="false">IF($A1030="","",IF($A1030&lt;&gt;21,"対象外",IF($AE1030&amp;""="00000000","在職",IF($AE1030&amp;""=設定!$C$4,"4/1喪失","その他喪失"))))</f>
        <v/>
      </c>
    </row>
    <row r="1031" customFormat="false" ht="15" hidden="false" customHeight="false" outlineLevel="0" collapsed="false">
      <c r="DB1031" s="0" t="str">
        <f aca="false">IF($A1031="","",IF($A1031&lt;&gt;21,"対象外",IF($AE1031&amp;""="00000000","在職",IF($AE1031&amp;""=設定!$C$4,"4/1喪失","その他喪失"))))</f>
        <v/>
      </c>
    </row>
    <row r="1032" customFormat="false" ht="15" hidden="false" customHeight="false" outlineLevel="0" collapsed="false">
      <c r="DB1032" s="0" t="str">
        <f aca="false">IF($A1032="","",IF($A1032&lt;&gt;21,"対象外",IF($AE1032&amp;""="00000000","在職",IF($AE1032&amp;""=設定!$C$4,"4/1喪失","その他喪失"))))</f>
        <v/>
      </c>
    </row>
    <row r="1033" customFormat="false" ht="15" hidden="false" customHeight="false" outlineLevel="0" collapsed="false">
      <c r="DB1033" s="0" t="str">
        <f aca="false">IF($A1033="","",IF($A1033&lt;&gt;21,"対象外",IF($AE1033&amp;""="00000000","在職",IF($AE1033&amp;""=設定!$C$4,"4/1喪失","その他喪失"))))</f>
        <v/>
      </c>
    </row>
    <row r="1034" customFormat="false" ht="15" hidden="false" customHeight="false" outlineLevel="0" collapsed="false">
      <c r="DB1034" s="0" t="str">
        <f aca="false">IF($A1034="","",IF($A1034&lt;&gt;21,"対象外",IF($AE1034&amp;""="00000000","在職",IF($AE1034&amp;""=設定!$C$4,"4/1喪失","その他喪失"))))</f>
        <v/>
      </c>
    </row>
    <row r="1035" customFormat="false" ht="15" hidden="false" customHeight="false" outlineLevel="0" collapsed="false">
      <c r="DB1035" s="0" t="str">
        <f aca="false">IF($A1035="","",IF($A1035&lt;&gt;21,"対象外",IF($AE1035&amp;""="00000000","在職",IF($AE1035&amp;""=設定!$C$4,"4/1喪失","その他喪失"))))</f>
        <v/>
      </c>
    </row>
    <row r="1036" customFormat="false" ht="15" hidden="false" customHeight="false" outlineLevel="0" collapsed="false">
      <c r="DB1036" s="0" t="str">
        <f aca="false">IF($A1036="","",IF($A1036&lt;&gt;21,"対象外",IF($AE1036&amp;""="00000000","在職",IF($AE1036&amp;""=設定!$C$4,"4/1喪失","その他喪失"))))</f>
        <v/>
      </c>
    </row>
    <row r="1037" customFormat="false" ht="15" hidden="false" customHeight="false" outlineLevel="0" collapsed="false">
      <c r="DB1037" s="0" t="str">
        <f aca="false">IF($A1037="","",IF($A1037&lt;&gt;21,"対象外",IF($AE1037&amp;""="00000000","在職",IF($AE1037&amp;""=設定!$C$4,"4/1喪失","その他喪失"))))</f>
        <v/>
      </c>
    </row>
    <row r="1038" customFormat="false" ht="15" hidden="false" customHeight="false" outlineLevel="0" collapsed="false">
      <c r="DB1038" s="0" t="str">
        <f aca="false">IF($A1038="","",IF($A1038&lt;&gt;21,"対象外",IF($AE1038&amp;""="00000000","在職",IF($AE1038&amp;""=設定!$C$4,"4/1喪失","その他喪失"))))</f>
        <v/>
      </c>
    </row>
    <row r="1039" customFormat="false" ht="15" hidden="false" customHeight="false" outlineLevel="0" collapsed="false">
      <c r="DB1039" s="0" t="str">
        <f aca="false">IF($A1039="","",IF($A1039&lt;&gt;21,"対象外",IF($AE1039&amp;""="00000000","在職",IF($AE1039&amp;""=設定!$C$4,"4/1喪失","その他喪失"))))</f>
        <v/>
      </c>
    </row>
    <row r="1040" customFormat="false" ht="15" hidden="false" customHeight="false" outlineLevel="0" collapsed="false">
      <c r="DB1040" s="0" t="str">
        <f aca="false">IF($A1040="","",IF($A1040&lt;&gt;21,"対象外",IF($AE1040&amp;""="00000000","在職",IF($AE1040&amp;""=設定!$C$4,"4/1喪失","その他喪失"))))</f>
        <v/>
      </c>
    </row>
    <row r="1041" customFormat="false" ht="15" hidden="false" customHeight="false" outlineLevel="0" collapsed="false">
      <c r="DB1041" s="0" t="str">
        <f aca="false">IF($A1041="","",IF($A1041&lt;&gt;21,"対象外",IF($AE1041&amp;""="00000000","在職",IF($AE1041&amp;""=設定!$C$4,"4/1喪失","その他喪失"))))</f>
        <v/>
      </c>
    </row>
    <row r="1042" customFormat="false" ht="15" hidden="false" customHeight="false" outlineLevel="0" collapsed="false">
      <c r="DB1042" s="0" t="str">
        <f aca="false">IF($A1042="","",IF($A1042&lt;&gt;21,"対象外",IF($AE1042&amp;""="00000000","在職",IF($AE1042&amp;""=設定!$C$4,"4/1喪失","その他喪失"))))</f>
        <v/>
      </c>
    </row>
    <row r="1043" customFormat="false" ht="15" hidden="false" customHeight="false" outlineLevel="0" collapsed="false">
      <c r="DB1043" s="0" t="str">
        <f aca="false">IF($A1043="","",IF($A1043&lt;&gt;21,"対象外",IF($AE1043&amp;""="00000000","在職",IF($AE1043&amp;""=設定!$C$4,"4/1喪失","その他喪失"))))</f>
        <v/>
      </c>
    </row>
    <row r="1044" customFormat="false" ht="15" hidden="false" customHeight="false" outlineLevel="0" collapsed="false">
      <c r="DB1044" s="0" t="str">
        <f aca="false">IF($A1044="","",IF($A1044&lt;&gt;21,"対象外",IF($AE1044&amp;""="00000000","在職",IF($AE1044&amp;""=設定!$C$4,"4/1喪失","その他喪失"))))</f>
        <v/>
      </c>
    </row>
    <row r="1045" customFormat="false" ht="15" hidden="false" customHeight="false" outlineLevel="0" collapsed="false">
      <c r="DB1045" s="0" t="str">
        <f aca="false">IF($A1045="","",IF($A1045&lt;&gt;21,"対象外",IF($AE1045&amp;""="00000000","在職",IF($AE1045&amp;""=設定!$C$4,"4/1喪失","その他喪失"))))</f>
        <v/>
      </c>
    </row>
    <row r="1046" customFormat="false" ht="15" hidden="false" customHeight="false" outlineLevel="0" collapsed="false">
      <c r="DB1046" s="0" t="str">
        <f aca="false">IF($A1046="","",IF($A1046&lt;&gt;21,"対象外",IF($AE1046&amp;""="00000000","在職",IF($AE1046&amp;""=設定!$C$4,"4/1喪失","その他喪失"))))</f>
        <v/>
      </c>
    </row>
    <row r="1047" customFormat="false" ht="15" hidden="false" customHeight="false" outlineLevel="0" collapsed="false">
      <c r="DB1047" s="0" t="str">
        <f aca="false">IF($A1047="","",IF($A1047&lt;&gt;21,"対象外",IF($AE1047&amp;""="00000000","在職",IF($AE1047&amp;""=設定!$C$4,"4/1喪失","その他喪失"))))</f>
        <v/>
      </c>
    </row>
    <row r="1048" customFormat="false" ht="15" hidden="false" customHeight="false" outlineLevel="0" collapsed="false">
      <c r="DB1048" s="0" t="str">
        <f aca="false">IF($A1048="","",IF($A1048&lt;&gt;21,"対象外",IF($AE1048&amp;""="00000000","在職",IF($AE1048&amp;""=設定!$C$4,"4/1喪失","その他喪失"))))</f>
        <v/>
      </c>
    </row>
    <row r="1049" customFormat="false" ht="15" hidden="false" customHeight="false" outlineLevel="0" collapsed="false">
      <c r="DB1049" s="0" t="str">
        <f aca="false">IF($A1049="","",IF($A1049&lt;&gt;21,"対象外",IF($AE1049&amp;""="00000000","在職",IF($AE1049&amp;""=設定!$C$4,"4/1喪失","その他喪失"))))</f>
        <v/>
      </c>
    </row>
    <row r="1050" customFormat="false" ht="15" hidden="false" customHeight="false" outlineLevel="0" collapsed="false">
      <c r="DB1050" s="0" t="str">
        <f aca="false">IF($A1050="","",IF($A1050&lt;&gt;21,"対象外",IF($AE1050&amp;""="00000000","在職",IF($AE1050&amp;""=設定!$C$4,"4/1喪失","その他喪失"))))</f>
        <v/>
      </c>
    </row>
    <row r="1051" customFormat="false" ht="15" hidden="false" customHeight="false" outlineLevel="0" collapsed="false">
      <c r="DB1051" s="0" t="str">
        <f aca="false">IF($A1051="","",IF($A1051&lt;&gt;21,"対象外",IF($AE1051&amp;""="00000000","在職",IF($AE1051&amp;""=設定!$C$4,"4/1喪失","その他喪失"))))</f>
        <v/>
      </c>
    </row>
    <row r="1052" customFormat="false" ht="15" hidden="false" customHeight="false" outlineLevel="0" collapsed="false">
      <c r="DB1052" s="0" t="str">
        <f aca="false">IF($A1052="","",IF($A1052&lt;&gt;21,"対象外",IF($AE1052&amp;""="00000000","在職",IF($AE1052&amp;""=設定!$C$4,"4/1喪失","その他喪失"))))</f>
        <v/>
      </c>
    </row>
    <row r="1053" customFormat="false" ht="15" hidden="false" customHeight="false" outlineLevel="0" collapsed="false">
      <c r="DB1053" s="0" t="str">
        <f aca="false">IF($A1053="","",IF($A1053&lt;&gt;21,"対象外",IF($AE1053&amp;""="00000000","在職",IF($AE1053&amp;""=設定!$C$4,"4/1喪失","その他喪失"))))</f>
        <v/>
      </c>
    </row>
    <row r="1054" customFormat="false" ht="15" hidden="false" customHeight="false" outlineLevel="0" collapsed="false">
      <c r="DB1054" s="0" t="str">
        <f aca="false">IF($A1054="","",IF($A1054&lt;&gt;21,"対象外",IF($AE1054&amp;""="00000000","在職",IF($AE1054&amp;""=設定!$C$4,"4/1喪失","その他喪失"))))</f>
        <v/>
      </c>
    </row>
    <row r="1055" customFormat="false" ht="15" hidden="false" customHeight="false" outlineLevel="0" collapsed="false">
      <c r="DB1055" s="0" t="str">
        <f aca="false">IF($A1055="","",IF($A1055&lt;&gt;21,"対象外",IF($AE1055&amp;""="00000000","在職",IF($AE1055&amp;""=設定!$C$4,"4/1喪失","その他喪失"))))</f>
        <v/>
      </c>
    </row>
    <row r="1056" customFormat="false" ht="15" hidden="false" customHeight="false" outlineLevel="0" collapsed="false">
      <c r="DB1056" s="0" t="str">
        <f aca="false">IF($A1056="","",IF($A1056&lt;&gt;21,"対象外",IF($AE1056&amp;""="00000000","在職",IF($AE1056&amp;""=設定!$C$4,"4/1喪失","その他喪失"))))</f>
        <v/>
      </c>
    </row>
    <row r="1057" customFormat="false" ht="15" hidden="false" customHeight="false" outlineLevel="0" collapsed="false">
      <c r="DB1057" s="0" t="str">
        <f aca="false">IF($A1057="","",IF($A1057&lt;&gt;21,"対象外",IF($AE1057&amp;""="00000000","在職",IF($AE1057&amp;""=設定!$C$4,"4/1喪失","その他喪失"))))</f>
        <v/>
      </c>
    </row>
    <row r="1058" customFormat="false" ht="15" hidden="false" customHeight="false" outlineLevel="0" collapsed="false">
      <c r="DB1058" s="0" t="str">
        <f aca="false">IF($A1058="","",IF($A1058&lt;&gt;21,"対象外",IF($AE1058&amp;""="00000000","在職",IF($AE1058&amp;""=設定!$C$4,"4/1喪失","その他喪失"))))</f>
        <v/>
      </c>
    </row>
    <row r="1059" customFormat="false" ht="15" hidden="false" customHeight="false" outlineLevel="0" collapsed="false">
      <c r="DB1059" s="0" t="str">
        <f aca="false">IF($A1059="","",IF($A1059&lt;&gt;21,"対象外",IF($AE1059&amp;""="00000000","在職",IF($AE1059&amp;""=設定!$C$4,"4/1喪失","その他喪失"))))</f>
        <v/>
      </c>
    </row>
    <row r="1060" customFormat="false" ht="15" hidden="false" customHeight="false" outlineLevel="0" collapsed="false">
      <c r="DB1060" s="0" t="str">
        <f aca="false">IF($A1060="","",IF($A1060&lt;&gt;21,"対象外",IF($AE1060&amp;""="00000000","在職",IF($AE1060&amp;""=設定!$C$4,"4/1喪失","その他喪失"))))</f>
        <v/>
      </c>
    </row>
    <row r="1061" customFormat="false" ht="15" hidden="false" customHeight="false" outlineLevel="0" collapsed="false">
      <c r="DB1061" s="0" t="str">
        <f aca="false">IF($A1061="","",IF($A1061&lt;&gt;21,"対象外",IF($AE1061&amp;""="00000000","在職",IF($AE1061&amp;""=設定!$C$4,"4/1喪失","その他喪失"))))</f>
        <v/>
      </c>
    </row>
    <row r="1062" customFormat="false" ht="15" hidden="false" customHeight="false" outlineLevel="0" collapsed="false">
      <c r="DB1062" s="0" t="str">
        <f aca="false">IF($A1062="","",IF($A1062&lt;&gt;21,"対象外",IF($AE1062&amp;""="00000000","在職",IF($AE1062&amp;""=設定!$C$4,"4/1喪失","その他喪失"))))</f>
        <v/>
      </c>
    </row>
    <row r="1063" customFormat="false" ht="15" hidden="false" customHeight="false" outlineLevel="0" collapsed="false">
      <c r="DB1063" s="0" t="str">
        <f aca="false">IF($A1063="","",IF($A1063&lt;&gt;21,"対象外",IF($AE1063&amp;""="00000000","在職",IF($AE1063&amp;""=設定!$C$4,"4/1喪失","その他喪失"))))</f>
        <v/>
      </c>
    </row>
    <row r="1064" customFormat="false" ht="15" hidden="false" customHeight="false" outlineLevel="0" collapsed="false">
      <c r="DB1064" s="0" t="str">
        <f aca="false">IF($A1064="","",IF($A1064&lt;&gt;21,"対象外",IF($AE1064&amp;""="00000000","在職",IF($AE1064&amp;""=設定!$C$4,"4/1喪失","その他喪失"))))</f>
        <v/>
      </c>
    </row>
    <row r="1065" customFormat="false" ht="15" hidden="false" customHeight="false" outlineLevel="0" collapsed="false">
      <c r="DB1065" s="0" t="str">
        <f aca="false">IF($A1065="","",IF($A1065&lt;&gt;21,"対象外",IF($AE1065&amp;""="00000000","在職",IF($AE1065&amp;""=設定!$C$4,"4/1喪失","その他喪失"))))</f>
        <v/>
      </c>
    </row>
    <row r="1066" customFormat="false" ht="15" hidden="false" customHeight="false" outlineLevel="0" collapsed="false">
      <c r="DB1066" s="0" t="str">
        <f aca="false">IF($A1066="","",IF($A1066&lt;&gt;21,"対象外",IF($AE1066&amp;""="00000000","在職",IF($AE1066&amp;""=設定!$C$4,"4/1喪失","その他喪失"))))</f>
        <v/>
      </c>
    </row>
    <row r="1067" customFormat="false" ht="15" hidden="false" customHeight="false" outlineLevel="0" collapsed="false">
      <c r="DB1067" s="0" t="str">
        <f aca="false">IF($A1067="","",IF($A1067&lt;&gt;21,"対象外",IF($AE1067&amp;""="00000000","在職",IF($AE1067&amp;""=設定!$C$4,"4/1喪失","その他喪失"))))</f>
        <v/>
      </c>
    </row>
    <row r="1068" customFormat="false" ht="15" hidden="false" customHeight="false" outlineLevel="0" collapsed="false">
      <c r="DB1068" s="0" t="str">
        <f aca="false">IF($A1068="","",IF($A1068&lt;&gt;21,"対象外",IF($AE1068&amp;""="00000000","在職",IF($AE1068&amp;""=設定!$C$4,"4/1喪失","その他喪失"))))</f>
        <v/>
      </c>
    </row>
    <row r="1069" customFormat="false" ht="15" hidden="false" customHeight="false" outlineLevel="0" collapsed="false">
      <c r="DB1069" s="0" t="str">
        <f aca="false">IF($A1069="","",IF($A1069&lt;&gt;21,"対象外",IF($AE1069&amp;""="00000000","在職",IF($AE1069&amp;""=設定!$C$4,"4/1喪失","その他喪失"))))</f>
        <v/>
      </c>
    </row>
    <row r="1070" customFormat="false" ht="15" hidden="false" customHeight="false" outlineLevel="0" collapsed="false">
      <c r="DB1070" s="0" t="str">
        <f aca="false">IF($A1070="","",IF($A1070&lt;&gt;21,"対象外",IF($AE1070&amp;""="00000000","在職",IF($AE1070&amp;""=設定!$C$4,"4/1喪失","その他喪失"))))</f>
        <v/>
      </c>
    </row>
    <row r="1071" customFormat="false" ht="15" hidden="false" customHeight="false" outlineLevel="0" collapsed="false">
      <c r="DB1071" s="0" t="str">
        <f aca="false">IF($A1071="","",IF($A1071&lt;&gt;21,"対象外",IF($AE1071&amp;""="00000000","在職",IF($AE1071&amp;""=設定!$C$4,"4/1喪失","その他喪失"))))</f>
        <v/>
      </c>
    </row>
    <row r="1072" customFormat="false" ht="15" hidden="false" customHeight="false" outlineLevel="0" collapsed="false">
      <c r="DB1072" s="0" t="str">
        <f aca="false">IF($A1072="","",IF($A1072&lt;&gt;21,"対象外",IF($AE1072&amp;""="00000000","在職",IF($AE1072&amp;""=設定!$C$4,"4/1喪失","その他喪失"))))</f>
        <v/>
      </c>
    </row>
    <row r="1073" customFormat="false" ht="15" hidden="false" customHeight="false" outlineLevel="0" collapsed="false">
      <c r="DB1073" s="0" t="str">
        <f aca="false">IF($A1073="","",IF($A1073&lt;&gt;21,"対象外",IF($AE1073&amp;""="00000000","在職",IF($AE1073&amp;""=設定!$C$4,"4/1喪失","その他喪失"))))</f>
        <v/>
      </c>
    </row>
    <row r="1074" customFormat="false" ht="15" hidden="false" customHeight="false" outlineLevel="0" collapsed="false">
      <c r="DB1074" s="0" t="str">
        <f aca="false">IF($A1074="","",IF($A1074&lt;&gt;21,"対象外",IF($AE1074&amp;""="00000000","在職",IF($AE1074&amp;""=設定!$C$4,"4/1喪失","その他喪失"))))</f>
        <v/>
      </c>
    </row>
    <row r="1075" customFormat="false" ht="15" hidden="false" customHeight="false" outlineLevel="0" collapsed="false">
      <c r="DB1075" s="0" t="str">
        <f aca="false">IF($A1075="","",IF($A1075&lt;&gt;21,"対象外",IF($AE1075&amp;""="00000000","在職",IF($AE1075&amp;""=設定!$C$4,"4/1喪失","その他喪失"))))</f>
        <v/>
      </c>
    </row>
    <row r="1076" customFormat="false" ht="15" hidden="false" customHeight="false" outlineLevel="0" collapsed="false">
      <c r="DB1076" s="0" t="str">
        <f aca="false">IF($A1076="","",IF($A1076&lt;&gt;21,"対象外",IF($AE1076&amp;""="00000000","在職",IF($AE1076&amp;""=設定!$C$4,"4/1喪失","その他喪失"))))</f>
        <v/>
      </c>
    </row>
    <row r="1077" customFormat="false" ht="15" hidden="false" customHeight="false" outlineLevel="0" collapsed="false">
      <c r="DB1077" s="0" t="str">
        <f aca="false">IF($A1077="","",IF($A1077&lt;&gt;21,"対象外",IF($AE1077&amp;""="00000000","在職",IF($AE1077&amp;""=設定!$C$4,"4/1喪失","その他喪失"))))</f>
        <v/>
      </c>
    </row>
    <row r="1078" customFormat="false" ht="15" hidden="false" customHeight="false" outlineLevel="0" collapsed="false">
      <c r="DB1078" s="0" t="str">
        <f aca="false">IF($A1078="","",IF($A1078&lt;&gt;21,"対象外",IF($AE1078&amp;""="00000000","在職",IF($AE1078&amp;""=設定!$C$4,"4/1喪失","その他喪失"))))</f>
        <v/>
      </c>
    </row>
    <row r="1079" customFormat="false" ht="15" hidden="false" customHeight="false" outlineLevel="0" collapsed="false">
      <c r="DB1079" s="0" t="str">
        <f aca="false">IF($A1079="","",IF($A1079&lt;&gt;21,"対象外",IF($AE1079&amp;""="00000000","在職",IF($AE1079&amp;""=設定!$C$4,"4/1喪失","その他喪失"))))</f>
        <v/>
      </c>
    </row>
    <row r="1080" customFormat="false" ht="15" hidden="false" customHeight="false" outlineLevel="0" collapsed="false">
      <c r="DB1080" s="0" t="str">
        <f aca="false">IF($A1080="","",IF($A1080&lt;&gt;21,"対象外",IF($AE1080&amp;""="00000000","在職",IF($AE1080&amp;""=設定!$C$4,"4/1喪失","その他喪失"))))</f>
        <v/>
      </c>
    </row>
    <row r="1081" customFormat="false" ht="15" hidden="false" customHeight="false" outlineLevel="0" collapsed="false">
      <c r="DB1081" s="0" t="str">
        <f aca="false">IF($A1081="","",IF($A1081&lt;&gt;21,"対象外",IF($AE1081&amp;""="00000000","在職",IF($AE1081&amp;""=設定!$C$4,"4/1喪失","その他喪失"))))</f>
        <v/>
      </c>
    </row>
    <row r="1082" customFormat="false" ht="15" hidden="false" customHeight="false" outlineLevel="0" collapsed="false">
      <c r="DB1082" s="0" t="str">
        <f aca="false">IF($A1082="","",IF($A1082&lt;&gt;21,"対象外",IF($AE1082&amp;""="00000000","在職",IF($AE1082&amp;""=設定!$C$4,"4/1喪失","その他喪失"))))</f>
        <v/>
      </c>
    </row>
    <row r="1083" customFormat="false" ht="15" hidden="false" customHeight="false" outlineLevel="0" collapsed="false">
      <c r="DB1083" s="0" t="str">
        <f aca="false">IF($A1083="","",IF($A1083&lt;&gt;21,"対象外",IF($AE1083&amp;""="00000000","在職",IF($AE1083&amp;""=設定!$C$4,"4/1喪失","その他喪失"))))</f>
        <v/>
      </c>
    </row>
    <row r="1084" customFormat="false" ht="15" hidden="false" customHeight="false" outlineLevel="0" collapsed="false">
      <c r="DB1084" s="0" t="str">
        <f aca="false">IF($A1084="","",IF($A1084&lt;&gt;21,"対象外",IF($AE1084&amp;""="00000000","在職",IF($AE1084&amp;""=設定!$C$4,"4/1喪失","その他喪失"))))</f>
        <v/>
      </c>
    </row>
    <row r="1085" customFormat="false" ht="15" hidden="false" customHeight="false" outlineLevel="0" collapsed="false">
      <c r="DB1085" s="0" t="str">
        <f aca="false">IF($A1085="","",IF($A1085&lt;&gt;21,"対象外",IF($AE1085&amp;""="00000000","在職",IF($AE1085&amp;""=設定!$C$4,"4/1喪失","その他喪失"))))</f>
        <v/>
      </c>
    </row>
    <row r="1086" customFormat="false" ht="15" hidden="false" customHeight="false" outlineLevel="0" collapsed="false">
      <c r="DB1086" s="0" t="str">
        <f aca="false">IF($A1086="","",IF($A1086&lt;&gt;21,"対象外",IF($AE1086&amp;""="00000000","在職",IF($AE1086&amp;""=設定!$C$4,"4/1喪失","その他喪失"))))</f>
        <v/>
      </c>
    </row>
    <row r="1087" customFormat="false" ht="15" hidden="false" customHeight="false" outlineLevel="0" collapsed="false">
      <c r="DB1087" s="0" t="str">
        <f aca="false">IF($A1087="","",IF($A1087&lt;&gt;21,"対象外",IF($AE1087&amp;""="00000000","在職",IF($AE1087&amp;""=設定!$C$4,"4/1喪失","その他喪失"))))</f>
        <v/>
      </c>
    </row>
    <row r="1088" customFormat="false" ht="15" hidden="false" customHeight="false" outlineLevel="0" collapsed="false">
      <c r="DB1088" s="0" t="str">
        <f aca="false">IF($A1088="","",IF($A1088&lt;&gt;21,"対象外",IF($AE1088&amp;""="00000000","在職",IF($AE1088&amp;""=設定!$C$4,"4/1喪失","その他喪失"))))</f>
        <v/>
      </c>
    </row>
    <row r="1089" customFormat="false" ht="15" hidden="false" customHeight="false" outlineLevel="0" collapsed="false">
      <c r="DB1089" s="0" t="str">
        <f aca="false">IF($A1089="","",IF($A1089&lt;&gt;21,"対象外",IF($AE1089&amp;""="00000000","在職",IF($AE1089&amp;""=設定!$C$4,"4/1喪失","その他喪失"))))</f>
        <v/>
      </c>
    </row>
    <row r="1090" customFormat="false" ht="15" hidden="false" customHeight="false" outlineLevel="0" collapsed="false">
      <c r="DB1090" s="0" t="str">
        <f aca="false">IF($A1090="","",IF($A1090&lt;&gt;21,"対象外",IF($AE1090&amp;""="00000000","在職",IF($AE1090&amp;""=設定!$C$4,"4/1喪失","その他喪失"))))</f>
        <v/>
      </c>
    </row>
    <row r="1091" customFormat="false" ht="15" hidden="false" customHeight="false" outlineLevel="0" collapsed="false">
      <c r="DB1091" s="0" t="str">
        <f aca="false">IF($A1091="","",IF($A1091&lt;&gt;21,"対象外",IF($AE1091&amp;""="00000000","在職",IF($AE1091&amp;""=設定!$C$4,"4/1喪失","その他喪失"))))</f>
        <v/>
      </c>
    </row>
    <row r="1092" customFormat="false" ht="15" hidden="false" customHeight="false" outlineLevel="0" collapsed="false">
      <c r="DB1092" s="0" t="str">
        <f aca="false">IF($A1092="","",IF($A1092&lt;&gt;21,"対象外",IF($AE1092&amp;""="00000000","在職",IF($AE1092&amp;""=設定!$C$4,"4/1喪失","その他喪失"))))</f>
        <v/>
      </c>
    </row>
    <row r="1093" customFormat="false" ht="15" hidden="false" customHeight="false" outlineLevel="0" collapsed="false">
      <c r="DB1093" s="0" t="str">
        <f aca="false">IF($A1093="","",IF($A1093&lt;&gt;21,"対象外",IF($AE1093&amp;""="00000000","在職",IF($AE1093&amp;""=設定!$C$4,"4/1喪失","その他喪失"))))</f>
        <v/>
      </c>
    </row>
    <row r="1094" customFormat="false" ht="15" hidden="false" customHeight="false" outlineLevel="0" collapsed="false">
      <c r="DB1094" s="0" t="str">
        <f aca="false">IF($A1094="","",IF($A1094&lt;&gt;21,"対象外",IF($AE1094&amp;""="00000000","在職",IF($AE1094&amp;""=設定!$C$4,"4/1喪失","その他喪失"))))</f>
        <v/>
      </c>
    </row>
    <row r="1095" customFormat="false" ht="15" hidden="false" customHeight="false" outlineLevel="0" collapsed="false">
      <c r="DB1095" s="0" t="str">
        <f aca="false">IF($A1095="","",IF($A1095&lt;&gt;21,"対象外",IF($AE1095&amp;""="00000000","在職",IF($AE1095&amp;""=設定!$C$4,"4/1喪失","その他喪失"))))</f>
        <v/>
      </c>
    </row>
    <row r="1096" customFormat="false" ht="15" hidden="false" customHeight="false" outlineLevel="0" collapsed="false">
      <c r="DB1096" s="0" t="str">
        <f aca="false">IF($A1096="","",IF($A1096&lt;&gt;21,"対象外",IF($AE1096&amp;""="00000000","在職",IF($AE1096&amp;""=設定!$C$4,"4/1喪失","その他喪失"))))</f>
        <v/>
      </c>
    </row>
    <row r="1097" customFormat="false" ht="15" hidden="false" customHeight="false" outlineLevel="0" collapsed="false">
      <c r="DB1097" s="0" t="str">
        <f aca="false">IF($A1097="","",IF($A1097&lt;&gt;21,"対象外",IF($AE1097&amp;""="00000000","在職",IF($AE1097&amp;""=設定!$C$4,"4/1喪失","その他喪失"))))</f>
        <v/>
      </c>
    </row>
    <row r="1098" customFormat="false" ht="15" hidden="false" customHeight="false" outlineLevel="0" collapsed="false">
      <c r="DB1098" s="0" t="str">
        <f aca="false">IF($A1098="","",IF($A1098&lt;&gt;21,"対象外",IF($AE1098&amp;""="00000000","在職",IF($AE1098&amp;""=設定!$C$4,"4/1喪失","その他喪失"))))</f>
        <v/>
      </c>
    </row>
    <row r="1099" customFormat="false" ht="15" hidden="false" customHeight="false" outlineLevel="0" collapsed="false">
      <c r="DB1099" s="0" t="str">
        <f aca="false">IF($A1099="","",IF($A1099&lt;&gt;21,"対象外",IF($AE1099&amp;""="00000000","在職",IF($AE1099&amp;""=設定!$C$4,"4/1喪失","その他喪失"))))</f>
        <v/>
      </c>
    </row>
    <row r="1100" customFormat="false" ht="15" hidden="false" customHeight="false" outlineLevel="0" collapsed="false">
      <c r="DB1100" s="0" t="str">
        <f aca="false">IF($A1100="","",IF($A1100&lt;&gt;21,"対象外",IF($AE1100&amp;""="00000000","在職",IF($AE1100&amp;""=設定!$C$4,"4/1喪失","その他喪失"))))</f>
        <v/>
      </c>
    </row>
    <row r="1101" customFormat="false" ht="15" hidden="false" customHeight="false" outlineLevel="0" collapsed="false">
      <c r="DB1101" s="0" t="str">
        <f aca="false">IF($A1101="","",IF($A1101&lt;&gt;21,"対象外",IF($AE1101&amp;""="00000000","在職",IF($AE1101&amp;""=設定!$C$4,"4/1喪失","その他喪失"))))</f>
        <v/>
      </c>
    </row>
    <row r="1102" customFormat="false" ht="15" hidden="false" customHeight="false" outlineLevel="0" collapsed="false">
      <c r="DB1102" s="0" t="str">
        <f aca="false">IF($A1102="","",IF($A1102&lt;&gt;21,"対象外",IF($AE1102&amp;""="00000000","在職",IF($AE1102&amp;""=設定!$C$4,"4/1喪失","その他喪失"))))</f>
        <v/>
      </c>
    </row>
    <row r="1103" customFormat="false" ht="15" hidden="false" customHeight="false" outlineLevel="0" collapsed="false">
      <c r="DB1103" s="0" t="str">
        <f aca="false">IF($A1103="","",IF($A1103&lt;&gt;21,"対象外",IF($AE1103&amp;""="00000000","在職",IF($AE1103&amp;""=設定!$C$4,"4/1喪失","その他喪失"))))</f>
        <v/>
      </c>
    </row>
    <row r="1104" customFormat="false" ht="15" hidden="false" customHeight="false" outlineLevel="0" collapsed="false">
      <c r="DB1104" s="0" t="str">
        <f aca="false">IF($A1104="","",IF($A1104&lt;&gt;21,"対象外",IF($AE1104&amp;""="00000000","在職",IF($AE1104&amp;""=設定!$C$4,"4/1喪失","その他喪失"))))</f>
        <v/>
      </c>
    </row>
    <row r="1105" customFormat="false" ht="15" hidden="false" customHeight="false" outlineLevel="0" collapsed="false">
      <c r="DB1105" s="0" t="str">
        <f aca="false">IF($A1105="","",IF($A1105&lt;&gt;21,"対象外",IF($AE1105&amp;""="00000000","在職",IF($AE1105&amp;""=設定!$C$4,"4/1喪失","その他喪失"))))</f>
        <v/>
      </c>
    </row>
    <row r="1106" customFormat="false" ht="15" hidden="false" customHeight="false" outlineLevel="0" collapsed="false">
      <c r="DB1106" s="0" t="str">
        <f aca="false">IF($A1106="","",IF($A1106&lt;&gt;21,"対象外",IF($AE1106&amp;""="00000000","在職",IF($AE1106&amp;""=設定!$C$4,"4/1喪失","その他喪失"))))</f>
        <v/>
      </c>
    </row>
    <row r="1107" customFormat="false" ht="15" hidden="false" customHeight="false" outlineLevel="0" collapsed="false">
      <c r="DB1107" s="0" t="str">
        <f aca="false">IF($A1107="","",IF($A1107&lt;&gt;21,"対象外",IF($AE1107&amp;""="00000000","在職",IF($AE1107&amp;""=設定!$C$4,"4/1喪失","その他喪失"))))</f>
        <v/>
      </c>
    </row>
    <row r="1108" customFormat="false" ht="15" hidden="false" customHeight="false" outlineLevel="0" collapsed="false">
      <c r="DB1108" s="0" t="str">
        <f aca="false">IF($A1108="","",IF($A1108&lt;&gt;21,"対象外",IF($AE1108&amp;""="00000000","在職",IF($AE1108&amp;""=設定!$C$4,"4/1喪失","その他喪失"))))</f>
        <v/>
      </c>
    </row>
    <row r="1109" customFormat="false" ht="15" hidden="false" customHeight="false" outlineLevel="0" collapsed="false">
      <c r="DB1109" s="0" t="str">
        <f aca="false">IF($A1109="","",IF($A1109&lt;&gt;21,"対象外",IF($AE1109&amp;""="00000000","在職",IF($AE1109&amp;""=設定!$C$4,"4/1喪失","その他喪失"))))</f>
        <v/>
      </c>
    </row>
    <row r="1110" customFormat="false" ht="15" hidden="false" customHeight="false" outlineLevel="0" collapsed="false">
      <c r="DB1110" s="0" t="str">
        <f aca="false">IF($A1110="","",IF($A1110&lt;&gt;21,"対象外",IF($AE1110&amp;""="00000000","在職",IF($AE1110&amp;""=設定!$C$4,"4/1喪失","その他喪失"))))</f>
        <v/>
      </c>
    </row>
    <row r="1111" customFormat="false" ht="15" hidden="false" customHeight="false" outlineLevel="0" collapsed="false">
      <c r="DB1111" s="0" t="str">
        <f aca="false">IF($A1111="","",IF($A1111&lt;&gt;21,"対象外",IF($AE1111&amp;""="00000000","在職",IF($AE1111&amp;""=設定!$C$4,"4/1喪失","その他喪失"))))</f>
        <v/>
      </c>
    </row>
    <row r="1112" customFormat="false" ht="15" hidden="false" customHeight="false" outlineLevel="0" collapsed="false">
      <c r="DB1112" s="0" t="str">
        <f aca="false">IF($A1112="","",IF($A1112&lt;&gt;21,"対象外",IF($AE1112&amp;""="00000000","在職",IF($AE1112&amp;""=設定!$C$4,"4/1喪失","その他喪失"))))</f>
        <v/>
      </c>
    </row>
    <row r="1113" customFormat="false" ht="15" hidden="false" customHeight="false" outlineLevel="0" collapsed="false">
      <c r="DB1113" s="0" t="str">
        <f aca="false">IF($A1113="","",IF($A1113&lt;&gt;21,"対象外",IF($AE1113&amp;""="00000000","在職",IF($AE1113&amp;""=設定!$C$4,"4/1喪失","その他喪失"))))</f>
        <v/>
      </c>
    </row>
    <row r="1114" customFormat="false" ht="15" hidden="false" customHeight="false" outlineLevel="0" collapsed="false">
      <c r="DB1114" s="0" t="str">
        <f aca="false">IF($A1114="","",IF($A1114&lt;&gt;21,"対象外",IF($AE1114&amp;""="00000000","在職",IF($AE1114&amp;""=設定!$C$4,"4/1喪失","その他喪失"))))</f>
        <v/>
      </c>
    </row>
    <row r="1115" customFormat="false" ht="15" hidden="false" customHeight="false" outlineLevel="0" collapsed="false">
      <c r="DB1115" s="0" t="str">
        <f aca="false">IF($A1115="","",IF($A1115&lt;&gt;21,"対象外",IF($AE1115&amp;""="00000000","在職",IF($AE1115&amp;""=設定!$C$4,"4/1喪失","その他喪失"))))</f>
        <v/>
      </c>
    </row>
    <row r="1116" customFormat="false" ht="15" hidden="false" customHeight="false" outlineLevel="0" collapsed="false">
      <c r="DB1116" s="0" t="str">
        <f aca="false">IF($A1116="","",IF($A1116&lt;&gt;21,"対象外",IF($AE1116&amp;""="00000000","在職",IF($AE1116&amp;""=設定!$C$4,"4/1喪失","その他喪失"))))</f>
        <v/>
      </c>
    </row>
    <row r="1117" customFormat="false" ht="15" hidden="false" customHeight="false" outlineLevel="0" collapsed="false">
      <c r="DB1117" s="0" t="str">
        <f aca="false">IF($A1117="","",IF($A1117&lt;&gt;21,"対象外",IF($AE1117&amp;""="00000000","在職",IF($AE1117&amp;""=設定!$C$4,"4/1喪失","その他喪失"))))</f>
        <v/>
      </c>
    </row>
    <row r="1118" customFormat="false" ht="15" hidden="false" customHeight="false" outlineLevel="0" collapsed="false">
      <c r="DB1118" s="0" t="str">
        <f aca="false">IF($A1118="","",IF($A1118&lt;&gt;21,"対象外",IF($AE1118&amp;""="00000000","在職",IF($AE1118&amp;""=設定!$C$4,"4/1喪失","その他喪失"))))</f>
        <v/>
      </c>
    </row>
    <row r="1119" customFormat="false" ht="15" hidden="false" customHeight="false" outlineLevel="0" collapsed="false">
      <c r="DB1119" s="0" t="str">
        <f aca="false">IF($A1119="","",IF($A1119&lt;&gt;21,"対象外",IF($AE1119&amp;""="00000000","在職",IF($AE1119&amp;""=設定!$C$4,"4/1喪失","その他喪失"))))</f>
        <v/>
      </c>
    </row>
    <row r="1120" customFormat="false" ht="15" hidden="false" customHeight="false" outlineLevel="0" collapsed="false">
      <c r="DB1120" s="0" t="str">
        <f aca="false">IF($A1120="","",IF($A1120&lt;&gt;21,"対象外",IF($AE1120&amp;""="00000000","在職",IF($AE1120&amp;""=設定!$C$4,"4/1喪失","その他喪失"))))</f>
        <v/>
      </c>
    </row>
    <row r="1121" customFormat="false" ht="15" hidden="false" customHeight="false" outlineLevel="0" collapsed="false">
      <c r="DB1121" s="0" t="str">
        <f aca="false">IF($A1121="","",IF($A1121&lt;&gt;21,"対象外",IF($AE1121&amp;""="00000000","在職",IF($AE1121&amp;""=設定!$C$4,"4/1喪失","その他喪失"))))</f>
        <v/>
      </c>
    </row>
    <row r="1122" customFormat="false" ht="15" hidden="false" customHeight="false" outlineLevel="0" collapsed="false">
      <c r="DB1122" s="0" t="str">
        <f aca="false">IF($A1122="","",IF($A1122&lt;&gt;21,"対象外",IF($AE1122&amp;""="00000000","在職",IF($AE1122&amp;""=設定!$C$4,"4/1喪失","その他喪失"))))</f>
        <v/>
      </c>
    </row>
    <row r="1123" customFormat="false" ht="15" hidden="false" customHeight="false" outlineLevel="0" collapsed="false">
      <c r="DB1123" s="0" t="str">
        <f aca="false">IF($A1123="","",IF($A1123&lt;&gt;21,"対象外",IF($AE1123&amp;""="00000000","在職",IF($AE1123&amp;""=設定!$C$4,"4/1喪失","その他喪失"))))</f>
        <v/>
      </c>
    </row>
    <row r="1124" customFormat="false" ht="15" hidden="false" customHeight="false" outlineLevel="0" collapsed="false">
      <c r="DB1124" s="0" t="str">
        <f aca="false">IF($A1124="","",IF($A1124&lt;&gt;21,"対象外",IF($AE1124&amp;""="00000000","在職",IF($AE1124&amp;""=設定!$C$4,"4/1喪失","その他喪失"))))</f>
        <v/>
      </c>
    </row>
    <row r="1125" customFormat="false" ht="15" hidden="false" customHeight="false" outlineLevel="0" collapsed="false">
      <c r="DB1125" s="0" t="str">
        <f aca="false">IF($A1125="","",IF($A1125&lt;&gt;21,"対象外",IF($AE1125&amp;""="00000000","在職",IF($AE1125&amp;""=設定!$C$4,"4/1喪失","その他喪失"))))</f>
        <v/>
      </c>
    </row>
    <row r="1126" customFormat="false" ht="15" hidden="false" customHeight="false" outlineLevel="0" collapsed="false">
      <c r="DB1126" s="0" t="str">
        <f aca="false">IF($A1126="","",IF($A1126&lt;&gt;21,"対象外",IF($AE1126&amp;""="00000000","在職",IF($AE1126&amp;""=設定!$C$4,"4/1喪失","その他喪失"))))</f>
        <v/>
      </c>
    </row>
    <row r="1127" customFormat="false" ht="15" hidden="false" customHeight="false" outlineLevel="0" collapsed="false">
      <c r="DB1127" s="0" t="str">
        <f aca="false">IF($A1127="","",IF($A1127&lt;&gt;21,"対象外",IF($AE1127&amp;""="00000000","在職",IF($AE1127&amp;""=設定!$C$4,"4/1喪失","その他喪失"))))</f>
        <v/>
      </c>
    </row>
    <row r="1128" customFormat="false" ht="15" hidden="false" customHeight="false" outlineLevel="0" collapsed="false">
      <c r="DB1128" s="0" t="str">
        <f aca="false">IF($A1128="","",IF($A1128&lt;&gt;21,"対象外",IF($AE1128&amp;""="00000000","在職",IF($AE1128&amp;""=設定!$C$4,"4/1喪失","その他喪失"))))</f>
        <v/>
      </c>
    </row>
    <row r="1129" customFormat="false" ht="15" hidden="false" customHeight="false" outlineLevel="0" collapsed="false">
      <c r="DB1129" s="0" t="str">
        <f aca="false">IF($A1129="","",IF($A1129&lt;&gt;21,"対象外",IF($AE1129&amp;""="00000000","在職",IF($AE1129&amp;""=設定!$C$4,"4/1喪失","その他喪失"))))</f>
        <v/>
      </c>
    </row>
    <row r="1130" customFormat="false" ht="15" hidden="false" customHeight="false" outlineLevel="0" collapsed="false">
      <c r="DB1130" s="0" t="str">
        <f aca="false">IF($A1130="","",IF($A1130&lt;&gt;21,"対象外",IF($AE1130&amp;""="00000000","在職",IF($AE1130&amp;""=設定!$C$4,"4/1喪失","その他喪失"))))</f>
        <v/>
      </c>
    </row>
    <row r="1131" customFormat="false" ht="15" hidden="false" customHeight="false" outlineLevel="0" collapsed="false">
      <c r="DB1131" s="0" t="str">
        <f aca="false">IF($A1131="","",IF($A1131&lt;&gt;21,"対象外",IF($AE1131&amp;""="00000000","在職",IF($AE1131&amp;""=設定!$C$4,"4/1喪失","その他喪失"))))</f>
        <v/>
      </c>
    </row>
    <row r="1132" customFormat="false" ht="15" hidden="false" customHeight="false" outlineLevel="0" collapsed="false">
      <c r="DB1132" s="0" t="str">
        <f aca="false">IF($A1132="","",IF($A1132&lt;&gt;21,"対象外",IF($AE1132&amp;""="00000000","在職",IF($AE1132&amp;""=設定!$C$4,"4/1喪失","その他喪失"))))</f>
        <v/>
      </c>
    </row>
    <row r="1133" customFormat="false" ht="15" hidden="false" customHeight="false" outlineLevel="0" collapsed="false">
      <c r="DB1133" s="0" t="str">
        <f aca="false">IF($A1133="","",IF($A1133&lt;&gt;21,"対象外",IF($AE1133&amp;""="00000000","在職",IF($AE1133&amp;""=設定!$C$4,"4/1喪失","その他喪失"))))</f>
        <v/>
      </c>
    </row>
    <row r="1134" customFormat="false" ht="15" hidden="false" customHeight="false" outlineLevel="0" collapsed="false">
      <c r="DB1134" s="0" t="str">
        <f aca="false">IF($A1134="","",IF($A1134&lt;&gt;21,"対象外",IF($AE1134&amp;""="00000000","在職",IF($AE1134&amp;""=設定!$C$4,"4/1喪失","その他喪失"))))</f>
        <v/>
      </c>
    </row>
    <row r="1135" customFormat="false" ht="15" hidden="false" customHeight="false" outlineLevel="0" collapsed="false">
      <c r="DB1135" s="0" t="str">
        <f aca="false">IF($A1135="","",IF($A1135&lt;&gt;21,"対象外",IF($AE1135&amp;""="00000000","在職",IF($AE1135&amp;""=設定!$C$4,"4/1喪失","その他喪失"))))</f>
        <v/>
      </c>
    </row>
    <row r="1136" customFormat="false" ht="15" hidden="false" customHeight="false" outlineLevel="0" collapsed="false">
      <c r="DB1136" s="0" t="str">
        <f aca="false">IF($A1136="","",IF($A1136&lt;&gt;21,"対象外",IF($AE1136&amp;""="00000000","在職",IF($AE1136&amp;""=設定!$C$4,"4/1喪失","その他喪失"))))</f>
        <v/>
      </c>
    </row>
    <row r="1137" customFormat="false" ht="15" hidden="false" customHeight="false" outlineLevel="0" collapsed="false">
      <c r="DB1137" s="0" t="str">
        <f aca="false">IF($A1137="","",IF($A1137&lt;&gt;21,"対象外",IF($AE1137&amp;""="00000000","在職",IF($AE1137&amp;""=設定!$C$4,"4/1喪失","その他喪失"))))</f>
        <v/>
      </c>
    </row>
    <row r="1138" customFormat="false" ht="15" hidden="false" customHeight="false" outlineLevel="0" collapsed="false">
      <c r="DB1138" s="0" t="str">
        <f aca="false">IF($A1138="","",IF($A1138&lt;&gt;21,"対象外",IF($AE1138&amp;""="00000000","在職",IF($AE1138&amp;""=設定!$C$4,"4/1喪失","その他喪失"))))</f>
        <v/>
      </c>
    </row>
    <row r="1139" customFormat="false" ht="15" hidden="false" customHeight="false" outlineLevel="0" collapsed="false">
      <c r="DB1139" s="0" t="str">
        <f aca="false">IF($A1139="","",IF($A1139&lt;&gt;21,"対象外",IF($AE1139&amp;""="00000000","在職",IF($AE1139&amp;""=設定!$C$4,"4/1喪失","その他喪失"))))</f>
        <v/>
      </c>
    </row>
    <row r="1140" customFormat="false" ht="15" hidden="false" customHeight="false" outlineLevel="0" collapsed="false">
      <c r="DB1140" s="0" t="str">
        <f aca="false">IF($A1140="","",IF($A1140&lt;&gt;21,"対象外",IF($AE1140&amp;""="00000000","在職",IF($AE1140&amp;""=設定!$C$4,"4/1喪失","その他喪失"))))</f>
        <v/>
      </c>
    </row>
    <row r="1141" customFormat="false" ht="15" hidden="false" customHeight="false" outlineLevel="0" collapsed="false">
      <c r="DB1141" s="0" t="str">
        <f aca="false">IF($A1141="","",IF($A1141&lt;&gt;21,"対象外",IF($AE1141&amp;""="00000000","在職",IF($AE1141&amp;""=設定!$C$4,"4/1喪失","その他喪失"))))</f>
        <v/>
      </c>
    </row>
    <row r="1142" customFormat="false" ht="15" hidden="false" customHeight="false" outlineLevel="0" collapsed="false">
      <c r="DB1142" s="0" t="str">
        <f aca="false">IF($A1142="","",IF($A1142&lt;&gt;21,"対象外",IF($AE1142&amp;""="00000000","在職",IF($AE1142&amp;""=設定!$C$4,"4/1喪失","その他喪失"))))</f>
        <v/>
      </c>
    </row>
    <row r="1143" customFormat="false" ht="15" hidden="false" customHeight="false" outlineLevel="0" collapsed="false">
      <c r="DB1143" s="0" t="str">
        <f aca="false">IF($A1143="","",IF($A1143&lt;&gt;21,"対象外",IF($AE1143&amp;""="00000000","在職",IF($AE1143&amp;""=設定!$C$4,"4/1喪失","その他喪失"))))</f>
        <v/>
      </c>
    </row>
    <row r="1144" customFormat="false" ht="15" hidden="false" customHeight="false" outlineLevel="0" collapsed="false">
      <c r="DB1144" s="0" t="str">
        <f aca="false">IF($A1144="","",IF($A1144&lt;&gt;21,"対象外",IF($AE1144&amp;""="00000000","在職",IF($AE1144&amp;""=設定!$C$4,"4/1喪失","その他喪失"))))</f>
        <v/>
      </c>
    </row>
    <row r="1145" customFormat="false" ht="15" hidden="false" customHeight="false" outlineLevel="0" collapsed="false">
      <c r="DB1145" s="0" t="str">
        <f aca="false">IF($A1145="","",IF($A1145&lt;&gt;21,"対象外",IF($AE1145&amp;""="00000000","在職",IF($AE1145&amp;""=設定!$C$4,"4/1喪失","その他喪失"))))</f>
        <v/>
      </c>
    </row>
    <row r="1146" customFormat="false" ht="15" hidden="false" customHeight="false" outlineLevel="0" collapsed="false">
      <c r="DB1146" s="0" t="str">
        <f aca="false">IF($A1146="","",IF($A1146&lt;&gt;21,"対象外",IF($AE1146&amp;""="00000000","在職",IF($AE1146&amp;""=設定!$C$4,"4/1喪失","その他喪失"))))</f>
        <v/>
      </c>
    </row>
    <row r="1147" customFormat="false" ht="15" hidden="false" customHeight="false" outlineLevel="0" collapsed="false">
      <c r="DB1147" s="0" t="str">
        <f aca="false">IF($A1147="","",IF($A1147&lt;&gt;21,"対象外",IF($AE1147&amp;""="00000000","在職",IF($AE1147&amp;""=設定!$C$4,"4/1喪失","その他喪失"))))</f>
        <v/>
      </c>
    </row>
    <row r="1148" customFormat="false" ht="15" hidden="false" customHeight="false" outlineLevel="0" collapsed="false">
      <c r="DB1148" s="0" t="str">
        <f aca="false">IF($A1148="","",IF($A1148&lt;&gt;21,"対象外",IF($AE1148&amp;""="00000000","在職",IF($AE1148&amp;""=設定!$C$4,"4/1喪失","その他喪失"))))</f>
        <v/>
      </c>
    </row>
    <row r="1149" customFormat="false" ht="15" hidden="false" customHeight="false" outlineLevel="0" collapsed="false">
      <c r="DB1149" s="0" t="str">
        <f aca="false">IF($A1149="","",IF($A1149&lt;&gt;21,"対象外",IF($AE1149&amp;""="00000000","在職",IF($AE1149&amp;""=設定!$C$4,"4/1喪失","その他喪失"))))</f>
        <v/>
      </c>
    </row>
    <row r="1150" customFormat="false" ht="15" hidden="false" customHeight="false" outlineLevel="0" collapsed="false">
      <c r="DB1150" s="0" t="str">
        <f aca="false">IF($A1150="","",IF($A1150&lt;&gt;21,"対象外",IF($AE1150&amp;""="00000000","在職",IF($AE1150&amp;""=設定!$C$4,"4/1喪失","その他喪失"))))</f>
        <v/>
      </c>
    </row>
    <row r="1151" customFormat="false" ht="15" hidden="false" customHeight="false" outlineLevel="0" collapsed="false">
      <c r="DB1151" s="0" t="str">
        <f aca="false">IF($A1151="","",IF($A1151&lt;&gt;21,"対象外",IF($AE1151&amp;""="00000000","在職",IF($AE1151&amp;""=設定!$C$4,"4/1喪失","その他喪失"))))</f>
        <v/>
      </c>
    </row>
    <row r="1152" customFormat="false" ht="15" hidden="false" customHeight="false" outlineLevel="0" collapsed="false">
      <c r="DB1152" s="0" t="str">
        <f aca="false">IF($A1152="","",IF($A1152&lt;&gt;21,"対象外",IF($AE1152&amp;""="00000000","在職",IF($AE1152&amp;""=設定!$C$4,"4/1喪失","その他喪失"))))</f>
        <v/>
      </c>
    </row>
    <row r="1153" customFormat="false" ht="15" hidden="false" customHeight="false" outlineLevel="0" collapsed="false">
      <c r="DB1153" s="0" t="str">
        <f aca="false">IF($A1153="","",IF($A1153&lt;&gt;21,"対象外",IF($AE1153&amp;""="00000000","在職",IF($AE1153&amp;""=設定!$C$4,"4/1喪失","その他喪失"))))</f>
        <v/>
      </c>
    </row>
    <row r="1154" customFormat="false" ht="15" hidden="false" customHeight="false" outlineLevel="0" collapsed="false">
      <c r="DB1154" s="0" t="str">
        <f aca="false">IF($A1154="","",IF($A1154&lt;&gt;21,"対象外",IF($AE1154&amp;""="00000000","在職",IF($AE1154&amp;""=設定!$C$4,"4/1喪失","その他喪失"))))</f>
        <v/>
      </c>
    </row>
    <row r="1155" customFormat="false" ht="15" hidden="false" customHeight="false" outlineLevel="0" collapsed="false">
      <c r="DB1155" s="0" t="str">
        <f aca="false">IF($A1155="","",IF($A1155&lt;&gt;21,"対象外",IF($AE1155&amp;""="00000000","在職",IF($AE1155&amp;""=設定!$C$4,"4/1喪失","その他喪失"))))</f>
        <v/>
      </c>
    </row>
    <row r="1156" customFormat="false" ht="15" hidden="false" customHeight="false" outlineLevel="0" collapsed="false">
      <c r="DB1156" s="0" t="str">
        <f aca="false">IF($A1156="","",IF($A1156&lt;&gt;21,"対象外",IF($AE1156&amp;""="00000000","在職",IF($AE1156&amp;""=設定!$C$4,"4/1喪失","その他喪失"))))</f>
        <v/>
      </c>
    </row>
    <row r="1157" customFormat="false" ht="15" hidden="false" customHeight="false" outlineLevel="0" collapsed="false">
      <c r="DB1157" s="0" t="str">
        <f aca="false">IF($A1157="","",IF($A1157&lt;&gt;21,"対象外",IF($AE1157&amp;""="00000000","在職",IF($AE1157&amp;""=設定!$C$4,"4/1喪失","その他喪失"))))</f>
        <v/>
      </c>
    </row>
    <row r="1158" customFormat="false" ht="15" hidden="false" customHeight="false" outlineLevel="0" collapsed="false">
      <c r="DB1158" s="0" t="str">
        <f aca="false">IF($A1158="","",IF($A1158&lt;&gt;21,"対象外",IF($AE1158&amp;""="00000000","在職",IF($AE1158&amp;""=設定!$C$4,"4/1喪失","その他喪失"))))</f>
        <v/>
      </c>
    </row>
    <row r="1159" customFormat="false" ht="15" hidden="false" customHeight="false" outlineLevel="0" collapsed="false">
      <c r="DB1159" s="0" t="str">
        <f aca="false">IF($A1159="","",IF($A1159&lt;&gt;21,"対象外",IF($AE1159&amp;""="00000000","在職",IF($AE1159&amp;""=設定!$C$4,"4/1喪失","その他喪失"))))</f>
        <v/>
      </c>
    </row>
    <row r="1160" customFormat="false" ht="15" hidden="false" customHeight="false" outlineLevel="0" collapsed="false">
      <c r="DB1160" s="0" t="str">
        <f aca="false">IF($A1160="","",IF($A1160&lt;&gt;21,"対象外",IF($AE1160&amp;""="00000000","在職",IF($AE1160&amp;""=設定!$C$4,"4/1喪失","その他喪失"))))</f>
        <v/>
      </c>
    </row>
    <row r="1161" customFormat="false" ht="15" hidden="false" customHeight="false" outlineLevel="0" collapsed="false">
      <c r="DB1161" s="0" t="str">
        <f aca="false">IF($A1161="","",IF($A1161&lt;&gt;21,"対象外",IF($AE1161&amp;""="00000000","在職",IF($AE1161&amp;""=設定!$C$4,"4/1喪失","その他喪失"))))</f>
        <v/>
      </c>
    </row>
    <row r="1162" customFormat="false" ht="15" hidden="false" customHeight="false" outlineLevel="0" collapsed="false">
      <c r="DB1162" s="0" t="str">
        <f aca="false">IF($A1162="","",IF($A1162&lt;&gt;21,"対象外",IF($AE1162&amp;""="00000000","在職",IF($AE1162&amp;""=設定!$C$4,"4/1喪失","その他喪失"))))</f>
        <v/>
      </c>
    </row>
    <row r="1163" customFormat="false" ht="15" hidden="false" customHeight="false" outlineLevel="0" collapsed="false">
      <c r="DB1163" s="0" t="str">
        <f aca="false">IF($A1163="","",IF($A1163&lt;&gt;21,"対象外",IF($AE1163&amp;""="00000000","在職",IF($AE1163&amp;""=設定!$C$4,"4/1喪失","その他喪失"))))</f>
        <v/>
      </c>
    </row>
    <row r="1164" customFormat="false" ht="15" hidden="false" customHeight="false" outlineLevel="0" collapsed="false">
      <c r="DB1164" s="0" t="str">
        <f aca="false">IF($A1164="","",IF($A1164&lt;&gt;21,"対象外",IF($AE1164&amp;""="00000000","在職",IF($AE1164&amp;""=設定!$C$4,"4/1喪失","その他喪失"))))</f>
        <v/>
      </c>
    </row>
    <row r="1165" customFormat="false" ht="15" hidden="false" customHeight="false" outlineLevel="0" collapsed="false">
      <c r="DB1165" s="0" t="str">
        <f aca="false">IF($A1165="","",IF($A1165&lt;&gt;21,"対象外",IF($AE1165&amp;""="00000000","在職",IF($AE1165&amp;""=設定!$C$4,"4/1喪失","その他喪失"))))</f>
        <v/>
      </c>
    </row>
    <row r="1166" customFormat="false" ht="15" hidden="false" customHeight="false" outlineLevel="0" collapsed="false">
      <c r="DB1166" s="0" t="str">
        <f aca="false">IF($A1166="","",IF($A1166&lt;&gt;21,"対象外",IF($AE1166&amp;""="00000000","在職",IF($AE1166&amp;""=設定!$C$4,"4/1喪失","その他喪失"))))</f>
        <v/>
      </c>
    </row>
    <row r="1167" customFormat="false" ht="15" hidden="false" customHeight="false" outlineLevel="0" collapsed="false">
      <c r="DB1167" s="0" t="str">
        <f aca="false">IF($A1167="","",IF($A1167&lt;&gt;21,"対象外",IF($AE1167&amp;""="00000000","在職",IF($AE1167&amp;""=設定!$C$4,"4/1喪失","その他喪失"))))</f>
        <v/>
      </c>
    </row>
    <row r="1168" customFormat="false" ht="15" hidden="false" customHeight="false" outlineLevel="0" collapsed="false">
      <c r="DB1168" s="0" t="str">
        <f aca="false">IF($A1168="","",IF($A1168&lt;&gt;21,"対象外",IF($AE1168&amp;""="00000000","在職",IF($AE1168&amp;""=設定!$C$4,"4/1喪失","その他喪失"))))</f>
        <v/>
      </c>
    </row>
    <row r="1169" customFormat="false" ht="15" hidden="false" customHeight="false" outlineLevel="0" collapsed="false">
      <c r="DB1169" s="0" t="str">
        <f aca="false">IF($A1169="","",IF($A1169&lt;&gt;21,"対象外",IF($AE1169&amp;""="00000000","在職",IF($AE1169&amp;""=設定!$C$4,"4/1喪失","その他喪失"))))</f>
        <v/>
      </c>
    </row>
    <row r="1170" customFormat="false" ht="15" hidden="false" customHeight="false" outlineLevel="0" collapsed="false">
      <c r="DB1170" s="0" t="str">
        <f aca="false">IF($A1170="","",IF($A1170&lt;&gt;21,"対象外",IF($AE1170&amp;""="00000000","在職",IF($AE1170&amp;""=設定!$C$4,"4/1喪失","その他喪失"))))</f>
        <v/>
      </c>
    </row>
    <row r="1171" customFormat="false" ht="15" hidden="false" customHeight="false" outlineLevel="0" collapsed="false">
      <c r="DB1171" s="0" t="str">
        <f aca="false">IF($A1171="","",IF($A1171&lt;&gt;21,"対象外",IF($AE1171&amp;""="00000000","在職",IF($AE1171&amp;""=設定!$C$4,"4/1喪失","その他喪失"))))</f>
        <v/>
      </c>
    </row>
    <row r="1172" customFormat="false" ht="15" hidden="false" customHeight="false" outlineLevel="0" collapsed="false">
      <c r="DB1172" s="0" t="str">
        <f aca="false">IF($A1172="","",IF($A1172&lt;&gt;21,"対象外",IF($AE1172&amp;""="00000000","在職",IF($AE1172&amp;""=設定!$C$4,"4/1喪失","その他喪失"))))</f>
        <v/>
      </c>
    </row>
    <row r="1173" customFormat="false" ht="15" hidden="false" customHeight="false" outlineLevel="0" collapsed="false">
      <c r="DB1173" s="0" t="str">
        <f aca="false">IF($A1173="","",IF($A1173&lt;&gt;21,"対象外",IF($AE1173&amp;""="00000000","在職",IF($AE1173&amp;""=設定!$C$4,"4/1喪失","その他喪失"))))</f>
        <v/>
      </c>
    </row>
    <row r="1174" customFormat="false" ht="15" hidden="false" customHeight="false" outlineLevel="0" collapsed="false">
      <c r="DB1174" s="0" t="str">
        <f aca="false">IF($A1174="","",IF($A1174&lt;&gt;21,"対象外",IF($AE1174&amp;""="00000000","在職",IF($AE1174&amp;""=設定!$C$4,"4/1喪失","その他喪失"))))</f>
        <v/>
      </c>
    </row>
    <row r="1175" customFormat="false" ht="15" hidden="false" customHeight="false" outlineLevel="0" collapsed="false">
      <c r="DB1175" s="0" t="str">
        <f aca="false">IF($A1175="","",IF($A1175&lt;&gt;21,"対象外",IF($AE1175&amp;""="00000000","在職",IF($AE1175&amp;""=設定!$C$4,"4/1喪失","その他喪失"))))</f>
        <v/>
      </c>
    </row>
    <row r="1176" customFormat="false" ht="15" hidden="false" customHeight="false" outlineLevel="0" collapsed="false">
      <c r="DB1176" s="0" t="str">
        <f aca="false">IF($A1176="","",IF($A1176&lt;&gt;21,"対象外",IF($AE1176&amp;""="00000000","在職",IF($AE1176&amp;""=設定!$C$4,"4/1喪失","その他喪失"))))</f>
        <v/>
      </c>
    </row>
    <row r="1177" customFormat="false" ht="15" hidden="false" customHeight="false" outlineLevel="0" collapsed="false">
      <c r="DB1177" s="0" t="str">
        <f aca="false">IF($A1177="","",IF($A1177&lt;&gt;21,"対象外",IF($AE1177&amp;""="00000000","在職",IF($AE1177&amp;""=設定!$C$4,"4/1喪失","その他喪失"))))</f>
        <v/>
      </c>
    </row>
    <row r="1178" customFormat="false" ht="15" hidden="false" customHeight="false" outlineLevel="0" collapsed="false">
      <c r="DB1178" s="0" t="str">
        <f aca="false">IF($A1178="","",IF($A1178&lt;&gt;21,"対象外",IF($AE1178&amp;""="00000000","在職",IF($AE1178&amp;""=設定!$C$4,"4/1喪失","その他喪失"))))</f>
        <v/>
      </c>
    </row>
    <row r="1179" customFormat="false" ht="15" hidden="false" customHeight="false" outlineLevel="0" collapsed="false">
      <c r="DB1179" s="0" t="str">
        <f aca="false">IF($A1179="","",IF($A1179&lt;&gt;21,"対象外",IF($AE1179&amp;""="00000000","在職",IF($AE1179&amp;""=設定!$C$4,"4/1喪失","その他喪失"))))</f>
        <v/>
      </c>
    </row>
    <row r="1180" customFormat="false" ht="15" hidden="false" customHeight="false" outlineLevel="0" collapsed="false">
      <c r="DB1180" s="0" t="str">
        <f aca="false">IF($A1180="","",IF($A1180&lt;&gt;21,"対象外",IF($AE1180&amp;""="00000000","在職",IF($AE1180&amp;""=設定!$C$4,"4/1喪失","その他喪失"))))</f>
        <v/>
      </c>
    </row>
    <row r="1181" customFormat="false" ht="15" hidden="false" customHeight="false" outlineLevel="0" collapsed="false">
      <c r="DB1181" s="0" t="str">
        <f aca="false">IF($A1181="","",IF($A1181&lt;&gt;21,"対象外",IF($AE1181&amp;""="00000000","在職",IF($AE1181&amp;""=設定!$C$4,"4/1喪失","その他喪失"))))</f>
        <v/>
      </c>
    </row>
    <row r="1182" customFormat="false" ht="15" hidden="false" customHeight="false" outlineLevel="0" collapsed="false">
      <c r="DB1182" s="0" t="str">
        <f aca="false">IF($A1182="","",IF($A1182&lt;&gt;21,"対象外",IF($AE1182&amp;""="00000000","在職",IF($AE1182&amp;""=設定!$C$4,"4/1喪失","その他喪失"))))</f>
        <v/>
      </c>
    </row>
    <row r="1183" customFormat="false" ht="15" hidden="false" customHeight="false" outlineLevel="0" collapsed="false">
      <c r="DB1183" s="0" t="str">
        <f aca="false">IF($A1183="","",IF($A1183&lt;&gt;21,"対象外",IF($AE1183&amp;""="00000000","在職",IF($AE1183&amp;""=設定!$C$4,"4/1喪失","その他喪失"))))</f>
        <v/>
      </c>
    </row>
    <row r="1184" customFormat="false" ht="15" hidden="false" customHeight="false" outlineLevel="0" collapsed="false">
      <c r="DB1184" s="0" t="str">
        <f aca="false">IF($A1184="","",IF($A1184&lt;&gt;21,"対象外",IF($AE1184&amp;""="00000000","在職",IF($AE1184&amp;""=設定!$C$4,"4/1喪失","その他喪失"))))</f>
        <v/>
      </c>
    </row>
    <row r="1185" customFormat="false" ht="15" hidden="false" customHeight="false" outlineLevel="0" collapsed="false">
      <c r="DB1185" s="0" t="str">
        <f aca="false">IF($A1185="","",IF($A1185&lt;&gt;21,"対象外",IF($AE1185&amp;""="00000000","在職",IF($AE1185&amp;""=設定!$C$4,"4/1喪失","その他喪失"))))</f>
        <v/>
      </c>
    </row>
    <row r="1186" customFormat="false" ht="15" hidden="false" customHeight="false" outlineLevel="0" collapsed="false">
      <c r="DB1186" s="0" t="str">
        <f aca="false">IF($A1186="","",IF($A1186&lt;&gt;21,"対象外",IF($AE1186&amp;""="00000000","在職",IF($AE1186&amp;""=設定!$C$4,"4/1喪失","その他喪失"))))</f>
        <v/>
      </c>
    </row>
    <row r="1187" customFormat="false" ht="15" hidden="false" customHeight="false" outlineLevel="0" collapsed="false">
      <c r="DB1187" s="0" t="str">
        <f aca="false">IF($A1187="","",IF($A1187&lt;&gt;21,"対象外",IF($AE1187&amp;""="00000000","在職",IF($AE1187&amp;""=設定!$C$4,"4/1喪失","その他喪失"))))</f>
        <v/>
      </c>
    </row>
    <row r="1188" customFormat="false" ht="15" hidden="false" customHeight="false" outlineLevel="0" collapsed="false">
      <c r="DB1188" s="0" t="str">
        <f aca="false">IF($A1188="","",IF($A1188&lt;&gt;21,"対象外",IF($AE1188&amp;""="00000000","在職",IF($AE1188&amp;""=設定!$C$4,"4/1喪失","その他喪失"))))</f>
        <v/>
      </c>
    </row>
    <row r="1189" customFormat="false" ht="15" hidden="false" customHeight="false" outlineLevel="0" collapsed="false">
      <c r="DB1189" s="0" t="str">
        <f aca="false">IF($A1189="","",IF($A1189&lt;&gt;21,"対象外",IF($AE1189&amp;""="00000000","在職",IF($AE1189&amp;""=設定!$C$4,"4/1喪失","その他喪失"))))</f>
        <v/>
      </c>
    </row>
    <row r="1190" customFormat="false" ht="15" hidden="false" customHeight="false" outlineLevel="0" collapsed="false">
      <c r="DB1190" s="0" t="str">
        <f aca="false">IF($A1190="","",IF($A1190&lt;&gt;21,"対象外",IF($AE1190&amp;""="00000000","在職",IF($AE1190&amp;""=設定!$C$4,"4/1喪失","その他喪失"))))</f>
        <v/>
      </c>
    </row>
    <row r="1191" customFormat="false" ht="15" hidden="false" customHeight="false" outlineLevel="0" collapsed="false">
      <c r="DB1191" s="0" t="str">
        <f aca="false">IF($A1191="","",IF($A1191&lt;&gt;21,"対象外",IF($AE1191&amp;""="00000000","在職",IF($AE1191&amp;""=設定!$C$4,"4/1喪失","その他喪失"))))</f>
        <v/>
      </c>
    </row>
    <row r="1192" customFormat="false" ht="15" hidden="false" customHeight="false" outlineLevel="0" collapsed="false">
      <c r="DB1192" s="0" t="str">
        <f aca="false">IF($A1192="","",IF($A1192&lt;&gt;21,"対象外",IF($AE1192&amp;""="00000000","在職",IF($AE1192&amp;""=設定!$C$4,"4/1喪失","その他喪失"))))</f>
        <v/>
      </c>
    </row>
    <row r="1193" customFormat="false" ht="15" hidden="false" customHeight="false" outlineLevel="0" collapsed="false">
      <c r="DB1193" s="0" t="str">
        <f aca="false">IF($A1193="","",IF($A1193&lt;&gt;21,"対象外",IF($AE1193&amp;""="00000000","在職",IF($AE1193&amp;""=設定!$C$4,"4/1喪失","その他喪失"))))</f>
        <v/>
      </c>
    </row>
    <row r="1194" customFormat="false" ht="15" hidden="false" customHeight="false" outlineLevel="0" collapsed="false">
      <c r="DB1194" s="0" t="str">
        <f aca="false">IF($A1194="","",IF($A1194&lt;&gt;21,"対象外",IF($AE1194&amp;""="00000000","在職",IF($AE1194&amp;""=設定!$C$4,"4/1喪失","その他喪失"))))</f>
        <v/>
      </c>
    </row>
    <row r="1195" customFormat="false" ht="15" hidden="false" customHeight="false" outlineLevel="0" collapsed="false">
      <c r="DB1195" s="0" t="str">
        <f aca="false">IF($A1195="","",IF($A1195&lt;&gt;21,"対象外",IF($AE1195&amp;""="00000000","在職",IF($AE1195&amp;""=設定!$C$4,"4/1喪失","その他喪失"))))</f>
        <v/>
      </c>
    </row>
    <row r="1196" customFormat="false" ht="15" hidden="false" customHeight="false" outlineLevel="0" collapsed="false">
      <c r="DB1196" s="0" t="str">
        <f aca="false">IF($A1196="","",IF($A1196&lt;&gt;21,"対象外",IF($AE1196&amp;""="00000000","在職",IF($AE1196&amp;""=設定!$C$4,"4/1喪失","その他喪失"))))</f>
        <v/>
      </c>
    </row>
    <row r="1197" customFormat="false" ht="15" hidden="false" customHeight="false" outlineLevel="0" collapsed="false">
      <c r="DB1197" s="0" t="str">
        <f aca="false">IF($A1197="","",IF($A1197&lt;&gt;21,"対象外",IF($AE1197&amp;""="00000000","在職",IF($AE1197&amp;""=設定!$C$4,"4/1喪失","その他喪失"))))</f>
        <v/>
      </c>
    </row>
    <row r="1198" customFormat="false" ht="15" hidden="false" customHeight="false" outlineLevel="0" collapsed="false">
      <c r="DB1198" s="0" t="str">
        <f aca="false">IF($A1198="","",IF($A1198&lt;&gt;21,"対象外",IF($AE1198&amp;""="00000000","在職",IF($AE1198&amp;""=設定!$C$4,"4/1喪失","その他喪失"))))</f>
        <v/>
      </c>
    </row>
    <row r="1199" customFormat="false" ht="15" hidden="false" customHeight="false" outlineLevel="0" collapsed="false">
      <c r="DB1199" s="0" t="str">
        <f aca="false">IF($A1199="","",IF($A1199&lt;&gt;21,"対象外",IF($AE1199&amp;""="00000000","在職",IF($AE1199&amp;""=設定!$C$4,"4/1喪失","その他喪失"))))</f>
        <v/>
      </c>
    </row>
    <row r="1200" customFormat="false" ht="15" hidden="false" customHeight="false" outlineLevel="0" collapsed="false">
      <c r="DB1200" s="0" t="str">
        <f aca="false">IF($A1200="","",IF($A1200&lt;&gt;21,"対象外",IF($AE1200&amp;""="00000000","在職",IF($AE1200&amp;""=設定!$C$4,"4/1喪失","その他喪失"))))</f>
        <v/>
      </c>
    </row>
    <row r="1201" customFormat="false" ht="15" hidden="false" customHeight="false" outlineLevel="0" collapsed="false">
      <c r="DB1201" s="0" t="str">
        <f aca="false">IF($A1201="","",IF($A1201&lt;&gt;21,"対象外",IF($AE1201&amp;""="00000000","在職",IF($AE1201&amp;""=設定!$C$4,"4/1喪失","その他喪失"))))</f>
        <v/>
      </c>
    </row>
    <row r="1202" customFormat="false" ht="15" hidden="false" customHeight="false" outlineLevel="0" collapsed="false">
      <c r="DB1202" s="0" t="str">
        <f aca="false">IF($A1202="","",IF($A1202&lt;&gt;21,"対象外",IF($AE1202&amp;""="00000000","在職",IF($AE1202&amp;""=設定!$C$4,"4/1喪失","その他喪失"))))</f>
        <v/>
      </c>
    </row>
    <row r="1203" customFormat="false" ht="15" hidden="false" customHeight="false" outlineLevel="0" collapsed="false">
      <c r="DB1203" s="0" t="str">
        <f aca="false">IF($A1203="","",IF($A1203&lt;&gt;21,"対象外",IF($AE1203&amp;""="00000000","在職",IF($AE1203&amp;""=設定!$C$4,"4/1喪失","その他喪失"))))</f>
        <v/>
      </c>
    </row>
    <row r="1204" customFormat="false" ht="15" hidden="false" customHeight="false" outlineLevel="0" collapsed="false">
      <c r="DB1204" s="0" t="str">
        <f aca="false">IF($A1204="","",IF($A1204&lt;&gt;21,"対象外",IF($AE1204&amp;""="00000000","在職",IF($AE1204&amp;""=設定!$C$4,"4/1喪失","その他喪失"))))</f>
        <v/>
      </c>
    </row>
    <row r="1205" customFormat="false" ht="15" hidden="false" customHeight="false" outlineLevel="0" collapsed="false">
      <c r="DB1205" s="0" t="str">
        <f aca="false">IF($A1205="","",IF($A1205&lt;&gt;21,"対象外",IF($AE1205&amp;""="00000000","在職",IF($AE1205&amp;""=設定!$C$4,"4/1喪失","その他喪失"))))</f>
        <v/>
      </c>
    </row>
    <row r="1206" customFormat="false" ht="15" hidden="false" customHeight="false" outlineLevel="0" collapsed="false">
      <c r="DB1206" s="0" t="str">
        <f aca="false">IF($A1206="","",IF($A1206&lt;&gt;21,"対象外",IF($AE1206&amp;""="00000000","在職",IF($AE1206&amp;""=設定!$C$4,"4/1喪失","その他喪失"))))</f>
        <v/>
      </c>
    </row>
    <row r="1207" customFormat="false" ht="15" hidden="false" customHeight="false" outlineLevel="0" collapsed="false">
      <c r="DB1207" s="0" t="str">
        <f aca="false">IF($A1207="","",IF($A1207&lt;&gt;21,"対象外",IF($AE1207&amp;""="00000000","在職",IF($AE1207&amp;""=設定!$C$4,"4/1喪失","その他喪失"))))</f>
        <v/>
      </c>
    </row>
    <row r="1208" customFormat="false" ht="15" hidden="false" customHeight="false" outlineLevel="0" collapsed="false">
      <c r="DB1208" s="0" t="str">
        <f aca="false">IF($A1208="","",IF($A1208&lt;&gt;21,"対象外",IF($AE1208&amp;""="00000000","在職",IF($AE1208&amp;""=設定!$C$4,"4/1喪失","その他喪失"))))</f>
        <v/>
      </c>
    </row>
    <row r="1209" customFormat="false" ht="15" hidden="false" customHeight="false" outlineLevel="0" collapsed="false">
      <c r="DB1209" s="0" t="str">
        <f aca="false">IF($A1209="","",IF($A1209&lt;&gt;21,"対象外",IF($AE1209&amp;""="00000000","在職",IF($AE1209&amp;""=設定!$C$4,"4/1喪失","その他喪失"))))</f>
        <v/>
      </c>
    </row>
    <row r="1210" customFormat="false" ht="15" hidden="false" customHeight="false" outlineLevel="0" collapsed="false">
      <c r="DB1210" s="0" t="str">
        <f aca="false">IF($A1210="","",IF($A1210&lt;&gt;21,"対象外",IF($AE1210&amp;""="00000000","在職",IF($AE1210&amp;""=設定!$C$4,"4/1喪失","その他喪失"))))</f>
        <v/>
      </c>
    </row>
    <row r="1211" customFormat="false" ht="15" hidden="false" customHeight="false" outlineLevel="0" collapsed="false">
      <c r="DB1211" s="0" t="str">
        <f aca="false">IF($A1211="","",IF($A1211&lt;&gt;21,"対象外",IF($AE1211&amp;""="00000000","在職",IF($AE1211&amp;""=設定!$C$4,"4/1喪失","その他喪失"))))</f>
        <v/>
      </c>
    </row>
    <row r="1212" customFormat="false" ht="15" hidden="false" customHeight="false" outlineLevel="0" collapsed="false">
      <c r="DB1212" s="0" t="str">
        <f aca="false">IF($A1212="","",IF($A1212&lt;&gt;21,"対象外",IF($AE1212&amp;""="00000000","在職",IF($AE1212&amp;""=設定!$C$4,"4/1喪失","その他喪失"))))</f>
        <v/>
      </c>
    </row>
    <row r="1213" customFormat="false" ht="15" hidden="false" customHeight="false" outlineLevel="0" collapsed="false">
      <c r="DB1213" s="0" t="str">
        <f aca="false">IF($A1213="","",IF($A1213&lt;&gt;21,"対象外",IF($AE1213&amp;""="00000000","在職",IF($AE1213&amp;""=設定!$C$4,"4/1喪失","その他喪失"))))</f>
        <v/>
      </c>
    </row>
    <row r="1214" customFormat="false" ht="15" hidden="false" customHeight="false" outlineLevel="0" collapsed="false">
      <c r="DB1214" s="0" t="str">
        <f aca="false">IF($A1214="","",IF($A1214&lt;&gt;21,"対象外",IF($AE1214&amp;""="00000000","在職",IF($AE1214&amp;""=設定!$C$4,"4/1喪失","その他喪失"))))</f>
        <v/>
      </c>
    </row>
    <row r="1215" customFormat="false" ht="15" hidden="false" customHeight="false" outlineLevel="0" collapsed="false">
      <c r="DB1215" s="0" t="str">
        <f aca="false">IF($A1215="","",IF($A1215&lt;&gt;21,"対象外",IF($AE1215&amp;""="00000000","在職",IF($AE1215&amp;""=設定!$C$4,"4/1喪失","その他喪失"))))</f>
        <v/>
      </c>
    </row>
    <row r="1216" customFormat="false" ht="15" hidden="false" customHeight="false" outlineLevel="0" collapsed="false">
      <c r="DB1216" s="0" t="str">
        <f aca="false">IF($A1216="","",IF($A1216&lt;&gt;21,"対象外",IF($AE1216&amp;""="00000000","在職",IF($AE1216&amp;""=設定!$C$4,"4/1喪失","その他喪失"))))</f>
        <v/>
      </c>
    </row>
    <row r="1217" customFormat="false" ht="15" hidden="false" customHeight="false" outlineLevel="0" collapsed="false">
      <c r="DB1217" s="0" t="str">
        <f aca="false">IF($A1217="","",IF($A1217&lt;&gt;21,"対象外",IF($AE1217&amp;""="00000000","在職",IF($AE1217&amp;""=設定!$C$4,"4/1喪失","その他喪失"))))</f>
        <v/>
      </c>
    </row>
    <row r="1218" customFormat="false" ht="15" hidden="false" customHeight="false" outlineLevel="0" collapsed="false">
      <c r="DB1218" s="0" t="str">
        <f aca="false">IF($A1218="","",IF($A1218&lt;&gt;21,"対象外",IF($AE1218&amp;""="00000000","在職",IF($AE1218&amp;""=設定!$C$4,"4/1喪失","その他喪失"))))</f>
        <v/>
      </c>
    </row>
    <row r="1219" customFormat="false" ht="15" hidden="false" customHeight="false" outlineLevel="0" collapsed="false">
      <c r="DB1219" s="0" t="str">
        <f aca="false">IF($A1219="","",IF($A1219&lt;&gt;21,"対象外",IF($AE1219&amp;""="00000000","在職",IF($AE1219&amp;""=設定!$C$4,"4/1喪失","その他喪失"))))</f>
        <v/>
      </c>
    </row>
    <row r="1220" customFormat="false" ht="15" hidden="false" customHeight="false" outlineLevel="0" collapsed="false">
      <c r="DB1220" s="0" t="str">
        <f aca="false">IF($A1220="","",IF($A1220&lt;&gt;21,"対象外",IF($AE1220&amp;""="00000000","在職",IF($AE1220&amp;""=設定!$C$4,"4/1喪失","その他喪失"))))</f>
        <v/>
      </c>
    </row>
    <row r="1221" customFormat="false" ht="15" hidden="false" customHeight="false" outlineLevel="0" collapsed="false">
      <c r="DB1221" s="0" t="str">
        <f aca="false">IF($A1221="","",IF($A1221&lt;&gt;21,"対象外",IF($AE1221&amp;""="00000000","在職",IF($AE1221&amp;""=設定!$C$4,"4/1喪失","その他喪失"))))</f>
        <v/>
      </c>
    </row>
    <row r="1222" customFormat="false" ht="15" hidden="false" customHeight="false" outlineLevel="0" collapsed="false">
      <c r="DB1222" s="0" t="str">
        <f aca="false">IF($A1222="","",IF($A1222&lt;&gt;21,"対象外",IF($AE1222&amp;""="00000000","在職",IF($AE1222&amp;""=設定!$C$4,"4/1喪失","その他喪失"))))</f>
        <v/>
      </c>
    </row>
    <row r="1223" customFormat="false" ht="15" hidden="false" customHeight="false" outlineLevel="0" collapsed="false">
      <c r="DB1223" s="0" t="str">
        <f aca="false">IF($A1223="","",IF($A1223&lt;&gt;21,"対象外",IF($AE1223&amp;""="00000000","在職",IF($AE1223&amp;""=設定!$C$4,"4/1喪失","その他喪失"))))</f>
        <v/>
      </c>
    </row>
    <row r="1224" customFormat="false" ht="15" hidden="false" customHeight="false" outlineLevel="0" collapsed="false">
      <c r="DB1224" s="0" t="str">
        <f aca="false">IF($A1224="","",IF($A1224&lt;&gt;21,"対象外",IF($AE1224&amp;""="00000000","在職",IF($AE1224&amp;""=設定!$C$4,"4/1喪失","その他喪失"))))</f>
        <v/>
      </c>
    </row>
    <row r="1225" customFormat="false" ht="15" hidden="false" customHeight="false" outlineLevel="0" collapsed="false">
      <c r="DB1225" s="0" t="str">
        <f aca="false">IF($A1225="","",IF($A1225&lt;&gt;21,"対象外",IF($AE1225&amp;""="00000000","在職",IF($AE1225&amp;""=設定!$C$4,"4/1喪失","その他喪失"))))</f>
        <v/>
      </c>
    </row>
    <row r="1226" customFormat="false" ht="15" hidden="false" customHeight="false" outlineLevel="0" collapsed="false">
      <c r="DB1226" s="0" t="str">
        <f aca="false">IF($A1226="","",IF($A1226&lt;&gt;21,"対象外",IF($AE1226&amp;""="00000000","在職",IF($AE1226&amp;""=設定!$C$4,"4/1喪失","その他喪失"))))</f>
        <v/>
      </c>
    </row>
    <row r="1227" customFormat="false" ht="15" hidden="false" customHeight="false" outlineLevel="0" collapsed="false">
      <c r="DB1227" s="0" t="str">
        <f aca="false">IF($A1227="","",IF($A1227&lt;&gt;21,"対象外",IF($AE1227&amp;""="00000000","在職",IF($AE1227&amp;""=設定!$C$4,"4/1喪失","その他喪失"))))</f>
        <v/>
      </c>
    </row>
    <row r="1228" customFormat="false" ht="15" hidden="false" customHeight="false" outlineLevel="0" collapsed="false">
      <c r="DB1228" s="0" t="str">
        <f aca="false">IF($A1228="","",IF($A1228&lt;&gt;21,"対象外",IF($AE1228&amp;""="00000000","在職",IF($AE1228&amp;""=設定!$C$4,"4/1喪失","その他喪失"))))</f>
        <v/>
      </c>
    </row>
    <row r="1229" customFormat="false" ht="15" hidden="false" customHeight="false" outlineLevel="0" collapsed="false">
      <c r="DB1229" s="0" t="str">
        <f aca="false">IF($A1229="","",IF($A1229&lt;&gt;21,"対象外",IF($AE1229&amp;""="00000000","在職",IF($AE1229&amp;""=設定!$C$4,"4/1喪失","その他喪失"))))</f>
        <v/>
      </c>
    </row>
    <row r="1230" customFormat="false" ht="15" hidden="false" customHeight="false" outlineLevel="0" collapsed="false">
      <c r="DB1230" s="0" t="str">
        <f aca="false">IF($A1230="","",IF($A1230&lt;&gt;21,"対象外",IF($AE1230&amp;""="00000000","在職",IF($AE1230&amp;""=設定!$C$4,"4/1喪失","その他喪失"))))</f>
        <v/>
      </c>
    </row>
    <row r="1231" customFormat="false" ht="15" hidden="false" customHeight="false" outlineLevel="0" collapsed="false">
      <c r="DB1231" s="0" t="str">
        <f aca="false">IF($A1231="","",IF($A1231&lt;&gt;21,"対象外",IF($AE1231&amp;""="00000000","在職",IF($AE1231&amp;""=設定!$C$4,"4/1喪失","その他喪失"))))</f>
        <v/>
      </c>
    </row>
    <row r="1232" customFormat="false" ht="15" hidden="false" customHeight="false" outlineLevel="0" collapsed="false">
      <c r="DB1232" s="0" t="str">
        <f aca="false">IF($A1232="","",IF($A1232&lt;&gt;21,"対象外",IF($AE1232&amp;""="00000000","在職",IF($AE1232&amp;""=設定!$C$4,"4/1喪失","その他喪失"))))</f>
        <v/>
      </c>
    </row>
    <row r="1233" customFormat="false" ht="15" hidden="false" customHeight="false" outlineLevel="0" collapsed="false">
      <c r="DB1233" s="0" t="str">
        <f aca="false">IF($A1233="","",IF($A1233&lt;&gt;21,"対象外",IF($AE1233&amp;""="00000000","在職",IF($AE1233&amp;""=設定!$C$4,"4/1喪失","その他喪失"))))</f>
        <v/>
      </c>
    </row>
    <row r="1234" customFormat="false" ht="15" hidden="false" customHeight="false" outlineLevel="0" collapsed="false">
      <c r="DB1234" s="0" t="str">
        <f aca="false">IF($A1234="","",IF($A1234&lt;&gt;21,"対象外",IF($AE1234&amp;""="00000000","在職",IF($AE1234&amp;""=設定!$C$4,"4/1喪失","その他喪失"))))</f>
        <v/>
      </c>
    </row>
    <row r="1235" customFormat="false" ht="15" hidden="false" customHeight="false" outlineLevel="0" collapsed="false">
      <c r="DB1235" s="0" t="str">
        <f aca="false">IF($A1235="","",IF($A1235&lt;&gt;21,"対象外",IF($AE1235&amp;""="00000000","在職",IF($AE1235&amp;""=設定!$C$4,"4/1喪失","その他喪失"))))</f>
        <v/>
      </c>
    </row>
    <row r="1236" customFormat="false" ht="15" hidden="false" customHeight="false" outlineLevel="0" collapsed="false">
      <c r="DB1236" s="0" t="str">
        <f aca="false">IF($A1236="","",IF($A1236&lt;&gt;21,"対象外",IF($AE1236&amp;""="00000000","在職",IF($AE1236&amp;""=設定!$C$4,"4/1喪失","その他喪失"))))</f>
        <v/>
      </c>
    </row>
    <row r="1237" customFormat="false" ht="15" hidden="false" customHeight="false" outlineLevel="0" collapsed="false">
      <c r="DB1237" s="0" t="str">
        <f aca="false">IF($A1237="","",IF($A1237&lt;&gt;21,"対象外",IF($AE1237&amp;""="00000000","在職",IF($AE1237&amp;""=設定!$C$4,"4/1喪失","その他喪失"))))</f>
        <v/>
      </c>
    </row>
    <row r="1238" customFormat="false" ht="15" hidden="false" customHeight="false" outlineLevel="0" collapsed="false">
      <c r="DB1238" s="0" t="str">
        <f aca="false">IF($A1238="","",IF($A1238&lt;&gt;21,"対象外",IF($AE1238&amp;""="00000000","在職",IF($AE1238&amp;""=設定!$C$4,"4/1喪失","その他喪失"))))</f>
        <v/>
      </c>
    </row>
    <row r="1239" customFormat="false" ht="15" hidden="false" customHeight="false" outlineLevel="0" collapsed="false">
      <c r="DB1239" s="0" t="str">
        <f aca="false">IF($A1239="","",IF($A1239&lt;&gt;21,"対象外",IF($AE1239&amp;""="00000000","在職",IF($AE1239&amp;""=設定!$C$4,"4/1喪失","その他喪失"))))</f>
        <v/>
      </c>
    </row>
    <row r="1240" customFormat="false" ht="15" hidden="false" customHeight="false" outlineLevel="0" collapsed="false">
      <c r="DB1240" s="0" t="str">
        <f aca="false">IF($A1240="","",IF($A1240&lt;&gt;21,"対象外",IF($AE1240&amp;""="00000000","在職",IF($AE1240&amp;""=設定!$C$4,"4/1喪失","その他喪失"))))</f>
        <v/>
      </c>
    </row>
    <row r="1241" customFormat="false" ht="15" hidden="false" customHeight="false" outlineLevel="0" collapsed="false">
      <c r="DB1241" s="0" t="str">
        <f aca="false">IF($A1241="","",IF($A1241&lt;&gt;21,"対象外",IF($AE1241&amp;""="00000000","在職",IF($AE1241&amp;""=設定!$C$4,"4/1喪失","その他喪失"))))</f>
        <v/>
      </c>
    </row>
    <row r="1242" customFormat="false" ht="15" hidden="false" customHeight="false" outlineLevel="0" collapsed="false">
      <c r="DB1242" s="0" t="str">
        <f aca="false">IF($A1242="","",IF($A1242&lt;&gt;21,"対象外",IF($AE1242&amp;""="00000000","在職",IF($AE1242&amp;""=設定!$C$4,"4/1喪失","その他喪失"))))</f>
        <v/>
      </c>
    </row>
    <row r="1243" customFormat="false" ht="15" hidden="false" customHeight="false" outlineLevel="0" collapsed="false">
      <c r="DB1243" s="0" t="str">
        <f aca="false">IF($A1243="","",IF($A1243&lt;&gt;21,"対象外",IF($AE1243&amp;""="00000000","在職",IF($AE1243&amp;""=設定!$C$4,"4/1喪失","その他喪失"))))</f>
        <v/>
      </c>
    </row>
    <row r="1244" customFormat="false" ht="15" hidden="false" customHeight="false" outlineLevel="0" collapsed="false">
      <c r="DB1244" s="0" t="str">
        <f aca="false">IF($A1244="","",IF($A1244&lt;&gt;21,"対象外",IF($AE1244&amp;""="00000000","在職",IF($AE1244&amp;""=設定!$C$4,"4/1喪失","その他喪失"))))</f>
        <v/>
      </c>
    </row>
    <row r="1245" customFormat="false" ht="15" hidden="false" customHeight="false" outlineLevel="0" collapsed="false">
      <c r="DB1245" s="0" t="str">
        <f aca="false">IF($A1245="","",IF($A1245&lt;&gt;21,"対象外",IF($AE1245&amp;""="00000000","在職",IF($AE1245&amp;""=設定!$C$4,"4/1喪失","その他喪失"))))</f>
        <v/>
      </c>
    </row>
    <row r="1246" customFormat="false" ht="15" hidden="false" customHeight="false" outlineLevel="0" collapsed="false">
      <c r="DB1246" s="0" t="str">
        <f aca="false">IF($A1246="","",IF($A1246&lt;&gt;21,"対象外",IF($AE1246&amp;""="00000000","在職",IF($AE1246&amp;""=設定!$C$4,"4/1喪失","その他喪失"))))</f>
        <v/>
      </c>
    </row>
    <row r="1247" customFormat="false" ht="15" hidden="false" customHeight="false" outlineLevel="0" collapsed="false">
      <c r="DB1247" s="0" t="str">
        <f aca="false">IF($A1247="","",IF($A1247&lt;&gt;21,"対象外",IF($AE1247&amp;""="00000000","在職",IF($AE1247&amp;""=設定!$C$4,"4/1喪失","その他喪失"))))</f>
        <v/>
      </c>
    </row>
    <row r="1248" customFormat="false" ht="15" hidden="false" customHeight="false" outlineLevel="0" collapsed="false">
      <c r="DB1248" s="0" t="str">
        <f aca="false">IF($A1248="","",IF($A1248&lt;&gt;21,"対象外",IF($AE1248&amp;""="00000000","在職",IF($AE1248&amp;""=設定!$C$4,"4/1喪失","その他喪失"))))</f>
        <v/>
      </c>
    </row>
    <row r="1249" customFormat="false" ht="15" hidden="false" customHeight="false" outlineLevel="0" collapsed="false">
      <c r="DB1249" s="0" t="str">
        <f aca="false">IF($A1249="","",IF($A1249&lt;&gt;21,"対象外",IF($AE1249&amp;""="00000000","在職",IF($AE1249&amp;""=設定!$C$4,"4/1喪失","その他喪失"))))</f>
        <v/>
      </c>
    </row>
    <row r="1250" customFormat="false" ht="15" hidden="false" customHeight="false" outlineLevel="0" collapsed="false">
      <c r="DB1250" s="0" t="str">
        <f aca="false">IF($A1250="","",IF($A1250&lt;&gt;21,"対象外",IF($AE1250&amp;""="00000000","在職",IF($AE1250&amp;""=設定!$C$4,"4/1喪失","その他喪失"))))</f>
        <v/>
      </c>
    </row>
    <row r="1251" customFormat="false" ht="15" hidden="false" customHeight="false" outlineLevel="0" collapsed="false">
      <c r="DB1251" s="0" t="str">
        <f aca="false">IF($A1251="","",IF($A1251&lt;&gt;21,"対象外",IF($AE1251&amp;""="00000000","在職",IF($AE1251&amp;""=設定!$C$4,"4/1喪失","その他喪失"))))</f>
        <v/>
      </c>
    </row>
    <row r="1252" customFormat="false" ht="15" hidden="false" customHeight="false" outlineLevel="0" collapsed="false">
      <c r="DB1252" s="0" t="str">
        <f aca="false">IF($A1252="","",IF($A1252&lt;&gt;21,"対象外",IF($AE1252&amp;""="00000000","在職",IF($AE1252&amp;""=設定!$C$4,"4/1喪失","その他喪失"))))</f>
        <v/>
      </c>
    </row>
    <row r="1253" customFormat="false" ht="15" hidden="false" customHeight="false" outlineLevel="0" collapsed="false">
      <c r="DB1253" s="0" t="str">
        <f aca="false">IF($A1253="","",IF($A1253&lt;&gt;21,"対象外",IF($AE1253&amp;""="00000000","在職",IF($AE1253&amp;""=設定!$C$4,"4/1喪失","その他喪失"))))</f>
        <v/>
      </c>
    </row>
    <row r="1254" customFormat="false" ht="15" hidden="false" customHeight="false" outlineLevel="0" collapsed="false">
      <c r="DB1254" s="0" t="str">
        <f aca="false">IF($A1254="","",IF($A1254&lt;&gt;21,"対象外",IF($AE1254&amp;""="00000000","在職",IF($AE1254&amp;""=設定!$C$4,"4/1喪失","その他喪失"))))</f>
        <v/>
      </c>
    </row>
    <row r="1255" customFormat="false" ht="15" hidden="false" customHeight="false" outlineLevel="0" collapsed="false">
      <c r="DB1255" s="0" t="str">
        <f aca="false">IF($A1255="","",IF($A1255&lt;&gt;21,"対象外",IF($AE1255&amp;""="00000000","在職",IF($AE1255&amp;""=設定!$C$4,"4/1喪失","その他喪失"))))</f>
        <v/>
      </c>
    </row>
    <row r="1256" customFormat="false" ht="15" hidden="false" customHeight="false" outlineLevel="0" collapsed="false">
      <c r="DB1256" s="0" t="str">
        <f aca="false">IF($A1256="","",IF($A1256&lt;&gt;21,"対象外",IF($AE1256&amp;""="00000000","在職",IF($AE1256&amp;""=設定!$C$4,"4/1喪失","その他喪失"))))</f>
        <v/>
      </c>
    </row>
    <row r="1257" customFormat="false" ht="15" hidden="false" customHeight="false" outlineLevel="0" collapsed="false">
      <c r="DB1257" s="0" t="str">
        <f aca="false">IF($A1257="","",IF($A1257&lt;&gt;21,"対象外",IF($AE1257&amp;""="00000000","在職",IF($AE1257&amp;""=設定!$C$4,"4/1喪失","その他喪失"))))</f>
        <v/>
      </c>
    </row>
    <row r="1258" customFormat="false" ht="15" hidden="false" customHeight="false" outlineLevel="0" collapsed="false">
      <c r="DB1258" s="0" t="str">
        <f aca="false">IF($A1258="","",IF($A1258&lt;&gt;21,"対象外",IF($AE1258&amp;""="00000000","在職",IF($AE1258&amp;""=設定!$C$4,"4/1喪失","その他喪失"))))</f>
        <v/>
      </c>
    </row>
    <row r="1259" customFormat="false" ht="15" hidden="false" customHeight="false" outlineLevel="0" collapsed="false">
      <c r="DB1259" s="0" t="str">
        <f aca="false">IF($A1259="","",IF($A1259&lt;&gt;21,"対象外",IF($AE1259&amp;""="00000000","在職",IF($AE1259&amp;""=設定!$C$4,"4/1喪失","その他喪失"))))</f>
        <v/>
      </c>
    </row>
    <row r="1260" customFormat="false" ht="15" hidden="false" customHeight="false" outlineLevel="0" collapsed="false">
      <c r="DB1260" s="0" t="str">
        <f aca="false">IF($A1260="","",IF($A1260&lt;&gt;21,"対象外",IF($AE1260&amp;""="00000000","在職",IF($AE1260&amp;""=設定!$C$4,"4/1喪失","その他喪失"))))</f>
        <v/>
      </c>
    </row>
    <row r="1261" customFormat="false" ht="15" hidden="false" customHeight="false" outlineLevel="0" collapsed="false">
      <c r="DB1261" s="0" t="str">
        <f aca="false">IF($A1261="","",IF($A1261&lt;&gt;21,"対象外",IF($AE1261&amp;""="00000000","在職",IF($AE1261&amp;""=設定!$C$4,"4/1喪失","その他喪失"))))</f>
        <v/>
      </c>
    </row>
    <row r="1262" customFormat="false" ht="15" hidden="false" customHeight="false" outlineLevel="0" collapsed="false">
      <c r="DB1262" s="0" t="str">
        <f aca="false">IF($A1262="","",IF($A1262&lt;&gt;21,"対象外",IF($AE1262&amp;""="00000000","在職",IF($AE1262&amp;""=設定!$C$4,"4/1喪失","その他喪失"))))</f>
        <v/>
      </c>
    </row>
    <row r="1263" customFormat="false" ht="15" hidden="false" customHeight="false" outlineLevel="0" collapsed="false">
      <c r="DB1263" s="0" t="str">
        <f aca="false">IF($A1263="","",IF($A1263&lt;&gt;21,"対象外",IF($AE1263&amp;""="00000000","在職",IF($AE1263&amp;""=設定!$C$4,"4/1喪失","その他喪失"))))</f>
        <v/>
      </c>
    </row>
    <row r="1264" customFormat="false" ht="15" hidden="false" customHeight="false" outlineLevel="0" collapsed="false">
      <c r="DB1264" s="0" t="str">
        <f aca="false">IF($A1264="","",IF($A1264&lt;&gt;21,"対象外",IF($AE1264&amp;""="00000000","在職",IF($AE1264&amp;""=設定!$C$4,"4/1喪失","その他喪失"))))</f>
        <v/>
      </c>
    </row>
    <row r="1265" customFormat="false" ht="15" hidden="false" customHeight="false" outlineLevel="0" collapsed="false">
      <c r="DB1265" s="0" t="str">
        <f aca="false">IF($A1265="","",IF($A1265&lt;&gt;21,"対象外",IF($AE1265&amp;""="00000000","在職",IF($AE1265&amp;""=設定!$C$4,"4/1喪失","その他喪失"))))</f>
        <v/>
      </c>
    </row>
    <row r="1266" customFormat="false" ht="15" hidden="false" customHeight="false" outlineLevel="0" collapsed="false">
      <c r="DB1266" s="0" t="str">
        <f aca="false">IF($A1266="","",IF($A1266&lt;&gt;21,"対象外",IF($AE1266&amp;""="00000000","在職",IF($AE1266&amp;""=設定!$C$4,"4/1喪失","その他喪失"))))</f>
        <v/>
      </c>
    </row>
    <row r="1267" customFormat="false" ht="15" hidden="false" customHeight="false" outlineLevel="0" collapsed="false">
      <c r="DB1267" s="0" t="str">
        <f aca="false">IF($A1267="","",IF($A1267&lt;&gt;21,"対象外",IF($AE1267&amp;""="00000000","在職",IF($AE1267&amp;""=設定!$C$4,"4/1喪失","その他喪失"))))</f>
        <v/>
      </c>
    </row>
    <row r="1268" customFormat="false" ht="15" hidden="false" customHeight="false" outlineLevel="0" collapsed="false">
      <c r="DB1268" s="0" t="str">
        <f aca="false">IF($A1268="","",IF($A1268&lt;&gt;21,"対象外",IF($AE1268&amp;""="00000000","在職",IF($AE1268&amp;""=設定!$C$4,"4/1喪失","その他喪失"))))</f>
        <v/>
      </c>
    </row>
    <row r="1269" customFormat="false" ht="15" hidden="false" customHeight="false" outlineLevel="0" collapsed="false">
      <c r="DB1269" s="0" t="str">
        <f aca="false">IF($A1269="","",IF($A1269&lt;&gt;21,"対象外",IF($AE1269&amp;""="00000000","在職",IF($AE1269&amp;""=設定!$C$4,"4/1喪失","その他喪失"))))</f>
        <v/>
      </c>
    </row>
    <row r="1270" customFormat="false" ht="15" hidden="false" customHeight="false" outlineLevel="0" collapsed="false">
      <c r="DB1270" s="0" t="str">
        <f aca="false">IF($A1270="","",IF($A1270&lt;&gt;21,"対象外",IF($AE1270&amp;""="00000000","在職",IF($AE1270&amp;""=設定!$C$4,"4/1喪失","その他喪失"))))</f>
        <v/>
      </c>
    </row>
    <row r="1271" customFormat="false" ht="15" hidden="false" customHeight="false" outlineLevel="0" collapsed="false">
      <c r="DB1271" s="0" t="str">
        <f aca="false">IF($A1271="","",IF($A1271&lt;&gt;21,"対象外",IF($AE1271&amp;""="00000000","在職",IF($AE1271&amp;""=設定!$C$4,"4/1喪失","その他喪失"))))</f>
        <v/>
      </c>
    </row>
    <row r="1272" customFormat="false" ht="15" hidden="false" customHeight="false" outlineLevel="0" collapsed="false">
      <c r="DB1272" s="0" t="str">
        <f aca="false">IF($A1272="","",IF($A1272&lt;&gt;21,"対象外",IF($AE1272&amp;""="00000000","在職",IF($AE1272&amp;""=設定!$C$4,"4/1喪失","その他喪失"))))</f>
        <v/>
      </c>
    </row>
    <row r="1273" customFormat="false" ht="15" hidden="false" customHeight="false" outlineLevel="0" collapsed="false">
      <c r="DB1273" s="0" t="str">
        <f aca="false">IF($A1273="","",IF($A1273&lt;&gt;21,"対象外",IF($AE1273&amp;""="00000000","在職",IF($AE1273&amp;""=設定!$C$4,"4/1喪失","その他喪失"))))</f>
        <v/>
      </c>
    </row>
    <row r="1274" customFormat="false" ht="15" hidden="false" customHeight="false" outlineLevel="0" collapsed="false">
      <c r="DB1274" s="0" t="str">
        <f aca="false">IF($A1274="","",IF($A1274&lt;&gt;21,"対象外",IF($AE1274&amp;""="00000000","在職",IF($AE1274&amp;""=設定!$C$4,"4/1喪失","その他喪失"))))</f>
        <v/>
      </c>
    </row>
    <row r="1275" customFormat="false" ht="15" hidden="false" customHeight="false" outlineLevel="0" collapsed="false">
      <c r="DB1275" s="0" t="str">
        <f aca="false">IF($A1275="","",IF($A1275&lt;&gt;21,"対象外",IF($AE1275&amp;""="00000000","在職",IF($AE1275&amp;""=設定!$C$4,"4/1喪失","その他喪失"))))</f>
        <v/>
      </c>
    </row>
    <row r="1276" customFormat="false" ht="15" hidden="false" customHeight="false" outlineLevel="0" collapsed="false">
      <c r="DB1276" s="0" t="str">
        <f aca="false">IF($A1276="","",IF($A1276&lt;&gt;21,"対象外",IF($AE1276&amp;""="00000000","在職",IF($AE1276&amp;""=設定!$C$4,"4/1喪失","その他喪失"))))</f>
        <v/>
      </c>
    </row>
    <row r="1277" customFormat="false" ht="15" hidden="false" customHeight="false" outlineLevel="0" collapsed="false">
      <c r="DB1277" s="0" t="str">
        <f aca="false">IF($A1277="","",IF($A1277&lt;&gt;21,"対象外",IF($AE1277&amp;""="00000000","在職",IF($AE1277&amp;""=設定!$C$4,"4/1喪失","その他喪失"))))</f>
        <v/>
      </c>
    </row>
    <row r="1278" customFormat="false" ht="15" hidden="false" customHeight="false" outlineLevel="0" collapsed="false">
      <c r="DB1278" s="0" t="str">
        <f aca="false">IF($A1278="","",IF($A1278&lt;&gt;21,"対象外",IF($AE1278&amp;""="00000000","在職",IF($AE1278&amp;""=設定!$C$4,"4/1喪失","その他喪失"))))</f>
        <v/>
      </c>
    </row>
    <row r="1279" customFormat="false" ht="15" hidden="false" customHeight="false" outlineLevel="0" collapsed="false">
      <c r="DB1279" s="0" t="str">
        <f aca="false">IF($A1279="","",IF($A1279&lt;&gt;21,"対象外",IF($AE1279&amp;""="00000000","在職",IF($AE1279&amp;""=設定!$C$4,"4/1喪失","その他喪失"))))</f>
        <v/>
      </c>
    </row>
    <row r="1280" customFormat="false" ht="15" hidden="false" customHeight="false" outlineLevel="0" collapsed="false">
      <c r="DB1280" s="0" t="str">
        <f aca="false">IF($A1280="","",IF($A1280&lt;&gt;21,"対象外",IF($AE1280&amp;""="00000000","在職",IF($AE1280&amp;""=設定!$C$4,"4/1喪失","その他喪失"))))</f>
        <v/>
      </c>
    </row>
    <row r="1281" customFormat="false" ht="15" hidden="false" customHeight="false" outlineLevel="0" collapsed="false">
      <c r="DB1281" s="0" t="str">
        <f aca="false">IF($A1281="","",IF($A1281&lt;&gt;21,"対象外",IF($AE1281&amp;""="00000000","在職",IF($AE1281&amp;""=設定!$C$4,"4/1喪失","その他喪失"))))</f>
        <v/>
      </c>
    </row>
    <row r="1282" customFormat="false" ht="15" hidden="false" customHeight="false" outlineLevel="0" collapsed="false">
      <c r="DB1282" s="0" t="str">
        <f aca="false">IF($A1282="","",IF($A1282&lt;&gt;21,"対象外",IF($AE1282&amp;""="00000000","在職",IF($AE1282&amp;""=設定!$C$4,"4/1喪失","その他喪失"))))</f>
        <v/>
      </c>
    </row>
    <row r="1283" customFormat="false" ht="15" hidden="false" customHeight="false" outlineLevel="0" collapsed="false">
      <c r="DB1283" s="0" t="str">
        <f aca="false">IF($A1283="","",IF($A1283&lt;&gt;21,"対象外",IF($AE1283&amp;""="00000000","在職",IF($AE1283&amp;""=設定!$C$4,"4/1喪失","その他喪失"))))</f>
        <v/>
      </c>
    </row>
    <row r="1284" customFormat="false" ht="15" hidden="false" customHeight="false" outlineLevel="0" collapsed="false">
      <c r="DB1284" s="0" t="str">
        <f aca="false">IF($A1284="","",IF($A1284&lt;&gt;21,"対象外",IF($AE1284&amp;""="00000000","在職",IF($AE1284&amp;""=設定!$C$4,"4/1喪失","その他喪失"))))</f>
        <v/>
      </c>
    </row>
    <row r="1285" customFormat="false" ht="15" hidden="false" customHeight="false" outlineLevel="0" collapsed="false">
      <c r="DB1285" s="0" t="str">
        <f aca="false">IF($A1285="","",IF($A1285&lt;&gt;21,"対象外",IF($AE1285&amp;""="00000000","在職",IF($AE1285&amp;""=設定!$C$4,"4/1喪失","その他喪失"))))</f>
        <v/>
      </c>
    </row>
    <row r="1286" customFormat="false" ht="15" hidden="false" customHeight="false" outlineLevel="0" collapsed="false">
      <c r="DB1286" s="0" t="str">
        <f aca="false">IF($A1286="","",IF($A1286&lt;&gt;21,"対象外",IF($AE1286&amp;""="00000000","在職",IF($AE1286&amp;""=設定!$C$4,"4/1喪失","その他喪失"))))</f>
        <v/>
      </c>
    </row>
    <row r="1287" customFormat="false" ht="15" hidden="false" customHeight="false" outlineLevel="0" collapsed="false">
      <c r="DB1287" s="0" t="str">
        <f aca="false">IF($A1287="","",IF($A1287&lt;&gt;21,"対象外",IF($AE1287&amp;""="00000000","在職",IF($AE1287&amp;""=設定!$C$4,"4/1喪失","その他喪失"))))</f>
        <v/>
      </c>
    </row>
    <row r="1288" customFormat="false" ht="15" hidden="false" customHeight="false" outlineLevel="0" collapsed="false">
      <c r="DB1288" s="0" t="str">
        <f aca="false">IF($A1288="","",IF($A1288&lt;&gt;21,"対象外",IF($AE1288&amp;""="00000000","在職",IF($AE1288&amp;""=設定!$C$4,"4/1喪失","その他喪失"))))</f>
        <v/>
      </c>
    </row>
    <row r="1289" customFormat="false" ht="15" hidden="false" customHeight="false" outlineLevel="0" collapsed="false">
      <c r="DB1289" s="0" t="str">
        <f aca="false">IF($A1289="","",IF($A1289&lt;&gt;21,"対象外",IF($AE1289&amp;""="00000000","在職",IF($AE1289&amp;""=設定!$C$4,"4/1喪失","その他喪失"))))</f>
        <v/>
      </c>
    </row>
    <row r="1290" customFormat="false" ht="15" hidden="false" customHeight="false" outlineLevel="0" collapsed="false">
      <c r="DB1290" s="0" t="str">
        <f aca="false">IF($A1290="","",IF($A1290&lt;&gt;21,"対象外",IF($AE1290&amp;""="00000000","在職",IF($AE1290&amp;""=設定!$C$4,"4/1喪失","その他喪失"))))</f>
        <v/>
      </c>
    </row>
    <row r="1291" customFormat="false" ht="15" hidden="false" customHeight="false" outlineLevel="0" collapsed="false">
      <c r="DB1291" s="0" t="str">
        <f aca="false">IF($A1291="","",IF($A1291&lt;&gt;21,"対象外",IF($AE1291&amp;""="00000000","在職",IF($AE1291&amp;""=設定!$C$4,"4/1喪失","その他喪失"))))</f>
        <v/>
      </c>
    </row>
    <row r="1292" customFormat="false" ht="15" hidden="false" customHeight="false" outlineLevel="0" collapsed="false">
      <c r="DB1292" s="0" t="str">
        <f aca="false">IF($A1292="","",IF($A1292&lt;&gt;21,"対象外",IF($AE1292&amp;""="00000000","在職",IF($AE1292&amp;""=設定!$C$4,"4/1喪失","その他喪失"))))</f>
        <v/>
      </c>
    </row>
    <row r="1293" customFormat="false" ht="15" hidden="false" customHeight="false" outlineLevel="0" collapsed="false">
      <c r="DB1293" s="0" t="str">
        <f aca="false">IF($A1293="","",IF($A1293&lt;&gt;21,"対象外",IF($AE1293&amp;""="00000000","在職",IF($AE1293&amp;""=設定!$C$4,"4/1喪失","その他喪失"))))</f>
        <v/>
      </c>
    </row>
    <row r="1294" customFormat="false" ht="15" hidden="false" customHeight="false" outlineLevel="0" collapsed="false">
      <c r="DB1294" s="0" t="str">
        <f aca="false">IF($A1294="","",IF($A1294&lt;&gt;21,"対象外",IF($AE1294&amp;""="00000000","在職",IF($AE1294&amp;""=設定!$C$4,"4/1喪失","その他喪失"))))</f>
        <v/>
      </c>
    </row>
    <row r="1295" customFormat="false" ht="15" hidden="false" customHeight="false" outlineLevel="0" collapsed="false">
      <c r="DB1295" s="0" t="str">
        <f aca="false">IF($A1295="","",IF($A1295&lt;&gt;21,"対象外",IF($AE1295&amp;""="00000000","在職",IF($AE1295&amp;""=設定!$C$4,"4/1喪失","その他喪失"))))</f>
        <v/>
      </c>
    </row>
    <row r="1296" customFormat="false" ht="15" hidden="false" customHeight="false" outlineLevel="0" collapsed="false">
      <c r="DB1296" s="0" t="str">
        <f aca="false">IF($A1296="","",IF($A1296&lt;&gt;21,"対象外",IF($AE1296&amp;""="00000000","在職",IF($AE1296&amp;""=設定!$C$4,"4/1喪失","その他喪失"))))</f>
        <v/>
      </c>
    </row>
    <row r="1297" customFormat="false" ht="15" hidden="false" customHeight="false" outlineLevel="0" collapsed="false">
      <c r="DB1297" s="0" t="str">
        <f aca="false">IF($A1297="","",IF($A1297&lt;&gt;21,"対象外",IF($AE1297&amp;""="00000000","在職",IF($AE1297&amp;""=設定!$C$4,"4/1喪失","その他喪失"))))</f>
        <v/>
      </c>
    </row>
    <row r="1298" customFormat="false" ht="15" hidden="false" customHeight="false" outlineLevel="0" collapsed="false">
      <c r="DB1298" s="0" t="str">
        <f aca="false">IF($A1298="","",IF($A1298&lt;&gt;21,"対象外",IF($AE1298&amp;""="00000000","在職",IF($AE1298&amp;""=設定!$C$4,"4/1喪失","その他喪失"))))</f>
        <v/>
      </c>
    </row>
    <row r="1299" customFormat="false" ht="15" hidden="false" customHeight="false" outlineLevel="0" collapsed="false">
      <c r="DB1299" s="0" t="str">
        <f aca="false">IF($A1299="","",IF($A1299&lt;&gt;21,"対象外",IF($AE1299&amp;""="00000000","在職",IF($AE1299&amp;""=設定!$C$4,"4/1喪失","その他喪失"))))</f>
        <v/>
      </c>
    </row>
    <row r="1300" customFormat="false" ht="15" hidden="false" customHeight="false" outlineLevel="0" collapsed="false">
      <c r="DB1300" s="0" t="str">
        <f aca="false">IF($A1300="","",IF($A1300&lt;&gt;21,"対象外",IF($AE1300&amp;""="00000000","在職",IF($AE1300&amp;""=設定!$C$4,"4/1喪失","その他喪失"))))</f>
        <v/>
      </c>
    </row>
    <row r="1301" customFormat="false" ht="15" hidden="false" customHeight="false" outlineLevel="0" collapsed="false">
      <c r="DB1301" s="0" t="str">
        <f aca="false">IF($A1301="","",IF($A1301&lt;&gt;21,"対象外",IF($AE1301&amp;""="00000000","在職",IF($AE1301&amp;""=設定!$C$4,"4/1喪失","その他喪失"))))</f>
        <v/>
      </c>
    </row>
    <row r="1302" customFormat="false" ht="15" hidden="false" customHeight="false" outlineLevel="0" collapsed="false">
      <c r="DB1302" s="0" t="str">
        <f aca="false">IF($A1302="","",IF($A1302&lt;&gt;21,"対象外",IF($AE1302&amp;""="00000000","在職",IF($AE1302&amp;""=設定!$C$4,"4/1喪失","その他喪失"))))</f>
        <v/>
      </c>
    </row>
    <row r="1303" customFormat="false" ht="15" hidden="false" customHeight="false" outlineLevel="0" collapsed="false">
      <c r="DB1303" s="0" t="str">
        <f aca="false">IF($A1303="","",IF($A1303&lt;&gt;21,"対象外",IF($AE1303&amp;""="00000000","在職",IF($AE1303&amp;""=設定!$C$4,"4/1喪失","その他喪失"))))</f>
        <v/>
      </c>
    </row>
    <row r="1304" customFormat="false" ht="15" hidden="false" customHeight="false" outlineLevel="0" collapsed="false">
      <c r="DB1304" s="0" t="str">
        <f aca="false">IF($A1304="","",IF($A1304&lt;&gt;21,"対象外",IF($AE1304&amp;""="00000000","在職",IF($AE1304&amp;""=設定!$C$4,"4/1喪失","その他喪失"))))</f>
        <v/>
      </c>
    </row>
    <row r="1305" customFormat="false" ht="15" hidden="false" customHeight="false" outlineLevel="0" collapsed="false">
      <c r="DB1305" s="0" t="str">
        <f aca="false">IF($A1305="","",IF($A1305&lt;&gt;21,"対象外",IF($AE1305&amp;""="00000000","在職",IF($AE1305&amp;""=設定!$C$4,"4/1喪失","その他喪失"))))</f>
        <v/>
      </c>
    </row>
    <row r="1306" customFormat="false" ht="15" hidden="false" customHeight="false" outlineLevel="0" collapsed="false">
      <c r="DB1306" s="0" t="str">
        <f aca="false">IF($A1306="","",IF($A1306&lt;&gt;21,"対象外",IF($AE1306&amp;""="00000000","在職",IF($AE1306&amp;""=設定!$C$4,"4/1喪失","その他喪失"))))</f>
        <v/>
      </c>
    </row>
    <row r="1307" customFormat="false" ht="15" hidden="false" customHeight="false" outlineLevel="0" collapsed="false">
      <c r="DB1307" s="0" t="str">
        <f aca="false">IF($A1307="","",IF($A1307&lt;&gt;21,"対象外",IF($AE1307&amp;""="00000000","在職",IF($AE1307&amp;""=設定!$C$4,"4/1喪失","その他喪失"))))</f>
        <v/>
      </c>
    </row>
    <row r="1308" customFormat="false" ht="15" hidden="false" customHeight="false" outlineLevel="0" collapsed="false">
      <c r="DB1308" s="0" t="str">
        <f aca="false">IF($A1308="","",IF($A1308&lt;&gt;21,"対象外",IF($AE1308&amp;""="00000000","在職",IF($AE1308&amp;""=設定!$C$4,"4/1喪失","その他喪失"))))</f>
        <v/>
      </c>
    </row>
    <row r="1309" customFormat="false" ht="15" hidden="false" customHeight="false" outlineLevel="0" collapsed="false">
      <c r="DB1309" s="0" t="str">
        <f aca="false">IF($A1309="","",IF($A1309&lt;&gt;21,"対象外",IF($AE1309&amp;""="00000000","在職",IF($AE1309&amp;""=設定!$C$4,"4/1喪失","その他喪失"))))</f>
        <v/>
      </c>
    </row>
    <row r="1310" customFormat="false" ht="15" hidden="false" customHeight="false" outlineLevel="0" collapsed="false">
      <c r="DB1310" s="0" t="str">
        <f aca="false">IF($A1310="","",IF($A1310&lt;&gt;21,"対象外",IF($AE1310&amp;""="00000000","在職",IF($AE1310&amp;""=設定!$C$4,"4/1喪失","その他喪失"))))</f>
        <v/>
      </c>
    </row>
    <row r="1311" customFormat="false" ht="15" hidden="false" customHeight="false" outlineLevel="0" collapsed="false">
      <c r="DB1311" s="0" t="str">
        <f aca="false">IF($A1311="","",IF($A1311&lt;&gt;21,"対象外",IF($AE1311&amp;""="00000000","在職",IF($AE1311&amp;""=設定!$C$4,"4/1喪失","その他喪失"))))</f>
        <v/>
      </c>
    </row>
    <row r="1312" customFormat="false" ht="15" hidden="false" customHeight="false" outlineLevel="0" collapsed="false">
      <c r="DB1312" s="0" t="str">
        <f aca="false">IF($A1312="","",IF($A1312&lt;&gt;21,"対象外",IF($AE1312&amp;""="00000000","在職",IF($AE1312&amp;""=設定!$C$4,"4/1喪失","その他喪失"))))</f>
        <v/>
      </c>
    </row>
    <row r="1313" customFormat="false" ht="15" hidden="false" customHeight="false" outlineLevel="0" collapsed="false">
      <c r="DB1313" s="0" t="str">
        <f aca="false">IF($A1313="","",IF($A1313&lt;&gt;21,"対象外",IF($AE1313&amp;""="00000000","在職",IF($AE1313&amp;""=設定!$C$4,"4/1喪失","その他喪失"))))</f>
        <v/>
      </c>
    </row>
    <row r="1314" customFormat="false" ht="15" hidden="false" customHeight="false" outlineLevel="0" collapsed="false">
      <c r="DB1314" s="0" t="str">
        <f aca="false">IF($A1314="","",IF($A1314&lt;&gt;21,"対象外",IF($AE1314&amp;""="00000000","在職",IF($AE1314&amp;""=設定!$C$4,"4/1喪失","その他喪失"))))</f>
        <v/>
      </c>
    </row>
    <row r="1315" customFormat="false" ht="15" hidden="false" customHeight="false" outlineLevel="0" collapsed="false">
      <c r="DB1315" s="0" t="str">
        <f aca="false">IF($A1315="","",IF($A1315&lt;&gt;21,"対象外",IF($AE1315&amp;""="00000000","在職",IF($AE1315&amp;""=設定!$C$4,"4/1喪失","その他喪失"))))</f>
        <v/>
      </c>
    </row>
    <row r="1316" customFormat="false" ht="15" hidden="false" customHeight="false" outlineLevel="0" collapsed="false">
      <c r="DB1316" s="0" t="str">
        <f aca="false">IF($A1316="","",IF($A1316&lt;&gt;21,"対象外",IF($AE1316&amp;""="00000000","在職",IF($AE1316&amp;""=設定!$C$4,"4/1喪失","その他喪失"))))</f>
        <v/>
      </c>
    </row>
    <row r="1317" customFormat="false" ht="15" hidden="false" customHeight="false" outlineLevel="0" collapsed="false">
      <c r="DB1317" s="0" t="str">
        <f aca="false">IF($A1317="","",IF($A1317&lt;&gt;21,"対象外",IF($AE1317&amp;""="00000000","在職",IF($AE1317&amp;""=設定!$C$4,"4/1喪失","その他喪失"))))</f>
        <v/>
      </c>
    </row>
    <row r="1318" customFormat="false" ht="15" hidden="false" customHeight="false" outlineLevel="0" collapsed="false">
      <c r="DB1318" s="0" t="str">
        <f aca="false">IF($A1318="","",IF($A1318&lt;&gt;21,"対象外",IF($AE1318&amp;""="00000000","在職",IF($AE1318&amp;""=設定!$C$4,"4/1喪失","その他喪失"))))</f>
        <v/>
      </c>
    </row>
    <row r="1319" customFormat="false" ht="15" hidden="false" customHeight="false" outlineLevel="0" collapsed="false">
      <c r="DB1319" s="0" t="str">
        <f aca="false">IF($A1319="","",IF($A1319&lt;&gt;21,"対象外",IF($AE1319&amp;""="00000000","在職",IF($AE1319&amp;""=設定!$C$4,"4/1喪失","その他喪失"))))</f>
        <v/>
      </c>
    </row>
    <row r="1320" customFormat="false" ht="15" hidden="false" customHeight="false" outlineLevel="0" collapsed="false">
      <c r="DB1320" s="0" t="str">
        <f aca="false">IF($A1320="","",IF($A1320&lt;&gt;21,"対象外",IF($AE1320&amp;""="00000000","在職",IF($AE1320&amp;""=設定!$C$4,"4/1喪失","その他喪失"))))</f>
        <v/>
      </c>
    </row>
    <row r="1321" customFormat="false" ht="15" hidden="false" customHeight="false" outlineLevel="0" collapsed="false">
      <c r="DB1321" s="0" t="str">
        <f aca="false">IF($A1321="","",IF($A1321&lt;&gt;21,"対象外",IF($AE1321&amp;""="00000000","在職",IF($AE1321&amp;""=設定!$C$4,"4/1喪失","その他喪失"))))</f>
        <v/>
      </c>
    </row>
    <row r="1322" customFormat="false" ht="15" hidden="false" customHeight="false" outlineLevel="0" collapsed="false">
      <c r="DB1322" s="0" t="str">
        <f aca="false">IF($A1322="","",IF($A1322&lt;&gt;21,"対象外",IF($AE1322&amp;""="00000000","在職",IF($AE1322&amp;""=設定!$C$4,"4/1喪失","その他喪失"))))</f>
        <v/>
      </c>
    </row>
    <row r="1323" customFormat="false" ht="15" hidden="false" customHeight="false" outlineLevel="0" collapsed="false">
      <c r="DB1323" s="0" t="str">
        <f aca="false">IF($A1323="","",IF($A1323&lt;&gt;21,"対象外",IF($AE1323&amp;""="00000000","在職",IF($AE1323&amp;""=設定!$C$4,"4/1喪失","その他喪失"))))</f>
        <v/>
      </c>
    </row>
    <row r="1324" customFormat="false" ht="15" hidden="false" customHeight="false" outlineLevel="0" collapsed="false">
      <c r="DB1324" s="0" t="str">
        <f aca="false">IF($A1324="","",IF($A1324&lt;&gt;21,"対象外",IF($AE1324&amp;""="00000000","在職",IF($AE1324&amp;""=設定!$C$4,"4/1喪失","その他喪失"))))</f>
        <v/>
      </c>
    </row>
    <row r="1325" customFormat="false" ht="15" hidden="false" customHeight="false" outlineLevel="0" collapsed="false">
      <c r="DB1325" s="0" t="str">
        <f aca="false">IF($A1325="","",IF($A1325&lt;&gt;21,"対象外",IF($AE1325&amp;""="00000000","在職",IF($AE1325&amp;""=設定!$C$4,"4/1喪失","その他喪失"))))</f>
        <v/>
      </c>
    </row>
    <row r="1326" customFormat="false" ht="15" hidden="false" customHeight="false" outlineLevel="0" collapsed="false">
      <c r="DB1326" s="0" t="str">
        <f aca="false">IF($A1326="","",IF($A1326&lt;&gt;21,"対象外",IF($AE1326&amp;""="00000000","在職",IF($AE1326&amp;""=設定!$C$4,"4/1喪失","その他喪失"))))</f>
        <v/>
      </c>
    </row>
    <row r="1327" customFormat="false" ht="15" hidden="false" customHeight="false" outlineLevel="0" collapsed="false">
      <c r="DB1327" s="0" t="str">
        <f aca="false">IF($A1327="","",IF($A1327&lt;&gt;21,"対象外",IF($AE1327&amp;""="00000000","在職",IF($AE1327&amp;""=設定!$C$4,"4/1喪失","その他喪失"))))</f>
        <v/>
      </c>
    </row>
    <row r="1328" customFormat="false" ht="15" hidden="false" customHeight="false" outlineLevel="0" collapsed="false">
      <c r="DB1328" s="0" t="str">
        <f aca="false">IF($A1328="","",IF($A1328&lt;&gt;21,"対象外",IF($AE1328&amp;""="00000000","在職",IF($AE1328&amp;""=設定!$C$4,"4/1喪失","その他喪失"))))</f>
        <v/>
      </c>
    </row>
    <row r="1329" customFormat="false" ht="15" hidden="false" customHeight="false" outlineLevel="0" collapsed="false">
      <c r="DB1329" s="0" t="str">
        <f aca="false">IF($A1329="","",IF($A1329&lt;&gt;21,"対象外",IF($AE1329&amp;""="00000000","在職",IF($AE1329&amp;""=設定!$C$4,"4/1喪失","その他喪失"))))</f>
        <v/>
      </c>
    </row>
    <row r="1330" customFormat="false" ht="15" hidden="false" customHeight="false" outlineLevel="0" collapsed="false">
      <c r="DB1330" s="0" t="str">
        <f aca="false">IF($A1330="","",IF($A1330&lt;&gt;21,"対象外",IF($AE1330&amp;""="00000000","在職",IF($AE1330&amp;""=設定!$C$4,"4/1喪失","その他喪失"))))</f>
        <v/>
      </c>
    </row>
    <row r="1331" customFormat="false" ht="15" hidden="false" customHeight="false" outlineLevel="0" collapsed="false">
      <c r="DB1331" s="0" t="str">
        <f aca="false">IF($A1331="","",IF($A1331&lt;&gt;21,"対象外",IF($AE1331&amp;""="00000000","在職",IF($AE1331&amp;""=設定!$C$4,"4/1喪失","その他喪失"))))</f>
        <v/>
      </c>
    </row>
    <row r="1332" customFormat="false" ht="15" hidden="false" customHeight="false" outlineLevel="0" collapsed="false">
      <c r="DB1332" s="0" t="str">
        <f aca="false">IF($A1332="","",IF($A1332&lt;&gt;21,"対象外",IF($AE1332&amp;""="00000000","在職",IF($AE1332&amp;""=設定!$C$4,"4/1喪失","その他喪失"))))</f>
        <v/>
      </c>
    </row>
    <row r="1333" customFormat="false" ht="15" hidden="false" customHeight="false" outlineLevel="0" collapsed="false">
      <c r="DB1333" s="0" t="str">
        <f aca="false">IF($A1333="","",IF($A1333&lt;&gt;21,"対象外",IF($AE1333&amp;""="00000000","在職",IF($AE1333&amp;""=設定!$C$4,"4/1喪失","その他喪失"))))</f>
        <v/>
      </c>
    </row>
    <row r="1334" customFormat="false" ht="15" hidden="false" customHeight="false" outlineLevel="0" collapsed="false">
      <c r="DB1334" s="0" t="str">
        <f aca="false">IF($A1334="","",IF($A1334&lt;&gt;21,"対象外",IF($AE1334&amp;""="00000000","在職",IF($AE1334&amp;""=設定!$C$4,"4/1喪失","その他喪失"))))</f>
        <v/>
      </c>
    </row>
    <row r="1335" customFormat="false" ht="15" hidden="false" customHeight="false" outlineLevel="0" collapsed="false">
      <c r="DB1335" s="0" t="str">
        <f aca="false">IF($A1335="","",IF($A1335&lt;&gt;21,"対象外",IF($AE1335&amp;""="00000000","在職",IF($AE1335&amp;""=設定!$C$4,"4/1喪失","その他喪失"))))</f>
        <v/>
      </c>
    </row>
    <row r="1336" customFormat="false" ht="15" hidden="false" customHeight="false" outlineLevel="0" collapsed="false">
      <c r="DB1336" s="0" t="str">
        <f aca="false">IF($A1336="","",IF($A1336&lt;&gt;21,"対象外",IF($AE1336&amp;""="00000000","在職",IF($AE1336&amp;""=設定!$C$4,"4/1喪失","その他喪失"))))</f>
        <v/>
      </c>
    </row>
    <row r="1337" customFormat="false" ht="15" hidden="false" customHeight="false" outlineLevel="0" collapsed="false">
      <c r="DB1337" s="0" t="str">
        <f aca="false">IF($A1337="","",IF($A1337&lt;&gt;21,"対象外",IF($AE1337&amp;""="00000000","在職",IF($AE1337&amp;""=設定!$C$4,"4/1喪失","その他喪失"))))</f>
        <v/>
      </c>
    </row>
    <row r="1338" customFormat="false" ht="15" hidden="false" customHeight="false" outlineLevel="0" collapsed="false">
      <c r="DB1338" s="0" t="str">
        <f aca="false">IF($A1338="","",IF($A1338&lt;&gt;21,"対象外",IF($AE1338&amp;""="00000000","在職",IF($AE1338&amp;""=設定!$C$4,"4/1喪失","その他喪失"))))</f>
        <v/>
      </c>
    </row>
    <row r="1339" customFormat="false" ht="15" hidden="false" customHeight="false" outlineLevel="0" collapsed="false">
      <c r="DB1339" s="0" t="str">
        <f aca="false">IF($A1339="","",IF($A1339&lt;&gt;21,"対象外",IF($AE1339&amp;""="00000000","在職",IF($AE1339&amp;""=設定!$C$4,"4/1喪失","その他喪失"))))</f>
        <v/>
      </c>
    </row>
    <row r="1340" customFormat="false" ht="15" hidden="false" customHeight="false" outlineLevel="0" collapsed="false">
      <c r="DB1340" s="0" t="str">
        <f aca="false">IF($A1340="","",IF($A1340&lt;&gt;21,"対象外",IF($AE1340&amp;""="00000000","在職",IF($AE1340&amp;""=設定!$C$4,"4/1喪失","その他喪失"))))</f>
        <v/>
      </c>
    </row>
    <row r="1341" customFormat="false" ht="15" hidden="false" customHeight="false" outlineLevel="0" collapsed="false">
      <c r="DB1341" s="0" t="str">
        <f aca="false">IF($A1341="","",IF($A1341&lt;&gt;21,"対象外",IF($AE1341&amp;""="00000000","在職",IF($AE1341&amp;""=設定!$C$4,"4/1喪失","その他喪失"))))</f>
        <v/>
      </c>
    </row>
    <row r="1342" customFormat="false" ht="15" hidden="false" customHeight="false" outlineLevel="0" collapsed="false">
      <c r="DB1342" s="0" t="str">
        <f aca="false">IF($A1342="","",IF($A1342&lt;&gt;21,"対象外",IF($AE1342&amp;""="00000000","在職",IF($AE1342&amp;""=設定!$C$4,"4/1喪失","その他喪失"))))</f>
        <v/>
      </c>
    </row>
    <row r="1343" customFormat="false" ht="15" hidden="false" customHeight="false" outlineLevel="0" collapsed="false">
      <c r="DB1343" s="0" t="str">
        <f aca="false">IF($A1343="","",IF($A1343&lt;&gt;21,"対象外",IF($AE1343&amp;""="00000000","在職",IF($AE1343&amp;""=設定!$C$4,"4/1喪失","その他喪失"))))</f>
        <v/>
      </c>
    </row>
    <row r="1344" customFormat="false" ht="15" hidden="false" customHeight="false" outlineLevel="0" collapsed="false">
      <c r="DB1344" s="0" t="str">
        <f aca="false">IF($A1344="","",IF($A1344&lt;&gt;21,"対象外",IF($AE1344&amp;""="00000000","在職",IF($AE1344&amp;""=設定!$C$4,"4/1喪失","その他喪失"))))</f>
        <v/>
      </c>
    </row>
    <row r="1345" customFormat="false" ht="15" hidden="false" customHeight="false" outlineLevel="0" collapsed="false">
      <c r="DB1345" s="0" t="str">
        <f aca="false">IF($A1345="","",IF($A1345&lt;&gt;21,"対象外",IF($AE1345&amp;""="00000000","在職",IF($AE1345&amp;""=設定!$C$4,"4/1喪失","その他喪失"))))</f>
        <v/>
      </c>
    </row>
    <row r="1346" customFormat="false" ht="15" hidden="false" customHeight="false" outlineLevel="0" collapsed="false">
      <c r="DB1346" s="0" t="str">
        <f aca="false">IF($A1346="","",IF($A1346&lt;&gt;21,"対象外",IF($AE1346&amp;""="00000000","在職",IF($AE1346&amp;""=設定!$C$4,"4/1喪失","その他喪失"))))</f>
        <v/>
      </c>
    </row>
    <row r="1347" customFormat="false" ht="15" hidden="false" customHeight="false" outlineLevel="0" collapsed="false">
      <c r="DB1347" s="0" t="str">
        <f aca="false">IF($A1347="","",IF($A1347&lt;&gt;21,"対象外",IF($AE1347&amp;""="00000000","在職",IF($AE1347&amp;""=設定!$C$4,"4/1喪失","その他喪失"))))</f>
        <v/>
      </c>
    </row>
    <row r="1348" customFormat="false" ht="15" hidden="false" customHeight="false" outlineLevel="0" collapsed="false">
      <c r="DB1348" s="0" t="str">
        <f aca="false">IF($A1348="","",IF($A1348&lt;&gt;21,"対象外",IF($AE1348&amp;""="00000000","在職",IF($AE1348&amp;""=設定!$C$4,"4/1喪失","その他喪失"))))</f>
        <v/>
      </c>
    </row>
    <row r="1349" customFormat="false" ht="15" hidden="false" customHeight="false" outlineLevel="0" collapsed="false">
      <c r="DB1349" s="0" t="str">
        <f aca="false">IF($A1349="","",IF($A1349&lt;&gt;21,"対象外",IF($AE1349&amp;""="00000000","在職",IF($AE1349&amp;""=設定!$C$4,"4/1喪失","その他喪失"))))</f>
        <v/>
      </c>
    </row>
    <row r="1350" customFormat="false" ht="15" hidden="false" customHeight="false" outlineLevel="0" collapsed="false">
      <c r="DB1350" s="0" t="str">
        <f aca="false">IF($A1350="","",IF($A1350&lt;&gt;21,"対象外",IF($AE1350&amp;""="00000000","在職",IF($AE1350&amp;""=設定!$C$4,"4/1喪失","その他喪失"))))</f>
        <v/>
      </c>
    </row>
    <row r="1351" customFormat="false" ht="15" hidden="false" customHeight="false" outlineLevel="0" collapsed="false">
      <c r="DB1351" s="0" t="str">
        <f aca="false">IF($A1351="","",IF($A1351&lt;&gt;21,"対象外",IF($AE1351&amp;""="00000000","在職",IF($AE1351&amp;""=設定!$C$4,"4/1喪失","その他喪失"))))</f>
        <v/>
      </c>
    </row>
    <row r="1352" customFormat="false" ht="15" hidden="false" customHeight="false" outlineLevel="0" collapsed="false">
      <c r="DB1352" s="0" t="str">
        <f aca="false">IF($A1352="","",IF($A1352&lt;&gt;21,"対象外",IF($AE1352&amp;""="00000000","在職",IF($AE1352&amp;""=設定!$C$4,"4/1喪失","その他喪失"))))</f>
        <v/>
      </c>
    </row>
    <row r="1353" customFormat="false" ht="15" hidden="false" customHeight="false" outlineLevel="0" collapsed="false">
      <c r="DB1353" s="0" t="str">
        <f aca="false">IF($A1353="","",IF($A1353&lt;&gt;21,"対象外",IF($AE1353&amp;""="00000000","在職",IF($AE1353&amp;""=設定!$C$4,"4/1喪失","その他喪失"))))</f>
        <v/>
      </c>
    </row>
    <row r="1354" customFormat="false" ht="15" hidden="false" customHeight="false" outlineLevel="0" collapsed="false">
      <c r="DB1354" s="0" t="str">
        <f aca="false">IF($A1354="","",IF($A1354&lt;&gt;21,"対象外",IF($AE1354&amp;""="00000000","在職",IF($AE1354&amp;""=設定!$C$4,"4/1喪失","その他喪失"))))</f>
        <v/>
      </c>
    </row>
    <row r="1355" customFormat="false" ht="15" hidden="false" customHeight="false" outlineLevel="0" collapsed="false">
      <c r="DB1355" s="0" t="str">
        <f aca="false">IF($A1355="","",IF($A1355&lt;&gt;21,"対象外",IF($AE1355&amp;""="00000000","在職",IF($AE1355&amp;""=設定!$C$4,"4/1喪失","その他喪失"))))</f>
        <v/>
      </c>
    </row>
    <row r="1356" customFormat="false" ht="15" hidden="false" customHeight="false" outlineLevel="0" collapsed="false">
      <c r="DB1356" s="0" t="str">
        <f aca="false">IF($A1356="","",IF($A1356&lt;&gt;21,"対象外",IF($AE1356&amp;""="00000000","在職",IF($AE1356&amp;""=設定!$C$4,"4/1喪失","その他喪失"))))</f>
        <v/>
      </c>
    </row>
    <row r="1357" customFormat="false" ht="15" hidden="false" customHeight="false" outlineLevel="0" collapsed="false">
      <c r="DB1357" s="0" t="str">
        <f aca="false">IF($A1357="","",IF($A1357&lt;&gt;21,"対象外",IF($AE1357&amp;""="00000000","在職",IF($AE1357&amp;""=設定!$C$4,"4/1喪失","その他喪失"))))</f>
        <v/>
      </c>
    </row>
    <row r="1358" customFormat="false" ht="15" hidden="false" customHeight="false" outlineLevel="0" collapsed="false">
      <c r="DB1358" s="0" t="str">
        <f aca="false">IF($A1358="","",IF($A1358&lt;&gt;21,"対象外",IF($AE1358&amp;""="00000000","在職",IF($AE1358&amp;""=設定!$C$4,"4/1喪失","その他喪失"))))</f>
        <v/>
      </c>
    </row>
    <row r="1359" customFormat="false" ht="15" hidden="false" customHeight="false" outlineLevel="0" collapsed="false">
      <c r="DB1359" s="0" t="str">
        <f aca="false">IF($A1359="","",IF($A1359&lt;&gt;21,"対象外",IF($AE1359&amp;""="00000000","在職",IF($AE1359&amp;""=設定!$C$4,"4/1喪失","その他喪失"))))</f>
        <v/>
      </c>
    </row>
    <row r="1360" customFormat="false" ht="15" hidden="false" customHeight="false" outlineLevel="0" collapsed="false">
      <c r="DB1360" s="0" t="str">
        <f aca="false">IF($A1360="","",IF($A1360&lt;&gt;21,"対象外",IF($AE1360&amp;""="00000000","在職",IF($AE1360&amp;""=設定!$C$4,"4/1喪失","その他喪失"))))</f>
        <v/>
      </c>
    </row>
    <row r="1361" customFormat="false" ht="15" hidden="false" customHeight="false" outlineLevel="0" collapsed="false">
      <c r="DB1361" s="0" t="str">
        <f aca="false">IF($A1361="","",IF($A1361&lt;&gt;21,"対象外",IF($AE1361&amp;""="00000000","在職",IF($AE1361&amp;""=設定!$C$4,"4/1喪失","その他喪失"))))</f>
        <v/>
      </c>
    </row>
    <row r="1362" customFormat="false" ht="15" hidden="false" customHeight="false" outlineLevel="0" collapsed="false">
      <c r="DB1362" s="0" t="str">
        <f aca="false">IF($A1362="","",IF($A1362&lt;&gt;21,"対象外",IF($AE1362&amp;""="00000000","在職",IF($AE1362&amp;""=設定!$C$4,"4/1喪失","その他喪失"))))</f>
        <v/>
      </c>
    </row>
    <row r="1363" customFormat="false" ht="15" hidden="false" customHeight="false" outlineLevel="0" collapsed="false">
      <c r="DB1363" s="0" t="str">
        <f aca="false">IF($A1363="","",IF($A1363&lt;&gt;21,"対象外",IF($AE1363&amp;""="00000000","在職",IF($AE1363&amp;""=設定!$C$4,"4/1喪失","その他喪失"))))</f>
        <v/>
      </c>
    </row>
    <row r="1364" customFormat="false" ht="15" hidden="false" customHeight="false" outlineLevel="0" collapsed="false">
      <c r="DB1364" s="0" t="str">
        <f aca="false">IF($A1364="","",IF($A1364&lt;&gt;21,"対象外",IF($AE1364&amp;""="00000000","在職",IF($AE1364&amp;""=設定!$C$4,"4/1喪失","その他喪失"))))</f>
        <v/>
      </c>
    </row>
    <row r="1365" customFormat="false" ht="15" hidden="false" customHeight="false" outlineLevel="0" collapsed="false">
      <c r="DB1365" s="0" t="str">
        <f aca="false">IF($A1365="","",IF($A1365&lt;&gt;21,"対象外",IF($AE1365&amp;""="00000000","在職",IF($AE1365&amp;""=設定!$C$4,"4/1喪失","その他喪失"))))</f>
        <v/>
      </c>
    </row>
    <row r="1366" customFormat="false" ht="15" hidden="false" customHeight="false" outlineLevel="0" collapsed="false">
      <c r="DB1366" s="0" t="str">
        <f aca="false">IF($A1366="","",IF($A1366&lt;&gt;21,"対象外",IF($AE1366&amp;""="00000000","在職",IF($AE1366&amp;""=設定!$C$4,"4/1喪失","その他喪失"))))</f>
        <v/>
      </c>
    </row>
    <row r="1367" customFormat="false" ht="15" hidden="false" customHeight="false" outlineLevel="0" collapsed="false">
      <c r="DB1367" s="0" t="str">
        <f aca="false">IF($A1367="","",IF($A1367&lt;&gt;21,"対象外",IF($AE1367&amp;""="00000000","在職",IF($AE1367&amp;""=設定!$C$4,"4/1喪失","その他喪失"))))</f>
        <v/>
      </c>
    </row>
    <row r="1368" customFormat="false" ht="15" hidden="false" customHeight="false" outlineLevel="0" collapsed="false">
      <c r="DB1368" s="0" t="str">
        <f aca="false">IF($A1368="","",IF($A1368&lt;&gt;21,"対象外",IF($AE1368&amp;""="00000000","在職",IF($AE1368&amp;""=設定!$C$4,"4/1喪失","その他喪失"))))</f>
        <v/>
      </c>
    </row>
    <row r="1369" customFormat="false" ht="15" hidden="false" customHeight="false" outlineLevel="0" collapsed="false">
      <c r="DB1369" s="0" t="str">
        <f aca="false">IF($A1369="","",IF($A1369&lt;&gt;21,"対象外",IF($AE1369&amp;""="00000000","在職",IF($AE1369&amp;""=設定!$C$4,"4/1喪失","その他喪失"))))</f>
        <v/>
      </c>
    </row>
    <row r="1370" customFormat="false" ht="15" hidden="false" customHeight="false" outlineLevel="0" collapsed="false">
      <c r="DB1370" s="0" t="str">
        <f aca="false">IF($A1370="","",IF($A1370&lt;&gt;21,"対象外",IF($AE1370&amp;""="00000000","在職",IF($AE1370&amp;""=設定!$C$4,"4/1喪失","その他喪失"))))</f>
        <v/>
      </c>
    </row>
    <row r="1371" customFormat="false" ht="15" hidden="false" customHeight="false" outlineLevel="0" collapsed="false">
      <c r="DB1371" s="0" t="str">
        <f aca="false">IF($A1371="","",IF($A1371&lt;&gt;21,"対象外",IF($AE1371&amp;""="00000000","在職",IF($AE1371&amp;""=設定!$C$4,"4/1喪失","その他喪失"))))</f>
        <v/>
      </c>
    </row>
    <row r="1372" customFormat="false" ht="15" hidden="false" customHeight="false" outlineLevel="0" collapsed="false">
      <c r="DB1372" s="0" t="str">
        <f aca="false">IF($A1372="","",IF($A1372&lt;&gt;21,"対象外",IF($AE1372&amp;""="00000000","在職",IF($AE1372&amp;""=設定!$C$4,"4/1喪失","その他喪失"))))</f>
        <v/>
      </c>
    </row>
    <row r="1373" customFormat="false" ht="15" hidden="false" customHeight="false" outlineLevel="0" collapsed="false">
      <c r="DB1373" s="0" t="str">
        <f aca="false">IF($A1373="","",IF($A1373&lt;&gt;21,"対象外",IF($AE1373&amp;""="00000000","在職",IF($AE1373&amp;""=設定!$C$4,"4/1喪失","その他喪失"))))</f>
        <v/>
      </c>
    </row>
    <row r="1374" customFormat="false" ht="15" hidden="false" customHeight="false" outlineLevel="0" collapsed="false">
      <c r="DB1374" s="0" t="str">
        <f aca="false">IF($A1374="","",IF($A1374&lt;&gt;21,"対象外",IF($AE1374&amp;""="00000000","在職",IF($AE1374&amp;""=設定!$C$4,"4/1喪失","その他喪失"))))</f>
        <v/>
      </c>
    </row>
    <row r="1375" customFormat="false" ht="15" hidden="false" customHeight="false" outlineLevel="0" collapsed="false">
      <c r="DB1375" s="0" t="str">
        <f aca="false">IF($A1375="","",IF($A1375&lt;&gt;21,"対象外",IF($AE1375&amp;""="00000000","在職",IF($AE1375&amp;""=設定!$C$4,"4/1喪失","その他喪失"))))</f>
        <v/>
      </c>
    </row>
    <row r="1376" customFormat="false" ht="15" hidden="false" customHeight="false" outlineLevel="0" collapsed="false">
      <c r="DB1376" s="0" t="str">
        <f aca="false">IF($A1376="","",IF($A1376&lt;&gt;21,"対象外",IF($AE1376&amp;""="00000000","在職",IF($AE1376&amp;""=設定!$C$4,"4/1喪失","その他喪失"))))</f>
        <v/>
      </c>
    </row>
    <row r="1377" customFormat="false" ht="15" hidden="false" customHeight="false" outlineLevel="0" collapsed="false">
      <c r="DB1377" s="0" t="str">
        <f aca="false">IF($A1377="","",IF($A1377&lt;&gt;21,"対象外",IF($AE1377&amp;""="00000000","在職",IF($AE1377&amp;""=設定!$C$4,"4/1喪失","その他喪失"))))</f>
        <v/>
      </c>
    </row>
    <row r="1378" customFormat="false" ht="15" hidden="false" customHeight="false" outlineLevel="0" collapsed="false">
      <c r="DB1378" s="0" t="str">
        <f aca="false">IF($A1378="","",IF($A1378&lt;&gt;21,"対象外",IF($AE1378&amp;""="00000000","在職",IF($AE1378&amp;""=設定!$C$4,"4/1喪失","その他喪失"))))</f>
        <v/>
      </c>
    </row>
    <row r="1379" customFormat="false" ht="15" hidden="false" customHeight="false" outlineLevel="0" collapsed="false">
      <c r="DB1379" s="0" t="str">
        <f aca="false">IF($A1379="","",IF($A1379&lt;&gt;21,"対象外",IF($AE1379&amp;""="00000000","在職",IF($AE1379&amp;""=設定!$C$4,"4/1喪失","その他喪失"))))</f>
        <v/>
      </c>
    </row>
    <row r="1380" customFormat="false" ht="15" hidden="false" customHeight="false" outlineLevel="0" collapsed="false">
      <c r="DB1380" s="0" t="str">
        <f aca="false">IF($A1380="","",IF($A1380&lt;&gt;21,"対象外",IF($AE1380&amp;""="00000000","在職",IF($AE1380&amp;""=設定!$C$4,"4/1喪失","その他喪失"))))</f>
        <v/>
      </c>
    </row>
    <row r="1381" customFormat="false" ht="15" hidden="false" customHeight="false" outlineLevel="0" collapsed="false">
      <c r="DB1381" s="0" t="str">
        <f aca="false">IF($A1381="","",IF($A1381&lt;&gt;21,"対象外",IF($AE1381&amp;""="00000000","在職",IF($AE1381&amp;""=設定!$C$4,"4/1喪失","その他喪失"))))</f>
        <v/>
      </c>
    </row>
    <row r="1382" customFormat="false" ht="15" hidden="false" customHeight="false" outlineLevel="0" collapsed="false">
      <c r="DB1382" s="0" t="str">
        <f aca="false">IF($A1382="","",IF($A1382&lt;&gt;21,"対象外",IF($AE1382&amp;""="00000000","在職",IF($AE1382&amp;""=設定!$C$4,"4/1喪失","その他喪失"))))</f>
        <v/>
      </c>
    </row>
    <row r="1383" customFormat="false" ht="15" hidden="false" customHeight="false" outlineLevel="0" collapsed="false">
      <c r="DB1383" s="0" t="str">
        <f aca="false">IF($A1383="","",IF($A1383&lt;&gt;21,"対象外",IF($AE1383&amp;""="00000000","在職",IF($AE1383&amp;""=設定!$C$4,"4/1喪失","その他喪失"))))</f>
        <v/>
      </c>
    </row>
    <row r="1384" customFormat="false" ht="15" hidden="false" customHeight="false" outlineLevel="0" collapsed="false">
      <c r="DB1384" s="0" t="str">
        <f aca="false">IF($A1384="","",IF($A1384&lt;&gt;21,"対象外",IF($AE1384&amp;""="00000000","在職",IF($AE1384&amp;""=設定!$C$4,"4/1喪失","その他喪失"))))</f>
        <v/>
      </c>
    </row>
    <row r="1385" customFormat="false" ht="15" hidden="false" customHeight="false" outlineLevel="0" collapsed="false">
      <c r="DB1385" s="0" t="str">
        <f aca="false">IF($A1385="","",IF($A1385&lt;&gt;21,"対象外",IF($AE1385&amp;""="00000000","在職",IF($AE1385&amp;""=設定!$C$4,"4/1喪失","その他喪失"))))</f>
        <v/>
      </c>
    </row>
    <row r="1386" customFormat="false" ht="15" hidden="false" customHeight="false" outlineLevel="0" collapsed="false">
      <c r="DB1386" s="0" t="str">
        <f aca="false">IF($A1386="","",IF($A1386&lt;&gt;21,"対象外",IF($AE1386&amp;""="00000000","在職",IF($AE1386&amp;""=設定!$C$4,"4/1喪失","その他喪失"))))</f>
        <v/>
      </c>
    </row>
    <row r="1387" customFormat="false" ht="15" hidden="false" customHeight="false" outlineLevel="0" collapsed="false">
      <c r="DB1387" s="0" t="str">
        <f aca="false">IF($A1387="","",IF($A1387&lt;&gt;21,"対象外",IF($AE1387&amp;""="00000000","在職",IF($AE1387&amp;""=設定!$C$4,"4/1喪失","その他喪失"))))</f>
        <v/>
      </c>
    </row>
    <row r="1388" customFormat="false" ht="15" hidden="false" customHeight="false" outlineLevel="0" collapsed="false">
      <c r="DB1388" s="0" t="str">
        <f aca="false">IF($A1388="","",IF($A1388&lt;&gt;21,"対象外",IF($AE1388&amp;""="00000000","在職",IF($AE1388&amp;""=設定!$C$4,"4/1喪失","その他喪失"))))</f>
        <v/>
      </c>
    </row>
    <row r="1389" customFormat="false" ht="15" hidden="false" customHeight="false" outlineLevel="0" collapsed="false">
      <c r="DB1389" s="0" t="str">
        <f aca="false">IF($A1389="","",IF($A1389&lt;&gt;21,"対象外",IF($AE1389&amp;""="00000000","在職",IF($AE1389&amp;""=設定!$C$4,"4/1喪失","その他喪失"))))</f>
        <v/>
      </c>
    </row>
    <row r="1390" customFormat="false" ht="15" hidden="false" customHeight="false" outlineLevel="0" collapsed="false">
      <c r="DB1390" s="0" t="str">
        <f aca="false">IF($A1390="","",IF($A1390&lt;&gt;21,"対象外",IF($AE1390&amp;""="00000000","在職",IF($AE1390&amp;""=設定!$C$4,"4/1喪失","その他喪失"))))</f>
        <v/>
      </c>
    </row>
    <row r="1391" customFormat="false" ht="15" hidden="false" customHeight="false" outlineLevel="0" collapsed="false">
      <c r="DB1391" s="0" t="str">
        <f aca="false">IF($A1391="","",IF($A1391&lt;&gt;21,"対象外",IF($AE1391&amp;""="00000000","在職",IF($AE1391&amp;""=設定!$C$4,"4/1喪失","その他喪失"))))</f>
        <v/>
      </c>
    </row>
    <row r="1392" customFormat="false" ht="15" hidden="false" customHeight="false" outlineLevel="0" collapsed="false">
      <c r="DB1392" s="0" t="str">
        <f aca="false">IF($A1392="","",IF($A1392&lt;&gt;21,"対象外",IF($AE1392&amp;""="00000000","在職",IF($AE1392&amp;""=設定!$C$4,"4/1喪失","その他喪失"))))</f>
        <v/>
      </c>
    </row>
    <row r="1393" customFormat="false" ht="15" hidden="false" customHeight="false" outlineLevel="0" collapsed="false">
      <c r="DB1393" s="0" t="str">
        <f aca="false">IF($A1393="","",IF($A1393&lt;&gt;21,"対象外",IF($AE1393&amp;""="00000000","在職",IF($AE1393&amp;""=設定!$C$4,"4/1喪失","その他喪失"))))</f>
        <v/>
      </c>
    </row>
    <row r="1394" customFormat="false" ht="15" hidden="false" customHeight="false" outlineLevel="0" collapsed="false">
      <c r="DB1394" s="0" t="str">
        <f aca="false">IF($A1394="","",IF($A1394&lt;&gt;21,"対象外",IF($AE1394&amp;""="00000000","在職",IF($AE1394&amp;""=設定!$C$4,"4/1喪失","その他喪失"))))</f>
        <v/>
      </c>
    </row>
    <row r="1395" customFormat="false" ht="15" hidden="false" customHeight="false" outlineLevel="0" collapsed="false">
      <c r="DB1395" s="0" t="str">
        <f aca="false">IF($A1395="","",IF($A1395&lt;&gt;21,"対象外",IF($AE1395&amp;""="00000000","在職",IF($AE1395&amp;""=設定!$C$4,"4/1喪失","その他喪失"))))</f>
        <v/>
      </c>
    </row>
    <row r="1396" customFormat="false" ht="15" hidden="false" customHeight="false" outlineLevel="0" collapsed="false">
      <c r="DB1396" s="0" t="str">
        <f aca="false">IF($A1396="","",IF($A1396&lt;&gt;21,"対象外",IF($AE1396&amp;""="00000000","在職",IF($AE1396&amp;""=設定!$C$4,"4/1喪失","その他喪失"))))</f>
        <v/>
      </c>
    </row>
    <row r="1397" customFormat="false" ht="15" hidden="false" customHeight="false" outlineLevel="0" collapsed="false">
      <c r="DB1397" s="0" t="str">
        <f aca="false">IF($A1397="","",IF($A1397&lt;&gt;21,"対象外",IF($AE1397&amp;""="00000000","在職",IF($AE1397&amp;""=設定!$C$4,"4/1喪失","その他喪失"))))</f>
        <v/>
      </c>
    </row>
    <row r="1398" customFormat="false" ht="15" hidden="false" customHeight="false" outlineLevel="0" collapsed="false">
      <c r="DB1398" s="0" t="str">
        <f aca="false">IF($A1398="","",IF($A1398&lt;&gt;21,"対象外",IF($AE1398&amp;""="00000000","在職",IF($AE1398&amp;""=設定!$C$4,"4/1喪失","その他喪失"))))</f>
        <v/>
      </c>
    </row>
    <row r="1399" customFormat="false" ht="15" hidden="false" customHeight="false" outlineLevel="0" collapsed="false">
      <c r="DB1399" s="0" t="str">
        <f aca="false">IF($A1399="","",IF($A1399&lt;&gt;21,"対象外",IF($AE1399&amp;""="00000000","在職",IF($AE1399&amp;""=設定!$C$4,"4/1喪失","その他喪失"))))</f>
        <v/>
      </c>
    </row>
    <row r="1400" customFormat="false" ht="15" hidden="false" customHeight="false" outlineLevel="0" collapsed="false">
      <c r="DB1400" s="0" t="str">
        <f aca="false">IF($A1400="","",IF($A1400&lt;&gt;21,"対象外",IF($AE1400&amp;""="00000000","在職",IF($AE1400&amp;""=設定!$C$4,"4/1喪失","その他喪失"))))</f>
        <v/>
      </c>
    </row>
    <row r="1401" customFormat="false" ht="15" hidden="false" customHeight="false" outlineLevel="0" collapsed="false">
      <c r="DB1401" s="0" t="str">
        <f aca="false">IF($A1401="","",IF($A1401&lt;&gt;21,"対象外",IF($AE1401&amp;""="00000000","在職",IF($AE1401&amp;""=設定!$C$4,"4/1喪失","その他喪失"))))</f>
        <v/>
      </c>
    </row>
    <row r="1402" customFormat="false" ht="15" hidden="false" customHeight="false" outlineLevel="0" collapsed="false">
      <c r="DB1402" s="0" t="str">
        <f aca="false">IF($A1402="","",IF($A1402&lt;&gt;21,"対象外",IF($AE1402&amp;""="00000000","在職",IF($AE1402&amp;""=設定!$C$4,"4/1喪失","その他喪失"))))</f>
        <v/>
      </c>
    </row>
    <row r="1403" customFormat="false" ht="15" hidden="false" customHeight="false" outlineLevel="0" collapsed="false">
      <c r="DB1403" s="0" t="str">
        <f aca="false">IF($A1403="","",IF($A1403&lt;&gt;21,"対象外",IF($AE1403&amp;""="00000000","在職",IF($AE1403&amp;""=設定!$C$4,"4/1喪失","その他喪失"))))</f>
        <v/>
      </c>
    </row>
    <row r="1404" customFormat="false" ht="15" hidden="false" customHeight="false" outlineLevel="0" collapsed="false">
      <c r="DB1404" s="0" t="str">
        <f aca="false">IF($A1404="","",IF($A1404&lt;&gt;21,"対象外",IF($AE1404&amp;""="00000000","在職",IF($AE1404&amp;""=設定!$C$4,"4/1喪失","その他喪失"))))</f>
        <v/>
      </c>
    </row>
    <row r="1405" customFormat="false" ht="15" hidden="false" customHeight="false" outlineLevel="0" collapsed="false">
      <c r="DB1405" s="0" t="str">
        <f aca="false">IF($A1405="","",IF($A1405&lt;&gt;21,"対象外",IF($AE1405&amp;""="00000000","在職",IF($AE1405&amp;""=設定!$C$4,"4/1喪失","その他喪失"))))</f>
        <v/>
      </c>
    </row>
    <row r="1406" customFormat="false" ht="15" hidden="false" customHeight="false" outlineLevel="0" collapsed="false">
      <c r="DB1406" s="0" t="str">
        <f aca="false">IF($A1406="","",IF($A1406&lt;&gt;21,"対象外",IF($AE1406&amp;""="00000000","在職",IF($AE1406&amp;""=設定!$C$4,"4/1喪失","その他喪失"))))</f>
        <v/>
      </c>
    </row>
    <row r="1407" customFormat="false" ht="15" hidden="false" customHeight="false" outlineLevel="0" collapsed="false">
      <c r="DB1407" s="0" t="str">
        <f aca="false">IF($A1407="","",IF($A1407&lt;&gt;21,"対象外",IF($AE1407&amp;""="00000000","在職",IF($AE1407&amp;""=設定!$C$4,"4/1喪失","その他喪失"))))</f>
        <v/>
      </c>
    </row>
    <row r="1408" customFormat="false" ht="15" hidden="false" customHeight="false" outlineLevel="0" collapsed="false">
      <c r="DB1408" s="0" t="str">
        <f aca="false">IF($A1408="","",IF($A1408&lt;&gt;21,"対象外",IF($AE1408&amp;""="00000000","在職",IF($AE1408&amp;""=設定!$C$4,"4/1喪失","その他喪失"))))</f>
        <v/>
      </c>
    </row>
    <row r="1409" customFormat="false" ht="15" hidden="false" customHeight="false" outlineLevel="0" collapsed="false">
      <c r="DB1409" s="0" t="str">
        <f aca="false">IF($A1409="","",IF($A1409&lt;&gt;21,"対象外",IF($AE1409&amp;""="00000000","在職",IF($AE1409&amp;""=設定!$C$4,"4/1喪失","その他喪失"))))</f>
        <v/>
      </c>
    </row>
    <row r="1410" customFormat="false" ht="15" hidden="false" customHeight="false" outlineLevel="0" collapsed="false">
      <c r="DB1410" s="0" t="str">
        <f aca="false">IF($A1410="","",IF($A1410&lt;&gt;21,"対象外",IF($AE1410&amp;""="00000000","在職",IF($AE1410&amp;""=設定!$C$4,"4/1喪失","その他喪失"))))</f>
        <v/>
      </c>
    </row>
    <row r="1411" customFormat="false" ht="15" hidden="false" customHeight="false" outlineLevel="0" collapsed="false">
      <c r="DB1411" s="0" t="str">
        <f aca="false">IF($A1411="","",IF($A1411&lt;&gt;21,"対象外",IF($AE1411&amp;""="00000000","在職",IF($AE1411&amp;""=設定!$C$4,"4/1喪失","その他喪失"))))</f>
        <v/>
      </c>
    </row>
    <row r="1412" customFormat="false" ht="15" hidden="false" customHeight="false" outlineLevel="0" collapsed="false">
      <c r="DB1412" s="0" t="str">
        <f aca="false">IF($A1412="","",IF($A1412&lt;&gt;21,"対象外",IF($AE1412&amp;""="00000000","在職",IF($AE1412&amp;""=設定!$C$4,"4/1喪失","その他喪失"))))</f>
        <v/>
      </c>
    </row>
    <row r="1413" customFormat="false" ht="15" hidden="false" customHeight="false" outlineLevel="0" collapsed="false">
      <c r="DB1413" s="0" t="str">
        <f aca="false">IF($A1413="","",IF($A1413&lt;&gt;21,"対象外",IF($AE1413&amp;""="00000000","在職",IF($AE1413&amp;""=設定!$C$4,"4/1喪失","その他喪失"))))</f>
        <v/>
      </c>
    </row>
    <row r="1414" customFormat="false" ht="15" hidden="false" customHeight="false" outlineLevel="0" collapsed="false">
      <c r="DB1414" s="0" t="str">
        <f aca="false">IF($A1414="","",IF($A1414&lt;&gt;21,"対象外",IF($AE1414&amp;""="00000000","在職",IF($AE1414&amp;""=設定!$C$4,"4/1喪失","その他喪失"))))</f>
        <v/>
      </c>
    </row>
    <row r="1415" customFormat="false" ht="15" hidden="false" customHeight="false" outlineLevel="0" collapsed="false">
      <c r="DB1415" s="0" t="str">
        <f aca="false">IF($A1415="","",IF($A1415&lt;&gt;21,"対象外",IF($AE1415&amp;""="00000000","在職",IF($AE1415&amp;""=設定!$C$4,"4/1喪失","その他喪失"))))</f>
        <v/>
      </c>
    </row>
    <row r="1416" customFormat="false" ht="15" hidden="false" customHeight="false" outlineLevel="0" collapsed="false">
      <c r="DB1416" s="0" t="str">
        <f aca="false">IF($A1416="","",IF($A1416&lt;&gt;21,"対象外",IF($AE1416&amp;""="00000000","在職",IF($AE1416&amp;""=設定!$C$4,"4/1喪失","その他喪失"))))</f>
        <v/>
      </c>
    </row>
    <row r="1417" customFormat="false" ht="15" hidden="false" customHeight="false" outlineLevel="0" collapsed="false">
      <c r="DB1417" s="0" t="str">
        <f aca="false">IF($A1417="","",IF($A1417&lt;&gt;21,"対象外",IF($AE1417&amp;""="00000000","在職",IF($AE1417&amp;""=設定!$C$4,"4/1喪失","その他喪失"))))</f>
        <v/>
      </c>
    </row>
    <row r="1418" customFormat="false" ht="15" hidden="false" customHeight="false" outlineLevel="0" collapsed="false">
      <c r="DB1418" s="0" t="str">
        <f aca="false">IF($A1418="","",IF($A1418&lt;&gt;21,"対象外",IF($AE1418&amp;""="00000000","在職",IF($AE1418&amp;""=設定!$C$4,"4/1喪失","その他喪失"))))</f>
        <v/>
      </c>
    </row>
    <row r="1419" customFormat="false" ht="15" hidden="false" customHeight="false" outlineLevel="0" collapsed="false">
      <c r="DB1419" s="0" t="str">
        <f aca="false">IF($A1419="","",IF($A1419&lt;&gt;21,"対象外",IF($AE1419&amp;""="00000000","在職",IF($AE1419&amp;""=設定!$C$4,"4/1喪失","その他喪失"))))</f>
        <v/>
      </c>
    </row>
    <row r="1420" customFormat="false" ht="15" hidden="false" customHeight="false" outlineLevel="0" collapsed="false">
      <c r="DB1420" s="0" t="str">
        <f aca="false">IF($A1420="","",IF($A1420&lt;&gt;21,"対象外",IF($AE1420&amp;""="00000000","在職",IF($AE1420&amp;""=設定!$C$4,"4/1喪失","その他喪失"))))</f>
        <v/>
      </c>
    </row>
    <row r="1421" customFormat="false" ht="15" hidden="false" customHeight="false" outlineLevel="0" collapsed="false">
      <c r="DB1421" s="0" t="str">
        <f aca="false">IF($A1421="","",IF($A1421&lt;&gt;21,"対象外",IF($AE1421&amp;""="00000000","在職",IF($AE1421&amp;""=設定!$C$4,"4/1喪失","その他喪失"))))</f>
        <v/>
      </c>
    </row>
    <row r="1422" customFormat="false" ht="15" hidden="false" customHeight="false" outlineLevel="0" collapsed="false">
      <c r="DB1422" s="0" t="str">
        <f aca="false">IF($A1422="","",IF($A1422&lt;&gt;21,"対象外",IF($AE1422&amp;""="00000000","在職",IF($AE1422&amp;""=設定!$C$4,"4/1喪失","その他喪失"))))</f>
        <v/>
      </c>
    </row>
    <row r="1423" customFormat="false" ht="15" hidden="false" customHeight="false" outlineLevel="0" collapsed="false">
      <c r="DB1423" s="0" t="str">
        <f aca="false">IF($A1423="","",IF($A1423&lt;&gt;21,"対象外",IF($AE1423&amp;""="00000000","在職",IF($AE1423&amp;""=設定!$C$4,"4/1喪失","その他喪失"))))</f>
        <v/>
      </c>
    </row>
    <row r="1424" customFormat="false" ht="15" hidden="false" customHeight="false" outlineLevel="0" collapsed="false">
      <c r="DB1424" s="0" t="str">
        <f aca="false">IF($A1424="","",IF($A1424&lt;&gt;21,"対象外",IF($AE1424&amp;""="00000000","在職",IF($AE1424&amp;""=設定!$C$4,"4/1喪失","その他喪失"))))</f>
        <v/>
      </c>
    </row>
    <row r="1425" customFormat="false" ht="15" hidden="false" customHeight="false" outlineLevel="0" collapsed="false">
      <c r="DB1425" s="0" t="str">
        <f aca="false">IF($A1425="","",IF($A1425&lt;&gt;21,"対象外",IF($AE1425&amp;""="00000000","在職",IF($AE1425&amp;""=設定!$C$4,"4/1喪失","その他喪失"))))</f>
        <v/>
      </c>
    </row>
    <row r="1426" customFormat="false" ht="15" hidden="false" customHeight="false" outlineLevel="0" collapsed="false">
      <c r="DB1426" s="0" t="str">
        <f aca="false">IF($A1426="","",IF($A1426&lt;&gt;21,"対象外",IF($AE1426&amp;""="00000000","在職",IF($AE1426&amp;""=設定!$C$4,"4/1喪失","その他喪失"))))</f>
        <v/>
      </c>
    </row>
    <row r="1427" customFormat="false" ht="15" hidden="false" customHeight="false" outlineLevel="0" collapsed="false">
      <c r="DB1427" s="0" t="str">
        <f aca="false">IF($A1427="","",IF($A1427&lt;&gt;21,"対象外",IF($AE1427&amp;""="00000000","在職",IF($AE1427&amp;""=設定!$C$4,"4/1喪失","その他喪失"))))</f>
        <v/>
      </c>
    </row>
    <row r="1428" customFormat="false" ht="15" hidden="false" customHeight="false" outlineLevel="0" collapsed="false">
      <c r="DB1428" s="0" t="str">
        <f aca="false">IF($A1428="","",IF($A1428&lt;&gt;21,"対象外",IF($AE1428&amp;""="00000000","在職",IF($AE1428&amp;""=設定!$C$4,"4/1喪失","その他喪失"))))</f>
        <v/>
      </c>
    </row>
    <row r="1429" customFormat="false" ht="15" hidden="false" customHeight="false" outlineLevel="0" collapsed="false">
      <c r="DB1429" s="0" t="str">
        <f aca="false">IF($A1429="","",IF($A1429&lt;&gt;21,"対象外",IF($AE1429&amp;""="00000000","在職",IF($AE1429&amp;""=設定!$C$4,"4/1喪失","その他喪失"))))</f>
        <v/>
      </c>
    </row>
    <row r="1430" customFormat="false" ht="15" hidden="false" customHeight="false" outlineLevel="0" collapsed="false">
      <c r="DB1430" s="0" t="str">
        <f aca="false">IF($A1430="","",IF($A1430&lt;&gt;21,"対象外",IF($AE1430&amp;""="00000000","在職",IF($AE1430&amp;""=設定!$C$4,"4/1喪失","その他喪失"))))</f>
        <v/>
      </c>
    </row>
    <row r="1431" customFormat="false" ht="15" hidden="false" customHeight="false" outlineLevel="0" collapsed="false">
      <c r="DB1431" s="0" t="str">
        <f aca="false">IF($A1431="","",IF($A1431&lt;&gt;21,"対象外",IF($AE1431&amp;""="00000000","在職",IF($AE1431&amp;""=設定!$C$4,"4/1喪失","その他喪失"))))</f>
        <v/>
      </c>
    </row>
    <row r="1432" customFormat="false" ht="15" hidden="false" customHeight="false" outlineLevel="0" collapsed="false">
      <c r="DB1432" s="0" t="str">
        <f aca="false">IF($A1432="","",IF($A1432&lt;&gt;21,"対象外",IF($AE1432&amp;""="00000000","在職",IF($AE1432&amp;""=設定!$C$4,"4/1喪失","その他喪失"))))</f>
        <v/>
      </c>
    </row>
    <row r="1433" customFormat="false" ht="15" hidden="false" customHeight="false" outlineLevel="0" collapsed="false">
      <c r="DB1433" s="0" t="str">
        <f aca="false">IF($A1433="","",IF($A1433&lt;&gt;21,"対象外",IF($AE1433&amp;""="00000000","在職",IF($AE1433&amp;""=設定!$C$4,"4/1喪失","その他喪失"))))</f>
        <v/>
      </c>
    </row>
    <row r="1434" customFormat="false" ht="15" hidden="false" customHeight="false" outlineLevel="0" collapsed="false">
      <c r="DB1434" s="0" t="str">
        <f aca="false">IF($A1434="","",IF($A1434&lt;&gt;21,"対象外",IF($AE1434&amp;""="00000000","在職",IF($AE1434&amp;""=設定!$C$4,"4/1喪失","その他喪失"))))</f>
        <v/>
      </c>
    </row>
    <row r="1435" customFormat="false" ht="15" hidden="false" customHeight="false" outlineLevel="0" collapsed="false">
      <c r="DB1435" s="0" t="str">
        <f aca="false">IF($A1435="","",IF($A1435&lt;&gt;21,"対象外",IF($AE1435&amp;""="00000000","在職",IF($AE1435&amp;""=設定!$C$4,"4/1喪失","その他喪失"))))</f>
        <v/>
      </c>
    </row>
    <row r="1436" customFormat="false" ht="15" hidden="false" customHeight="false" outlineLevel="0" collapsed="false">
      <c r="DB1436" s="0" t="str">
        <f aca="false">IF($A1436="","",IF($A1436&lt;&gt;21,"対象外",IF($AE1436&amp;""="00000000","在職",IF($AE1436&amp;""=設定!$C$4,"4/1喪失","その他喪失"))))</f>
        <v/>
      </c>
    </row>
    <row r="1437" customFormat="false" ht="15" hidden="false" customHeight="false" outlineLevel="0" collapsed="false">
      <c r="DB1437" s="0" t="str">
        <f aca="false">IF($A1437="","",IF($A1437&lt;&gt;21,"対象外",IF($AE1437&amp;""="00000000","在職",IF($AE1437&amp;""=設定!$C$4,"4/1喪失","その他喪失"))))</f>
        <v/>
      </c>
    </row>
    <row r="1438" customFormat="false" ht="15" hidden="false" customHeight="false" outlineLevel="0" collapsed="false">
      <c r="DB1438" s="0" t="str">
        <f aca="false">IF($A1438="","",IF($A1438&lt;&gt;21,"対象外",IF($AE1438&amp;""="00000000","在職",IF($AE1438&amp;""=設定!$C$4,"4/1喪失","その他喪失"))))</f>
        <v/>
      </c>
    </row>
    <row r="1439" customFormat="false" ht="15" hidden="false" customHeight="false" outlineLevel="0" collapsed="false">
      <c r="DB1439" s="0" t="str">
        <f aca="false">IF($A1439="","",IF($A1439&lt;&gt;21,"対象外",IF($AE1439&amp;""="00000000","在職",IF($AE1439&amp;""=設定!$C$4,"4/1喪失","その他喪失"))))</f>
        <v/>
      </c>
    </row>
    <row r="1440" customFormat="false" ht="15" hidden="false" customHeight="false" outlineLevel="0" collapsed="false">
      <c r="DB1440" s="0" t="str">
        <f aca="false">IF($A1440="","",IF($A1440&lt;&gt;21,"対象外",IF($AE1440&amp;""="00000000","在職",IF($AE1440&amp;""=設定!$C$4,"4/1喪失","その他喪失"))))</f>
        <v/>
      </c>
    </row>
    <row r="1441" customFormat="false" ht="15" hidden="false" customHeight="false" outlineLevel="0" collapsed="false">
      <c r="DB1441" s="0" t="str">
        <f aca="false">IF($A1441="","",IF($A1441&lt;&gt;21,"対象外",IF($AE1441&amp;""="00000000","在職",IF($AE1441&amp;""=設定!$C$4,"4/1喪失","その他喪失"))))</f>
        <v/>
      </c>
    </row>
    <row r="1442" customFormat="false" ht="15" hidden="false" customHeight="false" outlineLevel="0" collapsed="false">
      <c r="DB1442" s="0" t="str">
        <f aca="false">IF($A1442="","",IF($A1442&lt;&gt;21,"対象外",IF($AE1442&amp;""="00000000","在職",IF($AE1442&amp;""=設定!$C$4,"4/1喪失","その他喪失"))))</f>
        <v/>
      </c>
    </row>
    <row r="1443" customFormat="false" ht="15" hidden="false" customHeight="false" outlineLevel="0" collapsed="false">
      <c r="DB1443" s="0" t="str">
        <f aca="false">IF($A1443="","",IF($A1443&lt;&gt;21,"対象外",IF($AE1443&amp;""="00000000","在職",IF($AE1443&amp;""=設定!$C$4,"4/1喪失","その他喪失"))))</f>
        <v/>
      </c>
    </row>
    <row r="1444" customFormat="false" ht="15" hidden="false" customHeight="false" outlineLevel="0" collapsed="false">
      <c r="DB1444" s="0" t="str">
        <f aca="false">IF($A1444="","",IF($A1444&lt;&gt;21,"対象外",IF($AE1444&amp;""="00000000","在職",IF($AE1444&amp;""=設定!$C$4,"4/1喪失","その他喪失"))))</f>
        <v/>
      </c>
    </row>
    <row r="1445" customFormat="false" ht="15" hidden="false" customHeight="false" outlineLevel="0" collapsed="false">
      <c r="DB1445" s="0" t="str">
        <f aca="false">IF($A1445="","",IF($A1445&lt;&gt;21,"対象外",IF($AE1445&amp;""="00000000","在職",IF($AE1445&amp;""=設定!$C$4,"4/1喪失","その他喪失"))))</f>
        <v/>
      </c>
    </row>
    <row r="1446" customFormat="false" ht="15" hidden="false" customHeight="false" outlineLevel="0" collapsed="false">
      <c r="DB1446" s="0" t="str">
        <f aca="false">IF($A1446="","",IF($A1446&lt;&gt;21,"対象外",IF($AE1446&amp;""="00000000","在職",IF($AE1446&amp;""=設定!$C$4,"4/1喪失","その他喪失"))))</f>
        <v/>
      </c>
    </row>
    <row r="1447" customFormat="false" ht="15" hidden="false" customHeight="false" outlineLevel="0" collapsed="false">
      <c r="DB1447" s="0" t="str">
        <f aca="false">IF($A1447="","",IF($A1447&lt;&gt;21,"対象外",IF($AE1447&amp;""="00000000","在職",IF($AE1447&amp;""=設定!$C$4,"4/1喪失","その他喪失"))))</f>
        <v/>
      </c>
    </row>
    <row r="1448" customFormat="false" ht="15" hidden="false" customHeight="false" outlineLevel="0" collapsed="false">
      <c r="DB1448" s="0" t="str">
        <f aca="false">IF($A1448="","",IF($A1448&lt;&gt;21,"対象外",IF($AE1448&amp;""="00000000","在職",IF($AE1448&amp;""=設定!$C$4,"4/1喪失","その他喪失"))))</f>
        <v/>
      </c>
    </row>
    <row r="1449" customFormat="false" ht="15" hidden="false" customHeight="false" outlineLevel="0" collapsed="false">
      <c r="DB1449" s="0" t="str">
        <f aca="false">IF($A1449="","",IF($A1449&lt;&gt;21,"対象外",IF($AE1449&amp;""="00000000","在職",IF($AE1449&amp;""=設定!$C$4,"4/1喪失","その他喪失"))))</f>
        <v/>
      </c>
    </row>
    <row r="1450" customFormat="false" ht="15" hidden="false" customHeight="false" outlineLevel="0" collapsed="false">
      <c r="DB1450" s="0" t="str">
        <f aca="false">IF($A1450="","",IF($A1450&lt;&gt;21,"対象外",IF($AE1450&amp;""="00000000","在職",IF($AE1450&amp;""=設定!$C$4,"4/1喪失","その他喪失"))))</f>
        <v/>
      </c>
    </row>
    <row r="1451" customFormat="false" ht="15" hidden="false" customHeight="false" outlineLevel="0" collapsed="false">
      <c r="DB1451" s="0" t="str">
        <f aca="false">IF($A1451="","",IF($A1451&lt;&gt;21,"対象外",IF($AE1451&amp;""="00000000","在職",IF($AE1451&amp;""=設定!$C$4,"4/1喪失","その他喪失"))))</f>
        <v/>
      </c>
    </row>
    <row r="1452" customFormat="false" ht="15" hidden="false" customHeight="false" outlineLevel="0" collapsed="false">
      <c r="DB1452" s="0" t="str">
        <f aca="false">IF($A1452="","",IF($A1452&lt;&gt;21,"対象外",IF($AE1452&amp;""="00000000","在職",IF($AE1452&amp;""=設定!$C$4,"4/1喪失","その他喪失"))))</f>
        <v/>
      </c>
    </row>
    <row r="1453" customFormat="false" ht="15" hidden="false" customHeight="false" outlineLevel="0" collapsed="false">
      <c r="DB1453" s="0" t="str">
        <f aca="false">IF($A1453="","",IF($A1453&lt;&gt;21,"対象外",IF($AE1453&amp;""="00000000","在職",IF($AE1453&amp;""=設定!$C$4,"4/1喪失","その他喪失"))))</f>
        <v/>
      </c>
    </row>
    <row r="1454" customFormat="false" ht="15" hidden="false" customHeight="false" outlineLevel="0" collapsed="false">
      <c r="DB1454" s="0" t="str">
        <f aca="false">IF($A1454="","",IF($A1454&lt;&gt;21,"対象外",IF($AE1454&amp;""="00000000","在職",IF($AE1454&amp;""=設定!$C$4,"4/1喪失","その他喪失"))))</f>
        <v/>
      </c>
    </row>
    <row r="1455" customFormat="false" ht="15" hidden="false" customHeight="false" outlineLevel="0" collapsed="false">
      <c r="DB1455" s="0" t="str">
        <f aca="false">IF($A1455="","",IF($A1455&lt;&gt;21,"対象外",IF($AE1455&amp;""="00000000","在職",IF($AE1455&amp;""=設定!$C$4,"4/1喪失","その他喪失"))))</f>
        <v/>
      </c>
    </row>
    <row r="1456" customFormat="false" ht="15" hidden="false" customHeight="false" outlineLevel="0" collapsed="false">
      <c r="DB1456" s="0" t="str">
        <f aca="false">IF($A1456="","",IF($A1456&lt;&gt;21,"対象外",IF($AE1456&amp;""="00000000","在職",IF($AE1456&amp;""=設定!$C$4,"4/1喪失","その他喪失"))))</f>
        <v/>
      </c>
    </row>
    <row r="1457" customFormat="false" ht="15" hidden="false" customHeight="false" outlineLevel="0" collapsed="false">
      <c r="DB1457" s="0" t="str">
        <f aca="false">IF($A1457="","",IF($A1457&lt;&gt;21,"対象外",IF($AE1457&amp;""="00000000","在職",IF($AE1457&amp;""=設定!$C$4,"4/1喪失","その他喪失"))))</f>
        <v/>
      </c>
    </row>
    <row r="1458" customFormat="false" ht="15" hidden="false" customHeight="false" outlineLevel="0" collapsed="false">
      <c r="DB1458" s="0" t="str">
        <f aca="false">IF($A1458="","",IF($A1458&lt;&gt;21,"対象外",IF($AE1458&amp;""="00000000","在職",IF($AE1458&amp;""=設定!$C$4,"4/1喪失","その他喪失"))))</f>
        <v/>
      </c>
    </row>
    <row r="1459" customFormat="false" ht="15" hidden="false" customHeight="false" outlineLevel="0" collapsed="false">
      <c r="DB1459" s="0" t="str">
        <f aca="false">IF($A1459="","",IF($A1459&lt;&gt;21,"対象外",IF($AE1459&amp;""="00000000","在職",IF($AE1459&amp;""=設定!$C$4,"4/1喪失","その他喪失"))))</f>
        <v/>
      </c>
    </row>
    <row r="1460" customFormat="false" ht="15" hidden="false" customHeight="false" outlineLevel="0" collapsed="false">
      <c r="DB1460" s="0" t="str">
        <f aca="false">IF($A1460="","",IF($A1460&lt;&gt;21,"対象外",IF($AE1460&amp;""="00000000","在職",IF($AE1460&amp;""=設定!$C$4,"4/1喪失","その他喪失"))))</f>
        <v/>
      </c>
    </row>
    <row r="1461" customFormat="false" ht="15" hidden="false" customHeight="false" outlineLevel="0" collapsed="false">
      <c r="DB1461" s="0" t="str">
        <f aca="false">IF($A1461="","",IF($A1461&lt;&gt;21,"対象外",IF($AE1461&amp;""="00000000","在職",IF($AE1461&amp;""=設定!$C$4,"4/1喪失","その他喪失"))))</f>
        <v/>
      </c>
    </row>
    <row r="1462" customFormat="false" ht="15" hidden="false" customHeight="false" outlineLevel="0" collapsed="false">
      <c r="DB1462" s="0" t="str">
        <f aca="false">IF($A1462="","",IF($A1462&lt;&gt;21,"対象外",IF($AE1462&amp;""="00000000","在職",IF($AE1462&amp;""=設定!$C$4,"4/1喪失","その他喪失"))))</f>
        <v/>
      </c>
    </row>
    <row r="1463" customFormat="false" ht="15" hidden="false" customHeight="false" outlineLevel="0" collapsed="false">
      <c r="DB1463" s="0" t="str">
        <f aca="false">IF($A1463="","",IF($A1463&lt;&gt;21,"対象外",IF($AE1463&amp;""="00000000","在職",IF($AE1463&amp;""=設定!$C$4,"4/1喪失","その他喪失"))))</f>
        <v/>
      </c>
    </row>
    <row r="1464" customFormat="false" ht="15" hidden="false" customHeight="false" outlineLevel="0" collapsed="false">
      <c r="DB1464" s="0" t="str">
        <f aca="false">IF($A1464="","",IF($A1464&lt;&gt;21,"対象外",IF($AE1464&amp;""="00000000","在職",IF($AE1464&amp;""=設定!$C$4,"4/1喪失","その他喪失"))))</f>
        <v/>
      </c>
    </row>
    <row r="1465" customFormat="false" ht="15" hidden="false" customHeight="false" outlineLevel="0" collapsed="false">
      <c r="DB1465" s="0" t="str">
        <f aca="false">IF($A1465="","",IF($A1465&lt;&gt;21,"対象外",IF($AE1465&amp;""="00000000","在職",IF($AE1465&amp;""=設定!$C$4,"4/1喪失","その他喪失"))))</f>
        <v/>
      </c>
    </row>
    <row r="1466" customFormat="false" ht="15" hidden="false" customHeight="false" outlineLevel="0" collapsed="false">
      <c r="DB1466" s="0" t="str">
        <f aca="false">IF($A1466="","",IF($A1466&lt;&gt;21,"対象外",IF($AE1466&amp;""="00000000","在職",IF($AE1466&amp;""=設定!$C$4,"4/1喪失","その他喪失"))))</f>
        <v/>
      </c>
    </row>
    <row r="1467" customFormat="false" ht="15" hidden="false" customHeight="false" outlineLevel="0" collapsed="false">
      <c r="DB1467" s="0" t="str">
        <f aca="false">IF($A1467="","",IF($A1467&lt;&gt;21,"対象外",IF($AE1467&amp;""="00000000","在職",IF($AE1467&amp;""=設定!$C$4,"4/1喪失","その他喪失"))))</f>
        <v/>
      </c>
    </row>
    <row r="1468" customFormat="false" ht="15" hidden="false" customHeight="false" outlineLevel="0" collapsed="false">
      <c r="DB1468" s="0" t="str">
        <f aca="false">IF($A1468="","",IF($A1468&lt;&gt;21,"対象外",IF($AE1468&amp;""="00000000","在職",IF($AE1468&amp;""=設定!$C$4,"4/1喪失","その他喪失"))))</f>
        <v/>
      </c>
    </row>
    <row r="1469" customFormat="false" ht="15" hidden="false" customHeight="false" outlineLevel="0" collapsed="false">
      <c r="DB1469" s="0" t="str">
        <f aca="false">IF($A1469="","",IF($A1469&lt;&gt;21,"対象外",IF($AE1469&amp;""="00000000","在職",IF($AE1469&amp;""=設定!$C$4,"4/1喪失","その他喪失"))))</f>
        <v/>
      </c>
    </row>
    <row r="1470" customFormat="false" ht="15" hidden="false" customHeight="false" outlineLevel="0" collapsed="false">
      <c r="DB1470" s="0" t="str">
        <f aca="false">IF($A1470="","",IF($A1470&lt;&gt;21,"対象外",IF($AE1470&amp;""="00000000","在職",IF($AE1470&amp;""=設定!$C$4,"4/1喪失","その他喪失"))))</f>
        <v/>
      </c>
    </row>
    <row r="1471" customFormat="false" ht="15" hidden="false" customHeight="false" outlineLevel="0" collapsed="false">
      <c r="DB1471" s="0" t="str">
        <f aca="false">IF($A1471="","",IF($A1471&lt;&gt;21,"対象外",IF($AE1471&amp;""="00000000","在職",IF($AE1471&amp;""=設定!$C$4,"4/1喪失","その他喪失"))))</f>
        <v/>
      </c>
    </row>
    <row r="1472" customFormat="false" ht="15" hidden="false" customHeight="false" outlineLevel="0" collapsed="false">
      <c r="DB1472" s="0" t="str">
        <f aca="false">IF($A1472="","",IF($A1472&lt;&gt;21,"対象外",IF($AE1472&amp;""="00000000","在職",IF($AE1472&amp;""=設定!$C$4,"4/1喪失","その他喪失"))))</f>
        <v/>
      </c>
    </row>
    <row r="1473" customFormat="false" ht="15" hidden="false" customHeight="false" outlineLevel="0" collapsed="false">
      <c r="DB1473" s="0" t="str">
        <f aca="false">IF($A1473="","",IF($A1473&lt;&gt;21,"対象外",IF($AE1473&amp;""="00000000","在職",IF($AE1473&amp;""=設定!$C$4,"4/1喪失","その他喪失"))))</f>
        <v/>
      </c>
    </row>
    <row r="1474" customFormat="false" ht="15" hidden="false" customHeight="false" outlineLevel="0" collapsed="false">
      <c r="DB1474" s="0" t="str">
        <f aca="false">IF($A1474="","",IF($A1474&lt;&gt;21,"対象外",IF($AE1474&amp;""="00000000","在職",IF($AE1474&amp;""=設定!$C$4,"4/1喪失","その他喪失"))))</f>
        <v/>
      </c>
    </row>
    <row r="1475" customFormat="false" ht="15" hidden="false" customHeight="false" outlineLevel="0" collapsed="false">
      <c r="DB1475" s="0" t="str">
        <f aca="false">IF($A1475="","",IF($A1475&lt;&gt;21,"対象外",IF($AE1475&amp;""="00000000","在職",IF($AE1475&amp;""=設定!$C$4,"4/1喪失","その他喪失"))))</f>
        <v/>
      </c>
    </row>
    <row r="1476" customFormat="false" ht="15" hidden="false" customHeight="false" outlineLevel="0" collapsed="false">
      <c r="DB1476" s="0" t="str">
        <f aca="false">IF($A1476="","",IF($A1476&lt;&gt;21,"対象外",IF($AE1476&amp;""="00000000","在職",IF($AE1476&amp;""=設定!$C$4,"4/1喪失","その他喪失"))))</f>
        <v/>
      </c>
    </row>
    <row r="1477" customFormat="false" ht="15" hidden="false" customHeight="false" outlineLevel="0" collapsed="false">
      <c r="DB1477" s="0" t="str">
        <f aca="false">IF($A1477="","",IF($A1477&lt;&gt;21,"対象外",IF($AE1477&amp;""="00000000","在職",IF($AE1477&amp;""=設定!$C$4,"4/1喪失","その他喪失"))))</f>
        <v/>
      </c>
    </row>
    <row r="1478" customFormat="false" ht="15" hidden="false" customHeight="false" outlineLevel="0" collapsed="false">
      <c r="DB1478" s="0" t="str">
        <f aca="false">IF($A1478="","",IF($A1478&lt;&gt;21,"対象外",IF($AE1478&amp;""="00000000","在職",IF($AE1478&amp;""=設定!$C$4,"4/1喪失","その他喪失"))))</f>
        <v/>
      </c>
    </row>
    <row r="1479" customFormat="false" ht="15" hidden="false" customHeight="false" outlineLevel="0" collapsed="false">
      <c r="DB1479" s="0" t="str">
        <f aca="false">IF($A1479="","",IF($A1479&lt;&gt;21,"対象外",IF($AE1479&amp;""="00000000","在職",IF($AE1479&amp;""=設定!$C$4,"4/1喪失","その他喪失"))))</f>
        <v/>
      </c>
    </row>
    <row r="1480" customFormat="false" ht="15" hidden="false" customHeight="false" outlineLevel="0" collapsed="false">
      <c r="DB1480" s="0" t="str">
        <f aca="false">IF($A1480="","",IF($A1480&lt;&gt;21,"対象外",IF($AE1480&amp;""="00000000","在職",IF($AE1480&amp;""=設定!$C$4,"4/1喪失","その他喪失"))))</f>
        <v/>
      </c>
    </row>
    <row r="1481" customFormat="false" ht="15" hidden="false" customHeight="false" outlineLevel="0" collapsed="false">
      <c r="DB1481" s="0" t="str">
        <f aca="false">IF($A1481="","",IF($A1481&lt;&gt;21,"対象外",IF($AE1481&amp;""="00000000","在職",IF($AE1481&amp;""=設定!$C$4,"4/1喪失","その他喪失"))))</f>
        <v/>
      </c>
    </row>
    <row r="1482" customFormat="false" ht="15" hidden="false" customHeight="false" outlineLevel="0" collapsed="false">
      <c r="DB1482" s="0" t="str">
        <f aca="false">IF($A1482="","",IF($A1482&lt;&gt;21,"対象外",IF($AE1482&amp;""="00000000","在職",IF($AE1482&amp;""=設定!$C$4,"4/1喪失","その他喪失"))))</f>
        <v/>
      </c>
    </row>
    <row r="1483" customFormat="false" ht="15" hidden="false" customHeight="false" outlineLevel="0" collapsed="false">
      <c r="DB1483" s="0" t="str">
        <f aca="false">IF($A1483="","",IF($A1483&lt;&gt;21,"対象外",IF($AE1483&amp;""="00000000","在職",IF($AE1483&amp;""=設定!$C$4,"4/1喪失","その他喪失"))))</f>
        <v/>
      </c>
    </row>
    <row r="1484" customFormat="false" ht="15" hidden="false" customHeight="false" outlineLevel="0" collapsed="false">
      <c r="DB1484" s="0" t="str">
        <f aca="false">IF($A1484="","",IF($A1484&lt;&gt;21,"対象外",IF($AE1484&amp;""="00000000","在職",IF($AE1484&amp;""=設定!$C$4,"4/1喪失","その他喪失"))))</f>
        <v/>
      </c>
    </row>
    <row r="1485" customFormat="false" ht="15" hidden="false" customHeight="false" outlineLevel="0" collapsed="false">
      <c r="DB1485" s="0" t="str">
        <f aca="false">IF($A1485="","",IF($A1485&lt;&gt;21,"対象外",IF($AE1485&amp;""="00000000","在職",IF($AE1485&amp;""=設定!$C$4,"4/1喪失","その他喪失"))))</f>
        <v/>
      </c>
    </row>
    <row r="1486" customFormat="false" ht="15" hidden="false" customHeight="false" outlineLevel="0" collapsed="false">
      <c r="DB1486" s="0" t="str">
        <f aca="false">IF($A1486="","",IF($A1486&lt;&gt;21,"対象外",IF($AE1486&amp;""="00000000","在職",IF($AE1486&amp;""=設定!$C$4,"4/1喪失","その他喪失"))))</f>
        <v/>
      </c>
    </row>
    <row r="1487" customFormat="false" ht="15" hidden="false" customHeight="false" outlineLevel="0" collapsed="false">
      <c r="DB1487" s="0" t="str">
        <f aca="false">IF($A1487="","",IF($A1487&lt;&gt;21,"対象外",IF($AE1487&amp;""="00000000","在職",IF($AE1487&amp;""=設定!$C$4,"4/1喪失","その他喪失"))))</f>
        <v/>
      </c>
    </row>
    <row r="1488" customFormat="false" ht="15" hidden="false" customHeight="false" outlineLevel="0" collapsed="false">
      <c r="DB1488" s="0" t="str">
        <f aca="false">IF($A1488="","",IF($A1488&lt;&gt;21,"対象外",IF($AE1488&amp;""="00000000","在職",IF($AE1488&amp;""=設定!$C$4,"4/1喪失","その他喪失"))))</f>
        <v/>
      </c>
    </row>
    <row r="1489" customFormat="false" ht="15" hidden="false" customHeight="false" outlineLevel="0" collapsed="false">
      <c r="DB1489" s="0" t="str">
        <f aca="false">IF($A1489="","",IF($A1489&lt;&gt;21,"対象外",IF($AE1489&amp;""="00000000","在職",IF($AE1489&amp;""=設定!$C$4,"4/1喪失","その他喪失"))))</f>
        <v/>
      </c>
    </row>
    <row r="1490" customFormat="false" ht="15" hidden="false" customHeight="false" outlineLevel="0" collapsed="false">
      <c r="DB1490" s="0" t="str">
        <f aca="false">IF($A1490="","",IF($A1490&lt;&gt;21,"対象外",IF($AE1490&amp;""="00000000","在職",IF($AE1490&amp;""=設定!$C$4,"4/1喪失","その他喪失"))))</f>
        <v/>
      </c>
    </row>
    <row r="1491" customFormat="false" ht="15" hidden="false" customHeight="false" outlineLevel="0" collapsed="false">
      <c r="DB1491" s="0" t="str">
        <f aca="false">IF($A1491="","",IF($A1491&lt;&gt;21,"対象外",IF($AE1491&amp;""="00000000","在職",IF($AE1491&amp;""=設定!$C$4,"4/1喪失","その他喪失"))))</f>
        <v/>
      </c>
    </row>
    <row r="1492" customFormat="false" ht="15" hidden="false" customHeight="false" outlineLevel="0" collapsed="false">
      <c r="DB1492" s="0" t="str">
        <f aca="false">IF($A1492="","",IF($A1492&lt;&gt;21,"対象外",IF($AE1492&amp;""="00000000","在職",IF($AE1492&amp;""=設定!$C$4,"4/1喪失","その他喪失"))))</f>
        <v/>
      </c>
    </row>
    <row r="1493" customFormat="false" ht="15" hidden="false" customHeight="false" outlineLevel="0" collapsed="false">
      <c r="DB1493" s="0" t="str">
        <f aca="false">IF($A1493="","",IF($A1493&lt;&gt;21,"対象外",IF($AE1493&amp;""="00000000","在職",IF($AE1493&amp;""=設定!$C$4,"4/1喪失","その他喪失"))))</f>
        <v/>
      </c>
    </row>
    <row r="1494" customFormat="false" ht="15" hidden="false" customHeight="false" outlineLevel="0" collapsed="false">
      <c r="DB1494" s="0" t="str">
        <f aca="false">IF($A1494="","",IF($A1494&lt;&gt;21,"対象外",IF($AE1494&amp;""="00000000","在職",IF($AE1494&amp;""=設定!$C$4,"4/1喪失","その他喪失"))))</f>
        <v/>
      </c>
    </row>
    <row r="1495" customFormat="false" ht="15" hidden="false" customHeight="false" outlineLevel="0" collapsed="false">
      <c r="DB1495" s="0" t="str">
        <f aca="false">IF($A1495="","",IF($A1495&lt;&gt;21,"対象外",IF($AE1495&amp;""="00000000","在職",IF($AE1495&amp;""=設定!$C$4,"4/1喪失","その他喪失"))))</f>
        <v/>
      </c>
    </row>
    <row r="1496" customFormat="false" ht="15" hidden="false" customHeight="false" outlineLevel="0" collapsed="false">
      <c r="DB1496" s="0" t="str">
        <f aca="false">IF($A1496="","",IF($A1496&lt;&gt;21,"対象外",IF($AE1496&amp;""="00000000","在職",IF($AE1496&amp;""=設定!$C$4,"4/1喪失","その他喪失"))))</f>
        <v/>
      </c>
    </row>
    <row r="1497" customFormat="false" ht="15" hidden="false" customHeight="false" outlineLevel="0" collapsed="false">
      <c r="DB1497" s="0" t="str">
        <f aca="false">IF($A1497="","",IF($A1497&lt;&gt;21,"対象外",IF($AE1497&amp;""="00000000","在職",IF($AE1497&amp;""=設定!$C$4,"4/1喪失","その他喪失"))))</f>
        <v/>
      </c>
    </row>
    <row r="1498" customFormat="false" ht="15" hidden="false" customHeight="false" outlineLevel="0" collapsed="false">
      <c r="DB1498" s="0" t="str">
        <f aca="false">IF($A1498="","",IF($A1498&lt;&gt;21,"対象外",IF($AE1498&amp;""="00000000","在職",IF($AE1498&amp;""=設定!$C$4,"4/1喪失","その他喪失"))))</f>
        <v/>
      </c>
    </row>
    <row r="1499" customFormat="false" ht="15" hidden="false" customHeight="false" outlineLevel="0" collapsed="false">
      <c r="DB1499" s="0" t="str">
        <f aca="false">IF($A1499="","",IF($A1499&lt;&gt;21,"対象外",IF($AE1499&amp;""="00000000","在職",IF($AE1499&amp;""=設定!$C$4,"4/1喪失","その他喪失"))))</f>
        <v/>
      </c>
    </row>
    <row r="1500" customFormat="false" ht="15" hidden="false" customHeight="false" outlineLevel="0" collapsed="false">
      <c r="DB1500" s="0" t="str">
        <f aca="false">IF($A1500="","",IF($A1500&lt;&gt;21,"対象外",IF($AE1500&amp;""="00000000","在職",IF($AE1500&amp;""=設定!$C$4,"4/1喪失","その他喪失"))))</f>
        <v/>
      </c>
    </row>
    <row r="1501" customFormat="false" ht="15" hidden="false" customHeight="false" outlineLevel="0" collapsed="false">
      <c r="DB1501" s="0" t="str">
        <f aca="false">IF($A1501="","",IF($A1501&lt;&gt;21,"対象外",IF($AE1501&amp;""="00000000","在職",IF($AE1501&amp;""=設定!$C$4,"4/1喪失","その他喪失"))))</f>
        <v/>
      </c>
    </row>
    <row r="1502" customFormat="false" ht="15" hidden="false" customHeight="false" outlineLevel="0" collapsed="false">
      <c r="DB1502" s="0" t="str">
        <f aca="false">IF($A1502="","",IF($A1502&lt;&gt;21,"対象外",IF($AE1502&amp;""="00000000","在職",IF($AE1502&amp;""=設定!$C$4,"4/1喪失","その他喪失"))))</f>
        <v/>
      </c>
    </row>
    <row r="1503" customFormat="false" ht="15" hidden="false" customHeight="false" outlineLevel="0" collapsed="false">
      <c r="DB1503" s="0" t="str">
        <f aca="false">IF($A1503="","",IF($A1503&lt;&gt;21,"対象外",IF($AE1503&amp;""="00000000","在職",IF($AE1503&amp;""=設定!$C$4,"4/1喪失","その他喪失"))))</f>
        <v/>
      </c>
    </row>
    <row r="1504" customFormat="false" ht="15" hidden="false" customHeight="false" outlineLevel="0" collapsed="false">
      <c r="DB1504" s="0" t="str">
        <f aca="false">IF($A1504="","",IF($A1504&lt;&gt;21,"対象外",IF($AE1504&amp;""="00000000","在職",IF($AE1504&amp;""=設定!$C$4,"4/1喪失","その他喪失"))))</f>
        <v/>
      </c>
    </row>
    <row r="1505" customFormat="false" ht="15" hidden="false" customHeight="false" outlineLevel="0" collapsed="false">
      <c r="DB1505" s="0" t="str">
        <f aca="false">IF($A1505="","",IF($A1505&lt;&gt;21,"対象外",IF($AE1505&amp;""="00000000","在職",IF($AE1505&amp;""=設定!$C$4,"4/1喪失","その他喪失"))))</f>
        <v/>
      </c>
    </row>
    <row r="1506" customFormat="false" ht="15" hidden="false" customHeight="false" outlineLevel="0" collapsed="false">
      <c r="DB1506" s="0" t="str">
        <f aca="false">IF($A1506="","",IF($A1506&lt;&gt;21,"対象外",IF($AE1506&amp;""="00000000","在職",IF($AE1506&amp;""=設定!$C$4,"4/1喪失","その他喪失"))))</f>
        <v/>
      </c>
    </row>
    <row r="1507" customFormat="false" ht="15" hidden="false" customHeight="false" outlineLevel="0" collapsed="false">
      <c r="DB1507" s="0" t="str">
        <f aca="false">IF($A1507="","",IF($A1507&lt;&gt;21,"対象外",IF($AE1507&amp;""="00000000","在職",IF($AE1507&amp;""=設定!$C$4,"4/1喪失","その他喪失"))))</f>
        <v/>
      </c>
    </row>
    <row r="1508" customFormat="false" ht="15" hidden="false" customHeight="false" outlineLevel="0" collapsed="false">
      <c r="DB1508" s="0" t="str">
        <f aca="false">IF($A1508="","",IF($A1508&lt;&gt;21,"対象外",IF($AE1508&amp;""="00000000","在職",IF($AE1508&amp;""=設定!$C$4,"4/1喪失","その他喪失"))))</f>
        <v/>
      </c>
    </row>
    <row r="1509" customFormat="false" ht="15" hidden="false" customHeight="false" outlineLevel="0" collapsed="false">
      <c r="DB1509" s="0" t="str">
        <f aca="false">IF($A1509="","",IF($A1509&lt;&gt;21,"対象外",IF($AE1509&amp;""="00000000","在職",IF($AE1509&amp;""=設定!$C$4,"4/1喪失","その他喪失"))))</f>
        <v/>
      </c>
    </row>
    <row r="1510" customFormat="false" ht="15" hidden="false" customHeight="false" outlineLevel="0" collapsed="false">
      <c r="DB1510" s="0" t="str">
        <f aca="false">IF($A1510="","",IF($A1510&lt;&gt;21,"対象外",IF($AE1510&amp;""="00000000","在職",IF($AE1510&amp;""=設定!$C$4,"4/1喪失","その他喪失"))))</f>
        <v/>
      </c>
    </row>
    <row r="1511" customFormat="false" ht="15" hidden="false" customHeight="false" outlineLevel="0" collapsed="false">
      <c r="DB1511" s="0" t="str">
        <f aca="false">IF($A1511="","",IF($A1511&lt;&gt;21,"対象外",IF($AE1511&amp;""="00000000","在職",IF($AE1511&amp;""=設定!$C$4,"4/1喪失","その他喪失"))))</f>
        <v/>
      </c>
    </row>
    <row r="1512" customFormat="false" ht="15" hidden="false" customHeight="false" outlineLevel="0" collapsed="false">
      <c r="DB1512" s="0" t="str">
        <f aca="false">IF($A1512="","",IF($A1512&lt;&gt;21,"対象外",IF($AE1512&amp;""="00000000","在職",IF($AE1512&amp;""=設定!$C$4,"4/1喪失","その他喪失"))))</f>
        <v/>
      </c>
    </row>
    <row r="1513" customFormat="false" ht="15" hidden="false" customHeight="false" outlineLevel="0" collapsed="false">
      <c r="DB1513" s="0" t="str">
        <f aca="false">IF($A1513="","",IF($A1513&lt;&gt;21,"対象外",IF($AE1513&amp;""="00000000","在職",IF($AE1513&amp;""=設定!$C$4,"4/1喪失","その他喪失"))))</f>
        <v/>
      </c>
    </row>
    <row r="1514" customFormat="false" ht="15" hidden="false" customHeight="false" outlineLevel="0" collapsed="false">
      <c r="DB1514" s="0" t="str">
        <f aca="false">IF($A1514="","",IF($A1514&lt;&gt;21,"対象外",IF($AE1514&amp;""="00000000","在職",IF($AE1514&amp;""=設定!$C$4,"4/1喪失","その他喪失"))))</f>
        <v/>
      </c>
    </row>
    <row r="1515" customFormat="false" ht="15" hidden="false" customHeight="false" outlineLevel="0" collapsed="false">
      <c r="DB1515" s="0" t="str">
        <f aca="false">IF($A1515="","",IF($A1515&lt;&gt;21,"対象外",IF($AE1515&amp;""="00000000","在職",IF($AE1515&amp;""=設定!$C$4,"4/1喪失","その他喪失"))))</f>
        <v/>
      </c>
    </row>
    <row r="1516" customFormat="false" ht="15" hidden="false" customHeight="false" outlineLevel="0" collapsed="false">
      <c r="DB1516" s="0" t="str">
        <f aca="false">IF($A1516="","",IF($A1516&lt;&gt;21,"対象外",IF($AE1516&amp;""="00000000","在職",IF($AE1516&amp;""=設定!$C$4,"4/1喪失","その他喪失"))))</f>
        <v/>
      </c>
    </row>
    <row r="1517" customFormat="false" ht="15" hidden="false" customHeight="false" outlineLevel="0" collapsed="false">
      <c r="DB1517" s="0" t="str">
        <f aca="false">IF($A1517="","",IF($A1517&lt;&gt;21,"対象外",IF($AE1517&amp;""="00000000","在職",IF($AE1517&amp;""=設定!$C$4,"4/1喪失","その他喪失"))))</f>
        <v/>
      </c>
    </row>
    <row r="1518" customFormat="false" ht="15" hidden="false" customHeight="false" outlineLevel="0" collapsed="false">
      <c r="DB1518" s="0" t="str">
        <f aca="false">IF($A1518="","",IF($A1518&lt;&gt;21,"対象外",IF($AE1518&amp;""="00000000","在職",IF($AE1518&amp;""=設定!$C$4,"4/1喪失","その他喪失"))))</f>
        <v/>
      </c>
    </row>
    <row r="1519" customFormat="false" ht="15" hidden="false" customHeight="false" outlineLevel="0" collapsed="false">
      <c r="DB1519" s="0" t="str">
        <f aca="false">IF($A1519="","",IF($A1519&lt;&gt;21,"対象外",IF($AE1519&amp;""="00000000","在職",IF($AE1519&amp;""=設定!$C$4,"4/1喪失","その他喪失"))))</f>
        <v/>
      </c>
    </row>
    <row r="1520" customFormat="false" ht="15" hidden="false" customHeight="false" outlineLevel="0" collapsed="false">
      <c r="DB1520" s="0" t="str">
        <f aca="false">IF($A1520="","",IF($A1520&lt;&gt;21,"対象外",IF($AE1520&amp;""="00000000","在職",IF($AE1520&amp;""=設定!$C$4,"4/1喪失","その他喪失"))))</f>
        <v/>
      </c>
    </row>
    <row r="1521" customFormat="false" ht="15" hidden="false" customHeight="false" outlineLevel="0" collapsed="false">
      <c r="DB1521" s="0" t="str">
        <f aca="false">IF($A1521="","",IF($A1521&lt;&gt;21,"対象外",IF($AE1521&amp;""="00000000","在職",IF($AE1521&amp;""=設定!$C$4,"4/1喪失","その他喪失"))))</f>
        <v/>
      </c>
    </row>
    <row r="1522" customFormat="false" ht="15" hidden="false" customHeight="false" outlineLevel="0" collapsed="false">
      <c r="DB1522" s="0" t="str">
        <f aca="false">IF($A1522="","",IF($A1522&lt;&gt;21,"対象外",IF($AE1522&amp;""="00000000","在職",IF($AE1522&amp;""=設定!$C$4,"4/1喪失","その他喪失"))))</f>
        <v/>
      </c>
    </row>
    <row r="1523" customFormat="false" ht="15" hidden="false" customHeight="false" outlineLevel="0" collapsed="false">
      <c r="DB1523" s="0" t="str">
        <f aca="false">IF($A1523="","",IF($A1523&lt;&gt;21,"対象外",IF($AE1523&amp;""="00000000","在職",IF($AE1523&amp;""=設定!$C$4,"4/1喪失","その他喪失"))))</f>
        <v/>
      </c>
    </row>
    <row r="1524" customFormat="false" ht="15" hidden="false" customHeight="false" outlineLevel="0" collapsed="false">
      <c r="DB1524" s="0" t="str">
        <f aca="false">IF($A1524="","",IF($A1524&lt;&gt;21,"対象外",IF($AE1524&amp;""="00000000","在職",IF($AE1524&amp;""=設定!$C$4,"4/1喪失","その他喪失"))))</f>
        <v/>
      </c>
    </row>
    <row r="1525" customFormat="false" ht="15" hidden="false" customHeight="false" outlineLevel="0" collapsed="false">
      <c r="DB1525" s="0" t="str">
        <f aca="false">IF($A1525="","",IF($A1525&lt;&gt;21,"対象外",IF($AE1525&amp;""="00000000","在職",IF($AE1525&amp;""=設定!$C$4,"4/1喪失","その他喪失"))))</f>
        <v/>
      </c>
    </row>
    <row r="1526" customFormat="false" ht="15" hidden="false" customHeight="false" outlineLevel="0" collapsed="false">
      <c r="DB1526" s="0" t="str">
        <f aca="false">IF($A1526="","",IF($A1526&lt;&gt;21,"対象外",IF($AE1526&amp;""="00000000","在職",IF($AE1526&amp;""=設定!$C$4,"4/1喪失","その他喪失"))))</f>
        <v/>
      </c>
    </row>
    <row r="1527" customFormat="false" ht="15" hidden="false" customHeight="false" outlineLevel="0" collapsed="false">
      <c r="DB1527" s="0" t="str">
        <f aca="false">IF($A1527="","",IF($A1527&lt;&gt;21,"対象外",IF($AE1527&amp;""="00000000","在職",IF($AE1527&amp;""=設定!$C$4,"4/1喪失","その他喪失"))))</f>
        <v/>
      </c>
    </row>
    <row r="1528" customFormat="false" ht="15" hidden="false" customHeight="false" outlineLevel="0" collapsed="false">
      <c r="DB1528" s="0" t="str">
        <f aca="false">IF($A1528="","",IF($A1528&lt;&gt;21,"対象外",IF($AE1528&amp;""="00000000","在職",IF($AE1528&amp;""=設定!$C$4,"4/1喪失","その他喪失"))))</f>
        <v/>
      </c>
    </row>
    <row r="1529" customFormat="false" ht="15" hidden="false" customHeight="false" outlineLevel="0" collapsed="false">
      <c r="DB1529" s="0" t="str">
        <f aca="false">IF($A1529="","",IF($A1529&lt;&gt;21,"対象外",IF($AE1529&amp;""="00000000","在職",IF($AE1529&amp;""=設定!$C$4,"4/1喪失","その他喪失"))))</f>
        <v/>
      </c>
    </row>
    <row r="1530" customFormat="false" ht="15" hidden="false" customHeight="false" outlineLevel="0" collapsed="false">
      <c r="DB1530" s="0" t="str">
        <f aca="false">IF($A1530="","",IF($A1530&lt;&gt;21,"対象外",IF($AE1530&amp;""="00000000","在職",IF($AE1530&amp;""=設定!$C$4,"4/1喪失","その他喪失"))))</f>
        <v/>
      </c>
    </row>
    <row r="1531" customFormat="false" ht="15" hidden="false" customHeight="false" outlineLevel="0" collapsed="false">
      <c r="DB1531" s="0" t="str">
        <f aca="false">IF($A1531="","",IF($A1531&lt;&gt;21,"対象外",IF($AE1531&amp;""="00000000","在職",IF($AE1531&amp;""=設定!$C$4,"4/1喪失","その他喪失"))))</f>
        <v/>
      </c>
    </row>
    <row r="1532" customFormat="false" ht="15" hidden="false" customHeight="false" outlineLevel="0" collapsed="false">
      <c r="DB1532" s="0" t="str">
        <f aca="false">IF($A1532="","",IF($A1532&lt;&gt;21,"対象外",IF($AE1532&amp;""="00000000","在職",IF($AE1532&amp;""=設定!$C$4,"4/1喪失","その他喪失"))))</f>
        <v/>
      </c>
    </row>
    <row r="1533" customFormat="false" ht="15" hidden="false" customHeight="false" outlineLevel="0" collapsed="false">
      <c r="DB1533" s="0" t="str">
        <f aca="false">IF($A1533="","",IF($A1533&lt;&gt;21,"対象外",IF($AE1533&amp;""="00000000","在職",IF($AE1533&amp;""=設定!$C$4,"4/1喪失","その他喪失"))))</f>
        <v/>
      </c>
    </row>
    <row r="1534" customFormat="false" ht="15" hidden="false" customHeight="false" outlineLevel="0" collapsed="false">
      <c r="DB1534" s="0" t="str">
        <f aca="false">IF($A1534="","",IF($A1534&lt;&gt;21,"対象外",IF($AE1534&amp;""="00000000","在職",IF($AE1534&amp;""=設定!$C$4,"4/1喪失","その他喪失"))))</f>
        <v/>
      </c>
    </row>
    <row r="1535" customFormat="false" ht="15" hidden="false" customHeight="false" outlineLevel="0" collapsed="false">
      <c r="DB1535" s="0" t="str">
        <f aca="false">IF($A1535="","",IF($A1535&lt;&gt;21,"対象外",IF($AE1535&amp;""="00000000","在職",IF($AE1535&amp;""=設定!$C$4,"4/1喪失","その他喪失"))))</f>
        <v/>
      </c>
    </row>
    <row r="1536" customFormat="false" ht="15" hidden="false" customHeight="false" outlineLevel="0" collapsed="false">
      <c r="DB1536" s="0" t="str">
        <f aca="false">IF($A1536="","",IF($A1536&lt;&gt;21,"対象外",IF($AE1536&amp;""="00000000","在職",IF($AE1536&amp;""=設定!$C$4,"4/1喪失","その他喪失"))))</f>
        <v/>
      </c>
    </row>
    <row r="1537" customFormat="false" ht="15" hidden="false" customHeight="false" outlineLevel="0" collapsed="false">
      <c r="DB1537" s="0" t="str">
        <f aca="false">IF($A1537="","",IF($A1537&lt;&gt;21,"対象外",IF($AE1537&amp;""="00000000","在職",IF($AE1537&amp;""=設定!$C$4,"4/1喪失","その他喪失"))))</f>
        <v/>
      </c>
    </row>
    <row r="1538" customFormat="false" ht="15" hidden="false" customHeight="false" outlineLevel="0" collapsed="false">
      <c r="DB1538" s="0" t="str">
        <f aca="false">IF($A1538="","",IF($A1538&lt;&gt;21,"対象外",IF($AE1538&amp;""="00000000","在職",IF($AE1538&amp;""=設定!$C$4,"4/1喪失","その他喪失"))))</f>
        <v/>
      </c>
    </row>
    <row r="1539" customFormat="false" ht="15" hidden="false" customHeight="false" outlineLevel="0" collapsed="false">
      <c r="DB1539" s="0" t="str">
        <f aca="false">IF($A1539="","",IF($A1539&lt;&gt;21,"対象外",IF($AE1539&amp;""="00000000","在職",IF($AE1539&amp;""=設定!$C$4,"4/1喪失","その他喪失"))))</f>
        <v/>
      </c>
    </row>
    <row r="1540" customFormat="false" ht="15" hidden="false" customHeight="false" outlineLevel="0" collapsed="false">
      <c r="DB1540" s="0" t="str">
        <f aca="false">IF($A1540="","",IF($A1540&lt;&gt;21,"対象外",IF($AE1540&amp;""="00000000","在職",IF($AE1540&amp;""=設定!$C$4,"4/1喪失","その他喪失"))))</f>
        <v/>
      </c>
    </row>
    <row r="1541" customFormat="false" ht="15" hidden="false" customHeight="false" outlineLevel="0" collapsed="false">
      <c r="DB1541" s="0" t="str">
        <f aca="false">IF($A1541="","",IF($A1541&lt;&gt;21,"対象外",IF($AE1541&amp;""="00000000","在職",IF($AE1541&amp;""=設定!$C$4,"4/1喪失","その他喪失"))))</f>
        <v/>
      </c>
    </row>
    <row r="1542" customFormat="false" ht="15" hidden="false" customHeight="false" outlineLevel="0" collapsed="false">
      <c r="DB1542" s="0" t="str">
        <f aca="false">IF($A1542="","",IF($A1542&lt;&gt;21,"対象外",IF($AE1542&amp;""="00000000","在職",IF($AE1542&amp;""=設定!$C$4,"4/1喪失","その他喪失"))))</f>
        <v/>
      </c>
    </row>
    <row r="1543" customFormat="false" ht="15" hidden="false" customHeight="false" outlineLevel="0" collapsed="false">
      <c r="DB1543" s="0" t="str">
        <f aca="false">IF($A1543="","",IF($A1543&lt;&gt;21,"対象外",IF($AE1543&amp;""="00000000","在職",IF($AE1543&amp;""=設定!$C$4,"4/1喪失","その他喪失"))))</f>
        <v/>
      </c>
    </row>
    <row r="1544" customFormat="false" ht="15" hidden="false" customHeight="false" outlineLevel="0" collapsed="false">
      <c r="DB1544" s="0" t="str">
        <f aca="false">IF($A1544="","",IF($A1544&lt;&gt;21,"対象外",IF($AE1544&amp;""="00000000","在職",IF($AE1544&amp;""=設定!$C$4,"4/1喪失","その他喪失"))))</f>
        <v/>
      </c>
    </row>
    <row r="1545" customFormat="false" ht="15" hidden="false" customHeight="false" outlineLevel="0" collapsed="false">
      <c r="DB1545" s="0" t="str">
        <f aca="false">IF($A1545="","",IF($A1545&lt;&gt;21,"対象外",IF($AE1545&amp;""="00000000","在職",IF($AE1545&amp;""=設定!$C$4,"4/1喪失","その他喪失"))))</f>
        <v/>
      </c>
    </row>
    <row r="1546" customFormat="false" ht="15" hidden="false" customHeight="false" outlineLevel="0" collapsed="false">
      <c r="DB1546" s="0" t="str">
        <f aca="false">IF($A1546="","",IF($A1546&lt;&gt;21,"対象外",IF($AE1546&amp;""="00000000","在職",IF($AE1546&amp;""=設定!$C$4,"4/1喪失","その他喪失"))))</f>
        <v/>
      </c>
    </row>
    <row r="1547" customFormat="false" ht="15" hidden="false" customHeight="false" outlineLevel="0" collapsed="false">
      <c r="DB1547" s="0" t="str">
        <f aca="false">IF($A1547="","",IF($A1547&lt;&gt;21,"対象外",IF($AE1547&amp;""="00000000","在職",IF($AE1547&amp;""=設定!$C$4,"4/1喪失","その他喪失"))))</f>
        <v/>
      </c>
    </row>
    <row r="1548" customFormat="false" ht="15" hidden="false" customHeight="false" outlineLevel="0" collapsed="false">
      <c r="DB1548" s="0" t="str">
        <f aca="false">IF($A1548="","",IF($A1548&lt;&gt;21,"対象外",IF($AE1548&amp;""="00000000","在職",IF($AE1548&amp;""=設定!$C$4,"4/1喪失","その他喪失"))))</f>
        <v/>
      </c>
    </row>
    <row r="1549" customFormat="false" ht="15" hidden="false" customHeight="false" outlineLevel="0" collapsed="false">
      <c r="DB1549" s="0" t="str">
        <f aca="false">IF($A1549="","",IF($A1549&lt;&gt;21,"対象外",IF($AE1549&amp;""="00000000","在職",IF($AE1549&amp;""=設定!$C$4,"4/1喪失","その他喪失"))))</f>
        <v/>
      </c>
    </row>
    <row r="1550" customFormat="false" ht="15" hidden="false" customHeight="false" outlineLevel="0" collapsed="false">
      <c r="DB1550" s="0" t="str">
        <f aca="false">IF($A1550="","",IF($A1550&lt;&gt;21,"対象外",IF($AE1550&amp;""="00000000","在職",IF($AE1550&amp;""=設定!$C$4,"4/1喪失","その他喪失"))))</f>
        <v/>
      </c>
    </row>
    <row r="1551" customFormat="false" ht="15" hidden="false" customHeight="false" outlineLevel="0" collapsed="false">
      <c r="DB1551" s="0" t="str">
        <f aca="false">IF($A1551="","",IF($A1551&lt;&gt;21,"対象外",IF($AE1551&amp;""="00000000","在職",IF($AE1551&amp;""=設定!$C$4,"4/1喪失","その他喪失"))))</f>
        <v/>
      </c>
    </row>
    <row r="1552" customFormat="false" ht="15" hidden="false" customHeight="false" outlineLevel="0" collapsed="false">
      <c r="DB1552" s="0" t="str">
        <f aca="false">IF($A1552="","",IF($A1552&lt;&gt;21,"対象外",IF($AE1552&amp;""="00000000","在職",IF($AE1552&amp;""=設定!$C$4,"4/1喪失","その他喪失"))))</f>
        <v/>
      </c>
    </row>
    <row r="1553" customFormat="false" ht="15" hidden="false" customHeight="false" outlineLevel="0" collapsed="false">
      <c r="DB1553" s="0" t="str">
        <f aca="false">IF($A1553="","",IF($A1553&lt;&gt;21,"対象外",IF($AE1553&amp;""="00000000","在職",IF($AE1553&amp;""=設定!$C$4,"4/1喪失","その他喪失"))))</f>
        <v/>
      </c>
    </row>
    <row r="1554" customFormat="false" ht="15" hidden="false" customHeight="false" outlineLevel="0" collapsed="false">
      <c r="DB1554" s="0" t="str">
        <f aca="false">IF($A1554="","",IF($A1554&lt;&gt;21,"対象外",IF($AE1554&amp;""="00000000","在職",IF($AE1554&amp;""=設定!$C$4,"4/1喪失","その他喪失"))))</f>
        <v/>
      </c>
    </row>
    <row r="1555" customFormat="false" ht="15" hidden="false" customHeight="false" outlineLevel="0" collapsed="false">
      <c r="DB1555" s="0" t="str">
        <f aca="false">IF($A1555="","",IF($A1555&lt;&gt;21,"対象外",IF($AE1555&amp;""="00000000","在職",IF($AE1555&amp;""=設定!$C$4,"4/1喪失","その他喪失"))))</f>
        <v/>
      </c>
    </row>
    <row r="1556" customFormat="false" ht="15" hidden="false" customHeight="false" outlineLevel="0" collapsed="false">
      <c r="DB1556" s="0" t="str">
        <f aca="false">IF($A1556="","",IF($A1556&lt;&gt;21,"対象外",IF($AE1556&amp;""="00000000","在職",IF($AE1556&amp;""=設定!$C$4,"4/1喪失","その他喪失"))))</f>
        <v/>
      </c>
    </row>
    <row r="1557" customFormat="false" ht="15" hidden="false" customHeight="false" outlineLevel="0" collapsed="false">
      <c r="DB1557" s="0" t="str">
        <f aca="false">IF($A1557="","",IF($A1557&lt;&gt;21,"対象外",IF($AE1557&amp;""="00000000","在職",IF($AE1557&amp;""=設定!$C$4,"4/1喪失","その他喪失"))))</f>
        <v/>
      </c>
    </row>
    <row r="1558" customFormat="false" ht="15" hidden="false" customHeight="false" outlineLevel="0" collapsed="false">
      <c r="DB1558" s="0" t="str">
        <f aca="false">IF($A1558="","",IF($A1558&lt;&gt;21,"対象外",IF($AE1558&amp;""="00000000","在職",IF($AE1558&amp;""=設定!$C$4,"4/1喪失","その他喪失"))))</f>
        <v/>
      </c>
    </row>
    <row r="1559" customFormat="false" ht="15" hidden="false" customHeight="false" outlineLevel="0" collapsed="false">
      <c r="DB1559" s="0" t="str">
        <f aca="false">IF($A1559="","",IF($A1559&lt;&gt;21,"対象外",IF($AE1559&amp;""="00000000","在職",IF($AE1559&amp;""=設定!$C$4,"4/1喪失","その他喪失"))))</f>
        <v/>
      </c>
    </row>
    <row r="1560" customFormat="false" ht="15" hidden="false" customHeight="false" outlineLevel="0" collapsed="false">
      <c r="DB1560" s="0" t="str">
        <f aca="false">IF($A1560="","",IF($A1560&lt;&gt;21,"対象外",IF($AE1560&amp;""="00000000","在職",IF($AE1560&amp;""=設定!$C$4,"4/1喪失","その他喪失"))))</f>
        <v/>
      </c>
    </row>
    <row r="1561" customFormat="false" ht="15" hidden="false" customHeight="false" outlineLevel="0" collapsed="false">
      <c r="DB1561" s="0" t="str">
        <f aca="false">IF($A1561="","",IF($A1561&lt;&gt;21,"対象外",IF($AE1561&amp;""="00000000","在職",IF($AE1561&amp;""=設定!$C$4,"4/1喪失","その他喪失"))))</f>
        <v/>
      </c>
    </row>
    <row r="1562" customFormat="false" ht="15" hidden="false" customHeight="false" outlineLevel="0" collapsed="false">
      <c r="DB1562" s="0" t="str">
        <f aca="false">IF($A1562="","",IF($A1562&lt;&gt;21,"対象外",IF($AE1562&amp;""="00000000","在職",IF($AE1562&amp;""=設定!$C$4,"4/1喪失","その他喪失"))))</f>
        <v/>
      </c>
    </row>
    <row r="1563" customFormat="false" ht="15" hidden="false" customHeight="false" outlineLevel="0" collapsed="false">
      <c r="DB1563" s="0" t="str">
        <f aca="false">IF($A1563="","",IF($A1563&lt;&gt;21,"対象外",IF($AE1563&amp;""="00000000","在職",IF($AE1563&amp;""=設定!$C$4,"4/1喪失","その他喪失"))))</f>
        <v/>
      </c>
    </row>
    <row r="1564" customFormat="false" ht="15" hidden="false" customHeight="false" outlineLevel="0" collapsed="false">
      <c r="DB1564" s="0" t="str">
        <f aca="false">IF($A1564="","",IF($A1564&lt;&gt;21,"対象外",IF($AE1564&amp;""="00000000","在職",IF($AE1564&amp;""=設定!$C$4,"4/1喪失","その他喪失"))))</f>
        <v/>
      </c>
    </row>
    <row r="1565" customFormat="false" ht="15" hidden="false" customHeight="false" outlineLevel="0" collapsed="false">
      <c r="DB1565" s="0" t="str">
        <f aca="false">IF($A1565="","",IF($A1565&lt;&gt;21,"対象外",IF($AE1565&amp;""="00000000","在職",IF($AE1565&amp;""=設定!$C$4,"4/1喪失","その他喪失"))))</f>
        <v/>
      </c>
    </row>
    <row r="1566" customFormat="false" ht="15" hidden="false" customHeight="false" outlineLevel="0" collapsed="false">
      <c r="DB1566" s="0" t="str">
        <f aca="false">IF($A1566="","",IF($A1566&lt;&gt;21,"対象外",IF($AE1566&amp;""="00000000","在職",IF($AE1566&amp;""=設定!$C$4,"4/1喪失","その他喪失"))))</f>
        <v/>
      </c>
    </row>
    <row r="1567" customFormat="false" ht="15" hidden="false" customHeight="false" outlineLevel="0" collapsed="false">
      <c r="DB1567" s="0" t="str">
        <f aca="false">IF($A1567="","",IF($A1567&lt;&gt;21,"対象外",IF($AE1567&amp;""="00000000","在職",IF($AE1567&amp;""=設定!$C$4,"4/1喪失","その他喪失"))))</f>
        <v/>
      </c>
    </row>
    <row r="1568" customFormat="false" ht="15" hidden="false" customHeight="false" outlineLevel="0" collapsed="false">
      <c r="DB1568" s="0" t="str">
        <f aca="false">IF($A1568="","",IF($A1568&lt;&gt;21,"対象外",IF($AE1568&amp;""="00000000","在職",IF($AE1568&amp;""=設定!$C$4,"4/1喪失","その他喪失"))))</f>
        <v/>
      </c>
    </row>
    <row r="1569" customFormat="false" ht="15" hidden="false" customHeight="false" outlineLevel="0" collapsed="false">
      <c r="DB1569" s="0" t="str">
        <f aca="false">IF($A1569="","",IF($A1569&lt;&gt;21,"対象外",IF($AE1569&amp;""="00000000","在職",IF($AE1569&amp;""=設定!$C$4,"4/1喪失","その他喪失"))))</f>
        <v/>
      </c>
    </row>
    <row r="1570" customFormat="false" ht="15" hidden="false" customHeight="false" outlineLevel="0" collapsed="false">
      <c r="DB1570" s="0" t="str">
        <f aca="false">IF($A1570="","",IF($A1570&lt;&gt;21,"対象外",IF($AE1570&amp;""="00000000","在職",IF($AE1570&amp;""=設定!$C$4,"4/1喪失","その他喪失"))))</f>
        <v/>
      </c>
    </row>
    <row r="1571" customFormat="false" ht="15" hidden="false" customHeight="false" outlineLevel="0" collapsed="false">
      <c r="DB1571" s="0" t="str">
        <f aca="false">IF($A1571="","",IF($A1571&lt;&gt;21,"対象外",IF($AE1571&amp;""="00000000","在職",IF($AE1571&amp;""=設定!$C$4,"4/1喪失","その他喪失"))))</f>
        <v/>
      </c>
    </row>
    <row r="1572" customFormat="false" ht="15" hidden="false" customHeight="false" outlineLevel="0" collapsed="false">
      <c r="DB1572" s="0" t="str">
        <f aca="false">IF($A1572="","",IF($A1572&lt;&gt;21,"対象外",IF($AE1572&amp;""="00000000","在職",IF($AE1572&amp;""=設定!$C$4,"4/1喪失","その他喪失"))))</f>
        <v/>
      </c>
    </row>
    <row r="1573" customFormat="false" ht="15" hidden="false" customHeight="false" outlineLevel="0" collapsed="false">
      <c r="DB1573" s="0" t="str">
        <f aca="false">IF($A1573="","",IF($A1573&lt;&gt;21,"対象外",IF($AE1573&amp;""="00000000","在職",IF($AE1573&amp;""=設定!$C$4,"4/1喪失","その他喪失"))))</f>
        <v/>
      </c>
    </row>
    <row r="1574" customFormat="false" ht="15" hidden="false" customHeight="false" outlineLevel="0" collapsed="false">
      <c r="DB1574" s="0" t="str">
        <f aca="false">IF($A1574="","",IF($A1574&lt;&gt;21,"対象外",IF($AE1574&amp;""="00000000","在職",IF($AE1574&amp;""=設定!$C$4,"4/1喪失","その他喪失"))))</f>
        <v/>
      </c>
    </row>
    <row r="1575" customFormat="false" ht="15" hidden="false" customHeight="false" outlineLevel="0" collapsed="false">
      <c r="DB1575" s="0" t="str">
        <f aca="false">IF($A1575="","",IF($A1575&lt;&gt;21,"対象外",IF($AE1575&amp;""="00000000","在職",IF($AE1575&amp;""=設定!$C$4,"4/1喪失","その他喪失"))))</f>
        <v/>
      </c>
    </row>
    <row r="1576" customFormat="false" ht="15" hidden="false" customHeight="false" outlineLevel="0" collapsed="false">
      <c r="DB1576" s="0" t="str">
        <f aca="false">IF($A1576="","",IF($A1576&lt;&gt;21,"対象外",IF($AE1576&amp;""="00000000","在職",IF($AE1576&amp;""=設定!$C$4,"4/1喪失","その他喪失"))))</f>
        <v/>
      </c>
    </row>
    <row r="1577" customFormat="false" ht="15" hidden="false" customHeight="false" outlineLevel="0" collapsed="false">
      <c r="DB1577" s="0" t="str">
        <f aca="false">IF($A1577="","",IF($A1577&lt;&gt;21,"対象外",IF($AE1577&amp;""="00000000","在職",IF($AE1577&amp;""=設定!$C$4,"4/1喪失","その他喪失"))))</f>
        <v/>
      </c>
    </row>
    <row r="1578" customFormat="false" ht="15" hidden="false" customHeight="false" outlineLevel="0" collapsed="false">
      <c r="DB1578" s="0" t="str">
        <f aca="false">IF($A1578="","",IF($A1578&lt;&gt;21,"対象外",IF($AE1578&amp;""="00000000","在職",IF($AE1578&amp;""=設定!$C$4,"4/1喪失","その他喪失"))))</f>
        <v/>
      </c>
    </row>
    <row r="1579" customFormat="false" ht="15" hidden="false" customHeight="false" outlineLevel="0" collapsed="false">
      <c r="DB1579" s="0" t="str">
        <f aca="false">IF($A1579="","",IF($A1579&lt;&gt;21,"対象外",IF($AE1579&amp;""="00000000","在職",IF($AE1579&amp;""=設定!$C$4,"4/1喪失","その他喪失"))))</f>
        <v/>
      </c>
    </row>
    <row r="1580" customFormat="false" ht="15" hidden="false" customHeight="false" outlineLevel="0" collapsed="false">
      <c r="DB1580" s="0" t="str">
        <f aca="false">IF($A1580="","",IF($A1580&lt;&gt;21,"対象外",IF($AE1580&amp;""="00000000","在職",IF($AE1580&amp;""=設定!$C$4,"4/1喪失","その他喪失"))))</f>
        <v/>
      </c>
    </row>
    <row r="1581" customFormat="false" ht="15" hidden="false" customHeight="false" outlineLevel="0" collapsed="false">
      <c r="DB1581" s="0" t="str">
        <f aca="false">IF($A1581="","",IF($A1581&lt;&gt;21,"対象外",IF($AE1581&amp;""="00000000","在職",IF($AE1581&amp;""=設定!$C$4,"4/1喪失","その他喪失"))))</f>
        <v/>
      </c>
    </row>
    <row r="1582" customFormat="false" ht="15" hidden="false" customHeight="false" outlineLevel="0" collapsed="false">
      <c r="DB1582" s="0" t="str">
        <f aca="false">IF($A1582="","",IF($A1582&lt;&gt;21,"対象外",IF($AE1582&amp;""="00000000","在職",IF($AE1582&amp;""=設定!$C$4,"4/1喪失","その他喪失"))))</f>
        <v/>
      </c>
    </row>
    <row r="1583" customFormat="false" ht="15" hidden="false" customHeight="false" outlineLevel="0" collapsed="false">
      <c r="DB1583" s="0" t="str">
        <f aca="false">IF($A1583="","",IF($A1583&lt;&gt;21,"対象外",IF($AE1583&amp;""="00000000","在職",IF($AE1583&amp;""=設定!$C$4,"4/1喪失","その他喪失"))))</f>
        <v/>
      </c>
    </row>
    <row r="1584" customFormat="false" ht="15" hidden="false" customHeight="false" outlineLevel="0" collapsed="false">
      <c r="DB1584" s="0" t="str">
        <f aca="false">IF($A1584="","",IF($A1584&lt;&gt;21,"対象外",IF($AE1584&amp;""="00000000","在職",IF($AE1584&amp;""=設定!$C$4,"4/1喪失","その他喪失"))))</f>
        <v/>
      </c>
    </row>
    <row r="1585" customFormat="false" ht="15" hidden="false" customHeight="false" outlineLevel="0" collapsed="false">
      <c r="DB1585" s="0" t="str">
        <f aca="false">IF($A1585="","",IF($A1585&lt;&gt;21,"対象外",IF($AE1585&amp;""="00000000","在職",IF($AE1585&amp;""=設定!$C$4,"4/1喪失","その他喪失"))))</f>
        <v/>
      </c>
    </row>
    <row r="1586" customFormat="false" ht="15" hidden="false" customHeight="false" outlineLevel="0" collapsed="false">
      <c r="DB1586" s="0" t="str">
        <f aca="false">IF($A1586="","",IF($A1586&lt;&gt;21,"対象外",IF($AE1586&amp;""="00000000","在職",IF($AE1586&amp;""=設定!$C$4,"4/1喪失","その他喪失"))))</f>
        <v/>
      </c>
    </row>
    <row r="1587" customFormat="false" ht="15" hidden="false" customHeight="false" outlineLevel="0" collapsed="false">
      <c r="DB1587" s="0" t="str">
        <f aca="false">IF($A1587="","",IF($A1587&lt;&gt;21,"対象外",IF($AE1587&amp;""="00000000","在職",IF($AE1587&amp;""=設定!$C$4,"4/1喪失","その他喪失"))))</f>
        <v/>
      </c>
    </row>
    <row r="1588" customFormat="false" ht="15" hidden="false" customHeight="false" outlineLevel="0" collapsed="false">
      <c r="DB1588" s="0" t="str">
        <f aca="false">IF($A1588="","",IF($A1588&lt;&gt;21,"対象外",IF($AE1588&amp;""="00000000","在職",IF($AE1588&amp;""=設定!$C$4,"4/1喪失","その他喪失"))))</f>
        <v/>
      </c>
    </row>
    <row r="1589" customFormat="false" ht="15" hidden="false" customHeight="false" outlineLevel="0" collapsed="false">
      <c r="DB1589" s="0" t="str">
        <f aca="false">IF($A1589="","",IF($A1589&lt;&gt;21,"対象外",IF($AE1589&amp;""="00000000","在職",IF($AE1589&amp;""=設定!$C$4,"4/1喪失","その他喪失"))))</f>
        <v/>
      </c>
    </row>
    <row r="1590" customFormat="false" ht="15" hidden="false" customHeight="false" outlineLevel="0" collapsed="false">
      <c r="DB1590" s="0" t="str">
        <f aca="false">IF($A1590="","",IF($A1590&lt;&gt;21,"対象外",IF($AE1590&amp;""="00000000","在職",IF($AE1590&amp;""=設定!$C$4,"4/1喪失","その他喪失"))))</f>
        <v/>
      </c>
    </row>
    <row r="1591" customFormat="false" ht="15" hidden="false" customHeight="false" outlineLevel="0" collapsed="false">
      <c r="DB1591" s="0" t="str">
        <f aca="false">IF($A1591="","",IF($A1591&lt;&gt;21,"対象外",IF($AE1591&amp;""="00000000","在職",IF($AE1591&amp;""=設定!$C$4,"4/1喪失","その他喪失"))))</f>
        <v/>
      </c>
    </row>
    <row r="1592" customFormat="false" ht="15" hidden="false" customHeight="false" outlineLevel="0" collapsed="false">
      <c r="DB1592" s="0" t="str">
        <f aca="false">IF($A1592="","",IF($A1592&lt;&gt;21,"対象外",IF($AE1592&amp;""="00000000","在職",IF($AE1592&amp;""=設定!$C$4,"4/1喪失","その他喪失"))))</f>
        <v/>
      </c>
    </row>
    <row r="1593" customFormat="false" ht="15" hidden="false" customHeight="false" outlineLevel="0" collapsed="false">
      <c r="DB1593" s="0" t="str">
        <f aca="false">IF($A1593="","",IF($A1593&lt;&gt;21,"対象外",IF($AE1593&amp;""="00000000","在職",IF($AE1593&amp;""=設定!$C$4,"4/1喪失","その他喪失"))))</f>
        <v/>
      </c>
    </row>
    <row r="1594" customFormat="false" ht="15" hidden="false" customHeight="false" outlineLevel="0" collapsed="false">
      <c r="DB1594" s="0" t="str">
        <f aca="false">IF($A1594="","",IF($A1594&lt;&gt;21,"対象外",IF($AE1594&amp;""="00000000","在職",IF($AE1594&amp;""=設定!$C$4,"4/1喪失","その他喪失"))))</f>
        <v/>
      </c>
    </row>
    <row r="1595" customFormat="false" ht="15" hidden="false" customHeight="false" outlineLevel="0" collapsed="false">
      <c r="DB1595" s="0" t="str">
        <f aca="false">IF($A1595="","",IF($A1595&lt;&gt;21,"対象外",IF($AE1595&amp;""="00000000","在職",IF($AE1595&amp;""=設定!$C$4,"4/1喪失","その他喪失"))))</f>
        <v/>
      </c>
    </row>
    <row r="1596" customFormat="false" ht="15" hidden="false" customHeight="false" outlineLevel="0" collapsed="false">
      <c r="DB1596" s="0" t="str">
        <f aca="false">IF($A1596="","",IF($A1596&lt;&gt;21,"対象外",IF($AE1596&amp;""="00000000","在職",IF($AE1596&amp;""=設定!$C$4,"4/1喪失","その他喪失"))))</f>
        <v/>
      </c>
    </row>
    <row r="1597" customFormat="false" ht="15" hidden="false" customHeight="false" outlineLevel="0" collapsed="false">
      <c r="DB1597" s="0" t="str">
        <f aca="false">IF($A1597="","",IF($A1597&lt;&gt;21,"対象外",IF($AE1597&amp;""="00000000","在職",IF($AE1597&amp;""=設定!$C$4,"4/1喪失","その他喪失"))))</f>
        <v/>
      </c>
    </row>
    <row r="1598" customFormat="false" ht="15" hidden="false" customHeight="false" outlineLevel="0" collapsed="false">
      <c r="DB1598" s="0" t="str">
        <f aca="false">IF($A1598="","",IF($A1598&lt;&gt;21,"対象外",IF($AE1598&amp;""="00000000","在職",IF($AE1598&amp;""=設定!$C$4,"4/1喪失","その他喪失"))))</f>
        <v/>
      </c>
    </row>
    <row r="1599" customFormat="false" ht="15" hidden="false" customHeight="false" outlineLevel="0" collapsed="false">
      <c r="DB1599" s="0" t="str">
        <f aca="false">IF($A1599="","",IF($A1599&lt;&gt;21,"対象外",IF($AE1599&amp;""="00000000","在職",IF($AE1599&amp;""=設定!$C$4,"4/1喪失","その他喪失"))))</f>
        <v/>
      </c>
    </row>
    <row r="1600" customFormat="false" ht="15" hidden="false" customHeight="false" outlineLevel="0" collapsed="false">
      <c r="DB1600" s="0" t="str">
        <f aca="false">IF($A1600="","",IF($A1600&lt;&gt;21,"対象外",IF($AE1600&amp;""="00000000","在職",IF($AE1600&amp;""=設定!$C$4,"4/1喪失","その他喪失"))))</f>
        <v/>
      </c>
    </row>
    <row r="1601" customFormat="false" ht="15" hidden="false" customHeight="false" outlineLevel="0" collapsed="false">
      <c r="DB1601" s="0" t="str">
        <f aca="false">IF($A1601="","",IF($A1601&lt;&gt;21,"対象外",IF($AE1601&amp;""="00000000","在職",IF($AE1601&amp;""=設定!$C$4,"4/1喪失","その他喪失"))))</f>
        <v/>
      </c>
    </row>
    <row r="1602" customFormat="false" ht="15" hidden="false" customHeight="false" outlineLevel="0" collapsed="false">
      <c r="DB1602" s="0" t="str">
        <f aca="false">IF($A1602="","",IF($A1602&lt;&gt;21,"対象外",IF($AE1602&amp;""="00000000","在職",IF($AE1602&amp;""=設定!$C$4,"4/1喪失","その他喪失"))))</f>
        <v/>
      </c>
    </row>
    <row r="1603" customFormat="false" ht="15" hidden="false" customHeight="false" outlineLevel="0" collapsed="false">
      <c r="DB1603" s="0" t="str">
        <f aca="false">IF($A1603="","",IF($A1603&lt;&gt;21,"対象外",IF($AE1603&amp;""="00000000","在職",IF($AE1603&amp;""=設定!$C$4,"4/1喪失","その他喪失"))))</f>
        <v/>
      </c>
    </row>
    <row r="1604" customFormat="false" ht="15" hidden="false" customHeight="false" outlineLevel="0" collapsed="false">
      <c r="DB1604" s="0" t="str">
        <f aca="false">IF($A1604="","",IF($A1604&lt;&gt;21,"対象外",IF($AE1604&amp;""="00000000","在職",IF($AE1604&amp;""=設定!$C$4,"4/1喪失","その他喪失"))))</f>
        <v/>
      </c>
    </row>
    <row r="1605" customFormat="false" ht="15" hidden="false" customHeight="false" outlineLevel="0" collapsed="false">
      <c r="DB1605" s="0" t="str">
        <f aca="false">IF($A1605="","",IF($A1605&lt;&gt;21,"対象外",IF($AE1605&amp;""="00000000","在職",IF($AE1605&amp;""=設定!$C$4,"4/1喪失","その他喪失"))))</f>
        <v/>
      </c>
    </row>
    <row r="1606" customFormat="false" ht="15" hidden="false" customHeight="false" outlineLevel="0" collapsed="false">
      <c r="DB1606" s="0" t="str">
        <f aca="false">IF($A1606="","",IF($A1606&lt;&gt;21,"対象外",IF($AE1606&amp;""="00000000","在職",IF($AE1606&amp;""=設定!$C$4,"4/1喪失","その他喪失"))))</f>
        <v/>
      </c>
    </row>
    <row r="1607" customFormat="false" ht="15" hidden="false" customHeight="false" outlineLevel="0" collapsed="false">
      <c r="DB1607" s="0" t="str">
        <f aca="false">IF($A1607="","",IF($A1607&lt;&gt;21,"対象外",IF($AE1607&amp;""="00000000","在職",IF($AE1607&amp;""=設定!$C$4,"4/1喪失","その他喪失"))))</f>
        <v/>
      </c>
    </row>
    <row r="1608" customFormat="false" ht="15" hidden="false" customHeight="false" outlineLevel="0" collapsed="false">
      <c r="DB1608" s="0" t="str">
        <f aca="false">IF($A1608="","",IF($A1608&lt;&gt;21,"対象外",IF($AE1608&amp;""="00000000","在職",IF($AE1608&amp;""=設定!$C$4,"4/1喪失","その他喪失"))))</f>
        <v/>
      </c>
    </row>
    <row r="1609" customFormat="false" ht="15" hidden="false" customHeight="false" outlineLevel="0" collapsed="false">
      <c r="DB1609" s="0" t="str">
        <f aca="false">IF($A1609="","",IF($A1609&lt;&gt;21,"対象外",IF($AE1609&amp;""="00000000","在職",IF($AE1609&amp;""=設定!$C$4,"4/1喪失","その他喪失"))))</f>
        <v/>
      </c>
    </row>
    <row r="1610" customFormat="false" ht="15" hidden="false" customHeight="false" outlineLevel="0" collapsed="false">
      <c r="DB1610" s="0" t="str">
        <f aca="false">IF($A1610="","",IF($A1610&lt;&gt;21,"対象外",IF($AE1610&amp;""="00000000","在職",IF($AE1610&amp;""=設定!$C$4,"4/1喪失","その他喪失"))))</f>
        <v/>
      </c>
    </row>
    <row r="1611" customFormat="false" ht="15" hidden="false" customHeight="false" outlineLevel="0" collapsed="false">
      <c r="DB1611" s="0" t="str">
        <f aca="false">IF($A1611="","",IF($A1611&lt;&gt;21,"対象外",IF($AE1611&amp;""="00000000","在職",IF($AE1611&amp;""=設定!$C$4,"4/1喪失","その他喪失"))))</f>
        <v/>
      </c>
    </row>
    <row r="1612" customFormat="false" ht="15" hidden="false" customHeight="false" outlineLevel="0" collapsed="false">
      <c r="DB1612" s="0" t="str">
        <f aca="false">IF($A1612="","",IF($A1612&lt;&gt;21,"対象外",IF($AE1612&amp;""="00000000","在職",IF($AE1612&amp;""=設定!$C$4,"4/1喪失","その他喪失"))))</f>
        <v/>
      </c>
    </row>
    <row r="1613" customFormat="false" ht="15" hidden="false" customHeight="false" outlineLevel="0" collapsed="false">
      <c r="DB1613" s="0" t="str">
        <f aca="false">IF($A1613="","",IF($A1613&lt;&gt;21,"対象外",IF($AE1613&amp;""="00000000","在職",IF($AE1613&amp;""=設定!$C$4,"4/1喪失","その他喪失"))))</f>
        <v/>
      </c>
    </row>
    <row r="1614" customFormat="false" ht="15" hidden="false" customHeight="false" outlineLevel="0" collapsed="false">
      <c r="DB1614" s="0" t="str">
        <f aca="false">IF($A1614="","",IF($A1614&lt;&gt;21,"対象外",IF($AE1614&amp;""="00000000","在職",IF($AE1614&amp;""=設定!$C$4,"4/1喪失","その他喪失"))))</f>
        <v/>
      </c>
    </row>
    <row r="1615" customFormat="false" ht="15" hidden="false" customHeight="false" outlineLevel="0" collapsed="false">
      <c r="DB1615" s="0" t="str">
        <f aca="false">IF($A1615="","",IF($A1615&lt;&gt;21,"対象外",IF($AE1615&amp;""="00000000","在職",IF($AE1615&amp;""=設定!$C$4,"4/1喪失","その他喪失"))))</f>
        <v/>
      </c>
    </row>
    <row r="1616" customFormat="false" ht="15" hidden="false" customHeight="false" outlineLevel="0" collapsed="false">
      <c r="DB1616" s="0" t="str">
        <f aca="false">IF($A1616="","",IF($A1616&lt;&gt;21,"対象外",IF($AE1616&amp;""="00000000","在職",IF($AE1616&amp;""=設定!$C$4,"4/1喪失","その他喪失"))))</f>
        <v/>
      </c>
    </row>
    <row r="1617" customFormat="false" ht="15" hidden="false" customHeight="false" outlineLevel="0" collapsed="false">
      <c r="DB1617" s="0" t="str">
        <f aca="false">IF($A1617="","",IF($A1617&lt;&gt;21,"対象外",IF($AE1617&amp;""="00000000","在職",IF($AE1617&amp;""=設定!$C$4,"4/1喪失","その他喪失"))))</f>
        <v/>
      </c>
    </row>
    <row r="1618" customFormat="false" ht="15" hidden="false" customHeight="false" outlineLevel="0" collapsed="false">
      <c r="DB1618" s="0" t="str">
        <f aca="false">IF($A1618="","",IF($A1618&lt;&gt;21,"対象外",IF($AE1618&amp;""="00000000","在職",IF($AE1618&amp;""=設定!$C$4,"4/1喪失","その他喪失"))))</f>
        <v/>
      </c>
    </row>
    <row r="1619" customFormat="false" ht="15" hidden="false" customHeight="false" outlineLevel="0" collapsed="false">
      <c r="DB1619" s="0" t="str">
        <f aca="false">IF($A1619="","",IF($A1619&lt;&gt;21,"対象外",IF($AE1619&amp;""="00000000","在職",IF($AE1619&amp;""=設定!$C$4,"4/1喪失","その他喪失"))))</f>
        <v/>
      </c>
    </row>
    <row r="1620" customFormat="false" ht="15" hidden="false" customHeight="false" outlineLevel="0" collapsed="false">
      <c r="DB1620" s="0" t="str">
        <f aca="false">IF($A1620="","",IF($A1620&lt;&gt;21,"対象外",IF($AE1620&amp;""="00000000","在職",IF($AE1620&amp;""=設定!$C$4,"4/1喪失","その他喪失"))))</f>
        <v/>
      </c>
    </row>
    <row r="1621" customFormat="false" ht="15" hidden="false" customHeight="false" outlineLevel="0" collapsed="false">
      <c r="DB1621" s="0" t="str">
        <f aca="false">IF($A1621="","",IF($A1621&lt;&gt;21,"対象外",IF($AE1621&amp;""="00000000","在職",IF($AE1621&amp;""=設定!$C$4,"4/1喪失","その他喪失"))))</f>
        <v/>
      </c>
    </row>
    <row r="1622" customFormat="false" ht="15" hidden="false" customHeight="false" outlineLevel="0" collapsed="false">
      <c r="DB1622" s="0" t="str">
        <f aca="false">IF($A1622="","",IF($A1622&lt;&gt;21,"対象外",IF($AE1622&amp;""="00000000","在職",IF($AE1622&amp;""=設定!$C$4,"4/1喪失","その他喪失"))))</f>
        <v/>
      </c>
    </row>
    <row r="1623" customFormat="false" ht="15" hidden="false" customHeight="false" outlineLevel="0" collapsed="false">
      <c r="DB1623" s="0" t="str">
        <f aca="false">IF($A1623="","",IF($A1623&lt;&gt;21,"対象外",IF($AE1623&amp;""="00000000","在職",IF($AE1623&amp;""=設定!$C$4,"4/1喪失","その他喪失"))))</f>
        <v/>
      </c>
    </row>
    <row r="1624" customFormat="false" ht="15" hidden="false" customHeight="false" outlineLevel="0" collapsed="false">
      <c r="DB1624" s="0" t="str">
        <f aca="false">IF($A1624="","",IF($A1624&lt;&gt;21,"対象外",IF($AE1624&amp;""="00000000","在職",IF($AE1624&amp;""=設定!$C$4,"4/1喪失","その他喪失"))))</f>
        <v/>
      </c>
    </row>
    <row r="1625" customFormat="false" ht="15" hidden="false" customHeight="false" outlineLevel="0" collapsed="false">
      <c r="DB1625" s="0" t="str">
        <f aca="false">IF($A1625="","",IF($A1625&lt;&gt;21,"対象外",IF($AE1625&amp;""="00000000","在職",IF($AE1625&amp;""=設定!$C$4,"4/1喪失","その他喪失"))))</f>
        <v/>
      </c>
    </row>
    <row r="1626" customFormat="false" ht="15" hidden="false" customHeight="false" outlineLevel="0" collapsed="false">
      <c r="DB1626" s="0" t="str">
        <f aca="false">IF($A1626="","",IF($A1626&lt;&gt;21,"対象外",IF($AE1626&amp;""="00000000","在職",IF($AE1626&amp;""=設定!$C$4,"4/1喪失","その他喪失"))))</f>
        <v/>
      </c>
    </row>
    <row r="1627" customFormat="false" ht="15" hidden="false" customHeight="false" outlineLevel="0" collapsed="false">
      <c r="DB1627" s="0" t="str">
        <f aca="false">IF($A1627="","",IF($A1627&lt;&gt;21,"対象外",IF($AE1627&amp;""="00000000","在職",IF($AE1627&amp;""=設定!$C$4,"4/1喪失","その他喪失"))))</f>
        <v/>
      </c>
    </row>
    <row r="1628" customFormat="false" ht="15" hidden="false" customHeight="false" outlineLevel="0" collapsed="false">
      <c r="DB1628" s="0" t="str">
        <f aca="false">IF($A1628="","",IF($A1628&lt;&gt;21,"対象外",IF($AE1628&amp;""="00000000","在職",IF($AE1628&amp;""=設定!$C$4,"4/1喪失","その他喪失"))))</f>
        <v/>
      </c>
    </row>
    <row r="1629" customFormat="false" ht="15" hidden="false" customHeight="false" outlineLevel="0" collapsed="false">
      <c r="DB1629" s="0" t="str">
        <f aca="false">IF($A1629="","",IF($A1629&lt;&gt;21,"対象外",IF($AE1629&amp;""="00000000","在職",IF($AE1629&amp;""=設定!$C$4,"4/1喪失","その他喪失"))))</f>
        <v/>
      </c>
    </row>
    <row r="1630" customFormat="false" ht="15" hidden="false" customHeight="false" outlineLevel="0" collapsed="false">
      <c r="DB1630" s="0" t="str">
        <f aca="false">IF($A1630="","",IF($A1630&lt;&gt;21,"対象外",IF($AE1630&amp;""="00000000","在職",IF($AE1630&amp;""=設定!$C$4,"4/1喪失","その他喪失"))))</f>
        <v/>
      </c>
    </row>
    <row r="1631" customFormat="false" ht="15" hidden="false" customHeight="false" outlineLevel="0" collapsed="false">
      <c r="DB1631" s="0" t="str">
        <f aca="false">IF($A1631="","",IF($A1631&lt;&gt;21,"対象外",IF($AE1631&amp;""="00000000","在職",IF($AE1631&amp;""=設定!$C$4,"4/1喪失","その他喪失"))))</f>
        <v/>
      </c>
    </row>
    <row r="1632" customFormat="false" ht="15" hidden="false" customHeight="false" outlineLevel="0" collapsed="false">
      <c r="DB1632" s="0" t="str">
        <f aca="false">IF($A1632="","",IF($A1632&lt;&gt;21,"対象外",IF($AE1632&amp;""="00000000","在職",IF($AE1632&amp;""=設定!$C$4,"4/1喪失","その他喪失"))))</f>
        <v/>
      </c>
    </row>
    <row r="1633" customFormat="false" ht="15" hidden="false" customHeight="false" outlineLevel="0" collapsed="false">
      <c r="DB1633" s="0" t="str">
        <f aca="false">IF($A1633="","",IF($A1633&lt;&gt;21,"対象外",IF($AE1633&amp;""="00000000","在職",IF($AE1633&amp;""=設定!$C$4,"4/1喪失","その他喪失"))))</f>
        <v/>
      </c>
    </row>
    <row r="1634" customFormat="false" ht="15" hidden="false" customHeight="false" outlineLevel="0" collapsed="false">
      <c r="DB1634" s="0" t="str">
        <f aca="false">IF($A1634="","",IF($A1634&lt;&gt;21,"対象外",IF($AE1634&amp;""="00000000","在職",IF($AE1634&amp;""=設定!$C$4,"4/1喪失","その他喪失"))))</f>
        <v/>
      </c>
    </row>
    <row r="1635" customFormat="false" ht="15" hidden="false" customHeight="false" outlineLevel="0" collapsed="false">
      <c r="DB1635" s="0" t="str">
        <f aca="false">IF($A1635="","",IF($A1635&lt;&gt;21,"対象外",IF($AE1635&amp;""="00000000","在職",IF($AE1635&amp;""=設定!$C$4,"4/1喪失","その他喪失"))))</f>
        <v/>
      </c>
    </row>
    <row r="1636" customFormat="false" ht="15" hidden="false" customHeight="false" outlineLevel="0" collapsed="false">
      <c r="DB1636" s="0" t="str">
        <f aca="false">IF($A1636="","",IF($A1636&lt;&gt;21,"対象外",IF($AE1636&amp;""="00000000","在職",IF($AE1636&amp;""=設定!$C$4,"4/1喪失","その他喪失"))))</f>
        <v/>
      </c>
    </row>
    <row r="1637" customFormat="false" ht="15" hidden="false" customHeight="false" outlineLevel="0" collapsed="false">
      <c r="DB1637" s="0" t="str">
        <f aca="false">IF($A1637="","",IF($A1637&lt;&gt;21,"対象外",IF($AE1637&amp;""="00000000","在職",IF($AE1637&amp;""=設定!$C$4,"4/1喪失","その他喪失"))))</f>
        <v/>
      </c>
    </row>
    <row r="1638" customFormat="false" ht="15" hidden="false" customHeight="false" outlineLevel="0" collapsed="false">
      <c r="DB1638" s="0" t="str">
        <f aca="false">IF($A1638="","",IF($A1638&lt;&gt;21,"対象外",IF($AE1638&amp;""="00000000","在職",IF($AE1638&amp;""=設定!$C$4,"4/1喪失","その他喪失"))))</f>
        <v/>
      </c>
    </row>
    <row r="1639" customFormat="false" ht="15" hidden="false" customHeight="false" outlineLevel="0" collapsed="false">
      <c r="DB1639" s="0" t="str">
        <f aca="false">IF($A1639="","",IF($A1639&lt;&gt;21,"対象外",IF($AE1639&amp;""="00000000","在職",IF($AE1639&amp;""=設定!$C$4,"4/1喪失","その他喪失"))))</f>
        <v/>
      </c>
    </row>
    <row r="1640" customFormat="false" ht="15" hidden="false" customHeight="false" outlineLevel="0" collapsed="false">
      <c r="DB1640" s="0" t="str">
        <f aca="false">IF($A1640="","",IF($A1640&lt;&gt;21,"対象外",IF($AE1640&amp;""="00000000","在職",IF($AE1640&amp;""=設定!$C$4,"4/1喪失","その他喪失"))))</f>
        <v/>
      </c>
    </row>
    <row r="1641" customFormat="false" ht="15" hidden="false" customHeight="false" outlineLevel="0" collapsed="false">
      <c r="DB1641" s="0" t="str">
        <f aca="false">IF($A1641="","",IF($A1641&lt;&gt;21,"対象外",IF($AE1641&amp;""="00000000","在職",IF($AE1641&amp;""=設定!$C$4,"4/1喪失","その他喪失"))))</f>
        <v/>
      </c>
    </row>
    <row r="1642" customFormat="false" ht="15" hidden="false" customHeight="false" outlineLevel="0" collapsed="false">
      <c r="DB1642" s="0" t="str">
        <f aca="false">IF($A1642="","",IF($A1642&lt;&gt;21,"対象外",IF($AE1642&amp;""="00000000","在職",IF($AE1642&amp;""=設定!$C$4,"4/1喪失","その他喪失"))))</f>
        <v/>
      </c>
    </row>
    <row r="1643" customFormat="false" ht="15" hidden="false" customHeight="false" outlineLevel="0" collapsed="false">
      <c r="DB1643" s="0" t="str">
        <f aca="false">IF($A1643="","",IF($A1643&lt;&gt;21,"対象外",IF($AE1643&amp;""="00000000","在職",IF($AE1643&amp;""=設定!$C$4,"4/1喪失","その他喪失"))))</f>
        <v/>
      </c>
    </row>
    <row r="1644" customFormat="false" ht="15" hidden="false" customHeight="false" outlineLevel="0" collapsed="false">
      <c r="DB1644" s="0" t="str">
        <f aca="false">IF($A1644="","",IF($A1644&lt;&gt;21,"対象外",IF($AE1644&amp;""="00000000","在職",IF($AE1644&amp;""=設定!$C$4,"4/1喪失","その他喪失"))))</f>
        <v/>
      </c>
    </row>
    <row r="1645" customFormat="false" ht="15" hidden="false" customHeight="false" outlineLevel="0" collapsed="false">
      <c r="DB1645" s="0" t="str">
        <f aca="false">IF($A1645="","",IF($A1645&lt;&gt;21,"対象外",IF($AE1645&amp;""="00000000","在職",IF($AE1645&amp;""=設定!$C$4,"4/1喪失","その他喪失"))))</f>
        <v/>
      </c>
    </row>
    <row r="1646" customFormat="false" ht="15" hidden="false" customHeight="false" outlineLevel="0" collapsed="false">
      <c r="DB1646" s="0" t="str">
        <f aca="false">IF($A1646="","",IF($A1646&lt;&gt;21,"対象外",IF($AE1646&amp;""="00000000","在職",IF($AE1646&amp;""=設定!$C$4,"4/1喪失","その他喪失"))))</f>
        <v/>
      </c>
    </row>
    <row r="1647" customFormat="false" ht="15" hidden="false" customHeight="false" outlineLevel="0" collapsed="false">
      <c r="DB1647" s="0" t="str">
        <f aca="false">IF($A1647="","",IF($A1647&lt;&gt;21,"対象外",IF($AE1647&amp;""="00000000","在職",IF($AE1647&amp;""=設定!$C$4,"4/1喪失","その他喪失"))))</f>
        <v/>
      </c>
    </row>
    <row r="1648" customFormat="false" ht="15" hidden="false" customHeight="false" outlineLevel="0" collapsed="false">
      <c r="DB1648" s="0" t="str">
        <f aca="false">IF($A1648="","",IF($A1648&lt;&gt;21,"対象外",IF($AE1648&amp;""="00000000","在職",IF($AE1648&amp;""=設定!$C$4,"4/1喪失","その他喪失"))))</f>
        <v/>
      </c>
    </row>
    <row r="1649" customFormat="false" ht="15" hidden="false" customHeight="false" outlineLevel="0" collapsed="false">
      <c r="DB1649" s="0" t="str">
        <f aca="false">IF($A1649="","",IF($A1649&lt;&gt;21,"対象外",IF($AE1649&amp;""="00000000","在職",IF($AE1649&amp;""=設定!$C$4,"4/1喪失","その他喪失"))))</f>
        <v/>
      </c>
    </row>
    <row r="1650" customFormat="false" ht="15" hidden="false" customHeight="false" outlineLevel="0" collapsed="false">
      <c r="DB1650" s="0" t="str">
        <f aca="false">IF($A1650="","",IF($A1650&lt;&gt;21,"対象外",IF($AE1650&amp;""="00000000","在職",IF($AE1650&amp;""=設定!$C$4,"4/1喪失","その他喪失"))))</f>
        <v/>
      </c>
    </row>
    <row r="1651" customFormat="false" ht="15" hidden="false" customHeight="false" outlineLevel="0" collapsed="false">
      <c r="DB1651" s="0" t="str">
        <f aca="false">IF($A1651="","",IF($A1651&lt;&gt;21,"対象外",IF($AE1651&amp;""="00000000","在職",IF($AE1651&amp;""=設定!$C$4,"4/1喪失","その他喪失"))))</f>
        <v/>
      </c>
    </row>
    <row r="1652" customFormat="false" ht="15" hidden="false" customHeight="false" outlineLevel="0" collapsed="false">
      <c r="DB1652" s="0" t="str">
        <f aca="false">IF($A1652="","",IF($A1652&lt;&gt;21,"対象外",IF($AE1652&amp;""="00000000","在職",IF($AE1652&amp;""=設定!$C$4,"4/1喪失","その他喪失"))))</f>
        <v/>
      </c>
    </row>
    <row r="1653" customFormat="false" ht="15" hidden="false" customHeight="false" outlineLevel="0" collapsed="false">
      <c r="DB1653" s="0" t="str">
        <f aca="false">IF($A1653="","",IF($A1653&lt;&gt;21,"対象外",IF($AE1653&amp;""="00000000","在職",IF($AE1653&amp;""=設定!$C$4,"4/1喪失","その他喪失"))))</f>
        <v/>
      </c>
    </row>
    <row r="1654" customFormat="false" ht="15" hidden="false" customHeight="false" outlineLevel="0" collapsed="false">
      <c r="DB1654" s="0" t="str">
        <f aca="false">IF($A1654="","",IF($A1654&lt;&gt;21,"対象外",IF($AE1654&amp;""="00000000","在職",IF($AE1654&amp;""=設定!$C$4,"4/1喪失","その他喪失"))))</f>
        <v/>
      </c>
    </row>
    <row r="1655" customFormat="false" ht="15" hidden="false" customHeight="false" outlineLevel="0" collapsed="false">
      <c r="DB1655" s="0" t="str">
        <f aca="false">IF($A1655="","",IF($A1655&lt;&gt;21,"対象外",IF($AE1655&amp;""="00000000","在職",IF($AE1655&amp;""=設定!$C$4,"4/1喪失","その他喪失"))))</f>
        <v/>
      </c>
    </row>
    <row r="1656" customFormat="false" ht="15" hidden="false" customHeight="false" outlineLevel="0" collapsed="false">
      <c r="DB1656" s="0" t="str">
        <f aca="false">IF($A1656="","",IF($A1656&lt;&gt;21,"対象外",IF($AE1656&amp;""="00000000","在職",IF($AE1656&amp;""=設定!$C$4,"4/1喪失","その他喪失"))))</f>
        <v/>
      </c>
    </row>
    <row r="1657" customFormat="false" ht="15" hidden="false" customHeight="false" outlineLevel="0" collapsed="false">
      <c r="DB1657" s="0" t="str">
        <f aca="false">IF($A1657="","",IF($A1657&lt;&gt;21,"対象外",IF($AE1657&amp;""="00000000","在職",IF($AE1657&amp;""=設定!$C$4,"4/1喪失","その他喪失"))))</f>
        <v/>
      </c>
    </row>
    <row r="1658" customFormat="false" ht="15" hidden="false" customHeight="false" outlineLevel="0" collapsed="false">
      <c r="DB1658" s="0" t="str">
        <f aca="false">IF($A1658="","",IF($A1658&lt;&gt;21,"対象外",IF($AE1658&amp;""="00000000","在職",IF($AE1658&amp;""=設定!$C$4,"4/1喪失","その他喪失"))))</f>
        <v/>
      </c>
    </row>
    <row r="1659" customFormat="false" ht="15" hidden="false" customHeight="false" outlineLevel="0" collapsed="false">
      <c r="DB1659" s="0" t="str">
        <f aca="false">IF($A1659="","",IF($A1659&lt;&gt;21,"対象外",IF($AE1659&amp;""="00000000","在職",IF($AE1659&amp;""=設定!$C$4,"4/1喪失","その他喪失"))))</f>
        <v/>
      </c>
    </row>
    <row r="1660" customFormat="false" ht="15" hidden="false" customHeight="false" outlineLevel="0" collapsed="false">
      <c r="DB1660" s="0" t="str">
        <f aca="false">IF($A1660="","",IF($A1660&lt;&gt;21,"対象外",IF($AE1660&amp;""="00000000","在職",IF($AE1660&amp;""=設定!$C$4,"4/1喪失","その他喪失"))))</f>
        <v/>
      </c>
    </row>
    <row r="1661" customFormat="false" ht="15" hidden="false" customHeight="false" outlineLevel="0" collapsed="false">
      <c r="DB1661" s="0" t="str">
        <f aca="false">IF($A1661="","",IF($A1661&lt;&gt;21,"対象外",IF($AE1661&amp;""="00000000","在職",IF($AE1661&amp;""=設定!$C$4,"4/1喪失","その他喪失"))))</f>
        <v/>
      </c>
    </row>
    <row r="1662" customFormat="false" ht="15" hidden="false" customHeight="false" outlineLevel="0" collapsed="false">
      <c r="DB1662" s="0" t="str">
        <f aca="false">IF($A1662="","",IF($A1662&lt;&gt;21,"対象外",IF($AE1662&amp;""="00000000","在職",IF($AE1662&amp;""=設定!$C$4,"4/1喪失","その他喪失"))))</f>
        <v/>
      </c>
    </row>
    <row r="1663" customFormat="false" ht="15" hidden="false" customHeight="false" outlineLevel="0" collapsed="false">
      <c r="DB1663" s="0" t="str">
        <f aca="false">IF($A1663="","",IF($A1663&lt;&gt;21,"対象外",IF($AE1663&amp;""="00000000","在職",IF($AE1663&amp;""=設定!$C$4,"4/1喪失","その他喪失"))))</f>
        <v/>
      </c>
    </row>
    <row r="1664" customFormat="false" ht="15" hidden="false" customHeight="false" outlineLevel="0" collapsed="false">
      <c r="DB1664" s="0" t="str">
        <f aca="false">IF($A1664="","",IF($A1664&lt;&gt;21,"対象外",IF($AE1664&amp;""="00000000","在職",IF($AE1664&amp;""=設定!$C$4,"4/1喪失","その他喪失"))))</f>
        <v/>
      </c>
    </row>
    <row r="1665" customFormat="false" ht="15" hidden="false" customHeight="false" outlineLevel="0" collapsed="false">
      <c r="DB1665" s="0" t="str">
        <f aca="false">IF($A1665="","",IF($A1665&lt;&gt;21,"対象外",IF($AE1665&amp;""="00000000","在職",IF($AE1665&amp;""=設定!$C$4,"4/1喪失","その他喪失"))))</f>
        <v/>
      </c>
    </row>
    <row r="1666" customFormat="false" ht="15" hidden="false" customHeight="false" outlineLevel="0" collapsed="false">
      <c r="DB1666" s="0" t="str">
        <f aca="false">IF($A1666="","",IF($A1666&lt;&gt;21,"対象外",IF($AE1666&amp;""="00000000","在職",IF($AE1666&amp;""=設定!$C$4,"4/1喪失","その他喪失"))))</f>
        <v/>
      </c>
    </row>
    <row r="1667" customFormat="false" ht="15" hidden="false" customHeight="false" outlineLevel="0" collapsed="false">
      <c r="DB1667" s="0" t="str">
        <f aca="false">IF($A1667="","",IF($A1667&lt;&gt;21,"対象外",IF($AE1667&amp;""="00000000","在職",IF($AE1667&amp;""=設定!$C$4,"4/1喪失","その他喪失"))))</f>
        <v/>
      </c>
    </row>
    <row r="1668" customFormat="false" ht="15" hidden="false" customHeight="false" outlineLevel="0" collapsed="false">
      <c r="DB1668" s="0" t="str">
        <f aca="false">IF($A1668="","",IF($A1668&lt;&gt;21,"対象外",IF($AE1668&amp;""="00000000","在職",IF($AE1668&amp;""=設定!$C$4,"4/1喪失","その他喪失"))))</f>
        <v/>
      </c>
    </row>
    <row r="1669" customFormat="false" ht="15" hidden="false" customHeight="false" outlineLevel="0" collapsed="false">
      <c r="DB1669" s="0" t="str">
        <f aca="false">IF($A1669="","",IF($A1669&lt;&gt;21,"対象外",IF($AE1669&amp;""="00000000","在職",IF($AE1669&amp;""=設定!$C$4,"4/1喪失","その他喪失"))))</f>
        <v/>
      </c>
    </row>
    <row r="1670" customFormat="false" ht="15" hidden="false" customHeight="false" outlineLevel="0" collapsed="false">
      <c r="DB1670" s="0" t="str">
        <f aca="false">IF($A1670="","",IF($A1670&lt;&gt;21,"対象外",IF($AE1670&amp;""="00000000","在職",IF($AE1670&amp;""=設定!$C$4,"4/1喪失","その他喪失"))))</f>
        <v/>
      </c>
    </row>
    <row r="1671" customFormat="false" ht="15" hidden="false" customHeight="false" outlineLevel="0" collapsed="false">
      <c r="DB1671" s="0" t="str">
        <f aca="false">IF($A1671="","",IF($A1671&lt;&gt;21,"対象外",IF($AE1671&amp;""="00000000","在職",IF($AE1671&amp;""=設定!$C$4,"4/1喪失","その他喪失"))))</f>
        <v/>
      </c>
    </row>
    <row r="1672" customFormat="false" ht="15" hidden="false" customHeight="false" outlineLevel="0" collapsed="false">
      <c r="DB1672" s="0" t="str">
        <f aca="false">IF($A1672="","",IF($A1672&lt;&gt;21,"対象外",IF($AE1672&amp;""="00000000","在職",IF($AE1672&amp;""=設定!$C$4,"4/1喪失","その他喪失"))))</f>
        <v/>
      </c>
    </row>
    <row r="1673" customFormat="false" ht="15" hidden="false" customHeight="false" outlineLevel="0" collapsed="false">
      <c r="DB1673" s="0" t="str">
        <f aca="false">IF($A1673="","",IF($A1673&lt;&gt;21,"対象外",IF($AE1673&amp;""="00000000","在職",IF($AE1673&amp;""=設定!$C$4,"4/1喪失","その他喪失"))))</f>
        <v/>
      </c>
    </row>
    <row r="1674" customFormat="false" ht="15" hidden="false" customHeight="false" outlineLevel="0" collapsed="false">
      <c r="DB1674" s="0" t="str">
        <f aca="false">IF($A1674="","",IF($A1674&lt;&gt;21,"対象外",IF($AE1674&amp;""="00000000","在職",IF($AE1674&amp;""=設定!$C$4,"4/1喪失","その他喪失"))))</f>
        <v/>
      </c>
    </row>
    <row r="1675" customFormat="false" ht="15" hidden="false" customHeight="false" outlineLevel="0" collapsed="false">
      <c r="DB1675" s="0" t="str">
        <f aca="false">IF($A1675="","",IF($A1675&lt;&gt;21,"対象外",IF($AE1675&amp;""="00000000","在職",IF($AE1675&amp;""=設定!$C$4,"4/1喪失","その他喪失"))))</f>
        <v/>
      </c>
    </row>
    <row r="1676" customFormat="false" ht="15" hidden="false" customHeight="false" outlineLevel="0" collapsed="false">
      <c r="DB1676" s="0" t="str">
        <f aca="false">IF($A1676="","",IF($A1676&lt;&gt;21,"対象外",IF($AE1676&amp;""="00000000","在職",IF($AE1676&amp;""=設定!$C$4,"4/1喪失","その他喪失"))))</f>
        <v/>
      </c>
    </row>
    <row r="1677" customFormat="false" ht="15" hidden="false" customHeight="false" outlineLevel="0" collapsed="false">
      <c r="DB1677" s="0" t="str">
        <f aca="false">IF($A1677="","",IF($A1677&lt;&gt;21,"対象外",IF($AE1677&amp;""="00000000","在職",IF($AE1677&amp;""=設定!$C$4,"4/1喪失","その他喪失"))))</f>
        <v/>
      </c>
    </row>
    <row r="1678" customFormat="false" ht="15" hidden="false" customHeight="false" outlineLevel="0" collapsed="false">
      <c r="DB1678" s="0" t="str">
        <f aca="false">IF($A1678="","",IF($A1678&lt;&gt;21,"対象外",IF($AE1678&amp;""="00000000","在職",IF($AE1678&amp;""=設定!$C$4,"4/1喪失","その他喪失"))))</f>
        <v/>
      </c>
    </row>
    <row r="1679" customFormat="false" ht="15" hidden="false" customHeight="false" outlineLevel="0" collapsed="false">
      <c r="DB1679" s="0" t="str">
        <f aca="false">IF($A1679="","",IF($A1679&lt;&gt;21,"対象外",IF($AE1679&amp;""="00000000","在職",IF($AE1679&amp;""=設定!$C$4,"4/1喪失","その他喪失"))))</f>
        <v/>
      </c>
    </row>
    <row r="1680" customFormat="false" ht="15" hidden="false" customHeight="false" outlineLevel="0" collapsed="false">
      <c r="DB1680" s="0" t="str">
        <f aca="false">IF($A1680="","",IF($A1680&lt;&gt;21,"対象外",IF($AE1680&amp;""="00000000","在職",IF($AE1680&amp;""=設定!$C$4,"4/1喪失","その他喪失"))))</f>
        <v/>
      </c>
    </row>
    <row r="1681" customFormat="false" ht="15" hidden="false" customHeight="false" outlineLevel="0" collapsed="false">
      <c r="DB1681" s="0" t="str">
        <f aca="false">IF($A1681="","",IF($A1681&lt;&gt;21,"対象外",IF($AE1681&amp;""="00000000","在職",IF($AE1681&amp;""=設定!$C$4,"4/1喪失","その他喪失"))))</f>
        <v/>
      </c>
    </row>
    <row r="1682" customFormat="false" ht="15" hidden="false" customHeight="false" outlineLevel="0" collapsed="false">
      <c r="DB1682" s="0" t="str">
        <f aca="false">IF($A1682="","",IF($A1682&lt;&gt;21,"対象外",IF($AE1682&amp;""="00000000","在職",IF($AE1682&amp;""=設定!$C$4,"4/1喪失","その他喪失"))))</f>
        <v/>
      </c>
    </row>
    <row r="1683" customFormat="false" ht="15" hidden="false" customHeight="false" outlineLevel="0" collapsed="false">
      <c r="DB1683" s="0" t="str">
        <f aca="false">IF($A1683="","",IF($A1683&lt;&gt;21,"対象外",IF($AE1683&amp;""="00000000","在職",IF($AE1683&amp;""=設定!$C$4,"4/1喪失","その他喪失"))))</f>
        <v/>
      </c>
    </row>
    <row r="1684" customFormat="false" ht="15" hidden="false" customHeight="false" outlineLevel="0" collapsed="false">
      <c r="DB1684" s="0" t="str">
        <f aca="false">IF($A1684="","",IF($A1684&lt;&gt;21,"対象外",IF($AE1684&amp;""="00000000","在職",IF($AE1684&amp;""=設定!$C$4,"4/1喪失","その他喪失"))))</f>
        <v/>
      </c>
    </row>
    <row r="1685" customFormat="false" ht="15" hidden="false" customHeight="false" outlineLevel="0" collapsed="false">
      <c r="DB1685" s="0" t="str">
        <f aca="false">IF($A1685="","",IF($A1685&lt;&gt;21,"対象外",IF($AE1685&amp;""="00000000","在職",IF($AE1685&amp;""=設定!$C$4,"4/1喪失","その他喪失"))))</f>
        <v/>
      </c>
    </row>
    <row r="1686" customFormat="false" ht="15" hidden="false" customHeight="false" outlineLevel="0" collapsed="false">
      <c r="DB1686" s="0" t="str">
        <f aca="false">IF($A1686="","",IF($A1686&lt;&gt;21,"対象外",IF($AE1686&amp;""="00000000","在職",IF($AE1686&amp;""=設定!$C$4,"4/1喪失","その他喪失"))))</f>
        <v/>
      </c>
    </row>
    <row r="1687" customFormat="false" ht="15" hidden="false" customHeight="false" outlineLevel="0" collapsed="false">
      <c r="DB1687" s="0" t="str">
        <f aca="false">IF($A1687="","",IF($A1687&lt;&gt;21,"対象外",IF($AE1687&amp;""="00000000","在職",IF($AE1687&amp;""=設定!$C$4,"4/1喪失","その他喪失"))))</f>
        <v/>
      </c>
    </row>
    <row r="1688" customFormat="false" ht="15" hidden="false" customHeight="false" outlineLevel="0" collapsed="false">
      <c r="DB1688" s="0" t="str">
        <f aca="false">IF($A1688="","",IF($A1688&lt;&gt;21,"対象外",IF($AE1688&amp;""="00000000","在職",IF($AE1688&amp;""=設定!$C$4,"4/1喪失","その他喪失"))))</f>
        <v/>
      </c>
    </row>
    <row r="1689" customFormat="false" ht="15" hidden="false" customHeight="false" outlineLevel="0" collapsed="false">
      <c r="DB1689" s="0" t="str">
        <f aca="false">IF($A1689="","",IF($A1689&lt;&gt;21,"対象外",IF($AE1689&amp;""="00000000","在職",IF($AE1689&amp;""=設定!$C$4,"4/1喪失","その他喪失"))))</f>
        <v/>
      </c>
    </row>
    <row r="1690" customFormat="false" ht="15" hidden="false" customHeight="false" outlineLevel="0" collapsed="false">
      <c r="DB1690" s="0" t="str">
        <f aca="false">IF($A1690="","",IF($A1690&lt;&gt;21,"対象外",IF($AE1690&amp;""="00000000","在職",IF($AE1690&amp;""=設定!$C$4,"4/1喪失","その他喪失"))))</f>
        <v/>
      </c>
    </row>
    <row r="1691" customFormat="false" ht="15" hidden="false" customHeight="false" outlineLevel="0" collapsed="false">
      <c r="DB1691" s="0" t="str">
        <f aca="false">IF($A1691="","",IF($A1691&lt;&gt;21,"対象外",IF($AE1691&amp;""="00000000","在職",IF($AE1691&amp;""=設定!$C$4,"4/1喪失","その他喪失"))))</f>
        <v/>
      </c>
    </row>
    <row r="1692" customFormat="false" ht="15" hidden="false" customHeight="false" outlineLevel="0" collapsed="false">
      <c r="DB1692" s="0" t="str">
        <f aca="false">IF($A1692="","",IF($A1692&lt;&gt;21,"対象外",IF($AE1692&amp;""="00000000","在職",IF($AE1692&amp;""=設定!$C$4,"4/1喪失","その他喪失"))))</f>
        <v/>
      </c>
    </row>
    <row r="1693" customFormat="false" ht="15" hidden="false" customHeight="false" outlineLevel="0" collapsed="false">
      <c r="DB1693" s="0" t="str">
        <f aca="false">IF($A1693="","",IF($A1693&lt;&gt;21,"対象外",IF($AE1693&amp;""="00000000","在職",IF($AE1693&amp;""=設定!$C$4,"4/1喪失","その他喪失"))))</f>
        <v/>
      </c>
    </row>
    <row r="1694" customFormat="false" ht="15" hidden="false" customHeight="false" outlineLevel="0" collapsed="false">
      <c r="DB1694" s="0" t="str">
        <f aca="false">IF($A1694="","",IF($A1694&lt;&gt;21,"対象外",IF($AE1694&amp;""="00000000","在職",IF($AE1694&amp;""=設定!$C$4,"4/1喪失","その他喪失"))))</f>
        <v/>
      </c>
    </row>
    <row r="1695" customFormat="false" ht="15" hidden="false" customHeight="false" outlineLevel="0" collapsed="false">
      <c r="DB1695" s="0" t="str">
        <f aca="false">IF($A1695="","",IF($A1695&lt;&gt;21,"対象外",IF($AE1695&amp;""="00000000","在職",IF($AE1695&amp;""=設定!$C$4,"4/1喪失","その他喪失"))))</f>
        <v/>
      </c>
    </row>
    <row r="1696" customFormat="false" ht="15" hidden="false" customHeight="false" outlineLevel="0" collapsed="false">
      <c r="DB1696" s="0" t="str">
        <f aca="false">IF($A1696="","",IF($A1696&lt;&gt;21,"対象外",IF($AE1696&amp;""="00000000","在職",IF($AE1696&amp;""=設定!$C$4,"4/1喪失","その他喪失"))))</f>
        <v/>
      </c>
    </row>
    <row r="1697" customFormat="false" ht="15" hidden="false" customHeight="false" outlineLevel="0" collapsed="false">
      <c r="DB1697" s="0" t="str">
        <f aca="false">IF($A1697="","",IF($A1697&lt;&gt;21,"対象外",IF($AE1697&amp;""="00000000","在職",IF($AE1697&amp;""=設定!$C$4,"4/1喪失","その他喪失"))))</f>
        <v/>
      </c>
    </row>
    <row r="1698" customFormat="false" ht="15" hidden="false" customHeight="false" outlineLevel="0" collapsed="false">
      <c r="DB1698" s="0" t="str">
        <f aca="false">IF($A1698="","",IF($A1698&lt;&gt;21,"対象外",IF($AE1698&amp;""="00000000","在職",IF($AE1698&amp;""=設定!$C$4,"4/1喪失","その他喪失"))))</f>
        <v/>
      </c>
    </row>
    <row r="1699" customFormat="false" ht="15" hidden="false" customHeight="false" outlineLevel="0" collapsed="false">
      <c r="DB1699" s="0" t="str">
        <f aca="false">IF($A1699="","",IF($A1699&lt;&gt;21,"対象外",IF($AE1699&amp;""="00000000","在職",IF($AE1699&amp;""=設定!$C$4,"4/1喪失","その他喪失"))))</f>
        <v/>
      </c>
    </row>
    <row r="1700" customFormat="false" ht="15" hidden="false" customHeight="false" outlineLevel="0" collapsed="false">
      <c r="DB1700" s="0" t="str">
        <f aca="false">IF($A1700="","",IF($A1700&lt;&gt;21,"対象外",IF($AE1700&amp;""="00000000","在職",IF($AE1700&amp;""=設定!$C$4,"4/1喪失","その他喪失"))))</f>
        <v/>
      </c>
    </row>
    <row r="1701" customFormat="false" ht="15" hidden="false" customHeight="false" outlineLevel="0" collapsed="false">
      <c r="DB1701" s="0" t="str">
        <f aca="false">IF($A1701="","",IF($A1701&lt;&gt;21,"対象外",IF($AE1701&amp;""="00000000","在職",IF($AE1701&amp;""=設定!$C$4,"4/1喪失","その他喪失"))))</f>
        <v/>
      </c>
    </row>
    <row r="1702" customFormat="false" ht="15" hidden="false" customHeight="false" outlineLevel="0" collapsed="false">
      <c r="DB1702" s="0" t="str">
        <f aca="false">IF($A1702="","",IF($A1702&lt;&gt;21,"対象外",IF($AE1702&amp;""="00000000","在職",IF($AE1702&amp;""=設定!$C$4,"4/1喪失","その他喪失"))))</f>
        <v/>
      </c>
    </row>
    <row r="1703" customFormat="false" ht="15" hidden="false" customHeight="false" outlineLevel="0" collapsed="false">
      <c r="DB1703" s="0" t="str">
        <f aca="false">IF($A1703="","",IF($A1703&lt;&gt;21,"対象外",IF($AE1703&amp;""="00000000","在職",IF($AE1703&amp;""=設定!$C$4,"4/1喪失","その他喪失"))))</f>
        <v/>
      </c>
    </row>
    <row r="1704" customFormat="false" ht="15" hidden="false" customHeight="false" outlineLevel="0" collapsed="false">
      <c r="DB1704" s="0" t="str">
        <f aca="false">IF($A1704="","",IF($A1704&lt;&gt;21,"対象外",IF($AE1704&amp;""="00000000","在職",IF($AE1704&amp;""=設定!$C$4,"4/1喪失","その他喪失"))))</f>
        <v/>
      </c>
    </row>
    <row r="1705" customFormat="false" ht="15" hidden="false" customHeight="false" outlineLevel="0" collapsed="false">
      <c r="DB1705" s="0" t="str">
        <f aca="false">IF($A1705="","",IF($A1705&lt;&gt;21,"対象外",IF($AE1705&amp;""="00000000","在職",IF($AE1705&amp;""=設定!$C$4,"4/1喪失","その他喪失"))))</f>
        <v/>
      </c>
    </row>
    <row r="1706" customFormat="false" ht="15" hidden="false" customHeight="false" outlineLevel="0" collapsed="false">
      <c r="DB1706" s="0" t="str">
        <f aca="false">IF($A1706="","",IF($A1706&lt;&gt;21,"対象外",IF($AE1706&amp;""="00000000","在職",IF($AE1706&amp;""=設定!$C$4,"4/1喪失","その他喪失"))))</f>
        <v/>
      </c>
    </row>
    <row r="1707" customFormat="false" ht="15" hidden="false" customHeight="false" outlineLevel="0" collapsed="false">
      <c r="DB1707" s="0" t="str">
        <f aca="false">IF($A1707="","",IF($A1707&lt;&gt;21,"対象外",IF($AE1707&amp;""="00000000","在職",IF($AE1707&amp;""=設定!$C$4,"4/1喪失","その他喪失"))))</f>
        <v/>
      </c>
    </row>
    <row r="1708" customFormat="false" ht="15" hidden="false" customHeight="false" outlineLevel="0" collapsed="false">
      <c r="DB1708" s="0" t="str">
        <f aca="false">IF($A1708="","",IF($A1708&lt;&gt;21,"対象外",IF($AE1708&amp;""="00000000","在職",IF($AE1708&amp;""=設定!$C$4,"4/1喪失","その他喪失"))))</f>
        <v/>
      </c>
    </row>
    <row r="1709" customFormat="false" ht="15" hidden="false" customHeight="false" outlineLevel="0" collapsed="false">
      <c r="DB1709" s="0" t="str">
        <f aca="false">IF($A1709="","",IF($A1709&lt;&gt;21,"対象外",IF($AE1709&amp;""="00000000","在職",IF($AE1709&amp;""=設定!$C$4,"4/1喪失","その他喪失"))))</f>
        <v/>
      </c>
    </row>
    <row r="1710" customFormat="false" ht="15" hidden="false" customHeight="false" outlineLevel="0" collapsed="false">
      <c r="DB1710" s="0" t="str">
        <f aca="false">IF($A1710="","",IF($A1710&lt;&gt;21,"対象外",IF($AE1710&amp;""="00000000","在職",IF($AE1710&amp;""=設定!$C$4,"4/1喪失","その他喪失"))))</f>
        <v/>
      </c>
    </row>
    <row r="1711" customFormat="false" ht="15" hidden="false" customHeight="false" outlineLevel="0" collapsed="false">
      <c r="DB1711" s="0" t="str">
        <f aca="false">IF($A1711="","",IF($A1711&lt;&gt;21,"対象外",IF($AE1711&amp;""="00000000","在職",IF($AE1711&amp;""=設定!$C$4,"4/1喪失","その他喪失"))))</f>
        <v/>
      </c>
    </row>
    <row r="1712" customFormat="false" ht="15" hidden="false" customHeight="false" outlineLevel="0" collapsed="false">
      <c r="DB1712" s="0" t="str">
        <f aca="false">IF($A1712="","",IF($A1712&lt;&gt;21,"対象外",IF($AE1712&amp;""="00000000","在職",IF($AE1712&amp;""=設定!$C$4,"4/1喪失","その他喪失"))))</f>
        <v/>
      </c>
    </row>
    <row r="1713" customFormat="false" ht="15" hidden="false" customHeight="false" outlineLevel="0" collapsed="false">
      <c r="DB1713" s="0" t="str">
        <f aca="false">IF($A1713="","",IF($A1713&lt;&gt;21,"対象外",IF($AE1713&amp;""="00000000","在職",IF($AE1713&amp;""=設定!$C$4,"4/1喪失","その他喪失"))))</f>
        <v/>
      </c>
    </row>
    <row r="1714" customFormat="false" ht="15" hidden="false" customHeight="false" outlineLevel="0" collapsed="false">
      <c r="DB1714" s="0" t="str">
        <f aca="false">IF($A1714="","",IF($A1714&lt;&gt;21,"対象外",IF($AE1714&amp;""="00000000","在職",IF($AE1714&amp;""=設定!$C$4,"4/1喪失","その他喪失"))))</f>
        <v/>
      </c>
    </row>
    <row r="1715" customFormat="false" ht="15" hidden="false" customHeight="false" outlineLevel="0" collapsed="false">
      <c r="DB1715" s="0" t="str">
        <f aca="false">IF($A1715="","",IF($A1715&lt;&gt;21,"対象外",IF($AE1715&amp;""="00000000","在職",IF($AE1715&amp;""=設定!$C$4,"4/1喪失","その他喪失"))))</f>
        <v/>
      </c>
    </row>
    <row r="1716" customFormat="false" ht="15" hidden="false" customHeight="false" outlineLevel="0" collapsed="false">
      <c r="DB1716" s="0" t="str">
        <f aca="false">IF($A1716="","",IF($A1716&lt;&gt;21,"対象外",IF($AE1716&amp;""="00000000","在職",IF($AE1716&amp;""=設定!$C$4,"4/1喪失","その他喪失"))))</f>
        <v/>
      </c>
    </row>
    <row r="1717" customFormat="false" ht="15" hidden="false" customHeight="false" outlineLevel="0" collapsed="false">
      <c r="DB1717" s="0" t="str">
        <f aca="false">IF($A1717="","",IF($A1717&lt;&gt;21,"対象外",IF($AE1717&amp;""="00000000","在職",IF($AE1717&amp;""=設定!$C$4,"4/1喪失","その他喪失"))))</f>
        <v/>
      </c>
    </row>
    <row r="1718" customFormat="false" ht="15" hidden="false" customHeight="false" outlineLevel="0" collapsed="false">
      <c r="DB1718" s="0" t="str">
        <f aca="false">IF($A1718="","",IF($A1718&lt;&gt;21,"対象外",IF($AE1718&amp;""="00000000","在職",IF($AE1718&amp;""=設定!$C$4,"4/1喪失","その他喪失"))))</f>
        <v/>
      </c>
    </row>
    <row r="1719" customFormat="false" ht="15" hidden="false" customHeight="false" outlineLevel="0" collapsed="false">
      <c r="DB1719" s="0" t="str">
        <f aca="false">IF($A1719="","",IF($A1719&lt;&gt;21,"対象外",IF($AE1719&amp;""="00000000","在職",IF($AE1719&amp;""=設定!$C$4,"4/1喪失","その他喪失"))))</f>
        <v/>
      </c>
    </row>
    <row r="1720" customFormat="false" ht="15" hidden="false" customHeight="false" outlineLevel="0" collapsed="false">
      <c r="DB1720" s="0" t="str">
        <f aca="false">IF($A1720="","",IF($A1720&lt;&gt;21,"対象外",IF($AE1720&amp;""="00000000","在職",IF($AE1720&amp;""=設定!$C$4,"4/1喪失","その他喪失"))))</f>
        <v/>
      </c>
    </row>
    <row r="1721" customFormat="false" ht="15" hidden="false" customHeight="false" outlineLevel="0" collapsed="false">
      <c r="DB1721" s="0" t="str">
        <f aca="false">IF($A1721="","",IF($A1721&lt;&gt;21,"対象外",IF($AE1721&amp;""="00000000","在職",IF($AE1721&amp;""=設定!$C$4,"4/1喪失","その他喪失"))))</f>
        <v/>
      </c>
    </row>
    <row r="1722" customFormat="false" ht="15" hidden="false" customHeight="false" outlineLevel="0" collapsed="false">
      <c r="DB1722" s="0" t="str">
        <f aca="false">IF($A1722="","",IF($A1722&lt;&gt;21,"対象外",IF($AE1722&amp;""="00000000","在職",IF($AE1722&amp;""=設定!$C$4,"4/1喪失","その他喪失"))))</f>
        <v/>
      </c>
    </row>
    <row r="1723" customFormat="false" ht="15" hidden="false" customHeight="false" outlineLevel="0" collapsed="false">
      <c r="DB1723" s="0" t="str">
        <f aca="false">IF($A1723="","",IF($A1723&lt;&gt;21,"対象外",IF($AE1723&amp;""="00000000","在職",IF($AE1723&amp;""=設定!$C$4,"4/1喪失","その他喪失"))))</f>
        <v/>
      </c>
    </row>
    <row r="1724" customFormat="false" ht="15" hidden="false" customHeight="false" outlineLevel="0" collapsed="false">
      <c r="DB1724" s="0" t="str">
        <f aca="false">IF($A1724="","",IF($A1724&lt;&gt;21,"対象外",IF($AE1724&amp;""="00000000","在職",IF($AE1724&amp;""=設定!$C$4,"4/1喪失","その他喪失"))))</f>
        <v/>
      </c>
    </row>
    <row r="1725" customFormat="false" ht="15" hidden="false" customHeight="false" outlineLevel="0" collapsed="false">
      <c r="DB1725" s="0" t="str">
        <f aca="false">IF($A1725="","",IF($A1725&lt;&gt;21,"対象外",IF($AE1725&amp;""="00000000","在職",IF($AE1725&amp;""=設定!$C$4,"4/1喪失","その他喪失"))))</f>
        <v/>
      </c>
    </row>
    <row r="1726" customFormat="false" ht="15" hidden="false" customHeight="false" outlineLevel="0" collapsed="false">
      <c r="DB1726" s="0" t="str">
        <f aca="false">IF($A1726="","",IF($A1726&lt;&gt;21,"対象外",IF($AE1726&amp;""="00000000","在職",IF($AE1726&amp;""=設定!$C$4,"4/1喪失","その他喪失"))))</f>
        <v/>
      </c>
    </row>
    <row r="1727" customFormat="false" ht="15" hidden="false" customHeight="false" outlineLevel="0" collapsed="false">
      <c r="DB1727" s="0" t="str">
        <f aca="false">IF($A1727="","",IF($A1727&lt;&gt;21,"対象外",IF($AE1727&amp;""="00000000","在職",IF($AE1727&amp;""=設定!$C$4,"4/1喪失","その他喪失"))))</f>
        <v/>
      </c>
    </row>
    <row r="1728" customFormat="false" ht="15" hidden="false" customHeight="false" outlineLevel="0" collapsed="false">
      <c r="DB1728" s="0" t="str">
        <f aca="false">IF($A1728="","",IF($A1728&lt;&gt;21,"対象外",IF($AE1728&amp;""="00000000","在職",IF($AE1728&amp;""=設定!$C$4,"4/1喪失","その他喪失"))))</f>
        <v/>
      </c>
    </row>
    <row r="1729" customFormat="false" ht="15" hidden="false" customHeight="false" outlineLevel="0" collapsed="false">
      <c r="DB1729" s="0" t="str">
        <f aca="false">IF($A1729="","",IF($A1729&lt;&gt;21,"対象外",IF($AE1729&amp;""="00000000","在職",IF($AE1729&amp;""=設定!$C$4,"4/1喪失","その他喪失"))))</f>
        <v/>
      </c>
    </row>
    <row r="1730" customFormat="false" ht="15" hidden="false" customHeight="false" outlineLevel="0" collapsed="false">
      <c r="DB1730" s="0" t="str">
        <f aca="false">IF($A1730="","",IF($A1730&lt;&gt;21,"対象外",IF($AE1730&amp;""="00000000","在職",IF($AE1730&amp;""=設定!$C$4,"4/1喪失","その他喪失"))))</f>
        <v/>
      </c>
    </row>
    <row r="1731" customFormat="false" ht="15" hidden="false" customHeight="false" outlineLevel="0" collapsed="false">
      <c r="DB1731" s="0" t="str">
        <f aca="false">IF($A1731="","",IF($A1731&lt;&gt;21,"対象外",IF($AE1731&amp;""="00000000","在職",IF($AE1731&amp;""=設定!$C$4,"4/1喪失","その他喪失"))))</f>
        <v/>
      </c>
    </row>
    <row r="1732" customFormat="false" ht="15" hidden="false" customHeight="false" outlineLevel="0" collapsed="false">
      <c r="DB1732" s="0" t="str">
        <f aca="false">IF($A1732="","",IF($A1732&lt;&gt;21,"対象外",IF($AE1732&amp;""="00000000","在職",IF($AE1732&amp;""=設定!$C$4,"4/1喪失","その他喪失"))))</f>
        <v/>
      </c>
    </row>
    <row r="1733" customFormat="false" ht="15" hidden="false" customHeight="false" outlineLevel="0" collapsed="false">
      <c r="DB1733" s="0" t="str">
        <f aca="false">IF($A1733="","",IF($A1733&lt;&gt;21,"対象外",IF($AE1733&amp;""="00000000","在職",IF($AE1733&amp;""=設定!$C$4,"4/1喪失","その他喪失"))))</f>
        <v/>
      </c>
    </row>
    <row r="1734" customFormat="false" ht="15" hidden="false" customHeight="false" outlineLevel="0" collapsed="false">
      <c r="DB1734" s="0" t="str">
        <f aca="false">IF($A1734="","",IF($A1734&lt;&gt;21,"対象外",IF($AE1734&amp;""="00000000","在職",IF($AE1734&amp;""=設定!$C$4,"4/1喪失","その他喪失"))))</f>
        <v/>
      </c>
    </row>
    <row r="1735" customFormat="false" ht="15" hidden="false" customHeight="false" outlineLevel="0" collapsed="false">
      <c r="DB1735" s="0" t="str">
        <f aca="false">IF($A1735="","",IF($A1735&lt;&gt;21,"対象外",IF($AE1735&amp;""="00000000","在職",IF($AE1735&amp;""=設定!$C$4,"4/1喪失","その他喪失"))))</f>
        <v/>
      </c>
    </row>
    <row r="1736" customFormat="false" ht="15" hidden="false" customHeight="false" outlineLevel="0" collapsed="false">
      <c r="DB1736" s="0" t="str">
        <f aca="false">IF($A1736="","",IF($A1736&lt;&gt;21,"対象外",IF($AE1736&amp;""="00000000","在職",IF($AE1736&amp;""=設定!$C$4,"4/1喪失","その他喪失"))))</f>
        <v/>
      </c>
    </row>
    <row r="1737" customFormat="false" ht="15" hidden="false" customHeight="false" outlineLevel="0" collapsed="false">
      <c r="DB1737" s="0" t="str">
        <f aca="false">IF($A1737="","",IF($A1737&lt;&gt;21,"対象外",IF($AE1737&amp;""="00000000","在職",IF($AE1737&amp;""=設定!$C$4,"4/1喪失","その他喪失"))))</f>
        <v/>
      </c>
    </row>
    <row r="1738" customFormat="false" ht="15" hidden="false" customHeight="false" outlineLevel="0" collapsed="false">
      <c r="DB1738" s="0" t="str">
        <f aca="false">IF($A1738="","",IF($A1738&lt;&gt;21,"対象外",IF($AE1738&amp;""="00000000","在職",IF($AE1738&amp;""=設定!$C$4,"4/1喪失","その他喪失"))))</f>
        <v/>
      </c>
    </row>
    <row r="1739" customFormat="false" ht="15" hidden="false" customHeight="false" outlineLevel="0" collapsed="false">
      <c r="DB1739" s="0" t="str">
        <f aca="false">IF($A1739="","",IF($A1739&lt;&gt;21,"対象外",IF($AE1739&amp;""="00000000","在職",IF($AE1739&amp;""=設定!$C$4,"4/1喪失","その他喪失"))))</f>
        <v/>
      </c>
    </row>
    <row r="1740" customFormat="false" ht="15" hidden="false" customHeight="false" outlineLevel="0" collapsed="false">
      <c r="DB1740" s="0" t="str">
        <f aca="false">IF($A1740="","",IF($A1740&lt;&gt;21,"対象外",IF($AE1740&amp;""="00000000","在職",IF($AE1740&amp;""=設定!$C$4,"4/1喪失","その他喪失"))))</f>
        <v/>
      </c>
    </row>
    <row r="1741" customFormat="false" ht="15" hidden="false" customHeight="false" outlineLevel="0" collapsed="false">
      <c r="DB1741" s="0" t="str">
        <f aca="false">IF($A1741="","",IF($A1741&lt;&gt;21,"対象外",IF($AE1741&amp;""="00000000","在職",IF($AE1741&amp;""=設定!$C$4,"4/1喪失","その他喪失"))))</f>
        <v/>
      </c>
    </row>
    <row r="1742" customFormat="false" ht="15" hidden="false" customHeight="false" outlineLevel="0" collapsed="false">
      <c r="DB1742" s="0" t="str">
        <f aca="false">IF($A1742="","",IF($A1742&lt;&gt;21,"対象外",IF($AE1742&amp;""="00000000","在職",IF($AE1742&amp;""=設定!$C$4,"4/1喪失","その他喪失"))))</f>
        <v/>
      </c>
    </row>
    <row r="1743" customFormat="false" ht="15" hidden="false" customHeight="false" outlineLevel="0" collapsed="false">
      <c r="DB1743" s="0" t="str">
        <f aca="false">IF($A1743="","",IF($A1743&lt;&gt;21,"対象外",IF($AE1743&amp;""="00000000","在職",IF($AE1743&amp;""=設定!$C$4,"4/1喪失","その他喪失"))))</f>
        <v/>
      </c>
    </row>
    <row r="1744" customFormat="false" ht="15" hidden="false" customHeight="false" outlineLevel="0" collapsed="false">
      <c r="DB1744" s="0" t="str">
        <f aca="false">IF($A1744="","",IF($A1744&lt;&gt;21,"対象外",IF($AE1744&amp;""="00000000","在職",IF($AE1744&amp;""=設定!$C$4,"4/1喪失","その他喪失"))))</f>
        <v/>
      </c>
    </row>
    <row r="1745" customFormat="false" ht="15" hidden="false" customHeight="false" outlineLevel="0" collapsed="false">
      <c r="DB1745" s="0" t="str">
        <f aca="false">IF($A1745="","",IF($A1745&lt;&gt;21,"対象外",IF($AE1745&amp;""="00000000","在職",IF($AE1745&amp;""=設定!$C$4,"4/1喪失","その他喪失"))))</f>
        <v/>
      </c>
    </row>
    <row r="1746" customFormat="false" ht="15" hidden="false" customHeight="false" outlineLevel="0" collapsed="false">
      <c r="DB1746" s="0" t="str">
        <f aca="false">IF($A1746="","",IF($A1746&lt;&gt;21,"対象外",IF($AE1746&amp;""="00000000","在職",IF($AE1746&amp;""=設定!$C$4,"4/1喪失","その他喪失"))))</f>
        <v/>
      </c>
    </row>
    <row r="1747" customFormat="false" ht="15" hidden="false" customHeight="false" outlineLevel="0" collapsed="false">
      <c r="DB1747" s="0" t="str">
        <f aca="false">IF($A1747="","",IF($A1747&lt;&gt;21,"対象外",IF($AE1747&amp;""="00000000","在職",IF($AE1747&amp;""=設定!$C$4,"4/1喪失","その他喪失"))))</f>
        <v/>
      </c>
    </row>
    <row r="1748" customFormat="false" ht="15" hidden="false" customHeight="false" outlineLevel="0" collapsed="false">
      <c r="DB1748" s="0" t="str">
        <f aca="false">IF($A1748="","",IF($A1748&lt;&gt;21,"対象外",IF($AE1748&amp;""="00000000","在職",IF($AE1748&amp;""=設定!$C$4,"4/1喪失","その他喪失"))))</f>
        <v/>
      </c>
    </row>
    <row r="1749" customFormat="false" ht="15" hidden="false" customHeight="false" outlineLevel="0" collapsed="false">
      <c r="DB1749" s="0" t="str">
        <f aca="false">IF($A1749="","",IF($A1749&lt;&gt;21,"対象外",IF($AE1749&amp;""="00000000","在職",IF($AE1749&amp;""=設定!$C$4,"4/1喪失","その他喪失"))))</f>
        <v/>
      </c>
    </row>
    <row r="1750" customFormat="false" ht="15" hidden="false" customHeight="false" outlineLevel="0" collapsed="false">
      <c r="DB1750" s="0" t="str">
        <f aca="false">IF($A1750="","",IF($A1750&lt;&gt;21,"対象外",IF($AE1750&amp;""="00000000","在職",IF($AE1750&amp;""=設定!$C$4,"4/1喪失","その他喪失"))))</f>
        <v/>
      </c>
    </row>
    <row r="1751" customFormat="false" ht="15" hidden="false" customHeight="false" outlineLevel="0" collapsed="false">
      <c r="DB1751" s="0" t="str">
        <f aca="false">IF($A1751="","",IF($A1751&lt;&gt;21,"対象外",IF($AE1751&amp;""="00000000","在職",IF($AE1751&amp;""=設定!$C$4,"4/1喪失","その他喪失"))))</f>
        <v/>
      </c>
    </row>
    <row r="1752" customFormat="false" ht="15" hidden="false" customHeight="false" outlineLevel="0" collapsed="false">
      <c r="DB1752" s="0" t="str">
        <f aca="false">IF($A1752="","",IF($A1752&lt;&gt;21,"対象外",IF($AE1752&amp;""="00000000","在職",IF($AE1752&amp;""=設定!$C$4,"4/1喪失","その他喪失"))))</f>
        <v/>
      </c>
    </row>
    <row r="1753" customFormat="false" ht="15" hidden="false" customHeight="false" outlineLevel="0" collapsed="false">
      <c r="DB1753" s="0" t="str">
        <f aca="false">IF($A1753="","",IF($A1753&lt;&gt;21,"対象外",IF($AE1753&amp;""="00000000","在職",IF($AE1753&amp;""=設定!$C$4,"4/1喪失","その他喪失"))))</f>
        <v/>
      </c>
    </row>
    <row r="1754" customFormat="false" ht="15" hidden="false" customHeight="false" outlineLevel="0" collapsed="false">
      <c r="DB1754" s="0" t="str">
        <f aca="false">IF($A1754="","",IF($A1754&lt;&gt;21,"対象外",IF($AE1754&amp;""="00000000","在職",IF($AE1754&amp;""=設定!$C$4,"4/1喪失","その他喪失"))))</f>
        <v/>
      </c>
    </row>
    <row r="1755" customFormat="false" ht="15" hidden="false" customHeight="false" outlineLevel="0" collapsed="false">
      <c r="DB1755" s="0" t="str">
        <f aca="false">IF($A1755="","",IF($A1755&lt;&gt;21,"対象外",IF($AE1755&amp;""="00000000","在職",IF($AE1755&amp;""=設定!$C$4,"4/1喪失","その他喪失"))))</f>
        <v/>
      </c>
    </row>
    <row r="1756" customFormat="false" ht="15" hidden="false" customHeight="false" outlineLevel="0" collapsed="false">
      <c r="DB1756" s="0" t="str">
        <f aca="false">IF($A1756="","",IF($A1756&lt;&gt;21,"対象外",IF($AE1756&amp;""="00000000","在職",IF($AE1756&amp;""=設定!$C$4,"4/1喪失","その他喪失"))))</f>
        <v/>
      </c>
    </row>
    <row r="1757" customFormat="false" ht="15" hidden="false" customHeight="false" outlineLevel="0" collapsed="false">
      <c r="DB1757" s="0" t="str">
        <f aca="false">IF($A1757="","",IF($A1757&lt;&gt;21,"対象外",IF($AE1757&amp;""="00000000","在職",IF($AE1757&amp;""=設定!$C$4,"4/1喪失","その他喪失"))))</f>
        <v/>
      </c>
    </row>
    <row r="1758" customFormat="false" ht="15" hidden="false" customHeight="false" outlineLevel="0" collapsed="false">
      <c r="DB1758" s="0" t="str">
        <f aca="false">IF($A1758="","",IF($A1758&lt;&gt;21,"対象外",IF($AE1758&amp;""="00000000","在職",IF($AE1758&amp;""=設定!$C$4,"4/1喪失","その他喪失"))))</f>
        <v/>
      </c>
    </row>
    <row r="1759" customFormat="false" ht="15" hidden="false" customHeight="false" outlineLevel="0" collapsed="false">
      <c r="DB1759" s="0" t="str">
        <f aca="false">IF($A1759="","",IF($A1759&lt;&gt;21,"対象外",IF($AE1759&amp;""="00000000","在職",IF($AE1759&amp;""=設定!$C$4,"4/1喪失","その他喪失"))))</f>
        <v/>
      </c>
    </row>
    <row r="1760" customFormat="false" ht="15" hidden="false" customHeight="false" outlineLevel="0" collapsed="false">
      <c r="DB1760" s="0" t="str">
        <f aca="false">IF($A1760="","",IF($A1760&lt;&gt;21,"対象外",IF($AE1760&amp;""="00000000","在職",IF($AE1760&amp;""=設定!$C$4,"4/1喪失","その他喪失"))))</f>
        <v/>
      </c>
    </row>
    <row r="1761" customFormat="false" ht="15" hidden="false" customHeight="false" outlineLevel="0" collapsed="false">
      <c r="DB1761" s="0" t="str">
        <f aca="false">IF($A1761="","",IF($A1761&lt;&gt;21,"対象外",IF($AE1761&amp;""="00000000","在職",IF($AE1761&amp;""=設定!$C$4,"4/1喪失","その他喪失"))))</f>
        <v/>
      </c>
    </row>
    <row r="1762" customFormat="false" ht="15" hidden="false" customHeight="false" outlineLevel="0" collapsed="false">
      <c r="DB1762" s="0" t="str">
        <f aca="false">IF($A1762="","",IF($A1762&lt;&gt;21,"対象外",IF($AE1762&amp;""="00000000","在職",IF($AE1762&amp;""=設定!$C$4,"4/1喪失","その他喪失"))))</f>
        <v/>
      </c>
    </row>
    <row r="1763" customFormat="false" ht="15" hidden="false" customHeight="false" outlineLevel="0" collapsed="false">
      <c r="DB1763" s="0" t="str">
        <f aca="false">IF($A1763="","",IF($A1763&lt;&gt;21,"対象外",IF($AE1763&amp;""="00000000","在職",IF($AE1763&amp;""=設定!$C$4,"4/1喪失","その他喪失"))))</f>
        <v/>
      </c>
    </row>
    <row r="1764" customFormat="false" ht="15" hidden="false" customHeight="false" outlineLevel="0" collapsed="false">
      <c r="DB1764" s="0" t="str">
        <f aca="false">IF($A1764="","",IF($A1764&lt;&gt;21,"対象外",IF($AE1764&amp;""="00000000","在職",IF($AE1764&amp;""=設定!$C$4,"4/1喪失","その他喪失"))))</f>
        <v/>
      </c>
    </row>
    <row r="1765" customFormat="false" ht="15" hidden="false" customHeight="false" outlineLevel="0" collapsed="false">
      <c r="DB1765" s="0" t="str">
        <f aca="false">IF($A1765="","",IF($A1765&lt;&gt;21,"対象外",IF($AE1765&amp;""="00000000","在職",IF($AE1765&amp;""=設定!$C$4,"4/1喪失","その他喪失"))))</f>
        <v/>
      </c>
    </row>
    <row r="1766" customFormat="false" ht="15" hidden="false" customHeight="false" outlineLevel="0" collapsed="false">
      <c r="DB1766" s="0" t="str">
        <f aca="false">IF($A1766="","",IF($A1766&lt;&gt;21,"対象外",IF($AE1766&amp;""="00000000","在職",IF($AE1766&amp;""=設定!$C$4,"4/1喪失","その他喪失"))))</f>
        <v/>
      </c>
    </row>
    <row r="1767" customFormat="false" ht="15" hidden="false" customHeight="false" outlineLevel="0" collapsed="false">
      <c r="DB1767" s="0" t="str">
        <f aca="false">IF($A1767="","",IF($A1767&lt;&gt;21,"対象外",IF($AE1767&amp;""="00000000","在職",IF($AE1767&amp;""=設定!$C$4,"4/1喪失","その他喪失"))))</f>
        <v/>
      </c>
    </row>
    <row r="1768" customFormat="false" ht="15" hidden="false" customHeight="false" outlineLevel="0" collapsed="false">
      <c r="DB1768" s="0" t="str">
        <f aca="false">IF($A1768="","",IF($A1768&lt;&gt;21,"対象外",IF($AE1768&amp;""="00000000","在職",IF($AE1768&amp;""=設定!$C$4,"4/1喪失","その他喪失"))))</f>
        <v/>
      </c>
    </row>
    <row r="1769" customFormat="false" ht="15" hidden="false" customHeight="false" outlineLevel="0" collapsed="false">
      <c r="DB1769" s="0" t="str">
        <f aca="false">IF($A1769="","",IF($A1769&lt;&gt;21,"対象外",IF($AE1769&amp;""="00000000","在職",IF($AE1769&amp;""=設定!$C$4,"4/1喪失","その他喪失"))))</f>
        <v/>
      </c>
    </row>
    <row r="1770" customFormat="false" ht="15" hidden="false" customHeight="false" outlineLevel="0" collapsed="false">
      <c r="DB1770" s="0" t="str">
        <f aca="false">IF($A1770="","",IF($A1770&lt;&gt;21,"対象外",IF($AE1770&amp;""="00000000","在職",IF($AE1770&amp;""=設定!$C$4,"4/1喪失","その他喪失"))))</f>
        <v/>
      </c>
    </row>
    <row r="1771" customFormat="false" ht="15" hidden="false" customHeight="false" outlineLevel="0" collapsed="false">
      <c r="DB1771" s="0" t="str">
        <f aca="false">IF($A1771="","",IF($A1771&lt;&gt;21,"対象外",IF($AE1771&amp;""="00000000","在職",IF($AE1771&amp;""=設定!$C$4,"4/1喪失","その他喪失"))))</f>
        <v/>
      </c>
    </row>
    <row r="1772" customFormat="false" ht="15" hidden="false" customHeight="false" outlineLevel="0" collapsed="false">
      <c r="DB1772" s="0" t="str">
        <f aca="false">IF($A1772="","",IF($A1772&lt;&gt;21,"対象外",IF($AE1772&amp;""="00000000","在職",IF($AE1772&amp;""=設定!$C$4,"4/1喪失","その他喪失"))))</f>
        <v/>
      </c>
    </row>
    <row r="1773" customFormat="false" ht="15" hidden="false" customHeight="false" outlineLevel="0" collapsed="false">
      <c r="DB1773" s="0" t="str">
        <f aca="false">IF($A1773="","",IF($A1773&lt;&gt;21,"対象外",IF($AE1773&amp;""="00000000","在職",IF($AE1773&amp;""=設定!$C$4,"4/1喪失","その他喪失"))))</f>
        <v/>
      </c>
    </row>
    <row r="1774" customFormat="false" ht="15" hidden="false" customHeight="false" outlineLevel="0" collapsed="false">
      <c r="DB1774" s="0" t="str">
        <f aca="false">IF($A1774="","",IF($A1774&lt;&gt;21,"対象外",IF($AE1774&amp;""="00000000","在職",IF($AE1774&amp;""=設定!$C$4,"4/1喪失","その他喪失"))))</f>
        <v/>
      </c>
    </row>
    <row r="1775" customFormat="false" ht="15" hidden="false" customHeight="false" outlineLevel="0" collapsed="false">
      <c r="DB1775" s="0" t="str">
        <f aca="false">IF($A1775="","",IF($A1775&lt;&gt;21,"対象外",IF($AE1775&amp;""="00000000","在職",IF($AE1775&amp;""=設定!$C$4,"4/1喪失","その他喪失"))))</f>
        <v/>
      </c>
    </row>
    <row r="1776" customFormat="false" ht="15" hidden="false" customHeight="false" outlineLevel="0" collapsed="false">
      <c r="DB1776" s="0" t="str">
        <f aca="false">IF($A1776="","",IF($A1776&lt;&gt;21,"対象外",IF($AE1776&amp;""="00000000","在職",IF($AE1776&amp;""=設定!$C$4,"4/1喪失","その他喪失"))))</f>
        <v/>
      </c>
    </row>
    <row r="1777" customFormat="false" ht="15" hidden="false" customHeight="false" outlineLevel="0" collapsed="false">
      <c r="DB1777" s="0" t="str">
        <f aca="false">IF($A1777="","",IF($A1777&lt;&gt;21,"対象外",IF($AE1777&amp;""="00000000","在職",IF($AE1777&amp;""=設定!$C$4,"4/1喪失","その他喪失"))))</f>
        <v/>
      </c>
    </row>
    <row r="1778" customFormat="false" ht="15" hidden="false" customHeight="false" outlineLevel="0" collapsed="false">
      <c r="DB1778" s="0" t="str">
        <f aca="false">IF($A1778="","",IF($A1778&lt;&gt;21,"対象外",IF($AE1778&amp;""="00000000","在職",IF($AE1778&amp;""=設定!$C$4,"4/1喪失","その他喪失"))))</f>
        <v/>
      </c>
    </row>
    <row r="1779" customFormat="false" ht="15" hidden="false" customHeight="false" outlineLevel="0" collapsed="false">
      <c r="DB1779" s="0" t="str">
        <f aca="false">IF($A1779="","",IF($A1779&lt;&gt;21,"対象外",IF($AE1779&amp;""="00000000","在職",IF($AE1779&amp;""=設定!$C$4,"4/1喪失","その他喪失"))))</f>
        <v/>
      </c>
    </row>
    <row r="1780" customFormat="false" ht="15" hidden="false" customHeight="false" outlineLevel="0" collapsed="false">
      <c r="DB1780" s="0" t="str">
        <f aca="false">IF($A1780="","",IF($A1780&lt;&gt;21,"対象外",IF($AE1780&amp;""="00000000","在職",IF($AE1780&amp;""=設定!$C$4,"4/1喪失","その他喪失"))))</f>
        <v/>
      </c>
    </row>
    <row r="1781" customFormat="false" ht="15" hidden="false" customHeight="false" outlineLevel="0" collapsed="false">
      <c r="DB1781" s="0" t="str">
        <f aca="false">IF($A1781="","",IF($A1781&lt;&gt;21,"対象外",IF($AE1781&amp;""="00000000","在職",IF($AE1781&amp;""=設定!$C$4,"4/1喪失","その他喪失"))))</f>
        <v/>
      </c>
    </row>
    <row r="1782" customFormat="false" ht="15" hidden="false" customHeight="false" outlineLevel="0" collapsed="false">
      <c r="DB1782" s="0" t="str">
        <f aca="false">IF($A1782="","",IF($A1782&lt;&gt;21,"対象外",IF($AE1782&amp;""="00000000","在職",IF($AE1782&amp;""=設定!$C$4,"4/1喪失","その他喪失"))))</f>
        <v/>
      </c>
    </row>
    <row r="1783" customFormat="false" ht="15" hidden="false" customHeight="false" outlineLevel="0" collapsed="false">
      <c r="DB1783" s="0" t="str">
        <f aca="false">IF($A1783="","",IF($A1783&lt;&gt;21,"対象外",IF($AE1783&amp;""="00000000","在職",IF($AE1783&amp;""=設定!$C$4,"4/1喪失","その他喪失"))))</f>
        <v/>
      </c>
    </row>
    <row r="1784" customFormat="false" ht="15" hidden="false" customHeight="false" outlineLevel="0" collapsed="false">
      <c r="DB1784" s="0" t="str">
        <f aca="false">IF($A1784="","",IF($A1784&lt;&gt;21,"対象外",IF($AE1784&amp;""="00000000","在職",IF($AE1784&amp;""=設定!$C$4,"4/1喪失","その他喪失"))))</f>
        <v/>
      </c>
    </row>
    <row r="1785" customFormat="false" ht="15" hidden="false" customHeight="false" outlineLevel="0" collapsed="false">
      <c r="DB1785" s="0" t="str">
        <f aca="false">IF($A1785="","",IF($A1785&lt;&gt;21,"対象外",IF($AE1785&amp;""="00000000","在職",IF($AE1785&amp;""=設定!$C$4,"4/1喪失","その他喪失"))))</f>
        <v/>
      </c>
    </row>
    <row r="1786" customFormat="false" ht="15" hidden="false" customHeight="false" outlineLevel="0" collapsed="false">
      <c r="DB1786" s="0" t="str">
        <f aca="false">IF($A1786="","",IF($A1786&lt;&gt;21,"対象外",IF($AE1786&amp;""="00000000","在職",IF($AE1786&amp;""=設定!$C$4,"4/1喪失","その他喪失"))))</f>
        <v/>
      </c>
    </row>
    <row r="1787" customFormat="false" ht="15" hidden="false" customHeight="false" outlineLevel="0" collapsed="false">
      <c r="DB1787" s="0" t="str">
        <f aca="false">IF($A1787="","",IF($A1787&lt;&gt;21,"対象外",IF($AE1787&amp;""="00000000","在職",IF($AE1787&amp;""=設定!$C$4,"4/1喪失","その他喪失"))))</f>
        <v/>
      </c>
    </row>
    <row r="1788" customFormat="false" ht="15" hidden="false" customHeight="false" outlineLevel="0" collapsed="false">
      <c r="DB1788" s="0" t="str">
        <f aca="false">IF($A1788="","",IF($A1788&lt;&gt;21,"対象外",IF($AE1788&amp;""="00000000","在職",IF($AE1788&amp;""=設定!$C$4,"4/1喪失","その他喪失"))))</f>
        <v/>
      </c>
    </row>
    <row r="1789" customFormat="false" ht="15" hidden="false" customHeight="false" outlineLevel="0" collapsed="false">
      <c r="DB1789" s="0" t="str">
        <f aca="false">IF($A1789="","",IF($A1789&lt;&gt;21,"対象外",IF($AE1789&amp;""="00000000","在職",IF($AE1789&amp;""=設定!$C$4,"4/1喪失","その他喪失"))))</f>
        <v/>
      </c>
    </row>
    <row r="1790" customFormat="false" ht="15" hidden="false" customHeight="false" outlineLevel="0" collapsed="false">
      <c r="DB1790" s="0" t="str">
        <f aca="false">IF($A1790="","",IF($A1790&lt;&gt;21,"対象外",IF($AE1790&amp;""="00000000","在職",IF($AE1790&amp;""=設定!$C$4,"4/1喪失","その他喪失"))))</f>
        <v/>
      </c>
    </row>
    <row r="1791" customFormat="false" ht="15" hidden="false" customHeight="false" outlineLevel="0" collapsed="false">
      <c r="DB1791" s="0" t="str">
        <f aca="false">IF($A1791="","",IF($A1791&lt;&gt;21,"対象外",IF($AE1791&amp;""="00000000","在職",IF($AE1791&amp;""=設定!$C$4,"4/1喪失","その他喪失"))))</f>
        <v/>
      </c>
    </row>
    <row r="1792" customFormat="false" ht="15" hidden="false" customHeight="false" outlineLevel="0" collapsed="false">
      <c r="DB1792" s="0" t="str">
        <f aca="false">IF($A1792="","",IF($A1792&lt;&gt;21,"対象外",IF($AE1792&amp;""="00000000","在職",IF($AE1792&amp;""=設定!$C$4,"4/1喪失","その他喪失"))))</f>
        <v/>
      </c>
    </row>
    <row r="1793" customFormat="false" ht="15" hidden="false" customHeight="false" outlineLevel="0" collapsed="false">
      <c r="DB1793" s="0" t="str">
        <f aca="false">IF($A1793="","",IF($A1793&lt;&gt;21,"対象外",IF($AE1793&amp;""="00000000","在職",IF($AE1793&amp;""=設定!$C$4,"4/1喪失","その他喪失"))))</f>
        <v/>
      </c>
    </row>
    <row r="1794" customFormat="false" ht="15" hidden="false" customHeight="false" outlineLevel="0" collapsed="false">
      <c r="DB1794" s="0" t="str">
        <f aca="false">IF($A1794="","",IF($A1794&lt;&gt;21,"対象外",IF($AE1794&amp;""="00000000","在職",IF($AE1794&amp;""=設定!$C$4,"4/1喪失","その他喪失"))))</f>
        <v/>
      </c>
    </row>
    <row r="1795" customFormat="false" ht="15" hidden="false" customHeight="false" outlineLevel="0" collapsed="false">
      <c r="DB1795" s="0" t="str">
        <f aca="false">IF($A1795="","",IF($A1795&lt;&gt;21,"対象外",IF($AE1795&amp;""="00000000","在職",IF($AE1795&amp;""=設定!$C$4,"4/1喪失","その他喪失"))))</f>
        <v/>
      </c>
    </row>
    <row r="1796" customFormat="false" ht="15" hidden="false" customHeight="false" outlineLevel="0" collapsed="false">
      <c r="DB1796" s="0" t="str">
        <f aca="false">IF($A1796="","",IF($A1796&lt;&gt;21,"対象外",IF($AE1796&amp;""="00000000","在職",IF($AE1796&amp;""=設定!$C$4,"4/1喪失","その他喪失"))))</f>
        <v/>
      </c>
    </row>
    <row r="1797" customFormat="false" ht="15" hidden="false" customHeight="false" outlineLevel="0" collapsed="false">
      <c r="DB1797" s="0" t="str">
        <f aca="false">IF($A1797="","",IF($A1797&lt;&gt;21,"対象外",IF($AE1797&amp;""="00000000","在職",IF($AE1797&amp;""=設定!$C$4,"4/1喪失","その他喪失"))))</f>
        <v/>
      </c>
    </row>
    <row r="1798" customFormat="false" ht="15" hidden="false" customHeight="false" outlineLevel="0" collapsed="false">
      <c r="DB1798" s="0" t="str">
        <f aca="false">IF($A1798="","",IF($A1798&lt;&gt;21,"対象外",IF($AE1798&amp;""="00000000","在職",IF($AE1798&amp;""=設定!$C$4,"4/1喪失","その他喪失"))))</f>
        <v/>
      </c>
    </row>
    <row r="1799" customFormat="false" ht="15" hidden="false" customHeight="false" outlineLevel="0" collapsed="false">
      <c r="DB1799" s="0" t="str">
        <f aca="false">IF($A1799="","",IF($A1799&lt;&gt;21,"対象外",IF($AE1799&amp;""="00000000","在職",IF($AE1799&amp;""=設定!$C$4,"4/1喪失","その他喪失"))))</f>
        <v/>
      </c>
    </row>
    <row r="1800" customFormat="false" ht="15" hidden="false" customHeight="false" outlineLevel="0" collapsed="false">
      <c r="DB1800" s="0" t="str">
        <f aca="false">IF($A1800="","",IF($A1800&lt;&gt;21,"対象外",IF($AE1800&amp;""="00000000","在職",IF($AE1800&amp;""=設定!$C$4,"4/1喪失","その他喪失"))))</f>
        <v/>
      </c>
    </row>
    <row r="1801" customFormat="false" ht="15" hidden="false" customHeight="false" outlineLevel="0" collapsed="false">
      <c r="DB1801" s="0" t="str">
        <f aca="false">IF($A1801="","",IF($A1801&lt;&gt;21,"対象外",IF($AE1801&amp;""="00000000","在職",IF($AE1801&amp;""=設定!$C$4,"4/1喪失","その他喪失"))))</f>
        <v/>
      </c>
    </row>
    <row r="1802" customFormat="false" ht="15" hidden="false" customHeight="false" outlineLevel="0" collapsed="false">
      <c r="DB1802" s="0" t="str">
        <f aca="false">IF($A1802="","",IF($A1802&lt;&gt;21,"対象外",IF($AE1802&amp;""="00000000","在職",IF($AE1802&amp;""=設定!$C$4,"4/1喪失","その他喪失"))))</f>
        <v/>
      </c>
    </row>
    <row r="1803" customFormat="false" ht="15" hidden="false" customHeight="false" outlineLevel="0" collapsed="false">
      <c r="DB1803" s="0" t="str">
        <f aca="false">IF($A1803="","",IF($A1803&lt;&gt;21,"対象外",IF($AE1803&amp;""="00000000","在職",IF($AE1803&amp;""=設定!$C$4,"4/1喪失","その他喪失"))))</f>
        <v/>
      </c>
    </row>
    <row r="1804" customFormat="false" ht="15" hidden="false" customHeight="false" outlineLevel="0" collapsed="false">
      <c r="DB1804" s="0" t="str">
        <f aca="false">IF($A1804="","",IF($A1804&lt;&gt;21,"対象外",IF($AE1804&amp;""="00000000","在職",IF($AE1804&amp;""=設定!$C$4,"4/1喪失","その他喪失"))))</f>
        <v/>
      </c>
    </row>
    <row r="1805" customFormat="false" ht="15" hidden="false" customHeight="false" outlineLevel="0" collapsed="false">
      <c r="DB1805" s="0" t="str">
        <f aca="false">IF($A1805="","",IF($A1805&lt;&gt;21,"対象外",IF($AE1805&amp;""="00000000","在職",IF($AE1805&amp;""=設定!$C$4,"4/1喪失","その他喪失"))))</f>
        <v/>
      </c>
    </row>
    <row r="1806" customFormat="false" ht="15" hidden="false" customHeight="false" outlineLevel="0" collapsed="false">
      <c r="DB1806" s="0" t="str">
        <f aca="false">IF($A1806="","",IF($A1806&lt;&gt;21,"対象外",IF($AE1806&amp;""="00000000","在職",IF($AE1806&amp;""=設定!$C$4,"4/1喪失","その他喪失"))))</f>
        <v/>
      </c>
    </row>
    <row r="1807" customFormat="false" ht="15" hidden="false" customHeight="false" outlineLevel="0" collapsed="false">
      <c r="DB1807" s="0" t="str">
        <f aca="false">IF($A1807="","",IF($A1807&lt;&gt;21,"対象外",IF($AE1807&amp;""="00000000","在職",IF($AE1807&amp;""=設定!$C$4,"4/1喪失","その他喪失"))))</f>
        <v/>
      </c>
    </row>
    <row r="1808" customFormat="false" ht="15" hidden="false" customHeight="false" outlineLevel="0" collapsed="false">
      <c r="DB1808" s="0" t="str">
        <f aca="false">IF($A1808="","",IF($A1808&lt;&gt;21,"対象外",IF($AE1808&amp;""="00000000","在職",IF($AE1808&amp;""=設定!$C$4,"4/1喪失","その他喪失"))))</f>
        <v/>
      </c>
    </row>
    <row r="1809" customFormat="false" ht="15" hidden="false" customHeight="false" outlineLevel="0" collapsed="false">
      <c r="DB1809" s="0" t="str">
        <f aca="false">IF($A1809="","",IF($A1809&lt;&gt;21,"対象外",IF($AE1809&amp;""="00000000","在職",IF($AE1809&amp;""=設定!$C$4,"4/1喪失","その他喪失"))))</f>
        <v/>
      </c>
    </row>
    <row r="1810" customFormat="false" ht="15" hidden="false" customHeight="false" outlineLevel="0" collapsed="false">
      <c r="DB1810" s="0" t="str">
        <f aca="false">IF($A1810="","",IF($A1810&lt;&gt;21,"対象外",IF($AE1810&amp;""="00000000","在職",IF($AE1810&amp;""=設定!$C$4,"4/1喪失","その他喪失"))))</f>
        <v/>
      </c>
    </row>
    <row r="1811" customFormat="false" ht="15" hidden="false" customHeight="false" outlineLevel="0" collapsed="false">
      <c r="DB1811" s="0" t="str">
        <f aca="false">IF($A1811="","",IF($A1811&lt;&gt;21,"対象外",IF($AE1811&amp;""="00000000","在職",IF($AE1811&amp;""=設定!$C$4,"4/1喪失","その他喪失"))))</f>
        <v/>
      </c>
    </row>
    <row r="1812" customFormat="false" ht="15" hidden="false" customHeight="false" outlineLevel="0" collapsed="false">
      <c r="DB1812" s="0" t="str">
        <f aca="false">IF($A1812="","",IF($A1812&lt;&gt;21,"対象外",IF($AE1812&amp;""="00000000","在職",IF($AE1812&amp;""=設定!$C$4,"4/1喪失","その他喪失"))))</f>
        <v/>
      </c>
    </row>
    <row r="1813" customFormat="false" ht="15" hidden="false" customHeight="false" outlineLevel="0" collapsed="false">
      <c r="DB1813" s="0" t="str">
        <f aca="false">IF($A1813="","",IF($A1813&lt;&gt;21,"対象外",IF($AE1813&amp;""="00000000","在職",IF($AE1813&amp;""=設定!$C$4,"4/1喪失","その他喪失"))))</f>
        <v/>
      </c>
    </row>
    <row r="1814" customFormat="false" ht="15" hidden="false" customHeight="false" outlineLevel="0" collapsed="false">
      <c r="DB1814" s="0" t="str">
        <f aca="false">IF($A1814="","",IF($A1814&lt;&gt;21,"対象外",IF($AE1814&amp;""="00000000","在職",IF($AE1814&amp;""=設定!$C$4,"4/1喪失","その他喪失"))))</f>
        <v/>
      </c>
    </row>
    <row r="1815" customFormat="false" ht="15" hidden="false" customHeight="false" outlineLevel="0" collapsed="false">
      <c r="DB1815" s="0" t="str">
        <f aca="false">IF($A1815="","",IF($A1815&lt;&gt;21,"対象外",IF($AE1815&amp;""="00000000","在職",IF($AE1815&amp;""=設定!$C$4,"4/1喪失","その他喪失"))))</f>
        <v/>
      </c>
    </row>
    <row r="1816" customFormat="false" ht="15" hidden="false" customHeight="false" outlineLevel="0" collapsed="false">
      <c r="DB1816" s="0" t="str">
        <f aca="false">IF($A1816="","",IF($A1816&lt;&gt;21,"対象外",IF($AE1816&amp;""="00000000","在職",IF($AE1816&amp;""=設定!$C$4,"4/1喪失","その他喪失"))))</f>
        <v/>
      </c>
    </row>
    <row r="1817" customFormat="false" ht="15" hidden="false" customHeight="false" outlineLevel="0" collapsed="false">
      <c r="DB1817" s="0" t="str">
        <f aca="false">IF($A1817="","",IF($A1817&lt;&gt;21,"対象外",IF($AE1817&amp;""="00000000","在職",IF($AE1817&amp;""=設定!$C$4,"4/1喪失","その他喪失"))))</f>
        <v/>
      </c>
    </row>
    <row r="1818" customFormat="false" ht="15" hidden="false" customHeight="false" outlineLevel="0" collapsed="false">
      <c r="DB1818" s="0" t="str">
        <f aca="false">IF($A1818="","",IF($A1818&lt;&gt;21,"対象外",IF($AE1818&amp;""="00000000","在職",IF($AE1818&amp;""=設定!$C$4,"4/1喪失","その他喪失"))))</f>
        <v/>
      </c>
    </row>
    <row r="1819" customFormat="false" ht="15" hidden="false" customHeight="false" outlineLevel="0" collapsed="false">
      <c r="DB1819" s="0" t="str">
        <f aca="false">IF($A1819="","",IF($A1819&lt;&gt;21,"対象外",IF($AE1819&amp;""="00000000","在職",IF($AE1819&amp;""=設定!$C$4,"4/1喪失","その他喪失"))))</f>
        <v/>
      </c>
    </row>
    <row r="1820" customFormat="false" ht="15" hidden="false" customHeight="false" outlineLevel="0" collapsed="false">
      <c r="DB1820" s="0" t="str">
        <f aca="false">IF($A1820="","",IF($A1820&lt;&gt;21,"対象外",IF($AE1820&amp;""="00000000","在職",IF($AE1820&amp;""=設定!$C$4,"4/1喪失","その他喪失"))))</f>
        <v/>
      </c>
    </row>
    <row r="1821" customFormat="false" ht="15" hidden="false" customHeight="false" outlineLevel="0" collapsed="false">
      <c r="DB1821" s="0" t="str">
        <f aca="false">IF($A1821="","",IF($A1821&lt;&gt;21,"対象外",IF($AE1821&amp;""="00000000","在職",IF($AE1821&amp;""=設定!$C$4,"4/1喪失","その他喪失"))))</f>
        <v/>
      </c>
    </row>
    <row r="1822" customFormat="false" ht="15" hidden="false" customHeight="false" outlineLevel="0" collapsed="false">
      <c r="DB1822" s="0" t="str">
        <f aca="false">IF($A1822="","",IF($A1822&lt;&gt;21,"対象外",IF($AE1822&amp;""="00000000","在職",IF($AE1822&amp;""=設定!$C$4,"4/1喪失","その他喪失"))))</f>
        <v/>
      </c>
    </row>
    <row r="1823" customFormat="false" ht="15" hidden="false" customHeight="false" outlineLevel="0" collapsed="false">
      <c r="DB1823" s="0" t="str">
        <f aca="false">IF($A1823="","",IF($A1823&lt;&gt;21,"対象外",IF($AE1823&amp;""="00000000","在職",IF($AE1823&amp;""=設定!$C$4,"4/1喪失","その他喪失"))))</f>
        <v/>
      </c>
    </row>
    <row r="1824" customFormat="false" ht="15" hidden="false" customHeight="false" outlineLevel="0" collapsed="false">
      <c r="DB1824" s="0" t="str">
        <f aca="false">IF($A1824="","",IF($A1824&lt;&gt;21,"対象外",IF($AE1824&amp;""="00000000","在職",IF($AE1824&amp;""=設定!$C$4,"4/1喪失","その他喪失"))))</f>
        <v/>
      </c>
    </row>
    <row r="1825" customFormat="false" ht="15" hidden="false" customHeight="false" outlineLevel="0" collapsed="false">
      <c r="DB1825" s="0" t="str">
        <f aca="false">IF($A1825="","",IF($A1825&lt;&gt;21,"対象外",IF($AE1825&amp;""="00000000","在職",IF($AE1825&amp;""=設定!$C$4,"4/1喪失","その他喪失"))))</f>
        <v/>
      </c>
    </row>
    <row r="1826" customFormat="false" ht="15" hidden="false" customHeight="false" outlineLevel="0" collapsed="false">
      <c r="DB1826" s="0" t="str">
        <f aca="false">IF($A1826="","",IF($A1826&lt;&gt;21,"対象外",IF($AE1826&amp;""="00000000","在職",IF($AE1826&amp;""=設定!$C$4,"4/1喪失","その他喪失"))))</f>
        <v/>
      </c>
    </row>
    <row r="1827" customFormat="false" ht="15" hidden="false" customHeight="false" outlineLevel="0" collapsed="false">
      <c r="DB1827" s="0" t="str">
        <f aca="false">IF($A1827="","",IF($A1827&lt;&gt;21,"対象外",IF($AE1827&amp;""="00000000","在職",IF($AE1827&amp;""=設定!$C$4,"4/1喪失","その他喪失"))))</f>
        <v/>
      </c>
    </row>
    <row r="1828" customFormat="false" ht="15" hidden="false" customHeight="false" outlineLevel="0" collapsed="false">
      <c r="DB1828" s="0" t="str">
        <f aca="false">IF($A1828="","",IF($A1828&lt;&gt;21,"対象外",IF($AE1828&amp;""="00000000","在職",IF($AE1828&amp;""=設定!$C$4,"4/1喪失","その他喪失"))))</f>
        <v/>
      </c>
    </row>
    <row r="1829" customFormat="false" ht="15" hidden="false" customHeight="false" outlineLevel="0" collapsed="false">
      <c r="DB1829" s="0" t="str">
        <f aca="false">IF($A1829="","",IF($A1829&lt;&gt;21,"対象外",IF($AE1829&amp;""="00000000","在職",IF($AE1829&amp;""=設定!$C$4,"4/1喪失","その他喪失"))))</f>
        <v/>
      </c>
    </row>
    <row r="1830" customFormat="false" ht="15" hidden="false" customHeight="false" outlineLevel="0" collapsed="false">
      <c r="DB1830" s="0" t="str">
        <f aca="false">IF($A1830="","",IF($A1830&lt;&gt;21,"対象外",IF($AE1830&amp;""="00000000","在職",IF($AE1830&amp;""=設定!$C$4,"4/1喪失","その他喪失"))))</f>
        <v/>
      </c>
    </row>
    <row r="1831" customFormat="false" ht="15" hidden="false" customHeight="false" outlineLevel="0" collapsed="false">
      <c r="DB1831" s="0" t="str">
        <f aca="false">IF($A1831="","",IF($A1831&lt;&gt;21,"対象外",IF($AE1831&amp;""="00000000","在職",IF($AE1831&amp;""=設定!$C$4,"4/1喪失","その他喪失"))))</f>
        <v/>
      </c>
    </row>
    <row r="1832" customFormat="false" ht="15" hidden="false" customHeight="false" outlineLevel="0" collapsed="false">
      <c r="DB1832" s="0" t="str">
        <f aca="false">IF($A1832="","",IF($A1832&lt;&gt;21,"対象外",IF($AE1832&amp;""="00000000","在職",IF($AE1832&amp;""=設定!$C$4,"4/1喪失","その他喪失"))))</f>
        <v/>
      </c>
    </row>
    <row r="1833" customFormat="false" ht="15" hidden="false" customHeight="false" outlineLevel="0" collapsed="false">
      <c r="DB1833" s="0" t="str">
        <f aca="false">IF($A1833="","",IF($A1833&lt;&gt;21,"対象外",IF($AE1833&amp;""="00000000","在職",IF($AE1833&amp;""=設定!$C$4,"4/1喪失","その他喪失"))))</f>
        <v/>
      </c>
    </row>
    <row r="1834" customFormat="false" ht="15" hidden="false" customHeight="false" outlineLevel="0" collapsed="false">
      <c r="DB1834" s="0" t="str">
        <f aca="false">IF($A1834="","",IF($A1834&lt;&gt;21,"対象外",IF($AE1834&amp;""="00000000","在職",IF($AE1834&amp;""=設定!$C$4,"4/1喪失","その他喪失"))))</f>
        <v/>
      </c>
    </row>
    <row r="1835" customFormat="false" ht="15" hidden="false" customHeight="false" outlineLevel="0" collapsed="false">
      <c r="DB1835" s="0" t="str">
        <f aca="false">IF($A1835="","",IF($A1835&lt;&gt;21,"対象外",IF($AE1835&amp;""="00000000","在職",IF($AE1835&amp;""=設定!$C$4,"4/1喪失","その他喪失"))))</f>
        <v/>
      </c>
    </row>
    <row r="1836" customFormat="false" ht="15" hidden="false" customHeight="false" outlineLevel="0" collapsed="false">
      <c r="DB1836" s="0" t="str">
        <f aca="false">IF($A1836="","",IF($A1836&lt;&gt;21,"対象外",IF($AE1836&amp;""="00000000","在職",IF($AE1836&amp;""=設定!$C$4,"4/1喪失","その他喪失"))))</f>
        <v/>
      </c>
    </row>
    <row r="1837" customFormat="false" ht="15" hidden="false" customHeight="false" outlineLevel="0" collapsed="false">
      <c r="DB1837" s="0" t="str">
        <f aca="false">IF($A1837="","",IF($A1837&lt;&gt;21,"対象外",IF($AE1837&amp;""="00000000","在職",IF($AE1837&amp;""=設定!$C$4,"4/1喪失","その他喪失"))))</f>
        <v/>
      </c>
    </row>
    <row r="1838" customFormat="false" ht="15" hidden="false" customHeight="false" outlineLevel="0" collapsed="false">
      <c r="DB1838" s="0" t="str">
        <f aca="false">IF($A1838="","",IF($A1838&lt;&gt;21,"対象外",IF($AE1838&amp;""="00000000","在職",IF($AE1838&amp;""=設定!$C$4,"4/1喪失","その他喪失"))))</f>
        <v/>
      </c>
    </row>
    <row r="1839" customFormat="false" ht="15" hidden="false" customHeight="false" outlineLevel="0" collapsed="false">
      <c r="DB1839" s="0" t="str">
        <f aca="false">IF($A1839="","",IF($A1839&lt;&gt;21,"対象外",IF($AE1839&amp;""="00000000","在職",IF($AE1839&amp;""=設定!$C$4,"4/1喪失","その他喪失"))))</f>
        <v/>
      </c>
    </row>
    <row r="1840" customFormat="false" ht="15" hidden="false" customHeight="false" outlineLevel="0" collapsed="false">
      <c r="DB1840" s="0" t="str">
        <f aca="false">IF($A1840="","",IF($A1840&lt;&gt;21,"対象外",IF($AE1840&amp;""="00000000","在職",IF($AE1840&amp;""=設定!$C$4,"4/1喪失","その他喪失"))))</f>
        <v/>
      </c>
    </row>
    <row r="1841" customFormat="false" ht="15" hidden="false" customHeight="false" outlineLevel="0" collapsed="false">
      <c r="DB1841" s="0" t="str">
        <f aca="false">IF($A1841="","",IF($A1841&lt;&gt;21,"対象外",IF($AE1841&amp;""="00000000","在職",IF($AE1841&amp;""=設定!$C$4,"4/1喪失","その他喪失"))))</f>
        <v/>
      </c>
    </row>
    <row r="1842" customFormat="false" ht="15" hidden="false" customHeight="false" outlineLevel="0" collapsed="false">
      <c r="DB1842" s="0" t="str">
        <f aca="false">IF($A1842="","",IF($A1842&lt;&gt;21,"対象外",IF($AE1842&amp;""="00000000","在職",IF($AE1842&amp;""=設定!$C$4,"4/1喪失","その他喪失"))))</f>
        <v/>
      </c>
    </row>
    <row r="1843" customFormat="false" ht="15" hidden="false" customHeight="false" outlineLevel="0" collapsed="false">
      <c r="DB1843" s="0" t="str">
        <f aca="false">IF($A1843="","",IF($A1843&lt;&gt;21,"対象外",IF($AE1843&amp;""="00000000","在職",IF($AE1843&amp;""=設定!$C$4,"4/1喪失","その他喪失"))))</f>
        <v/>
      </c>
    </row>
    <row r="1844" customFormat="false" ht="15" hidden="false" customHeight="false" outlineLevel="0" collapsed="false">
      <c r="DB1844" s="0" t="str">
        <f aca="false">IF($A1844="","",IF($A1844&lt;&gt;21,"対象外",IF($AE1844&amp;""="00000000","在職",IF($AE1844&amp;""=設定!$C$4,"4/1喪失","その他喪失"))))</f>
        <v/>
      </c>
    </row>
    <row r="1845" customFormat="false" ht="15" hidden="false" customHeight="false" outlineLevel="0" collapsed="false">
      <c r="DB1845" s="0" t="str">
        <f aca="false">IF($A1845="","",IF($A1845&lt;&gt;21,"対象外",IF($AE1845&amp;""="00000000","在職",IF($AE1845&amp;""=設定!$C$4,"4/1喪失","その他喪失"))))</f>
        <v/>
      </c>
    </row>
    <row r="1846" customFormat="false" ht="15" hidden="false" customHeight="false" outlineLevel="0" collapsed="false">
      <c r="DB1846" s="0" t="str">
        <f aca="false">IF($A1846="","",IF($A1846&lt;&gt;21,"対象外",IF($AE1846&amp;""="00000000","在職",IF($AE1846&amp;""=設定!$C$4,"4/1喪失","その他喪失"))))</f>
        <v/>
      </c>
    </row>
    <row r="1847" customFormat="false" ht="15" hidden="false" customHeight="false" outlineLevel="0" collapsed="false">
      <c r="DB1847" s="0" t="str">
        <f aca="false">IF($A1847="","",IF($A1847&lt;&gt;21,"対象外",IF($AE1847&amp;""="00000000","在職",IF($AE1847&amp;""=設定!$C$4,"4/1喪失","その他喪失"))))</f>
        <v/>
      </c>
    </row>
    <row r="1848" customFormat="false" ht="15" hidden="false" customHeight="false" outlineLevel="0" collapsed="false">
      <c r="DB1848" s="0" t="str">
        <f aca="false">IF($A1848="","",IF($A1848&lt;&gt;21,"対象外",IF($AE1848&amp;""="00000000","在職",IF($AE1848&amp;""=設定!$C$4,"4/1喪失","その他喪失"))))</f>
        <v/>
      </c>
    </row>
    <row r="1849" customFormat="false" ht="15" hidden="false" customHeight="false" outlineLevel="0" collapsed="false">
      <c r="DB1849" s="0" t="str">
        <f aca="false">IF($A1849="","",IF($A1849&lt;&gt;21,"対象外",IF($AE1849&amp;""="00000000","在職",IF($AE1849&amp;""=設定!$C$4,"4/1喪失","その他喪失"))))</f>
        <v/>
      </c>
    </row>
    <row r="1850" customFormat="false" ht="15" hidden="false" customHeight="false" outlineLevel="0" collapsed="false">
      <c r="DB1850" s="0" t="str">
        <f aca="false">IF($A1850="","",IF($A1850&lt;&gt;21,"対象外",IF($AE1850&amp;""="00000000","在職",IF($AE1850&amp;""=設定!$C$4,"4/1喪失","その他喪失"))))</f>
        <v/>
      </c>
    </row>
    <row r="1851" customFormat="false" ht="15" hidden="false" customHeight="false" outlineLevel="0" collapsed="false">
      <c r="DB1851" s="0" t="str">
        <f aca="false">IF($A1851="","",IF($A1851&lt;&gt;21,"対象外",IF($AE1851&amp;""="00000000","在職",IF($AE1851&amp;""=設定!$C$4,"4/1喪失","その他喪失"))))</f>
        <v/>
      </c>
    </row>
    <row r="1852" customFormat="false" ht="15" hidden="false" customHeight="false" outlineLevel="0" collapsed="false">
      <c r="DB1852" s="0" t="str">
        <f aca="false">IF($A1852="","",IF($A1852&lt;&gt;21,"対象外",IF($AE1852&amp;""="00000000","在職",IF($AE1852&amp;""=設定!$C$4,"4/1喪失","その他喪失"))))</f>
        <v/>
      </c>
    </row>
    <row r="1853" customFormat="false" ht="15" hidden="false" customHeight="false" outlineLevel="0" collapsed="false">
      <c r="DB1853" s="0" t="str">
        <f aca="false">IF($A1853="","",IF($A1853&lt;&gt;21,"対象外",IF($AE1853&amp;""="00000000","在職",IF($AE1853&amp;""=設定!$C$4,"4/1喪失","その他喪失"))))</f>
        <v/>
      </c>
    </row>
    <row r="1854" customFormat="false" ht="15" hidden="false" customHeight="false" outlineLevel="0" collapsed="false">
      <c r="DB1854" s="0" t="str">
        <f aca="false">IF($A1854="","",IF($A1854&lt;&gt;21,"対象外",IF($AE1854&amp;""="00000000","在職",IF($AE1854&amp;""=設定!$C$4,"4/1喪失","その他喪失"))))</f>
        <v/>
      </c>
    </row>
    <row r="1855" customFormat="false" ht="15" hidden="false" customHeight="false" outlineLevel="0" collapsed="false">
      <c r="DB1855" s="0" t="str">
        <f aca="false">IF($A1855="","",IF($A1855&lt;&gt;21,"対象外",IF($AE1855&amp;""="00000000","在職",IF($AE1855&amp;""=設定!$C$4,"4/1喪失","その他喪失"))))</f>
        <v/>
      </c>
    </row>
    <row r="1856" customFormat="false" ht="15" hidden="false" customHeight="false" outlineLevel="0" collapsed="false">
      <c r="DB1856" s="0" t="str">
        <f aca="false">IF($A1856="","",IF($A1856&lt;&gt;21,"対象外",IF($AE1856&amp;""="00000000","在職",IF($AE1856&amp;""=設定!$C$4,"4/1喪失","その他喪失"))))</f>
        <v/>
      </c>
    </row>
    <row r="1857" customFormat="false" ht="15" hidden="false" customHeight="false" outlineLevel="0" collapsed="false">
      <c r="DB1857" s="0" t="str">
        <f aca="false">IF($A1857="","",IF($A1857&lt;&gt;21,"対象外",IF($AE1857&amp;""="00000000","在職",IF($AE1857&amp;""=設定!$C$4,"4/1喪失","その他喪失"))))</f>
        <v/>
      </c>
    </row>
    <row r="1858" customFormat="false" ht="15" hidden="false" customHeight="false" outlineLevel="0" collapsed="false">
      <c r="DB1858" s="0" t="str">
        <f aca="false">IF($A1858="","",IF($A1858&lt;&gt;21,"対象外",IF($AE1858&amp;""="00000000","在職",IF($AE1858&amp;""=設定!$C$4,"4/1喪失","その他喪失"))))</f>
        <v/>
      </c>
    </row>
    <row r="1859" customFormat="false" ht="15" hidden="false" customHeight="false" outlineLevel="0" collapsed="false">
      <c r="DB1859" s="0" t="str">
        <f aca="false">IF($A1859="","",IF($A1859&lt;&gt;21,"対象外",IF($AE1859&amp;""="00000000","在職",IF($AE1859&amp;""=設定!$C$4,"4/1喪失","その他喪失"))))</f>
        <v/>
      </c>
    </row>
    <row r="1860" customFormat="false" ht="15" hidden="false" customHeight="false" outlineLevel="0" collapsed="false">
      <c r="DB1860" s="0" t="str">
        <f aca="false">IF($A1860="","",IF($A1860&lt;&gt;21,"対象外",IF($AE1860&amp;""="00000000","在職",IF($AE1860&amp;""=設定!$C$4,"4/1喪失","その他喪失"))))</f>
        <v/>
      </c>
    </row>
    <row r="1861" customFormat="false" ht="15" hidden="false" customHeight="false" outlineLevel="0" collapsed="false">
      <c r="DB1861" s="0" t="str">
        <f aca="false">IF($A1861="","",IF($A1861&lt;&gt;21,"対象外",IF($AE1861&amp;""="00000000","在職",IF($AE1861&amp;""=設定!$C$4,"4/1喪失","その他喪失"))))</f>
        <v/>
      </c>
    </row>
    <row r="1862" customFormat="false" ht="15" hidden="false" customHeight="false" outlineLevel="0" collapsed="false">
      <c r="DB1862" s="0" t="str">
        <f aca="false">IF($A1862="","",IF($A1862&lt;&gt;21,"対象外",IF($AE1862&amp;""="00000000","在職",IF($AE1862&amp;""=設定!$C$4,"4/1喪失","その他喪失"))))</f>
        <v/>
      </c>
    </row>
    <row r="1863" customFormat="false" ht="15" hidden="false" customHeight="false" outlineLevel="0" collapsed="false">
      <c r="DB1863" s="0" t="str">
        <f aca="false">IF($A1863="","",IF($A1863&lt;&gt;21,"対象外",IF($AE1863&amp;""="00000000","在職",IF($AE1863&amp;""=設定!$C$4,"4/1喪失","その他喪失"))))</f>
        <v/>
      </c>
    </row>
    <row r="1864" customFormat="false" ht="15" hidden="false" customHeight="false" outlineLevel="0" collapsed="false">
      <c r="DB1864" s="0" t="str">
        <f aca="false">IF($A1864="","",IF($A1864&lt;&gt;21,"対象外",IF($AE1864&amp;""="00000000","在職",IF($AE1864&amp;""=設定!$C$4,"4/1喪失","その他喪失"))))</f>
        <v/>
      </c>
    </row>
    <row r="1865" customFormat="false" ht="15" hidden="false" customHeight="false" outlineLevel="0" collapsed="false">
      <c r="DB1865" s="0" t="str">
        <f aca="false">IF($A1865="","",IF($A1865&lt;&gt;21,"対象外",IF($AE1865&amp;""="00000000","在職",IF($AE1865&amp;""=設定!$C$4,"4/1喪失","その他喪失"))))</f>
        <v/>
      </c>
    </row>
    <row r="1866" customFormat="false" ht="15" hidden="false" customHeight="false" outlineLevel="0" collapsed="false">
      <c r="DB1866" s="0" t="str">
        <f aca="false">IF($A1866="","",IF($A1866&lt;&gt;21,"対象外",IF($AE1866&amp;""="00000000","在職",IF($AE1866&amp;""=設定!$C$4,"4/1喪失","その他喪失"))))</f>
        <v/>
      </c>
    </row>
    <row r="1867" customFormat="false" ht="15" hidden="false" customHeight="false" outlineLevel="0" collapsed="false">
      <c r="DB1867" s="0" t="str">
        <f aca="false">IF($A1867="","",IF($A1867&lt;&gt;21,"対象外",IF($AE1867&amp;""="00000000","在職",IF($AE1867&amp;""=設定!$C$4,"4/1喪失","その他喪失"))))</f>
        <v/>
      </c>
    </row>
    <row r="1868" customFormat="false" ht="15" hidden="false" customHeight="false" outlineLevel="0" collapsed="false">
      <c r="DB1868" s="0" t="str">
        <f aca="false">IF($A1868="","",IF($A1868&lt;&gt;21,"対象外",IF($AE1868&amp;""="00000000","在職",IF($AE1868&amp;""=設定!$C$4,"4/1喪失","その他喪失"))))</f>
        <v/>
      </c>
    </row>
    <row r="1869" customFormat="false" ht="15" hidden="false" customHeight="false" outlineLevel="0" collapsed="false">
      <c r="DB1869" s="0" t="str">
        <f aca="false">IF($A1869="","",IF($A1869&lt;&gt;21,"対象外",IF($AE1869&amp;""="00000000","在職",IF($AE1869&amp;""=設定!$C$4,"4/1喪失","その他喪失"))))</f>
        <v/>
      </c>
    </row>
    <row r="1870" customFormat="false" ht="15" hidden="false" customHeight="false" outlineLevel="0" collapsed="false">
      <c r="DB1870" s="0" t="str">
        <f aca="false">IF($A1870="","",IF($A1870&lt;&gt;21,"対象外",IF($AE1870&amp;""="00000000","在職",IF($AE1870&amp;""=設定!$C$4,"4/1喪失","その他喪失"))))</f>
        <v/>
      </c>
    </row>
    <row r="1871" customFormat="false" ht="15" hidden="false" customHeight="false" outlineLevel="0" collapsed="false">
      <c r="DB1871" s="0" t="str">
        <f aca="false">IF($A1871="","",IF($A1871&lt;&gt;21,"対象外",IF($AE1871&amp;""="00000000","在職",IF($AE1871&amp;""=設定!$C$4,"4/1喪失","その他喪失"))))</f>
        <v/>
      </c>
    </row>
    <row r="1872" customFormat="false" ht="15" hidden="false" customHeight="false" outlineLevel="0" collapsed="false">
      <c r="DB1872" s="0" t="str">
        <f aca="false">IF($A1872="","",IF($A1872&lt;&gt;21,"対象外",IF($AE1872&amp;""="00000000","在職",IF($AE1872&amp;""=設定!$C$4,"4/1喪失","その他喪失"))))</f>
        <v/>
      </c>
    </row>
    <row r="1873" customFormat="false" ht="15" hidden="false" customHeight="false" outlineLevel="0" collapsed="false">
      <c r="DB1873" s="0" t="str">
        <f aca="false">IF($A1873="","",IF($A1873&lt;&gt;21,"対象外",IF($AE1873&amp;""="00000000","在職",IF($AE1873&amp;""=設定!$C$4,"4/1喪失","その他喪失"))))</f>
        <v/>
      </c>
    </row>
    <row r="1874" customFormat="false" ht="15" hidden="false" customHeight="false" outlineLevel="0" collapsed="false">
      <c r="DB1874" s="0" t="str">
        <f aca="false">IF($A1874="","",IF($A1874&lt;&gt;21,"対象外",IF($AE1874&amp;""="00000000","在職",IF($AE1874&amp;""=設定!$C$4,"4/1喪失","その他喪失"))))</f>
        <v/>
      </c>
    </row>
    <row r="1875" customFormat="false" ht="15" hidden="false" customHeight="false" outlineLevel="0" collapsed="false">
      <c r="DB1875" s="0" t="str">
        <f aca="false">IF($A1875="","",IF($A1875&lt;&gt;21,"対象外",IF($AE1875&amp;""="00000000","在職",IF($AE1875&amp;""=設定!$C$4,"4/1喪失","その他喪失"))))</f>
        <v/>
      </c>
    </row>
    <row r="1876" customFormat="false" ht="15" hidden="false" customHeight="false" outlineLevel="0" collapsed="false">
      <c r="DB1876" s="0" t="str">
        <f aca="false">IF($A1876="","",IF($A1876&lt;&gt;21,"対象外",IF($AE1876&amp;""="00000000","在職",IF($AE1876&amp;""=設定!$C$4,"4/1喪失","その他喪失"))))</f>
        <v/>
      </c>
    </row>
    <row r="1877" customFormat="false" ht="15" hidden="false" customHeight="false" outlineLevel="0" collapsed="false">
      <c r="DB1877" s="0" t="str">
        <f aca="false">IF($A1877="","",IF($A1877&lt;&gt;21,"対象外",IF($AE1877&amp;""="00000000","在職",IF($AE1877&amp;""=設定!$C$4,"4/1喪失","その他喪失"))))</f>
        <v/>
      </c>
    </row>
    <row r="1878" customFormat="false" ht="15" hidden="false" customHeight="false" outlineLevel="0" collapsed="false">
      <c r="DB1878" s="0" t="str">
        <f aca="false">IF($A1878="","",IF($A1878&lt;&gt;21,"対象外",IF($AE1878&amp;""="00000000","在職",IF($AE1878&amp;""=設定!$C$4,"4/1喪失","その他喪失"))))</f>
        <v/>
      </c>
    </row>
    <row r="1879" customFormat="false" ht="15" hidden="false" customHeight="false" outlineLevel="0" collapsed="false">
      <c r="DB1879" s="0" t="str">
        <f aca="false">IF($A1879="","",IF($A1879&lt;&gt;21,"対象外",IF($AE1879&amp;""="00000000","在職",IF($AE1879&amp;""=設定!$C$4,"4/1喪失","その他喪失"))))</f>
        <v/>
      </c>
    </row>
    <row r="1880" customFormat="false" ht="15" hidden="false" customHeight="false" outlineLevel="0" collapsed="false">
      <c r="DB1880" s="0" t="str">
        <f aca="false">IF($A1880="","",IF($A1880&lt;&gt;21,"対象外",IF($AE1880&amp;""="00000000","在職",IF($AE1880&amp;""=設定!$C$4,"4/1喪失","その他喪失"))))</f>
        <v/>
      </c>
    </row>
    <row r="1881" customFormat="false" ht="15" hidden="false" customHeight="false" outlineLevel="0" collapsed="false">
      <c r="DB1881" s="0" t="str">
        <f aca="false">IF($A1881="","",IF($A1881&lt;&gt;21,"対象外",IF($AE1881&amp;""="00000000","在職",IF($AE1881&amp;""=設定!$C$4,"4/1喪失","その他喪失"))))</f>
        <v/>
      </c>
    </row>
    <row r="1882" customFormat="false" ht="15" hidden="false" customHeight="false" outlineLevel="0" collapsed="false">
      <c r="DB1882" s="0" t="str">
        <f aca="false">IF($A1882="","",IF($A1882&lt;&gt;21,"対象外",IF($AE1882&amp;""="00000000","在職",IF($AE1882&amp;""=設定!$C$4,"4/1喪失","その他喪失"))))</f>
        <v/>
      </c>
    </row>
    <row r="1883" customFormat="false" ht="15" hidden="false" customHeight="false" outlineLevel="0" collapsed="false">
      <c r="DB1883" s="0" t="str">
        <f aca="false">IF($A1883="","",IF($A1883&lt;&gt;21,"対象外",IF($AE1883&amp;""="00000000","在職",IF($AE1883&amp;""=設定!$C$4,"4/1喪失","その他喪失"))))</f>
        <v/>
      </c>
    </row>
    <row r="1884" customFormat="false" ht="15" hidden="false" customHeight="false" outlineLevel="0" collapsed="false">
      <c r="DB1884" s="0" t="str">
        <f aca="false">IF($A1884="","",IF($A1884&lt;&gt;21,"対象外",IF($AE1884&amp;""="00000000","在職",IF($AE1884&amp;""=設定!$C$4,"4/1喪失","その他喪失"))))</f>
        <v/>
      </c>
    </row>
    <row r="1885" customFormat="false" ht="15" hidden="false" customHeight="false" outlineLevel="0" collapsed="false">
      <c r="DB1885" s="0" t="str">
        <f aca="false">IF($A1885="","",IF($A1885&lt;&gt;21,"対象外",IF($AE1885&amp;""="00000000","在職",IF($AE1885&amp;""=設定!$C$4,"4/1喪失","その他喪失"))))</f>
        <v/>
      </c>
    </row>
    <row r="1886" customFormat="false" ht="15" hidden="false" customHeight="false" outlineLevel="0" collapsed="false">
      <c r="DB1886" s="0" t="str">
        <f aca="false">IF($A1886="","",IF($A1886&lt;&gt;21,"対象外",IF($AE1886&amp;""="00000000","在職",IF($AE1886&amp;""=設定!$C$4,"4/1喪失","その他喪失"))))</f>
        <v/>
      </c>
    </row>
    <row r="1887" customFormat="false" ht="15" hidden="false" customHeight="false" outlineLevel="0" collapsed="false">
      <c r="DB1887" s="0" t="str">
        <f aca="false">IF($A1887="","",IF($A1887&lt;&gt;21,"対象外",IF($AE1887&amp;""="00000000","在職",IF($AE1887&amp;""=設定!$C$4,"4/1喪失","その他喪失"))))</f>
        <v/>
      </c>
    </row>
    <row r="1888" customFormat="false" ht="15" hidden="false" customHeight="false" outlineLevel="0" collapsed="false">
      <c r="DB1888" s="0" t="str">
        <f aca="false">IF($A1888="","",IF($A1888&lt;&gt;21,"対象外",IF($AE1888&amp;""="00000000","在職",IF($AE1888&amp;""=設定!$C$4,"4/1喪失","その他喪失"))))</f>
        <v/>
      </c>
    </row>
    <row r="1889" customFormat="false" ht="15" hidden="false" customHeight="false" outlineLevel="0" collapsed="false">
      <c r="DB1889" s="0" t="str">
        <f aca="false">IF($A1889="","",IF($A1889&lt;&gt;21,"対象外",IF($AE1889&amp;""="00000000","在職",IF($AE1889&amp;""=設定!$C$4,"4/1喪失","その他喪失"))))</f>
        <v/>
      </c>
    </row>
    <row r="1890" customFormat="false" ht="15" hidden="false" customHeight="false" outlineLevel="0" collapsed="false">
      <c r="DB1890" s="0" t="str">
        <f aca="false">IF($A1890="","",IF($A1890&lt;&gt;21,"対象外",IF($AE1890&amp;""="00000000","在職",IF($AE1890&amp;""=設定!$C$4,"4/1喪失","その他喪失"))))</f>
        <v/>
      </c>
    </row>
    <row r="1891" customFormat="false" ht="15" hidden="false" customHeight="false" outlineLevel="0" collapsed="false">
      <c r="DB1891" s="0" t="str">
        <f aca="false">IF($A1891="","",IF($A1891&lt;&gt;21,"対象外",IF($AE1891&amp;""="00000000","在職",IF($AE1891&amp;""=設定!$C$4,"4/1喪失","その他喪失"))))</f>
        <v/>
      </c>
    </row>
    <row r="1892" customFormat="false" ht="15" hidden="false" customHeight="false" outlineLevel="0" collapsed="false">
      <c r="DB1892" s="0" t="str">
        <f aca="false">IF($A1892="","",IF($A1892&lt;&gt;21,"対象外",IF($AE1892&amp;""="00000000","在職",IF($AE1892&amp;""=設定!$C$4,"4/1喪失","その他喪失"))))</f>
        <v/>
      </c>
    </row>
    <row r="1893" customFormat="false" ht="15" hidden="false" customHeight="false" outlineLevel="0" collapsed="false">
      <c r="DB1893" s="0" t="str">
        <f aca="false">IF($A1893="","",IF($A1893&lt;&gt;21,"対象外",IF($AE1893&amp;""="00000000","在職",IF($AE1893&amp;""=設定!$C$4,"4/1喪失","その他喪失"))))</f>
        <v/>
      </c>
    </row>
    <row r="1894" customFormat="false" ht="15" hidden="false" customHeight="false" outlineLevel="0" collapsed="false">
      <c r="DB1894" s="0" t="str">
        <f aca="false">IF($A1894="","",IF($A1894&lt;&gt;21,"対象外",IF($AE1894&amp;""="00000000","在職",IF($AE1894&amp;""=設定!$C$4,"4/1喪失","その他喪失"))))</f>
        <v/>
      </c>
    </row>
    <row r="1895" customFormat="false" ht="15" hidden="false" customHeight="false" outlineLevel="0" collapsed="false">
      <c r="DB1895" s="0" t="str">
        <f aca="false">IF($A1895="","",IF($A1895&lt;&gt;21,"対象外",IF($AE1895&amp;""="00000000","在職",IF($AE1895&amp;""=設定!$C$4,"4/1喪失","その他喪失"))))</f>
        <v/>
      </c>
    </row>
    <row r="1896" customFormat="false" ht="15" hidden="false" customHeight="false" outlineLevel="0" collapsed="false">
      <c r="DB1896" s="0" t="str">
        <f aca="false">IF($A1896="","",IF($A1896&lt;&gt;21,"対象外",IF($AE1896&amp;""="00000000","在職",IF($AE1896&amp;""=設定!$C$4,"4/1喪失","その他喪失"))))</f>
        <v/>
      </c>
    </row>
    <row r="1897" customFormat="false" ht="15" hidden="false" customHeight="false" outlineLevel="0" collapsed="false">
      <c r="DB1897" s="0" t="str">
        <f aca="false">IF($A1897="","",IF($A1897&lt;&gt;21,"対象外",IF($AE1897&amp;""="00000000","在職",IF($AE1897&amp;""=設定!$C$4,"4/1喪失","その他喪失"))))</f>
        <v/>
      </c>
    </row>
    <row r="1898" customFormat="false" ht="15" hidden="false" customHeight="false" outlineLevel="0" collapsed="false">
      <c r="DB1898" s="0" t="str">
        <f aca="false">IF($A1898="","",IF($A1898&lt;&gt;21,"対象外",IF($AE1898&amp;""="00000000","在職",IF($AE1898&amp;""=設定!$C$4,"4/1喪失","その他喪失"))))</f>
        <v/>
      </c>
    </row>
    <row r="1899" customFormat="false" ht="15" hidden="false" customHeight="false" outlineLevel="0" collapsed="false">
      <c r="DB1899" s="0" t="str">
        <f aca="false">IF($A1899="","",IF($A1899&lt;&gt;21,"対象外",IF($AE1899&amp;""="00000000","在職",IF($AE1899&amp;""=設定!$C$4,"4/1喪失","その他喪失"))))</f>
        <v/>
      </c>
    </row>
    <row r="1900" customFormat="false" ht="15" hidden="false" customHeight="false" outlineLevel="0" collapsed="false">
      <c r="DB1900" s="0" t="str">
        <f aca="false">IF($A1900="","",IF($A1900&lt;&gt;21,"対象外",IF($AE1900&amp;""="00000000","在職",IF($AE1900&amp;""=設定!$C$4,"4/1喪失","その他喪失"))))</f>
        <v/>
      </c>
    </row>
    <row r="1901" customFormat="false" ht="15" hidden="false" customHeight="false" outlineLevel="0" collapsed="false">
      <c r="DB1901" s="0" t="str">
        <f aca="false">IF($A1901="","",IF($A1901&lt;&gt;21,"対象外",IF($AE1901&amp;""="00000000","在職",IF($AE1901&amp;""=設定!$C$4,"4/1喪失","その他喪失"))))</f>
        <v/>
      </c>
    </row>
    <row r="1902" customFormat="false" ht="15" hidden="false" customHeight="false" outlineLevel="0" collapsed="false">
      <c r="DB1902" s="0" t="str">
        <f aca="false">IF($A1902="","",IF($A1902&lt;&gt;21,"対象外",IF($AE1902&amp;""="00000000","在職",IF($AE1902&amp;""=設定!$C$4,"4/1喪失","その他喪失"))))</f>
        <v/>
      </c>
    </row>
    <row r="1903" customFormat="false" ht="15" hidden="false" customHeight="false" outlineLevel="0" collapsed="false">
      <c r="DB1903" s="0" t="str">
        <f aca="false">IF($A1903="","",IF($A1903&lt;&gt;21,"対象外",IF($AE1903&amp;""="00000000","在職",IF($AE1903&amp;""=設定!$C$4,"4/1喪失","その他喪失"))))</f>
        <v/>
      </c>
    </row>
    <row r="1904" customFormat="false" ht="15" hidden="false" customHeight="false" outlineLevel="0" collapsed="false">
      <c r="DB1904" s="0" t="str">
        <f aca="false">IF($A1904="","",IF($A1904&lt;&gt;21,"対象外",IF($AE1904&amp;""="00000000","在職",IF($AE1904&amp;""=設定!$C$4,"4/1喪失","その他喪失"))))</f>
        <v/>
      </c>
    </row>
    <row r="1905" customFormat="false" ht="15" hidden="false" customHeight="false" outlineLevel="0" collapsed="false">
      <c r="DB1905" s="0" t="str">
        <f aca="false">IF($A1905="","",IF($A1905&lt;&gt;21,"対象外",IF($AE1905&amp;""="00000000","在職",IF($AE1905&amp;""=設定!$C$4,"4/1喪失","その他喪失"))))</f>
        <v/>
      </c>
    </row>
    <row r="1906" customFormat="false" ht="15" hidden="false" customHeight="false" outlineLevel="0" collapsed="false">
      <c r="DB1906" s="0" t="str">
        <f aca="false">IF($A1906="","",IF($A1906&lt;&gt;21,"対象外",IF($AE1906&amp;""="00000000","在職",IF($AE1906&amp;""=設定!$C$4,"4/1喪失","その他喪失"))))</f>
        <v/>
      </c>
    </row>
    <row r="1907" customFormat="false" ht="15" hidden="false" customHeight="false" outlineLevel="0" collapsed="false">
      <c r="DB1907" s="0" t="str">
        <f aca="false">IF($A1907="","",IF($A1907&lt;&gt;21,"対象外",IF($AE1907&amp;""="00000000","在職",IF($AE1907&amp;""=設定!$C$4,"4/1喪失","その他喪失"))))</f>
        <v/>
      </c>
    </row>
    <row r="1908" customFormat="false" ht="15" hidden="false" customHeight="false" outlineLevel="0" collapsed="false">
      <c r="DB1908" s="0" t="str">
        <f aca="false">IF($A1908="","",IF($A1908&lt;&gt;21,"対象外",IF($AE1908&amp;""="00000000","在職",IF($AE1908&amp;""=設定!$C$4,"4/1喪失","その他喪失"))))</f>
        <v/>
      </c>
    </row>
    <row r="1909" customFormat="false" ht="15" hidden="false" customHeight="false" outlineLevel="0" collapsed="false">
      <c r="DB1909" s="0" t="str">
        <f aca="false">IF($A1909="","",IF($A1909&lt;&gt;21,"対象外",IF($AE1909&amp;""="00000000","在職",IF($AE1909&amp;""=設定!$C$4,"4/1喪失","その他喪失"))))</f>
        <v/>
      </c>
    </row>
    <row r="1910" customFormat="false" ht="15" hidden="false" customHeight="false" outlineLevel="0" collapsed="false">
      <c r="DB1910" s="0" t="str">
        <f aca="false">IF($A1910="","",IF($A1910&lt;&gt;21,"対象外",IF($AE1910&amp;""="00000000","在職",IF($AE1910&amp;""=設定!$C$4,"4/1喪失","その他喪失"))))</f>
        <v/>
      </c>
    </row>
    <row r="1911" customFormat="false" ht="15" hidden="false" customHeight="false" outlineLevel="0" collapsed="false">
      <c r="DB1911" s="0" t="str">
        <f aca="false">IF($A1911="","",IF($A1911&lt;&gt;21,"対象外",IF($AE1911&amp;""="00000000","在職",IF($AE1911&amp;""=設定!$C$4,"4/1喪失","その他喪失"))))</f>
        <v/>
      </c>
    </row>
    <row r="1912" customFormat="false" ht="15" hidden="false" customHeight="false" outlineLevel="0" collapsed="false">
      <c r="DB1912" s="0" t="str">
        <f aca="false">IF($A1912="","",IF($A1912&lt;&gt;21,"対象外",IF($AE1912&amp;""="00000000","在職",IF($AE1912&amp;""=設定!$C$4,"4/1喪失","その他喪失"))))</f>
        <v/>
      </c>
    </row>
    <row r="1913" customFormat="false" ht="15" hidden="false" customHeight="false" outlineLevel="0" collapsed="false">
      <c r="DB1913" s="0" t="str">
        <f aca="false">IF($A1913="","",IF($A1913&lt;&gt;21,"対象外",IF($AE1913&amp;""="00000000","在職",IF($AE1913&amp;""=設定!$C$4,"4/1喪失","その他喪失"))))</f>
        <v/>
      </c>
    </row>
    <row r="1914" customFormat="false" ht="15" hidden="false" customHeight="false" outlineLevel="0" collapsed="false">
      <c r="DB1914" s="0" t="str">
        <f aca="false">IF($A1914="","",IF($A1914&lt;&gt;21,"対象外",IF($AE1914&amp;""="00000000","在職",IF($AE1914&amp;""=設定!$C$4,"4/1喪失","その他喪失"))))</f>
        <v/>
      </c>
    </row>
    <row r="1915" customFormat="false" ht="15" hidden="false" customHeight="false" outlineLevel="0" collapsed="false">
      <c r="DB1915" s="0" t="str">
        <f aca="false">IF($A1915="","",IF($A1915&lt;&gt;21,"対象外",IF($AE1915&amp;""="00000000","在職",IF($AE1915&amp;""=設定!$C$4,"4/1喪失","その他喪失"))))</f>
        <v/>
      </c>
    </row>
    <row r="1916" customFormat="false" ht="15" hidden="false" customHeight="false" outlineLevel="0" collapsed="false">
      <c r="DB1916" s="0" t="str">
        <f aca="false">IF($A1916="","",IF($A1916&lt;&gt;21,"対象外",IF($AE1916&amp;""="00000000","在職",IF($AE1916&amp;""=設定!$C$4,"4/1喪失","その他喪失"))))</f>
        <v/>
      </c>
    </row>
    <row r="1917" customFormat="false" ht="15" hidden="false" customHeight="false" outlineLevel="0" collapsed="false">
      <c r="DB1917" s="0" t="str">
        <f aca="false">IF($A1917="","",IF($A1917&lt;&gt;21,"対象外",IF($AE1917&amp;""="00000000","在職",IF($AE1917&amp;""=設定!$C$4,"4/1喪失","その他喪失"))))</f>
        <v/>
      </c>
    </row>
    <row r="1918" customFormat="false" ht="15" hidden="false" customHeight="false" outlineLevel="0" collapsed="false">
      <c r="DB1918" s="0" t="str">
        <f aca="false">IF($A1918="","",IF($A1918&lt;&gt;21,"対象外",IF($AE1918&amp;""="00000000","在職",IF($AE1918&amp;""=設定!$C$4,"4/1喪失","その他喪失"))))</f>
        <v/>
      </c>
    </row>
    <row r="1919" customFormat="false" ht="15" hidden="false" customHeight="false" outlineLevel="0" collapsed="false">
      <c r="DB1919" s="0" t="str">
        <f aca="false">IF($A1919="","",IF($A1919&lt;&gt;21,"対象外",IF($AE1919&amp;""="00000000","在職",IF($AE1919&amp;""=設定!$C$4,"4/1喪失","その他喪失"))))</f>
        <v/>
      </c>
    </row>
    <row r="1920" customFormat="false" ht="15" hidden="false" customHeight="false" outlineLevel="0" collapsed="false">
      <c r="DB1920" s="0" t="str">
        <f aca="false">IF($A1920="","",IF($A1920&lt;&gt;21,"対象外",IF($AE1920&amp;""="00000000","在職",IF($AE1920&amp;""=設定!$C$4,"4/1喪失","その他喪失"))))</f>
        <v/>
      </c>
    </row>
    <row r="1921" customFormat="false" ht="15" hidden="false" customHeight="false" outlineLevel="0" collapsed="false">
      <c r="DB1921" s="0" t="str">
        <f aca="false">IF($A1921="","",IF($A1921&lt;&gt;21,"対象外",IF($AE1921&amp;""="00000000","在職",IF($AE1921&amp;""=設定!$C$4,"4/1喪失","その他喪失"))))</f>
        <v/>
      </c>
    </row>
    <row r="1922" customFormat="false" ht="15" hidden="false" customHeight="false" outlineLevel="0" collapsed="false">
      <c r="DB1922" s="0" t="str">
        <f aca="false">IF($A1922="","",IF($A1922&lt;&gt;21,"対象外",IF($AE1922&amp;""="00000000","在職",IF($AE1922&amp;""=設定!$C$4,"4/1喪失","その他喪失"))))</f>
        <v/>
      </c>
    </row>
    <row r="1923" customFormat="false" ht="15" hidden="false" customHeight="false" outlineLevel="0" collapsed="false">
      <c r="DB1923" s="0" t="str">
        <f aca="false">IF($A1923="","",IF($A1923&lt;&gt;21,"対象外",IF($AE1923&amp;""="00000000","在職",IF($AE1923&amp;""=設定!$C$4,"4/1喪失","その他喪失"))))</f>
        <v/>
      </c>
    </row>
    <row r="1924" customFormat="false" ht="15" hidden="false" customHeight="false" outlineLevel="0" collapsed="false">
      <c r="DB1924" s="0" t="str">
        <f aca="false">IF($A1924="","",IF($A1924&lt;&gt;21,"対象外",IF($AE1924&amp;""="00000000","在職",IF($AE1924&amp;""=設定!$C$4,"4/1喪失","その他喪失"))))</f>
        <v/>
      </c>
    </row>
    <row r="1925" customFormat="false" ht="15" hidden="false" customHeight="false" outlineLevel="0" collapsed="false">
      <c r="DB1925" s="0" t="str">
        <f aca="false">IF($A1925="","",IF($A1925&lt;&gt;21,"対象外",IF($AE1925&amp;""="00000000","在職",IF($AE1925&amp;""=設定!$C$4,"4/1喪失","その他喪失"))))</f>
        <v/>
      </c>
    </row>
    <row r="1926" customFormat="false" ht="15" hidden="false" customHeight="false" outlineLevel="0" collapsed="false">
      <c r="DB1926" s="0" t="str">
        <f aca="false">IF($A1926="","",IF($A1926&lt;&gt;21,"対象外",IF($AE1926&amp;""="00000000","在職",IF($AE1926&amp;""=設定!$C$4,"4/1喪失","その他喪失"))))</f>
        <v/>
      </c>
    </row>
    <row r="1927" customFormat="false" ht="15" hidden="false" customHeight="false" outlineLevel="0" collapsed="false">
      <c r="DB1927" s="0" t="str">
        <f aca="false">IF($A1927="","",IF($A1927&lt;&gt;21,"対象外",IF($AE1927&amp;""="00000000","在職",IF($AE1927&amp;""=設定!$C$4,"4/1喪失","その他喪失"))))</f>
        <v/>
      </c>
    </row>
    <row r="1928" customFormat="false" ht="15" hidden="false" customHeight="false" outlineLevel="0" collapsed="false">
      <c r="DB1928" s="0" t="str">
        <f aca="false">IF($A1928="","",IF($A1928&lt;&gt;21,"対象外",IF($AE1928&amp;""="00000000","在職",IF($AE1928&amp;""=設定!$C$4,"4/1喪失","その他喪失"))))</f>
        <v/>
      </c>
    </row>
    <row r="1929" customFormat="false" ht="15" hidden="false" customHeight="false" outlineLevel="0" collapsed="false">
      <c r="DB1929" s="0" t="str">
        <f aca="false">IF($A1929="","",IF($A1929&lt;&gt;21,"対象外",IF($AE1929&amp;""="00000000","在職",IF($AE1929&amp;""=設定!$C$4,"4/1喪失","その他喪失"))))</f>
        <v/>
      </c>
    </row>
    <row r="1930" customFormat="false" ht="15" hidden="false" customHeight="false" outlineLevel="0" collapsed="false">
      <c r="DB1930" s="0" t="str">
        <f aca="false">IF($A1930="","",IF($A1930&lt;&gt;21,"対象外",IF($AE1930&amp;""="00000000","在職",IF($AE1930&amp;""=設定!$C$4,"4/1喪失","その他喪失"))))</f>
        <v/>
      </c>
    </row>
    <row r="1931" customFormat="false" ht="15" hidden="false" customHeight="false" outlineLevel="0" collapsed="false">
      <c r="DB1931" s="0" t="str">
        <f aca="false">IF($A1931="","",IF($A1931&lt;&gt;21,"対象外",IF($AE1931&amp;""="00000000","在職",IF($AE1931&amp;""=設定!$C$4,"4/1喪失","その他喪失"))))</f>
        <v/>
      </c>
    </row>
    <row r="1932" customFormat="false" ht="15" hidden="false" customHeight="false" outlineLevel="0" collapsed="false">
      <c r="DB1932" s="0" t="str">
        <f aca="false">IF($A1932="","",IF($A1932&lt;&gt;21,"対象外",IF($AE1932&amp;""="00000000","在職",IF($AE1932&amp;""=設定!$C$4,"4/1喪失","その他喪失"))))</f>
        <v/>
      </c>
    </row>
    <row r="1933" customFormat="false" ht="15" hidden="false" customHeight="false" outlineLevel="0" collapsed="false">
      <c r="DB1933" s="0" t="str">
        <f aca="false">IF($A1933="","",IF($A1933&lt;&gt;21,"対象外",IF($AE1933&amp;""="00000000","在職",IF($AE1933&amp;""=設定!$C$4,"4/1喪失","その他喪失"))))</f>
        <v/>
      </c>
    </row>
    <row r="1934" customFormat="false" ht="15" hidden="false" customHeight="false" outlineLevel="0" collapsed="false">
      <c r="DB1934" s="0" t="str">
        <f aca="false">IF($A1934="","",IF($A1934&lt;&gt;21,"対象外",IF($AE1934&amp;""="00000000","在職",IF($AE1934&amp;""=設定!$C$4,"4/1喪失","その他喪失"))))</f>
        <v/>
      </c>
    </row>
    <row r="1935" customFormat="false" ht="15" hidden="false" customHeight="false" outlineLevel="0" collapsed="false">
      <c r="DB1935" s="0" t="str">
        <f aca="false">IF($A1935="","",IF($A1935&lt;&gt;21,"対象外",IF($AE1935&amp;""="00000000","在職",IF($AE1935&amp;""=設定!$C$4,"4/1喪失","その他喪失"))))</f>
        <v/>
      </c>
    </row>
    <row r="1936" customFormat="false" ht="15" hidden="false" customHeight="false" outlineLevel="0" collapsed="false">
      <c r="DB1936" s="0" t="str">
        <f aca="false">IF($A1936="","",IF($A1936&lt;&gt;21,"対象外",IF($AE1936&amp;""="00000000","在職",IF($AE1936&amp;""=設定!$C$4,"4/1喪失","その他喪失"))))</f>
        <v/>
      </c>
    </row>
    <row r="1937" customFormat="false" ht="15" hidden="false" customHeight="false" outlineLevel="0" collapsed="false">
      <c r="DB1937" s="0" t="str">
        <f aca="false">IF($A1937="","",IF($A1937&lt;&gt;21,"対象外",IF($AE1937&amp;""="00000000","在職",IF($AE1937&amp;""=設定!$C$4,"4/1喪失","その他喪失"))))</f>
        <v/>
      </c>
    </row>
    <row r="1938" customFormat="false" ht="15" hidden="false" customHeight="false" outlineLevel="0" collapsed="false">
      <c r="DB1938" s="0" t="str">
        <f aca="false">IF($A1938="","",IF($A1938&lt;&gt;21,"対象外",IF($AE1938&amp;""="00000000","在職",IF($AE1938&amp;""=設定!$C$4,"4/1喪失","その他喪失"))))</f>
        <v/>
      </c>
    </row>
    <row r="1939" customFormat="false" ht="15" hidden="false" customHeight="false" outlineLevel="0" collapsed="false">
      <c r="DB1939" s="0" t="str">
        <f aca="false">IF($A1939="","",IF($A1939&lt;&gt;21,"対象外",IF($AE1939&amp;""="00000000","在職",IF($AE1939&amp;""=設定!$C$4,"4/1喪失","その他喪失"))))</f>
        <v/>
      </c>
    </row>
    <row r="1940" customFormat="false" ht="15" hidden="false" customHeight="false" outlineLevel="0" collapsed="false">
      <c r="DB1940" s="0" t="str">
        <f aca="false">IF($A1940="","",IF($A1940&lt;&gt;21,"対象外",IF($AE1940&amp;""="00000000","在職",IF($AE1940&amp;""=設定!$C$4,"4/1喪失","その他喪失"))))</f>
        <v/>
      </c>
    </row>
    <row r="1941" customFormat="false" ht="15" hidden="false" customHeight="false" outlineLevel="0" collapsed="false">
      <c r="DB1941" s="0" t="str">
        <f aca="false">IF($A1941="","",IF($A1941&lt;&gt;21,"対象外",IF($AE1941&amp;""="00000000","在職",IF($AE1941&amp;""=設定!$C$4,"4/1喪失","その他喪失"))))</f>
        <v/>
      </c>
    </row>
    <row r="1942" customFormat="false" ht="15" hidden="false" customHeight="false" outlineLevel="0" collapsed="false">
      <c r="DB1942" s="0" t="str">
        <f aca="false">IF($A1942="","",IF($A1942&lt;&gt;21,"対象外",IF($AE1942&amp;""="00000000","在職",IF($AE1942&amp;""=設定!$C$4,"4/1喪失","その他喪失"))))</f>
        <v/>
      </c>
    </row>
    <row r="1943" customFormat="false" ht="15" hidden="false" customHeight="false" outlineLevel="0" collapsed="false">
      <c r="DB1943" s="0" t="str">
        <f aca="false">IF($A1943="","",IF($A1943&lt;&gt;21,"対象外",IF($AE1943&amp;""="00000000","在職",IF($AE1943&amp;""=設定!$C$4,"4/1喪失","その他喪失"))))</f>
        <v/>
      </c>
    </row>
    <row r="1944" customFormat="false" ht="15" hidden="false" customHeight="false" outlineLevel="0" collapsed="false">
      <c r="DB1944" s="0" t="str">
        <f aca="false">IF($A1944="","",IF($A1944&lt;&gt;21,"対象外",IF($AE1944&amp;""="00000000","在職",IF($AE1944&amp;""=設定!$C$4,"4/1喪失","その他喪失"))))</f>
        <v/>
      </c>
    </row>
    <row r="1945" customFormat="false" ht="15" hidden="false" customHeight="false" outlineLevel="0" collapsed="false">
      <c r="DB1945" s="0" t="str">
        <f aca="false">IF($A1945="","",IF($A1945&lt;&gt;21,"対象外",IF($AE1945&amp;""="00000000","在職",IF($AE1945&amp;""=設定!$C$4,"4/1喪失","その他喪失"))))</f>
        <v/>
      </c>
    </row>
    <row r="1946" customFormat="false" ht="15" hidden="false" customHeight="false" outlineLevel="0" collapsed="false">
      <c r="DB1946" s="0" t="str">
        <f aca="false">IF($A1946="","",IF($A1946&lt;&gt;21,"対象外",IF($AE1946&amp;""="00000000","在職",IF($AE1946&amp;""=設定!$C$4,"4/1喪失","その他喪失"))))</f>
        <v/>
      </c>
    </row>
    <row r="1947" customFormat="false" ht="15" hidden="false" customHeight="false" outlineLevel="0" collapsed="false">
      <c r="DB1947" s="0" t="str">
        <f aca="false">IF($A1947="","",IF($A1947&lt;&gt;21,"対象外",IF($AE1947&amp;""="00000000","在職",IF($AE1947&amp;""=設定!$C$4,"4/1喪失","その他喪失"))))</f>
        <v/>
      </c>
    </row>
    <row r="1948" customFormat="false" ht="15" hidden="false" customHeight="false" outlineLevel="0" collapsed="false">
      <c r="DB1948" s="0" t="str">
        <f aca="false">IF($A1948="","",IF($A1948&lt;&gt;21,"対象外",IF($AE1948&amp;""="00000000","在職",IF($AE1948&amp;""=設定!$C$4,"4/1喪失","その他喪失"))))</f>
        <v/>
      </c>
    </row>
    <row r="1949" customFormat="false" ht="15" hidden="false" customHeight="false" outlineLevel="0" collapsed="false">
      <c r="DB1949" s="0" t="str">
        <f aca="false">IF($A1949="","",IF($A1949&lt;&gt;21,"対象外",IF($AE1949&amp;""="00000000","在職",IF($AE1949&amp;""=設定!$C$4,"4/1喪失","その他喪失"))))</f>
        <v/>
      </c>
    </row>
    <row r="1950" customFormat="false" ht="15" hidden="false" customHeight="false" outlineLevel="0" collapsed="false">
      <c r="DB1950" s="0" t="str">
        <f aca="false">IF($A1950="","",IF($A1950&lt;&gt;21,"対象外",IF($AE1950&amp;""="00000000","在職",IF($AE1950&amp;""=設定!$C$4,"4/1喪失","その他喪失"))))</f>
        <v/>
      </c>
    </row>
    <row r="1951" customFormat="false" ht="15" hidden="false" customHeight="false" outlineLevel="0" collapsed="false">
      <c r="DB1951" s="0" t="str">
        <f aca="false">IF($A1951="","",IF($A1951&lt;&gt;21,"対象外",IF($AE1951&amp;""="00000000","在職",IF($AE1951&amp;""=設定!$C$4,"4/1喪失","その他喪失"))))</f>
        <v/>
      </c>
    </row>
    <row r="1952" customFormat="false" ht="15" hidden="false" customHeight="false" outlineLevel="0" collapsed="false">
      <c r="DB1952" s="0" t="str">
        <f aca="false">IF($A1952="","",IF($A1952&lt;&gt;21,"対象外",IF($AE1952&amp;""="00000000","在職",IF($AE1952&amp;""=設定!$C$4,"4/1喪失","その他喪失"))))</f>
        <v/>
      </c>
    </row>
    <row r="1953" customFormat="false" ht="15" hidden="false" customHeight="false" outlineLevel="0" collapsed="false">
      <c r="DB1953" s="0" t="str">
        <f aca="false">IF($A1953="","",IF($A1953&lt;&gt;21,"対象外",IF($AE1953&amp;""="00000000","在職",IF($AE1953&amp;""=設定!$C$4,"4/1喪失","その他喪失"))))</f>
        <v/>
      </c>
    </row>
    <row r="1954" customFormat="false" ht="15" hidden="false" customHeight="false" outlineLevel="0" collapsed="false">
      <c r="DB1954" s="0" t="str">
        <f aca="false">IF($A1954="","",IF($A1954&lt;&gt;21,"対象外",IF($AE1954&amp;""="00000000","在職",IF($AE1954&amp;""=設定!$C$4,"4/1喪失","その他喪失"))))</f>
        <v/>
      </c>
    </row>
    <row r="1955" customFormat="false" ht="15" hidden="false" customHeight="false" outlineLevel="0" collapsed="false">
      <c r="DB1955" s="0" t="str">
        <f aca="false">IF($A1955="","",IF($A1955&lt;&gt;21,"対象外",IF($AE1955&amp;""="00000000","在職",IF($AE1955&amp;""=設定!$C$4,"4/1喪失","その他喪失"))))</f>
        <v/>
      </c>
    </row>
    <row r="1956" customFormat="false" ht="15" hidden="false" customHeight="false" outlineLevel="0" collapsed="false">
      <c r="DB1956" s="0" t="str">
        <f aca="false">IF($A1956="","",IF($A1956&lt;&gt;21,"対象外",IF($AE1956&amp;""="00000000","在職",IF($AE1956&amp;""=設定!$C$4,"4/1喪失","その他喪失"))))</f>
        <v/>
      </c>
    </row>
    <row r="1957" customFormat="false" ht="15" hidden="false" customHeight="false" outlineLevel="0" collapsed="false">
      <c r="DB1957" s="0" t="str">
        <f aca="false">IF($A1957="","",IF($A1957&lt;&gt;21,"対象外",IF($AE1957&amp;""="00000000","在職",IF($AE1957&amp;""=設定!$C$4,"4/1喪失","その他喪失"))))</f>
        <v/>
      </c>
    </row>
    <row r="1958" customFormat="false" ht="15" hidden="false" customHeight="false" outlineLevel="0" collapsed="false">
      <c r="DB1958" s="0" t="str">
        <f aca="false">IF($A1958="","",IF($A1958&lt;&gt;21,"対象外",IF($AE1958&amp;""="00000000","在職",IF($AE1958&amp;""=設定!$C$4,"4/1喪失","その他喪失"))))</f>
        <v/>
      </c>
    </row>
    <row r="1959" customFormat="false" ht="15" hidden="false" customHeight="false" outlineLevel="0" collapsed="false">
      <c r="DB1959" s="0" t="str">
        <f aca="false">IF($A1959="","",IF($A1959&lt;&gt;21,"対象外",IF($AE1959&amp;""="00000000","在職",IF($AE1959&amp;""=設定!$C$4,"4/1喪失","その他喪失"))))</f>
        <v/>
      </c>
    </row>
    <row r="1960" customFormat="false" ht="15" hidden="false" customHeight="false" outlineLevel="0" collapsed="false">
      <c r="DB1960" s="0" t="str">
        <f aca="false">IF($A1960="","",IF($A1960&lt;&gt;21,"対象外",IF($AE1960&amp;""="00000000","在職",IF($AE1960&amp;""=設定!$C$4,"4/1喪失","その他喪失"))))</f>
        <v/>
      </c>
    </row>
    <row r="1961" customFormat="false" ht="15" hidden="false" customHeight="false" outlineLevel="0" collapsed="false">
      <c r="DB1961" s="0" t="str">
        <f aca="false">IF($A1961="","",IF($A1961&lt;&gt;21,"対象外",IF($AE1961&amp;""="00000000","在職",IF($AE1961&amp;""=設定!$C$4,"4/1喪失","その他喪失"))))</f>
        <v/>
      </c>
    </row>
    <row r="1962" customFormat="false" ht="15" hidden="false" customHeight="false" outlineLevel="0" collapsed="false">
      <c r="DB1962" s="0" t="str">
        <f aca="false">IF($A1962="","",IF($A1962&lt;&gt;21,"対象外",IF($AE1962&amp;""="00000000","在職",IF($AE1962&amp;""=設定!$C$4,"4/1喪失","その他喪失"))))</f>
        <v/>
      </c>
    </row>
    <row r="1963" customFormat="false" ht="15" hidden="false" customHeight="false" outlineLevel="0" collapsed="false">
      <c r="DB1963" s="0" t="str">
        <f aca="false">IF($A1963="","",IF($A1963&lt;&gt;21,"対象外",IF($AE1963&amp;""="00000000","在職",IF($AE1963&amp;""=設定!$C$4,"4/1喪失","その他喪失"))))</f>
        <v/>
      </c>
    </row>
    <row r="1964" customFormat="false" ht="15" hidden="false" customHeight="false" outlineLevel="0" collapsed="false">
      <c r="DB1964" s="0" t="str">
        <f aca="false">IF($A1964="","",IF($A1964&lt;&gt;21,"対象外",IF($AE1964&amp;""="00000000","在職",IF($AE1964&amp;""=設定!$C$4,"4/1喪失","その他喪失"))))</f>
        <v/>
      </c>
    </row>
    <row r="1965" customFormat="false" ht="15" hidden="false" customHeight="false" outlineLevel="0" collapsed="false">
      <c r="DB1965" s="0" t="str">
        <f aca="false">IF($A1965="","",IF($A1965&lt;&gt;21,"対象外",IF($AE1965&amp;""="00000000","在職",IF($AE1965&amp;""=設定!$C$4,"4/1喪失","その他喪失"))))</f>
        <v/>
      </c>
    </row>
    <row r="1966" customFormat="false" ht="15" hidden="false" customHeight="false" outlineLevel="0" collapsed="false">
      <c r="DB1966" s="0" t="str">
        <f aca="false">IF($A1966="","",IF($A1966&lt;&gt;21,"対象外",IF($AE1966&amp;""="00000000","在職",IF($AE1966&amp;""=設定!$C$4,"4/1喪失","その他喪失"))))</f>
        <v/>
      </c>
    </row>
    <row r="1967" customFormat="false" ht="15" hidden="false" customHeight="false" outlineLevel="0" collapsed="false">
      <c r="DB1967" s="0" t="str">
        <f aca="false">IF($A1967="","",IF($A1967&lt;&gt;21,"対象外",IF($AE1967&amp;""="00000000","在職",IF($AE1967&amp;""=設定!$C$4,"4/1喪失","その他喪失"))))</f>
        <v/>
      </c>
    </row>
    <row r="1968" customFormat="false" ht="15" hidden="false" customHeight="false" outlineLevel="0" collapsed="false">
      <c r="DB1968" s="0" t="str">
        <f aca="false">IF($A1968="","",IF($A1968&lt;&gt;21,"対象外",IF($AE1968&amp;""="00000000","在職",IF($AE1968&amp;""=設定!$C$4,"4/1喪失","その他喪失"))))</f>
        <v/>
      </c>
    </row>
    <row r="1969" customFormat="false" ht="15" hidden="false" customHeight="false" outlineLevel="0" collapsed="false">
      <c r="DB1969" s="0" t="str">
        <f aca="false">IF($A1969="","",IF($A1969&lt;&gt;21,"対象外",IF($AE1969&amp;""="00000000","在職",IF($AE1969&amp;""=設定!$C$4,"4/1喪失","その他喪失"))))</f>
        <v/>
      </c>
    </row>
    <row r="1970" customFormat="false" ht="15" hidden="false" customHeight="false" outlineLevel="0" collapsed="false">
      <c r="DB1970" s="0" t="str">
        <f aca="false">IF($A1970="","",IF($A1970&lt;&gt;21,"対象外",IF($AE1970&amp;""="00000000","在職",IF($AE1970&amp;""=設定!$C$4,"4/1喪失","その他喪失"))))</f>
        <v/>
      </c>
    </row>
    <row r="1971" customFormat="false" ht="15" hidden="false" customHeight="false" outlineLevel="0" collapsed="false">
      <c r="DB1971" s="0" t="str">
        <f aca="false">IF($A1971="","",IF($A1971&lt;&gt;21,"対象外",IF($AE1971&amp;""="00000000","在職",IF($AE1971&amp;""=設定!$C$4,"4/1喪失","その他喪失"))))</f>
        <v/>
      </c>
    </row>
    <row r="1972" customFormat="false" ht="15" hidden="false" customHeight="false" outlineLevel="0" collapsed="false">
      <c r="DB1972" s="0" t="str">
        <f aca="false">IF($A1972="","",IF($A1972&lt;&gt;21,"対象外",IF($AE1972&amp;""="00000000","在職",IF($AE1972&amp;""=設定!$C$4,"4/1喪失","その他喪失"))))</f>
        <v/>
      </c>
    </row>
    <row r="1973" customFormat="false" ht="15" hidden="false" customHeight="false" outlineLevel="0" collapsed="false">
      <c r="DB1973" s="0" t="str">
        <f aca="false">IF($A1973="","",IF($A1973&lt;&gt;21,"対象外",IF($AE1973&amp;""="00000000","在職",IF($AE1973&amp;""=設定!$C$4,"4/1喪失","その他喪失"))))</f>
        <v/>
      </c>
    </row>
    <row r="1974" customFormat="false" ht="15" hidden="false" customHeight="false" outlineLevel="0" collapsed="false">
      <c r="DB1974" s="0" t="str">
        <f aca="false">IF($A1974="","",IF($A1974&lt;&gt;21,"対象外",IF($AE1974&amp;""="00000000","在職",IF($AE1974&amp;""=設定!$C$4,"4/1喪失","その他喪失"))))</f>
        <v/>
      </c>
    </row>
    <row r="1975" customFormat="false" ht="15" hidden="false" customHeight="false" outlineLevel="0" collapsed="false">
      <c r="DB1975" s="0" t="str">
        <f aca="false">IF($A1975="","",IF($A1975&lt;&gt;21,"対象外",IF($AE1975&amp;""="00000000","在職",IF($AE1975&amp;""=設定!$C$4,"4/1喪失","その他喪失"))))</f>
        <v/>
      </c>
    </row>
    <row r="1976" customFormat="false" ht="15" hidden="false" customHeight="false" outlineLevel="0" collapsed="false">
      <c r="DB1976" s="0" t="str">
        <f aca="false">IF($A1976="","",IF($A1976&lt;&gt;21,"対象外",IF($AE1976&amp;""="00000000","在職",IF($AE1976&amp;""=設定!$C$4,"4/1喪失","その他喪失"))))</f>
        <v/>
      </c>
    </row>
    <row r="1977" customFormat="false" ht="15" hidden="false" customHeight="false" outlineLevel="0" collapsed="false">
      <c r="DB1977" s="0" t="str">
        <f aca="false">IF($A1977="","",IF($A1977&lt;&gt;21,"対象外",IF($AE1977&amp;""="00000000","在職",IF($AE1977&amp;""=設定!$C$4,"4/1喪失","その他喪失"))))</f>
        <v/>
      </c>
    </row>
    <row r="1978" customFormat="false" ht="15" hidden="false" customHeight="false" outlineLevel="0" collapsed="false">
      <c r="DB1978" s="0" t="str">
        <f aca="false">IF($A1978="","",IF($A1978&lt;&gt;21,"対象外",IF($AE1978&amp;""="00000000","在職",IF($AE1978&amp;""=設定!$C$4,"4/1喪失","その他喪失"))))</f>
        <v/>
      </c>
    </row>
    <row r="1979" customFormat="false" ht="15" hidden="false" customHeight="false" outlineLevel="0" collapsed="false">
      <c r="DB1979" s="0" t="str">
        <f aca="false">IF($A1979="","",IF($A1979&lt;&gt;21,"対象外",IF($AE1979&amp;""="00000000","在職",IF($AE1979&amp;""=設定!$C$4,"4/1喪失","その他喪失"))))</f>
        <v/>
      </c>
    </row>
    <row r="1980" customFormat="false" ht="15" hidden="false" customHeight="false" outlineLevel="0" collapsed="false">
      <c r="DB1980" s="0" t="str">
        <f aca="false">IF($A1980="","",IF($A1980&lt;&gt;21,"対象外",IF($AE1980&amp;""="00000000","在職",IF($AE1980&amp;""=設定!$C$4,"4/1喪失","その他喪失"))))</f>
        <v/>
      </c>
    </row>
    <row r="1981" customFormat="false" ht="15" hidden="false" customHeight="false" outlineLevel="0" collapsed="false">
      <c r="DB1981" s="0" t="str">
        <f aca="false">IF($A1981="","",IF($A1981&lt;&gt;21,"対象外",IF($AE1981&amp;""="00000000","在職",IF($AE1981&amp;""=設定!$C$4,"4/1喪失","その他喪失"))))</f>
        <v/>
      </c>
    </row>
    <row r="1982" customFormat="false" ht="15" hidden="false" customHeight="false" outlineLevel="0" collapsed="false">
      <c r="DB1982" s="0" t="str">
        <f aca="false">IF($A1982="","",IF($A1982&lt;&gt;21,"対象外",IF($AE1982&amp;""="00000000","在職",IF($AE1982&amp;""=設定!$C$4,"4/1喪失","その他喪失"))))</f>
        <v/>
      </c>
    </row>
    <row r="1983" customFormat="false" ht="15" hidden="false" customHeight="false" outlineLevel="0" collapsed="false">
      <c r="DB1983" s="0" t="str">
        <f aca="false">IF($A1983="","",IF($A1983&lt;&gt;21,"対象外",IF($AE1983&amp;""="00000000","在職",IF($AE1983&amp;""=設定!$C$4,"4/1喪失","その他喪失"))))</f>
        <v/>
      </c>
    </row>
    <row r="1984" customFormat="false" ht="15" hidden="false" customHeight="false" outlineLevel="0" collapsed="false">
      <c r="DB1984" s="0" t="str">
        <f aca="false">IF($A1984="","",IF($A1984&lt;&gt;21,"対象外",IF($AE1984&amp;""="00000000","在職",IF($AE1984&amp;""=設定!$C$4,"4/1喪失","その他喪失"))))</f>
        <v/>
      </c>
    </row>
    <row r="1985" customFormat="false" ht="15" hidden="false" customHeight="false" outlineLevel="0" collapsed="false">
      <c r="DB1985" s="0" t="str">
        <f aca="false">IF($A1985="","",IF($A1985&lt;&gt;21,"対象外",IF($AE1985&amp;""="00000000","在職",IF($AE1985&amp;""=設定!$C$4,"4/1喪失","その他喪失"))))</f>
        <v/>
      </c>
    </row>
    <row r="1986" customFormat="false" ht="15" hidden="false" customHeight="false" outlineLevel="0" collapsed="false">
      <c r="DB1986" s="0" t="str">
        <f aca="false">IF($A1986="","",IF($A1986&lt;&gt;21,"対象外",IF($AE1986&amp;""="00000000","在職",IF($AE1986&amp;""=設定!$C$4,"4/1喪失","その他喪失"))))</f>
        <v/>
      </c>
    </row>
    <row r="1987" customFormat="false" ht="15" hidden="false" customHeight="false" outlineLevel="0" collapsed="false">
      <c r="DB1987" s="0" t="str">
        <f aca="false">IF($A1987="","",IF($A1987&lt;&gt;21,"対象外",IF($AE1987&amp;""="00000000","在職",IF($AE1987&amp;""=設定!$C$4,"4/1喪失","その他喪失"))))</f>
        <v/>
      </c>
    </row>
    <row r="1988" customFormat="false" ht="15" hidden="false" customHeight="false" outlineLevel="0" collapsed="false">
      <c r="DB1988" s="0" t="str">
        <f aca="false">IF($A1988="","",IF($A1988&lt;&gt;21,"対象外",IF($AE1988&amp;""="00000000","在職",IF($AE1988&amp;""=設定!$C$4,"4/1喪失","その他喪失"))))</f>
        <v/>
      </c>
    </row>
    <row r="1989" customFormat="false" ht="15" hidden="false" customHeight="false" outlineLevel="0" collapsed="false">
      <c r="DB1989" s="0" t="str">
        <f aca="false">IF($A1989="","",IF($A1989&lt;&gt;21,"対象外",IF($AE1989&amp;""="00000000","在職",IF($AE1989&amp;""=設定!$C$4,"4/1喪失","その他喪失"))))</f>
        <v/>
      </c>
    </row>
    <row r="1990" customFormat="false" ht="15" hidden="false" customHeight="false" outlineLevel="0" collapsed="false">
      <c r="DB1990" s="0" t="str">
        <f aca="false">IF($A1990="","",IF($A1990&lt;&gt;21,"対象外",IF($AE1990&amp;""="00000000","在職",IF($AE1990&amp;""=設定!$C$4,"4/1喪失","その他喪失"))))</f>
        <v/>
      </c>
    </row>
    <row r="1991" customFormat="false" ht="15" hidden="false" customHeight="false" outlineLevel="0" collapsed="false">
      <c r="DB1991" s="0" t="str">
        <f aca="false">IF($A1991="","",IF($A1991&lt;&gt;21,"対象外",IF($AE1991&amp;""="00000000","在職",IF($AE1991&amp;""=設定!$C$4,"4/1喪失","その他喪失"))))</f>
        <v/>
      </c>
    </row>
    <row r="1992" customFormat="false" ht="15" hidden="false" customHeight="false" outlineLevel="0" collapsed="false">
      <c r="DB1992" s="0" t="str">
        <f aca="false">IF($A1992="","",IF($A1992&lt;&gt;21,"対象外",IF($AE1992&amp;""="00000000","在職",IF($AE1992&amp;""=設定!$C$4,"4/1喪失","その他喪失"))))</f>
        <v/>
      </c>
    </row>
    <row r="1993" customFormat="false" ht="15" hidden="false" customHeight="false" outlineLevel="0" collapsed="false">
      <c r="DB1993" s="0" t="str">
        <f aca="false">IF($A1993="","",IF($A1993&lt;&gt;21,"対象外",IF($AE1993&amp;""="00000000","在職",IF($AE1993&amp;""=設定!$C$4,"4/1喪失","その他喪失"))))</f>
        <v/>
      </c>
    </row>
    <row r="1994" customFormat="false" ht="15" hidden="false" customHeight="false" outlineLevel="0" collapsed="false">
      <c r="DB1994" s="0" t="str">
        <f aca="false">IF($A1994="","",IF($A1994&lt;&gt;21,"対象外",IF($AE1994&amp;""="00000000","在職",IF($AE1994&amp;""=設定!$C$4,"4/1喪失","その他喪失"))))</f>
        <v/>
      </c>
    </row>
    <row r="1995" customFormat="false" ht="15" hidden="false" customHeight="false" outlineLevel="0" collapsed="false">
      <c r="DB1995" s="0" t="str">
        <f aca="false">IF($A1995="","",IF($A1995&lt;&gt;21,"対象外",IF($AE1995&amp;""="00000000","在職",IF($AE1995&amp;""=設定!$C$4,"4/1喪失","その他喪失"))))</f>
        <v/>
      </c>
    </row>
    <row r="1996" customFormat="false" ht="15" hidden="false" customHeight="false" outlineLevel="0" collapsed="false">
      <c r="DB1996" s="0" t="str">
        <f aca="false">IF($A1996="","",IF($A1996&lt;&gt;21,"対象外",IF($AE1996&amp;""="00000000","在職",IF($AE1996&amp;""=設定!$C$4,"4/1喪失","その他喪失"))))</f>
        <v/>
      </c>
    </row>
    <row r="1997" customFormat="false" ht="15" hidden="false" customHeight="false" outlineLevel="0" collapsed="false">
      <c r="DB1997" s="0" t="str">
        <f aca="false">IF($A1997="","",IF($A1997&lt;&gt;21,"対象外",IF($AE1997&amp;""="00000000","在職",IF($AE1997&amp;""=設定!$C$4,"4/1喪失","その他喪失"))))</f>
        <v/>
      </c>
    </row>
    <row r="1998" customFormat="false" ht="15" hidden="false" customHeight="false" outlineLevel="0" collapsed="false">
      <c r="DB1998" s="0" t="str">
        <f aca="false">IF($A1998="","",IF($A1998&lt;&gt;21,"対象外",IF($AE1998&amp;""="00000000","在職",IF($AE1998&amp;""=設定!$C$4,"4/1喪失","その他喪失"))))</f>
        <v/>
      </c>
    </row>
    <row r="1999" customFormat="false" ht="15" hidden="false" customHeight="false" outlineLevel="0" collapsed="false">
      <c r="DB1999" s="0" t="str">
        <f aca="false">IF($A1999="","",IF($A1999&lt;&gt;21,"対象外",IF($AE1999&amp;""="00000000","在職",IF($AE1999&amp;""=設定!$C$4,"4/1喪失","その他喪失"))))</f>
        <v/>
      </c>
    </row>
    <row r="2000" customFormat="false" ht="15" hidden="false" customHeight="false" outlineLevel="0" collapsed="false">
      <c r="DB2000" s="0" t="str">
        <f aca="false">IF($A2000="","",IF($A2000&lt;&gt;21,"対象外",IF($AE2000&amp;""="00000000","在職",IF($AE2000&amp;""=設定!$C$4,"4/1喪失","その他喪失"))))</f>
        <v/>
      </c>
    </row>
    <row r="2001" customFormat="false" ht="15" hidden="false" customHeight="false" outlineLevel="0" collapsed="false">
      <c r="DB2001" s="0" t="str">
        <f aca="false">IF($A2001="","",IF($A2001&lt;&gt;21,"対象外",IF($AE2001&amp;""="00000000","在職",IF($AE2001&amp;""=設定!$C$4,"4/1喪失","その他喪失"))))</f>
        <v/>
      </c>
    </row>
    <row r="2002" customFormat="false" ht="15" hidden="false" customHeight="false" outlineLevel="0" collapsed="false">
      <c r="DB2002" s="0" t="str">
        <f aca="false">IF($A2002="","",IF($A2002&lt;&gt;21,"対象外",IF($AE2002&amp;""="00000000","在職",IF($AE2002&amp;""=設定!$C$4,"4/1喪失","その他喪失"))))</f>
        <v/>
      </c>
    </row>
    <row r="2003" customFormat="false" ht="15" hidden="false" customHeight="false" outlineLevel="0" collapsed="false">
      <c r="DB2003" s="0" t="str">
        <f aca="false">IF($A2003="","",IF($A2003&lt;&gt;21,"対象外",IF($AE2003&amp;""="00000000","在職",IF($AE2003&amp;""=設定!$C$4,"4/1喪失","その他喪失"))))</f>
        <v/>
      </c>
    </row>
    <row r="2004" customFormat="false" ht="15" hidden="false" customHeight="false" outlineLevel="0" collapsed="false">
      <c r="DB2004" s="0" t="str">
        <f aca="false">IF($A2004="","",IF($A2004&lt;&gt;21,"対象外",IF($AE2004&amp;""="00000000","在職",IF($AE2004&amp;""=設定!$C$4,"4/1喪失","その他喪失"))))</f>
        <v/>
      </c>
    </row>
    <row r="2005" customFormat="false" ht="15" hidden="false" customHeight="false" outlineLevel="0" collapsed="false">
      <c r="DB2005" s="0" t="str">
        <f aca="false">IF($A2005="","",IF($A2005&lt;&gt;21,"対象外",IF($AE2005&amp;""="00000000","在職",IF($AE2005&amp;""=設定!$C$4,"4/1喪失","その他喪失"))))</f>
        <v/>
      </c>
    </row>
    <row r="2006" customFormat="false" ht="15" hidden="false" customHeight="false" outlineLevel="0" collapsed="false">
      <c r="DB2006" s="0" t="str">
        <f aca="false">IF($A2006="","",IF($A2006&lt;&gt;21,"対象外",IF($AE2006&amp;""="00000000","在職",IF($AE2006&amp;""=設定!$C$4,"4/1喪失","その他喪失"))))</f>
        <v/>
      </c>
    </row>
    <row r="2007" customFormat="false" ht="15" hidden="false" customHeight="false" outlineLevel="0" collapsed="false">
      <c r="DB2007" s="0" t="str">
        <f aca="false">IF($A2007="","",IF($A2007&lt;&gt;21,"対象外",IF($AE2007&amp;""="00000000","在職",IF($AE2007&amp;""=設定!$C$4,"4/1喪失","その他喪失"))))</f>
        <v/>
      </c>
    </row>
    <row r="2008" customFormat="false" ht="15" hidden="false" customHeight="false" outlineLevel="0" collapsed="false">
      <c r="DB2008" s="0" t="str">
        <f aca="false">IF($A2008="","",IF($A2008&lt;&gt;21,"対象外",IF($AE2008&amp;""="00000000","在職",IF($AE2008&amp;""=設定!$C$4,"4/1喪失","その他喪失"))))</f>
        <v/>
      </c>
    </row>
    <row r="2009" customFormat="false" ht="15" hidden="false" customHeight="false" outlineLevel="0" collapsed="false">
      <c r="DB2009" s="0" t="str">
        <f aca="false">IF($A2009="","",IF($A2009&lt;&gt;21,"対象外",IF($AE2009&amp;""="00000000","在職",IF($AE2009&amp;""=設定!$C$4,"4/1喪失","その他喪失"))))</f>
        <v/>
      </c>
    </row>
    <row r="2010" customFormat="false" ht="15" hidden="false" customHeight="false" outlineLevel="0" collapsed="false">
      <c r="DB2010" s="0" t="str">
        <f aca="false">IF($A2010="","",IF($A2010&lt;&gt;21,"対象外",IF($AE2010&amp;""="00000000","在職",IF($AE2010&amp;""=設定!$C$4,"4/1喪失","その他喪失"))))</f>
        <v/>
      </c>
    </row>
    <row r="2011" customFormat="false" ht="15" hidden="false" customHeight="false" outlineLevel="0" collapsed="false">
      <c r="DB2011" s="0" t="str">
        <f aca="false">IF($A2011="","",IF($A2011&lt;&gt;21,"対象外",IF($AE2011&amp;""="00000000","在職",IF($AE2011&amp;""=設定!$C$4,"4/1喪失","その他喪失"))))</f>
        <v/>
      </c>
    </row>
    <row r="2012" customFormat="false" ht="15" hidden="false" customHeight="false" outlineLevel="0" collapsed="false">
      <c r="DB2012" s="0" t="str">
        <f aca="false">IF($A2012="","",IF($A2012&lt;&gt;21,"対象外",IF($AE2012&amp;""="00000000","在職",IF($AE2012&amp;""=設定!$C$4,"4/1喪失","その他喪失"))))</f>
        <v/>
      </c>
    </row>
    <row r="2013" customFormat="false" ht="15" hidden="false" customHeight="false" outlineLevel="0" collapsed="false">
      <c r="DB2013" s="0" t="str">
        <f aca="false">IF($A2013="","",IF($A2013&lt;&gt;21,"対象外",IF($AE2013&amp;""="00000000","在職",IF($AE2013&amp;""=設定!$C$4,"4/1喪失","その他喪失"))))</f>
        <v/>
      </c>
    </row>
    <row r="2014" customFormat="false" ht="15" hidden="false" customHeight="false" outlineLevel="0" collapsed="false">
      <c r="DB2014" s="0" t="str">
        <f aca="false">IF($A2014="","",IF($A2014&lt;&gt;21,"対象外",IF($AE2014&amp;""="00000000","在職",IF($AE2014&amp;""=設定!$C$4,"4/1喪失","その他喪失"))))</f>
        <v/>
      </c>
    </row>
    <row r="2015" customFormat="false" ht="15" hidden="false" customHeight="false" outlineLevel="0" collapsed="false">
      <c r="DB2015" s="0" t="str">
        <f aca="false">IF($A2015="","",IF($A2015&lt;&gt;21,"対象外",IF($AE2015&amp;""="00000000","在職",IF($AE2015&amp;""=設定!$C$4,"4/1喪失","その他喪失"))))</f>
        <v/>
      </c>
    </row>
    <row r="2016" customFormat="false" ht="15" hidden="false" customHeight="false" outlineLevel="0" collapsed="false">
      <c r="DB2016" s="0" t="str">
        <f aca="false">IF($A2016="","",IF($A2016&lt;&gt;21,"対象外",IF($AE2016&amp;""="00000000","在職",IF($AE2016&amp;""=設定!$C$4,"4/1喪失","その他喪失"))))</f>
        <v/>
      </c>
    </row>
    <row r="2017" customFormat="false" ht="15" hidden="false" customHeight="false" outlineLevel="0" collapsed="false">
      <c r="DB2017" s="0" t="str">
        <f aca="false">IF($A2017="","",IF($A2017&lt;&gt;21,"対象外",IF($AE2017&amp;""="00000000","在職",IF($AE2017&amp;""=設定!$C$4,"4/1喪失","その他喪失"))))</f>
        <v/>
      </c>
    </row>
    <row r="2018" customFormat="false" ht="15" hidden="false" customHeight="false" outlineLevel="0" collapsed="false">
      <c r="DB2018" s="0" t="str">
        <f aca="false">IF($A2018="","",IF($A2018&lt;&gt;21,"対象外",IF($AE2018&amp;""="00000000","在職",IF($AE2018&amp;""=設定!$C$4,"4/1喪失","その他喪失"))))</f>
        <v/>
      </c>
    </row>
    <row r="2019" customFormat="false" ht="15" hidden="false" customHeight="false" outlineLevel="0" collapsed="false">
      <c r="DB2019" s="0" t="str">
        <f aca="false">IF($A2019="","",IF($A2019&lt;&gt;21,"対象外",IF($AE2019&amp;""="00000000","在職",IF($AE2019&amp;""=設定!$C$4,"4/1喪失","その他喪失"))))</f>
        <v/>
      </c>
    </row>
    <row r="2020" customFormat="false" ht="15" hidden="false" customHeight="false" outlineLevel="0" collapsed="false">
      <c r="DB2020" s="0" t="str">
        <f aca="false">IF($A2020="","",IF($A2020&lt;&gt;21,"対象外",IF($AE2020&amp;""="00000000","在職",IF($AE2020&amp;""=設定!$C$4,"4/1喪失","その他喪失"))))</f>
        <v/>
      </c>
    </row>
    <row r="2021" customFormat="false" ht="15" hidden="false" customHeight="false" outlineLevel="0" collapsed="false">
      <c r="DB2021" s="0" t="str">
        <f aca="false">IF($A2021="","",IF($A2021&lt;&gt;21,"対象外",IF($AE2021&amp;""="00000000","在職",IF($AE2021&amp;""=設定!$C$4,"4/1喪失","その他喪失"))))</f>
        <v/>
      </c>
    </row>
    <row r="2022" customFormat="false" ht="15" hidden="false" customHeight="false" outlineLevel="0" collapsed="false">
      <c r="DB2022" s="0" t="str">
        <f aca="false">IF($A2022="","",IF($A2022&lt;&gt;21,"対象外",IF($AE2022&amp;""="00000000","在職",IF($AE2022&amp;""=設定!$C$4,"4/1喪失","その他喪失"))))</f>
        <v/>
      </c>
    </row>
    <row r="2023" customFormat="false" ht="15" hidden="false" customHeight="false" outlineLevel="0" collapsed="false">
      <c r="DB2023" s="0" t="str">
        <f aca="false">IF($A2023="","",IF($A2023&lt;&gt;21,"対象外",IF($AE2023&amp;""="00000000","在職",IF($AE2023&amp;""=設定!$C$4,"4/1喪失","その他喪失"))))</f>
        <v/>
      </c>
    </row>
    <row r="2024" customFormat="false" ht="15" hidden="false" customHeight="false" outlineLevel="0" collapsed="false">
      <c r="DB2024" s="0" t="str">
        <f aca="false">IF($A2024="","",IF($A2024&lt;&gt;21,"対象外",IF($AE2024&amp;""="00000000","在職",IF($AE2024&amp;""=設定!$C$4,"4/1喪失","その他喪失"))))</f>
        <v/>
      </c>
    </row>
    <row r="2025" customFormat="false" ht="15" hidden="false" customHeight="false" outlineLevel="0" collapsed="false">
      <c r="DB2025" s="0" t="str">
        <f aca="false">IF($A2025="","",IF($A2025&lt;&gt;21,"対象外",IF($AE2025&amp;""="00000000","在職",IF($AE2025&amp;""=設定!$C$4,"4/1喪失","その他喪失"))))</f>
        <v/>
      </c>
    </row>
    <row r="2026" customFormat="false" ht="15" hidden="false" customHeight="false" outlineLevel="0" collapsed="false">
      <c r="DB2026" s="0" t="str">
        <f aca="false">IF($A2026="","",IF($A2026&lt;&gt;21,"対象外",IF($AE2026&amp;""="00000000","在職",IF($AE2026&amp;""=設定!$C$4,"4/1喪失","その他喪失"))))</f>
        <v/>
      </c>
    </row>
    <row r="2027" customFormat="false" ht="15" hidden="false" customHeight="false" outlineLevel="0" collapsed="false">
      <c r="DB2027" s="0" t="str">
        <f aca="false">IF($A2027="","",IF($A2027&lt;&gt;21,"対象外",IF($AE2027&amp;""="00000000","在職",IF($AE2027&amp;""=設定!$C$4,"4/1喪失","その他喪失"))))</f>
        <v/>
      </c>
    </row>
    <row r="2028" customFormat="false" ht="15" hidden="false" customHeight="false" outlineLevel="0" collapsed="false">
      <c r="DB2028" s="0" t="str">
        <f aca="false">IF($A2028="","",IF($A2028&lt;&gt;21,"対象外",IF($AE2028&amp;""="00000000","在職",IF($AE2028&amp;""=設定!$C$4,"4/1喪失","その他喪失"))))</f>
        <v/>
      </c>
    </row>
    <row r="2029" customFormat="false" ht="15" hidden="false" customHeight="false" outlineLevel="0" collapsed="false">
      <c r="DB2029" s="0" t="str">
        <f aca="false">IF($A2029="","",IF($A2029&lt;&gt;21,"対象外",IF($AE2029&amp;""="00000000","在職",IF($AE2029&amp;""=設定!$C$4,"4/1喪失","その他喪失"))))</f>
        <v/>
      </c>
    </row>
    <row r="2030" customFormat="false" ht="15" hidden="false" customHeight="false" outlineLevel="0" collapsed="false">
      <c r="DB2030" s="0" t="str">
        <f aca="false">IF($A2030="","",IF($A2030&lt;&gt;21,"対象外",IF($AE2030&amp;""="00000000","在職",IF($AE2030&amp;""=設定!$C$4,"4/1喪失","その他喪失"))))</f>
        <v/>
      </c>
    </row>
    <row r="2031" customFormat="false" ht="15" hidden="false" customHeight="false" outlineLevel="0" collapsed="false">
      <c r="DB2031" s="0" t="str">
        <f aca="false">IF($A2031="","",IF($A2031&lt;&gt;21,"対象外",IF($AE2031&amp;""="00000000","在職",IF($AE2031&amp;""=設定!$C$4,"4/1喪失","その他喪失"))))</f>
        <v/>
      </c>
    </row>
    <row r="2032" customFormat="false" ht="15" hidden="false" customHeight="false" outlineLevel="0" collapsed="false">
      <c r="DB2032" s="0" t="str">
        <f aca="false">IF($A2032="","",IF($A2032&lt;&gt;21,"対象外",IF($AE2032&amp;""="00000000","在職",IF($AE2032&amp;""=設定!$C$4,"4/1喪失","その他喪失"))))</f>
        <v/>
      </c>
    </row>
    <row r="2033" customFormat="false" ht="15" hidden="false" customHeight="false" outlineLevel="0" collapsed="false">
      <c r="DB2033" s="0" t="str">
        <f aca="false">IF($A2033="","",IF($A2033&lt;&gt;21,"対象外",IF($AE2033&amp;""="00000000","在職",IF($AE2033&amp;""=設定!$C$4,"4/1喪失","その他喪失"))))</f>
        <v/>
      </c>
    </row>
    <row r="2034" customFormat="false" ht="15" hidden="false" customHeight="false" outlineLevel="0" collapsed="false">
      <c r="DB2034" s="0" t="str">
        <f aca="false">IF($A2034="","",IF($A2034&lt;&gt;21,"対象外",IF($AE2034&amp;""="00000000","在職",IF($AE2034&amp;""=設定!$C$4,"4/1喪失","その他喪失"))))</f>
        <v/>
      </c>
    </row>
    <row r="2035" customFormat="false" ht="15" hidden="false" customHeight="false" outlineLevel="0" collapsed="false">
      <c r="DB2035" s="0" t="str">
        <f aca="false">IF($A2035="","",IF($A2035&lt;&gt;21,"対象外",IF($AE2035&amp;""="00000000","在職",IF($AE2035&amp;""=設定!$C$4,"4/1喪失","その他喪失"))))</f>
        <v/>
      </c>
    </row>
    <row r="2036" customFormat="false" ht="15" hidden="false" customHeight="false" outlineLevel="0" collapsed="false">
      <c r="DB2036" s="0" t="str">
        <f aca="false">IF($A2036="","",IF($A2036&lt;&gt;21,"対象外",IF($AE2036&amp;""="00000000","在職",IF($AE2036&amp;""=設定!$C$4,"4/1喪失","その他喪失"))))</f>
        <v/>
      </c>
    </row>
    <row r="2037" customFormat="false" ht="15" hidden="false" customHeight="false" outlineLevel="0" collapsed="false">
      <c r="DB2037" s="0" t="str">
        <f aca="false">IF($A2037="","",IF($A2037&lt;&gt;21,"対象外",IF($AE2037&amp;""="00000000","在職",IF($AE2037&amp;""=設定!$C$4,"4/1喪失","その他喪失"))))</f>
        <v/>
      </c>
    </row>
    <row r="2038" customFormat="false" ht="15" hidden="false" customHeight="false" outlineLevel="0" collapsed="false">
      <c r="DB2038" s="0" t="str">
        <f aca="false">IF($A2038="","",IF($A2038&lt;&gt;21,"対象外",IF($AE2038&amp;""="00000000","在職",IF($AE2038&amp;""=設定!$C$4,"4/1喪失","その他喪失"))))</f>
        <v/>
      </c>
    </row>
    <row r="2039" customFormat="false" ht="15" hidden="false" customHeight="false" outlineLevel="0" collapsed="false">
      <c r="DB2039" s="0" t="str">
        <f aca="false">IF($A2039="","",IF($A2039&lt;&gt;21,"対象外",IF($AE2039&amp;""="00000000","在職",IF($AE2039&amp;""=設定!$C$4,"4/1喪失","その他喪失"))))</f>
        <v/>
      </c>
    </row>
    <row r="2040" customFormat="false" ht="15" hidden="false" customHeight="false" outlineLevel="0" collapsed="false">
      <c r="DB2040" s="0" t="str">
        <f aca="false">IF($A2040="","",IF($A2040&lt;&gt;21,"対象外",IF($AE2040&amp;""="00000000","在職",IF($AE2040&amp;""=設定!$C$4,"4/1喪失","その他喪失"))))</f>
        <v/>
      </c>
    </row>
    <row r="2041" customFormat="false" ht="15" hidden="false" customHeight="false" outlineLevel="0" collapsed="false">
      <c r="DB2041" s="0" t="str">
        <f aca="false">IF($A2041="","",IF($A2041&lt;&gt;21,"対象外",IF($AE2041&amp;""="00000000","在職",IF($AE2041&amp;""=設定!$C$4,"4/1喪失","その他喪失"))))</f>
        <v/>
      </c>
    </row>
    <row r="2042" customFormat="false" ht="15" hidden="false" customHeight="false" outlineLevel="0" collapsed="false">
      <c r="DB2042" s="0" t="str">
        <f aca="false">IF($A2042="","",IF($A2042&lt;&gt;21,"対象外",IF($AE2042&amp;""="00000000","在職",IF($AE2042&amp;""=設定!$C$4,"4/1喪失","その他喪失"))))</f>
        <v/>
      </c>
    </row>
    <row r="2043" customFormat="false" ht="15" hidden="false" customHeight="false" outlineLevel="0" collapsed="false">
      <c r="DB2043" s="0" t="str">
        <f aca="false">IF($A2043="","",IF($A2043&lt;&gt;21,"対象外",IF($AE2043&amp;""="00000000","在職",IF($AE2043&amp;""=設定!$C$4,"4/1喪失","その他喪失"))))</f>
        <v/>
      </c>
    </row>
    <row r="2044" customFormat="false" ht="15" hidden="false" customHeight="false" outlineLevel="0" collapsed="false">
      <c r="DB2044" s="0" t="str">
        <f aca="false">IF($A2044="","",IF($A2044&lt;&gt;21,"対象外",IF($AE2044&amp;""="00000000","在職",IF($AE2044&amp;""=設定!$C$4,"4/1喪失","その他喪失"))))</f>
        <v/>
      </c>
    </row>
    <row r="2045" customFormat="false" ht="15" hidden="false" customHeight="false" outlineLevel="0" collapsed="false">
      <c r="DB2045" s="0" t="str">
        <f aca="false">IF($A2045="","",IF($A2045&lt;&gt;21,"対象外",IF($AE2045&amp;""="00000000","在職",IF($AE2045&amp;""=設定!$C$4,"4/1喪失","その他喪失"))))</f>
        <v/>
      </c>
    </row>
    <row r="2046" customFormat="false" ht="15" hidden="false" customHeight="false" outlineLevel="0" collapsed="false">
      <c r="DB2046" s="0" t="str">
        <f aca="false">IF($A2046="","",IF($A2046&lt;&gt;21,"対象外",IF($AE2046&amp;""="00000000","在職",IF($AE2046&amp;""=設定!$C$4,"4/1喪失","その他喪失"))))</f>
        <v/>
      </c>
    </row>
    <row r="2047" customFormat="false" ht="15" hidden="false" customHeight="false" outlineLevel="0" collapsed="false">
      <c r="DB2047" s="0" t="str">
        <f aca="false">IF($A2047="","",IF($A2047&lt;&gt;21,"対象外",IF($AE2047&amp;""="00000000","在職",IF($AE2047&amp;""=設定!$C$4,"4/1喪失","その他喪失"))))</f>
        <v/>
      </c>
    </row>
    <row r="2048" customFormat="false" ht="15" hidden="false" customHeight="false" outlineLevel="0" collapsed="false">
      <c r="DB2048" s="0" t="str">
        <f aca="false">IF($A2048="","",IF($A2048&lt;&gt;21,"対象外",IF($AE2048&amp;""="00000000","在職",IF($AE2048&amp;""=設定!$C$4,"4/1喪失","その他喪失"))))</f>
        <v/>
      </c>
    </row>
    <row r="2049" customFormat="false" ht="15" hidden="false" customHeight="false" outlineLevel="0" collapsed="false">
      <c r="DB2049" s="0" t="str">
        <f aca="false">IF($A2049="","",IF($A2049&lt;&gt;21,"対象外",IF($AE2049&amp;""="00000000","在職",IF($AE2049&amp;""=設定!$C$4,"4/1喪失","その他喪失"))))</f>
        <v/>
      </c>
    </row>
    <row r="2050" customFormat="false" ht="15" hidden="false" customHeight="false" outlineLevel="0" collapsed="false">
      <c r="DB2050" s="0" t="str">
        <f aca="false">IF($A2050="","",IF($A2050&lt;&gt;21,"対象外",IF($AE2050&amp;""="00000000","在職",IF($AE2050&amp;""=設定!$C$4,"4/1喪失","その他喪失"))))</f>
        <v/>
      </c>
    </row>
    <row r="2051" customFormat="false" ht="15" hidden="false" customHeight="false" outlineLevel="0" collapsed="false">
      <c r="DB2051" s="0" t="str">
        <f aca="false">IF($A2051="","",IF($A2051&lt;&gt;21,"対象外",IF($AE2051&amp;""="00000000","在職",IF($AE2051&amp;""=設定!$C$4,"4/1喪失","その他喪失"))))</f>
        <v/>
      </c>
    </row>
    <row r="2052" customFormat="false" ht="15" hidden="false" customHeight="false" outlineLevel="0" collapsed="false">
      <c r="DB2052" s="0" t="str">
        <f aca="false">IF($A2052="","",IF($A2052&lt;&gt;21,"対象外",IF($AE2052&amp;""="00000000","在職",IF($AE2052&amp;""=設定!$C$4,"4/1喪失","その他喪失"))))</f>
        <v/>
      </c>
    </row>
    <row r="2053" customFormat="false" ht="15" hidden="false" customHeight="false" outlineLevel="0" collapsed="false">
      <c r="DB2053" s="0" t="str">
        <f aca="false">IF($A2053="","",IF($A2053&lt;&gt;21,"対象外",IF($AE2053&amp;""="00000000","在職",IF($AE2053&amp;""=設定!$C$4,"4/1喪失","その他喪失"))))</f>
        <v/>
      </c>
    </row>
    <row r="2054" customFormat="false" ht="15" hidden="false" customHeight="false" outlineLevel="0" collapsed="false">
      <c r="DB2054" s="0" t="str">
        <f aca="false">IF($A2054="","",IF($A2054&lt;&gt;21,"対象外",IF($AE2054&amp;""="00000000","在職",IF($AE2054&amp;""=設定!$C$4,"4/1喪失","その他喪失"))))</f>
        <v/>
      </c>
    </row>
    <row r="2055" customFormat="false" ht="15" hidden="false" customHeight="false" outlineLevel="0" collapsed="false">
      <c r="DB2055" s="0" t="str">
        <f aca="false">IF($A2055="","",IF($A2055&lt;&gt;21,"対象外",IF($AE2055&amp;""="00000000","在職",IF($AE2055&amp;""=設定!$C$4,"4/1喪失","その他喪失"))))</f>
        <v/>
      </c>
    </row>
    <row r="2056" customFormat="false" ht="15" hidden="false" customHeight="false" outlineLevel="0" collapsed="false">
      <c r="DB2056" s="0" t="str">
        <f aca="false">IF($A2056="","",IF($A2056&lt;&gt;21,"対象外",IF($AE2056&amp;""="00000000","在職",IF($AE2056&amp;""=設定!$C$4,"4/1喪失","その他喪失"))))</f>
        <v/>
      </c>
    </row>
    <row r="2057" customFormat="false" ht="15" hidden="false" customHeight="false" outlineLevel="0" collapsed="false">
      <c r="DB2057" s="0" t="str">
        <f aca="false">IF($A2057="","",IF($A2057&lt;&gt;21,"対象外",IF($AE2057&amp;""="00000000","在職",IF($AE2057&amp;""=設定!$C$4,"4/1喪失","その他喪失"))))</f>
        <v/>
      </c>
    </row>
    <row r="2058" customFormat="false" ht="15" hidden="false" customHeight="false" outlineLevel="0" collapsed="false">
      <c r="DB2058" s="0" t="str">
        <f aca="false">IF($A2058="","",IF($A2058&lt;&gt;21,"対象外",IF($AE2058&amp;""="00000000","在職",IF($AE2058&amp;""=設定!$C$4,"4/1喪失","その他喪失"))))</f>
        <v/>
      </c>
    </row>
    <row r="2059" customFormat="false" ht="15" hidden="false" customHeight="false" outlineLevel="0" collapsed="false">
      <c r="DB2059" s="0" t="str">
        <f aca="false">IF($A2059="","",IF($A2059&lt;&gt;21,"対象外",IF($AE2059&amp;""="00000000","在職",IF($AE2059&amp;""=設定!$C$4,"4/1喪失","その他喪失"))))</f>
        <v/>
      </c>
    </row>
    <row r="2060" customFormat="false" ht="15" hidden="false" customHeight="false" outlineLevel="0" collapsed="false">
      <c r="DB2060" s="0" t="str">
        <f aca="false">IF($A2060="","",IF($A2060&lt;&gt;21,"対象外",IF($AE2060&amp;""="00000000","在職",IF($AE2060&amp;""=設定!$C$4,"4/1喪失","その他喪失"))))</f>
        <v/>
      </c>
    </row>
    <row r="2061" customFormat="false" ht="15" hidden="false" customHeight="false" outlineLevel="0" collapsed="false">
      <c r="DB2061" s="0" t="str">
        <f aca="false">IF($A2061="","",IF($A2061&lt;&gt;21,"対象外",IF($AE2061&amp;""="00000000","在職",IF($AE2061&amp;""=設定!$C$4,"4/1喪失","その他喪失"))))</f>
        <v/>
      </c>
    </row>
    <row r="2062" customFormat="false" ht="15" hidden="false" customHeight="false" outlineLevel="0" collapsed="false">
      <c r="DB2062" s="0" t="str">
        <f aca="false">IF($A2062="","",IF($A2062&lt;&gt;21,"対象外",IF($AE2062&amp;""="00000000","在職",IF($AE2062&amp;""=設定!$C$4,"4/1喪失","その他喪失"))))</f>
        <v/>
      </c>
    </row>
    <row r="2063" customFormat="false" ht="15" hidden="false" customHeight="false" outlineLevel="0" collapsed="false">
      <c r="DB2063" s="0" t="str">
        <f aca="false">IF($A2063="","",IF($A2063&lt;&gt;21,"対象外",IF($AE2063&amp;""="00000000","在職",IF($AE2063&amp;""=設定!$C$4,"4/1喪失","その他喪失"))))</f>
        <v/>
      </c>
    </row>
    <row r="2064" customFormat="false" ht="15" hidden="false" customHeight="false" outlineLevel="0" collapsed="false">
      <c r="DB2064" s="0" t="str">
        <f aca="false">IF($A2064="","",IF($A2064&lt;&gt;21,"対象外",IF($AE2064&amp;""="00000000","在職",IF($AE2064&amp;""=設定!$C$4,"4/1喪失","その他喪失"))))</f>
        <v/>
      </c>
    </row>
    <row r="2065" customFormat="false" ht="15" hidden="false" customHeight="false" outlineLevel="0" collapsed="false">
      <c r="DB2065" s="0" t="str">
        <f aca="false">IF($A2065="","",IF($A2065&lt;&gt;21,"対象外",IF($AE2065&amp;""="00000000","在職",IF($AE2065&amp;""=設定!$C$4,"4/1喪失","その他喪失"))))</f>
        <v/>
      </c>
    </row>
    <row r="2066" customFormat="false" ht="15" hidden="false" customHeight="false" outlineLevel="0" collapsed="false">
      <c r="DB2066" s="0" t="str">
        <f aca="false">IF($A2066="","",IF($A2066&lt;&gt;21,"対象外",IF($AE2066&amp;""="00000000","在職",IF($AE2066&amp;""=設定!$C$4,"4/1喪失","その他喪失"))))</f>
        <v/>
      </c>
    </row>
    <row r="2067" customFormat="false" ht="15" hidden="false" customHeight="false" outlineLevel="0" collapsed="false">
      <c r="DB2067" s="0" t="str">
        <f aca="false">IF($A2067="","",IF($A2067&lt;&gt;21,"対象外",IF($AE2067&amp;""="00000000","在職",IF($AE2067&amp;""=設定!$C$4,"4/1喪失","その他喪失"))))</f>
        <v/>
      </c>
    </row>
    <row r="2068" customFormat="false" ht="15" hidden="false" customHeight="false" outlineLevel="0" collapsed="false">
      <c r="DB2068" s="0" t="str">
        <f aca="false">IF($A2068="","",IF($A2068&lt;&gt;21,"対象外",IF($AE2068&amp;""="00000000","在職",IF($AE2068&amp;""=設定!$C$4,"4/1喪失","その他喪失"))))</f>
        <v/>
      </c>
    </row>
    <row r="2069" customFormat="false" ht="15" hidden="false" customHeight="false" outlineLevel="0" collapsed="false">
      <c r="DB2069" s="0" t="str">
        <f aca="false">IF($A2069="","",IF($A2069&lt;&gt;21,"対象外",IF($AE2069&amp;""="00000000","在職",IF($AE2069&amp;""=設定!$C$4,"4/1喪失","その他喪失"))))</f>
        <v/>
      </c>
    </row>
    <row r="2070" customFormat="false" ht="15" hidden="false" customHeight="false" outlineLevel="0" collapsed="false">
      <c r="DB2070" s="0" t="str">
        <f aca="false">IF($A2070="","",IF($A2070&lt;&gt;21,"対象外",IF($AE2070&amp;""="00000000","在職",IF($AE2070&amp;""=設定!$C$4,"4/1喪失","その他喪失"))))</f>
        <v/>
      </c>
    </row>
    <row r="2071" customFormat="false" ht="15" hidden="false" customHeight="false" outlineLevel="0" collapsed="false">
      <c r="DB2071" s="0" t="str">
        <f aca="false">IF($A2071="","",IF($A2071&lt;&gt;21,"対象外",IF($AE2071&amp;""="00000000","在職",IF($AE2071&amp;""=設定!$C$4,"4/1喪失","その他喪失"))))</f>
        <v/>
      </c>
    </row>
    <row r="2072" customFormat="false" ht="15" hidden="false" customHeight="false" outlineLevel="0" collapsed="false">
      <c r="DB2072" s="0" t="str">
        <f aca="false">IF($A2072="","",IF($A2072&lt;&gt;21,"対象外",IF($AE2072&amp;""="00000000","在職",IF($AE2072&amp;""=設定!$C$4,"4/1喪失","その他喪失"))))</f>
        <v/>
      </c>
    </row>
    <row r="2073" customFormat="false" ht="15" hidden="false" customHeight="false" outlineLevel="0" collapsed="false">
      <c r="DB2073" s="0" t="str">
        <f aca="false">IF($A2073="","",IF($A2073&lt;&gt;21,"対象外",IF($AE2073&amp;""="00000000","在職",IF($AE2073&amp;""=設定!$C$4,"4/1喪失","その他喪失"))))</f>
        <v/>
      </c>
    </row>
    <row r="2074" customFormat="false" ht="15" hidden="false" customHeight="false" outlineLevel="0" collapsed="false">
      <c r="DB2074" s="0" t="str">
        <f aca="false">IF($A2074="","",IF($A2074&lt;&gt;21,"対象外",IF($AE2074&amp;""="00000000","在職",IF($AE2074&amp;""=設定!$C$4,"4/1喪失","その他喪失"))))</f>
        <v/>
      </c>
    </row>
    <row r="2075" customFormat="false" ht="15" hidden="false" customHeight="false" outlineLevel="0" collapsed="false">
      <c r="DB2075" s="0" t="str">
        <f aca="false">IF($A2075="","",IF($A2075&lt;&gt;21,"対象外",IF($AE2075&amp;""="00000000","在職",IF($AE2075&amp;""=設定!$C$4,"4/1喪失","その他喪失"))))</f>
        <v/>
      </c>
    </row>
    <row r="2076" customFormat="false" ht="15" hidden="false" customHeight="false" outlineLevel="0" collapsed="false">
      <c r="DB2076" s="0" t="str">
        <f aca="false">IF($A2076="","",IF($A2076&lt;&gt;21,"対象外",IF($AE2076&amp;""="00000000","在職",IF($AE2076&amp;""=設定!$C$4,"4/1喪失","その他喪失"))))</f>
        <v/>
      </c>
    </row>
    <row r="2077" customFormat="false" ht="15" hidden="false" customHeight="false" outlineLevel="0" collapsed="false">
      <c r="DB2077" s="0" t="str">
        <f aca="false">IF($A2077="","",IF($A2077&lt;&gt;21,"対象外",IF($AE2077&amp;""="00000000","在職",IF($AE2077&amp;""=設定!$C$4,"4/1喪失","その他喪失"))))</f>
        <v/>
      </c>
    </row>
    <row r="2078" customFormat="false" ht="15" hidden="false" customHeight="false" outlineLevel="0" collapsed="false">
      <c r="DB2078" s="0" t="str">
        <f aca="false">IF($A2078="","",IF($A2078&lt;&gt;21,"対象外",IF($AE2078&amp;""="00000000","在職",IF($AE2078&amp;""=設定!$C$4,"4/1喪失","その他喪失"))))</f>
        <v/>
      </c>
    </row>
    <row r="2079" customFormat="false" ht="15" hidden="false" customHeight="false" outlineLevel="0" collapsed="false">
      <c r="DB2079" s="0" t="str">
        <f aca="false">IF($A2079="","",IF($A2079&lt;&gt;21,"対象外",IF($AE2079&amp;""="00000000","在職",IF($AE2079&amp;""=設定!$C$4,"4/1喪失","その他喪失"))))</f>
        <v/>
      </c>
    </row>
    <row r="2080" customFormat="false" ht="15" hidden="false" customHeight="false" outlineLevel="0" collapsed="false">
      <c r="DB2080" s="0" t="str">
        <f aca="false">IF($A2080="","",IF($A2080&lt;&gt;21,"対象外",IF($AE2080&amp;""="00000000","在職",IF($AE2080&amp;""=設定!$C$4,"4/1喪失","その他喪失"))))</f>
        <v/>
      </c>
    </row>
    <row r="2081" customFormat="false" ht="15" hidden="false" customHeight="false" outlineLevel="0" collapsed="false">
      <c r="DB2081" s="0" t="str">
        <f aca="false">IF($A2081="","",IF($A2081&lt;&gt;21,"対象外",IF($AE2081&amp;""="00000000","在職",IF($AE2081&amp;""=設定!$C$4,"4/1喪失","その他喪失"))))</f>
        <v/>
      </c>
    </row>
    <row r="2082" customFormat="false" ht="15" hidden="false" customHeight="false" outlineLevel="0" collapsed="false">
      <c r="DB2082" s="0" t="str">
        <f aca="false">IF($A2082="","",IF($A2082&lt;&gt;21,"対象外",IF($AE2082&amp;""="00000000","在職",IF($AE2082&amp;""=設定!$C$4,"4/1喪失","その他喪失"))))</f>
        <v/>
      </c>
    </row>
    <row r="2083" customFormat="false" ht="15" hidden="false" customHeight="false" outlineLevel="0" collapsed="false">
      <c r="DB2083" s="0" t="str">
        <f aca="false">IF($A2083="","",IF($A2083&lt;&gt;21,"対象外",IF($AE2083&amp;""="00000000","在職",IF($AE2083&amp;""=設定!$C$4,"4/1喪失","その他喪失"))))</f>
        <v/>
      </c>
    </row>
    <row r="2084" customFormat="false" ht="15" hidden="false" customHeight="false" outlineLevel="0" collapsed="false">
      <c r="DB2084" s="0" t="str">
        <f aca="false">IF($A2084="","",IF($A2084&lt;&gt;21,"対象外",IF($AE2084&amp;""="00000000","在職",IF($AE2084&amp;""=設定!$C$4,"4/1喪失","その他喪失"))))</f>
        <v/>
      </c>
    </row>
    <row r="2085" customFormat="false" ht="15" hidden="false" customHeight="false" outlineLevel="0" collapsed="false">
      <c r="DB2085" s="0" t="str">
        <f aca="false">IF($A2085="","",IF($A2085&lt;&gt;21,"対象外",IF($AE2085&amp;""="00000000","在職",IF($AE2085&amp;""=設定!$C$4,"4/1喪失","その他喪失"))))</f>
        <v/>
      </c>
    </row>
    <row r="2086" customFormat="false" ht="15" hidden="false" customHeight="false" outlineLevel="0" collapsed="false">
      <c r="DB2086" s="0" t="str">
        <f aca="false">IF($A2086="","",IF($A2086&lt;&gt;21,"対象外",IF($AE2086&amp;""="00000000","在職",IF($AE2086&amp;""=設定!$C$4,"4/1喪失","その他喪失"))))</f>
        <v/>
      </c>
    </row>
    <row r="2087" customFormat="false" ht="15" hidden="false" customHeight="false" outlineLevel="0" collapsed="false">
      <c r="DB2087" s="0" t="str">
        <f aca="false">IF($A2087="","",IF($A2087&lt;&gt;21,"対象外",IF($AE2087&amp;""="00000000","在職",IF($AE2087&amp;""=設定!$C$4,"4/1喪失","その他喪失"))))</f>
        <v/>
      </c>
    </row>
    <row r="2088" customFormat="false" ht="15" hidden="false" customHeight="false" outlineLevel="0" collapsed="false">
      <c r="DB2088" s="0" t="str">
        <f aca="false">IF($A2088="","",IF($A2088&lt;&gt;21,"対象外",IF($AE2088&amp;""="00000000","在職",IF($AE2088&amp;""=設定!$C$4,"4/1喪失","その他喪失"))))</f>
        <v/>
      </c>
    </row>
    <row r="2089" customFormat="false" ht="15" hidden="false" customHeight="false" outlineLevel="0" collapsed="false">
      <c r="DB2089" s="0" t="str">
        <f aca="false">IF($A2089="","",IF($A2089&lt;&gt;21,"対象外",IF($AE2089&amp;""="00000000","在職",IF($AE2089&amp;""=設定!$C$4,"4/1喪失","その他喪失"))))</f>
        <v/>
      </c>
    </row>
    <row r="2090" customFormat="false" ht="15" hidden="false" customHeight="false" outlineLevel="0" collapsed="false">
      <c r="DB2090" s="0" t="str">
        <f aca="false">IF($A2090="","",IF($A2090&lt;&gt;21,"対象外",IF($AE2090&amp;""="00000000","在職",IF($AE2090&amp;""=設定!$C$4,"4/1喪失","その他喪失"))))</f>
        <v/>
      </c>
    </row>
    <row r="2091" customFormat="false" ht="15" hidden="false" customHeight="false" outlineLevel="0" collapsed="false">
      <c r="DB2091" s="0" t="str">
        <f aca="false">IF($A2091="","",IF($A2091&lt;&gt;21,"対象外",IF($AE2091&amp;""="00000000","在職",IF($AE2091&amp;""=設定!$C$4,"4/1喪失","その他喪失"))))</f>
        <v/>
      </c>
    </row>
    <row r="2092" customFormat="false" ht="15" hidden="false" customHeight="false" outlineLevel="0" collapsed="false">
      <c r="DB2092" s="0" t="str">
        <f aca="false">IF($A2092="","",IF($A2092&lt;&gt;21,"対象外",IF($AE2092&amp;""="00000000","在職",IF($AE2092&amp;""=設定!$C$4,"4/1喪失","その他喪失"))))</f>
        <v/>
      </c>
    </row>
    <row r="2093" customFormat="false" ht="15" hidden="false" customHeight="false" outlineLevel="0" collapsed="false">
      <c r="DB2093" s="0" t="str">
        <f aca="false">IF($A2093="","",IF($A2093&lt;&gt;21,"対象外",IF($AE2093&amp;""="00000000","在職",IF($AE2093&amp;""=設定!$C$4,"4/1喪失","その他喪失"))))</f>
        <v/>
      </c>
    </row>
    <row r="2094" customFormat="false" ht="15" hidden="false" customHeight="false" outlineLevel="0" collapsed="false">
      <c r="DB2094" s="0" t="str">
        <f aca="false">IF($A2094="","",IF($A2094&lt;&gt;21,"対象外",IF($AE2094&amp;""="00000000","在職",IF($AE2094&amp;""=設定!$C$4,"4/1喪失","その他喪失"))))</f>
        <v/>
      </c>
    </row>
    <row r="2095" customFormat="false" ht="15" hidden="false" customHeight="false" outlineLevel="0" collapsed="false">
      <c r="DB2095" s="0" t="str">
        <f aca="false">IF($A2095="","",IF($A2095&lt;&gt;21,"対象外",IF($AE2095&amp;""="00000000","在職",IF($AE2095&amp;""=設定!$C$4,"4/1喪失","その他喪失"))))</f>
        <v/>
      </c>
    </row>
    <row r="2096" customFormat="false" ht="15" hidden="false" customHeight="false" outlineLevel="0" collapsed="false">
      <c r="DB2096" s="0" t="str">
        <f aca="false">IF($A2096="","",IF($A2096&lt;&gt;21,"対象外",IF($AE2096&amp;""="00000000","在職",IF($AE2096&amp;""=設定!$C$4,"4/1喪失","その他喪失"))))</f>
        <v/>
      </c>
    </row>
    <row r="2097" customFormat="false" ht="15" hidden="false" customHeight="false" outlineLevel="0" collapsed="false">
      <c r="DB2097" s="0" t="str">
        <f aca="false">IF($A2097="","",IF($A2097&lt;&gt;21,"対象外",IF($AE2097&amp;""="00000000","在職",IF($AE2097&amp;""=設定!$C$4,"4/1喪失","その他喪失"))))</f>
        <v/>
      </c>
    </row>
    <row r="2098" customFormat="false" ht="15" hidden="false" customHeight="false" outlineLevel="0" collapsed="false">
      <c r="DB2098" s="0" t="str">
        <f aca="false">IF($A2098="","",IF($A2098&lt;&gt;21,"対象外",IF($AE2098&amp;""="00000000","在職",IF($AE2098&amp;""=設定!$C$4,"4/1喪失","その他喪失"))))</f>
        <v/>
      </c>
    </row>
    <row r="2099" customFormat="false" ht="15" hidden="false" customHeight="false" outlineLevel="0" collapsed="false">
      <c r="DB2099" s="0" t="str">
        <f aca="false">IF($A2099="","",IF($A2099&lt;&gt;21,"対象外",IF($AE2099&amp;""="00000000","在職",IF($AE2099&amp;""=設定!$C$4,"4/1喪失","その他喪失"))))</f>
        <v/>
      </c>
    </row>
    <row r="2100" customFormat="false" ht="15" hidden="false" customHeight="false" outlineLevel="0" collapsed="false">
      <c r="DB2100" s="0" t="str">
        <f aca="false">IF($A2100="","",IF($A2100&lt;&gt;21,"対象外",IF($AE2100&amp;""="00000000","在職",IF($AE2100&amp;""=設定!$C$4,"4/1喪失","その他喪失"))))</f>
        <v/>
      </c>
    </row>
    <row r="2101" customFormat="false" ht="15" hidden="false" customHeight="false" outlineLevel="0" collapsed="false">
      <c r="DB2101" s="0" t="str">
        <f aca="false">IF($A2101="","",IF($A2101&lt;&gt;21,"対象外",IF($AE2101&amp;""="00000000","在職",IF($AE2101&amp;""=設定!$C$4,"4/1喪失","その他喪失"))))</f>
        <v/>
      </c>
    </row>
    <row r="2102" customFormat="false" ht="15" hidden="false" customHeight="false" outlineLevel="0" collapsed="false">
      <c r="DB2102" s="0" t="str">
        <f aca="false">IF($A2102="","",IF($A2102&lt;&gt;21,"対象外",IF($AE2102&amp;""="00000000","在職",IF($AE2102&amp;""=設定!$C$4,"4/1喪失","その他喪失"))))</f>
        <v/>
      </c>
    </row>
    <row r="2103" customFormat="false" ht="15" hidden="false" customHeight="false" outlineLevel="0" collapsed="false">
      <c r="DB2103" s="0" t="str">
        <f aca="false">IF($A2103="","",IF($A2103&lt;&gt;21,"対象外",IF($AE2103&amp;""="00000000","在職",IF($AE2103&amp;""=設定!$C$4,"4/1喪失","その他喪失"))))</f>
        <v/>
      </c>
    </row>
    <row r="2104" customFormat="false" ht="15" hidden="false" customHeight="false" outlineLevel="0" collapsed="false">
      <c r="DB2104" s="0" t="str">
        <f aca="false">IF($A2104="","",IF($A2104&lt;&gt;21,"対象外",IF($AE2104&amp;""="00000000","在職",IF($AE2104&amp;""=設定!$C$4,"4/1喪失","その他喪失"))))</f>
        <v/>
      </c>
    </row>
    <row r="2105" customFormat="false" ht="15" hidden="false" customHeight="false" outlineLevel="0" collapsed="false">
      <c r="DB2105" s="0" t="str">
        <f aca="false">IF($A2105="","",IF($A2105&lt;&gt;21,"対象外",IF($AE2105&amp;""="00000000","在職",IF($AE2105&amp;""=設定!$C$4,"4/1喪失","その他喪失"))))</f>
        <v/>
      </c>
    </row>
    <row r="2106" customFormat="false" ht="15" hidden="false" customHeight="false" outlineLevel="0" collapsed="false">
      <c r="DB2106" s="0" t="str">
        <f aca="false">IF($A2106="","",IF($A2106&lt;&gt;21,"対象外",IF($AE2106&amp;""="00000000","在職",IF($AE2106&amp;""=設定!$C$4,"4/1喪失","その他喪失"))))</f>
        <v/>
      </c>
    </row>
    <row r="2107" customFormat="false" ht="15" hidden="false" customHeight="false" outlineLevel="0" collapsed="false">
      <c r="DB2107" s="0" t="str">
        <f aca="false">IF($A2107="","",IF($A2107&lt;&gt;21,"対象外",IF($AE2107&amp;""="00000000","在職",IF($AE2107&amp;""=設定!$C$4,"4/1喪失","その他喪失"))))</f>
        <v/>
      </c>
    </row>
    <row r="2108" customFormat="false" ht="15" hidden="false" customHeight="false" outlineLevel="0" collapsed="false">
      <c r="DB2108" s="0" t="str">
        <f aca="false">IF($A2108="","",IF($A2108&lt;&gt;21,"対象外",IF($AE2108&amp;""="00000000","在職",IF($AE2108&amp;""=設定!$C$4,"4/1喪失","その他喪失"))))</f>
        <v/>
      </c>
    </row>
    <row r="2109" customFormat="false" ht="15" hidden="false" customHeight="false" outlineLevel="0" collapsed="false">
      <c r="DB2109" s="0" t="str">
        <f aca="false">IF($A2109="","",IF($A2109&lt;&gt;21,"対象外",IF($AE2109&amp;""="00000000","在職",IF($AE2109&amp;""=設定!$C$4,"4/1喪失","その他喪失"))))</f>
        <v/>
      </c>
    </row>
    <row r="2110" customFormat="false" ht="15" hidden="false" customHeight="false" outlineLevel="0" collapsed="false">
      <c r="DB2110" s="0" t="str">
        <f aca="false">IF($A2110="","",IF($A2110&lt;&gt;21,"対象外",IF($AE2110&amp;""="00000000","在職",IF($AE2110&amp;""=設定!$C$4,"4/1喪失","その他喪失"))))</f>
        <v/>
      </c>
    </row>
    <row r="2111" customFormat="false" ht="15" hidden="false" customHeight="false" outlineLevel="0" collapsed="false">
      <c r="DB2111" s="0" t="str">
        <f aca="false">IF($A2111="","",IF($A2111&lt;&gt;21,"対象外",IF($AE2111&amp;""="00000000","在職",IF($AE2111&amp;""=設定!$C$4,"4/1喪失","その他喪失"))))</f>
        <v/>
      </c>
    </row>
    <row r="2112" customFormat="false" ht="15" hidden="false" customHeight="false" outlineLevel="0" collapsed="false">
      <c r="DB2112" s="0" t="str">
        <f aca="false">IF($A2112="","",IF($A2112&lt;&gt;21,"対象外",IF($AE2112&amp;""="00000000","在職",IF($AE2112&amp;""=設定!$C$4,"4/1喪失","その他喪失"))))</f>
        <v/>
      </c>
    </row>
    <row r="2113" customFormat="false" ht="15" hidden="false" customHeight="false" outlineLevel="0" collapsed="false">
      <c r="DB2113" s="0" t="str">
        <f aca="false">IF($A2113="","",IF($A2113&lt;&gt;21,"対象外",IF($AE2113&amp;""="00000000","在職",IF($AE2113&amp;""=設定!$C$4,"4/1喪失","その他喪失"))))</f>
        <v/>
      </c>
    </row>
    <row r="2114" customFormat="false" ht="15" hidden="false" customHeight="false" outlineLevel="0" collapsed="false">
      <c r="DB2114" s="0" t="str">
        <f aca="false">IF($A2114="","",IF($A2114&lt;&gt;21,"対象外",IF($AE2114&amp;""="00000000","在職",IF($AE2114&amp;""=設定!$C$4,"4/1喪失","その他喪失"))))</f>
        <v/>
      </c>
    </row>
    <row r="2115" customFormat="false" ht="15" hidden="false" customHeight="false" outlineLevel="0" collapsed="false">
      <c r="DB2115" s="0" t="str">
        <f aca="false">IF($A2115="","",IF($A2115&lt;&gt;21,"対象外",IF($AE2115&amp;""="00000000","在職",IF($AE2115&amp;""=設定!$C$4,"4/1喪失","その他喪失"))))</f>
        <v/>
      </c>
    </row>
    <row r="2116" customFormat="false" ht="15" hidden="false" customHeight="false" outlineLevel="0" collapsed="false">
      <c r="DB2116" s="0" t="str">
        <f aca="false">IF($A2116="","",IF($A2116&lt;&gt;21,"対象外",IF($AE2116&amp;""="00000000","在職",IF($AE2116&amp;""=設定!$C$4,"4/1喪失","その他喪失"))))</f>
        <v/>
      </c>
    </row>
    <row r="2117" customFormat="false" ht="15" hidden="false" customHeight="false" outlineLevel="0" collapsed="false">
      <c r="DB2117" s="0" t="str">
        <f aca="false">IF($A2117="","",IF($A2117&lt;&gt;21,"対象外",IF($AE2117&amp;""="00000000","在職",IF($AE2117&amp;""=設定!$C$4,"4/1喪失","その他喪失"))))</f>
        <v/>
      </c>
    </row>
    <row r="2118" customFormat="false" ht="15" hidden="false" customHeight="false" outlineLevel="0" collapsed="false">
      <c r="DB2118" s="0" t="str">
        <f aca="false">IF($A2118="","",IF($A2118&lt;&gt;21,"対象外",IF($AE2118&amp;""="00000000","在職",IF($AE2118&amp;""=設定!$C$4,"4/1喪失","その他喪失"))))</f>
        <v/>
      </c>
    </row>
    <row r="2119" customFormat="false" ht="15" hidden="false" customHeight="false" outlineLevel="0" collapsed="false">
      <c r="DB2119" s="0" t="str">
        <f aca="false">IF($A2119="","",IF($A2119&lt;&gt;21,"対象外",IF($AE2119&amp;""="00000000","在職",IF($AE2119&amp;""=設定!$C$4,"4/1喪失","その他喪失"))))</f>
        <v/>
      </c>
    </row>
    <row r="2120" customFormat="false" ht="15" hidden="false" customHeight="false" outlineLevel="0" collapsed="false">
      <c r="DB2120" s="0" t="str">
        <f aca="false">IF($A2120="","",IF($A2120&lt;&gt;21,"対象外",IF($AE2120&amp;""="00000000","在職",IF($AE2120&amp;""=設定!$C$4,"4/1喪失","その他喪失"))))</f>
        <v/>
      </c>
    </row>
    <row r="2121" customFormat="false" ht="15" hidden="false" customHeight="false" outlineLevel="0" collapsed="false">
      <c r="DB2121" s="0" t="str">
        <f aca="false">IF($A2121="","",IF($A2121&lt;&gt;21,"対象外",IF($AE2121&amp;""="00000000","在職",IF($AE2121&amp;""=設定!$C$4,"4/1喪失","その他喪失"))))</f>
        <v/>
      </c>
    </row>
    <row r="2122" customFormat="false" ht="15" hidden="false" customHeight="false" outlineLevel="0" collapsed="false">
      <c r="DB2122" s="0" t="str">
        <f aca="false">IF($A2122="","",IF($A2122&lt;&gt;21,"対象外",IF($AE2122&amp;""="00000000","在職",IF($AE2122&amp;""=設定!$C$4,"4/1喪失","その他喪失"))))</f>
        <v/>
      </c>
    </row>
    <row r="2123" customFormat="false" ht="15" hidden="false" customHeight="false" outlineLevel="0" collapsed="false">
      <c r="DB2123" s="0" t="str">
        <f aca="false">IF($A2123="","",IF($A2123&lt;&gt;21,"対象外",IF($AE2123&amp;""="00000000","在職",IF($AE2123&amp;""=設定!$C$4,"4/1喪失","その他喪失"))))</f>
        <v/>
      </c>
    </row>
    <row r="2124" customFormat="false" ht="15" hidden="false" customHeight="false" outlineLevel="0" collapsed="false">
      <c r="DB2124" s="0" t="str">
        <f aca="false">IF($A2124="","",IF($A2124&lt;&gt;21,"対象外",IF($AE2124&amp;""="00000000","在職",IF($AE2124&amp;""=設定!$C$4,"4/1喪失","その他喪失"))))</f>
        <v/>
      </c>
    </row>
    <row r="2125" customFormat="false" ht="15" hidden="false" customHeight="false" outlineLevel="0" collapsed="false">
      <c r="DB2125" s="0" t="str">
        <f aca="false">IF($A2125="","",IF($A2125&lt;&gt;21,"対象外",IF($AE2125&amp;""="00000000","在職",IF($AE2125&amp;""=設定!$C$4,"4/1喪失","その他喪失"))))</f>
        <v/>
      </c>
    </row>
    <row r="2126" customFormat="false" ht="15" hidden="false" customHeight="false" outlineLevel="0" collapsed="false">
      <c r="DB2126" s="0" t="str">
        <f aca="false">IF($A2126="","",IF($A2126&lt;&gt;21,"対象外",IF($AE2126&amp;""="00000000","在職",IF($AE2126&amp;""=設定!$C$4,"4/1喪失","その他喪失"))))</f>
        <v/>
      </c>
    </row>
    <row r="2127" customFormat="false" ht="15" hidden="false" customHeight="false" outlineLevel="0" collapsed="false">
      <c r="DB2127" s="0" t="str">
        <f aca="false">IF($A2127="","",IF($A2127&lt;&gt;21,"対象外",IF($AE2127&amp;""="00000000","在職",IF($AE2127&amp;""=設定!$C$4,"4/1喪失","その他喪失"))))</f>
        <v/>
      </c>
    </row>
    <row r="2128" customFormat="false" ht="15" hidden="false" customHeight="false" outlineLevel="0" collapsed="false">
      <c r="DB2128" s="0" t="str">
        <f aca="false">IF($A2128="","",IF($A2128&lt;&gt;21,"対象外",IF($AE2128&amp;""="00000000","在職",IF($AE2128&amp;""=設定!$C$4,"4/1喪失","その他喪失"))))</f>
        <v/>
      </c>
    </row>
    <row r="2129" customFormat="false" ht="15" hidden="false" customHeight="false" outlineLevel="0" collapsed="false">
      <c r="DB2129" s="0" t="str">
        <f aca="false">IF($A2129="","",IF($A2129&lt;&gt;21,"対象外",IF($AE2129&amp;""="00000000","在職",IF($AE2129&amp;""=設定!$C$4,"4/1喪失","その他喪失"))))</f>
        <v/>
      </c>
    </row>
    <row r="2130" customFormat="false" ht="15" hidden="false" customHeight="false" outlineLevel="0" collapsed="false">
      <c r="DB2130" s="0" t="str">
        <f aca="false">IF($A2130="","",IF($A2130&lt;&gt;21,"対象外",IF($AE2130&amp;""="00000000","在職",IF($AE2130&amp;""=設定!$C$4,"4/1喪失","その他喪失"))))</f>
        <v/>
      </c>
    </row>
    <row r="2131" customFormat="false" ht="15" hidden="false" customHeight="false" outlineLevel="0" collapsed="false">
      <c r="DB2131" s="0" t="str">
        <f aca="false">IF($A2131="","",IF($A2131&lt;&gt;21,"対象外",IF($AE2131&amp;""="00000000","在職",IF($AE2131&amp;""=設定!$C$4,"4/1喪失","その他喪失"))))</f>
        <v/>
      </c>
    </row>
    <row r="2132" customFormat="false" ht="15" hidden="false" customHeight="false" outlineLevel="0" collapsed="false">
      <c r="DB2132" s="0" t="str">
        <f aca="false">IF($A2132="","",IF($A2132&lt;&gt;21,"対象外",IF($AE2132&amp;""="00000000","在職",IF($AE2132&amp;""=設定!$C$4,"4/1喪失","その他喪失"))))</f>
        <v/>
      </c>
    </row>
    <row r="2133" customFormat="false" ht="15" hidden="false" customHeight="false" outlineLevel="0" collapsed="false">
      <c r="DB2133" s="0" t="str">
        <f aca="false">IF($A2133="","",IF($A2133&lt;&gt;21,"対象外",IF($AE2133&amp;""="00000000","在職",IF($AE2133&amp;""=設定!$C$4,"4/1喪失","その他喪失"))))</f>
        <v/>
      </c>
    </row>
    <row r="2134" customFormat="false" ht="15" hidden="false" customHeight="false" outlineLevel="0" collapsed="false">
      <c r="DB2134" s="0" t="str">
        <f aca="false">IF($A2134="","",IF($A2134&lt;&gt;21,"対象外",IF($AE2134&amp;""="00000000","在職",IF($AE2134&amp;""=設定!$C$4,"4/1喪失","その他喪失"))))</f>
        <v/>
      </c>
    </row>
    <row r="2135" customFormat="false" ht="15" hidden="false" customHeight="false" outlineLevel="0" collapsed="false">
      <c r="DB2135" s="0" t="str">
        <f aca="false">IF($A2135="","",IF($A2135&lt;&gt;21,"対象外",IF($AE2135&amp;""="00000000","在職",IF($AE2135&amp;""=設定!$C$4,"4/1喪失","その他喪失"))))</f>
        <v/>
      </c>
    </row>
    <row r="2136" customFormat="false" ht="15" hidden="false" customHeight="false" outlineLevel="0" collapsed="false">
      <c r="DB2136" s="0" t="str">
        <f aca="false">IF($A2136="","",IF($A2136&lt;&gt;21,"対象外",IF($AE2136&amp;""="00000000","在職",IF($AE2136&amp;""=設定!$C$4,"4/1喪失","その他喪失"))))</f>
        <v/>
      </c>
    </row>
    <row r="2137" customFormat="false" ht="15" hidden="false" customHeight="false" outlineLevel="0" collapsed="false">
      <c r="DB2137" s="0" t="str">
        <f aca="false">IF($A2137="","",IF($A2137&lt;&gt;21,"対象外",IF($AE2137&amp;""="00000000","在職",IF($AE2137&amp;""=設定!$C$4,"4/1喪失","その他喪失"))))</f>
        <v/>
      </c>
    </row>
    <row r="2138" customFormat="false" ht="15" hidden="false" customHeight="false" outlineLevel="0" collapsed="false">
      <c r="DB2138" s="0" t="str">
        <f aca="false">IF($A2138="","",IF($A2138&lt;&gt;21,"対象外",IF($AE2138&amp;""="00000000","在職",IF($AE2138&amp;""=設定!$C$4,"4/1喪失","その他喪失"))))</f>
        <v/>
      </c>
    </row>
    <row r="2139" customFormat="false" ht="15" hidden="false" customHeight="false" outlineLevel="0" collapsed="false">
      <c r="DB2139" s="0" t="str">
        <f aca="false">IF($A2139="","",IF($A2139&lt;&gt;21,"対象外",IF($AE2139&amp;""="00000000","在職",IF($AE2139&amp;""=設定!$C$4,"4/1喪失","その他喪失"))))</f>
        <v/>
      </c>
    </row>
    <row r="2140" customFormat="false" ht="15" hidden="false" customHeight="false" outlineLevel="0" collapsed="false">
      <c r="DB2140" s="0" t="str">
        <f aca="false">IF($A2140="","",IF($A2140&lt;&gt;21,"対象外",IF($AE2140&amp;""="00000000","在職",IF($AE2140&amp;""=設定!$C$4,"4/1喪失","その他喪失"))))</f>
        <v/>
      </c>
    </row>
    <row r="2141" customFormat="false" ht="15" hidden="false" customHeight="false" outlineLevel="0" collapsed="false">
      <c r="DB2141" s="0" t="str">
        <f aca="false">IF($A2141="","",IF($A2141&lt;&gt;21,"対象外",IF($AE2141&amp;""="00000000","在職",IF($AE2141&amp;""=設定!$C$4,"4/1喪失","その他喪失"))))</f>
        <v/>
      </c>
    </row>
    <row r="2142" customFormat="false" ht="15" hidden="false" customHeight="false" outlineLevel="0" collapsed="false">
      <c r="DB2142" s="0" t="str">
        <f aca="false">IF($A2142="","",IF($A2142&lt;&gt;21,"対象外",IF($AE2142&amp;""="00000000","在職",IF($AE2142&amp;""=設定!$C$4,"4/1喪失","その他喪失"))))</f>
        <v/>
      </c>
    </row>
    <row r="2143" customFormat="false" ht="15" hidden="false" customHeight="false" outlineLevel="0" collapsed="false">
      <c r="DB2143" s="0" t="str">
        <f aca="false">IF($A2143="","",IF($A2143&lt;&gt;21,"対象外",IF($AE2143&amp;""="00000000","在職",IF($AE2143&amp;""=設定!$C$4,"4/1喪失","その他喪失"))))</f>
        <v/>
      </c>
    </row>
    <row r="2144" customFormat="false" ht="15" hidden="false" customHeight="false" outlineLevel="0" collapsed="false">
      <c r="DB2144" s="0" t="str">
        <f aca="false">IF($A2144="","",IF($A2144&lt;&gt;21,"対象外",IF($AE2144&amp;""="00000000","在職",IF($AE2144&amp;""=設定!$C$4,"4/1喪失","その他喪失"))))</f>
        <v/>
      </c>
    </row>
    <row r="2145" customFormat="false" ht="15" hidden="false" customHeight="false" outlineLevel="0" collapsed="false">
      <c r="DB2145" s="0" t="str">
        <f aca="false">IF($A2145="","",IF($A2145&lt;&gt;21,"対象外",IF($AE2145&amp;""="00000000","在職",IF($AE2145&amp;""=設定!$C$4,"4/1喪失","その他喪失"))))</f>
        <v/>
      </c>
    </row>
    <row r="2146" customFormat="false" ht="15" hidden="false" customHeight="false" outlineLevel="0" collapsed="false">
      <c r="DB2146" s="0" t="str">
        <f aca="false">IF($A2146="","",IF($A2146&lt;&gt;21,"対象外",IF($AE2146&amp;""="00000000","在職",IF($AE2146&amp;""=設定!$C$4,"4/1喪失","その他喪失"))))</f>
        <v/>
      </c>
    </row>
    <row r="2147" customFormat="false" ht="15" hidden="false" customHeight="false" outlineLevel="0" collapsed="false">
      <c r="DB2147" s="0" t="str">
        <f aca="false">IF($A2147="","",IF($A2147&lt;&gt;21,"対象外",IF($AE2147&amp;""="00000000","在職",IF($AE2147&amp;""=設定!$C$4,"4/1喪失","その他喪失"))))</f>
        <v/>
      </c>
    </row>
    <row r="2148" customFormat="false" ht="15" hidden="false" customHeight="false" outlineLevel="0" collapsed="false">
      <c r="DB2148" s="0" t="str">
        <f aca="false">IF($A2148="","",IF($A2148&lt;&gt;21,"対象外",IF($AE2148&amp;""="00000000","在職",IF($AE2148&amp;""=設定!$C$4,"4/1喪失","その他喪失"))))</f>
        <v/>
      </c>
    </row>
    <row r="2149" customFormat="false" ht="15" hidden="false" customHeight="false" outlineLevel="0" collapsed="false">
      <c r="DB2149" s="0" t="str">
        <f aca="false">IF($A2149="","",IF($A2149&lt;&gt;21,"対象外",IF($AE2149&amp;""="00000000","在職",IF($AE2149&amp;""=設定!$C$4,"4/1喪失","その他喪失"))))</f>
        <v/>
      </c>
    </row>
    <row r="2150" customFormat="false" ht="15" hidden="false" customHeight="false" outlineLevel="0" collapsed="false">
      <c r="DB2150" s="0" t="str">
        <f aca="false">IF($A2150="","",IF($A2150&lt;&gt;21,"対象外",IF($AE2150&amp;""="00000000","在職",IF($AE2150&amp;""=設定!$C$4,"4/1喪失","その他喪失"))))</f>
        <v/>
      </c>
    </row>
    <row r="2151" customFormat="false" ht="15" hidden="false" customHeight="false" outlineLevel="0" collapsed="false">
      <c r="DB2151" s="0" t="str">
        <f aca="false">IF($A2151="","",IF($A2151&lt;&gt;21,"対象外",IF($AE2151&amp;""="00000000","在職",IF($AE2151&amp;""=設定!$C$4,"4/1喪失","その他喪失"))))</f>
        <v/>
      </c>
    </row>
    <row r="2152" customFormat="false" ht="15" hidden="false" customHeight="false" outlineLevel="0" collapsed="false">
      <c r="DB2152" s="0" t="str">
        <f aca="false">IF($A2152="","",IF($A2152&lt;&gt;21,"対象外",IF($AE2152&amp;""="00000000","在職",IF($AE2152&amp;""=設定!$C$4,"4/1喪失","その他喪失"))))</f>
        <v/>
      </c>
    </row>
    <row r="2153" customFormat="false" ht="15" hidden="false" customHeight="false" outlineLevel="0" collapsed="false">
      <c r="DB2153" s="0" t="str">
        <f aca="false">IF($A2153="","",IF($A2153&lt;&gt;21,"対象外",IF($AE2153&amp;""="00000000","在職",IF($AE2153&amp;""=設定!$C$4,"4/1喪失","その他喪失"))))</f>
        <v/>
      </c>
    </row>
    <row r="2154" customFormat="false" ht="15" hidden="false" customHeight="false" outlineLevel="0" collapsed="false">
      <c r="DB2154" s="0" t="str">
        <f aca="false">IF($A2154="","",IF($A2154&lt;&gt;21,"対象外",IF($AE2154&amp;""="00000000","在職",IF($AE2154&amp;""=設定!$C$4,"4/1喪失","その他喪失"))))</f>
        <v/>
      </c>
    </row>
    <row r="2155" customFormat="false" ht="15" hidden="false" customHeight="false" outlineLevel="0" collapsed="false">
      <c r="DB2155" s="0" t="str">
        <f aca="false">IF($A2155="","",IF($A2155&lt;&gt;21,"対象外",IF($AE2155&amp;""="00000000","在職",IF($AE2155&amp;""=設定!$C$4,"4/1喪失","その他喪失"))))</f>
        <v/>
      </c>
    </row>
    <row r="2156" customFormat="false" ht="15" hidden="false" customHeight="false" outlineLevel="0" collapsed="false">
      <c r="DB2156" s="0" t="str">
        <f aca="false">IF($A2156="","",IF($A2156&lt;&gt;21,"対象外",IF($AE2156&amp;""="00000000","在職",IF($AE2156&amp;""=設定!$C$4,"4/1喪失","その他喪失"))))</f>
        <v/>
      </c>
    </row>
    <row r="2157" customFormat="false" ht="15" hidden="false" customHeight="false" outlineLevel="0" collapsed="false">
      <c r="DB2157" s="0" t="str">
        <f aca="false">IF($A2157="","",IF($A2157&lt;&gt;21,"対象外",IF($AE2157&amp;""="00000000","在職",IF($AE2157&amp;""=設定!$C$4,"4/1喪失","その他喪失"))))</f>
        <v/>
      </c>
    </row>
    <row r="2158" customFormat="false" ht="15" hidden="false" customHeight="false" outlineLevel="0" collapsed="false">
      <c r="DB2158" s="0" t="str">
        <f aca="false">IF($A2158="","",IF($A2158&lt;&gt;21,"対象外",IF($AE2158&amp;""="00000000","在職",IF($AE2158&amp;""=設定!$C$4,"4/1喪失","その他喪失"))))</f>
        <v/>
      </c>
    </row>
    <row r="2159" customFormat="false" ht="15" hidden="false" customHeight="false" outlineLevel="0" collapsed="false">
      <c r="DB2159" s="0" t="str">
        <f aca="false">IF($A2159="","",IF($A2159&lt;&gt;21,"対象外",IF($AE2159&amp;""="00000000","在職",IF($AE2159&amp;""=設定!$C$4,"4/1喪失","その他喪失"))))</f>
        <v/>
      </c>
    </row>
    <row r="2160" customFormat="false" ht="15" hidden="false" customHeight="false" outlineLevel="0" collapsed="false">
      <c r="DB2160" s="0" t="str">
        <f aca="false">IF($A2160="","",IF($A2160&lt;&gt;21,"対象外",IF($AE2160&amp;""="00000000","在職",IF($AE2160&amp;""=設定!$C$4,"4/1喪失","その他喪失"))))</f>
        <v/>
      </c>
    </row>
    <row r="2161" customFormat="false" ht="15" hidden="false" customHeight="false" outlineLevel="0" collapsed="false">
      <c r="DB2161" s="0" t="str">
        <f aca="false">IF($A2161="","",IF($A2161&lt;&gt;21,"対象外",IF($AE2161&amp;""="00000000","在職",IF($AE2161&amp;""=設定!$C$4,"4/1喪失","その他喪失"))))</f>
        <v/>
      </c>
    </row>
    <row r="2162" customFormat="false" ht="15" hidden="false" customHeight="false" outlineLevel="0" collapsed="false">
      <c r="DB2162" s="0" t="str">
        <f aca="false">IF($A2162="","",IF($A2162&lt;&gt;21,"対象外",IF($AE2162&amp;""="00000000","在職",IF($AE2162&amp;""=設定!$C$4,"4/1喪失","その他喪失"))))</f>
        <v/>
      </c>
    </row>
    <row r="2163" customFormat="false" ht="15" hidden="false" customHeight="false" outlineLevel="0" collapsed="false">
      <c r="DB2163" s="0" t="str">
        <f aca="false">IF($A2163="","",IF($A2163&lt;&gt;21,"対象外",IF($AE2163&amp;""="00000000","在職",IF($AE2163&amp;""=設定!$C$4,"4/1喪失","その他喪失"))))</f>
        <v/>
      </c>
    </row>
    <row r="2164" customFormat="false" ht="15" hidden="false" customHeight="false" outlineLevel="0" collapsed="false">
      <c r="DB2164" s="0" t="str">
        <f aca="false">IF($A2164="","",IF($A2164&lt;&gt;21,"対象外",IF($AE2164&amp;""="00000000","在職",IF($AE2164&amp;""=設定!$C$4,"4/1喪失","その他喪失"))))</f>
        <v/>
      </c>
    </row>
    <row r="2165" customFormat="false" ht="15" hidden="false" customHeight="false" outlineLevel="0" collapsed="false">
      <c r="DB2165" s="0" t="str">
        <f aca="false">IF($A2165="","",IF($A2165&lt;&gt;21,"対象外",IF($AE2165&amp;""="00000000","在職",IF($AE2165&amp;""=設定!$C$4,"4/1喪失","その他喪失"))))</f>
        <v/>
      </c>
    </row>
    <row r="2166" customFormat="false" ht="15" hidden="false" customHeight="false" outlineLevel="0" collapsed="false">
      <c r="DB2166" s="0" t="str">
        <f aca="false">IF($A2166="","",IF($A2166&lt;&gt;21,"対象外",IF($AE2166&amp;""="00000000","在職",IF($AE2166&amp;""=設定!$C$4,"4/1喪失","その他喪失"))))</f>
        <v/>
      </c>
    </row>
    <row r="2167" customFormat="false" ht="15" hidden="false" customHeight="false" outlineLevel="0" collapsed="false">
      <c r="DB2167" s="0" t="str">
        <f aca="false">IF($A2167="","",IF($A2167&lt;&gt;21,"対象外",IF($AE2167&amp;""="00000000","在職",IF($AE2167&amp;""=設定!$C$4,"4/1喪失","その他喪失"))))</f>
        <v/>
      </c>
    </row>
    <row r="2168" customFormat="false" ht="15" hidden="false" customHeight="false" outlineLevel="0" collapsed="false">
      <c r="DB2168" s="0" t="str">
        <f aca="false">IF($A2168="","",IF($A2168&lt;&gt;21,"対象外",IF($AE2168&amp;""="00000000","在職",IF($AE2168&amp;""=設定!$C$4,"4/1喪失","その他喪失"))))</f>
        <v/>
      </c>
    </row>
    <row r="2169" customFormat="false" ht="15" hidden="false" customHeight="false" outlineLevel="0" collapsed="false">
      <c r="DB2169" s="0" t="str">
        <f aca="false">IF($A2169="","",IF($A2169&lt;&gt;21,"対象外",IF($AE2169&amp;""="00000000","在職",IF($AE2169&amp;""=設定!$C$4,"4/1喪失","その他喪失"))))</f>
        <v/>
      </c>
    </row>
    <row r="2170" customFormat="false" ht="15" hidden="false" customHeight="false" outlineLevel="0" collapsed="false">
      <c r="DB2170" s="0" t="str">
        <f aca="false">IF($A2170="","",IF($A2170&lt;&gt;21,"対象外",IF($AE2170&amp;""="00000000","在職",IF($AE2170&amp;""=設定!$C$4,"4/1喪失","その他喪失"))))</f>
        <v/>
      </c>
    </row>
    <row r="2171" customFormat="false" ht="15" hidden="false" customHeight="false" outlineLevel="0" collapsed="false">
      <c r="DB2171" s="0" t="str">
        <f aca="false">IF($A2171="","",IF($A2171&lt;&gt;21,"対象外",IF($AE2171&amp;""="00000000","在職",IF($AE2171&amp;""=設定!$C$4,"4/1喪失","その他喪失"))))</f>
        <v/>
      </c>
    </row>
    <row r="2172" customFormat="false" ht="15" hidden="false" customHeight="false" outlineLevel="0" collapsed="false">
      <c r="DB2172" s="0" t="str">
        <f aca="false">IF($A2172="","",IF($A2172&lt;&gt;21,"対象外",IF($AE2172&amp;""="00000000","在職",IF($AE2172&amp;""=設定!$C$4,"4/1喪失","その他喪失"))))</f>
        <v/>
      </c>
    </row>
    <row r="2173" customFormat="false" ht="15" hidden="false" customHeight="false" outlineLevel="0" collapsed="false">
      <c r="DB2173" s="0" t="str">
        <f aca="false">IF($A2173="","",IF($A2173&lt;&gt;21,"対象外",IF($AE2173&amp;""="00000000","在職",IF($AE2173&amp;""=設定!$C$4,"4/1喪失","その他喪失"))))</f>
        <v/>
      </c>
    </row>
    <row r="2174" customFormat="false" ht="15" hidden="false" customHeight="false" outlineLevel="0" collapsed="false">
      <c r="DB2174" s="0" t="str">
        <f aca="false">IF($A2174="","",IF($A2174&lt;&gt;21,"対象外",IF($AE2174&amp;""="00000000","在職",IF($AE2174&amp;""=設定!$C$4,"4/1喪失","その他喪失"))))</f>
        <v/>
      </c>
    </row>
    <row r="2175" customFormat="false" ht="15" hidden="false" customHeight="false" outlineLevel="0" collapsed="false">
      <c r="DB2175" s="0" t="str">
        <f aca="false">IF($A2175="","",IF($A2175&lt;&gt;21,"対象外",IF($AE2175&amp;""="00000000","在職",IF($AE2175&amp;""=設定!$C$4,"4/1喪失","その他喪失"))))</f>
        <v/>
      </c>
    </row>
    <row r="2176" customFormat="false" ht="15" hidden="false" customHeight="false" outlineLevel="0" collapsed="false">
      <c r="DB2176" s="0" t="str">
        <f aca="false">IF($A2176="","",IF($A2176&lt;&gt;21,"対象外",IF($AE2176&amp;""="00000000","在職",IF($AE2176&amp;""=設定!$C$4,"4/1喪失","その他喪失"))))</f>
        <v/>
      </c>
    </row>
    <row r="2177" customFormat="false" ht="15" hidden="false" customHeight="false" outlineLevel="0" collapsed="false">
      <c r="DB2177" s="0" t="str">
        <f aca="false">IF($A2177="","",IF($A2177&lt;&gt;21,"対象外",IF($AE2177&amp;""="00000000","在職",IF($AE2177&amp;""=設定!$C$4,"4/1喪失","その他喪失"))))</f>
        <v/>
      </c>
    </row>
    <row r="2178" customFormat="false" ht="15" hidden="false" customHeight="false" outlineLevel="0" collapsed="false">
      <c r="DB2178" s="0" t="str">
        <f aca="false">IF($A2178="","",IF($A2178&lt;&gt;21,"対象外",IF($AE2178&amp;""="00000000","在職",IF($AE2178&amp;""=設定!$C$4,"4/1喪失","その他喪失"))))</f>
        <v/>
      </c>
    </row>
    <row r="2179" customFormat="false" ht="15" hidden="false" customHeight="false" outlineLevel="0" collapsed="false">
      <c r="DB2179" s="0" t="str">
        <f aca="false">IF($A2179="","",IF($A2179&lt;&gt;21,"対象外",IF($AE2179&amp;""="00000000","在職",IF($AE2179&amp;""=設定!$C$4,"4/1喪失","その他喪失"))))</f>
        <v/>
      </c>
    </row>
    <row r="2180" customFormat="false" ht="15" hidden="false" customHeight="false" outlineLevel="0" collapsed="false">
      <c r="DB2180" s="0" t="str">
        <f aca="false">IF($A2180="","",IF($A2180&lt;&gt;21,"対象外",IF($AE2180&amp;""="00000000","在職",IF($AE2180&amp;""=設定!$C$4,"4/1喪失","その他喪失"))))</f>
        <v/>
      </c>
    </row>
    <row r="2181" customFormat="false" ht="15" hidden="false" customHeight="false" outlineLevel="0" collapsed="false">
      <c r="DB2181" s="0" t="str">
        <f aca="false">IF($A2181="","",IF($A2181&lt;&gt;21,"対象外",IF($AE2181&amp;""="00000000","在職",IF($AE2181&amp;""=設定!$C$4,"4/1喪失","その他喪失"))))</f>
        <v/>
      </c>
    </row>
    <row r="2182" customFormat="false" ht="15" hidden="false" customHeight="false" outlineLevel="0" collapsed="false">
      <c r="DB2182" s="0" t="str">
        <f aca="false">IF($A2182="","",IF($A2182&lt;&gt;21,"対象外",IF($AE2182&amp;""="00000000","在職",IF($AE2182&amp;""=設定!$C$4,"4/1喪失","その他喪失"))))</f>
        <v/>
      </c>
    </row>
    <row r="2183" customFormat="false" ht="15" hidden="false" customHeight="false" outlineLevel="0" collapsed="false">
      <c r="DB2183" s="0" t="str">
        <f aca="false">IF($A2183="","",IF($A2183&lt;&gt;21,"対象外",IF($AE2183&amp;""="00000000","在職",IF($AE2183&amp;""=設定!$C$4,"4/1喪失","その他喪失"))))</f>
        <v/>
      </c>
    </row>
    <row r="2184" customFormat="false" ht="15" hidden="false" customHeight="false" outlineLevel="0" collapsed="false">
      <c r="DB2184" s="0" t="str">
        <f aca="false">IF($A2184="","",IF($A2184&lt;&gt;21,"対象外",IF($AE2184&amp;""="00000000","在職",IF($AE2184&amp;""=設定!$C$4,"4/1喪失","その他喪失"))))</f>
        <v/>
      </c>
    </row>
    <row r="2185" customFormat="false" ht="15" hidden="false" customHeight="false" outlineLevel="0" collapsed="false">
      <c r="DB2185" s="0" t="str">
        <f aca="false">IF($A2185="","",IF($A2185&lt;&gt;21,"対象外",IF($AE2185&amp;""="00000000","在職",IF($AE2185&amp;""=設定!$C$4,"4/1喪失","その他喪失"))))</f>
        <v/>
      </c>
    </row>
    <row r="2186" customFormat="false" ht="15" hidden="false" customHeight="false" outlineLevel="0" collapsed="false">
      <c r="DB2186" s="0" t="str">
        <f aca="false">IF($A2186="","",IF($A2186&lt;&gt;21,"対象外",IF($AE2186&amp;""="00000000","在職",IF($AE2186&amp;""=設定!$C$4,"4/1喪失","その他喪失"))))</f>
        <v/>
      </c>
    </row>
    <row r="2187" customFormat="false" ht="15" hidden="false" customHeight="false" outlineLevel="0" collapsed="false">
      <c r="DB2187" s="0" t="str">
        <f aca="false">IF($A2187="","",IF($A2187&lt;&gt;21,"対象外",IF($AE2187&amp;""="00000000","在職",IF($AE2187&amp;""=設定!$C$4,"4/1喪失","その他喪失"))))</f>
        <v/>
      </c>
    </row>
    <row r="2188" customFormat="false" ht="15" hidden="false" customHeight="false" outlineLevel="0" collapsed="false">
      <c r="DB2188" s="0" t="str">
        <f aca="false">IF($A2188="","",IF($A2188&lt;&gt;21,"対象外",IF($AE2188&amp;""="00000000","在職",IF($AE2188&amp;""=設定!$C$4,"4/1喪失","その他喪失"))))</f>
        <v/>
      </c>
    </row>
    <row r="2189" customFormat="false" ht="15" hidden="false" customHeight="false" outlineLevel="0" collapsed="false">
      <c r="DB2189" s="0" t="str">
        <f aca="false">IF($A2189="","",IF($A2189&lt;&gt;21,"対象外",IF($AE2189&amp;""="00000000","在職",IF($AE2189&amp;""=設定!$C$4,"4/1喪失","その他喪失"))))</f>
        <v/>
      </c>
    </row>
    <row r="2190" customFormat="false" ht="15" hidden="false" customHeight="false" outlineLevel="0" collapsed="false">
      <c r="DB2190" s="0" t="str">
        <f aca="false">IF($A2190="","",IF($A2190&lt;&gt;21,"対象外",IF($AE2190&amp;""="00000000","在職",IF($AE2190&amp;""=設定!$C$4,"4/1喪失","その他喪失"))))</f>
        <v/>
      </c>
    </row>
    <row r="2191" customFormat="false" ht="15" hidden="false" customHeight="false" outlineLevel="0" collapsed="false">
      <c r="DB2191" s="0" t="str">
        <f aca="false">IF($A2191="","",IF($A2191&lt;&gt;21,"対象外",IF($AE2191&amp;""="00000000","在職",IF($AE2191&amp;""=設定!$C$4,"4/1喪失","その他喪失"))))</f>
        <v/>
      </c>
    </row>
    <row r="2192" customFormat="false" ht="15" hidden="false" customHeight="false" outlineLevel="0" collapsed="false">
      <c r="DB2192" s="0" t="str">
        <f aca="false">IF($A2192="","",IF($A2192&lt;&gt;21,"対象外",IF($AE2192&amp;""="00000000","在職",IF($AE2192&amp;""=設定!$C$4,"4/1喪失","その他喪失"))))</f>
        <v/>
      </c>
    </row>
    <row r="2193" customFormat="false" ht="15" hidden="false" customHeight="false" outlineLevel="0" collapsed="false">
      <c r="DB2193" s="0" t="str">
        <f aca="false">IF($A2193="","",IF($A2193&lt;&gt;21,"対象外",IF($AE2193&amp;""="00000000","在職",IF($AE2193&amp;""=設定!$C$4,"4/1喪失","その他喪失"))))</f>
        <v/>
      </c>
    </row>
    <row r="2194" customFormat="false" ht="15" hidden="false" customHeight="false" outlineLevel="0" collapsed="false">
      <c r="DB2194" s="0" t="str">
        <f aca="false">IF($A2194="","",IF($A2194&lt;&gt;21,"対象外",IF($AE2194&amp;""="00000000","在職",IF($AE2194&amp;""=設定!$C$4,"4/1喪失","その他喪失"))))</f>
        <v/>
      </c>
    </row>
    <row r="2195" customFormat="false" ht="15" hidden="false" customHeight="false" outlineLevel="0" collapsed="false">
      <c r="DB2195" s="0" t="str">
        <f aca="false">IF($A2195="","",IF($A2195&lt;&gt;21,"対象外",IF($AE2195&amp;""="00000000","在職",IF($AE2195&amp;""=設定!$C$4,"4/1喪失","その他喪失"))))</f>
        <v/>
      </c>
    </row>
    <row r="2196" customFormat="false" ht="15" hidden="false" customHeight="false" outlineLevel="0" collapsed="false">
      <c r="DB2196" s="0" t="str">
        <f aca="false">IF($A2196="","",IF($A2196&lt;&gt;21,"対象外",IF($AE2196&amp;""="00000000","在職",IF($AE2196&amp;""=設定!$C$4,"4/1喪失","その他喪失"))))</f>
        <v/>
      </c>
    </row>
    <row r="2197" customFormat="false" ht="15" hidden="false" customHeight="false" outlineLevel="0" collapsed="false">
      <c r="DB2197" s="0" t="str">
        <f aca="false">IF($A2197="","",IF($A2197&lt;&gt;21,"対象外",IF($AE2197&amp;""="00000000","在職",IF($AE2197&amp;""=設定!$C$4,"4/1喪失","その他喪失"))))</f>
        <v/>
      </c>
    </row>
    <row r="2198" customFormat="false" ht="15" hidden="false" customHeight="false" outlineLevel="0" collapsed="false">
      <c r="DB2198" s="0" t="str">
        <f aca="false">IF($A2198="","",IF($A2198&lt;&gt;21,"対象外",IF($AE2198&amp;""="00000000","在職",IF($AE2198&amp;""=設定!$C$4,"4/1喪失","その他喪失"))))</f>
        <v/>
      </c>
    </row>
    <row r="2199" customFormat="false" ht="15" hidden="false" customHeight="false" outlineLevel="0" collapsed="false">
      <c r="DB2199" s="0" t="str">
        <f aca="false">IF($A2199="","",IF($A2199&lt;&gt;21,"対象外",IF($AE2199&amp;""="00000000","在職",IF($AE2199&amp;""=設定!$C$4,"4/1喪失","その他喪失"))))</f>
        <v/>
      </c>
    </row>
    <row r="2200" customFormat="false" ht="15" hidden="false" customHeight="false" outlineLevel="0" collapsed="false">
      <c r="DB2200" s="0" t="str">
        <f aca="false">IF($A2200="","",IF($A2200&lt;&gt;21,"対象外",IF($AE2200&amp;""="00000000","在職",IF($AE2200&amp;""=設定!$C$4,"4/1喪失","その他喪失"))))</f>
        <v/>
      </c>
    </row>
    <row r="2201" customFormat="false" ht="15" hidden="false" customHeight="false" outlineLevel="0" collapsed="false">
      <c r="DB2201" s="0" t="str">
        <f aca="false">IF($A2201="","",IF($A2201&lt;&gt;21,"対象外",IF($AE2201&amp;""="00000000","在職",IF($AE2201&amp;""=設定!$C$4,"4/1喪失","その他喪失"))))</f>
        <v/>
      </c>
    </row>
    <row r="2202" customFormat="false" ht="15" hidden="false" customHeight="false" outlineLevel="0" collapsed="false">
      <c r="DB2202" s="0" t="str">
        <f aca="false">IF($A2202="","",IF($A2202&lt;&gt;21,"対象外",IF($AE2202&amp;""="00000000","在職",IF($AE2202&amp;""=設定!$C$4,"4/1喪失","その他喪失"))))</f>
        <v/>
      </c>
    </row>
    <row r="2203" customFormat="false" ht="15" hidden="false" customHeight="false" outlineLevel="0" collapsed="false">
      <c r="DB2203" s="0" t="str">
        <f aca="false">IF($A2203="","",IF($A2203&lt;&gt;21,"対象外",IF($AE2203&amp;""="00000000","在職",IF($AE2203&amp;""=設定!$C$4,"4/1喪失","その他喪失"))))</f>
        <v/>
      </c>
    </row>
    <row r="2204" customFormat="false" ht="15" hidden="false" customHeight="false" outlineLevel="0" collapsed="false">
      <c r="DB2204" s="0" t="str">
        <f aca="false">IF($A2204="","",IF($A2204&lt;&gt;21,"対象外",IF($AE2204&amp;""="00000000","在職",IF($AE2204&amp;""=設定!$C$4,"4/1喪失","その他喪失"))))</f>
        <v/>
      </c>
    </row>
    <row r="2205" customFormat="false" ht="15" hidden="false" customHeight="false" outlineLevel="0" collapsed="false">
      <c r="DB2205" s="0" t="str">
        <f aca="false">IF($A2205="","",IF($A2205&lt;&gt;21,"対象外",IF($AE2205&amp;""="00000000","在職",IF($AE2205&amp;""=設定!$C$4,"4/1喪失","その他喪失"))))</f>
        <v/>
      </c>
    </row>
    <row r="2206" customFormat="false" ht="15" hidden="false" customHeight="false" outlineLevel="0" collapsed="false">
      <c r="DB2206" s="0" t="str">
        <f aca="false">IF($A2206="","",IF($A2206&lt;&gt;21,"対象外",IF($AE2206&amp;""="00000000","在職",IF($AE2206&amp;""=設定!$C$4,"4/1喪失","その他喪失"))))</f>
        <v/>
      </c>
    </row>
    <row r="2207" customFormat="false" ht="15" hidden="false" customHeight="false" outlineLevel="0" collapsed="false">
      <c r="DB2207" s="0" t="str">
        <f aca="false">IF($A2207="","",IF($A2207&lt;&gt;21,"対象外",IF($AE2207&amp;""="00000000","在職",IF($AE2207&amp;""=設定!$C$4,"4/1喪失","その他喪失"))))</f>
        <v/>
      </c>
    </row>
    <row r="2208" customFormat="false" ht="15" hidden="false" customHeight="false" outlineLevel="0" collapsed="false">
      <c r="DB2208" s="0" t="str">
        <f aca="false">IF($A2208="","",IF($A2208&lt;&gt;21,"対象外",IF($AE2208&amp;""="00000000","在職",IF($AE2208&amp;""=設定!$C$4,"4/1喪失","その他喪失"))))</f>
        <v/>
      </c>
    </row>
    <row r="2209" customFormat="false" ht="15" hidden="false" customHeight="false" outlineLevel="0" collapsed="false">
      <c r="DB2209" s="0" t="str">
        <f aca="false">IF($A2209="","",IF($A2209&lt;&gt;21,"対象外",IF($AE2209&amp;""="00000000","在職",IF($AE2209&amp;""=設定!$C$4,"4/1喪失","その他喪失"))))</f>
        <v/>
      </c>
    </row>
    <row r="2210" customFormat="false" ht="15" hidden="false" customHeight="false" outlineLevel="0" collapsed="false">
      <c r="DB2210" s="0" t="str">
        <f aca="false">IF($A2210="","",IF($A2210&lt;&gt;21,"対象外",IF($AE2210&amp;""="00000000","在職",IF($AE2210&amp;""=設定!$C$4,"4/1喪失","その他喪失"))))</f>
        <v/>
      </c>
    </row>
    <row r="2211" customFormat="false" ht="15" hidden="false" customHeight="false" outlineLevel="0" collapsed="false">
      <c r="DB2211" s="0" t="str">
        <f aca="false">IF($A2211="","",IF($A2211&lt;&gt;21,"対象外",IF($AE2211&amp;""="00000000","在職",IF($AE2211&amp;""=設定!$C$4,"4/1喪失","その他喪失"))))</f>
        <v/>
      </c>
    </row>
    <row r="2212" customFormat="false" ht="15" hidden="false" customHeight="false" outlineLevel="0" collapsed="false">
      <c r="DB2212" s="0" t="str">
        <f aca="false">IF($A2212="","",IF($A2212&lt;&gt;21,"対象外",IF($AE2212&amp;""="00000000","在職",IF($AE2212&amp;""=設定!$C$4,"4/1喪失","その他喪失"))))</f>
        <v/>
      </c>
    </row>
    <row r="2213" customFormat="false" ht="15" hidden="false" customHeight="false" outlineLevel="0" collapsed="false">
      <c r="DB2213" s="0" t="str">
        <f aca="false">IF($A2213="","",IF($A2213&lt;&gt;21,"対象外",IF($AE2213&amp;""="00000000","在職",IF($AE2213&amp;""=設定!$C$4,"4/1喪失","その他喪失"))))</f>
        <v/>
      </c>
    </row>
    <row r="2214" customFormat="false" ht="15" hidden="false" customHeight="false" outlineLevel="0" collapsed="false">
      <c r="DB2214" s="0" t="str">
        <f aca="false">IF($A2214="","",IF($A2214&lt;&gt;21,"対象外",IF($AE2214&amp;""="00000000","在職",IF($AE2214&amp;""=設定!$C$4,"4/1喪失","その他喪失"))))</f>
        <v/>
      </c>
    </row>
    <row r="2215" customFormat="false" ht="15" hidden="false" customHeight="false" outlineLevel="0" collapsed="false">
      <c r="DB2215" s="0" t="str">
        <f aca="false">IF($A2215="","",IF($A2215&lt;&gt;21,"対象外",IF($AE2215&amp;""="00000000","在職",IF($AE2215&amp;""=設定!$C$4,"4/1喪失","その他喪失"))))</f>
        <v/>
      </c>
    </row>
    <row r="2216" customFormat="false" ht="15" hidden="false" customHeight="false" outlineLevel="0" collapsed="false">
      <c r="DB2216" s="0" t="str">
        <f aca="false">IF($A2216="","",IF($A2216&lt;&gt;21,"対象外",IF($AE2216&amp;""="00000000","在職",IF($AE2216&amp;""=設定!$C$4,"4/1喪失","その他喪失"))))</f>
        <v/>
      </c>
    </row>
    <row r="2217" customFormat="false" ht="15" hidden="false" customHeight="false" outlineLevel="0" collapsed="false">
      <c r="DB2217" s="0" t="str">
        <f aca="false">IF($A2217="","",IF($A2217&lt;&gt;21,"対象外",IF($AE2217&amp;""="00000000","在職",IF($AE2217&amp;""=設定!$C$4,"4/1喪失","その他喪失"))))</f>
        <v/>
      </c>
    </row>
    <row r="2218" customFormat="false" ht="15" hidden="false" customHeight="false" outlineLevel="0" collapsed="false">
      <c r="DB2218" s="0" t="str">
        <f aca="false">IF($A2218="","",IF($A2218&lt;&gt;21,"対象外",IF($AE2218&amp;""="00000000","在職",IF($AE2218&amp;""=設定!$C$4,"4/1喪失","その他喪失"))))</f>
        <v/>
      </c>
    </row>
    <row r="2219" customFormat="false" ht="15" hidden="false" customHeight="false" outlineLevel="0" collapsed="false">
      <c r="DB2219" s="0" t="str">
        <f aca="false">IF($A2219="","",IF($A2219&lt;&gt;21,"対象外",IF($AE2219&amp;""="00000000","在職",IF($AE2219&amp;""=設定!$C$4,"4/1喪失","その他喪失"))))</f>
        <v/>
      </c>
    </row>
    <row r="2220" customFormat="false" ht="15" hidden="false" customHeight="false" outlineLevel="0" collapsed="false">
      <c r="DB2220" s="0" t="str">
        <f aca="false">IF($A2220="","",IF($A2220&lt;&gt;21,"対象外",IF($AE2220&amp;""="00000000","在職",IF($AE2220&amp;""=設定!$C$4,"4/1喪失","その他喪失"))))</f>
        <v/>
      </c>
    </row>
    <row r="2221" customFormat="false" ht="15" hidden="false" customHeight="false" outlineLevel="0" collapsed="false">
      <c r="DB2221" s="0" t="str">
        <f aca="false">IF($A2221="","",IF($A2221&lt;&gt;21,"対象外",IF($AE2221&amp;""="00000000","在職",IF($AE2221&amp;""=設定!$C$4,"4/1喪失","その他喪失"))))</f>
        <v/>
      </c>
    </row>
    <row r="2222" customFormat="false" ht="15" hidden="false" customHeight="false" outlineLevel="0" collapsed="false">
      <c r="DB2222" s="0" t="str">
        <f aca="false">IF($A2222="","",IF($A2222&lt;&gt;21,"対象外",IF($AE2222&amp;""="00000000","在職",IF($AE2222&amp;""=設定!$C$4,"4/1喪失","その他喪失"))))</f>
        <v/>
      </c>
    </row>
    <row r="2223" customFormat="false" ht="15" hidden="false" customHeight="false" outlineLevel="0" collapsed="false">
      <c r="DB2223" s="0" t="str">
        <f aca="false">IF($A2223="","",IF($A2223&lt;&gt;21,"対象外",IF($AE2223&amp;""="00000000","在職",IF($AE2223&amp;""=設定!$C$4,"4/1喪失","その他喪失"))))</f>
        <v/>
      </c>
    </row>
    <row r="2224" customFormat="false" ht="15" hidden="false" customHeight="false" outlineLevel="0" collapsed="false">
      <c r="DB2224" s="0" t="str">
        <f aca="false">IF($A2224="","",IF($A2224&lt;&gt;21,"対象外",IF($AE2224&amp;""="00000000","在職",IF($AE2224&amp;""=設定!$C$4,"4/1喪失","その他喪失"))))</f>
        <v/>
      </c>
    </row>
    <row r="2225" customFormat="false" ht="15" hidden="false" customHeight="false" outlineLevel="0" collapsed="false">
      <c r="DB2225" s="0" t="str">
        <f aca="false">IF($A2225="","",IF($A2225&lt;&gt;21,"対象外",IF($AE2225&amp;""="00000000","在職",IF($AE2225&amp;""=設定!$C$4,"4/1喪失","その他喪失"))))</f>
        <v/>
      </c>
    </row>
    <row r="2226" customFormat="false" ht="15" hidden="false" customHeight="false" outlineLevel="0" collapsed="false">
      <c r="DB2226" s="0" t="str">
        <f aca="false">IF($A2226="","",IF($A2226&lt;&gt;21,"対象外",IF($AE2226&amp;""="00000000","在職",IF($AE2226&amp;""=設定!$C$4,"4/1喪失","その他喪失"))))</f>
        <v/>
      </c>
    </row>
    <row r="2227" customFormat="false" ht="15" hidden="false" customHeight="false" outlineLevel="0" collapsed="false">
      <c r="DB2227" s="0" t="str">
        <f aca="false">IF($A2227="","",IF($A2227&lt;&gt;21,"対象外",IF($AE2227&amp;""="00000000","在職",IF($AE2227&amp;""=設定!$C$4,"4/1喪失","その他喪失"))))</f>
        <v/>
      </c>
    </row>
    <row r="2228" customFormat="false" ht="15" hidden="false" customHeight="false" outlineLevel="0" collapsed="false">
      <c r="DB2228" s="0" t="str">
        <f aca="false">IF($A2228="","",IF($A2228&lt;&gt;21,"対象外",IF($AE2228&amp;""="00000000","在職",IF($AE2228&amp;""=設定!$C$4,"4/1喪失","その他喪失"))))</f>
        <v/>
      </c>
    </row>
    <row r="2229" customFormat="false" ht="15" hidden="false" customHeight="false" outlineLevel="0" collapsed="false">
      <c r="DB2229" s="0" t="str">
        <f aca="false">IF($A2229="","",IF($A2229&lt;&gt;21,"対象外",IF($AE2229&amp;""="00000000","在職",IF($AE2229&amp;""=設定!$C$4,"4/1喪失","その他喪失"))))</f>
        <v/>
      </c>
    </row>
    <row r="2230" customFormat="false" ht="15" hidden="false" customHeight="false" outlineLevel="0" collapsed="false">
      <c r="DB2230" s="0" t="str">
        <f aca="false">IF($A2230="","",IF($A2230&lt;&gt;21,"対象外",IF($AE2230&amp;""="00000000","在職",IF($AE2230&amp;""=設定!$C$4,"4/1喪失","その他喪失"))))</f>
        <v/>
      </c>
    </row>
    <row r="2231" customFormat="false" ht="15" hidden="false" customHeight="false" outlineLevel="0" collapsed="false">
      <c r="DB2231" s="0" t="str">
        <f aca="false">IF($A2231="","",IF($A2231&lt;&gt;21,"対象外",IF($AE2231&amp;""="00000000","在職",IF($AE2231&amp;""=設定!$C$4,"4/1喪失","その他喪失"))))</f>
        <v/>
      </c>
    </row>
    <row r="2232" customFormat="false" ht="15" hidden="false" customHeight="false" outlineLevel="0" collapsed="false">
      <c r="DB2232" s="0" t="str">
        <f aca="false">IF($A2232="","",IF($A2232&lt;&gt;21,"対象外",IF($AE2232&amp;""="00000000","在職",IF($AE2232&amp;""=設定!$C$4,"4/1喪失","その他喪失"))))</f>
        <v/>
      </c>
    </row>
    <row r="2233" customFormat="false" ht="15" hidden="false" customHeight="false" outlineLevel="0" collapsed="false">
      <c r="DB2233" s="0" t="str">
        <f aca="false">IF($A2233="","",IF($A2233&lt;&gt;21,"対象外",IF($AE2233&amp;""="00000000","在職",IF($AE2233&amp;""=設定!$C$4,"4/1喪失","その他喪失"))))</f>
        <v/>
      </c>
    </row>
    <row r="2234" customFormat="false" ht="15" hidden="false" customHeight="false" outlineLevel="0" collapsed="false">
      <c r="DB2234" s="0" t="str">
        <f aca="false">IF($A2234="","",IF($A2234&lt;&gt;21,"対象外",IF($AE2234&amp;""="00000000","在職",IF($AE2234&amp;""=設定!$C$4,"4/1喪失","その他喪失"))))</f>
        <v/>
      </c>
    </row>
    <row r="2235" customFormat="false" ht="15" hidden="false" customHeight="false" outlineLevel="0" collapsed="false">
      <c r="DB2235" s="0" t="str">
        <f aca="false">IF($A2235="","",IF($A2235&lt;&gt;21,"対象外",IF($AE2235&amp;""="00000000","在職",IF($AE2235&amp;""=設定!$C$4,"4/1喪失","その他喪失"))))</f>
        <v/>
      </c>
    </row>
    <row r="2236" customFormat="false" ht="15" hidden="false" customHeight="false" outlineLevel="0" collapsed="false">
      <c r="DB2236" s="0" t="str">
        <f aca="false">IF($A2236="","",IF($A2236&lt;&gt;21,"対象外",IF($AE2236&amp;""="00000000","在職",IF($AE2236&amp;""=設定!$C$4,"4/1喪失","その他喪失"))))</f>
        <v/>
      </c>
    </row>
    <row r="2237" customFormat="false" ht="15" hidden="false" customHeight="false" outlineLevel="0" collapsed="false">
      <c r="DB2237" s="0" t="str">
        <f aca="false">IF($A2237="","",IF($A2237&lt;&gt;21,"対象外",IF($AE2237&amp;""="00000000","在職",IF($AE2237&amp;""=設定!$C$4,"4/1喪失","その他喪失"))))</f>
        <v/>
      </c>
    </row>
    <row r="2238" customFormat="false" ht="15" hidden="false" customHeight="false" outlineLevel="0" collapsed="false">
      <c r="DB2238" s="0" t="str">
        <f aca="false">IF($A2238="","",IF($A2238&lt;&gt;21,"対象外",IF($AE2238&amp;""="00000000","在職",IF($AE2238&amp;""=設定!$C$4,"4/1喪失","その他喪失"))))</f>
        <v/>
      </c>
    </row>
    <row r="2239" customFormat="false" ht="15" hidden="false" customHeight="false" outlineLevel="0" collapsed="false">
      <c r="DB2239" s="0" t="str">
        <f aca="false">IF($A2239="","",IF($A2239&lt;&gt;21,"対象外",IF($AE2239&amp;""="00000000","在職",IF($AE2239&amp;""=設定!$C$4,"4/1喪失","その他喪失"))))</f>
        <v/>
      </c>
    </row>
    <row r="2240" customFormat="false" ht="15" hidden="false" customHeight="false" outlineLevel="0" collapsed="false">
      <c r="DB2240" s="0" t="str">
        <f aca="false">IF($A2240="","",IF($A2240&lt;&gt;21,"対象外",IF($AE2240&amp;""="00000000","在職",IF($AE2240&amp;""=設定!$C$4,"4/1喪失","その他喪失"))))</f>
        <v/>
      </c>
    </row>
    <row r="2241" customFormat="false" ht="15" hidden="false" customHeight="false" outlineLevel="0" collapsed="false">
      <c r="DB2241" s="0" t="str">
        <f aca="false">IF($A2241="","",IF($A2241&lt;&gt;21,"対象外",IF($AE2241&amp;""="00000000","在職",IF($AE2241&amp;""=設定!$C$4,"4/1喪失","その他喪失"))))</f>
        <v/>
      </c>
    </row>
    <row r="2242" customFormat="false" ht="15" hidden="false" customHeight="false" outlineLevel="0" collapsed="false">
      <c r="DB2242" s="0" t="str">
        <f aca="false">IF($A2242="","",IF($A2242&lt;&gt;21,"対象外",IF($AE2242&amp;""="00000000","在職",IF($AE2242&amp;""=設定!$C$4,"4/1喪失","その他喪失"))))</f>
        <v/>
      </c>
    </row>
    <row r="2243" customFormat="false" ht="15" hidden="false" customHeight="false" outlineLevel="0" collapsed="false">
      <c r="DB2243" s="0" t="str">
        <f aca="false">IF($A2243="","",IF($A2243&lt;&gt;21,"対象外",IF($AE2243&amp;""="00000000","在職",IF($AE2243&amp;""=設定!$C$4,"4/1喪失","その他喪失"))))</f>
        <v/>
      </c>
    </row>
    <row r="2244" customFormat="false" ht="15" hidden="false" customHeight="false" outlineLevel="0" collapsed="false">
      <c r="DB2244" s="0" t="str">
        <f aca="false">IF($A2244="","",IF($A2244&lt;&gt;21,"対象外",IF($AE2244&amp;""="00000000","在職",IF($AE2244&amp;""=設定!$C$4,"4/1喪失","その他喪失"))))</f>
        <v/>
      </c>
    </row>
    <row r="2245" customFormat="false" ht="15" hidden="false" customHeight="false" outlineLevel="0" collapsed="false">
      <c r="DB2245" s="0" t="str">
        <f aca="false">IF($A2245="","",IF($A2245&lt;&gt;21,"対象外",IF($AE2245&amp;""="00000000","在職",IF($AE2245&amp;""=設定!$C$4,"4/1喪失","その他喪失"))))</f>
        <v/>
      </c>
    </row>
    <row r="2246" customFormat="false" ht="15" hidden="false" customHeight="false" outlineLevel="0" collapsed="false">
      <c r="DB2246" s="0" t="str">
        <f aca="false">IF($A2246="","",IF($A2246&lt;&gt;21,"対象外",IF($AE2246&amp;""="00000000","在職",IF($AE2246&amp;""=設定!$C$4,"4/1喪失","その他喪失"))))</f>
        <v/>
      </c>
    </row>
    <row r="2247" customFormat="false" ht="15" hidden="false" customHeight="false" outlineLevel="0" collapsed="false">
      <c r="DB2247" s="0" t="str">
        <f aca="false">IF($A2247="","",IF($A2247&lt;&gt;21,"対象外",IF($AE2247&amp;""="00000000","在職",IF($AE2247&amp;""=設定!$C$4,"4/1喪失","その他喪失"))))</f>
        <v/>
      </c>
    </row>
    <row r="2248" customFormat="false" ht="15" hidden="false" customHeight="false" outlineLevel="0" collapsed="false">
      <c r="DB2248" s="0" t="str">
        <f aca="false">IF($A2248="","",IF($A2248&lt;&gt;21,"対象外",IF($AE2248&amp;""="00000000","在職",IF($AE2248&amp;""=設定!$C$4,"4/1喪失","その他喪失"))))</f>
        <v/>
      </c>
    </row>
    <row r="2249" customFormat="false" ht="15" hidden="false" customHeight="false" outlineLevel="0" collapsed="false">
      <c r="DB2249" s="0" t="str">
        <f aca="false">IF($A2249="","",IF($A2249&lt;&gt;21,"対象外",IF($AE2249&amp;""="00000000","在職",IF($AE2249&amp;""=設定!$C$4,"4/1喪失","その他喪失"))))</f>
        <v/>
      </c>
    </row>
    <row r="2250" customFormat="false" ht="15" hidden="false" customHeight="false" outlineLevel="0" collapsed="false">
      <c r="DB2250" s="0" t="str">
        <f aca="false">IF($A2250="","",IF($A2250&lt;&gt;21,"対象外",IF($AE2250&amp;""="00000000","在職",IF($AE2250&amp;""=設定!$C$4,"4/1喪失","その他喪失"))))</f>
        <v/>
      </c>
    </row>
    <row r="2251" customFormat="false" ht="15" hidden="false" customHeight="false" outlineLevel="0" collapsed="false">
      <c r="DB2251" s="0" t="str">
        <f aca="false">IF($A2251="","",IF($A2251&lt;&gt;21,"対象外",IF($AE2251&amp;""="00000000","在職",IF($AE2251&amp;""=設定!$C$4,"4/1喪失","その他喪失"))))</f>
        <v/>
      </c>
    </row>
    <row r="2252" customFormat="false" ht="15" hidden="false" customHeight="false" outlineLevel="0" collapsed="false">
      <c r="DB2252" s="0" t="str">
        <f aca="false">IF($A2252="","",IF($A2252&lt;&gt;21,"対象外",IF($AE2252&amp;""="00000000","在職",IF($AE2252&amp;""=設定!$C$4,"4/1喪失","その他喪失"))))</f>
        <v/>
      </c>
    </row>
    <row r="2253" customFormat="false" ht="15" hidden="false" customHeight="false" outlineLevel="0" collapsed="false">
      <c r="DB2253" s="0" t="str">
        <f aca="false">IF($A2253="","",IF($A2253&lt;&gt;21,"対象外",IF($AE2253&amp;""="00000000","在職",IF($AE2253&amp;""=設定!$C$4,"4/1喪失","その他喪失"))))</f>
        <v/>
      </c>
    </row>
    <row r="2254" customFormat="false" ht="15" hidden="false" customHeight="false" outlineLevel="0" collapsed="false">
      <c r="DB2254" s="0" t="str">
        <f aca="false">IF($A2254="","",IF($A2254&lt;&gt;21,"対象外",IF($AE2254&amp;""="00000000","在職",IF($AE2254&amp;""=設定!$C$4,"4/1喪失","その他喪失"))))</f>
        <v/>
      </c>
    </row>
    <row r="2255" customFormat="false" ht="15" hidden="false" customHeight="false" outlineLevel="0" collapsed="false">
      <c r="DB2255" s="0" t="str">
        <f aca="false">IF($A2255="","",IF($A2255&lt;&gt;21,"対象外",IF($AE2255&amp;""="00000000","在職",IF($AE2255&amp;""=設定!$C$4,"4/1喪失","その他喪失"))))</f>
        <v/>
      </c>
    </row>
    <row r="2256" customFormat="false" ht="15" hidden="false" customHeight="false" outlineLevel="0" collapsed="false">
      <c r="DB2256" s="0" t="str">
        <f aca="false">IF($A2256="","",IF($A2256&lt;&gt;21,"対象外",IF($AE2256&amp;""="00000000","在職",IF($AE2256&amp;""=設定!$C$4,"4/1喪失","その他喪失"))))</f>
        <v/>
      </c>
    </row>
    <row r="2257" customFormat="false" ht="15" hidden="false" customHeight="false" outlineLevel="0" collapsed="false">
      <c r="DB2257" s="0" t="str">
        <f aca="false">IF($A2257="","",IF($A2257&lt;&gt;21,"対象外",IF($AE2257&amp;""="00000000","在職",IF($AE2257&amp;""=設定!$C$4,"4/1喪失","その他喪失"))))</f>
        <v/>
      </c>
    </row>
    <row r="2258" customFormat="false" ht="15" hidden="false" customHeight="false" outlineLevel="0" collapsed="false">
      <c r="DB2258" s="0" t="str">
        <f aca="false">IF($A2258="","",IF($A2258&lt;&gt;21,"対象外",IF($AE2258&amp;""="00000000","在職",IF($AE2258&amp;""=設定!$C$4,"4/1喪失","その他喪失"))))</f>
        <v/>
      </c>
    </row>
    <row r="2259" customFormat="false" ht="15" hidden="false" customHeight="false" outlineLevel="0" collapsed="false">
      <c r="DB2259" s="0" t="str">
        <f aca="false">IF($A2259="","",IF($A2259&lt;&gt;21,"対象外",IF($AE2259&amp;""="00000000","在職",IF($AE2259&amp;""=設定!$C$4,"4/1喪失","その他喪失"))))</f>
        <v/>
      </c>
    </row>
    <row r="2260" customFormat="false" ht="15" hidden="false" customHeight="false" outlineLevel="0" collapsed="false">
      <c r="DB2260" s="0" t="str">
        <f aca="false">IF($A2260="","",IF($A2260&lt;&gt;21,"対象外",IF($AE2260&amp;""="00000000","在職",IF($AE2260&amp;""=設定!$C$4,"4/1喪失","その他喪失"))))</f>
        <v/>
      </c>
    </row>
    <row r="2261" customFormat="false" ht="15" hidden="false" customHeight="false" outlineLevel="0" collapsed="false">
      <c r="DB2261" s="0" t="str">
        <f aca="false">IF($A2261="","",IF($A2261&lt;&gt;21,"対象外",IF($AE2261&amp;""="00000000","在職",IF($AE2261&amp;""=設定!$C$4,"4/1喪失","その他喪失"))))</f>
        <v/>
      </c>
    </row>
    <row r="2262" customFormat="false" ht="15" hidden="false" customHeight="false" outlineLevel="0" collapsed="false">
      <c r="DB2262" s="0" t="str">
        <f aca="false">IF($A2262="","",IF($A2262&lt;&gt;21,"対象外",IF($AE2262&amp;""="00000000","在職",IF($AE2262&amp;""=設定!$C$4,"4/1喪失","その他喪失"))))</f>
        <v/>
      </c>
    </row>
    <row r="2263" customFormat="false" ht="15" hidden="false" customHeight="false" outlineLevel="0" collapsed="false">
      <c r="DB2263" s="0" t="str">
        <f aca="false">IF($A2263="","",IF($A2263&lt;&gt;21,"対象外",IF($AE2263&amp;""="00000000","在職",IF($AE2263&amp;""=設定!$C$4,"4/1喪失","その他喪失"))))</f>
        <v/>
      </c>
    </row>
    <row r="2264" customFormat="false" ht="15" hidden="false" customHeight="false" outlineLevel="0" collapsed="false">
      <c r="DB2264" s="0" t="str">
        <f aca="false">IF($A2264="","",IF($A2264&lt;&gt;21,"対象外",IF($AE2264&amp;""="00000000","在職",IF($AE2264&amp;""=設定!$C$4,"4/1喪失","その他喪失"))))</f>
        <v/>
      </c>
    </row>
    <row r="2265" customFormat="false" ht="15" hidden="false" customHeight="false" outlineLevel="0" collapsed="false">
      <c r="DB2265" s="0" t="str">
        <f aca="false">IF($A2265="","",IF($A2265&lt;&gt;21,"対象外",IF($AE2265&amp;""="00000000","在職",IF($AE2265&amp;""=設定!$C$4,"4/1喪失","その他喪失"))))</f>
        <v/>
      </c>
    </row>
    <row r="2266" customFormat="false" ht="15" hidden="false" customHeight="false" outlineLevel="0" collapsed="false">
      <c r="DB2266" s="0" t="str">
        <f aca="false">IF($A2266="","",IF($A2266&lt;&gt;21,"対象外",IF($AE2266&amp;""="00000000","在職",IF($AE2266&amp;""=設定!$C$4,"4/1喪失","その他喪失"))))</f>
        <v/>
      </c>
    </row>
    <row r="2267" customFormat="false" ht="15" hidden="false" customHeight="false" outlineLevel="0" collapsed="false">
      <c r="DB2267" s="0" t="str">
        <f aca="false">IF($A2267="","",IF($A2267&lt;&gt;21,"対象外",IF($AE2267&amp;""="00000000","在職",IF($AE2267&amp;""=設定!$C$4,"4/1喪失","その他喪失"))))</f>
        <v/>
      </c>
    </row>
    <row r="2268" customFormat="false" ht="15" hidden="false" customHeight="false" outlineLevel="0" collapsed="false">
      <c r="DB2268" s="0" t="str">
        <f aca="false">IF($A2268="","",IF($A2268&lt;&gt;21,"対象外",IF($AE2268&amp;""="00000000","在職",IF($AE2268&amp;""=設定!$C$4,"4/1喪失","その他喪失"))))</f>
        <v/>
      </c>
    </row>
    <row r="2269" customFormat="false" ht="15" hidden="false" customHeight="false" outlineLevel="0" collapsed="false">
      <c r="DB2269" s="0" t="str">
        <f aca="false">IF($A2269="","",IF($A2269&lt;&gt;21,"対象外",IF($AE2269&amp;""="00000000","在職",IF($AE2269&amp;""=設定!$C$4,"4/1喪失","その他喪失"))))</f>
        <v/>
      </c>
    </row>
    <row r="2270" customFormat="false" ht="15" hidden="false" customHeight="false" outlineLevel="0" collapsed="false">
      <c r="DB2270" s="0" t="str">
        <f aca="false">IF($A2270="","",IF($A2270&lt;&gt;21,"対象外",IF($AE2270&amp;""="00000000","在職",IF($AE2270&amp;""=設定!$C$4,"4/1喪失","その他喪失"))))</f>
        <v/>
      </c>
    </row>
    <row r="2271" customFormat="false" ht="15" hidden="false" customHeight="false" outlineLevel="0" collapsed="false">
      <c r="DB2271" s="0" t="str">
        <f aca="false">IF($A2271="","",IF($A2271&lt;&gt;21,"対象外",IF($AE2271&amp;""="00000000","在職",IF($AE2271&amp;""=設定!$C$4,"4/1喪失","その他喪失"))))</f>
        <v/>
      </c>
    </row>
    <row r="2272" customFormat="false" ht="15" hidden="false" customHeight="false" outlineLevel="0" collapsed="false">
      <c r="DB2272" s="0" t="str">
        <f aca="false">IF($A2272="","",IF($A2272&lt;&gt;21,"対象外",IF($AE2272&amp;""="00000000","在職",IF($AE2272&amp;""=設定!$C$4,"4/1喪失","その他喪失"))))</f>
        <v/>
      </c>
    </row>
    <row r="2273" customFormat="false" ht="15" hidden="false" customHeight="false" outlineLevel="0" collapsed="false">
      <c r="DB2273" s="0" t="str">
        <f aca="false">IF($A2273="","",IF($A2273&lt;&gt;21,"対象外",IF($AE2273&amp;""="00000000","在職",IF($AE2273&amp;""=設定!$C$4,"4/1喪失","その他喪失"))))</f>
        <v/>
      </c>
    </row>
    <row r="2274" customFormat="false" ht="15" hidden="false" customHeight="false" outlineLevel="0" collapsed="false">
      <c r="DB2274" s="0" t="str">
        <f aca="false">IF($A2274="","",IF($A2274&lt;&gt;21,"対象外",IF($AE2274&amp;""="00000000","在職",IF($AE2274&amp;""=設定!$C$4,"4/1喪失","その他喪失"))))</f>
        <v/>
      </c>
    </row>
    <row r="2275" customFormat="false" ht="15" hidden="false" customHeight="false" outlineLevel="0" collapsed="false">
      <c r="DB2275" s="0" t="str">
        <f aca="false">IF($A2275="","",IF($A2275&lt;&gt;21,"対象外",IF($AE2275&amp;""="00000000","在職",IF($AE2275&amp;""=設定!$C$4,"4/1喪失","その他喪失"))))</f>
        <v/>
      </c>
    </row>
    <row r="2276" customFormat="false" ht="15" hidden="false" customHeight="false" outlineLevel="0" collapsed="false">
      <c r="DB2276" s="0" t="str">
        <f aca="false">IF($A2276="","",IF($A2276&lt;&gt;21,"対象外",IF($AE2276&amp;""="00000000","在職",IF($AE2276&amp;""=設定!$C$4,"4/1喪失","その他喪失"))))</f>
        <v/>
      </c>
    </row>
    <row r="2277" customFormat="false" ht="15" hidden="false" customHeight="false" outlineLevel="0" collapsed="false">
      <c r="DB2277" s="0" t="str">
        <f aca="false">IF($A2277="","",IF($A2277&lt;&gt;21,"対象外",IF($AE2277&amp;""="00000000","在職",IF($AE2277&amp;""=設定!$C$4,"4/1喪失","その他喪失"))))</f>
        <v/>
      </c>
    </row>
    <row r="2278" customFormat="false" ht="15" hidden="false" customHeight="false" outlineLevel="0" collapsed="false">
      <c r="DB2278" s="0" t="str">
        <f aca="false">IF($A2278="","",IF($A2278&lt;&gt;21,"対象外",IF($AE2278&amp;""="00000000","在職",IF($AE2278&amp;""=設定!$C$4,"4/1喪失","その他喪失"))))</f>
        <v/>
      </c>
    </row>
    <row r="2279" customFormat="false" ht="15" hidden="false" customHeight="false" outlineLevel="0" collapsed="false">
      <c r="DB2279" s="0" t="str">
        <f aca="false">IF($A2279="","",IF($A2279&lt;&gt;21,"対象外",IF($AE2279&amp;""="00000000","在職",IF($AE2279&amp;""=設定!$C$4,"4/1喪失","その他喪失"))))</f>
        <v/>
      </c>
    </row>
    <row r="2280" customFormat="false" ht="15" hidden="false" customHeight="false" outlineLevel="0" collapsed="false">
      <c r="DB2280" s="0" t="str">
        <f aca="false">IF($A2280="","",IF($A2280&lt;&gt;21,"対象外",IF($AE2280&amp;""="00000000","在職",IF($AE2280&amp;""=設定!$C$4,"4/1喪失","その他喪失"))))</f>
        <v/>
      </c>
    </row>
    <row r="2281" customFormat="false" ht="15" hidden="false" customHeight="false" outlineLevel="0" collapsed="false">
      <c r="DB2281" s="0" t="str">
        <f aca="false">IF($A2281="","",IF($A2281&lt;&gt;21,"対象外",IF($AE2281&amp;""="00000000","在職",IF($AE2281&amp;""=設定!$C$4,"4/1喪失","その他喪失"))))</f>
        <v/>
      </c>
    </row>
    <row r="2282" customFormat="false" ht="15" hidden="false" customHeight="false" outlineLevel="0" collapsed="false">
      <c r="DB2282" s="0" t="str">
        <f aca="false">IF($A2282="","",IF($A2282&lt;&gt;21,"対象外",IF($AE2282&amp;""="00000000","在職",IF($AE2282&amp;""=設定!$C$4,"4/1喪失","その他喪失"))))</f>
        <v/>
      </c>
    </row>
    <row r="2283" customFormat="false" ht="15" hidden="false" customHeight="false" outlineLevel="0" collapsed="false">
      <c r="DB2283" s="0" t="str">
        <f aca="false">IF($A2283="","",IF($A2283&lt;&gt;21,"対象外",IF($AE2283&amp;""="00000000","在職",IF($AE2283&amp;""=設定!$C$4,"4/1喪失","その他喪失"))))</f>
        <v/>
      </c>
    </row>
    <row r="2284" customFormat="false" ht="15" hidden="false" customHeight="false" outlineLevel="0" collapsed="false">
      <c r="DB2284" s="0" t="str">
        <f aca="false">IF($A2284="","",IF($A2284&lt;&gt;21,"対象外",IF($AE2284&amp;""="00000000","在職",IF($AE2284&amp;""=設定!$C$4,"4/1喪失","その他喪失"))))</f>
        <v/>
      </c>
    </row>
    <row r="2285" customFormat="false" ht="15" hidden="false" customHeight="false" outlineLevel="0" collapsed="false">
      <c r="DB2285" s="0" t="str">
        <f aca="false">IF($A2285="","",IF($A2285&lt;&gt;21,"対象外",IF($AE2285&amp;""="00000000","在職",IF($AE2285&amp;""=設定!$C$4,"4/1喪失","その他喪失"))))</f>
        <v/>
      </c>
    </row>
    <row r="2286" customFormat="false" ht="15" hidden="false" customHeight="false" outlineLevel="0" collapsed="false">
      <c r="DB2286" s="0" t="str">
        <f aca="false">IF($A2286="","",IF($A2286&lt;&gt;21,"対象外",IF($AE2286&amp;""="00000000","在職",IF($AE2286&amp;""=設定!$C$4,"4/1喪失","その他喪失"))))</f>
        <v/>
      </c>
    </row>
    <row r="2287" customFormat="false" ht="15" hidden="false" customHeight="false" outlineLevel="0" collapsed="false">
      <c r="DB2287" s="0" t="str">
        <f aca="false">IF($A2287="","",IF($A2287&lt;&gt;21,"対象外",IF($AE2287&amp;""="00000000","在職",IF($AE2287&amp;""=設定!$C$4,"4/1喪失","その他喪失"))))</f>
        <v/>
      </c>
    </row>
    <row r="2288" customFormat="false" ht="15" hidden="false" customHeight="false" outlineLevel="0" collapsed="false">
      <c r="DB2288" s="0" t="str">
        <f aca="false">IF($A2288="","",IF($A2288&lt;&gt;21,"対象外",IF($AE2288&amp;""="00000000","在職",IF($AE2288&amp;""=設定!$C$4,"4/1喪失","その他喪失"))))</f>
        <v/>
      </c>
    </row>
    <row r="2289" customFormat="false" ht="15" hidden="false" customHeight="false" outlineLevel="0" collapsed="false">
      <c r="DB2289" s="0" t="str">
        <f aca="false">IF($A2289="","",IF($A2289&lt;&gt;21,"対象外",IF($AE2289&amp;""="00000000","在職",IF($AE2289&amp;""=設定!$C$4,"4/1喪失","その他喪失"))))</f>
        <v/>
      </c>
    </row>
    <row r="2290" customFormat="false" ht="15" hidden="false" customHeight="false" outlineLevel="0" collapsed="false">
      <c r="DB2290" s="0" t="str">
        <f aca="false">IF($A2290="","",IF($A2290&lt;&gt;21,"対象外",IF($AE2290&amp;""="00000000","在職",IF($AE2290&amp;""=設定!$C$4,"4/1喪失","その他喪失"))))</f>
        <v/>
      </c>
    </row>
    <row r="2291" customFormat="false" ht="15" hidden="false" customHeight="false" outlineLevel="0" collapsed="false">
      <c r="DB2291" s="0" t="str">
        <f aca="false">IF($A2291="","",IF($A2291&lt;&gt;21,"対象外",IF($AE2291&amp;""="00000000","在職",IF($AE2291&amp;""=設定!$C$4,"4/1喪失","その他喪失"))))</f>
        <v/>
      </c>
    </row>
    <row r="2292" customFormat="false" ht="15" hidden="false" customHeight="false" outlineLevel="0" collapsed="false">
      <c r="DB2292" s="0" t="str">
        <f aca="false">IF($A2292="","",IF($A2292&lt;&gt;21,"対象外",IF($AE2292&amp;""="00000000","在職",IF($AE2292&amp;""=設定!$C$4,"4/1喪失","その他喪失"))))</f>
        <v/>
      </c>
    </row>
    <row r="2293" customFormat="false" ht="15" hidden="false" customHeight="false" outlineLevel="0" collapsed="false">
      <c r="DB2293" s="0" t="str">
        <f aca="false">IF($A2293="","",IF($A2293&lt;&gt;21,"対象外",IF($AE2293&amp;""="00000000","在職",IF($AE2293&amp;""=設定!$C$4,"4/1喪失","その他喪失"))))</f>
        <v/>
      </c>
    </row>
    <row r="2294" customFormat="false" ht="15" hidden="false" customHeight="false" outlineLevel="0" collapsed="false">
      <c r="DB2294" s="0" t="str">
        <f aca="false">IF($A2294="","",IF($A2294&lt;&gt;21,"対象外",IF($AE2294&amp;""="00000000","在職",IF($AE2294&amp;""=設定!$C$4,"4/1喪失","その他喪失"))))</f>
        <v/>
      </c>
    </row>
    <row r="2295" customFormat="false" ht="15" hidden="false" customHeight="false" outlineLevel="0" collapsed="false">
      <c r="DB2295" s="0" t="str">
        <f aca="false">IF($A2295="","",IF($A2295&lt;&gt;21,"対象外",IF($AE2295&amp;""="00000000","在職",IF($AE2295&amp;""=設定!$C$4,"4/1喪失","その他喪失"))))</f>
        <v/>
      </c>
    </row>
    <row r="2296" customFormat="false" ht="15" hidden="false" customHeight="false" outlineLevel="0" collapsed="false">
      <c r="DB2296" s="0" t="str">
        <f aca="false">IF($A2296="","",IF($A2296&lt;&gt;21,"対象外",IF($AE2296&amp;""="00000000","在職",IF($AE2296&amp;""=設定!$C$4,"4/1喪失","その他喪失"))))</f>
        <v/>
      </c>
    </row>
    <row r="2297" customFormat="false" ht="15" hidden="false" customHeight="false" outlineLevel="0" collapsed="false">
      <c r="DB2297" s="0" t="str">
        <f aca="false">IF($A2297="","",IF($A2297&lt;&gt;21,"対象外",IF($AE2297&amp;""="00000000","在職",IF($AE2297&amp;""=設定!$C$4,"4/1喪失","その他喪失"))))</f>
        <v/>
      </c>
    </row>
    <row r="2298" customFormat="false" ht="15" hidden="false" customHeight="false" outlineLevel="0" collapsed="false">
      <c r="DB2298" s="0" t="str">
        <f aca="false">IF($A2298="","",IF($A2298&lt;&gt;21,"対象外",IF($AE2298&amp;""="00000000","在職",IF($AE2298&amp;""=設定!$C$4,"4/1喪失","その他喪失"))))</f>
        <v/>
      </c>
    </row>
    <row r="2299" customFormat="false" ht="15" hidden="false" customHeight="false" outlineLevel="0" collapsed="false">
      <c r="DB2299" s="0" t="str">
        <f aca="false">IF($A2299="","",IF($A2299&lt;&gt;21,"対象外",IF($AE2299&amp;""="00000000","在職",IF($AE2299&amp;""=設定!$C$4,"4/1喪失","その他喪失"))))</f>
        <v/>
      </c>
    </row>
    <row r="2300" customFormat="false" ht="15" hidden="false" customHeight="false" outlineLevel="0" collapsed="false">
      <c r="DB2300" s="0" t="str">
        <f aca="false">IF($A2300="","",IF($A2300&lt;&gt;21,"対象外",IF($AE2300&amp;""="00000000","在職",IF($AE2300&amp;""=設定!$C$4,"4/1喪失","その他喪失"))))</f>
        <v/>
      </c>
    </row>
    <row r="2301" customFormat="false" ht="15" hidden="false" customHeight="false" outlineLevel="0" collapsed="false">
      <c r="DB2301" s="0" t="str">
        <f aca="false">IF($A2301="","",IF($A2301&lt;&gt;21,"対象外",IF($AE2301&amp;""="00000000","在職",IF($AE2301&amp;""=設定!$C$4,"4/1喪失","その他喪失"))))</f>
        <v/>
      </c>
    </row>
    <row r="2302" customFormat="false" ht="15" hidden="false" customHeight="false" outlineLevel="0" collapsed="false">
      <c r="DB2302" s="0" t="str">
        <f aca="false">IF($A2302="","",IF($A2302&lt;&gt;21,"対象外",IF($AE2302&amp;""="00000000","在職",IF($AE2302&amp;""=設定!$C$4,"4/1喪失","その他喪失"))))</f>
        <v/>
      </c>
    </row>
    <row r="2303" customFormat="false" ht="15" hidden="false" customHeight="false" outlineLevel="0" collapsed="false">
      <c r="DB2303" s="0" t="str">
        <f aca="false">IF($A2303="","",IF($A2303&lt;&gt;21,"対象外",IF($AE2303&amp;""="00000000","在職",IF($AE2303&amp;""=設定!$C$4,"4/1喪失","その他喪失"))))</f>
        <v/>
      </c>
    </row>
    <row r="2304" customFormat="false" ht="15" hidden="false" customHeight="false" outlineLevel="0" collapsed="false">
      <c r="DB2304" s="0" t="str">
        <f aca="false">IF($A2304="","",IF($A2304&lt;&gt;21,"対象外",IF($AE2304&amp;""="00000000","在職",IF($AE2304&amp;""=設定!$C$4,"4/1喪失","その他喪失"))))</f>
        <v/>
      </c>
    </row>
    <row r="2305" customFormat="false" ht="15" hidden="false" customHeight="false" outlineLevel="0" collapsed="false">
      <c r="DB2305" s="0" t="str">
        <f aca="false">IF($A2305="","",IF($A2305&lt;&gt;21,"対象外",IF($AE2305&amp;""="00000000","在職",IF($AE2305&amp;""=設定!$C$4,"4/1喪失","その他喪失"))))</f>
        <v/>
      </c>
    </row>
    <row r="2306" customFormat="false" ht="15" hidden="false" customHeight="false" outlineLevel="0" collapsed="false">
      <c r="DB2306" s="0" t="str">
        <f aca="false">IF($A2306="","",IF($A2306&lt;&gt;21,"対象外",IF($AE2306&amp;""="00000000","在職",IF($AE2306&amp;""=設定!$C$4,"4/1喪失","その他喪失"))))</f>
        <v/>
      </c>
    </row>
    <row r="2307" customFormat="false" ht="15" hidden="false" customHeight="false" outlineLevel="0" collapsed="false">
      <c r="DB2307" s="0" t="str">
        <f aca="false">IF($A2307="","",IF($A2307&lt;&gt;21,"対象外",IF($AE2307&amp;""="00000000","在職",IF($AE2307&amp;""=設定!$C$4,"4/1喪失","その他喪失"))))</f>
        <v/>
      </c>
    </row>
    <row r="2308" customFormat="false" ht="15" hidden="false" customHeight="false" outlineLevel="0" collapsed="false">
      <c r="DB2308" s="0" t="str">
        <f aca="false">IF($A2308="","",IF($A2308&lt;&gt;21,"対象外",IF($AE2308&amp;""="00000000","在職",IF($AE2308&amp;""=設定!$C$4,"4/1喪失","その他喪失"))))</f>
        <v/>
      </c>
    </row>
    <row r="2309" customFormat="false" ht="15" hidden="false" customHeight="false" outlineLevel="0" collapsed="false">
      <c r="DB2309" s="0" t="str">
        <f aca="false">IF($A2309="","",IF($A2309&lt;&gt;21,"対象外",IF($AE2309&amp;""="00000000","在職",IF($AE2309&amp;""=設定!$C$4,"4/1喪失","その他喪失"))))</f>
        <v/>
      </c>
    </row>
    <row r="2310" customFormat="false" ht="15" hidden="false" customHeight="false" outlineLevel="0" collapsed="false">
      <c r="DB2310" s="0" t="str">
        <f aca="false">IF($A2310="","",IF($A2310&lt;&gt;21,"対象外",IF($AE2310&amp;""="00000000","在職",IF($AE2310&amp;""=設定!$C$4,"4/1喪失","その他喪失"))))</f>
        <v/>
      </c>
    </row>
    <row r="2311" customFormat="false" ht="15" hidden="false" customHeight="false" outlineLevel="0" collapsed="false">
      <c r="DB2311" s="0" t="str">
        <f aca="false">IF($A2311="","",IF($A2311&lt;&gt;21,"対象外",IF($AE2311&amp;""="00000000","在職",IF($AE2311&amp;""=設定!$C$4,"4/1喪失","その他喪失"))))</f>
        <v/>
      </c>
    </row>
    <row r="2312" customFormat="false" ht="15" hidden="false" customHeight="false" outlineLevel="0" collapsed="false">
      <c r="DB2312" s="0" t="str">
        <f aca="false">IF($A2312="","",IF($A2312&lt;&gt;21,"対象外",IF($AE2312&amp;""="00000000","在職",IF($AE2312&amp;""=設定!$C$4,"4/1喪失","その他喪失"))))</f>
        <v/>
      </c>
    </row>
    <row r="2313" customFormat="false" ht="15" hidden="false" customHeight="false" outlineLevel="0" collapsed="false">
      <c r="DB2313" s="0" t="str">
        <f aca="false">IF($A2313="","",IF($A2313&lt;&gt;21,"対象外",IF($AE2313&amp;""="00000000","在職",IF($AE2313&amp;""=設定!$C$4,"4/1喪失","その他喪失"))))</f>
        <v/>
      </c>
    </row>
    <row r="2314" customFormat="false" ht="15" hidden="false" customHeight="false" outlineLevel="0" collapsed="false">
      <c r="DB2314" s="0" t="str">
        <f aca="false">IF($A2314="","",IF($A2314&lt;&gt;21,"対象外",IF($AE2314&amp;""="00000000","在職",IF($AE2314&amp;""=設定!$C$4,"4/1喪失","その他喪失"))))</f>
        <v/>
      </c>
    </row>
    <row r="2315" customFormat="false" ht="15" hidden="false" customHeight="false" outlineLevel="0" collapsed="false">
      <c r="DB2315" s="0" t="str">
        <f aca="false">IF($A2315="","",IF($A2315&lt;&gt;21,"対象外",IF($AE2315&amp;""="00000000","在職",IF($AE2315&amp;""=設定!$C$4,"4/1喪失","その他喪失"))))</f>
        <v/>
      </c>
    </row>
    <row r="2316" customFormat="false" ht="15" hidden="false" customHeight="false" outlineLevel="0" collapsed="false">
      <c r="DB2316" s="0" t="str">
        <f aca="false">IF($A2316="","",IF($A2316&lt;&gt;21,"対象外",IF($AE2316&amp;""="00000000","在職",IF($AE2316&amp;""=設定!$C$4,"4/1喪失","その他喪失"))))</f>
        <v/>
      </c>
    </row>
    <row r="2317" customFormat="false" ht="15" hidden="false" customHeight="false" outlineLevel="0" collapsed="false">
      <c r="DB2317" s="0" t="str">
        <f aca="false">IF($A2317="","",IF($A2317&lt;&gt;21,"対象外",IF($AE2317&amp;""="00000000","在職",IF($AE2317&amp;""=設定!$C$4,"4/1喪失","その他喪失"))))</f>
        <v/>
      </c>
    </row>
    <row r="2318" customFormat="false" ht="15" hidden="false" customHeight="false" outlineLevel="0" collapsed="false">
      <c r="DB2318" s="0" t="str">
        <f aca="false">IF($A2318="","",IF($A2318&lt;&gt;21,"対象外",IF($AE2318&amp;""="00000000","在職",IF($AE2318&amp;""=設定!$C$4,"4/1喪失","その他喪失"))))</f>
        <v/>
      </c>
    </row>
    <row r="2319" customFormat="false" ht="15" hidden="false" customHeight="false" outlineLevel="0" collapsed="false">
      <c r="DB2319" s="0" t="str">
        <f aca="false">IF($A2319="","",IF($A2319&lt;&gt;21,"対象外",IF($AE2319&amp;""="00000000","在職",IF($AE2319&amp;""=設定!$C$4,"4/1喪失","その他喪失"))))</f>
        <v/>
      </c>
    </row>
    <row r="2320" customFormat="false" ht="15" hidden="false" customHeight="false" outlineLevel="0" collapsed="false">
      <c r="DB2320" s="0" t="str">
        <f aca="false">IF($A2320="","",IF($A2320&lt;&gt;21,"対象外",IF($AE2320&amp;""="00000000","在職",IF($AE2320&amp;""=設定!$C$4,"4/1喪失","その他喪失"))))</f>
        <v/>
      </c>
    </row>
    <row r="2321" customFormat="false" ht="15" hidden="false" customHeight="false" outlineLevel="0" collapsed="false">
      <c r="DB2321" s="0" t="str">
        <f aca="false">IF($A2321="","",IF($A2321&lt;&gt;21,"対象外",IF($AE2321&amp;""="00000000","在職",IF($AE2321&amp;""=設定!$C$4,"4/1喪失","その他喪失"))))</f>
        <v/>
      </c>
    </row>
    <row r="2322" customFormat="false" ht="15" hidden="false" customHeight="false" outlineLevel="0" collapsed="false">
      <c r="DB2322" s="0" t="str">
        <f aca="false">IF($A2322="","",IF($A2322&lt;&gt;21,"対象外",IF($AE2322&amp;""="00000000","在職",IF($AE2322&amp;""=設定!$C$4,"4/1喪失","その他喪失"))))</f>
        <v/>
      </c>
    </row>
    <row r="2323" customFormat="false" ht="15" hidden="false" customHeight="false" outlineLevel="0" collapsed="false">
      <c r="DB2323" s="0" t="str">
        <f aca="false">IF($A2323="","",IF($A2323&lt;&gt;21,"対象外",IF($AE2323&amp;""="00000000","在職",IF($AE2323&amp;""=設定!$C$4,"4/1喪失","その他喪失"))))</f>
        <v/>
      </c>
    </row>
    <row r="2324" customFormat="false" ht="15" hidden="false" customHeight="false" outlineLevel="0" collapsed="false">
      <c r="DB2324" s="0" t="str">
        <f aca="false">IF($A2324="","",IF($A2324&lt;&gt;21,"対象外",IF($AE2324&amp;""="00000000","在職",IF($AE2324&amp;""=設定!$C$4,"4/1喪失","その他喪失"))))</f>
        <v/>
      </c>
    </row>
    <row r="2325" customFormat="false" ht="15" hidden="false" customHeight="false" outlineLevel="0" collapsed="false">
      <c r="DB2325" s="0" t="str">
        <f aca="false">IF($A2325="","",IF($A2325&lt;&gt;21,"対象外",IF($AE2325&amp;""="00000000","在職",IF($AE2325&amp;""=設定!$C$4,"4/1喪失","その他喪失"))))</f>
        <v/>
      </c>
    </row>
    <row r="2326" customFormat="false" ht="15" hidden="false" customHeight="false" outlineLevel="0" collapsed="false">
      <c r="DB2326" s="0" t="str">
        <f aca="false">IF($A2326="","",IF($A2326&lt;&gt;21,"対象外",IF($AE2326&amp;""="00000000","在職",IF($AE2326&amp;""=設定!$C$4,"4/1喪失","その他喪失"))))</f>
        <v/>
      </c>
    </row>
    <row r="2327" customFormat="false" ht="15" hidden="false" customHeight="false" outlineLevel="0" collapsed="false">
      <c r="DB2327" s="0" t="str">
        <f aca="false">IF($A2327="","",IF($A2327&lt;&gt;21,"対象外",IF($AE2327&amp;""="00000000","在職",IF($AE2327&amp;""=設定!$C$4,"4/1喪失","その他喪失"))))</f>
        <v/>
      </c>
    </row>
    <row r="2328" customFormat="false" ht="15" hidden="false" customHeight="false" outlineLevel="0" collapsed="false">
      <c r="DB2328" s="0" t="str">
        <f aca="false">IF($A2328="","",IF($A2328&lt;&gt;21,"対象外",IF($AE2328&amp;""="00000000","在職",IF($AE2328&amp;""=設定!$C$4,"4/1喪失","その他喪失"))))</f>
        <v/>
      </c>
    </row>
    <row r="2329" customFormat="false" ht="15" hidden="false" customHeight="false" outlineLevel="0" collapsed="false">
      <c r="DB2329" s="0" t="str">
        <f aca="false">IF($A2329="","",IF($A2329&lt;&gt;21,"対象外",IF($AE2329&amp;""="00000000","在職",IF($AE2329&amp;""=設定!$C$4,"4/1喪失","その他喪失"))))</f>
        <v/>
      </c>
    </row>
    <row r="2330" customFormat="false" ht="15" hidden="false" customHeight="false" outlineLevel="0" collapsed="false">
      <c r="DB2330" s="0" t="str">
        <f aca="false">IF($A2330="","",IF($A2330&lt;&gt;21,"対象外",IF($AE2330&amp;""="00000000","在職",IF($AE2330&amp;""=設定!$C$4,"4/1喪失","その他喪失"))))</f>
        <v/>
      </c>
    </row>
    <row r="2331" customFormat="false" ht="15" hidden="false" customHeight="false" outlineLevel="0" collapsed="false">
      <c r="DB2331" s="0" t="str">
        <f aca="false">IF($A2331="","",IF($A2331&lt;&gt;21,"対象外",IF($AE2331&amp;""="00000000","在職",IF($AE2331&amp;""=設定!$C$4,"4/1喪失","その他喪失"))))</f>
        <v/>
      </c>
    </row>
    <row r="2332" customFormat="false" ht="15" hidden="false" customHeight="false" outlineLevel="0" collapsed="false">
      <c r="DB2332" s="0" t="str">
        <f aca="false">IF($A2332="","",IF($A2332&lt;&gt;21,"対象外",IF($AE2332&amp;""="00000000","在職",IF($AE2332&amp;""=設定!$C$4,"4/1喪失","その他喪失"))))</f>
        <v/>
      </c>
    </row>
    <row r="2333" customFormat="false" ht="15" hidden="false" customHeight="false" outlineLevel="0" collapsed="false">
      <c r="DB2333" s="0" t="str">
        <f aca="false">IF($A2333="","",IF($A2333&lt;&gt;21,"対象外",IF($AE2333&amp;""="00000000","在職",IF($AE2333&amp;""=設定!$C$4,"4/1喪失","その他喪失"))))</f>
        <v/>
      </c>
    </row>
    <row r="2334" customFormat="false" ht="15" hidden="false" customHeight="false" outlineLevel="0" collapsed="false">
      <c r="DB2334" s="0" t="str">
        <f aca="false">IF($A2334="","",IF($A2334&lt;&gt;21,"対象外",IF($AE2334&amp;""="00000000","在職",IF($AE2334&amp;""=設定!$C$4,"4/1喪失","その他喪失"))))</f>
        <v/>
      </c>
    </row>
    <row r="2335" customFormat="false" ht="15" hidden="false" customHeight="false" outlineLevel="0" collapsed="false">
      <c r="DB2335" s="0" t="str">
        <f aca="false">IF($A2335="","",IF($A2335&lt;&gt;21,"対象外",IF($AE2335&amp;""="00000000","在職",IF($AE2335&amp;""=設定!$C$4,"4/1喪失","その他喪失"))))</f>
        <v/>
      </c>
    </row>
    <row r="2336" customFormat="false" ht="15" hidden="false" customHeight="false" outlineLevel="0" collapsed="false">
      <c r="DB2336" s="0" t="str">
        <f aca="false">IF($A2336="","",IF($A2336&lt;&gt;21,"対象外",IF($AE2336&amp;""="00000000","在職",IF($AE2336&amp;""=設定!$C$4,"4/1喪失","その他喪失"))))</f>
        <v/>
      </c>
    </row>
    <row r="2337" customFormat="false" ht="15" hidden="false" customHeight="false" outlineLevel="0" collapsed="false">
      <c r="DB2337" s="0" t="str">
        <f aca="false">IF($A2337="","",IF($A2337&lt;&gt;21,"対象外",IF($AE2337&amp;""="00000000","在職",IF($AE2337&amp;""=設定!$C$4,"4/1喪失","その他喪失"))))</f>
        <v/>
      </c>
    </row>
    <row r="2338" customFormat="false" ht="15" hidden="false" customHeight="false" outlineLevel="0" collapsed="false">
      <c r="DB2338" s="0" t="str">
        <f aca="false">IF($A2338="","",IF($A2338&lt;&gt;21,"対象外",IF($AE2338&amp;""="00000000","在職",IF($AE2338&amp;""=設定!$C$4,"4/1喪失","その他喪失"))))</f>
        <v/>
      </c>
    </row>
    <row r="2339" customFormat="false" ht="15" hidden="false" customHeight="false" outlineLevel="0" collapsed="false">
      <c r="DB2339" s="0" t="str">
        <f aca="false">IF($A2339="","",IF($A2339&lt;&gt;21,"対象外",IF($AE2339&amp;""="00000000","在職",IF($AE2339&amp;""=設定!$C$4,"4/1喪失","その他喪失"))))</f>
        <v/>
      </c>
    </row>
    <row r="2340" customFormat="false" ht="15" hidden="false" customHeight="false" outlineLevel="0" collapsed="false">
      <c r="DB2340" s="0" t="str">
        <f aca="false">IF($A2340="","",IF($A2340&lt;&gt;21,"対象外",IF($AE2340&amp;""="00000000","在職",IF($AE2340&amp;""=設定!$C$4,"4/1喪失","その他喪失"))))</f>
        <v/>
      </c>
    </row>
    <row r="2341" customFormat="false" ht="15" hidden="false" customHeight="false" outlineLevel="0" collapsed="false">
      <c r="DB2341" s="0" t="str">
        <f aca="false">IF($A2341="","",IF($A2341&lt;&gt;21,"対象外",IF($AE2341&amp;""="00000000","在職",IF($AE2341&amp;""=設定!$C$4,"4/1喪失","その他喪失"))))</f>
        <v/>
      </c>
    </row>
    <row r="2342" customFormat="false" ht="15" hidden="false" customHeight="false" outlineLevel="0" collapsed="false">
      <c r="DB2342" s="0" t="str">
        <f aca="false">IF($A2342="","",IF($A2342&lt;&gt;21,"対象外",IF($AE2342&amp;""="00000000","在職",IF($AE2342&amp;""=設定!$C$4,"4/1喪失","その他喪失"))))</f>
        <v/>
      </c>
    </row>
    <row r="2343" customFormat="false" ht="15" hidden="false" customHeight="false" outlineLevel="0" collapsed="false">
      <c r="DB2343" s="0" t="str">
        <f aca="false">IF($A2343="","",IF($A2343&lt;&gt;21,"対象外",IF($AE2343&amp;""="00000000","在職",IF($AE2343&amp;""=設定!$C$4,"4/1喪失","その他喪失"))))</f>
        <v/>
      </c>
    </row>
    <row r="2344" customFormat="false" ht="15" hidden="false" customHeight="false" outlineLevel="0" collapsed="false">
      <c r="DB2344" s="0" t="str">
        <f aca="false">IF($A2344="","",IF($A2344&lt;&gt;21,"対象外",IF($AE2344&amp;""="00000000","在職",IF($AE2344&amp;""=設定!$C$4,"4/1喪失","その他喪失"))))</f>
        <v/>
      </c>
    </row>
    <row r="2345" customFormat="false" ht="15" hidden="false" customHeight="false" outlineLevel="0" collapsed="false">
      <c r="DB2345" s="0" t="str">
        <f aca="false">IF($A2345="","",IF($A2345&lt;&gt;21,"対象外",IF($AE2345&amp;""="00000000","在職",IF($AE2345&amp;""=設定!$C$4,"4/1喪失","その他喪失"))))</f>
        <v/>
      </c>
    </row>
    <row r="2346" customFormat="false" ht="15" hidden="false" customHeight="false" outlineLevel="0" collapsed="false">
      <c r="DB2346" s="0" t="str">
        <f aca="false">IF($A2346="","",IF($A2346&lt;&gt;21,"対象外",IF($AE2346&amp;""="00000000","在職",IF($AE2346&amp;""=設定!$C$4,"4/1喪失","その他喪失"))))</f>
        <v/>
      </c>
    </row>
    <row r="2347" customFormat="false" ht="15" hidden="false" customHeight="false" outlineLevel="0" collapsed="false">
      <c r="DB2347" s="0" t="str">
        <f aca="false">IF($A2347="","",IF($A2347&lt;&gt;21,"対象外",IF($AE2347&amp;""="00000000","在職",IF($AE2347&amp;""=設定!$C$4,"4/1喪失","その他喪失"))))</f>
        <v/>
      </c>
    </row>
    <row r="2348" customFormat="false" ht="15" hidden="false" customHeight="false" outlineLevel="0" collapsed="false">
      <c r="DB2348" s="0" t="str">
        <f aca="false">IF($A2348="","",IF($A2348&lt;&gt;21,"対象外",IF($AE2348&amp;""="00000000","在職",IF($AE2348&amp;""=設定!$C$4,"4/1喪失","その他喪失"))))</f>
        <v/>
      </c>
    </row>
    <row r="2349" customFormat="false" ht="15" hidden="false" customHeight="false" outlineLevel="0" collapsed="false">
      <c r="DB2349" s="0" t="str">
        <f aca="false">IF($A2349="","",IF($A2349&lt;&gt;21,"対象外",IF($AE2349&amp;""="00000000","在職",IF($AE2349&amp;""=設定!$C$4,"4/1喪失","その他喪失"))))</f>
        <v/>
      </c>
    </row>
    <row r="2350" customFormat="false" ht="15" hidden="false" customHeight="false" outlineLevel="0" collapsed="false">
      <c r="DB2350" s="0" t="str">
        <f aca="false">IF($A2350="","",IF($A2350&lt;&gt;21,"対象外",IF($AE2350&amp;""="00000000","在職",IF($AE2350&amp;""=設定!$C$4,"4/1喪失","その他喪失"))))</f>
        <v/>
      </c>
    </row>
    <row r="2351" customFormat="false" ht="15" hidden="false" customHeight="false" outlineLevel="0" collapsed="false">
      <c r="DB2351" s="0" t="str">
        <f aca="false">IF($A2351="","",IF($A2351&lt;&gt;21,"対象外",IF($AE2351&amp;""="00000000","在職",IF($AE2351&amp;""=設定!$C$4,"4/1喪失","その他喪失"))))</f>
        <v/>
      </c>
    </row>
    <row r="2352" customFormat="false" ht="15" hidden="false" customHeight="false" outlineLevel="0" collapsed="false">
      <c r="DB2352" s="0" t="str">
        <f aca="false">IF($A2352="","",IF($A2352&lt;&gt;21,"対象外",IF($AE2352&amp;""="00000000","在職",IF($AE2352&amp;""=設定!$C$4,"4/1喪失","その他喪失"))))</f>
        <v/>
      </c>
    </row>
    <row r="2353" customFormat="false" ht="15" hidden="false" customHeight="false" outlineLevel="0" collapsed="false">
      <c r="DB2353" s="0" t="str">
        <f aca="false">IF($A2353="","",IF($A2353&lt;&gt;21,"対象外",IF($AE2353&amp;""="00000000","在職",IF($AE2353&amp;""=設定!$C$4,"4/1喪失","その他喪失"))))</f>
        <v/>
      </c>
    </row>
    <row r="2354" customFormat="false" ht="15" hidden="false" customHeight="false" outlineLevel="0" collapsed="false">
      <c r="DB2354" s="0" t="str">
        <f aca="false">IF($A2354="","",IF($A2354&lt;&gt;21,"対象外",IF($AE2354&amp;""="00000000","在職",IF($AE2354&amp;""=設定!$C$4,"4/1喪失","その他喪失"))))</f>
        <v/>
      </c>
    </row>
    <row r="2355" customFormat="false" ht="15" hidden="false" customHeight="false" outlineLevel="0" collapsed="false">
      <c r="DB2355" s="0" t="str">
        <f aca="false">IF($A2355="","",IF($A2355&lt;&gt;21,"対象外",IF($AE2355&amp;""="00000000","在職",IF($AE2355&amp;""=設定!$C$4,"4/1喪失","その他喪失"))))</f>
        <v/>
      </c>
    </row>
    <row r="2356" customFormat="false" ht="15" hidden="false" customHeight="false" outlineLevel="0" collapsed="false">
      <c r="DB2356" s="0" t="str">
        <f aca="false">IF($A2356="","",IF($A2356&lt;&gt;21,"対象外",IF($AE2356&amp;""="00000000","在職",IF($AE2356&amp;""=設定!$C$4,"4/1喪失","その他喪失"))))</f>
        <v/>
      </c>
    </row>
    <row r="2357" customFormat="false" ht="15" hidden="false" customHeight="false" outlineLevel="0" collapsed="false">
      <c r="DB2357" s="0" t="str">
        <f aca="false">IF($A2357="","",IF($A2357&lt;&gt;21,"対象外",IF($AE2357&amp;""="00000000","在職",IF($AE2357&amp;""=設定!$C$4,"4/1喪失","その他喪失"))))</f>
        <v/>
      </c>
    </row>
    <row r="2358" customFormat="false" ht="15" hidden="false" customHeight="false" outlineLevel="0" collapsed="false">
      <c r="DB2358" s="0" t="str">
        <f aca="false">IF($A2358="","",IF($A2358&lt;&gt;21,"対象外",IF($AE2358&amp;""="00000000","在職",IF($AE2358&amp;""=設定!$C$4,"4/1喪失","その他喪失"))))</f>
        <v/>
      </c>
    </row>
    <row r="2359" customFormat="false" ht="15" hidden="false" customHeight="false" outlineLevel="0" collapsed="false">
      <c r="DB2359" s="0" t="str">
        <f aca="false">IF($A2359="","",IF($A2359&lt;&gt;21,"対象外",IF($AE2359&amp;""="00000000","在職",IF($AE2359&amp;""=設定!$C$4,"4/1喪失","その他喪失"))))</f>
        <v/>
      </c>
    </row>
    <row r="2360" customFormat="false" ht="15" hidden="false" customHeight="false" outlineLevel="0" collapsed="false">
      <c r="DB2360" s="0" t="str">
        <f aca="false">IF($A2360="","",IF($A2360&lt;&gt;21,"対象外",IF($AE2360&amp;""="00000000","在職",IF($AE2360&amp;""=設定!$C$4,"4/1喪失","その他喪失"))))</f>
        <v/>
      </c>
    </row>
    <row r="2361" customFormat="false" ht="15" hidden="false" customHeight="false" outlineLevel="0" collapsed="false">
      <c r="DB2361" s="0" t="str">
        <f aca="false">IF($A2361="","",IF($A2361&lt;&gt;21,"対象外",IF($AE2361&amp;""="00000000","在職",IF($AE2361&amp;""=設定!$C$4,"4/1喪失","その他喪失"))))</f>
        <v/>
      </c>
    </row>
    <row r="2362" customFormat="false" ht="15" hidden="false" customHeight="false" outlineLevel="0" collapsed="false">
      <c r="DB2362" s="0" t="str">
        <f aca="false">IF($A2362="","",IF($A2362&lt;&gt;21,"対象外",IF($AE2362&amp;""="00000000","在職",IF($AE2362&amp;""=設定!$C$4,"4/1喪失","その他喪失"))))</f>
        <v/>
      </c>
    </row>
    <row r="2363" customFormat="false" ht="15" hidden="false" customHeight="false" outlineLevel="0" collapsed="false">
      <c r="DB2363" s="0" t="str">
        <f aca="false">IF($A2363="","",IF($A2363&lt;&gt;21,"対象外",IF($AE2363&amp;""="00000000","在職",IF($AE2363&amp;""=設定!$C$4,"4/1喪失","その他喪失"))))</f>
        <v/>
      </c>
    </row>
    <row r="2364" customFormat="false" ht="15" hidden="false" customHeight="false" outlineLevel="0" collapsed="false">
      <c r="DB2364" s="0" t="str">
        <f aca="false">IF($A2364="","",IF($A2364&lt;&gt;21,"対象外",IF($AE2364&amp;""="00000000","在職",IF($AE2364&amp;""=設定!$C$4,"4/1喪失","その他喪失"))))</f>
        <v/>
      </c>
    </row>
    <row r="2365" customFormat="false" ht="15" hidden="false" customHeight="false" outlineLevel="0" collapsed="false">
      <c r="DB2365" s="0" t="str">
        <f aca="false">IF($A2365="","",IF($A2365&lt;&gt;21,"対象外",IF($AE2365&amp;""="00000000","在職",IF($AE2365&amp;""=設定!$C$4,"4/1喪失","その他喪失"))))</f>
        <v/>
      </c>
    </row>
    <row r="2366" customFormat="false" ht="15" hidden="false" customHeight="false" outlineLevel="0" collapsed="false">
      <c r="DB2366" s="0" t="str">
        <f aca="false">IF($A2366="","",IF($A2366&lt;&gt;21,"対象外",IF($AE2366&amp;""="00000000","在職",IF($AE2366&amp;""=設定!$C$4,"4/1喪失","その他喪失"))))</f>
        <v/>
      </c>
    </row>
    <row r="2367" customFormat="false" ht="15" hidden="false" customHeight="false" outlineLevel="0" collapsed="false">
      <c r="DB2367" s="0" t="str">
        <f aca="false">IF($A2367="","",IF($A2367&lt;&gt;21,"対象外",IF($AE2367&amp;""="00000000","在職",IF($AE2367&amp;""=設定!$C$4,"4/1喪失","その他喪失"))))</f>
        <v/>
      </c>
    </row>
    <row r="2368" customFormat="false" ht="15" hidden="false" customHeight="false" outlineLevel="0" collapsed="false">
      <c r="DB2368" s="0" t="str">
        <f aca="false">IF($A2368="","",IF($A2368&lt;&gt;21,"対象外",IF($AE2368&amp;""="00000000","在職",IF($AE2368&amp;""=設定!$C$4,"4/1喪失","その他喪失"))))</f>
        <v/>
      </c>
    </row>
    <row r="2369" customFormat="false" ht="15" hidden="false" customHeight="false" outlineLevel="0" collapsed="false">
      <c r="DB2369" s="0" t="str">
        <f aca="false">IF($A2369="","",IF($A2369&lt;&gt;21,"対象外",IF($AE2369&amp;""="00000000","在職",IF($AE2369&amp;""=設定!$C$4,"4/1喪失","その他喪失"))))</f>
        <v/>
      </c>
    </row>
    <row r="2370" customFormat="false" ht="15" hidden="false" customHeight="false" outlineLevel="0" collapsed="false">
      <c r="DB2370" s="0" t="str">
        <f aca="false">IF($A2370="","",IF($A2370&lt;&gt;21,"対象外",IF($AE2370&amp;""="00000000","在職",IF($AE2370&amp;""=設定!$C$4,"4/1喪失","その他喪失"))))</f>
        <v/>
      </c>
    </row>
    <row r="2371" customFormat="false" ht="15" hidden="false" customHeight="false" outlineLevel="0" collapsed="false">
      <c r="DB2371" s="0" t="str">
        <f aca="false">IF($A2371="","",IF($A2371&lt;&gt;21,"対象外",IF($AE2371&amp;""="00000000","在職",IF($AE2371&amp;""=設定!$C$4,"4/1喪失","その他喪失"))))</f>
        <v/>
      </c>
    </row>
    <row r="2372" customFormat="false" ht="15" hidden="false" customHeight="false" outlineLevel="0" collapsed="false">
      <c r="DB2372" s="0" t="str">
        <f aca="false">IF($A2372="","",IF($A2372&lt;&gt;21,"対象外",IF($AE2372&amp;""="00000000","在職",IF($AE2372&amp;""=設定!$C$4,"4/1喪失","その他喪失"))))</f>
        <v/>
      </c>
    </row>
    <row r="2373" customFormat="false" ht="15" hidden="false" customHeight="false" outlineLevel="0" collapsed="false">
      <c r="DB2373" s="0" t="str">
        <f aca="false">IF($A2373="","",IF($A2373&lt;&gt;21,"対象外",IF($AE2373&amp;""="00000000","在職",IF($AE2373&amp;""=設定!$C$4,"4/1喪失","その他喪失"))))</f>
        <v/>
      </c>
    </row>
    <row r="2374" customFormat="false" ht="15" hidden="false" customHeight="false" outlineLevel="0" collapsed="false">
      <c r="DB2374" s="0" t="str">
        <f aca="false">IF($A2374="","",IF($A2374&lt;&gt;21,"対象外",IF($AE2374&amp;""="00000000","在職",IF($AE2374&amp;""=設定!$C$4,"4/1喪失","その他喪失"))))</f>
        <v/>
      </c>
    </row>
    <row r="2375" customFormat="false" ht="15" hidden="false" customHeight="false" outlineLevel="0" collapsed="false">
      <c r="DB2375" s="0" t="str">
        <f aca="false">IF($A2375="","",IF($A2375&lt;&gt;21,"対象外",IF($AE2375&amp;""="00000000","在職",IF($AE2375&amp;""=設定!$C$4,"4/1喪失","その他喪失"))))</f>
        <v/>
      </c>
    </row>
    <row r="2376" customFormat="false" ht="15" hidden="false" customHeight="false" outlineLevel="0" collapsed="false">
      <c r="DB2376" s="0" t="str">
        <f aca="false">IF($A2376="","",IF($A2376&lt;&gt;21,"対象外",IF($AE2376&amp;""="00000000","在職",IF($AE2376&amp;""=設定!$C$4,"4/1喪失","その他喪失"))))</f>
        <v/>
      </c>
    </row>
    <row r="2377" customFormat="false" ht="15" hidden="false" customHeight="false" outlineLevel="0" collapsed="false">
      <c r="DB2377" s="0" t="str">
        <f aca="false">IF($A2377="","",IF($A2377&lt;&gt;21,"対象外",IF($AE2377&amp;""="00000000","在職",IF($AE2377&amp;""=設定!$C$4,"4/1喪失","その他喪失"))))</f>
        <v/>
      </c>
    </row>
    <row r="2378" customFormat="false" ht="15" hidden="false" customHeight="false" outlineLevel="0" collapsed="false">
      <c r="DB2378" s="0" t="str">
        <f aca="false">IF($A2378="","",IF($A2378&lt;&gt;21,"対象外",IF($AE2378&amp;""="00000000","在職",IF($AE2378&amp;""=設定!$C$4,"4/1喪失","その他喪失"))))</f>
        <v/>
      </c>
    </row>
    <row r="2379" customFormat="false" ht="15" hidden="false" customHeight="false" outlineLevel="0" collapsed="false">
      <c r="DB2379" s="0" t="str">
        <f aca="false">IF($A2379="","",IF($A2379&lt;&gt;21,"対象外",IF($AE2379&amp;""="00000000","在職",IF($AE2379&amp;""=設定!$C$4,"4/1喪失","その他喪失"))))</f>
        <v/>
      </c>
    </row>
    <row r="2380" customFormat="false" ht="15" hidden="false" customHeight="false" outlineLevel="0" collapsed="false">
      <c r="DB2380" s="0" t="str">
        <f aca="false">IF($A2380="","",IF($A2380&lt;&gt;21,"対象外",IF($AE2380&amp;""="00000000","在職",IF($AE2380&amp;""=設定!$C$4,"4/1喪失","その他喪失"))))</f>
        <v/>
      </c>
    </row>
    <row r="2381" customFormat="false" ht="15" hidden="false" customHeight="false" outlineLevel="0" collapsed="false">
      <c r="DB2381" s="0" t="str">
        <f aca="false">IF($A2381="","",IF($A2381&lt;&gt;21,"対象外",IF($AE2381&amp;""="00000000","在職",IF($AE2381&amp;""=設定!$C$4,"4/1喪失","その他喪失"))))</f>
        <v/>
      </c>
    </row>
    <row r="2382" customFormat="false" ht="15" hidden="false" customHeight="false" outlineLevel="0" collapsed="false">
      <c r="DB2382" s="0" t="str">
        <f aca="false">IF($A2382="","",IF($A2382&lt;&gt;21,"対象外",IF($AE2382&amp;""="00000000","在職",IF($AE2382&amp;""=設定!$C$4,"4/1喪失","その他喪失"))))</f>
        <v/>
      </c>
    </row>
    <row r="2383" customFormat="false" ht="15" hidden="false" customHeight="false" outlineLevel="0" collapsed="false">
      <c r="DB2383" s="0" t="str">
        <f aca="false">IF($A2383="","",IF($A2383&lt;&gt;21,"対象外",IF($AE2383&amp;""="00000000","在職",IF($AE2383&amp;""=設定!$C$4,"4/1喪失","その他喪失"))))</f>
        <v/>
      </c>
    </row>
    <row r="2384" customFormat="false" ht="15" hidden="false" customHeight="false" outlineLevel="0" collapsed="false">
      <c r="DB2384" s="0" t="str">
        <f aca="false">IF($A2384="","",IF($A2384&lt;&gt;21,"対象外",IF($AE2384&amp;""="00000000","在職",IF($AE2384&amp;""=設定!$C$4,"4/1喪失","その他喪失"))))</f>
        <v/>
      </c>
    </row>
    <row r="2385" customFormat="false" ht="15" hidden="false" customHeight="false" outlineLevel="0" collapsed="false">
      <c r="DB2385" s="0" t="str">
        <f aca="false">IF($A2385="","",IF($A2385&lt;&gt;21,"対象外",IF($AE2385&amp;""="00000000","在職",IF($AE2385&amp;""=設定!$C$4,"4/1喪失","その他喪失"))))</f>
        <v/>
      </c>
    </row>
    <row r="2386" customFormat="false" ht="15" hidden="false" customHeight="false" outlineLevel="0" collapsed="false">
      <c r="DB2386" s="0" t="str">
        <f aca="false">IF($A2386="","",IF($A2386&lt;&gt;21,"対象外",IF($AE2386&amp;""="00000000","在職",IF($AE2386&amp;""=設定!$C$4,"4/1喪失","その他喪失"))))</f>
        <v/>
      </c>
    </row>
    <row r="2387" customFormat="false" ht="15" hidden="false" customHeight="false" outlineLevel="0" collapsed="false">
      <c r="DB2387" s="0" t="str">
        <f aca="false">IF($A2387="","",IF($A2387&lt;&gt;21,"対象外",IF($AE2387&amp;""="00000000","在職",IF($AE2387&amp;""=設定!$C$4,"4/1喪失","その他喪失"))))</f>
        <v/>
      </c>
    </row>
    <row r="2388" customFormat="false" ht="15" hidden="false" customHeight="false" outlineLevel="0" collapsed="false">
      <c r="DB2388" s="0" t="str">
        <f aca="false">IF($A2388="","",IF($A2388&lt;&gt;21,"対象外",IF($AE2388&amp;""="00000000","在職",IF($AE2388&amp;""=設定!$C$4,"4/1喪失","その他喪失"))))</f>
        <v/>
      </c>
    </row>
    <row r="2389" customFormat="false" ht="15" hidden="false" customHeight="false" outlineLevel="0" collapsed="false">
      <c r="DB2389" s="0" t="str">
        <f aca="false">IF($A2389="","",IF($A2389&lt;&gt;21,"対象外",IF($AE2389&amp;""="00000000","在職",IF($AE2389&amp;""=設定!$C$4,"4/1喪失","その他喪失"))))</f>
        <v/>
      </c>
    </row>
    <row r="2390" customFormat="false" ht="15" hidden="false" customHeight="false" outlineLevel="0" collapsed="false">
      <c r="DB2390" s="0" t="str">
        <f aca="false">IF($A2390="","",IF($A2390&lt;&gt;21,"対象外",IF($AE2390&amp;""="00000000","在職",IF($AE2390&amp;""=設定!$C$4,"4/1喪失","その他喪失"))))</f>
        <v/>
      </c>
    </row>
    <row r="2391" customFormat="false" ht="15" hidden="false" customHeight="false" outlineLevel="0" collapsed="false">
      <c r="DB2391" s="0" t="str">
        <f aca="false">IF($A2391="","",IF($A2391&lt;&gt;21,"対象外",IF($AE2391&amp;""="00000000","在職",IF($AE2391&amp;""=設定!$C$4,"4/1喪失","その他喪失"))))</f>
        <v/>
      </c>
    </row>
    <row r="2392" customFormat="false" ht="15" hidden="false" customHeight="false" outlineLevel="0" collapsed="false">
      <c r="DB2392" s="0" t="str">
        <f aca="false">IF($A2392="","",IF($A2392&lt;&gt;21,"対象外",IF($AE2392&amp;""="00000000","在職",IF($AE2392&amp;""=設定!$C$4,"4/1喪失","その他喪失"))))</f>
        <v/>
      </c>
    </row>
    <row r="2393" customFormat="false" ht="15" hidden="false" customHeight="false" outlineLevel="0" collapsed="false">
      <c r="DB2393" s="0" t="str">
        <f aca="false">IF($A2393="","",IF($A2393&lt;&gt;21,"対象外",IF($AE2393&amp;""="00000000","在職",IF($AE2393&amp;""=設定!$C$4,"4/1喪失","その他喪失"))))</f>
        <v/>
      </c>
    </row>
    <row r="2394" customFormat="false" ht="15" hidden="false" customHeight="false" outlineLevel="0" collapsed="false">
      <c r="DB2394" s="0" t="str">
        <f aca="false">IF($A2394="","",IF($A2394&lt;&gt;21,"対象外",IF($AE2394&amp;""="00000000","在職",IF($AE2394&amp;""=設定!$C$4,"4/1喪失","その他喪失"))))</f>
        <v/>
      </c>
    </row>
    <row r="2395" customFormat="false" ht="15" hidden="false" customHeight="false" outlineLevel="0" collapsed="false">
      <c r="DB2395" s="0" t="str">
        <f aca="false">IF($A2395="","",IF($A2395&lt;&gt;21,"対象外",IF($AE2395&amp;""="00000000","在職",IF($AE2395&amp;""=設定!$C$4,"4/1喪失","その他喪失"))))</f>
        <v/>
      </c>
    </row>
    <row r="2396" customFormat="false" ht="15" hidden="false" customHeight="false" outlineLevel="0" collapsed="false">
      <c r="DB2396" s="0" t="str">
        <f aca="false">IF($A2396="","",IF($A2396&lt;&gt;21,"対象外",IF($AE2396&amp;""="00000000","在職",IF($AE2396&amp;""=設定!$C$4,"4/1喪失","その他喪失"))))</f>
        <v/>
      </c>
    </row>
    <row r="2397" customFormat="false" ht="15" hidden="false" customHeight="false" outlineLevel="0" collapsed="false">
      <c r="DB2397" s="0" t="str">
        <f aca="false">IF($A2397="","",IF($A2397&lt;&gt;21,"対象外",IF($AE2397&amp;""="00000000","在職",IF($AE2397&amp;""=設定!$C$4,"4/1喪失","その他喪失"))))</f>
        <v/>
      </c>
    </row>
    <row r="2398" customFormat="false" ht="15" hidden="false" customHeight="false" outlineLevel="0" collapsed="false">
      <c r="DB2398" s="0" t="str">
        <f aca="false">IF($A2398="","",IF($A2398&lt;&gt;21,"対象外",IF($AE2398&amp;""="00000000","在職",IF($AE2398&amp;""=設定!$C$4,"4/1喪失","その他喪失"))))</f>
        <v/>
      </c>
    </row>
    <row r="2399" customFormat="false" ht="15" hidden="false" customHeight="false" outlineLevel="0" collapsed="false">
      <c r="DB2399" s="0" t="str">
        <f aca="false">IF($A2399="","",IF($A2399&lt;&gt;21,"対象外",IF($AE2399&amp;""="00000000","在職",IF($AE2399&amp;""=設定!$C$4,"4/1喪失","その他喪失"))))</f>
        <v/>
      </c>
    </row>
    <row r="2400" customFormat="false" ht="15" hidden="false" customHeight="false" outlineLevel="0" collapsed="false">
      <c r="DB2400" s="0" t="str">
        <f aca="false">IF($A2400="","",IF($A2400&lt;&gt;21,"対象外",IF($AE2400&amp;""="00000000","在職",IF($AE2400&amp;""=設定!$C$4,"4/1喪失","その他喪失"))))</f>
        <v/>
      </c>
    </row>
    <row r="2401" customFormat="false" ht="15" hidden="false" customHeight="false" outlineLevel="0" collapsed="false">
      <c r="DB2401" s="0" t="str">
        <f aca="false">IF($A2401="","",IF($A2401&lt;&gt;21,"対象外",IF($AE2401&amp;""="00000000","在職",IF($AE2401&amp;""=設定!$C$4,"4/1喪失","その他喪失"))))</f>
        <v/>
      </c>
    </row>
    <row r="2402" customFormat="false" ht="15" hidden="false" customHeight="false" outlineLevel="0" collapsed="false">
      <c r="DB2402" s="0" t="str">
        <f aca="false">IF($A2402="","",IF($A2402&lt;&gt;21,"対象外",IF($AE2402&amp;""="00000000","在職",IF($AE2402&amp;""=設定!$C$4,"4/1喪失","その他喪失"))))</f>
        <v/>
      </c>
    </row>
    <row r="2403" customFormat="false" ht="15" hidden="false" customHeight="false" outlineLevel="0" collapsed="false">
      <c r="DB2403" s="0" t="str">
        <f aca="false">IF($A2403="","",IF($A2403&lt;&gt;21,"対象外",IF($AE2403&amp;""="00000000","在職",IF($AE2403&amp;""=設定!$C$4,"4/1喪失","その他喪失"))))</f>
        <v/>
      </c>
    </row>
    <row r="2404" customFormat="false" ht="15" hidden="false" customHeight="false" outlineLevel="0" collapsed="false">
      <c r="DB2404" s="0" t="str">
        <f aca="false">IF($A2404="","",IF($A2404&lt;&gt;21,"対象外",IF($AE2404&amp;""="00000000","在職",IF($AE2404&amp;""=設定!$C$4,"4/1喪失","その他喪失"))))</f>
        <v/>
      </c>
    </row>
    <row r="2405" customFormat="false" ht="15" hidden="false" customHeight="false" outlineLevel="0" collapsed="false">
      <c r="DB2405" s="0" t="str">
        <f aca="false">IF($A2405="","",IF($A2405&lt;&gt;21,"対象外",IF($AE2405&amp;""="00000000","在職",IF($AE2405&amp;""=設定!$C$4,"4/1喪失","その他喪失"))))</f>
        <v/>
      </c>
    </row>
    <row r="2406" customFormat="false" ht="15" hidden="false" customHeight="false" outlineLevel="0" collapsed="false">
      <c r="DB2406" s="0" t="str">
        <f aca="false">IF($A2406="","",IF($A2406&lt;&gt;21,"対象外",IF($AE2406&amp;""="00000000","在職",IF($AE2406&amp;""=設定!$C$4,"4/1喪失","その他喪失"))))</f>
        <v/>
      </c>
    </row>
    <row r="2407" customFormat="false" ht="15" hidden="false" customHeight="false" outlineLevel="0" collapsed="false">
      <c r="DB2407" s="0" t="str">
        <f aca="false">IF($A2407="","",IF($A2407&lt;&gt;21,"対象外",IF($AE2407&amp;""="00000000","在職",IF($AE2407&amp;""=設定!$C$4,"4/1喪失","その他喪失"))))</f>
        <v/>
      </c>
    </row>
    <row r="2408" customFormat="false" ht="15" hidden="false" customHeight="false" outlineLevel="0" collapsed="false">
      <c r="DB2408" s="0" t="str">
        <f aca="false">IF($A2408="","",IF($A2408&lt;&gt;21,"対象外",IF($AE2408&amp;""="00000000","在職",IF($AE2408&amp;""=設定!$C$4,"4/1喪失","その他喪失"))))</f>
        <v/>
      </c>
    </row>
    <row r="2409" customFormat="false" ht="15" hidden="false" customHeight="false" outlineLevel="0" collapsed="false">
      <c r="DB2409" s="0" t="str">
        <f aca="false">IF($A2409="","",IF($A2409&lt;&gt;21,"対象外",IF($AE2409&amp;""="00000000","在職",IF($AE2409&amp;""=設定!$C$4,"4/1喪失","その他喪失"))))</f>
        <v/>
      </c>
    </row>
    <row r="2410" customFormat="false" ht="15" hidden="false" customHeight="false" outlineLevel="0" collapsed="false">
      <c r="DB2410" s="0" t="str">
        <f aca="false">IF($A2410="","",IF($A2410&lt;&gt;21,"対象外",IF($AE2410&amp;""="00000000","在職",IF($AE2410&amp;""=設定!$C$4,"4/1喪失","その他喪失"))))</f>
        <v/>
      </c>
    </row>
    <row r="2411" customFormat="false" ht="15" hidden="false" customHeight="false" outlineLevel="0" collapsed="false">
      <c r="DB2411" s="0" t="str">
        <f aca="false">IF($A2411="","",IF($A2411&lt;&gt;21,"対象外",IF($AE2411&amp;""="00000000","在職",IF($AE2411&amp;""=設定!$C$4,"4/1喪失","その他喪失"))))</f>
        <v/>
      </c>
    </row>
    <row r="2412" customFormat="false" ht="15" hidden="false" customHeight="false" outlineLevel="0" collapsed="false">
      <c r="DB2412" s="0" t="str">
        <f aca="false">IF($A2412="","",IF($A2412&lt;&gt;21,"対象外",IF($AE2412&amp;""="00000000","在職",IF($AE2412&amp;""=設定!$C$4,"4/1喪失","その他喪失"))))</f>
        <v/>
      </c>
    </row>
    <row r="2413" customFormat="false" ht="15" hidden="false" customHeight="false" outlineLevel="0" collapsed="false">
      <c r="DB2413" s="0" t="str">
        <f aca="false">IF($A2413="","",IF($A2413&lt;&gt;21,"対象外",IF($AE2413&amp;""="00000000","在職",IF($AE2413&amp;""=設定!$C$4,"4/1喪失","その他喪失"))))</f>
        <v/>
      </c>
    </row>
    <row r="2414" customFormat="false" ht="15" hidden="false" customHeight="false" outlineLevel="0" collapsed="false">
      <c r="DB2414" s="0" t="str">
        <f aca="false">IF($A2414="","",IF($A2414&lt;&gt;21,"対象外",IF($AE2414&amp;""="00000000","在職",IF($AE2414&amp;""=設定!$C$4,"4/1喪失","その他喪失"))))</f>
        <v/>
      </c>
    </row>
    <row r="2415" customFormat="false" ht="15" hidden="false" customHeight="false" outlineLevel="0" collapsed="false">
      <c r="DB2415" s="0" t="str">
        <f aca="false">IF($A2415="","",IF($A2415&lt;&gt;21,"対象外",IF($AE2415&amp;""="00000000","在職",IF($AE2415&amp;""=設定!$C$4,"4/1喪失","その他喪失"))))</f>
        <v/>
      </c>
    </row>
    <row r="2416" customFormat="false" ht="15" hidden="false" customHeight="false" outlineLevel="0" collapsed="false">
      <c r="DB2416" s="0" t="str">
        <f aca="false">IF($A2416="","",IF($A2416&lt;&gt;21,"対象外",IF($AE2416&amp;""="00000000","在職",IF($AE2416&amp;""=設定!$C$4,"4/1喪失","その他喪失"))))</f>
        <v/>
      </c>
    </row>
    <row r="2417" customFormat="false" ht="15" hidden="false" customHeight="false" outlineLevel="0" collapsed="false">
      <c r="DB2417" s="0" t="str">
        <f aca="false">IF($A2417="","",IF($A2417&lt;&gt;21,"対象外",IF($AE2417&amp;""="00000000","在職",IF($AE2417&amp;""=設定!$C$4,"4/1喪失","その他喪失"))))</f>
        <v/>
      </c>
    </row>
    <row r="2418" customFormat="false" ht="15" hidden="false" customHeight="false" outlineLevel="0" collapsed="false">
      <c r="DB2418" s="0" t="str">
        <f aca="false">IF($A2418="","",IF($A2418&lt;&gt;21,"対象外",IF($AE2418&amp;""="00000000","在職",IF($AE2418&amp;""=設定!$C$4,"4/1喪失","その他喪失"))))</f>
        <v/>
      </c>
    </row>
    <row r="2419" customFormat="false" ht="15" hidden="false" customHeight="false" outlineLevel="0" collapsed="false">
      <c r="DB2419" s="0" t="str">
        <f aca="false">IF($A2419="","",IF($A2419&lt;&gt;21,"対象外",IF($AE2419&amp;""="00000000","在職",IF($AE2419&amp;""=設定!$C$4,"4/1喪失","その他喪失"))))</f>
        <v/>
      </c>
    </row>
    <row r="2420" customFormat="false" ht="15" hidden="false" customHeight="false" outlineLevel="0" collapsed="false">
      <c r="DB2420" s="0" t="str">
        <f aca="false">IF($A2420="","",IF($A2420&lt;&gt;21,"対象外",IF($AE2420&amp;""="00000000","在職",IF($AE2420&amp;""=設定!$C$4,"4/1喪失","その他喪失"))))</f>
        <v/>
      </c>
    </row>
    <row r="2421" customFormat="false" ht="15" hidden="false" customHeight="false" outlineLevel="0" collapsed="false">
      <c r="DB2421" s="0" t="str">
        <f aca="false">IF($A2421="","",IF($A2421&lt;&gt;21,"対象外",IF($AE2421&amp;""="00000000","在職",IF($AE2421&amp;""=設定!$C$4,"4/1喪失","その他喪失"))))</f>
        <v/>
      </c>
    </row>
    <row r="2422" customFormat="false" ht="15" hidden="false" customHeight="false" outlineLevel="0" collapsed="false">
      <c r="DB2422" s="0" t="str">
        <f aca="false">IF($A2422="","",IF($A2422&lt;&gt;21,"対象外",IF($AE2422&amp;""="00000000","在職",IF($AE2422&amp;""=設定!$C$4,"4/1喪失","その他喪失"))))</f>
        <v/>
      </c>
    </row>
    <row r="2423" customFormat="false" ht="15" hidden="false" customHeight="false" outlineLevel="0" collapsed="false">
      <c r="DB2423" s="0" t="str">
        <f aca="false">IF($A2423="","",IF($A2423&lt;&gt;21,"対象外",IF($AE2423&amp;""="00000000","在職",IF($AE2423&amp;""=設定!$C$4,"4/1喪失","その他喪失"))))</f>
        <v/>
      </c>
    </row>
    <row r="2424" customFormat="false" ht="15" hidden="false" customHeight="false" outlineLevel="0" collapsed="false">
      <c r="DB2424" s="0" t="str">
        <f aca="false">IF($A2424="","",IF($A2424&lt;&gt;21,"対象外",IF($AE2424&amp;""="00000000","在職",IF($AE2424&amp;""=設定!$C$4,"4/1喪失","その他喪失"))))</f>
        <v/>
      </c>
    </row>
    <row r="2425" customFormat="false" ht="15" hidden="false" customHeight="false" outlineLevel="0" collapsed="false">
      <c r="DB2425" s="0" t="str">
        <f aca="false">IF($A2425="","",IF($A2425&lt;&gt;21,"対象外",IF($AE2425&amp;""="00000000","在職",IF($AE2425&amp;""=設定!$C$4,"4/1喪失","その他喪失"))))</f>
        <v/>
      </c>
    </row>
    <row r="2426" customFormat="false" ht="15" hidden="false" customHeight="false" outlineLevel="0" collapsed="false">
      <c r="DB2426" s="0" t="str">
        <f aca="false">IF($A2426="","",IF($A2426&lt;&gt;21,"対象外",IF($AE2426&amp;""="00000000","在職",IF($AE2426&amp;""=設定!$C$4,"4/1喪失","その他喪失"))))</f>
        <v/>
      </c>
    </row>
    <row r="2427" customFormat="false" ht="15" hidden="false" customHeight="false" outlineLevel="0" collapsed="false">
      <c r="DB2427" s="0" t="str">
        <f aca="false">IF($A2427="","",IF($A2427&lt;&gt;21,"対象外",IF($AE2427&amp;""="00000000","在職",IF($AE2427&amp;""=設定!$C$4,"4/1喪失","その他喪失"))))</f>
        <v/>
      </c>
    </row>
    <row r="2428" customFormat="false" ht="15" hidden="false" customHeight="false" outlineLevel="0" collapsed="false">
      <c r="DB2428" s="0" t="str">
        <f aca="false">IF($A2428="","",IF($A2428&lt;&gt;21,"対象外",IF($AE2428&amp;""="00000000","在職",IF($AE2428&amp;""=設定!$C$4,"4/1喪失","その他喪失"))))</f>
        <v/>
      </c>
    </row>
    <row r="2429" customFormat="false" ht="15" hidden="false" customHeight="false" outlineLevel="0" collapsed="false">
      <c r="DB2429" s="0" t="str">
        <f aca="false">IF($A2429="","",IF($A2429&lt;&gt;21,"対象外",IF($AE2429&amp;""="00000000","在職",IF($AE2429&amp;""=設定!$C$4,"4/1喪失","その他喪失"))))</f>
        <v/>
      </c>
    </row>
    <row r="2430" customFormat="false" ht="15" hidden="false" customHeight="false" outlineLevel="0" collapsed="false">
      <c r="DB2430" s="0" t="str">
        <f aca="false">IF($A2430="","",IF($A2430&lt;&gt;21,"対象外",IF($AE2430&amp;""="00000000","在職",IF($AE2430&amp;""=設定!$C$4,"4/1喪失","その他喪失"))))</f>
        <v/>
      </c>
    </row>
    <row r="2431" customFormat="false" ht="15" hidden="false" customHeight="false" outlineLevel="0" collapsed="false">
      <c r="DB2431" s="0" t="str">
        <f aca="false">IF($A2431="","",IF($A2431&lt;&gt;21,"対象外",IF($AE2431&amp;""="00000000","在職",IF($AE2431&amp;""=設定!$C$4,"4/1喪失","その他喪失"))))</f>
        <v/>
      </c>
    </row>
    <row r="2432" customFormat="false" ht="15" hidden="false" customHeight="false" outlineLevel="0" collapsed="false">
      <c r="DB2432" s="0" t="str">
        <f aca="false">IF($A2432="","",IF($A2432&lt;&gt;21,"対象外",IF($AE2432&amp;""="00000000","在職",IF($AE2432&amp;""=設定!$C$4,"4/1喪失","その他喪失"))))</f>
        <v/>
      </c>
    </row>
    <row r="2433" customFormat="false" ht="15" hidden="false" customHeight="false" outlineLevel="0" collapsed="false">
      <c r="DB2433" s="0" t="str">
        <f aca="false">IF($A2433="","",IF($A2433&lt;&gt;21,"対象外",IF($AE2433&amp;""="00000000","在職",IF($AE2433&amp;""=設定!$C$4,"4/1喪失","その他喪失"))))</f>
        <v/>
      </c>
    </row>
    <row r="2434" customFormat="false" ht="15" hidden="false" customHeight="false" outlineLevel="0" collapsed="false">
      <c r="DB2434" s="0" t="str">
        <f aca="false">IF($A2434="","",IF($A2434&lt;&gt;21,"対象外",IF($AE2434&amp;""="00000000","在職",IF($AE2434&amp;""=設定!$C$4,"4/1喪失","その他喪失"))))</f>
        <v/>
      </c>
    </row>
    <row r="2435" customFormat="false" ht="15" hidden="false" customHeight="false" outlineLevel="0" collapsed="false">
      <c r="DB2435" s="0" t="str">
        <f aca="false">IF($A2435="","",IF($A2435&lt;&gt;21,"対象外",IF($AE2435&amp;""="00000000","在職",IF($AE2435&amp;""=設定!$C$4,"4/1喪失","その他喪失"))))</f>
        <v/>
      </c>
    </row>
    <row r="2436" customFormat="false" ht="15" hidden="false" customHeight="false" outlineLevel="0" collapsed="false">
      <c r="DB2436" s="0" t="str">
        <f aca="false">IF($A2436="","",IF($A2436&lt;&gt;21,"対象外",IF($AE2436&amp;""="00000000","在職",IF($AE2436&amp;""=設定!$C$4,"4/1喪失","その他喪失"))))</f>
        <v/>
      </c>
    </row>
    <row r="2437" customFormat="false" ht="15" hidden="false" customHeight="false" outlineLevel="0" collapsed="false">
      <c r="DB2437" s="0" t="str">
        <f aca="false">IF($A2437="","",IF($A2437&lt;&gt;21,"対象外",IF($AE2437&amp;""="00000000","在職",IF($AE2437&amp;""=設定!$C$4,"4/1喪失","その他喪失"))))</f>
        <v/>
      </c>
    </row>
    <row r="2438" customFormat="false" ht="15" hidden="false" customHeight="false" outlineLevel="0" collapsed="false">
      <c r="DB2438" s="0" t="str">
        <f aca="false">IF($A2438="","",IF($A2438&lt;&gt;21,"対象外",IF($AE2438&amp;""="00000000","在職",IF($AE2438&amp;""=設定!$C$4,"4/1喪失","その他喪失"))))</f>
        <v/>
      </c>
    </row>
    <row r="2439" customFormat="false" ht="15" hidden="false" customHeight="false" outlineLevel="0" collapsed="false">
      <c r="DB2439" s="0" t="str">
        <f aca="false">IF($A2439="","",IF($A2439&lt;&gt;21,"対象外",IF($AE2439&amp;""="00000000","在職",IF($AE2439&amp;""=設定!$C$4,"4/1喪失","その他喪失"))))</f>
        <v/>
      </c>
    </row>
    <row r="2440" customFormat="false" ht="15" hidden="false" customHeight="false" outlineLevel="0" collapsed="false">
      <c r="DB2440" s="0" t="str">
        <f aca="false">IF($A2440="","",IF($A2440&lt;&gt;21,"対象外",IF($AE2440&amp;""="00000000","在職",IF($AE2440&amp;""=設定!$C$4,"4/1喪失","その他喪失"))))</f>
        <v/>
      </c>
    </row>
    <row r="2441" customFormat="false" ht="15" hidden="false" customHeight="false" outlineLevel="0" collapsed="false">
      <c r="DB2441" s="0" t="str">
        <f aca="false">IF($A2441="","",IF($A2441&lt;&gt;21,"対象外",IF($AE2441&amp;""="00000000","在職",IF($AE2441&amp;""=設定!$C$4,"4/1喪失","その他喪失"))))</f>
        <v/>
      </c>
    </row>
    <row r="2442" customFormat="false" ht="15" hidden="false" customHeight="false" outlineLevel="0" collapsed="false">
      <c r="DB2442" s="0" t="str">
        <f aca="false">IF($A2442="","",IF($A2442&lt;&gt;21,"対象外",IF($AE2442&amp;""="00000000","在職",IF($AE2442&amp;""=設定!$C$4,"4/1喪失","その他喪失"))))</f>
        <v/>
      </c>
    </row>
    <row r="2443" customFormat="false" ht="15" hidden="false" customHeight="false" outlineLevel="0" collapsed="false">
      <c r="DB2443" s="0" t="str">
        <f aca="false">IF($A2443="","",IF($A2443&lt;&gt;21,"対象外",IF($AE2443&amp;""="00000000","在職",IF($AE2443&amp;""=設定!$C$4,"4/1喪失","その他喪失"))))</f>
        <v/>
      </c>
    </row>
    <row r="2444" customFormat="false" ht="15" hidden="false" customHeight="false" outlineLevel="0" collapsed="false">
      <c r="DB2444" s="0" t="str">
        <f aca="false">IF($A2444="","",IF($A2444&lt;&gt;21,"対象外",IF($AE2444&amp;""="00000000","在職",IF($AE2444&amp;""=設定!$C$4,"4/1喪失","その他喪失"))))</f>
        <v/>
      </c>
    </row>
    <row r="2445" customFormat="false" ht="15" hidden="false" customHeight="false" outlineLevel="0" collapsed="false">
      <c r="DB2445" s="0" t="str">
        <f aca="false">IF($A2445="","",IF($A2445&lt;&gt;21,"対象外",IF($AE2445&amp;""="00000000","在職",IF($AE2445&amp;""=設定!$C$4,"4/1喪失","その他喪失"))))</f>
        <v/>
      </c>
    </row>
    <row r="2446" customFormat="false" ht="15" hidden="false" customHeight="false" outlineLevel="0" collapsed="false">
      <c r="DB2446" s="0" t="str">
        <f aca="false">IF($A2446="","",IF($A2446&lt;&gt;21,"対象外",IF($AE2446&amp;""="00000000","在職",IF($AE2446&amp;""=設定!$C$4,"4/1喪失","その他喪失"))))</f>
        <v/>
      </c>
    </row>
    <row r="2447" customFormat="false" ht="15" hidden="false" customHeight="false" outlineLevel="0" collapsed="false">
      <c r="DB2447" s="0" t="str">
        <f aca="false">IF($A2447="","",IF($A2447&lt;&gt;21,"対象外",IF($AE2447&amp;""="00000000","在職",IF($AE2447&amp;""=設定!$C$4,"4/1喪失","その他喪失"))))</f>
        <v/>
      </c>
    </row>
    <row r="2448" customFormat="false" ht="15" hidden="false" customHeight="false" outlineLevel="0" collapsed="false">
      <c r="DB2448" s="0" t="str">
        <f aca="false">IF($A2448="","",IF($A2448&lt;&gt;21,"対象外",IF($AE2448&amp;""="00000000","在職",IF($AE2448&amp;""=設定!$C$4,"4/1喪失","その他喪失"))))</f>
        <v/>
      </c>
    </row>
    <row r="2449" customFormat="false" ht="15" hidden="false" customHeight="false" outlineLevel="0" collapsed="false">
      <c r="DB2449" s="0" t="str">
        <f aca="false">IF($A2449="","",IF($A2449&lt;&gt;21,"対象外",IF($AE2449&amp;""="00000000","在職",IF($AE2449&amp;""=設定!$C$4,"4/1喪失","その他喪失"))))</f>
        <v/>
      </c>
    </row>
    <row r="2450" customFormat="false" ht="15" hidden="false" customHeight="false" outlineLevel="0" collapsed="false">
      <c r="DB2450" s="0" t="str">
        <f aca="false">IF($A2450="","",IF($A2450&lt;&gt;21,"対象外",IF($AE2450&amp;""="00000000","在職",IF($AE2450&amp;""=設定!$C$4,"4/1喪失","その他喪失"))))</f>
        <v/>
      </c>
    </row>
    <row r="2451" customFormat="false" ht="15" hidden="false" customHeight="false" outlineLevel="0" collapsed="false">
      <c r="DB2451" s="0" t="str">
        <f aca="false">IF($A2451="","",IF($A2451&lt;&gt;21,"対象外",IF($AE2451&amp;""="00000000","在職",IF($AE2451&amp;""=設定!$C$4,"4/1喪失","その他喪失"))))</f>
        <v/>
      </c>
    </row>
    <row r="2452" customFormat="false" ht="15" hidden="false" customHeight="false" outlineLevel="0" collapsed="false">
      <c r="DB2452" s="0" t="str">
        <f aca="false">IF($A2452="","",IF($A2452&lt;&gt;21,"対象外",IF($AE2452&amp;""="00000000","在職",IF($AE2452&amp;""=設定!$C$4,"4/1喪失","その他喪失"))))</f>
        <v/>
      </c>
    </row>
    <row r="2453" customFormat="false" ht="15" hidden="false" customHeight="false" outlineLevel="0" collapsed="false">
      <c r="DB2453" s="0" t="str">
        <f aca="false">IF($A2453="","",IF($A2453&lt;&gt;21,"対象外",IF($AE2453&amp;""="00000000","在職",IF($AE2453&amp;""=設定!$C$4,"4/1喪失","その他喪失"))))</f>
        <v/>
      </c>
    </row>
    <row r="2454" customFormat="false" ht="15" hidden="false" customHeight="false" outlineLevel="0" collapsed="false">
      <c r="DB2454" s="0" t="str">
        <f aca="false">IF($A2454="","",IF($A2454&lt;&gt;21,"対象外",IF($AE2454&amp;""="00000000","在職",IF($AE2454&amp;""=設定!$C$4,"4/1喪失","その他喪失"))))</f>
        <v/>
      </c>
    </row>
    <row r="2455" customFormat="false" ht="15" hidden="false" customHeight="false" outlineLevel="0" collapsed="false">
      <c r="DB2455" s="0" t="str">
        <f aca="false">IF($A2455="","",IF($A2455&lt;&gt;21,"対象外",IF($AE2455&amp;""="00000000","在職",IF($AE2455&amp;""=設定!$C$4,"4/1喪失","その他喪失"))))</f>
        <v/>
      </c>
    </row>
    <row r="2456" customFormat="false" ht="15" hidden="false" customHeight="false" outlineLevel="0" collapsed="false">
      <c r="DB2456" s="0" t="str">
        <f aca="false">IF($A2456="","",IF($A2456&lt;&gt;21,"対象外",IF($AE2456&amp;""="00000000","在職",IF($AE2456&amp;""=設定!$C$4,"4/1喪失","その他喪失"))))</f>
        <v/>
      </c>
    </row>
    <row r="2457" customFormat="false" ht="15" hidden="false" customHeight="false" outlineLevel="0" collapsed="false">
      <c r="DB2457" s="0" t="str">
        <f aca="false">IF($A2457="","",IF($A2457&lt;&gt;21,"対象外",IF($AE2457&amp;""="00000000","在職",IF($AE2457&amp;""=設定!$C$4,"4/1喪失","その他喪失"))))</f>
        <v/>
      </c>
    </row>
    <row r="2458" customFormat="false" ht="15" hidden="false" customHeight="false" outlineLevel="0" collapsed="false">
      <c r="DB2458" s="0" t="str">
        <f aca="false">IF($A2458="","",IF($A2458&lt;&gt;21,"対象外",IF($AE2458&amp;""="00000000","在職",IF($AE2458&amp;""=設定!$C$4,"4/1喪失","その他喪失"))))</f>
        <v/>
      </c>
    </row>
    <row r="2459" customFormat="false" ht="15" hidden="false" customHeight="false" outlineLevel="0" collapsed="false">
      <c r="DB2459" s="0" t="str">
        <f aca="false">IF($A2459="","",IF($A2459&lt;&gt;21,"対象外",IF($AE2459&amp;""="00000000","在職",IF($AE2459&amp;""=設定!$C$4,"4/1喪失","その他喪失"))))</f>
        <v/>
      </c>
    </row>
    <row r="2460" customFormat="false" ht="15" hidden="false" customHeight="false" outlineLevel="0" collapsed="false">
      <c r="DB2460" s="0" t="str">
        <f aca="false">IF($A2460="","",IF($A2460&lt;&gt;21,"対象外",IF($AE2460&amp;""="00000000","在職",IF($AE2460&amp;""=設定!$C$4,"4/1喪失","その他喪失"))))</f>
        <v/>
      </c>
    </row>
    <row r="2461" customFormat="false" ht="15" hidden="false" customHeight="false" outlineLevel="0" collapsed="false">
      <c r="DB2461" s="0" t="str">
        <f aca="false">IF($A2461="","",IF($A2461&lt;&gt;21,"対象外",IF($AE2461&amp;""="00000000","在職",IF($AE2461&amp;""=設定!$C$4,"4/1喪失","その他喪失"))))</f>
        <v/>
      </c>
    </row>
    <row r="2462" customFormat="false" ht="15" hidden="false" customHeight="false" outlineLevel="0" collapsed="false">
      <c r="DB2462" s="0" t="str">
        <f aca="false">IF($A2462="","",IF($A2462&lt;&gt;21,"対象外",IF($AE2462&amp;""="00000000","在職",IF($AE2462&amp;""=設定!$C$4,"4/1喪失","その他喪失"))))</f>
        <v/>
      </c>
    </row>
    <row r="2463" customFormat="false" ht="15" hidden="false" customHeight="false" outlineLevel="0" collapsed="false">
      <c r="DB2463" s="0" t="str">
        <f aca="false">IF($A2463="","",IF($A2463&lt;&gt;21,"対象外",IF($AE2463&amp;""="00000000","在職",IF($AE2463&amp;""=設定!$C$4,"4/1喪失","その他喪失"))))</f>
        <v/>
      </c>
    </row>
    <row r="2464" customFormat="false" ht="15" hidden="false" customHeight="false" outlineLevel="0" collapsed="false">
      <c r="DB2464" s="0" t="str">
        <f aca="false">IF($A2464="","",IF($A2464&lt;&gt;21,"対象外",IF($AE2464&amp;""="00000000","在職",IF($AE2464&amp;""=設定!$C$4,"4/1喪失","その他喪失"))))</f>
        <v/>
      </c>
    </row>
    <row r="2465" customFormat="false" ht="15" hidden="false" customHeight="false" outlineLevel="0" collapsed="false">
      <c r="DB2465" s="0" t="str">
        <f aca="false">IF($A2465="","",IF($A2465&lt;&gt;21,"対象外",IF($AE2465&amp;""="00000000","在職",IF($AE2465&amp;""=設定!$C$4,"4/1喪失","その他喪失"))))</f>
        <v/>
      </c>
    </row>
    <row r="2466" customFormat="false" ht="15" hidden="false" customHeight="false" outlineLevel="0" collapsed="false">
      <c r="DB2466" s="0" t="str">
        <f aca="false">IF($A2466="","",IF($A2466&lt;&gt;21,"対象外",IF($AE2466&amp;""="00000000","在職",IF($AE2466&amp;""=設定!$C$4,"4/1喪失","その他喪失"))))</f>
        <v/>
      </c>
    </row>
    <row r="2467" customFormat="false" ht="15" hidden="false" customHeight="false" outlineLevel="0" collapsed="false">
      <c r="DB2467" s="0" t="str">
        <f aca="false">IF($A2467="","",IF($A2467&lt;&gt;21,"対象外",IF($AE2467&amp;""="00000000","在職",IF($AE2467&amp;""=設定!$C$4,"4/1喪失","その他喪失"))))</f>
        <v/>
      </c>
    </row>
    <row r="2468" customFormat="false" ht="15" hidden="false" customHeight="false" outlineLevel="0" collapsed="false">
      <c r="DB2468" s="0" t="str">
        <f aca="false">IF($A2468="","",IF($A2468&lt;&gt;21,"対象外",IF($AE2468&amp;""="00000000","在職",IF($AE2468&amp;""=設定!$C$4,"4/1喪失","その他喪失"))))</f>
        <v/>
      </c>
    </row>
    <row r="2469" customFormat="false" ht="15" hidden="false" customHeight="false" outlineLevel="0" collapsed="false">
      <c r="DB2469" s="0" t="str">
        <f aca="false">IF($A2469="","",IF($A2469&lt;&gt;21,"対象外",IF($AE2469&amp;""="00000000","在職",IF($AE2469&amp;""=設定!$C$4,"4/1喪失","その他喪失"))))</f>
        <v/>
      </c>
    </row>
    <row r="2470" customFormat="false" ht="15" hidden="false" customHeight="false" outlineLevel="0" collapsed="false">
      <c r="DB2470" s="0" t="str">
        <f aca="false">IF($A2470="","",IF($A2470&lt;&gt;21,"対象外",IF($AE2470&amp;""="00000000","在職",IF($AE2470&amp;""=設定!$C$4,"4/1喪失","その他喪失"))))</f>
        <v/>
      </c>
    </row>
    <row r="2471" customFormat="false" ht="15" hidden="false" customHeight="false" outlineLevel="0" collapsed="false">
      <c r="DB2471" s="0" t="str">
        <f aca="false">IF($A2471="","",IF($A2471&lt;&gt;21,"対象外",IF($AE2471&amp;""="00000000","在職",IF($AE2471&amp;""=設定!$C$4,"4/1喪失","その他喪失"))))</f>
        <v/>
      </c>
    </row>
    <row r="2472" customFormat="false" ht="15" hidden="false" customHeight="false" outlineLevel="0" collapsed="false">
      <c r="DB2472" s="0" t="str">
        <f aca="false">IF($A2472="","",IF($A2472&lt;&gt;21,"対象外",IF($AE2472&amp;""="00000000","在職",IF($AE2472&amp;""=設定!$C$4,"4/1喪失","その他喪失"))))</f>
        <v/>
      </c>
    </row>
    <row r="2473" customFormat="false" ht="15" hidden="false" customHeight="false" outlineLevel="0" collapsed="false">
      <c r="DB2473" s="0" t="str">
        <f aca="false">IF($A2473="","",IF($A2473&lt;&gt;21,"対象外",IF($AE2473&amp;""="00000000","在職",IF($AE2473&amp;""=設定!$C$4,"4/1喪失","その他喪失"))))</f>
        <v/>
      </c>
    </row>
    <row r="2474" customFormat="false" ht="15" hidden="false" customHeight="false" outlineLevel="0" collapsed="false">
      <c r="DB2474" s="0" t="str">
        <f aca="false">IF($A2474="","",IF($A2474&lt;&gt;21,"対象外",IF($AE2474&amp;""="00000000","在職",IF($AE2474&amp;""=設定!$C$4,"4/1喪失","その他喪失"))))</f>
        <v/>
      </c>
    </row>
    <row r="2475" customFormat="false" ht="15" hidden="false" customHeight="false" outlineLevel="0" collapsed="false">
      <c r="DB2475" s="0" t="str">
        <f aca="false">IF($A2475="","",IF($A2475&lt;&gt;21,"対象外",IF($AE2475&amp;""="00000000","在職",IF($AE2475&amp;""=設定!$C$4,"4/1喪失","その他喪失"))))</f>
        <v/>
      </c>
    </row>
    <row r="2476" customFormat="false" ht="15" hidden="false" customHeight="false" outlineLevel="0" collapsed="false">
      <c r="DB2476" s="0" t="str">
        <f aca="false">IF($A2476="","",IF($A2476&lt;&gt;21,"対象外",IF($AE2476&amp;""="00000000","在職",IF($AE2476&amp;""=設定!$C$4,"4/1喪失","その他喪失"))))</f>
        <v/>
      </c>
    </row>
    <row r="2477" customFormat="false" ht="15" hidden="false" customHeight="false" outlineLevel="0" collapsed="false">
      <c r="DB2477" s="0" t="str">
        <f aca="false">IF($A2477="","",IF($A2477&lt;&gt;21,"対象外",IF($AE2477&amp;""="00000000","在職",IF($AE2477&amp;""=設定!$C$4,"4/1喪失","その他喪失"))))</f>
        <v/>
      </c>
    </row>
    <row r="2478" customFormat="false" ht="15" hidden="false" customHeight="false" outlineLevel="0" collapsed="false">
      <c r="DB2478" s="0" t="str">
        <f aca="false">IF($A2478="","",IF($A2478&lt;&gt;21,"対象外",IF($AE2478&amp;""="00000000","在職",IF($AE2478&amp;""=設定!$C$4,"4/1喪失","その他喪失"))))</f>
        <v/>
      </c>
    </row>
    <row r="2479" customFormat="false" ht="15" hidden="false" customHeight="false" outlineLevel="0" collapsed="false">
      <c r="DB2479" s="0" t="str">
        <f aca="false">IF($A2479="","",IF($A2479&lt;&gt;21,"対象外",IF($AE2479&amp;""="00000000","在職",IF($AE2479&amp;""=設定!$C$4,"4/1喪失","その他喪失"))))</f>
        <v/>
      </c>
    </row>
    <row r="2480" customFormat="false" ht="15" hidden="false" customHeight="false" outlineLevel="0" collapsed="false">
      <c r="DB2480" s="0" t="str">
        <f aca="false">IF($A2480="","",IF($A2480&lt;&gt;21,"対象外",IF($AE2480&amp;""="00000000","在職",IF($AE2480&amp;""=設定!$C$4,"4/1喪失","その他喪失"))))</f>
        <v/>
      </c>
    </row>
    <row r="2481" customFormat="false" ht="15" hidden="false" customHeight="false" outlineLevel="0" collapsed="false">
      <c r="DB2481" s="0" t="str">
        <f aca="false">IF($A2481="","",IF($A2481&lt;&gt;21,"対象外",IF($AE2481&amp;""="00000000","在職",IF($AE2481&amp;""=設定!$C$4,"4/1喪失","その他喪失"))))</f>
        <v/>
      </c>
    </row>
    <row r="2482" customFormat="false" ht="15" hidden="false" customHeight="false" outlineLevel="0" collapsed="false">
      <c r="DB2482" s="0" t="str">
        <f aca="false">IF($A2482="","",IF($A2482&lt;&gt;21,"対象外",IF($AE2482&amp;""="00000000","在職",IF($AE2482&amp;""=設定!$C$4,"4/1喪失","その他喪失"))))</f>
        <v/>
      </c>
    </row>
    <row r="2483" customFormat="false" ht="15" hidden="false" customHeight="false" outlineLevel="0" collapsed="false">
      <c r="DB2483" s="0" t="str">
        <f aca="false">IF($A2483="","",IF($A2483&lt;&gt;21,"対象外",IF($AE2483&amp;""="00000000","在職",IF($AE2483&amp;""=設定!$C$4,"4/1喪失","その他喪失"))))</f>
        <v/>
      </c>
    </row>
    <row r="2484" customFormat="false" ht="15" hidden="false" customHeight="false" outlineLevel="0" collapsed="false">
      <c r="DB2484" s="0" t="str">
        <f aca="false">IF($A2484="","",IF($A2484&lt;&gt;21,"対象外",IF($AE2484&amp;""="00000000","在職",IF($AE2484&amp;""=設定!$C$4,"4/1喪失","その他喪失"))))</f>
        <v/>
      </c>
    </row>
    <row r="2485" customFormat="false" ht="15" hidden="false" customHeight="false" outlineLevel="0" collapsed="false">
      <c r="DB2485" s="0" t="str">
        <f aca="false">IF($A2485="","",IF($A2485&lt;&gt;21,"対象外",IF($AE2485&amp;""="00000000","在職",IF($AE2485&amp;""=設定!$C$4,"4/1喪失","その他喪失"))))</f>
        <v/>
      </c>
    </row>
    <row r="2486" customFormat="false" ht="15" hidden="false" customHeight="false" outlineLevel="0" collapsed="false">
      <c r="DB2486" s="0" t="str">
        <f aca="false">IF($A2486="","",IF($A2486&lt;&gt;21,"対象外",IF($AE2486&amp;""="00000000","在職",IF($AE2486&amp;""=設定!$C$4,"4/1喪失","その他喪失"))))</f>
        <v/>
      </c>
    </row>
    <row r="2487" customFormat="false" ht="15" hidden="false" customHeight="false" outlineLevel="0" collapsed="false">
      <c r="DB2487" s="0" t="str">
        <f aca="false">IF($A2487="","",IF($A2487&lt;&gt;21,"対象外",IF($AE2487&amp;""="00000000","在職",IF($AE2487&amp;""=設定!$C$4,"4/1喪失","その他喪失"))))</f>
        <v/>
      </c>
    </row>
    <row r="2488" customFormat="false" ht="15" hidden="false" customHeight="false" outlineLevel="0" collapsed="false">
      <c r="DB2488" s="0" t="str">
        <f aca="false">IF($A2488="","",IF($A2488&lt;&gt;21,"対象外",IF($AE2488&amp;""="00000000","在職",IF($AE2488&amp;""=設定!$C$4,"4/1喪失","その他喪失"))))</f>
        <v/>
      </c>
    </row>
    <row r="2489" customFormat="false" ht="15" hidden="false" customHeight="false" outlineLevel="0" collapsed="false">
      <c r="DB2489" s="0" t="str">
        <f aca="false">IF($A2489="","",IF($A2489&lt;&gt;21,"対象外",IF($AE2489&amp;""="00000000","在職",IF($AE2489&amp;""=設定!$C$4,"4/1喪失","その他喪失"))))</f>
        <v/>
      </c>
    </row>
    <row r="2490" customFormat="false" ht="15" hidden="false" customHeight="false" outlineLevel="0" collapsed="false">
      <c r="DB2490" s="0" t="str">
        <f aca="false">IF($A2490="","",IF($A2490&lt;&gt;21,"対象外",IF($AE2490&amp;""="00000000","在職",IF($AE2490&amp;""=設定!$C$4,"4/1喪失","その他喪失"))))</f>
        <v/>
      </c>
    </row>
    <row r="2491" customFormat="false" ht="15" hidden="false" customHeight="false" outlineLevel="0" collapsed="false">
      <c r="DB2491" s="0" t="str">
        <f aca="false">IF($A2491="","",IF($A2491&lt;&gt;21,"対象外",IF($AE2491&amp;""="00000000","在職",IF($AE2491&amp;""=設定!$C$4,"4/1喪失","その他喪失"))))</f>
        <v/>
      </c>
    </row>
    <row r="2492" customFormat="false" ht="15" hidden="false" customHeight="false" outlineLevel="0" collapsed="false">
      <c r="DB2492" s="0" t="str">
        <f aca="false">IF($A2492="","",IF($A2492&lt;&gt;21,"対象外",IF($AE2492&amp;""="00000000","在職",IF($AE2492&amp;""=設定!$C$4,"4/1喪失","その他喪失"))))</f>
        <v/>
      </c>
    </row>
    <row r="2493" customFormat="false" ht="15" hidden="false" customHeight="false" outlineLevel="0" collapsed="false">
      <c r="DB2493" s="0" t="str">
        <f aca="false">IF($A2493="","",IF($A2493&lt;&gt;21,"対象外",IF($AE2493&amp;""="00000000","在職",IF($AE2493&amp;""=設定!$C$4,"4/1喪失","その他喪失"))))</f>
        <v/>
      </c>
    </row>
    <row r="2494" customFormat="false" ht="15" hidden="false" customHeight="false" outlineLevel="0" collapsed="false">
      <c r="DB2494" s="0" t="str">
        <f aca="false">IF($A2494="","",IF($A2494&lt;&gt;21,"対象外",IF($AE2494&amp;""="00000000","在職",IF($AE2494&amp;""=設定!$C$4,"4/1喪失","その他喪失"))))</f>
        <v/>
      </c>
    </row>
    <row r="2495" customFormat="false" ht="15" hidden="false" customHeight="false" outlineLevel="0" collapsed="false">
      <c r="DB2495" s="0" t="str">
        <f aca="false">IF($A2495="","",IF($A2495&lt;&gt;21,"対象外",IF($AE2495&amp;""="00000000","在職",IF($AE2495&amp;""=設定!$C$4,"4/1喪失","その他喪失"))))</f>
        <v/>
      </c>
    </row>
    <row r="2496" customFormat="false" ht="15" hidden="false" customHeight="false" outlineLevel="0" collapsed="false">
      <c r="DB2496" s="0" t="str">
        <f aca="false">IF($A2496="","",IF($A2496&lt;&gt;21,"対象外",IF($AE2496&amp;""="00000000","在職",IF($AE2496&amp;""=設定!$C$4,"4/1喪失","その他喪失"))))</f>
        <v/>
      </c>
    </row>
    <row r="2497" customFormat="false" ht="15" hidden="false" customHeight="false" outlineLevel="0" collapsed="false">
      <c r="DB2497" s="0" t="str">
        <f aca="false">IF($A2497="","",IF($A2497&lt;&gt;21,"対象外",IF($AE2497&amp;""="00000000","在職",IF($AE2497&amp;""=設定!$C$4,"4/1喪失","その他喪失"))))</f>
        <v/>
      </c>
    </row>
    <row r="2498" customFormat="false" ht="15" hidden="false" customHeight="false" outlineLevel="0" collapsed="false">
      <c r="DB2498" s="0" t="str">
        <f aca="false">IF($A2498="","",IF($A2498&lt;&gt;21,"対象外",IF($AE2498&amp;""="00000000","在職",IF($AE2498&amp;""=設定!$C$4,"4/1喪失","その他喪失"))))</f>
        <v/>
      </c>
    </row>
    <row r="2499" customFormat="false" ht="15" hidden="false" customHeight="false" outlineLevel="0" collapsed="false">
      <c r="DB2499" s="0" t="str">
        <f aca="false">IF($A2499="","",IF($A2499&lt;&gt;21,"対象外",IF($AE2499&amp;""="00000000","在職",IF($AE2499&amp;""=設定!$C$4,"4/1喪失","その他喪失"))))</f>
        <v/>
      </c>
    </row>
    <row r="2500" customFormat="false" ht="15" hidden="false" customHeight="false" outlineLevel="0" collapsed="false">
      <c r="DB2500" s="0" t="str">
        <f aca="false">IF($A2500="","",IF($A2500&lt;&gt;21,"対象外",IF($AE2500&amp;""="00000000","在職",IF($AE2500&amp;""=設定!$C$4,"4/1喪失","その他喪失"))))</f>
        <v/>
      </c>
    </row>
    <row r="2501" customFormat="false" ht="15" hidden="false" customHeight="false" outlineLevel="0" collapsed="false">
      <c r="DB2501" s="0" t="str">
        <f aca="false">IF($A2501="","",IF($A2501&lt;&gt;21,"対象外",IF($AE2501&amp;""="00000000","在職",IF($AE2501&amp;""=設定!$C$4,"4/1喪失","その他喪失"))))</f>
        <v/>
      </c>
    </row>
    <row r="2502" customFormat="false" ht="15" hidden="false" customHeight="false" outlineLevel="0" collapsed="false">
      <c r="DB2502" s="0" t="str">
        <f aca="false">IF($A2502="","",IF($A2502&lt;&gt;21,"対象外",IF($AE2502&amp;""="00000000","在職",IF($AE2502&amp;""=設定!$C$4,"4/1喪失","その他喪失"))))</f>
        <v/>
      </c>
    </row>
    <row r="2503" customFormat="false" ht="15" hidden="false" customHeight="false" outlineLevel="0" collapsed="false">
      <c r="DB2503" s="0" t="str">
        <f aca="false">IF($A2503="","",IF($A2503&lt;&gt;21,"対象外",IF($AE2503&amp;""="00000000","在職",IF($AE2503&amp;""=設定!$C$4,"4/1喪失","その他喪失"))))</f>
        <v/>
      </c>
    </row>
    <row r="2504" customFormat="false" ht="15" hidden="false" customHeight="false" outlineLevel="0" collapsed="false">
      <c r="DB2504" s="0" t="str">
        <f aca="false">IF($A2504="","",IF($A2504&lt;&gt;21,"対象外",IF($AE2504&amp;""="00000000","在職",IF($AE2504&amp;""=設定!$C$4,"4/1喪失","その他喪失"))))</f>
        <v/>
      </c>
    </row>
    <row r="2505" customFormat="false" ht="15" hidden="false" customHeight="false" outlineLevel="0" collapsed="false">
      <c r="DB2505" s="0" t="str">
        <f aca="false">IF($A2505="","",IF($A2505&lt;&gt;21,"対象外",IF($AE2505&amp;""="00000000","在職",IF($AE2505&amp;""=設定!$C$4,"4/1喪失","その他喪失"))))</f>
        <v/>
      </c>
    </row>
    <row r="2506" customFormat="false" ht="15" hidden="false" customHeight="false" outlineLevel="0" collapsed="false">
      <c r="DB2506" s="0" t="str">
        <f aca="false">IF($A2506="","",IF($A2506&lt;&gt;21,"対象外",IF($AE2506&amp;""="00000000","在職",IF($AE2506&amp;""=設定!$C$4,"4/1喪失","その他喪失"))))</f>
        <v/>
      </c>
    </row>
    <row r="2507" customFormat="false" ht="15" hidden="false" customHeight="false" outlineLevel="0" collapsed="false">
      <c r="DB2507" s="0" t="str">
        <f aca="false">IF($A2507="","",IF($A2507&lt;&gt;21,"対象外",IF($AE2507&amp;""="00000000","在職",IF($AE2507&amp;""=設定!$C$4,"4/1喪失","その他喪失"))))</f>
        <v/>
      </c>
    </row>
    <row r="2508" customFormat="false" ht="15" hidden="false" customHeight="false" outlineLevel="0" collapsed="false">
      <c r="DB2508" s="0" t="str">
        <f aca="false">IF($A2508="","",IF($A2508&lt;&gt;21,"対象外",IF($AE2508&amp;""="00000000","在職",IF($AE2508&amp;""=設定!$C$4,"4/1喪失","その他喪失"))))</f>
        <v/>
      </c>
    </row>
    <row r="2509" customFormat="false" ht="15" hidden="false" customHeight="false" outlineLevel="0" collapsed="false">
      <c r="DB2509" s="0" t="str">
        <f aca="false">IF($A2509="","",IF($A2509&lt;&gt;21,"対象外",IF($AE2509&amp;""="00000000","在職",IF($AE2509&amp;""=設定!$C$4,"4/1喪失","その他喪失"))))</f>
        <v/>
      </c>
    </row>
    <row r="2510" customFormat="false" ht="15" hidden="false" customHeight="false" outlineLevel="0" collapsed="false">
      <c r="DB2510" s="0" t="str">
        <f aca="false">IF($A2510="","",IF($A2510&lt;&gt;21,"対象外",IF($AE2510&amp;""="00000000","在職",IF($AE2510&amp;""=設定!$C$4,"4/1喪失","その他喪失"))))</f>
        <v/>
      </c>
    </row>
    <row r="2511" customFormat="false" ht="15" hidden="false" customHeight="false" outlineLevel="0" collapsed="false">
      <c r="DB2511" s="0" t="str">
        <f aca="false">IF($A2511="","",IF($A2511&lt;&gt;21,"対象外",IF($AE2511&amp;""="00000000","在職",IF($AE2511&amp;""=設定!$C$4,"4/1喪失","その他喪失"))))</f>
        <v/>
      </c>
    </row>
    <row r="2512" customFormat="false" ht="15" hidden="false" customHeight="false" outlineLevel="0" collapsed="false">
      <c r="DB2512" s="0" t="str">
        <f aca="false">IF($A2512="","",IF($A2512&lt;&gt;21,"対象外",IF($AE2512&amp;""="00000000","在職",IF($AE2512&amp;""=設定!$C$4,"4/1喪失","その他喪失"))))</f>
        <v/>
      </c>
    </row>
    <row r="2513" customFormat="false" ht="15" hidden="false" customHeight="false" outlineLevel="0" collapsed="false">
      <c r="DB2513" s="0" t="str">
        <f aca="false">IF($A2513="","",IF($A2513&lt;&gt;21,"対象外",IF($AE2513&amp;""="00000000","在職",IF($AE2513&amp;""=設定!$C$4,"4/1喪失","その他喪失"))))</f>
        <v/>
      </c>
    </row>
    <row r="2514" customFormat="false" ht="15" hidden="false" customHeight="false" outlineLevel="0" collapsed="false">
      <c r="DB2514" s="0" t="str">
        <f aca="false">IF($A2514="","",IF($A2514&lt;&gt;21,"対象外",IF($AE2514&amp;""="00000000","在職",IF($AE2514&amp;""=設定!$C$4,"4/1喪失","その他喪失"))))</f>
        <v/>
      </c>
    </row>
    <row r="2515" customFormat="false" ht="15" hidden="false" customHeight="false" outlineLevel="0" collapsed="false">
      <c r="DB2515" s="0" t="str">
        <f aca="false">IF($A2515="","",IF($A2515&lt;&gt;21,"対象外",IF($AE2515&amp;""="00000000","在職",IF($AE2515&amp;""=設定!$C$4,"4/1喪失","その他喪失"))))</f>
        <v/>
      </c>
    </row>
    <row r="2516" customFormat="false" ht="15" hidden="false" customHeight="false" outlineLevel="0" collapsed="false">
      <c r="DB2516" s="0" t="str">
        <f aca="false">IF($A2516="","",IF($A2516&lt;&gt;21,"対象外",IF($AE2516&amp;""="00000000","在職",IF($AE2516&amp;""=設定!$C$4,"4/1喪失","その他喪失"))))</f>
        <v/>
      </c>
    </row>
    <row r="2517" customFormat="false" ht="15" hidden="false" customHeight="false" outlineLevel="0" collapsed="false">
      <c r="DB2517" s="0" t="str">
        <f aca="false">IF($A2517="","",IF($A2517&lt;&gt;21,"対象外",IF($AE2517&amp;""="00000000","在職",IF($AE2517&amp;""=設定!$C$4,"4/1喪失","その他喪失"))))</f>
        <v/>
      </c>
    </row>
    <row r="2518" customFormat="false" ht="15" hidden="false" customHeight="false" outlineLevel="0" collapsed="false">
      <c r="DB2518" s="0" t="str">
        <f aca="false">IF($A2518="","",IF($A2518&lt;&gt;21,"対象外",IF($AE2518&amp;""="00000000","在職",IF($AE2518&amp;""=設定!$C$4,"4/1喪失","その他喪失"))))</f>
        <v/>
      </c>
    </row>
    <row r="2519" customFormat="false" ht="15" hidden="false" customHeight="false" outlineLevel="0" collapsed="false">
      <c r="DB2519" s="0" t="str">
        <f aca="false">IF($A2519="","",IF($A2519&lt;&gt;21,"対象外",IF($AE2519&amp;""="00000000","在職",IF($AE2519&amp;""=設定!$C$4,"4/1喪失","その他喪失"))))</f>
        <v/>
      </c>
    </row>
    <row r="2520" customFormat="false" ht="15" hidden="false" customHeight="false" outlineLevel="0" collapsed="false">
      <c r="DB2520" s="0" t="str">
        <f aca="false">IF($A2520="","",IF($A2520&lt;&gt;21,"対象外",IF($AE2520&amp;""="00000000","在職",IF($AE2520&amp;""=設定!$C$4,"4/1喪失","その他喪失"))))</f>
        <v/>
      </c>
    </row>
    <row r="2521" customFormat="false" ht="15" hidden="false" customHeight="false" outlineLevel="0" collapsed="false">
      <c r="DB2521" s="0" t="str">
        <f aca="false">IF($A2521="","",IF($A2521&lt;&gt;21,"対象外",IF($AE2521&amp;""="00000000","在職",IF($AE2521&amp;""=設定!$C$4,"4/1喪失","その他喪失"))))</f>
        <v/>
      </c>
    </row>
    <row r="2522" customFormat="false" ht="15" hidden="false" customHeight="false" outlineLevel="0" collapsed="false">
      <c r="DB2522" s="0" t="str">
        <f aca="false">IF($A2522="","",IF($A2522&lt;&gt;21,"対象外",IF($AE2522&amp;""="00000000","在職",IF($AE2522&amp;""=設定!$C$4,"4/1喪失","その他喪失"))))</f>
        <v/>
      </c>
    </row>
    <row r="2523" customFormat="false" ht="15" hidden="false" customHeight="false" outlineLevel="0" collapsed="false">
      <c r="DB2523" s="0" t="str">
        <f aca="false">IF($A2523="","",IF($A2523&lt;&gt;21,"対象外",IF($AE2523&amp;""="00000000","在職",IF($AE2523&amp;""=設定!$C$4,"4/1喪失","その他喪失"))))</f>
        <v/>
      </c>
    </row>
    <row r="2524" customFormat="false" ht="15" hidden="false" customHeight="false" outlineLevel="0" collapsed="false">
      <c r="DB2524" s="0" t="str">
        <f aca="false">IF($A2524="","",IF($A2524&lt;&gt;21,"対象外",IF($AE2524&amp;""="00000000","在職",IF($AE2524&amp;""=設定!$C$4,"4/1喪失","その他喪失"))))</f>
        <v/>
      </c>
    </row>
    <row r="2525" customFormat="false" ht="15" hidden="false" customHeight="false" outlineLevel="0" collapsed="false">
      <c r="DB2525" s="0" t="str">
        <f aca="false">IF($A2525="","",IF($A2525&lt;&gt;21,"対象外",IF($AE2525&amp;""="00000000","在職",IF($AE2525&amp;""=設定!$C$4,"4/1喪失","その他喪失"))))</f>
        <v/>
      </c>
    </row>
    <row r="2526" customFormat="false" ht="15" hidden="false" customHeight="false" outlineLevel="0" collapsed="false">
      <c r="DB2526" s="0" t="str">
        <f aca="false">IF($A2526="","",IF($A2526&lt;&gt;21,"対象外",IF($AE2526&amp;""="00000000","在職",IF($AE2526&amp;""=設定!$C$4,"4/1喪失","その他喪失"))))</f>
        <v/>
      </c>
    </row>
    <row r="2527" customFormat="false" ht="15" hidden="false" customHeight="false" outlineLevel="0" collapsed="false">
      <c r="DB2527" s="0" t="str">
        <f aca="false">IF($A2527="","",IF($A2527&lt;&gt;21,"対象外",IF($AE2527&amp;""="00000000","在職",IF($AE2527&amp;""=設定!$C$4,"4/1喪失","その他喪失"))))</f>
        <v/>
      </c>
    </row>
    <row r="2528" customFormat="false" ht="15" hidden="false" customHeight="false" outlineLevel="0" collapsed="false">
      <c r="DB2528" s="0" t="str">
        <f aca="false">IF($A2528="","",IF($A2528&lt;&gt;21,"対象外",IF($AE2528&amp;""="00000000","在職",IF($AE2528&amp;""=設定!$C$4,"4/1喪失","その他喪失"))))</f>
        <v/>
      </c>
    </row>
    <row r="2529" customFormat="false" ht="15" hidden="false" customHeight="false" outlineLevel="0" collapsed="false">
      <c r="DB2529" s="0" t="str">
        <f aca="false">IF($A2529="","",IF($A2529&lt;&gt;21,"対象外",IF($AE2529&amp;""="00000000","在職",IF($AE2529&amp;""=設定!$C$4,"4/1喪失","その他喪失"))))</f>
        <v/>
      </c>
    </row>
    <row r="2530" customFormat="false" ht="15" hidden="false" customHeight="false" outlineLevel="0" collapsed="false">
      <c r="DB2530" s="0" t="str">
        <f aca="false">IF($A2530="","",IF($A2530&lt;&gt;21,"対象外",IF($AE2530&amp;""="00000000","在職",IF($AE2530&amp;""=設定!$C$4,"4/1喪失","その他喪失"))))</f>
        <v/>
      </c>
    </row>
    <row r="2531" customFormat="false" ht="15" hidden="false" customHeight="false" outlineLevel="0" collapsed="false">
      <c r="DB2531" s="0" t="str">
        <f aca="false">IF($A2531="","",IF($A2531&lt;&gt;21,"対象外",IF($AE2531&amp;""="00000000","在職",IF($AE2531&amp;""=設定!$C$4,"4/1喪失","その他喪失"))))</f>
        <v/>
      </c>
    </row>
    <row r="2532" customFormat="false" ht="15" hidden="false" customHeight="false" outlineLevel="0" collapsed="false">
      <c r="DB2532" s="0" t="str">
        <f aca="false">IF($A2532="","",IF($A2532&lt;&gt;21,"対象外",IF($AE2532&amp;""="00000000","在職",IF($AE2532&amp;""=設定!$C$4,"4/1喪失","その他喪失"))))</f>
        <v/>
      </c>
    </row>
    <row r="2533" customFormat="false" ht="15" hidden="false" customHeight="false" outlineLevel="0" collapsed="false">
      <c r="DB2533" s="0" t="str">
        <f aca="false">IF($A2533="","",IF($A2533&lt;&gt;21,"対象外",IF($AE2533&amp;""="00000000","在職",IF($AE2533&amp;""=設定!$C$4,"4/1喪失","その他喪失"))))</f>
        <v/>
      </c>
    </row>
    <row r="2534" customFormat="false" ht="15" hidden="false" customHeight="false" outlineLevel="0" collapsed="false">
      <c r="DB2534" s="0" t="str">
        <f aca="false">IF($A2534="","",IF($A2534&lt;&gt;21,"対象外",IF($AE2534&amp;""="00000000","在職",IF($AE2534&amp;""=設定!$C$4,"4/1喪失","その他喪失"))))</f>
        <v/>
      </c>
    </row>
    <row r="2535" customFormat="false" ht="15" hidden="false" customHeight="false" outlineLevel="0" collapsed="false">
      <c r="DB2535" s="0" t="str">
        <f aca="false">IF($A2535="","",IF($A2535&lt;&gt;21,"対象外",IF($AE2535&amp;""="00000000","在職",IF($AE2535&amp;""=設定!$C$4,"4/1喪失","その他喪失"))))</f>
        <v/>
      </c>
    </row>
    <row r="2536" customFormat="false" ht="15" hidden="false" customHeight="false" outlineLevel="0" collapsed="false">
      <c r="DB2536" s="0" t="str">
        <f aca="false">IF($A2536="","",IF($A2536&lt;&gt;21,"対象外",IF($AE2536&amp;""="00000000","在職",IF($AE2536&amp;""=設定!$C$4,"4/1喪失","その他喪失"))))</f>
        <v/>
      </c>
    </row>
    <row r="2537" customFormat="false" ht="15" hidden="false" customHeight="false" outlineLevel="0" collapsed="false">
      <c r="DB2537" s="0" t="str">
        <f aca="false">IF($A2537="","",IF($A2537&lt;&gt;21,"対象外",IF($AE2537&amp;""="00000000","在職",IF($AE2537&amp;""=設定!$C$4,"4/1喪失","その他喪失"))))</f>
        <v/>
      </c>
    </row>
    <row r="2538" customFormat="false" ht="15" hidden="false" customHeight="false" outlineLevel="0" collapsed="false">
      <c r="DB2538" s="0" t="str">
        <f aca="false">IF($A2538="","",IF($A2538&lt;&gt;21,"対象外",IF($AE2538&amp;""="00000000","在職",IF($AE2538&amp;""=設定!$C$4,"4/1喪失","その他喪失"))))</f>
        <v/>
      </c>
    </row>
    <row r="2539" customFormat="false" ht="15" hidden="false" customHeight="false" outlineLevel="0" collapsed="false">
      <c r="DB2539" s="0" t="str">
        <f aca="false">IF($A2539="","",IF($A2539&lt;&gt;21,"対象外",IF($AE2539&amp;""="00000000","在職",IF($AE2539&amp;""=設定!$C$4,"4/1喪失","その他喪失"))))</f>
        <v/>
      </c>
    </row>
    <row r="2540" customFormat="false" ht="15" hidden="false" customHeight="false" outlineLevel="0" collapsed="false">
      <c r="DB2540" s="0" t="str">
        <f aca="false">IF($A2540="","",IF($A2540&lt;&gt;21,"対象外",IF($AE2540&amp;""="00000000","在職",IF($AE2540&amp;""=設定!$C$4,"4/1喪失","その他喪失"))))</f>
        <v/>
      </c>
    </row>
    <row r="2541" customFormat="false" ht="15" hidden="false" customHeight="false" outlineLevel="0" collapsed="false">
      <c r="DB2541" s="0" t="str">
        <f aca="false">IF($A2541="","",IF($A2541&lt;&gt;21,"対象外",IF($AE2541&amp;""="00000000","在職",IF($AE2541&amp;""=設定!$C$4,"4/1喪失","その他喪失"))))</f>
        <v/>
      </c>
    </row>
    <row r="2542" customFormat="false" ht="15" hidden="false" customHeight="false" outlineLevel="0" collapsed="false">
      <c r="DB2542" s="0" t="str">
        <f aca="false">IF($A2542="","",IF($A2542&lt;&gt;21,"対象外",IF($AE2542&amp;""="00000000","在職",IF($AE2542&amp;""=設定!$C$4,"4/1喪失","その他喪失"))))</f>
        <v/>
      </c>
    </row>
    <row r="2543" customFormat="false" ht="15" hidden="false" customHeight="false" outlineLevel="0" collapsed="false">
      <c r="DB2543" s="0" t="str">
        <f aca="false">IF($A2543="","",IF($A2543&lt;&gt;21,"対象外",IF($AE2543&amp;""="00000000","在職",IF($AE2543&amp;""=設定!$C$4,"4/1喪失","その他喪失"))))</f>
        <v/>
      </c>
    </row>
    <row r="2544" customFormat="false" ht="15" hidden="false" customHeight="false" outlineLevel="0" collapsed="false">
      <c r="DB2544" s="0" t="str">
        <f aca="false">IF($A2544="","",IF($A2544&lt;&gt;21,"対象外",IF($AE2544&amp;""="00000000","在職",IF($AE2544&amp;""=設定!$C$4,"4/1喪失","その他喪失"))))</f>
        <v/>
      </c>
    </row>
    <row r="2545" customFormat="false" ht="15" hidden="false" customHeight="false" outlineLevel="0" collapsed="false">
      <c r="DB2545" s="0" t="str">
        <f aca="false">IF($A2545="","",IF($A2545&lt;&gt;21,"対象外",IF($AE2545&amp;""="00000000","在職",IF($AE2545&amp;""=設定!$C$4,"4/1喪失","その他喪失"))))</f>
        <v/>
      </c>
    </row>
    <row r="2546" customFormat="false" ht="15" hidden="false" customHeight="false" outlineLevel="0" collapsed="false">
      <c r="DB2546" s="0" t="str">
        <f aca="false">IF($A2546="","",IF($A2546&lt;&gt;21,"対象外",IF($AE2546&amp;""="00000000","在職",IF($AE2546&amp;""=設定!$C$4,"4/1喪失","その他喪失"))))</f>
        <v/>
      </c>
    </row>
    <row r="2547" customFormat="false" ht="15" hidden="false" customHeight="false" outlineLevel="0" collapsed="false">
      <c r="DB2547" s="0" t="str">
        <f aca="false">IF($A2547="","",IF($A2547&lt;&gt;21,"対象外",IF($AE2547&amp;""="00000000","在職",IF($AE2547&amp;""=設定!$C$4,"4/1喪失","その他喪失"))))</f>
        <v/>
      </c>
    </row>
    <row r="2548" customFormat="false" ht="15" hidden="false" customHeight="false" outlineLevel="0" collapsed="false">
      <c r="DB2548" s="0" t="str">
        <f aca="false">IF($A2548="","",IF($A2548&lt;&gt;21,"対象外",IF($AE2548&amp;""="00000000","在職",IF($AE2548&amp;""=設定!$C$4,"4/1喪失","その他喪失"))))</f>
        <v/>
      </c>
    </row>
    <row r="2549" customFormat="false" ht="15" hidden="false" customHeight="false" outlineLevel="0" collapsed="false">
      <c r="DB2549" s="0" t="str">
        <f aca="false">IF($A2549="","",IF($A2549&lt;&gt;21,"対象外",IF($AE2549&amp;""="00000000","在職",IF($AE2549&amp;""=設定!$C$4,"4/1喪失","その他喪失"))))</f>
        <v/>
      </c>
    </row>
    <row r="2550" customFormat="false" ht="15" hidden="false" customHeight="false" outlineLevel="0" collapsed="false">
      <c r="DB2550" s="0" t="str">
        <f aca="false">IF($A2550="","",IF($A2550&lt;&gt;21,"対象外",IF($AE2550&amp;""="00000000","在職",IF($AE2550&amp;""=設定!$C$4,"4/1喪失","その他喪失"))))</f>
        <v/>
      </c>
    </row>
    <row r="2551" customFormat="false" ht="15" hidden="false" customHeight="false" outlineLevel="0" collapsed="false">
      <c r="DB2551" s="0" t="str">
        <f aca="false">IF($A2551="","",IF($A2551&lt;&gt;21,"対象外",IF($AE2551&amp;""="00000000","在職",IF($AE2551&amp;""=設定!$C$4,"4/1喪失","その他喪失"))))</f>
        <v/>
      </c>
    </row>
    <row r="2552" customFormat="false" ht="15" hidden="false" customHeight="false" outlineLevel="0" collapsed="false">
      <c r="DB2552" s="0" t="str">
        <f aca="false">IF($A2552="","",IF($A2552&lt;&gt;21,"対象外",IF($AE2552&amp;""="00000000","在職",IF($AE2552&amp;""=設定!$C$4,"4/1喪失","その他喪失"))))</f>
        <v/>
      </c>
    </row>
    <row r="2553" customFormat="false" ht="15" hidden="false" customHeight="false" outlineLevel="0" collapsed="false">
      <c r="DB2553" s="0" t="str">
        <f aca="false">IF($A2553="","",IF($A2553&lt;&gt;21,"対象外",IF($AE2553&amp;""="00000000","在職",IF($AE2553&amp;""=設定!$C$4,"4/1喪失","その他喪失"))))</f>
        <v/>
      </c>
    </row>
    <row r="2554" customFormat="false" ht="15" hidden="false" customHeight="false" outlineLevel="0" collapsed="false">
      <c r="DB2554" s="0" t="str">
        <f aca="false">IF($A2554="","",IF($A2554&lt;&gt;21,"対象外",IF($AE2554&amp;""="00000000","在職",IF($AE2554&amp;""=設定!$C$4,"4/1喪失","その他喪失"))))</f>
        <v/>
      </c>
    </row>
    <row r="2555" customFormat="false" ht="15" hidden="false" customHeight="false" outlineLevel="0" collapsed="false">
      <c r="DB2555" s="0" t="str">
        <f aca="false">IF($A2555="","",IF($A2555&lt;&gt;21,"対象外",IF($AE2555&amp;""="00000000","在職",IF($AE2555&amp;""=設定!$C$4,"4/1喪失","その他喪失"))))</f>
        <v/>
      </c>
    </row>
    <row r="2556" customFormat="false" ht="15" hidden="false" customHeight="false" outlineLevel="0" collapsed="false">
      <c r="DB2556" s="0" t="str">
        <f aca="false">IF($A2556="","",IF($A2556&lt;&gt;21,"対象外",IF($AE2556&amp;""="00000000","在職",IF($AE2556&amp;""=設定!$C$4,"4/1喪失","その他喪失"))))</f>
        <v/>
      </c>
    </row>
    <row r="2557" customFormat="false" ht="15" hidden="false" customHeight="false" outlineLevel="0" collapsed="false">
      <c r="DB2557" s="0" t="str">
        <f aca="false">IF($A2557="","",IF($A2557&lt;&gt;21,"対象外",IF($AE2557&amp;""="00000000","在職",IF($AE2557&amp;""=設定!$C$4,"4/1喪失","その他喪失"))))</f>
        <v/>
      </c>
    </row>
    <row r="2558" customFormat="false" ht="15" hidden="false" customHeight="false" outlineLevel="0" collapsed="false">
      <c r="DB2558" s="0" t="str">
        <f aca="false">IF($A2558="","",IF($A2558&lt;&gt;21,"対象外",IF($AE2558&amp;""="00000000","在職",IF($AE2558&amp;""=設定!$C$4,"4/1喪失","その他喪失"))))</f>
        <v/>
      </c>
    </row>
    <row r="2559" customFormat="false" ht="15" hidden="false" customHeight="false" outlineLevel="0" collapsed="false">
      <c r="DB2559" s="0" t="str">
        <f aca="false">IF($A2559="","",IF($A2559&lt;&gt;21,"対象外",IF($AE2559&amp;""="00000000","在職",IF($AE2559&amp;""=設定!$C$4,"4/1喪失","その他喪失"))))</f>
        <v/>
      </c>
    </row>
    <row r="2560" customFormat="false" ht="15" hidden="false" customHeight="false" outlineLevel="0" collapsed="false">
      <c r="DB2560" s="0" t="str">
        <f aca="false">IF($A2560="","",IF($A2560&lt;&gt;21,"対象外",IF($AE2560&amp;""="00000000","在職",IF($AE2560&amp;""=設定!$C$4,"4/1喪失","その他喪失"))))</f>
        <v/>
      </c>
    </row>
    <row r="2561" customFormat="false" ht="15" hidden="false" customHeight="false" outlineLevel="0" collapsed="false">
      <c r="DB2561" s="0" t="str">
        <f aca="false">IF($A2561="","",IF($A2561&lt;&gt;21,"対象外",IF($AE2561&amp;""="00000000","在職",IF($AE2561&amp;""=設定!$C$4,"4/1喪失","その他喪失"))))</f>
        <v/>
      </c>
    </row>
    <row r="2562" customFormat="false" ht="15" hidden="false" customHeight="false" outlineLevel="0" collapsed="false">
      <c r="DB2562" s="0" t="str">
        <f aca="false">IF($A2562="","",IF($A2562&lt;&gt;21,"対象外",IF($AE2562&amp;""="00000000","在職",IF($AE2562&amp;""=設定!$C$4,"4/1喪失","その他喪失"))))</f>
        <v/>
      </c>
    </row>
    <row r="2563" customFormat="false" ht="15" hidden="false" customHeight="false" outlineLevel="0" collapsed="false">
      <c r="DB2563" s="0" t="str">
        <f aca="false">IF($A2563="","",IF($A2563&lt;&gt;21,"対象外",IF($AE2563&amp;""="00000000","在職",IF($AE2563&amp;""=設定!$C$4,"4/1喪失","その他喪失"))))</f>
        <v/>
      </c>
    </row>
    <row r="2564" customFormat="false" ht="15" hidden="false" customHeight="false" outlineLevel="0" collapsed="false">
      <c r="DB2564" s="0" t="str">
        <f aca="false">IF($A2564="","",IF($A2564&lt;&gt;21,"対象外",IF($AE2564&amp;""="00000000","在職",IF($AE2564&amp;""=設定!$C$4,"4/1喪失","その他喪失"))))</f>
        <v/>
      </c>
    </row>
    <row r="2565" customFormat="false" ht="15" hidden="false" customHeight="false" outlineLevel="0" collapsed="false">
      <c r="DB2565" s="0" t="str">
        <f aca="false">IF($A2565="","",IF($A2565&lt;&gt;21,"対象外",IF($AE2565&amp;""="00000000","在職",IF($AE2565&amp;""=設定!$C$4,"4/1喪失","その他喪失"))))</f>
        <v/>
      </c>
    </row>
    <row r="2566" customFormat="false" ht="15" hidden="false" customHeight="false" outlineLevel="0" collapsed="false">
      <c r="DB2566" s="0" t="str">
        <f aca="false">IF($A2566="","",IF($A2566&lt;&gt;21,"対象外",IF($AE2566&amp;""="00000000","在職",IF($AE2566&amp;""=設定!$C$4,"4/1喪失","その他喪失"))))</f>
        <v/>
      </c>
    </row>
    <row r="2567" customFormat="false" ht="15" hidden="false" customHeight="false" outlineLevel="0" collapsed="false">
      <c r="DB2567" s="0" t="str">
        <f aca="false">IF($A2567="","",IF($A2567&lt;&gt;21,"対象外",IF($AE2567&amp;""="00000000","在職",IF($AE2567&amp;""=設定!$C$4,"4/1喪失","その他喪失"))))</f>
        <v/>
      </c>
    </row>
    <row r="2568" customFormat="false" ht="15" hidden="false" customHeight="false" outlineLevel="0" collapsed="false">
      <c r="DB2568" s="0" t="str">
        <f aca="false">IF($A2568="","",IF($A2568&lt;&gt;21,"対象外",IF($AE2568&amp;""="00000000","在職",IF($AE2568&amp;""=設定!$C$4,"4/1喪失","その他喪失"))))</f>
        <v/>
      </c>
    </row>
    <row r="2569" customFormat="false" ht="15" hidden="false" customHeight="false" outlineLevel="0" collapsed="false">
      <c r="DB2569" s="0" t="str">
        <f aca="false">IF($A2569="","",IF($A2569&lt;&gt;21,"対象外",IF($AE2569&amp;""="00000000","在職",IF($AE2569&amp;""=設定!$C$4,"4/1喪失","その他喪失"))))</f>
        <v/>
      </c>
    </row>
    <row r="2570" customFormat="false" ht="15" hidden="false" customHeight="false" outlineLevel="0" collapsed="false">
      <c r="DB2570" s="0" t="str">
        <f aca="false">IF($A2570="","",IF($A2570&lt;&gt;21,"対象外",IF($AE2570&amp;""="00000000","在職",IF($AE2570&amp;""=設定!$C$4,"4/1喪失","その他喪失"))))</f>
        <v/>
      </c>
    </row>
    <row r="2571" customFormat="false" ht="15" hidden="false" customHeight="false" outlineLevel="0" collapsed="false">
      <c r="DB2571" s="0" t="str">
        <f aca="false">IF($A2571="","",IF($A2571&lt;&gt;21,"対象外",IF($AE2571&amp;""="00000000","在職",IF($AE2571&amp;""=設定!$C$4,"4/1喪失","その他喪失"))))</f>
        <v/>
      </c>
    </row>
    <row r="2572" customFormat="false" ht="15" hidden="false" customHeight="false" outlineLevel="0" collapsed="false">
      <c r="DB2572" s="0" t="str">
        <f aca="false">IF($A2572="","",IF($A2572&lt;&gt;21,"対象外",IF($AE2572&amp;""="00000000","在職",IF($AE2572&amp;""=設定!$C$4,"4/1喪失","その他喪失"))))</f>
        <v/>
      </c>
    </row>
    <row r="2573" customFormat="false" ht="15" hidden="false" customHeight="false" outlineLevel="0" collapsed="false">
      <c r="DB2573" s="0" t="str">
        <f aca="false">IF($A2573="","",IF($A2573&lt;&gt;21,"対象外",IF($AE2573&amp;""="00000000","在職",IF($AE2573&amp;""=設定!$C$4,"4/1喪失","その他喪失"))))</f>
        <v/>
      </c>
    </row>
    <row r="2574" customFormat="false" ht="15" hidden="false" customHeight="false" outlineLevel="0" collapsed="false">
      <c r="DB2574" s="0" t="str">
        <f aca="false">IF($A2574="","",IF($A2574&lt;&gt;21,"対象外",IF($AE2574&amp;""="00000000","在職",IF($AE2574&amp;""=設定!$C$4,"4/1喪失","その他喪失"))))</f>
        <v/>
      </c>
    </row>
    <row r="2575" customFormat="false" ht="15" hidden="false" customHeight="false" outlineLevel="0" collapsed="false">
      <c r="DB2575" s="0" t="str">
        <f aca="false">IF($A2575="","",IF($A2575&lt;&gt;21,"対象外",IF($AE2575&amp;""="00000000","在職",IF($AE2575&amp;""=設定!$C$4,"4/1喪失","その他喪失"))))</f>
        <v/>
      </c>
    </row>
    <row r="2576" customFormat="false" ht="15" hidden="false" customHeight="false" outlineLevel="0" collapsed="false">
      <c r="DB2576" s="0" t="str">
        <f aca="false">IF($A2576="","",IF($A2576&lt;&gt;21,"対象外",IF($AE2576&amp;""="00000000","在職",IF($AE2576&amp;""=設定!$C$4,"4/1喪失","その他喪失"))))</f>
        <v/>
      </c>
    </row>
    <row r="2577" customFormat="false" ht="15" hidden="false" customHeight="false" outlineLevel="0" collapsed="false">
      <c r="DB2577" s="0" t="str">
        <f aca="false">IF($A2577="","",IF($A2577&lt;&gt;21,"対象外",IF($AE2577&amp;""="00000000","在職",IF($AE2577&amp;""=設定!$C$4,"4/1喪失","その他喪失"))))</f>
        <v/>
      </c>
    </row>
    <row r="2578" customFormat="false" ht="15" hidden="false" customHeight="false" outlineLevel="0" collapsed="false">
      <c r="DB2578" s="0" t="str">
        <f aca="false">IF($A2578="","",IF($A2578&lt;&gt;21,"対象外",IF($AE2578&amp;""="00000000","在職",IF($AE2578&amp;""=設定!$C$4,"4/1喪失","その他喪失"))))</f>
        <v/>
      </c>
    </row>
    <row r="2579" customFormat="false" ht="15" hidden="false" customHeight="false" outlineLevel="0" collapsed="false">
      <c r="DB2579" s="0" t="str">
        <f aca="false">IF($A2579="","",IF($A2579&lt;&gt;21,"対象外",IF($AE2579&amp;""="00000000","在職",IF($AE2579&amp;""=設定!$C$4,"4/1喪失","その他喪失"))))</f>
        <v/>
      </c>
    </row>
    <row r="2580" customFormat="false" ht="15" hidden="false" customHeight="false" outlineLevel="0" collapsed="false">
      <c r="DB2580" s="0" t="str">
        <f aca="false">IF($A2580="","",IF($A2580&lt;&gt;21,"対象外",IF($AE2580&amp;""="00000000","在職",IF($AE2580&amp;""=設定!$C$4,"4/1喪失","その他喪失"))))</f>
        <v/>
      </c>
    </row>
    <row r="2581" customFormat="false" ht="15" hidden="false" customHeight="false" outlineLevel="0" collapsed="false">
      <c r="DB2581" s="0" t="str">
        <f aca="false">IF($A2581="","",IF($A2581&lt;&gt;21,"対象外",IF($AE2581&amp;""="00000000","在職",IF($AE2581&amp;""=設定!$C$4,"4/1喪失","その他喪失"))))</f>
        <v/>
      </c>
    </row>
    <row r="2582" customFormat="false" ht="15" hidden="false" customHeight="false" outlineLevel="0" collapsed="false">
      <c r="DB2582" s="0" t="str">
        <f aca="false">IF($A2582="","",IF($A2582&lt;&gt;21,"対象外",IF($AE2582&amp;""="00000000","在職",IF($AE2582&amp;""=設定!$C$4,"4/1喪失","その他喪失"))))</f>
        <v/>
      </c>
    </row>
    <row r="2583" customFormat="false" ht="15" hidden="false" customHeight="false" outlineLevel="0" collapsed="false">
      <c r="DB2583" s="0" t="str">
        <f aca="false">IF($A2583="","",IF($A2583&lt;&gt;21,"対象外",IF($AE2583&amp;""="00000000","在職",IF($AE2583&amp;""=設定!$C$4,"4/1喪失","その他喪失"))))</f>
        <v/>
      </c>
    </row>
    <row r="2584" customFormat="false" ht="15" hidden="false" customHeight="false" outlineLevel="0" collapsed="false">
      <c r="DB2584" s="0" t="str">
        <f aca="false">IF($A2584="","",IF($A2584&lt;&gt;21,"対象外",IF($AE2584&amp;""="00000000","在職",IF($AE2584&amp;""=設定!$C$4,"4/1喪失","その他喪失"))))</f>
        <v/>
      </c>
    </row>
    <row r="2585" customFormat="false" ht="15" hidden="false" customHeight="false" outlineLevel="0" collapsed="false">
      <c r="DB2585" s="0" t="str">
        <f aca="false">IF($A2585="","",IF($A2585&lt;&gt;21,"対象外",IF($AE2585&amp;""="00000000","在職",IF($AE2585&amp;""=設定!$C$4,"4/1喪失","その他喪失"))))</f>
        <v/>
      </c>
    </row>
    <row r="2586" customFormat="false" ht="15" hidden="false" customHeight="false" outlineLevel="0" collapsed="false">
      <c r="DB2586" s="0" t="str">
        <f aca="false">IF($A2586="","",IF($A2586&lt;&gt;21,"対象外",IF($AE2586&amp;""="00000000","在職",IF($AE2586&amp;""=設定!$C$4,"4/1喪失","その他喪失"))))</f>
        <v/>
      </c>
    </row>
    <row r="2587" customFormat="false" ht="15" hidden="false" customHeight="false" outlineLevel="0" collapsed="false">
      <c r="DB2587" s="0" t="str">
        <f aca="false">IF($A2587="","",IF($A2587&lt;&gt;21,"対象外",IF($AE2587&amp;""="00000000","在職",IF($AE2587&amp;""=設定!$C$4,"4/1喪失","その他喪失"))))</f>
        <v/>
      </c>
    </row>
    <row r="2588" customFormat="false" ht="15" hidden="false" customHeight="false" outlineLevel="0" collapsed="false">
      <c r="DB2588" s="0" t="str">
        <f aca="false">IF($A2588="","",IF($A2588&lt;&gt;21,"対象外",IF($AE2588&amp;""="00000000","在職",IF($AE2588&amp;""=設定!$C$4,"4/1喪失","その他喪失"))))</f>
        <v/>
      </c>
    </row>
    <row r="2589" customFormat="false" ht="15" hidden="false" customHeight="false" outlineLevel="0" collapsed="false">
      <c r="DB2589" s="0" t="str">
        <f aca="false">IF($A2589="","",IF($A2589&lt;&gt;21,"対象外",IF($AE2589&amp;""="00000000","在職",IF($AE2589&amp;""=設定!$C$4,"4/1喪失","その他喪失"))))</f>
        <v/>
      </c>
    </row>
    <row r="2590" customFormat="false" ht="15" hidden="false" customHeight="false" outlineLevel="0" collapsed="false">
      <c r="DB2590" s="0" t="str">
        <f aca="false">IF($A2590="","",IF($A2590&lt;&gt;21,"対象外",IF($AE2590&amp;""="00000000","在職",IF($AE2590&amp;""=設定!$C$4,"4/1喪失","その他喪失"))))</f>
        <v/>
      </c>
    </row>
    <row r="2591" customFormat="false" ht="15" hidden="false" customHeight="false" outlineLevel="0" collapsed="false">
      <c r="DB2591" s="0" t="str">
        <f aca="false">IF($A2591="","",IF($A2591&lt;&gt;21,"対象外",IF($AE2591&amp;""="00000000","在職",IF($AE2591&amp;""=設定!$C$4,"4/1喪失","その他喪失"))))</f>
        <v/>
      </c>
    </row>
    <row r="2592" customFormat="false" ht="15" hidden="false" customHeight="false" outlineLevel="0" collapsed="false">
      <c r="DB2592" s="0" t="str">
        <f aca="false">IF($A2592="","",IF($A2592&lt;&gt;21,"対象外",IF($AE2592&amp;""="00000000","在職",IF($AE2592&amp;""=設定!$C$4,"4/1喪失","その他喪失"))))</f>
        <v/>
      </c>
    </row>
    <row r="2593" customFormat="false" ht="15" hidden="false" customHeight="false" outlineLevel="0" collapsed="false">
      <c r="DB2593" s="0" t="str">
        <f aca="false">IF($A2593="","",IF($A2593&lt;&gt;21,"対象外",IF($AE2593&amp;""="00000000","在職",IF($AE2593&amp;""=設定!$C$4,"4/1喪失","その他喪失"))))</f>
        <v/>
      </c>
    </row>
    <row r="2594" customFormat="false" ht="15" hidden="false" customHeight="false" outlineLevel="0" collapsed="false">
      <c r="DB2594" s="0" t="str">
        <f aca="false">IF($A2594="","",IF($A2594&lt;&gt;21,"対象外",IF($AE2594&amp;""="00000000","在職",IF($AE2594&amp;""=設定!$C$4,"4/1喪失","その他喪失"))))</f>
        <v/>
      </c>
    </row>
    <row r="2595" customFormat="false" ht="15" hidden="false" customHeight="false" outlineLevel="0" collapsed="false">
      <c r="DB2595" s="0" t="str">
        <f aca="false">IF($A2595="","",IF($A2595&lt;&gt;21,"対象外",IF($AE2595&amp;""="00000000","在職",IF($AE2595&amp;""=設定!$C$4,"4/1喪失","その他喪失"))))</f>
        <v/>
      </c>
    </row>
    <row r="2596" customFormat="false" ht="15" hidden="false" customHeight="false" outlineLevel="0" collapsed="false">
      <c r="DB2596" s="0" t="str">
        <f aca="false">IF($A2596="","",IF($A2596&lt;&gt;21,"対象外",IF($AE2596&amp;""="00000000","在職",IF($AE2596&amp;""=設定!$C$4,"4/1喪失","その他喪失"))))</f>
        <v/>
      </c>
    </row>
    <row r="2597" customFormat="false" ht="15" hidden="false" customHeight="false" outlineLevel="0" collapsed="false">
      <c r="DB2597" s="0" t="str">
        <f aca="false">IF($A2597="","",IF($A2597&lt;&gt;21,"対象外",IF($AE2597&amp;""="00000000","在職",IF($AE2597&amp;""=設定!$C$4,"4/1喪失","その他喪失"))))</f>
        <v/>
      </c>
    </row>
    <row r="2598" customFormat="false" ht="15" hidden="false" customHeight="false" outlineLevel="0" collapsed="false">
      <c r="DB2598" s="0" t="str">
        <f aca="false">IF($A2598="","",IF($A2598&lt;&gt;21,"対象外",IF($AE2598&amp;""="00000000","在職",IF($AE2598&amp;""=設定!$C$4,"4/1喪失","その他喪失"))))</f>
        <v/>
      </c>
    </row>
    <row r="2599" customFormat="false" ht="15" hidden="false" customHeight="false" outlineLevel="0" collapsed="false">
      <c r="DB2599" s="0" t="str">
        <f aca="false">IF($A2599="","",IF($A2599&lt;&gt;21,"対象外",IF($AE2599&amp;""="00000000","在職",IF($AE2599&amp;""=設定!$C$4,"4/1喪失","その他喪失"))))</f>
        <v/>
      </c>
    </row>
    <row r="2600" customFormat="false" ht="15" hidden="false" customHeight="false" outlineLevel="0" collapsed="false">
      <c r="DB2600" s="0" t="str">
        <f aca="false">IF($A2600="","",IF($A2600&lt;&gt;21,"対象外",IF($AE2600&amp;""="00000000","在職",IF($AE2600&amp;""=設定!$C$4,"4/1喪失","その他喪失"))))</f>
        <v/>
      </c>
    </row>
    <row r="2601" customFormat="false" ht="15" hidden="false" customHeight="false" outlineLevel="0" collapsed="false">
      <c r="DB2601" s="0" t="str">
        <f aca="false">IF($A2601="","",IF($A2601&lt;&gt;21,"対象外",IF($AE2601&amp;""="00000000","在職",IF($AE2601&amp;""=設定!$C$4,"4/1喪失","その他喪失"))))</f>
        <v/>
      </c>
    </row>
    <row r="2602" customFormat="false" ht="15" hidden="false" customHeight="false" outlineLevel="0" collapsed="false">
      <c r="DB2602" s="0" t="str">
        <f aca="false">IF($A2602="","",IF($A2602&lt;&gt;21,"対象外",IF($AE2602&amp;""="00000000","在職",IF($AE2602&amp;""=設定!$C$4,"4/1喪失","その他喪失"))))</f>
        <v/>
      </c>
    </row>
    <row r="2603" customFormat="false" ht="15" hidden="false" customHeight="false" outlineLevel="0" collapsed="false">
      <c r="DB2603" s="0" t="str">
        <f aca="false">IF($A2603="","",IF($A2603&lt;&gt;21,"対象外",IF($AE2603&amp;""="00000000","在職",IF($AE2603&amp;""=設定!$C$4,"4/1喪失","その他喪失"))))</f>
        <v/>
      </c>
    </row>
    <row r="2604" customFormat="false" ht="15" hidden="false" customHeight="false" outlineLevel="0" collapsed="false">
      <c r="DB2604" s="0" t="str">
        <f aca="false">IF($A2604="","",IF($A2604&lt;&gt;21,"対象外",IF($AE2604&amp;""="00000000","在職",IF($AE2604&amp;""=設定!$C$4,"4/1喪失","その他喪失"))))</f>
        <v/>
      </c>
    </row>
    <row r="2605" customFormat="false" ht="15" hidden="false" customHeight="false" outlineLevel="0" collapsed="false">
      <c r="DB2605" s="0" t="str">
        <f aca="false">IF($A2605="","",IF($A2605&lt;&gt;21,"対象外",IF($AE2605&amp;""="00000000","在職",IF($AE2605&amp;""=設定!$C$4,"4/1喪失","その他喪失"))))</f>
        <v/>
      </c>
    </row>
    <row r="2606" customFormat="false" ht="15" hidden="false" customHeight="false" outlineLevel="0" collapsed="false">
      <c r="DB2606" s="0" t="str">
        <f aca="false">IF($A2606="","",IF($A2606&lt;&gt;21,"対象外",IF($AE2606&amp;""="00000000","在職",IF($AE2606&amp;""=設定!$C$4,"4/1喪失","その他喪失"))))</f>
        <v/>
      </c>
    </row>
    <row r="2607" customFormat="false" ht="15" hidden="false" customHeight="false" outlineLevel="0" collapsed="false">
      <c r="DB2607" s="0" t="str">
        <f aca="false">IF($A2607="","",IF($A2607&lt;&gt;21,"対象外",IF($AE2607&amp;""="00000000","在職",IF($AE2607&amp;""=設定!$C$4,"4/1喪失","その他喪失"))))</f>
        <v/>
      </c>
    </row>
    <row r="2608" customFormat="false" ht="15" hidden="false" customHeight="false" outlineLevel="0" collapsed="false">
      <c r="DB2608" s="0" t="str">
        <f aca="false">IF($A2608="","",IF($A2608&lt;&gt;21,"対象外",IF($AE2608&amp;""="00000000","在職",IF($AE2608&amp;""=設定!$C$4,"4/1喪失","その他喪失"))))</f>
        <v/>
      </c>
    </row>
    <row r="2609" customFormat="false" ht="15" hidden="false" customHeight="false" outlineLevel="0" collapsed="false">
      <c r="DB2609" s="0" t="str">
        <f aca="false">IF($A2609="","",IF($A2609&lt;&gt;21,"対象外",IF($AE2609&amp;""="00000000","在職",IF($AE2609&amp;""=設定!$C$4,"4/1喪失","その他喪失"))))</f>
        <v/>
      </c>
    </row>
    <row r="2610" customFormat="false" ht="15" hidden="false" customHeight="false" outlineLevel="0" collapsed="false">
      <c r="DB2610" s="0" t="str">
        <f aca="false">IF($A2610="","",IF($A2610&lt;&gt;21,"対象外",IF($AE2610&amp;""="00000000","在職",IF($AE2610&amp;""=設定!$C$4,"4/1喪失","その他喪失"))))</f>
        <v/>
      </c>
    </row>
    <row r="2611" customFormat="false" ht="15" hidden="false" customHeight="false" outlineLevel="0" collapsed="false">
      <c r="DB2611" s="0" t="str">
        <f aca="false">IF($A2611="","",IF($A2611&lt;&gt;21,"対象外",IF($AE2611&amp;""="00000000","在職",IF($AE2611&amp;""=設定!$C$4,"4/1喪失","その他喪失"))))</f>
        <v/>
      </c>
    </row>
    <row r="2612" customFormat="false" ht="15" hidden="false" customHeight="false" outlineLevel="0" collapsed="false">
      <c r="DB2612" s="0" t="str">
        <f aca="false">IF($A2612="","",IF($A2612&lt;&gt;21,"対象外",IF($AE2612&amp;""="00000000","在職",IF($AE2612&amp;""=設定!$C$4,"4/1喪失","その他喪失"))))</f>
        <v/>
      </c>
    </row>
    <row r="2613" customFormat="false" ht="15" hidden="false" customHeight="false" outlineLevel="0" collapsed="false">
      <c r="DB2613" s="0" t="str">
        <f aca="false">IF($A2613="","",IF($A2613&lt;&gt;21,"対象外",IF($AE2613&amp;""="00000000","在職",IF($AE2613&amp;""=設定!$C$4,"4/1喪失","その他喪失"))))</f>
        <v/>
      </c>
    </row>
    <row r="2614" customFormat="false" ht="15" hidden="false" customHeight="false" outlineLevel="0" collapsed="false">
      <c r="DB2614" s="0" t="str">
        <f aca="false">IF($A2614="","",IF($A2614&lt;&gt;21,"対象外",IF($AE2614&amp;""="00000000","在職",IF($AE2614&amp;""=設定!$C$4,"4/1喪失","その他喪失"))))</f>
        <v/>
      </c>
    </row>
    <row r="2615" customFormat="false" ht="15" hidden="false" customHeight="false" outlineLevel="0" collapsed="false">
      <c r="DB2615" s="0" t="str">
        <f aca="false">IF($A2615="","",IF($A2615&lt;&gt;21,"対象外",IF($AE2615&amp;""="00000000","在職",IF($AE2615&amp;""=設定!$C$4,"4/1喪失","その他喪失"))))</f>
        <v/>
      </c>
    </row>
    <row r="2616" customFormat="false" ht="15" hidden="false" customHeight="false" outlineLevel="0" collapsed="false">
      <c r="DB2616" s="0" t="str">
        <f aca="false">IF($A2616="","",IF($A2616&lt;&gt;21,"対象外",IF($AE2616&amp;""="00000000","在職",IF($AE2616&amp;""=設定!$C$4,"4/1喪失","その他喪失"))))</f>
        <v/>
      </c>
    </row>
    <row r="2617" customFormat="false" ht="15" hidden="false" customHeight="false" outlineLevel="0" collapsed="false">
      <c r="DB2617" s="0" t="str">
        <f aca="false">IF($A2617="","",IF($A2617&lt;&gt;21,"対象外",IF($AE2617&amp;""="00000000","在職",IF($AE2617&amp;""=設定!$C$4,"4/1喪失","その他喪失"))))</f>
        <v/>
      </c>
    </row>
    <row r="2618" customFormat="false" ht="15" hidden="false" customHeight="false" outlineLevel="0" collapsed="false">
      <c r="DB2618" s="0" t="str">
        <f aca="false">IF($A2618="","",IF($A2618&lt;&gt;21,"対象外",IF($AE2618&amp;""="00000000","在職",IF($AE2618&amp;""=設定!$C$4,"4/1喪失","その他喪失"))))</f>
        <v/>
      </c>
    </row>
    <row r="2619" customFormat="false" ht="15" hidden="false" customHeight="false" outlineLevel="0" collapsed="false">
      <c r="DB2619" s="0" t="str">
        <f aca="false">IF($A2619="","",IF($A2619&lt;&gt;21,"対象外",IF($AE2619&amp;""="00000000","在職",IF($AE2619&amp;""=設定!$C$4,"4/1喪失","その他喪失"))))</f>
        <v/>
      </c>
    </row>
    <row r="2620" customFormat="false" ht="15" hidden="false" customHeight="false" outlineLevel="0" collapsed="false">
      <c r="DB2620" s="0" t="str">
        <f aca="false">IF($A2620="","",IF($A2620&lt;&gt;21,"対象外",IF($AE2620&amp;""="00000000","在職",IF($AE2620&amp;""=設定!$C$4,"4/1喪失","その他喪失"))))</f>
        <v/>
      </c>
    </row>
    <row r="2621" customFormat="false" ht="15" hidden="false" customHeight="false" outlineLevel="0" collapsed="false">
      <c r="DB2621" s="0" t="str">
        <f aca="false">IF($A2621="","",IF($A2621&lt;&gt;21,"対象外",IF($AE2621&amp;""="00000000","在職",IF($AE2621&amp;""=設定!$C$4,"4/1喪失","その他喪失"))))</f>
        <v/>
      </c>
    </row>
    <row r="2622" customFormat="false" ht="15" hidden="false" customHeight="false" outlineLevel="0" collapsed="false">
      <c r="DB2622" s="0" t="str">
        <f aca="false">IF($A2622="","",IF($A2622&lt;&gt;21,"対象外",IF($AE2622&amp;""="00000000","在職",IF($AE2622&amp;""=設定!$C$4,"4/1喪失","その他喪失"))))</f>
        <v/>
      </c>
    </row>
    <row r="2623" customFormat="false" ht="15" hidden="false" customHeight="false" outlineLevel="0" collapsed="false">
      <c r="DB2623" s="0" t="str">
        <f aca="false">IF($A2623="","",IF($A2623&lt;&gt;21,"対象外",IF($AE2623&amp;""="00000000","在職",IF($AE2623&amp;""=設定!$C$4,"4/1喪失","その他喪失"))))</f>
        <v/>
      </c>
    </row>
    <row r="2624" customFormat="false" ht="15" hidden="false" customHeight="false" outlineLevel="0" collapsed="false">
      <c r="DB2624" s="0" t="str">
        <f aca="false">IF($A2624="","",IF($A2624&lt;&gt;21,"対象外",IF($AE2624&amp;""="00000000","在職",IF($AE2624&amp;""=設定!$C$4,"4/1喪失","その他喪失"))))</f>
        <v/>
      </c>
    </row>
    <row r="2625" customFormat="false" ht="15" hidden="false" customHeight="false" outlineLevel="0" collapsed="false">
      <c r="DB2625" s="0" t="str">
        <f aca="false">IF($A2625="","",IF($A2625&lt;&gt;21,"対象外",IF($AE2625&amp;""="00000000","在職",IF($AE2625&amp;""=設定!$C$4,"4/1喪失","その他喪失"))))</f>
        <v/>
      </c>
    </row>
    <row r="2626" customFormat="false" ht="15" hidden="false" customHeight="false" outlineLevel="0" collapsed="false">
      <c r="DB2626" s="0" t="str">
        <f aca="false">IF($A2626="","",IF($A2626&lt;&gt;21,"対象外",IF($AE2626&amp;""="00000000","在職",IF($AE2626&amp;""=設定!$C$4,"4/1喪失","その他喪失"))))</f>
        <v/>
      </c>
    </row>
    <row r="2627" customFormat="false" ht="15" hidden="false" customHeight="false" outlineLevel="0" collapsed="false">
      <c r="DB2627" s="0" t="str">
        <f aca="false">IF($A2627="","",IF($A2627&lt;&gt;21,"対象外",IF($AE2627&amp;""="00000000","在職",IF($AE2627&amp;""=設定!$C$4,"4/1喪失","その他喪失"))))</f>
        <v/>
      </c>
    </row>
    <row r="2628" customFormat="false" ht="15" hidden="false" customHeight="false" outlineLevel="0" collapsed="false">
      <c r="DB2628" s="0" t="str">
        <f aca="false">IF($A2628="","",IF($A2628&lt;&gt;21,"対象外",IF($AE2628&amp;""="00000000","在職",IF($AE2628&amp;""=設定!$C$4,"4/1喪失","その他喪失"))))</f>
        <v/>
      </c>
    </row>
    <row r="2629" customFormat="false" ht="15" hidden="false" customHeight="false" outlineLevel="0" collapsed="false">
      <c r="DB2629" s="0" t="str">
        <f aca="false">IF($A2629="","",IF($A2629&lt;&gt;21,"対象外",IF($AE2629&amp;""="00000000","在職",IF($AE2629&amp;""=設定!$C$4,"4/1喪失","その他喪失"))))</f>
        <v/>
      </c>
    </row>
    <row r="2630" customFormat="false" ht="15" hidden="false" customHeight="false" outlineLevel="0" collapsed="false">
      <c r="DB2630" s="0" t="str">
        <f aca="false">IF($A2630="","",IF($A2630&lt;&gt;21,"対象外",IF($AE2630&amp;""="00000000","在職",IF($AE2630&amp;""=設定!$C$4,"4/1喪失","その他喪失"))))</f>
        <v/>
      </c>
    </row>
    <row r="2631" customFormat="false" ht="15" hidden="false" customHeight="false" outlineLevel="0" collapsed="false">
      <c r="DB2631" s="0" t="str">
        <f aca="false">IF($A2631="","",IF($A2631&lt;&gt;21,"対象外",IF($AE2631&amp;""="00000000","在職",IF($AE2631&amp;""=設定!$C$4,"4/1喪失","その他喪失"))))</f>
        <v/>
      </c>
    </row>
    <row r="2632" customFormat="false" ht="15" hidden="false" customHeight="false" outlineLevel="0" collapsed="false">
      <c r="DB2632" s="0" t="str">
        <f aca="false">IF($A2632="","",IF($A2632&lt;&gt;21,"対象外",IF($AE2632&amp;""="00000000","在職",IF($AE2632&amp;""=設定!$C$4,"4/1喪失","その他喪失"))))</f>
        <v/>
      </c>
    </row>
    <row r="2633" customFormat="false" ht="15" hidden="false" customHeight="false" outlineLevel="0" collapsed="false">
      <c r="DB2633" s="0" t="str">
        <f aca="false">IF($A2633="","",IF($A2633&lt;&gt;21,"対象外",IF($AE2633&amp;""="00000000","在職",IF($AE2633&amp;""=設定!$C$4,"4/1喪失","その他喪失"))))</f>
        <v/>
      </c>
    </row>
    <row r="2634" customFormat="false" ht="15" hidden="false" customHeight="false" outlineLevel="0" collapsed="false">
      <c r="DB2634" s="0" t="str">
        <f aca="false">IF($A2634="","",IF($A2634&lt;&gt;21,"対象外",IF($AE2634&amp;""="00000000","在職",IF($AE2634&amp;""=設定!$C$4,"4/1喪失","その他喪失"))))</f>
        <v/>
      </c>
    </row>
    <row r="2635" customFormat="false" ht="15" hidden="false" customHeight="false" outlineLevel="0" collapsed="false">
      <c r="DB2635" s="0" t="str">
        <f aca="false">IF($A2635="","",IF($A2635&lt;&gt;21,"対象外",IF($AE2635&amp;""="00000000","在職",IF($AE2635&amp;""=設定!$C$4,"4/1喪失","その他喪失"))))</f>
        <v/>
      </c>
    </row>
    <row r="2636" customFormat="false" ht="15" hidden="false" customHeight="false" outlineLevel="0" collapsed="false">
      <c r="DB2636" s="0" t="str">
        <f aca="false">IF($A2636="","",IF($A2636&lt;&gt;21,"対象外",IF($AE2636&amp;""="00000000","在職",IF($AE2636&amp;""=設定!$C$4,"4/1喪失","その他喪失"))))</f>
        <v/>
      </c>
    </row>
    <row r="2637" customFormat="false" ht="15" hidden="false" customHeight="false" outlineLevel="0" collapsed="false">
      <c r="DB2637" s="0" t="str">
        <f aca="false">IF($A2637="","",IF($A2637&lt;&gt;21,"対象外",IF($AE2637&amp;""="00000000","在職",IF($AE2637&amp;""=設定!$C$4,"4/1喪失","その他喪失"))))</f>
        <v/>
      </c>
    </row>
    <row r="2638" customFormat="false" ht="15" hidden="false" customHeight="false" outlineLevel="0" collapsed="false">
      <c r="DB2638" s="0" t="str">
        <f aca="false">IF($A2638="","",IF($A2638&lt;&gt;21,"対象外",IF($AE2638&amp;""="00000000","在職",IF($AE2638&amp;""=設定!$C$4,"4/1喪失","その他喪失"))))</f>
        <v/>
      </c>
    </row>
    <row r="2639" customFormat="false" ht="15" hidden="false" customHeight="false" outlineLevel="0" collapsed="false">
      <c r="DB2639" s="0" t="str">
        <f aca="false">IF($A2639="","",IF($A2639&lt;&gt;21,"対象外",IF($AE2639&amp;""="00000000","在職",IF($AE2639&amp;""=設定!$C$4,"4/1喪失","その他喪失"))))</f>
        <v/>
      </c>
    </row>
    <row r="2640" customFormat="false" ht="15" hidden="false" customHeight="false" outlineLevel="0" collapsed="false">
      <c r="DB2640" s="0" t="str">
        <f aca="false">IF($A2640="","",IF($A2640&lt;&gt;21,"対象外",IF($AE2640&amp;""="00000000","在職",IF($AE2640&amp;""=設定!$C$4,"4/1喪失","その他喪失"))))</f>
        <v/>
      </c>
    </row>
    <row r="2641" customFormat="false" ht="15" hidden="false" customHeight="false" outlineLevel="0" collapsed="false">
      <c r="DB2641" s="0" t="str">
        <f aca="false">IF($A2641="","",IF($A2641&lt;&gt;21,"対象外",IF($AE2641&amp;""="00000000","在職",IF($AE2641&amp;""=設定!$C$4,"4/1喪失","その他喪失"))))</f>
        <v/>
      </c>
    </row>
    <row r="2642" customFormat="false" ht="15" hidden="false" customHeight="false" outlineLevel="0" collapsed="false">
      <c r="DB2642" s="0" t="str">
        <f aca="false">IF($A2642="","",IF($A2642&lt;&gt;21,"対象外",IF($AE2642&amp;""="00000000","在職",IF($AE2642&amp;""=設定!$C$4,"4/1喪失","その他喪失"))))</f>
        <v/>
      </c>
    </row>
    <row r="2643" customFormat="false" ht="15" hidden="false" customHeight="false" outlineLevel="0" collapsed="false">
      <c r="DB2643" s="0" t="str">
        <f aca="false">IF($A2643="","",IF($A2643&lt;&gt;21,"対象外",IF($AE2643&amp;""="00000000","在職",IF($AE2643&amp;""=設定!$C$4,"4/1喪失","その他喪失"))))</f>
        <v/>
      </c>
    </row>
    <row r="2644" customFormat="false" ht="15" hidden="false" customHeight="false" outlineLevel="0" collapsed="false">
      <c r="DB2644" s="0" t="str">
        <f aca="false">IF($A2644="","",IF($A2644&lt;&gt;21,"対象外",IF($AE2644&amp;""="00000000","在職",IF($AE2644&amp;""=設定!$C$4,"4/1喪失","その他喪失"))))</f>
        <v/>
      </c>
    </row>
    <row r="2645" customFormat="false" ht="15" hidden="false" customHeight="false" outlineLevel="0" collapsed="false">
      <c r="DB2645" s="0" t="str">
        <f aca="false">IF($A2645="","",IF($A2645&lt;&gt;21,"対象外",IF($AE2645&amp;""="00000000","在職",IF($AE2645&amp;""=設定!$C$4,"4/1喪失","その他喪失"))))</f>
        <v/>
      </c>
    </row>
    <row r="2646" customFormat="false" ht="15" hidden="false" customHeight="false" outlineLevel="0" collapsed="false">
      <c r="DB2646" s="0" t="str">
        <f aca="false">IF($A2646="","",IF($A2646&lt;&gt;21,"対象外",IF($AE2646&amp;""="00000000","在職",IF($AE2646&amp;""=設定!$C$4,"4/1喪失","その他喪失"))))</f>
        <v/>
      </c>
    </row>
    <row r="2647" customFormat="false" ht="15" hidden="false" customHeight="false" outlineLevel="0" collapsed="false">
      <c r="DB2647" s="0" t="str">
        <f aca="false">IF($A2647="","",IF($A2647&lt;&gt;21,"対象外",IF($AE2647&amp;""="00000000","在職",IF($AE2647&amp;""=設定!$C$4,"4/1喪失","その他喪失"))))</f>
        <v/>
      </c>
    </row>
    <row r="2648" customFormat="false" ht="15" hidden="false" customHeight="false" outlineLevel="0" collapsed="false">
      <c r="DB2648" s="0" t="str">
        <f aca="false">IF($A2648="","",IF($A2648&lt;&gt;21,"対象外",IF($AE2648&amp;""="00000000","在職",IF($AE2648&amp;""=設定!$C$4,"4/1喪失","その他喪失"))))</f>
        <v/>
      </c>
    </row>
    <row r="2649" customFormat="false" ht="15" hidden="false" customHeight="false" outlineLevel="0" collapsed="false">
      <c r="DB2649" s="0" t="str">
        <f aca="false">IF($A2649="","",IF($A2649&lt;&gt;21,"対象外",IF($AE2649&amp;""="00000000","在職",IF($AE2649&amp;""=設定!$C$4,"4/1喪失","その他喪失"))))</f>
        <v/>
      </c>
    </row>
    <row r="2650" customFormat="false" ht="15" hidden="false" customHeight="false" outlineLevel="0" collapsed="false">
      <c r="DB2650" s="0" t="str">
        <f aca="false">IF($A2650="","",IF($A2650&lt;&gt;21,"対象外",IF($AE2650&amp;""="00000000","在職",IF($AE2650&amp;""=設定!$C$4,"4/1喪失","その他喪失"))))</f>
        <v/>
      </c>
    </row>
    <row r="2651" customFormat="false" ht="15" hidden="false" customHeight="false" outlineLevel="0" collapsed="false">
      <c r="DB2651" s="0" t="str">
        <f aca="false">IF($A2651="","",IF($A2651&lt;&gt;21,"対象外",IF($AE2651&amp;""="00000000","在職",IF($AE2651&amp;""=設定!$C$4,"4/1喪失","その他喪失"))))</f>
        <v/>
      </c>
    </row>
    <row r="2652" customFormat="false" ht="15" hidden="false" customHeight="false" outlineLevel="0" collapsed="false">
      <c r="DB2652" s="0" t="str">
        <f aca="false">IF($A2652="","",IF($A2652&lt;&gt;21,"対象外",IF($AE2652&amp;""="00000000","在職",IF($AE2652&amp;""=設定!$C$4,"4/1喪失","その他喪失"))))</f>
        <v/>
      </c>
    </row>
    <row r="2653" customFormat="false" ht="15" hidden="false" customHeight="false" outlineLevel="0" collapsed="false">
      <c r="DB2653" s="0" t="str">
        <f aca="false">IF($A2653="","",IF($A2653&lt;&gt;21,"対象外",IF($AE2653&amp;""="00000000","在職",IF($AE2653&amp;""=設定!$C$4,"4/1喪失","その他喪失"))))</f>
        <v/>
      </c>
    </row>
    <row r="2654" customFormat="false" ht="15" hidden="false" customHeight="false" outlineLevel="0" collapsed="false">
      <c r="DB2654" s="0" t="str">
        <f aca="false">IF($A2654="","",IF($A2654&lt;&gt;21,"対象外",IF($AE2654&amp;""="00000000","在職",IF($AE2654&amp;""=設定!$C$4,"4/1喪失","その他喪失"))))</f>
        <v/>
      </c>
    </row>
    <row r="2655" customFormat="false" ht="15" hidden="false" customHeight="false" outlineLevel="0" collapsed="false">
      <c r="DB2655" s="0" t="str">
        <f aca="false">IF($A2655="","",IF($A2655&lt;&gt;21,"対象外",IF($AE2655&amp;""="00000000","在職",IF($AE2655&amp;""=設定!$C$4,"4/1喪失","その他喪失"))))</f>
        <v/>
      </c>
    </row>
    <row r="2656" customFormat="false" ht="15" hidden="false" customHeight="false" outlineLevel="0" collapsed="false">
      <c r="DB2656" s="0" t="str">
        <f aca="false">IF($A2656="","",IF($A2656&lt;&gt;21,"対象外",IF($AE2656&amp;""="00000000","在職",IF($AE2656&amp;""=設定!$C$4,"4/1喪失","その他喪失"))))</f>
        <v/>
      </c>
    </row>
    <row r="2657" customFormat="false" ht="15" hidden="false" customHeight="false" outlineLevel="0" collapsed="false">
      <c r="DB2657" s="0" t="str">
        <f aca="false">IF($A2657="","",IF($A2657&lt;&gt;21,"対象外",IF($AE2657&amp;""="00000000","在職",IF($AE2657&amp;""=設定!$C$4,"4/1喪失","その他喪失"))))</f>
        <v/>
      </c>
    </row>
    <row r="2658" customFormat="false" ht="15" hidden="false" customHeight="false" outlineLevel="0" collapsed="false">
      <c r="DB2658" s="0" t="str">
        <f aca="false">IF($A2658="","",IF($A2658&lt;&gt;21,"対象外",IF($AE2658&amp;""="00000000","在職",IF($AE2658&amp;""=設定!$C$4,"4/1喪失","その他喪失"))))</f>
        <v/>
      </c>
    </row>
    <row r="2659" customFormat="false" ht="15" hidden="false" customHeight="false" outlineLevel="0" collapsed="false">
      <c r="DB2659" s="0" t="str">
        <f aca="false">IF($A2659="","",IF($A2659&lt;&gt;21,"対象外",IF($AE2659&amp;""="00000000","在職",IF($AE2659&amp;""=設定!$C$4,"4/1喪失","その他喪失"))))</f>
        <v/>
      </c>
    </row>
    <row r="2660" customFormat="false" ht="15" hidden="false" customHeight="false" outlineLevel="0" collapsed="false">
      <c r="DB2660" s="0" t="str">
        <f aca="false">IF($A2660="","",IF($A2660&lt;&gt;21,"対象外",IF($AE2660&amp;""="00000000","在職",IF($AE2660&amp;""=設定!$C$4,"4/1喪失","その他喪失"))))</f>
        <v/>
      </c>
    </row>
    <row r="2661" customFormat="false" ht="15" hidden="false" customHeight="false" outlineLevel="0" collapsed="false">
      <c r="DB2661" s="0" t="str">
        <f aca="false">IF($A2661="","",IF($A2661&lt;&gt;21,"対象外",IF($AE2661&amp;""="00000000","在職",IF($AE2661&amp;""=設定!$C$4,"4/1喪失","その他喪失"))))</f>
        <v/>
      </c>
    </row>
    <row r="2662" customFormat="false" ht="15" hidden="false" customHeight="false" outlineLevel="0" collapsed="false">
      <c r="DB2662" s="0" t="str">
        <f aca="false">IF($A2662="","",IF($A2662&lt;&gt;21,"対象外",IF($AE2662&amp;""="00000000","在職",IF($AE2662&amp;""=設定!$C$4,"4/1喪失","その他喪失"))))</f>
        <v/>
      </c>
    </row>
    <row r="2663" customFormat="false" ht="15" hidden="false" customHeight="false" outlineLevel="0" collapsed="false">
      <c r="DB2663" s="0" t="str">
        <f aca="false">IF($A2663="","",IF($A2663&lt;&gt;21,"対象外",IF($AE2663&amp;""="00000000","在職",IF($AE2663&amp;""=設定!$C$4,"4/1喪失","その他喪失"))))</f>
        <v/>
      </c>
    </row>
    <row r="2664" customFormat="false" ht="15" hidden="false" customHeight="false" outlineLevel="0" collapsed="false">
      <c r="DB2664" s="0" t="str">
        <f aca="false">IF($A2664="","",IF($A2664&lt;&gt;21,"対象外",IF($AE2664&amp;""="00000000","在職",IF($AE2664&amp;""=設定!$C$4,"4/1喪失","その他喪失"))))</f>
        <v/>
      </c>
    </row>
    <row r="2665" customFormat="false" ht="15" hidden="false" customHeight="false" outlineLevel="0" collapsed="false">
      <c r="DB2665" s="0" t="str">
        <f aca="false">IF($A2665="","",IF($A2665&lt;&gt;21,"対象外",IF($AE2665&amp;""="00000000","在職",IF($AE2665&amp;""=設定!$C$4,"4/1喪失","その他喪失"))))</f>
        <v/>
      </c>
    </row>
    <row r="2666" customFormat="false" ht="15" hidden="false" customHeight="false" outlineLevel="0" collapsed="false">
      <c r="DB2666" s="0" t="str">
        <f aca="false">IF($A2666="","",IF($A2666&lt;&gt;21,"対象外",IF($AE2666&amp;""="00000000","在職",IF($AE2666&amp;""=設定!$C$4,"4/1喪失","その他喪失"))))</f>
        <v/>
      </c>
    </row>
    <row r="2667" customFormat="false" ht="15" hidden="false" customHeight="false" outlineLevel="0" collapsed="false">
      <c r="DB2667" s="0" t="str">
        <f aca="false">IF($A2667="","",IF($A2667&lt;&gt;21,"対象外",IF($AE2667&amp;""="00000000","在職",IF($AE2667&amp;""=設定!$C$4,"4/1喪失","その他喪失"))))</f>
        <v/>
      </c>
    </row>
    <row r="2668" customFormat="false" ht="15" hidden="false" customHeight="false" outlineLevel="0" collapsed="false">
      <c r="DB2668" s="0" t="str">
        <f aca="false">IF($A2668="","",IF($A2668&lt;&gt;21,"対象外",IF($AE2668&amp;""="00000000","在職",IF($AE2668&amp;""=設定!$C$4,"4/1喪失","その他喪失"))))</f>
        <v/>
      </c>
    </row>
    <row r="2669" customFormat="false" ht="15" hidden="false" customHeight="false" outlineLevel="0" collapsed="false">
      <c r="DB2669" s="0" t="str">
        <f aca="false">IF($A2669="","",IF($A2669&lt;&gt;21,"対象外",IF($AE2669&amp;""="00000000","在職",IF($AE2669&amp;""=設定!$C$4,"4/1喪失","その他喪失"))))</f>
        <v/>
      </c>
    </row>
    <row r="2670" customFormat="false" ht="15" hidden="false" customHeight="false" outlineLevel="0" collapsed="false">
      <c r="DB2670" s="0" t="str">
        <f aca="false">IF($A2670="","",IF($A2670&lt;&gt;21,"対象外",IF($AE2670&amp;""="00000000","在職",IF($AE2670&amp;""=設定!$C$4,"4/1喪失","その他喪失"))))</f>
        <v/>
      </c>
    </row>
    <row r="2671" customFormat="false" ht="15" hidden="false" customHeight="false" outlineLevel="0" collapsed="false">
      <c r="DB2671" s="0" t="str">
        <f aca="false">IF($A2671="","",IF($A2671&lt;&gt;21,"対象外",IF($AE2671&amp;""="00000000","在職",IF($AE2671&amp;""=設定!$C$4,"4/1喪失","その他喪失"))))</f>
        <v/>
      </c>
    </row>
    <row r="2672" customFormat="false" ht="15" hidden="false" customHeight="false" outlineLevel="0" collapsed="false">
      <c r="DB2672" s="0" t="str">
        <f aca="false">IF($A2672="","",IF($A2672&lt;&gt;21,"対象外",IF($AE2672&amp;""="00000000","在職",IF($AE2672&amp;""=設定!$C$4,"4/1喪失","その他喪失"))))</f>
        <v/>
      </c>
    </row>
    <row r="2673" customFormat="false" ht="15" hidden="false" customHeight="false" outlineLevel="0" collapsed="false">
      <c r="DB2673" s="0" t="str">
        <f aca="false">IF($A2673="","",IF($A2673&lt;&gt;21,"対象外",IF($AE2673&amp;""="00000000","在職",IF($AE2673&amp;""=設定!$C$4,"4/1喪失","その他喪失"))))</f>
        <v/>
      </c>
    </row>
    <row r="2674" customFormat="false" ht="15" hidden="false" customHeight="false" outlineLevel="0" collapsed="false">
      <c r="DB2674" s="0" t="str">
        <f aca="false">IF($A2674="","",IF($A2674&lt;&gt;21,"対象外",IF($AE2674&amp;""="00000000","在職",IF($AE2674&amp;""=設定!$C$4,"4/1喪失","その他喪失"))))</f>
        <v/>
      </c>
    </row>
    <row r="2675" customFormat="false" ht="15" hidden="false" customHeight="false" outlineLevel="0" collapsed="false">
      <c r="DB2675" s="0" t="str">
        <f aca="false">IF($A2675="","",IF($A2675&lt;&gt;21,"対象外",IF($AE2675&amp;""="00000000","在職",IF($AE2675&amp;""=設定!$C$4,"4/1喪失","その他喪失"))))</f>
        <v/>
      </c>
    </row>
    <row r="2676" customFormat="false" ht="15" hidden="false" customHeight="false" outlineLevel="0" collapsed="false">
      <c r="DB2676" s="0" t="str">
        <f aca="false">IF($A2676="","",IF($A2676&lt;&gt;21,"対象外",IF($AE2676&amp;""="00000000","在職",IF($AE2676&amp;""=設定!$C$4,"4/1喪失","その他喪失"))))</f>
        <v/>
      </c>
    </row>
    <row r="2677" customFormat="false" ht="15" hidden="false" customHeight="false" outlineLevel="0" collapsed="false">
      <c r="DB2677" s="0" t="str">
        <f aca="false">IF($A2677="","",IF($A2677&lt;&gt;21,"対象外",IF($AE2677&amp;""="00000000","在職",IF($AE2677&amp;""=設定!$C$4,"4/1喪失","その他喪失"))))</f>
        <v/>
      </c>
    </row>
    <row r="2678" customFormat="false" ht="15" hidden="false" customHeight="false" outlineLevel="0" collapsed="false">
      <c r="DB2678" s="0" t="str">
        <f aca="false">IF($A2678="","",IF($A2678&lt;&gt;21,"対象外",IF($AE2678&amp;""="00000000","在職",IF($AE2678&amp;""=設定!$C$4,"4/1喪失","その他喪失"))))</f>
        <v/>
      </c>
    </row>
    <row r="2679" customFormat="false" ht="15" hidden="false" customHeight="false" outlineLevel="0" collapsed="false">
      <c r="DB2679" s="0" t="str">
        <f aca="false">IF($A2679="","",IF($A2679&lt;&gt;21,"対象外",IF($AE2679&amp;""="00000000","在職",IF($AE2679&amp;""=設定!$C$4,"4/1喪失","その他喪失"))))</f>
        <v/>
      </c>
    </row>
    <row r="2680" customFormat="false" ht="15" hidden="false" customHeight="false" outlineLevel="0" collapsed="false">
      <c r="DB2680" s="0" t="str">
        <f aca="false">IF($A2680="","",IF($A2680&lt;&gt;21,"対象外",IF($AE2680&amp;""="00000000","在職",IF($AE2680&amp;""=設定!$C$4,"4/1喪失","その他喪失"))))</f>
        <v/>
      </c>
    </row>
    <row r="2681" customFormat="false" ht="15" hidden="false" customHeight="false" outlineLevel="0" collapsed="false">
      <c r="DB2681" s="0" t="str">
        <f aca="false">IF($A2681="","",IF($A2681&lt;&gt;21,"対象外",IF($AE2681&amp;""="00000000","在職",IF($AE2681&amp;""=設定!$C$4,"4/1喪失","その他喪失"))))</f>
        <v/>
      </c>
    </row>
    <row r="2682" customFormat="false" ht="15" hidden="false" customHeight="false" outlineLevel="0" collapsed="false">
      <c r="DB2682" s="0" t="str">
        <f aca="false">IF($A2682="","",IF($A2682&lt;&gt;21,"対象外",IF($AE2682&amp;""="00000000","在職",IF($AE2682&amp;""=設定!$C$4,"4/1喪失","その他喪失"))))</f>
        <v/>
      </c>
    </row>
    <row r="2683" customFormat="false" ht="15" hidden="false" customHeight="false" outlineLevel="0" collapsed="false">
      <c r="DB2683" s="0" t="str">
        <f aca="false">IF($A2683="","",IF($A2683&lt;&gt;21,"対象外",IF($AE2683&amp;""="00000000","在職",IF($AE2683&amp;""=設定!$C$4,"4/1喪失","その他喪失"))))</f>
        <v/>
      </c>
    </row>
    <row r="2684" customFormat="false" ht="15" hidden="false" customHeight="false" outlineLevel="0" collapsed="false">
      <c r="DB2684" s="0" t="str">
        <f aca="false">IF($A2684="","",IF($A2684&lt;&gt;21,"対象外",IF($AE2684&amp;""="00000000","在職",IF($AE2684&amp;""=設定!$C$4,"4/1喪失","その他喪失"))))</f>
        <v/>
      </c>
    </row>
    <row r="2685" customFormat="false" ht="15" hidden="false" customHeight="false" outlineLevel="0" collapsed="false">
      <c r="DB2685" s="0" t="str">
        <f aca="false">IF($A2685="","",IF($A2685&lt;&gt;21,"対象外",IF($AE2685&amp;""="00000000","在職",IF($AE2685&amp;""=設定!$C$4,"4/1喪失","その他喪失"))))</f>
        <v/>
      </c>
    </row>
    <row r="2686" customFormat="false" ht="15" hidden="false" customHeight="false" outlineLevel="0" collapsed="false">
      <c r="DB2686" s="0" t="str">
        <f aca="false">IF($A2686="","",IF($A2686&lt;&gt;21,"対象外",IF($AE2686&amp;""="00000000","在職",IF($AE2686&amp;""=設定!$C$4,"4/1喪失","その他喪失"))))</f>
        <v/>
      </c>
    </row>
    <row r="2687" customFormat="false" ht="15" hidden="false" customHeight="false" outlineLevel="0" collapsed="false">
      <c r="DB2687" s="0" t="str">
        <f aca="false">IF($A2687="","",IF($A2687&lt;&gt;21,"対象外",IF($AE2687&amp;""="00000000","在職",IF($AE2687&amp;""=設定!$C$4,"4/1喪失","その他喪失"))))</f>
        <v/>
      </c>
    </row>
    <row r="2688" customFormat="false" ht="15" hidden="false" customHeight="false" outlineLevel="0" collapsed="false">
      <c r="DB2688" s="0" t="str">
        <f aca="false">IF($A2688="","",IF($A2688&lt;&gt;21,"対象外",IF($AE2688&amp;""="00000000","在職",IF($AE2688&amp;""=設定!$C$4,"4/1喪失","その他喪失"))))</f>
        <v/>
      </c>
    </row>
    <row r="2689" customFormat="false" ht="15" hidden="false" customHeight="false" outlineLevel="0" collapsed="false">
      <c r="DB2689" s="0" t="str">
        <f aca="false">IF($A2689="","",IF($A2689&lt;&gt;21,"対象外",IF($AE2689&amp;""="00000000","在職",IF($AE2689&amp;""=設定!$C$4,"4/1喪失","その他喪失"))))</f>
        <v/>
      </c>
    </row>
    <row r="2690" customFormat="false" ht="15" hidden="false" customHeight="false" outlineLevel="0" collapsed="false">
      <c r="DB2690" s="0" t="str">
        <f aca="false">IF($A2690="","",IF($A2690&lt;&gt;21,"対象外",IF($AE2690&amp;""="00000000","在職",IF($AE2690&amp;""=設定!$C$4,"4/1喪失","その他喪失"))))</f>
        <v/>
      </c>
    </row>
    <row r="2691" customFormat="false" ht="15" hidden="false" customHeight="false" outlineLevel="0" collapsed="false">
      <c r="DB2691" s="0" t="str">
        <f aca="false">IF($A2691="","",IF($A2691&lt;&gt;21,"対象外",IF($AE2691&amp;""="00000000","在職",IF($AE2691&amp;""=設定!$C$4,"4/1喪失","その他喪失"))))</f>
        <v/>
      </c>
    </row>
    <row r="2692" customFormat="false" ht="15" hidden="false" customHeight="false" outlineLevel="0" collapsed="false">
      <c r="DB2692" s="0" t="str">
        <f aca="false">IF($A2692="","",IF($A2692&lt;&gt;21,"対象外",IF($AE2692&amp;""="00000000","在職",IF($AE2692&amp;""=設定!$C$4,"4/1喪失","その他喪失"))))</f>
        <v/>
      </c>
    </row>
    <row r="2693" customFormat="false" ht="15" hidden="false" customHeight="false" outlineLevel="0" collapsed="false">
      <c r="DB2693" s="0" t="str">
        <f aca="false">IF($A2693="","",IF($A2693&lt;&gt;21,"対象外",IF($AE2693&amp;""="00000000","在職",IF($AE2693&amp;""=設定!$C$4,"4/1喪失","その他喪失"))))</f>
        <v/>
      </c>
    </row>
    <row r="2694" customFormat="false" ht="15" hidden="false" customHeight="false" outlineLevel="0" collapsed="false">
      <c r="DB2694" s="0" t="str">
        <f aca="false">IF($A2694="","",IF($A2694&lt;&gt;21,"対象外",IF($AE2694&amp;""="00000000","在職",IF($AE2694&amp;""=設定!$C$4,"4/1喪失","その他喪失"))))</f>
        <v/>
      </c>
    </row>
    <row r="2695" customFormat="false" ht="15" hidden="false" customHeight="false" outlineLevel="0" collapsed="false">
      <c r="DB2695" s="0" t="str">
        <f aca="false">IF($A2695="","",IF($A2695&lt;&gt;21,"対象外",IF($AE2695&amp;""="00000000","在職",IF($AE2695&amp;""=設定!$C$4,"4/1喪失","その他喪失"))))</f>
        <v/>
      </c>
    </row>
    <row r="2696" customFormat="false" ht="15" hidden="false" customHeight="false" outlineLevel="0" collapsed="false">
      <c r="DB2696" s="0" t="str">
        <f aca="false">IF($A2696="","",IF($A2696&lt;&gt;21,"対象外",IF($AE2696&amp;""="00000000","在職",IF($AE2696&amp;""=設定!$C$4,"4/1喪失","その他喪失"))))</f>
        <v/>
      </c>
    </row>
    <row r="2697" customFormat="false" ht="15" hidden="false" customHeight="false" outlineLevel="0" collapsed="false">
      <c r="DB2697" s="0" t="str">
        <f aca="false">IF($A2697="","",IF($A2697&lt;&gt;21,"対象外",IF($AE2697&amp;""="00000000","在職",IF($AE2697&amp;""=設定!$C$4,"4/1喪失","その他喪失"))))</f>
        <v/>
      </c>
    </row>
    <row r="2698" customFormat="false" ht="15" hidden="false" customHeight="false" outlineLevel="0" collapsed="false">
      <c r="DB2698" s="0" t="str">
        <f aca="false">IF($A2698="","",IF($A2698&lt;&gt;21,"対象外",IF($AE2698&amp;""="00000000","在職",IF($AE2698&amp;""=設定!$C$4,"4/1喪失","その他喪失"))))</f>
        <v/>
      </c>
    </row>
    <row r="2699" customFormat="false" ht="15" hidden="false" customHeight="false" outlineLevel="0" collapsed="false">
      <c r="DB2699" s="0" t="str">
        <f aca="false">IF($A2699="","",IF($A2699&lt;&gt;21,"対象外",IF($AE2699&amp;""="00000000","在職",IF($AE2699&amp;""=設定!$C$4,"4/1喪失","その他喪失"))))</f>
        <v/>
      </c>
    </row>
    <row r="2700" customFormat="false" ht="15" hidden="false" customHeight="false" outlineLevel="0" collapsed="false">
      <c r="DB2700" s="0" t="str">
        <f aca="false">IF($A2700="","",IF($A2700&lt;&gt;21,"対象外",IF($AE2700&amp;""="00000000","在職",IF($AE2700&amp;""=設定!$C$4,"4/1喪失","その他喪失"))))</f>
        <v/>
      </c>
    </row>
    <row r="2701" customFormat="false" ht="15" hidden="false" customHeight="false" outlineLevel="0" collapsed="false">
      <c r="DB2701" s="0" t="str">
        <f aca="false">IF($A2701="","",IF($A2701&lt;&gt;21,"対象外",IF($AE2701&amp;""="00000000","在職",IF($AE2701&amp;""=設定!$C$4,"4/1喪失","その他喪失"))))</f>
        <v/>
      </c>
    </row>
    <row r="2702" customFormat="false" ht="15" hidden="false" customHeight="false" outlineLevel="0" collapsed="false">
      <c r="DB2702" s="0" t="str">
        <f aca="false">IF($A2702="","",IF($A2702&lt;&gt;21,"対象外",IF($AE2702&amp;""="00000000","在職",IF($AE2702&amp;""=設定!$C$4,"4/1喪失","その他喪失"))))</f>
        <v/>
      </c>
    </row>
    <row r="2703" customFormat="false" ht="15" hidden="false" customHeight="false" outlineLevel="0" collapsed="false">
      <c r="DB2703" s="0" t="str">
        <f aca="false">IF($A2703="","",IF($A2703&lt;&gt;21,"対象外",IF($AE2703&amp;""="00000000","在職",IF($AE2703&amp;""=設定!$C$4,"4/1喪失","その他喪失"))))</f>
        <v/>
      </c>
    </row>
    <row r="2704" customFormat="false" ht="15" hidden="false" customHeight="false" outlineLevel="0" collapsed="false">
      <c r="DB2704" s="0" t="str">
        <f aca="false">IF($A2704="","",IF($A2704&lt;&gt;21,"対象外",IF($AE2704&amp;""="00000000","在職",IF($AE2704&amp;""=設定!$C$4,"4/1喪失","その他喪失"))))</f>
        <v/>
      </c>
    </row>
    <row r="2705" customFormat="false" ht="15" hidden="false" customHeight="false" outlineLevel="0" collapsed="false">
      <c r="DB2705" s="0" t="str">
        <f aca="false">IF($A2705="","",IF($A2705&lt;&gt;21,"対象外",IF($AE2705&amp;""="00000000","在職",IF($AE2705&amp;""=設定!$C$4,"4/1喪失","その他喪失"))))</f>
        <v/>
      </c>
    </row>
    <row r="2706" customFormat="false" ht="15" hidden="false" customHeight="false" outlineLevel="0" collapsed="false">
      <c r="DB2706" s="0" t="str">
        <f aca="false">IF($A2706="","",IF($A2706&lt;&gt;21,"対象外",IF($AE2706&amp;""="00000000","在職",IF($AE2706&amp;""=設定!$C$4,"4/1喪失","その他喪失"))))</f>
        <v/>
      </c>
    </row>
    <row r="2707" customFormat="false" ht="15" hidden="false" customHeight="false" outlineLevel="0" collapsed="false">
      <c r="DB2707" s="0" t="str">
        <f aca="false">IF($A2707="","",IF($A2707&lt;&gt;21,"対象外",IF($AE2707&amp;""="00000000","在職",IF($AE2707&amp;""=設定!$C$4,"4/1喪失","その他喪失"))))</f>
        <v/>
      </c>
    </row>
    <row r="2708" customFormat="false" ht="15" hidden="false" customHeight="false" outlineLevel="0" collapsed="false">
      <c r="DB2708" s="0" t="str">
        <f aca="false">IF($A2708="","",IF($A2708&lt;&gt;21,"対象外",IF($AE2708&amp;""="00000000","在職",IF($AE2708&amp;""=設定!$C$4,"4/1喪失","その他喪失"))))</f>
        <v/>
      </c>
    </row>
    <row r="2709" customFormat="false" ht="15" hidden="false" customHeight="false" outlineLevel="0" collapsed="false">
      <c r="DB2709" s="0" t="str">
        <f aca="false">IF($A2709="","",IF($A2709&lt;&gt;21,"対象外",IF($AE2709&amp;""="00000000","在職",IF($AE2709&amp;""=設定!$C$4,"4/1喪失","その他喪失"))))</f>
        <v/>
      </c>
    </row>
    <row r="2710" customFormat="false" ht="15" hidden="false" customHeight="false" outlineLevel="0" collapsed="false">
      <c r="DB2710" s="0" t="str">
        <f aca="false">IF($A2710="","",IF($A2710&lt;&gt;21,"対象外",IF($AE2710&amp;""="00000000","在職",IF($AE2710&amp;""=設定!$C$4,"4/1喪失","その他喪失"))))</f>
        <v/>
      </c>
    </row>
    <row r="2711" customFormat="false" ht="15" hidden="false" customHeight="false" outlineLevel="0" collapsed="false">
      <c r="DB2711" s="0" t="str">
        <f aca="false">IF($A2711="","",IF($A2711&lt;&gt;21,"対象外",IF($AE2711&amp;""="00000000","在職",IF($AE2711&amp;""=設定!$C$4,"4/1喪失","その他喪失"))))</f>
        <v/>
      </c>
    </row>
    <row r="2712" customFormat="false" ht="15" hidden="false" customHeight="false" outlineLevel="0" collapsed="false">
      <c r="DB2712" s="0" t="str">
        <f aca="false">IF($A2712="","",IF($A2712&lt;&gt;21,"対象外",IF($AE2712&amp;""="00000000","在職",IF($AE2712&amp;""=設定!$C$4,"4/1喪失","その他喪失"))))</f>
        <v/>
      </c>
    </row>
    <row r="2713" customFormat="false" ht="15" hidden="false" customHeight="false" outlineLevel="0" collapsed="false">
      <c r="DB2713" s="0" t="str">
        <f aca="false">IF($A2713="","",IF($A2713&lt;&gt;21,"対象外",IF($AE2713&amp;""="00000000","在職",IF($AE2713&amp;""=設定!$C$4,"4/1喪失","その他喪失"))))</f>
        <v/>
      </c>
    </row>
    <row r="2714" customFormat="false" ht="15" hidden="false" customHeight="false" outlineLevel="0" collapsed="false">
      <c r="DB2714" s="0" t="str">
        <f aca="false">IF($A2714="","",IF($A2714&lt;&gt;21,"対象外",IF($AE2714&amp;""="00000000","在職",IF($AE2714&amp;""=設定!$C$4,"4/1喪失","その他喪失"))))</f>
        <v/>
      </c>
    </row>
    <row r="2715" customFormat="false" ht="15" hidden="false" customHeight="false" outlineLevel="0" collapsed="false">
      <c r="DB2715" s="0" t="str">
        <f aca="false">IF($A2715="","",IF($A2715&lt;&gt;21,"対象外",IF($AE2715&amp;""="00000000","在職",IF($AE2715&amp;""=設定!$C$4,"4/1喪失","その他喪失"))))</f>
        <v/>
      </c>
    </row>
    <row r="2716" customFormat="false" ht="15" hidden="false" customHeight="false" outlineLevel="0" collapsed="false">
      <c r="DB2716" s="0" t="str">
        <f aca="false">IF($A2716="","",IF($A2716&lt;&gt;21,"対象外",IF($AE2716&amp;""="00000000","在職",IF($AE2716&amp;""=設定!$C$4,"4/1喪失","その他喪失"))))</f>
        <v/>
      </c>
    </row>
    <row r="2717" customFormat="false" ht="15" hidden="false" customHeight="false" outlineLevel="0" collapsed="false">
      <c r="DB2717" s="0" t="str">
        <f aca="false">IF($A2717="","",IF($A2717&lt;&gt;21,"対象外",IF($AE2717&amp;""="00000000","在職",IF($AE2717&amp;""=設定!$C$4,"4/1喪失","その他喪失"))))</f>
        <v/>
      </c>
    </row>
    <row r="2718" customFormat="false" ht="15" hidden="false" customHeight="false" outlineLevel="0" collapsed="false">
      <c r="DB2718" s="0" t="str">
        <f aca="false">IF($A2718="","",IF($A2718&lt;&gt;21,"対象外",IF($AE2718&amp;""="00000000","在職",IF($AE2718&amp;""=設定!$C$4,"4/1喪失","その他喪失"))))</f>
        <v/>
      </c>
    </row>
    <row r="2719" customFormat="false" ht="15" hidden="false" customHeight="false" outlineLevel="0" collapsed="false">
      <c r="DB2719" s="0" t="str">
        <f aca="false">IF($A2719="","",IF($A2719&lt;&gt;21,"対象外",IF($AE2719&amp;""="00000000","在職",IF($AE2719&amp;""=設定!$C$4,"4/1喪失","その他喪失"))))</f>
        <v/>
      </c>
    </row>
    <row r="2720" customFormat="false" ht="15" hidden="false" customHeight="false" outlineLevel="0" collapsed="false">
      <c r="DB2720" s="0" t="str">
        <f aca="false">IF($A2720="","",IF($A2720&lt;&gt;21,"対象外",IF($AE2720&amp;""="00000000","在職",IF($AE2720&amp;""=設定!$C$4,"4/1喪失","その他喪失"))))</f>
        <v/>
      </c>
    </row>
    <row r="2721" customFormat="false" ht="15" hidden="false" customHeight="false" outlineLevel="0" collapsed="false">
      <c r="DB2721" s="0" t="str">
        <f aca="false">IF($A2721="","",IF($A2721&lt;&gt;21,"対象外",IF($AE2721&amp;""="00000000","在職",IF($AE2721&amp;""=設定!$C$4,"4/1喪失","その他喪失"))))</f>
        <v/>
      </c>
    </row>
    <row r="2722" customFormat="false" ht="15" hidden="false" customHeight="false" outlineLevel="0" collapsed="false">
      <c r="DB2722" s="0" t="str">
        <f aca="false">IF($A2722="","",IF($A2722&lt;&gt;21,"対象外",IF($AE2722&amp;""="00000000","在職",IF($AE2722&amp;""=設定!$C$4,"4/1喪失","その他喪失"))))</f>
        <v/>
      </c>
    </row>
    <row r="2723" customFormat="false" ht="15" hidden="false" customHeight="false" outlineLevel="0" collapsed="false">
      <c r="DB2723" s="0" t="str">
        <f aca="false">IF($A2723="","",IF($A2723&lt;&gt;21,"対象外",IF($AE2723&amp;""="00000000","在職",IF($AE2723&amp;""=設定!$C$4,"4/1喪失","その他喪失"))))</f>
        <v/>
      </c>
    </row>
    <row r="2724" customFormat="false" ht="15" hidden="false" customHeight="false" outlineLevel="0" collapsed="false">
      <c r="DB2724" s="0" t="str">
        <f aca="false">IF($A2724="","",IF($A2724&lt;&gt;21,"対象外",IF($AE2724&amp;""="00000000","在職",IF($AE2724&amp;""=設定!$C$4,"4/1喪失","その他喪失"))))</f>
        <v/>
      </c>
    </row>
    <row r="2725" customFormat="false" ht="15" hidden="false" customHeight="false" outlineLevel="0" collapsed="false">
      <c r="DB2725" s="0" t="str">
        <f aca="false">IF($A2725="","",IF($A2725&lt;&gt;21,"対象外",IF($AE2725&amp;""="00000000","在職",IF($AE2725&amp;""=設定!$C$4,"4/1喪失","その他喪失"))))</f>
        <v/>
      </c>
    </row>
    <row r="2726" customFormat="false" ht="15" hidden="false" customHeight="false" outlineLevel="0" collapsed="false">
      <c r="DB2726" s="0" t="str">
        <f aca="false">IF($A2726="","",IF($A2726&lt;&gt;21,"対象外",IF($AE2726&amp;""="00000000","在職",IF($AE2726&amp;""=設定!$C$4,"4/1喪失","その他喪失"))))</f>
        <v/>
      </c>
    </row>
    <row r="2727" customFormat="false" ht="15" hidden="false" customHeight="false" outlineLevel="0" collapsed="false">
      <c r="DB2727" s="0" t="str">
        <f aca="false">IF($A2727="","",IF($A2727&lt;&gt;21,"対象外",IF($AE2727&amp;""="00000000","在職",IF($AE2727&amp;""=設定!$C$4,"4/1喪失","その他喪失"))))</f>
        <v/>
      </c>
    </row>
    <row r="2728" customFormat="false" ht="15" hidden="false" customHeight="false" outlineLevel="0" collapsed="false">
      <c r="DB2728" s="0" t="str">
        <f aca="false">IF($A2728="","",IF($A2728&lt;&gt;21,"対象外",IF($AE2728&amp;""="00000000","在職",IF($AE2728&amp;""=設定!$C$4,"4/1喪失","その他喪失"))))</f>
        <v/>
      </c>
    </row>
    <row r="2729" customFormat="false" ht="15" hidden="false" customHeight="false" outlineLevel="0" collapsed="false">
      <c r="DB2729" s="0" t="str">
        <f aca="false">IF($A2729="","",IF($A2729&lt;&gt;21,"対象外",IF($AE2729&amp;""="00000000","在職",IF($AE2729&amp;""=設定!$C$4,"4/1喪失","その他喪失"))))</f>
        <v/>
      </c>
    </row>
    <row r="2730" customFormat="false" ht="15" hidden="false" customHeight="false" outlineLevel="0" collapsed="false">
      <c r="DB2730" s="0" t="str">
        <f aca="false">IF($A2730="","",IF($A2730&lt;&gt;21,"対象外",IF($AE2730&amp;""="00000000","在職",IF($AE2730&amp;""=設定!$C$4,"4/1喪失","その他喪失"))))</f>
        <v/>
      </c>
    </row>
    <row r="2731" customFormat="false" ht="15" hidden="false" customHeight="false" outlineLevel="0" collapsed="false">
      <c r="DB2731" s="0" t="str">
        <f aca="false">IF($A2731="","",IF($A2731&lt;&gt;21,"対象外",IF($AE2731&amp;""="00000000","在職",IF($AE2731&amp;""=設定!$C$4,"4/1喪失","その他喪失"))))</f>
        <v/>
      </c>
    </row>
    <row r="2732" customFormat="false" ht="15" hidden="false" customHeight="false" outlineLevel="0" collapsed="false">
      <c r="DB2732" s="0" t="str">
        <f aca="false">IF($A2732="","",IF($A2732&lt;&gt;21,"対象外",IF($AE2732&amp;""="00000000","在職",IF($AE2732&amp;""=設定!$C$4,"4/1喪失","その他喪失"))))</f>
        <v/>
      </c>
    </row>
    <row r="2733" customFormat="false" ht="15" hidden="false" customHeight="false" outlineLevel="0" collapsed="false">
      <c r="DB2733" s="0" t="str">
        <f aca="false">IF($A2733="","",IF($A2733&lt;&gt;21,"対象外",IF($AE2733&amp;""="00000000","在職",IF($AE2733&amp;""=設定!$C$4,"4/1喪失","その他喪失"))))</f>
        <v/>
      </c>
    </row>
    <row r="2734" customFormat="false" ht="15" hidden="false" customHeight="false" outlineLevel="0" collapsed="false">
      <c r="DB2734" s="0" t="str">
        <f aca="false">IF($A2734="","",IF($A2734&lt;&gt;21,"対象外",IF($AE2734&amp;""="00000000","在職",IF($AE2734&amp;""=設定!$C$4,"4/1喪失","その他喪失"))))</f>
        <v/>
      </c>
    </row>
    <row r="2735" customFormat="false" ht="15" hidden="false" customHeight="false" outlineLevel="0" collapsed="false">
      <c r="DB2735" s="0" t="str">
        <f aca="false">IF($A2735="","",IF($A2735&lt;&gt;21,"対象外",IF($AE2735&amp;""="00000000","在職",IF($AE2735&amp;""=設定!$C$4,"4/1喪失","その他喪失"))))</f>
        <v/>
      </c>
    </row>
    <row r="2736" customFormat="false" ht="15" hidden="false" customHeight="false" outlineLevel="0" collapsed="false">
      <c r="DB2736" s="0" t="str">
        <f aca="false">IF($A2736="","",IF($A2736&lt;&gt;21,"対象外",IF($AE2736&amp;""="00000000","在職",IF($AE2736&amp;""=設定!$C$4,"4/1喪失","その他喪失"))))</f>
        <v/>
      </c>
    </row>
    <row r="2737" customFormat="false" ht="15" hidden="false" customHeight="false" outlineLevel="0" collapsed="false">
      <c r="DB2737" s="0" t="str">
        <f aca="false">IF($A2737="","",IF($A2737&lt;&gt;21,"対象外",IF($AE2737&amp;""="00000000","在職",IF($AE2737&amp;""=設定!$C$4,"4/1喪失","その他喪失"))))</f>
        <v/>
      </c>
    </row>
    <row r="2738" customFormat="false" ht="15" hidden="false" customHeight="false" outlineLevel="0" collapsed="false">
      <c r="DB2738" s="0" t="str">
        <f aca="false">IF($A2738="","",IF($A2738&lt;&gt;21,"対象外",IF($AE2738&amp;""="00000000","在職",IF($AE2738&amp;""=設定!$C$4,"4/1喪失","その他喪失"))))</f>
        <v/>
      </c>
    </row>
    <row r="2739" customFormat="false" ht="15" hidden="false" customHeight="false" outlineLevel="0" collapsed="false">
      <c r="DB2739" s="0" t="str">
        <f aca="false">IF($A2739="","",IF($A2739&lt;&gt;21,"対象外",IF($AE2739&amp;""="00000000","在職",IF($AE2739&amp;""=設定!$C$4,"4/1喪失","その他喪失"))))</f>
        <v/>
      </c>
    </row>
    <row r="2740" customFormat="false" ht="15" hidden="false" customHeight="false" outlineLevel="0" collapsed="false">
      <c r="DB2740" s="0" t="str">
        <f aca="false">IF($A2740="","",IF($A2740&lt;&gt;21,"対象外",IF($AE2740&amp;""="00000000","在職",IF($AE2740&amp;""=設定!$C$4,"4/1喪失","その他喪失"))))</f>
        <v/>
      </c>
    </row>
    <row r="2741" customFormat="false" ht="15" hidden="false" customHeight="false" outlineLevel="0" collapsed="false">
      <c r="DB2741" s="0" t="str">
        <f aca="false">IF($A2741="","",IF($A2741&lt;&gt;21,"対象外",IF($AE2741&amp;""="00000000","在職",IF($AE2741&amp;""=設定!$C$4,"4/1喪失","その他喪失"))))</f>
        <v/>
      </c>
    </row>
    <row r="2742" customFormat="false" ht="15" hidden="false" customHeight="false" outlineLevel="0" collapsed="false">
      <c r="DB2742" s="0" t="str">
        <f aca="false">IF($A2742="","",IF($A2742&lt;&gt;21,"対象外",IF($AE2742&amp;""="00000000","在職",IF($AE2742&amp;""=設定!$C$4,"4/1喪失","その他喪失"))))</f>
        <v/>
      </c>
    </row>
    <row r="2743" customFormat="false" ht="15" hidden="false" customHeight="false" outlineLevel="0" collapsed="false">
      <c r="DB2743" s="0" t="str">
        <f aca="false">IF($A2743="","",IF($A2743&lt;&gt;21,"対象外",IF($AE2743&amp;""="00000000","在職",IF($AE2743&amp;""=設定!$C$4,"4/1喪失","その他喪失"))))</f>
        <v/>
      </c>
    </row>
    <row r="2744" customFormat="false" ht="15" hidden="false" customHeight="false" outlineLevel="0" collapsed="false">
      <c r="DB2744" s="0" t="str">
        <f aca="false">IF($A2744="","",IF($A2744&lt;&gt;21,"対象外",IF($AE2744&amp;""="00000000","在職",IF($AE2744&amp;""=設定!$C$4,"4/1喪失","その他喪失"))))</f>
        <v/>
      </c>
    </row>
    <row r="2745" customFormat="false" ht="15" hidden="false" customHeight="false" outlineLevel="0" collapsed="false">
      <c r="DB2745" s="0" t="str">
        <f aca="false">IF($A2745="","",IF($A2745&lt;&gt;21,"対象外",IF($AE2745&amp;""="00000000","在職",IF($AE2745&amp;""=設定!$C$4,"4/1喪失","その他喪失"))))</f>
        <v/>
      </c>
    </row>
    <row r="2746" customFormat="false" ht="15" hidden="false" customHeight="false" outlineLevel="0" collapsed="false">
      <c r="DB2746" s="0" t="str">
        <f aca="false">IF($A2746="","",IF($A2746&lt;&gt;21,"対象外",IF($AE2746&amp;""="00000000","在職",IF($AE2746&amp;""=設定!$C$4,"4/1喪失","その他喪失"))))</f>
        <v/>
      </c>
    </row>
    <row r="2747" customFormat="false" ht="15" hidden="false" customHeight="false" outlineLevel="0" collapsed="false">
      <c r="DB2747" s="0" t="str">
        <f aca="false">IF($A2747="","",IF($A2747&lt;&gt;21,"対象外",IF($AE2747&amp;""="00000000","在職",IF($AE2747&amp;""=設定!$C$4,"4/1喪失","その他喪失"))))</f>
        <v/>
      </c>
    </row>
    <row r="2748" customFormat="false" ht="15" hidden="false" customHeight="false" outlineLevel="0" collapsed="false">
      <c r="DB2748" s="0" t="str">
        <f aca="false">IF($A2748="","",IF($A2748&lt;&gt;21,"対象外",IF($AE2748&amp;""="00000000","在職",IF($AE2748&amp;""=設定!$C$4,"4/1喪失","その他喪失"))))</f>
        <v/>
      </c>
    </row>
    <row r="2749" customFormat="false" ht="15" hidden="false" customHeight="false" outlineLevel="0" collapsed="false">
      <c r="DB2749" s="0" t="str">
        <f aca="false">IF($A2749="","",IF($A2749&lt;&gt;21,"対象外",IF($AE2749&amp;""="00000000","在職",IF($AE2749&amp;""=設定!$C$4,"4/1喪失","その他喪失"))))</f>
        <v/>
      </c>
    </row>
    <row r="2750" customFormat="false" ht="15" hidden="false" customHeight="false" outlineLevel="0" collapsed="false">
      <c r="DB2750" s="0" t="str">
        <f aca="false">IF($A2750="","",IF($A2750&lt;&gt;21,"対象外",IF($AE2750&amp;""="00000000","在職",IF($AE2750&amp;""=設定!$C$4,"4/1喪失","その他喪失"))))</f>
        <v/>
      </c>
    </row>
    <row r="2751" customFormat="false" ht="15" hidden="false" customHeight="false" outlineLevel="0" collapsed="false">
      <c r="DB2751" s="0" t="str">
        <f aca="false">IF($A2751="","",IF($A2751&lt;&gt;21,"対象外",IF($AE2751&amp;""="00000000","在職",IF($AE2751&amp;""=設定!$C$4,"4/1喪失","その他喪失"))))</f>
        <v/>
      </c>
    </row>
    <row r="2752" customFormat="false" ht="15" hidden="false" customHeight="false" outlineLevel="0" collapsed="false">
      <c r="DB2752" s="0" t="str">
        <f aca="false">IF($A2752="","",IF($A2752&lt;&gt;21,"対象外",IF($AE2752&amp;""="00000000","在職",IF($AE2752&amp;""=設定!$C$4,"4/1喪失","その他喪失"))))</f>
        <v/>
      </c>
    </row>
    <row r="2753" customFormat="false" ht="15" hidden="false" customHeight="false" outlineLevel="0" collapsed="false">
      <c r="DB2753" s="0" t="str">
        <f aca="false">IF($A2753="","",IF($A2753&lt;&gt;21,"対象外",IF($AE2753&amp;""="00000000","在職",IF($AE2753&amp;""=設定!$C$4,"4/1喪失","その他喪失"))))</f>
        <v/>
      </c>
    </row>
    <row r="2754" customFormat="false" ht="15" hidden="false" customHeight="false" outlineLevel="0" collapsed="false">
      <c r="DB2754" s="0" t="str">
        <f aca="false">IF($A2754="","",IF($A2754&lt;&gt;21,"対象外",IF($AE2754&amp;""="00000000","在職",IF($AE2754&amp;""=設定!$C$4,"4/1喪失","その他喪失"))))</f>
        <v/>
      </c>
    </row>
    <row r="2755" customFormat="false" ht="15" hidden="false" customHeight="false" outlineLevel="0" collapsed="false">
      <c r="DB2755" s="0" t="str">
        <f aca="false">IF($A2755="","",IF($A2755&lt;&gt;21,"対象外",IF($AE2755&amp;""="00000000","在職",IF($AE2755&amp;""=設定!$C$4,"4/1喪失","その他喪失"))))</f>
        <v/>
      </c>
    </row>
    <row r="2756" customFormat="false" ht="15" hidden="false" customHeight="false" outlineLevel="0" collapsed="false">
      <c r="DB2756" s="0" t="str">
        <f aca="false">IF($A2756="","",IF($A2756&lt;&gt;21,"対象外",IF($AE2756&amp;""="00000000","在職",IF($AE2756&amp;""=設定!$C$4,"4/1喪失","その他喪失"))))</f>
        <v/>
      </c>
    </row>
    <row r="2757" customFormat="false" ht="15" hidden="false" customHeight="false" outlineLevel="0" collapsed="false">
      <c r="DB2757" s="0" t="str">
        <f aca="false">IF($A2757="","",IF($A2757&lt;&gt;21,"対象外",IF($AE2757&amp;""="00000000","在職",IF($AE2757&amp;""=設定!$C$4,"4/1喪失","その他喪失"))))</f>
        <v/>
      </c>
    </row>
    <row r="2758" customFormat="false" ht="15" hidden="false" customHeight="false" outlineLevel="0" collapsed="false">
      <c r="DB2758" s="0" t="str">
        <f aca="false">IF($A2758="","",IF($A2758&lt;&gt;21,"対象外",IF($AE2758&amp;""="00000000","在職",IF($AE2758&amp;""=設定!$C$4,"4/1喪失","その他喪失"))))</f>
        <v/>
      </c>
    </row>
    <row r="2759" customFormat="false" ht="15" hidden="false" customHeight="false" outlineLevel="0" collapsed="false">
      <c r="DB2759" s="0" t="str">
        <f aca="false">IF($A2759="","",IF($A2759&lt;&gt;21,"対象外",IF($AE2759&amp;""="00000000","在職",IF($AE2759&amp;""=設定!$C$4,"4/1喪失","その他喪失"))))</f>
        <v/>
      </c>
    </row>
    <row r="2760" customFormat="false" ht="15" hidden="false" customHeight="false" outlineLevel="0" collapsed="false">
      <c r="DB2760" s="0" t="str">
        <f aca="false">IF($A2760="","",IF($A2760&lt;&gt;21,"対象外",IF($AE2760&amp;""="00000000","在職",IF($AE2760&amp;""=設定!$C$4,"4/1喪失","その他喪失"))))</f>
        <v/>
      </c>
    </row>
    <row r="2761" customFormat="false" ht="15" hidden="false" customHeight="false" outlineLevel="0" collapsed="false">
      <c r="DB2761" s="0" t="str">
        <f aca="false">IF($A2761="","",IF($A2761&lt;&gt;21,"対象外",IF($AE2761&amp;""="00000000","在職",IF($AE2761&amp;""=設定!$C$4,"4/1喪失","その他喪失"))))</f>
        <v/>
      </c>
    </row>
    <row r="2762" customFormat="false" ht="15" hidden="false" customHeight="false" outlineLevel="0" collapsed="false">
      <c r="DB2762" s="0" t="str">
        <f aca="false">IF($A2762="","",IF($A2762&lt;&gt;21,"対象外",IF($AE2762&amp;""="00000000","在職",IF($AE2762&amp;""=設定!$C$4,"4/1喪失","その他喪失"))))</f>
        <v/>
      </c>
    </row>
    <row r="2763" customFormat="false" ht="15" hidden="false" customHeight="false" outlineLevel="0" collapsed="false">
      <c r="DB2763" s="0" t="str">
        <f aca="false">IF($A2763="","",IF($A2763&lt;&gt;21,"対象外",IF($AE2763&amp;""="00000000","在職",IF($AE2763&amp;""=設定!$C$4,"4/1喪失","その他喪失"))))</f>
        <v/>
      </c>
    </row>
    <row r="2764" customFormat="false" ht="15" hidden="false" customHeight="false" outlineLevel="0" collapsed="false">
      <c r="DB2764" s="0" t="str">
        <f aca="false">IF($A2764="","",IF($A2764&lt;&gt;21,"対象外",IF($AE2764&amp;""="00000000","在職",IF($AE2764&amp;""=設定!$C$4,"4/1喪失","その他喪失"))))</f>
        <v/>
      </c>
    </row>
    <row r="2765" customFormat="false" ht="15" hidden="false" customHeight="false" outlineLevel="0" collapsed="false">
      <c r="DB2765" s="0" t="str">
        <f aca="false">IF($A2765="","",IF($A2765&lt;&gt;21,"対象外",IF($AE2765&amp;""="00000000","在職",IF($AE2765&amp;""=設定!$C$4,"4/1喪失","その他喪失"))))</f>
        <v/>
      </c>
    </row>
    <row r="2766" customFormat="false" ht="15" hidden="false" customHeight="false" outlineLevel="0" collapsed="false">
      <c r="DB2766" s="0" t="str">
        <f aca="false">IF($A2766="","",IF($A2766&lt;&gt;21,"対象外",IF($AE2766&amp;""="00000000","在職",IF($AE2766&amp;""=設定!$C$4,"4/1喪失","その他喪失"))))</f>
        <v/>
      </c>
    </row>
    <row r="2767" customFormat="false" ht="15" hidden="false" customHeight="false" outlineLevel="0" collapsed="false">
      <c r="DB2767" s="0" t="str">
        <f aca="false">IF($A2767="","",IF($A2767&lt;&gt;21,"対象外",IF($AE2767&amp;""="00000000","在職",IF($AE2767&amp;""=設定!$C$4,"4/1喪失","その他喪失"))))</f>
        <v/>
      </c>
    </row>
    <row r="2768" customFormat="false" ht="15" hidden="false" customHeight="false" outlineLevel="0" collapsed="false">
      <c r="DB2768" s="0" t="str">
        <f aca="false">IF($A2768="","",IF($A2768&lt;&gt;21,"対象外",IF($AE2768&amp;""="00000000","在職",IF($AE2768&amp;""=設定!$C$4,"4/1喪失","その他喪失"))))</f>
        <v/>
      </c>
    </row>
    <row r="2769" customFormat="false" ht="15" hidden="false" customHeight="false" outlineLevel="0" collapsed="false">
      <c r="DB2769" s="0" t="str">
        <f aca="false">IF($A2769="","",IF($A2769&lt;&gt;21,"対象外",IF($AE2769&amp;""="00000000","在職",IF($AE2769&amp;""=設定!$C$4,"4/1喪失","その他喪失"))))</f>
        <v/>
      </c>
    </row>
    <row r="2770" customFormat="false" ht="15" hidden="false" customHeight="false" outlineLevel="0" collapsed="false">
      <c r="DB2770" s="0" t="str">
        <f aca="false">IF($A2770="","",IF($A2770&lt;&gt;21,"対象外",IF($AE2770&amp;""="00000000","在職",IF($AE2770&amp;""=設定!$C$4,"4/1喪失","その他喪失"))))</f>
        <v/>
      </c>
    </row>
    <row r="2771" customFormat="false" ht="15" hidden="false" customHeight="false" outlineLevel="0" collapsed="false">
      <c r="DB2771" s="0" t="str">
        <f aca="false">IF($A2771="","",IF($A2771&lt;&gt;21,"対象外",IF($AE2771&amp;""="00000000","在職",IF($AE2771&amp;""=設定!$C$4,"4/1喪失","その他喪失"))))</f>
        <v/>
      </c>
    </row>
    <row r="2772" customFormat="false" ht="15" hidden="false" customHeight="false" outlineLevel="0" collapsed="false">
      <c r="DB2772" s="0" t="str">
        <f aca="false">IF($A2772="","",IF($A2772&lt;&gt;21,"対象外",IF($AE2772&amp;""="00000000","在職",IF($AE2772&amp;""=設定!$C$4,"4/1喪失","その他喪失"))))</f>
        <v/>
      </c>
    </row>
    <row r="2773" customFormat="false" ht="15" hidden="false" customHeight="false" outlineLevel="0" collapsed="false">
      <c r="DB2773" s="0" t="str">
        <f aca="false">IF($A2773="","",IF($A2773&lt;&gt;21,"対象外",IF($AE2773&amp;""="00000000","在職",IF($AE2773&amp;""=設定!$C$4,"4/1喪失","その他喪失"))))</f>
        <v/>
      </c>
    </row>
    <row r="2774" customFormat="false" ht="15" hidden="false" customHeight="false" outlineLevel="0" collapsed="false">
      <c r="DB2774" s="0" t="str">
        <f aca="false">IF($A2774="","",IF($A2774&lt;&gt;21,"対象外",IF($AE2774&amp;""="00000000","在職",IF($AE2774&amp;""=設定!$C$4,"4/1喪失","その他喪失"))))</f>
        <v/>
      </c>
    </row>
    <row r="2775" customFormat="false" ht="15" hidden="false" customHeight="false" outlineLevel="0" collapsed="false">
      <c r="DB2775" s="0" t="str">
        <f aca="false">IF($A2775="","",IF($A2775&lt;&gt;21,"対象外",IF($AE2775&amp;""="00000000","在職",IF($AE2775&amp;""=設定!$C$4,"4/1喪失","その他喪失"))))</f>
        <v/>
      </c>
    </row>
    <row r="2776" customFormat="false" ht="15" hidden="false" customHeight="false" outlineLevel="0" collapsed="false">
      <c r="DB2776" s="0" t="str">
        <f aca="false">IF($A2776="","",IF($A2776&lt;&gt;21,"対象外",IF($AE2776&amp;""="00000000","在職",IF($AE2776&amp;""=設定!$C$4,"4/1喪失","その他喪失"))))</f>
        <v/>
      </c>
    </row>
    <row r="2777" customFormat="false" ht="15" hidden="false" customHeight="false" outlineLevel="0" collapsed="false">
      <c r="DB2777" s="0" t="str">
        <f aca="false">IF($A2777="","",IF($A2777&lt;&gt;21,"対象外",IF($AE2777&amp;""="00000000","在職",IF($AE2777&amp;""=設定!$C$4,"4/1喪失","その他喪失"))))</f>
        <v/>
      </c>
    </row>
    <row r="2778" customFormat="false" ht="15" hidden="false" customHeight="false" outlineLevel="0" collapsed="false">
      <c r="DB2778" s="0" t="str">
        <f aca="false">IF($A2778="","",IF($A2778&lt;&gt;21,"対象外",IF($AE2778&amp;""="00000000","在職",IF($AE2778&amp;""=設定!$C$4,"4/1喪失","その他喪失"))))</f>
        <v/>
      </c>
    </row>
    <row r="2779" customFormat="false" ht="15" hidden="false" customHeight="false" outlineLevel="0" collapsed="false">
      <c r="DB2779" s="0" t="str">
        <f aca="false">IF($A2779="","",IF($A2779&lt;&gt;21,"対象外",IF($AE2779&amp;""="00000000","在職",IF($AE2779&amp;""=設定!$C$4,"4/1喪失","その他喪失"))))</f>
        <v/>
      </c>
    </row>
    <row r="2780" customFormat="false" ht="15" hidden="false" customHeight="false" outlineLevel="0" collapsed="false">
      <c r="DB2780" s="0" t="str">
        <f aca="false">IF($A2780="","",IF($A2780&lt;&gt;21,"対象外",IF($AE2780&amp;""="00000000","在職",IF($AE2780&amp;""=設定!$C$4,"4/1喪失","その他喪失"))))</f>
        <v/>
      </c>
    </row>
    <row r="2781" customFormat="false" ht="15" hidden="false" customHeight="false" outlineLevel="0" collapsed="false">
      <c r="DB2781" s="0" t="str">
        <f aca="false">IF($A2781="","",IF($A2781&lt;&gt;21,"対象外",IF($AE2781&amp;""="00000000","在職",IF($AE2781&amp;""=設定!$C$4,"4/1喪失","その他喪失"))))</f>
        <v/>
      </c>
    </row>
    <row r="2782" customFormat="false" ht="15" hidden="false" customHeight="false" outlineLevel="0" collapsed="false">
      <c r="DB2782" s="0" t="str">
        <f aca="false">IF($A2782="","",IF($A2782&lt;&gt;21,"対象外",IF($AE2782&amp;""="00000000","在職",IF($AE2782&amp;""=設定!$C$4,"4/1喪失","その他喪失"))))</f>
        <v/>
      </c>
    </row>
    <row r="2783" customFormat="false" ht="15" hidden="false" customHeight="false" outlineLevel="0" collapsed="false">
      <c r="DB2783" s="0" t="str">
        <f aca="false">IF($A2783="","",IF($A2783&lt;&gt;21,"対象外",IF($AE2783&amp;""="00000000","在職",IF($AE2783&amp;""=設定!$C$4,"4/1喪失","その他喪失"))))</f>
        <v/>
      </c>
    </row>
    <row r="2784" customFormat="false" ht="15" hidden="false" customHeight="false" outlineLevel="0" collapsed="false">
      <c r="DB2784" s="0" t="str">
        <f aca="false">IF($A2784="","",IF($A2784&lt;&gt;21,"対象外",IF($AE2784&amp;""="00000000","在職",IF($AE2784&amp;""=設定!$C$4,"4/1喪失","その他喪失"))))</f>
        <v/>
      </c>
    </row>
    <row r="2785" customFormat="false" ht="15" hidden="false" customHeight="false" outlineLevel="0" collapsed="false">
      <c r="DB2785" s="0" t="str">
        <f aca="false">IF($A2785="","",IF($A2785&lt;&gt;21,"対象外",IF($AE2785&amp;""="00000000","在職",IF($AE2785&amp;""=設定!$C$4,"4/1喪失","その他喪失"))))</f>
        <v/>
      </c>
    </row>
    <row r="2786" customFormat="false" ht="15" hidden="false" customHeight="false" outlineLevel="0" collapsed="false">
      <c r="DB2786" s="0" t="str">
        <f aca="false">IF($A2786="","",IF($A2786&lt;&gt;21,"対象外",IF($AE2786&amp;""="00000000","在職",IF($AE2786&amp;""=設定!$C$4,"4/1喪失","その他喪失"))))</f>
        <v/>
      </c>
    </row>
    <row r="2787" customFormat="false" ht="15" hidden="false" customHeight="false" outlineLevel="0" collapsed="false">
      <c r="DB2787" s="0" t="str">
        <f aca="false">IF($A2787="","",IF($A2787&lt;&gt;21,"対象外",IF($AE2787&amp;""="00000000","在職",IF($AE2787&amp;""=設定!$C$4,"4/1喪失","その他喪失"))))</f>
        <v/>
      </c>
    </row>
    <row r="2788" customFormat="false" ht="15" hidden="false" customHeight="false" outlineLevel="0" collapsed="false">
      <c r="DB2788" s="0" t="str">
        <f aca="false">IF($A2788="","",IF($A2788&lt;&gt;21,"対象外",IF($AE2788&amp;""="00000000","在職",IF($AE2788&amp;""=設定!$C$4,"4/1喪失","その他喪失"))))</f>
        <v/>
      </c>
    </row>
    <row r="2789" customFormat="false" ht="15" hidden="false" customHeight="false" outlineLevel="0" collapsed="false">
      <c r="DB2789" s="0" t="str">
        <f aca="false">IF($A2789="","",IF($A2789&lt;&gt;21,"対象外",IF($AE2789&amp;""="00000000","在職",IF($AE2789&amp;""=設定!$C$4,"4/1喪失","その他喪失"))))</f>
        <v/>
      </c>
    </row>
    <row r="2790" customFormat="false" ht="15" hidden="false" customHeight="false" outlineLevel="0" collapsed="false">
      <c r="DB2790" s="0" t="str">
        <f aca="false">IF($A2790="","",IF($A2790&lt;&gt;21,"対象外",IF($AE2790&amp;""="00000000","在職",IF($AE2790&amp;""=設定!$C$4,"4/1喪失","その他喪失"))))</f>
        <v/>
      </c>
    </row>
    <row r="2791" customFormat="false" ht="15" hidden="false" customHeight="false" outlineLevel="0" collapsed="false">
      <c r="DB2791" s="0" t="str">
        <f aca="false">IF($A2791="","",IF($A2791&lt;&gt;21,"対象外",IF($AE2791&amp;""="00000000","在職",IF($AE2791&amp;""=設定!$C$4,"4/1喪失","その他喪失"))))</f>
        <v/>
      </c>
    </row>
    <row r="2792" customFormat="false" ht="15" hidden="false" customHeight="false" outlineLevel="0" collapsed="false">
      <c r="DB2792" s="0" t="str">
        <f aca="false">IF($A2792="","",IF($A2792&lt;&gt;21,"対象外",IF($AE2792&amp;""="00000000","在職",IF($AE2792&amp;""=設定!$C$4,"4/1喪失","その他喪失"))))</f>
        <v/>
      </c>
    </row>
    <row r="2793" customFormat="false" ht="15" hidden="false" customHeight="false" outlineLevel="0" collapsed="false">
      <c r="DB2793" s="0" t="str">
        <f aca="false">IF($A2793="","",IF($A2793&lt;&gt;21,"対象外",IF($AE2793&amp;""="00000000","在職",IF($AE2793&amp;""=設定!$C$4,"4/1喪失","その他喪失"))))</f>
        <v/>
      </c>
    </row>
    <row r="2794" customFormat="false" ht="15" hidden="false" customHeight="false" outlineLevel="0" collapsed="false">
      <c r="DB2794" s="0" t="str">
        <f aca="false">IF($A2794="","",IF($A2794&lt;&gt;21,"対象外",IF($AE2794&amp;""="00000000","在職",IF($AE2794&amp;""=設定!$C$4,"4/1喪失","その他喪失"))))</f>
        <v/>
      </c>
    </row>
    <row r="2795" customFormat="false" ht="15" hidden="false" customHeight="false" outlineLevel="0" collapsed="false">
      <c r="DB2795" s="0" t="str">
        <f aca="false">IF($A2795="","",IF($A2795&lt;&gt;21,"対象外",IF($AE2795&amp;""="00000000","在職",IF($AE2795&amp;""=設定!$C$4,"4/1喪失","その他喪失"))))</f>
        <v/>
      </c>
    </row>
    <row r="2796" customFormat="false" ht="15" hidden="false" customHeight="false" outlineLevel="0" collapsed="false">
      <c r="DB2796" s="0" t="str">
        <f aca="false">IF($A2796="","",IF($A2796&lt;&gt;21,"対象外",IF($AE2796&amp;""="00000000","在職",IF($AE2796&amp;""=設定!$C$4,"4/1喪失","その他喪失"))))</f>
        <v/>
      </c>
    </row>
    <row r="2797" customFormat="false" ht="15" hidden="false" customHeight="false" outlineLevel="0" collapsed="false">
      <c r="DB2797" s="0" t="str">
        <f aca="false">IF($A2797="","",IF($A2797&lt;&gt;21,"対象外",IF($AE2797&amp;""="00000000","在職",IF($AE2797&amp;""=設定!$C$4,"4/1喪失","その他喪失"))))</f>
        <v/>
      </c>
    </row>
    <row r="2798" customFormat="false" ht="15" hidden="false" customHeight="false" outlineLevel="0" collapsed="false">
      <c r="DB2798" s="0" t="str">
        <f aca="false">IF($A2798="","",IF($A2798&lt;&gt;21,"対象外",IF($AE2798&amp;""="00000000","在職",IF($AE2798&amp;""=設定!$C$4,"4/1喪失","その他喪失"))))</f>
        <v/>
      </c>
    </row>
    <row r="2799" customFormat="false" ht="15" hidden="false" customHeight="false" outlineLevel="0" collapsed="false">
      <c r="DB2799" s="0" t="str">
        <f aca="false">IF($A2799="","",IF($A2799&lt;&gt;21,"対象外",IF($AE2799&amp;""="00000000","在職",IF($AE2799&amp;""=設定!$C$4,"4/1喪失","その他喪失"))))</f>
        <v/>
      </c>
    </row>
    <row r="2800" customFormat="false" ht="15" hidden="false" customHeight="false" outlineLevel="0" collapsed="false">
      <c r="DB2800" s="0" t="str">
        <f aca="false">IF($A2800="","",IF($A2800&lt;&gt;21,"対象外",IF($AE2800&amp;""="00000000","在職",IF($AE2800&amp;""=設定!$C$4,"4/1喪失","その他喪失"))))</f>
        <v/>
      </c>
    </row>
    <row r="2801" customFormat="false" ht="15" hidden="false" customHeight="false" outlineLevel="0" collapsed="false">
      <c r="DB2801" s="0" t="str">
        <f aca="false">IF($A2801="","",IF($A2801&lt;&gt;21,"対象外",IF($AE2801&amp;""="00000000","在職",IF($AE2801&amp;""=設定!$C$4,"4/1喪失","その他喪失"))))</f>
        <v/>
      </c>
    </row>
    <row r="2802" customFormat="false" ht="15" hidden="false" customHeight="false" outlineLevel="0" collapsed="false">
      <c r="DB2802" s="0" t="str">
        <f aca="false">IF($A2802="","",IF($A2802&lt;&gt;21,"対象外",IF($AE2802&amp;""="00000000","在職",IF($AE2802&amp;""=設定!$C$4,"4/1喪失","その他喪失"))))</f>
        <v/>
      </c>
    </row>
    <row r="2803" customFormat="false" ht="15" hidden="false" customHeight="false" outlineLevel="0" collapsed="false">
      <c r="DB2803" s="0" t="str">
        <f aca="false">IF($A2803="","",IF($A2803&lt;&gt;21,"対象外",IF($AE2803&amp;""="00000000","在職",IF($AE2803&amp;""=設定!$C$4,"4/1喪失","その他喪失"))))</f>
        <v/>
      </c>
    </row>
    <row r="2804" customFormat="false" ht="15" hidden="false" customHeight="false" outlineLevel="0" collapsed="false">
      <c r="DB2804" s="0" t="str">
        <f aca="false">IF($A2804="","",IF($A2804&lt;&gt;21,"対象外",IF($AE2804&amp;""="00000000","在職",IF($AE2804&amp;""=設定!$C$4,"4/1喪失","その他喪失"))))</f>
        <v/>
      </c>
    </row>
    <row r="2805" customFormat="false" ht="15" hidden="false" customHeight="false" outlineLevel="0" collapsed="false">
      <c r="DB2805" s="0" t="str">
        <f aca="false">IF($A2805="","",IF($A2805&lt;&gt;21,"対象外",IF($AE2805&amp;""="00000000","在職",IF($AE2805&amp;""=設定!$C$4,"4/1喪失","その他喪失"))))</f>
        <v/>
      </c>
    </row>
    <row r="2806" customFormat="false" ht="15" hidden="false" customHeight="false" outlineLevel="0" collapsed="false">
      <c r="DB2806" s="0" t="str">
        <f aca="false">IF($A2806="","",IF($A2806&lt;&gt;21,"対象外",IF($AE2806&amp;""="00000000","在職",IF($AE2806&amp;""=設定!$C$4,"4/1喪失","その他喪失"))))</f>
        <v/>
      </c>
    </row>
    <row r="2807" customFormat="false" ht="15" hidden="false" customHeight="false" outlineLevel="0" collapsed="false">
      <c r="DB2807" s="0" t="str">
        <f aca="false">IF($A2807="","",IF($A2807&lt;&gt;21,"対象外",IF($AE2807&amp;""="00000000","在職",IF($AE2807&amp;""=設定!$C$4,"4/1喪失","その他喪失"))))</f>
        <v/>
      </c>
    </row>
    <row r="2808" customFormat="false" ht="15" hidden="false" customHeight="false" outlineLevel="0" collapsed="false">
      <c r="DB2808" s="0" t="str">
        <f aca="false">IF($A2808="","",IF($A2808&lt;&gt;21,"対象外",IF($AE2808&amp;""="00000000","在職",IF($AE2808&amp;""=設定!$C$4,"4/1喪失","その他喪失"))))</f>
        <v/>
      </c>
    </row>
    <row r="2809" customFormat="false" ht="15" hidden="false" customHeight="false" outlineLevel="0" collapsed="false">
      <c r="DB2809" s="0" t="str">
        <f aca="false">IF($A2809="","",IF($A2809&lt;&gt;21,"対象外",IF($AE2809&amp;""="00000000","在職",IF($AE2809&amp;""=設定!$C$4,"4/1喪失","その他喪失"))))</f>
        <v/>
      </c>
    </row>
    <row r="2810" customFormat="false" ht="15" hidden="false" customHeight="false" outlineLevel="0" collapsed="false">
      <c r="DB2810" s="0" t="str">
        <f aca="false">IF($A2810="","",IF($A2810&lt;&gt;21,"対象外",IF($AE2810&amp;""="00000000","在職",IF($AE2810&amp;""=設定!$C$4,"4/1喪失","その他喪失"))))</f>
        <v/>
      </c>
    </row>
    <row r="2811" customFormat="false" ht="15" hidden="false" customHeight="false" outlineLevel="0" collapsed="false">
      <c r="DB2811" s="0" t="str">
        <f aca="false">IF($A2811="","",IF($A2811&lt;&gt;21,"対象外",IF($AE2811&amp;""="00000000","在職",IF($AE2811&amp;""=設定!$C$4,"4/1喪失","その他喪失"))))</f>
        <v/>
      </c>
    </row>
    <row r="2812" customFormat="false" ht="15" hidden="false" customHeight="false" outlineLevel="0" collapsed="false">
      <c r="DB2812" s="0" t="str">
        <f aca="false">IF($A2812="","",IF($A2812&lt;&gt;21,"対象外",IF($AE2812&amp;""="00000000","在職",IF($AE2812&amp;""=設定!$C$4,"4/1喪失","その他喪失"))))</f>
        <v/>
      </c>
    </row>
    <row r="2813" customFormat="false" ht="15" hidden="false" customHeight="false" outlineLevel="0" collapsed="false">
      <c r="DB2813" s="0" t="str">
        <f aca="false">IF($A2813="","",IF($A2813&lt;&gt;21,"対象外",IF($AE2813&amp;""="00000000","在職",IF($AE2813&amp;""=設定!$C$4,"4/1喪失","その他喪失"))))</f>
        <v/>
      </c>
    </row>
    <row r="2814" customFormat="false" ht="15" hidden="false" customHeight="false" outlineLevel="0" collapsed="false">
      <c r="DB2814" s="0" t="str">
        <f aca="false">IF($A2814="","",IF($A2814&lt;&gt;21,"対象外",IF($AE2814&amp;""="00000000","在職",IF($AE2814&amp;""=設定!$C$4,"4/1喪失","その他喪失"))))</f>
        <v/>
      </c>
    </row>
    <row r="2815" customFormat="false" ht="15" hidden="false" customHeight="false" outlineLevel="0" collapsed="false">
      <c r="DB2815" s="0" t="str">
        <f aca="false">IF($A2815="","",IF($A2815&lt;&gt;21,"対象外",IF($AE2815&amp;""="00000000","在職",IF($AE2815&amp;""=設定!$C$4,"4/1喪失","その他喪失"))))</f>
        <v/>
      </c>
    </row>
    <row r="2816" customFormat="false" ht="15" hidden="false" customHeight="false" outlineLevel="0" collapsed="false">
      <c r="DB2816" s="0" t="str">
        <f aca="false">IF($A2816="","",IF($A2816&lt;&gt;21,"対象外",IF($AE2816&amp;""="00000000","在職",IF($AE2816&amp;""=設定!$C$4,"4/1喪失","その他喪失"))))</f>
        <v/>
      </c>
    </row>
    <row r="2817" customFormat="false" ht="15" hidden="false" customHeight="false" outlineLevel="0" collapsed="false">
      <c r="DB2817" s="0" t="str">
        <f aca="false">IF($A2817="","",IF($A2817&lt;&gt;21,"対象外",IF($AE2817&amp;""="00000000","在職",IF($AE2817&amp;""=設定!$C$4,"4/1喪失","その他喪失"))))</f>
        <v/>
      </c>
    </row>
    <row r="2818" customFormat="false" ht="15" hidden="false" customHeight="false" outlineLevel="0" collapsed="false">
      <c r="DB2818" s="0" t="str">
        <f aca="false">IF($A2818="","",IF($A2818&lt;&gt;21,"対象外",IF($AE2818&amp;""="00000000","在職",IF($AE2818&amp;""=設定!$C$4,"4/1喪失","その他喪失"))))</f>
        <v/>
      </c>
    </row>
    <row r="2819" customFormat="false" ht="15" hidden="false" customHeight="false" outlineLevel="0" collapsed="false">
      <c r="DB2819" s="0" t="str">
        <f aca="false">IF($A2819="","",IF($A2819&lt;&gt;21,"対象外",IF($AE2819&amp;""="00000000","在職",IF($AE2819&amp;""=設定!$C$4,"4/1喪失","その他喪失"))))</f>
        <v/>
      </c>
    </row>
    <row r="2820" customFormat="false" ht="15" hidden="false" customHeight="false" outlineLevel="0" collapsed="false">
      <c r="DB2820" s="0" t="str">
        <f aca="false">IF($A2820="","",IF($A2820&lt;&gt;21,"対象外",IF($AE2820&amp;""="00000000","在職",IF($AE2820&amp;""=設定!$C$4,"4/1喪失","その他喪失"))))</f>
        <v/>
      </c>
    </row>
    <row r="2821" customFormat="false" ht="15" hidden="false" customHeight="false" outlineLevel="0" collapsed="false">
      <c r="DB2821" s="0" t="str">
        <f aca="false">IF($A2821="","",IF($A2821&lt;&gt;21,"対象外",IF($AE2821&amp;""="00000000","在職",IF($AE2821&amp;""=設定!$C$4,"4/1喪失","その他喪失"))))</f>
        <v/>
      </c>
    </row>
    <row r="2822" customFormat="false" ht="15" hidden="false" customHeight="false" outlineLevel="0" collapsed="false">
      <c r="DB2822" s="0" t="str">
        <f aca="false">IF($A2822="","",IF($A2822&lt;&gt;21,"対象外",IF($AE2822&amp;""="00000000","在職",IF($AE2822&amp;""=設定!$C$4,"4/1喪失","その他喪失"))))</f>
        <v/>
      </c>
    </row>
    <row r="2823" customFormat="false" ht="15" hidden="false" customHeight="false" outlineLevel="0" collapsed="false">
      <c r="DB2823" s="0" t="str">
        <f aca="false">IF($A2823="","",IF($A2823&lt;&gt;21,"対象外",IF($AE2823&amp;""="00000000","在職",IF($AE2823&amp;""=設定!$C$4,"4/1喪失","その他喪失"))))</f>
        <v/>
      </c>
    </row>
    <row r="2824" customFormat="false" ht="15" hidden="false" customHeight="false" outlineLevel="0" collapsed="false">
      <c r="DB2824" s="0" t="str">
        <f aca="false">IF($A2824="","",IF($A2824&lt;&gt;21,"対象外",IF($AE2824&amp;""="00000000","在職",IF($AE2824&amp;""=設定!$C$4,"4/1喪失","その他喪失"))))</f>
        <v/>
      </c>
    </row>
    <row r="2825" customFormat="false" ht="15" hidden="false" customHeight="false" outlineLevel="0" collapsed="false">
      <c r="DB2825" s="0" t="str">
        <f aca="false">IF($A2825="","",IF($A2825&lt;&gt;21,"対象外",IF($AE2825&amp;""="00000000","在職",IF($AE2825&amp;""=設定!$C$4,"4/1喪失","その他喪失"))))</f>
        <v/>
      </c>
    </row>
    <row r="2826" customFormat="false" ht="15" hidden="false" customHeight="false" outlineLevel="0" collapsed="false">
      <c r="DB2826" s="0" t="str">
        <f aca="false">IF($A2826="","",IF($A2826&lt;&gt;21,"対象外",IF($AE2826&amp;""="00000000","在職",IF($AE2826&amp;""=設定!$C$4,"4/1喪失","その他喪失"))))</f>
        <v/>
      </c>
    </row>
    <row r="2827" customFormat="false" ht="15" hidden="false" customHeight="false" outlineLevel="0" collapsed="false">
      <c r="DB2827" s="0" t="str">
        <f aca="false">IF($A2827="","",IF($A2827&lt;&gt;21,"対象外",IF($AE2827&amp;""="00000000","在職",IF($AE2827&amp;""=設定!$C$4,"4/1喪失","その他喪失"))))</f>
        <v/>
      </c>
    </row>
    <row r="2828" customFormat="false" ht="15" hidden="false" customHeight="false" outlineLevel="0" collapsed="false">
      <c r="DB2828" s="0" t="str">
        <f aca="false">IF($A2828="","",IF($A2828&lt;&gt;21,"対象外",IF($AE2828&amp;""="00000000","在職",IF($AE2828&amp;""=設定!$C$4,"4/1喪失","その他喪失"))))</f>
        <v/>
      </c>
    </row>
    <row r="2829" customFormat="false" ht="15" hidden="false" customHeight="false" outlineLevel="0" collapsed="false">
      <c r="DB2829" s="0" t="str">
        <f aca="false">IF($A2829="","",IF($A2829&lt;&gt;21,"対象外",IF($AE2829&amp;""="00000000","在職",IF($AE2829&amp;""=設定!$C$4,"4/1喪失","その他喪失"))))</f>
        <v/>
      </c>
    </row>
    <row r="2830" customFormat="false" ht="15" hidden="false" customHeight="false" outlineLevel="0" collapsed="false">
      <c r="DB2830" s="0" t="str">
        <f aca="false">IF($A2830="","",IF($A2830&lt;&gt;21,"対象外",IF($AE2830&amp;""="00000000","在職",IF($AE2830&amp;""=設定!$C$4,"4/1喪失","その他喪失"))))</f>
        <v/>
      </c>
    </row>
    <row r="2831" customFormat="false" ht="15" hidden="false" customHeight="false" outlineLevel="0" collapsed="false">
      <c r="DB2831" s="0" t="str">
        <f aca="false">IF($A2831="","",IF($A2831&lt;&gt;21,"対象外",IF($AE2831&amp;""="00000000","在職",IF($AE2831&amp;""=設定!$C$4,"4/1喪失","その他喪失"))))</f>
        <v/>
      </c>
    </row>
    <row r="2832" customFormat="false" ht="15" hidden="false" customHeight="false" outlineLevel="0" collapsed="false">
      <c r="DB2832" s="0" t="str">
        <f aca="false">IF($A2832="","",IF($A2832&lt;&gt;21,"対象外",IF($AE2832&amp;""="00000000","在職",IF($AE2832&amp;""=設定!$C$4,"4/1喪失","その他喪失"))))</f>
        <v/>
      </c>
    </row>
    <row r="2833" customFormat="false" ht="15" hidden="false" customHeight="false" outlineLevel="0" collapsed="false">
      <c r="DB2833" s="0" t="str">
        <f aca="false">IF($A2833="","",IF($A2833&lt;&gt;21,"対象外",IF($AE2833&amp;""="00000000","在職",IF($AE2833&amp;""=設定!$C$4,"4/1喪失","その他喪失"))))</f>
        <v/>
      </c>
    </row>
    <row r="2834" customFormat="false" ht="15" hidden="false" customHeight="false" outlineLevel="0" collapsed="false">
      <c r="DB2834" s="0" t="str">
        <f aca="false">IF($A2834="","",IF($A2834&lt;&gt;21,"対象外",IF($AE2834&amp;""="00000000","在職",IF($AE2834&amp;""=設定!$C$4,"4/1喪失","その他喪失"))))</f>
        <v/>
      </c>
    </row>
    <row r="2835" customFormat="false" ht="15" hidden="false" customHeight="false" outlineLevel="0" collapsed="false">
      <c r="DB2835" s="0" t="str">
        <f aca="false">IF($A2835="","",IF($A2835&lt;&gt;21,"対象外",IF($AE2835&amp;""="00000000","在職",IF($AE2835&amp;""=設定!$C$4,"4/1喪失","その他喪失"))))</f>
        <v/>
      </c>
    </row>
    <row r="2836" customFormat="false" ht="15" hidden="false" customHeight="false" outlineLevel="0" collapsed="false">
      <c r="DB2836" s="0" t="str">
        <f aca="false">IF($A2836="","",IF($A2836&lt;&gt;21,"対象外",IF($AE2836&amp;""="00000000","在職",IF($AE2836&amp;""=設定!$C$4,"4/1喪失","その他喪失"))))</f>
        <v/>
      </c>
    </row>
    <row r="2837" customFormat="false" ht="15" hidden="false" customHeight="false" outlineLevel="0" collapsed="false">
      <c r="DB2837" s="0" t="str">
        <f aca="false">IF($A2837="","",IF($A2837&lt;&gt;21,"対象外",IF($AE2837&amp;""="00000000","在職",IF($AE2837&amp;""=設定!$C$4,"4/1喪失","その他喪失"))))</f>
        <v/>
      </c>
    </row>
    <row r="2838" customFormat="false" ht="15" hidden="false" customHeight="false" outlineLevel="0" collapsed="false">
      <c r="DB2838" s="0" t="str">
        <f aca="false">IF($A2838="","",IF($A2838&lt;&gt;21,"対象外",IF($AE2838&amp;""="00000000","在職",IF($AE2838&amp;""=設定!$C$4,"4/1喪失","その他喪失"))))</f>
        <v/>
      </c>
    </row>
    <row r="2839" customFormat="false" ht="15" hidden="false" customHeight="false" outlineLevel="0" collapsed="false">
      <c r="DB2839" s="0" t="str">
        <f aca="false">IF($A2839="","",IF($A2839&lt;&gt;21,"対象外",IF($AE2839&amp;""="00000000","在職",IF($AE2839&amp;""=設定!$C$4,"4/1喪失","その他喪失"))))</f>
        <v/>
      </c>
    </row>
    <row r="2840" customFormat="false" ht="15" hidden="false" customHeight="false" outlineLevel="0" collapsed="false">
      <c r="DB2840" s="0" t="str">
        <f aca="false">IF($A2840="","",IF($A2840&lt;&gt;21,"対象外",IF($AE2840&amp;""="00000000","在職",IF($AE2840&amp;""=設定!$C$4,"4/1喪失","その他喪失"))))</f>
        <v/>
      </c>
    </row>
    <row r="2841" customFormat="false" ht="15" hidden="false" customHeight="false" outlineLevel="0" collapsed="false">
      <c r="DB2841" s="0" t="str">
        <f aca="false">IF($A2841="","",IF($A2841&lt;&gt;21,"対象外",IF($AE2841&amp;""="00000000","在職",IF($AE2841&amp;""=設定!$C$4,"4/1喪失","その他喪失"))))</f>
        <v/>
      </c>
    </row>
    <row r="2842" customFormat="false" ht="15" hidden="false" customHeight="false" outlineLevel="0" collapsed="false">
      <c r="DB2842" s="0" t="str">
        <f aca="false">IF($A2842="","",IF($A2842&lt;&gt;21,"対象外",IF($AE2842&amp;""="00000000","在職",IF($AE2842&amp;""=設定!$C$4,"4/1喪失","その他喪失"))))</f>
        <v/>
      </c>
    </row>
    <row r="2843" customFormat="false" ht="15" hidden="false" customHeight="false" outlineLevel="0" collapsed="false">
      <c r="DB2843" s="0" t="str">
        <f aca="false">IF($A2843="","",IF($A2843&lt;&gt;21,"対象外",IF($AE2843&amp;""="00000000","在職",IF($AE2843&amp;""=設定!$C$4,"4/1喪失","その他喪失"))))</f>
        <v/>
      </c>
    </row>
    <row r="2844" customFormat="false" ht="15" hidden="false" customHeight="false" outlineLevel="0" collapsed="false">
      <c r="DB2844" s="0" t="str">
        <f aca="false">IF($A2844="","",IF($A2844&lt;&gt;21,"対象外",IF($AE2844&amp;""="00000000","在職",IF($AE2844&amp;""=設定!$C$4,"4/1喪失","その他喪失"))))</f>
        <v/>
      </c>
    </row>
    <row r="2845" customFormat="false" ht="15" hidden="false" customHeight="false" outlineLevel="0" collapsed="false">
      <c r="DB2845" s="0" t="str">
        <f aca="false">IF($A2845="","",IF($A2845&lt;&gt;21,"対象外",IF($AE2845&amp;""="00000000","在職",IF($AE2845&amp;""=設定!$C$4,"4/1喪失","その他喪失"))))</f>
        <v/>
      </c>
    </row>
    <row r="2846" customFormat="false" ht="15" hidden="false" customHeight="false" outlineLevel="0" collapsed="false">
      <c r="DB2846" s="0" t="str">
        <f aca="false">IF($A2846="","",IF($A2846&lt;&gt;21,"対象外",IF($AE2846&amp;""="00000000","在職",IF($AE2846&amp;""=設定!$C$4,"4/1喪失","その他喪失"))))</f>
        <v/>
      </c>
    </row>
    <row r="2847" customFormat="false" ht="15" hidden="false" customHeight="false" outlineLevel="0" collapsed="false">
      <c r="DB2847" s="0" t="str">
        <f aca="false">IF($A2847="","",IF($A2847&lt;&gt;21,"対象外",IF($AE2847&amp;""="00000000","在職",IF($AE2847&amp;""=設定!$C$4,"4/1喪失","その他喪失"))))</f>
        <v/>
      </c>
    </row>
    <row r="2848" customFormat="false" ht="15" hidden="false" customHeight="false" outlineLevel="0" collapsed="false">
      <c r="DB2848" s="0" t="str">
        <f aca="false">IF($A2848="","",IF($A2848&lt;&gt;21,"対象外",IF($AE2848&amp;""="00000000","在職",IF($AE2848&amp;""=設定!$C$4,"4/1喪失","その他喪失"))))</f>
        <v/>
      </c>
    </row>
    <row r="2849" customFormat="false" ht="15" hidden="false" customHeight="false" outlineLevel="0" collapsed="false">
      <c r="DB2849" s="0" t="str">
        <f aca="false">IF($A2849="","",IF($A2849&lt;&gt;21,"対象外",IF($AE2849&amp;""="00000000","在職",IF($AE2849&amp;""=設定!$C$4,"4/1喪失","その他喪失"))))</f>
        <v/>
      </c>
    </row>
    <row r="2850" customFormat="false" ht="15" hidden="false" customHeight="false" outlineLevel="0" collapsed="false">
      <c r="DB2850" s="0" t="str">
        <f aca="false">IF($A2850="","",IF($A2850&lt;&gt;21,"対象外",IF($AE2850&amp;""="00000000","在職",IF($AE2850&amp;""=設定!$C$4,"4/1喪失","その他喪失"))))</f>
        <v/>
      </c>
    </row>
    <row r="2851" customFormat="false" ht="15" hidden="false" customHeight="false" outlineLevel="0" collapsed="false">
      <c r="DB2851" s="0" t="str">
        <f aca="false">IF($A2851="","",IF($A2851&lt;&gt;21,"対象外",IF($AE2851&amp;""="00000000","在職",IF($AE2851&amp;""=設定!$C$4,"4/1喪失","その他喪失"))))</f>
        <v/>
      </c>
    </row>
    <row r="2852" customFormat="false" ht="15" hidden="false" customHeight="false" outlineLevel="0" collapsed="false">
      <c r="DB2852" s="0" t="str">
        <f aca="false">IF($A2852="","",IF($A2852&lt;&gt;21,"対象外",IF($AE2852&amp;""="00000000","在職",IF($AE2852&amp;""=設定!$C$4,"4/1喪失","その他喪失"))))</f>
        <v/>
      </c>
    </row>
    <row r="2853" customFormat="false" ht="15" hidden="false" customHeight="false" outlineLevel="0" collapsed="false">
      <c r="DB2853" s="0" t="str">
        <f aca="false">IF($A2853="","",IF($A2853&lt;&gt;21,"対象外",IF($AE2853&amp;""="00000000","在職",IF($AE2853&amp;""=設定!$C$4,"4/1喪失","その他喪失"))))</f>
        <v/>
      </c>
    </row>
    <row r="2854" customFormat="false" ht="15" hidden="false" customHeight="false" outlineLevel="0" collapsed="false">
      <c r="DB2854" s="0" t="str">
        <f aca="false">IF($A2854="","",IF($A2854&lt;&gt;21,"対象外",IF($AE2854&amp;""="00000000","在職",IF($AE2854&amp;""=設定!$C$4,"4/1喪失","その他喪失"))))</f>
        <v/>
      </c>
    </row>
    <row r="2855" customFormat="false" ht="15" hidden="false" customHeight="false" outlineLevel="0" collapsed="false">
      <c r="DB2855" s="0" t="str">
        <f aca="false">IF($A2855="","",IF($A2855&lt;&gt;21,"対象外",IF($AE2855&amp;""="00000000","在職",IF($AE2855&amp;""=設定!$C$4,"4/1喪失","その他喪失"))))</f>
        <v/>
      </c>
    </row>
    <row r="2856" customFormat="false" ht="15" hidden="false" customHeight="false" outlineLevel="0" collapsed="false">
      <c r="DB2856" s="0" t="str">
        <f aca="false">IF($A2856="","",IF($A2856&lt;&gt;21,"対象外",IF($AE2856&amp;""="00000000","在職",IF($AE2856&amp;""=設定!$C$4,"4/1喪失","その他喪失"))))</f>
        <v/>
      </c>
    </row>
    <row r="2857" customFormat="false" ht="15" hidden="false" customHeight="false" outlineLevel="0" collapsed="false">
      <c r="DB2857" s="0" t="str">
        <f aca="false">IF($A2857="","",IF($A2857&lt;&gt;21,"対象外",IF($AE2857&amp;""="00000000","在職",IF($AE2857&amp;""=設定!$C$4,"4/1喪失","その他喪失"))))</f>
        <v/>
      </c>
    </row>
    <row r="2858" customFormat="false" ht="15" hidden="false" customHeight="false" outlineLevel="0" collapsed="false">
      <c r="DB2858" s="0" t="str">
        <f aca="false">IF($A2858="","",IF($A2858&lt;&gt;21,"対象外",IF($AE2858&amp;""="00000000","在職",IF($AE2858&amp;""=設定!$C$4,"4/1喪失","その他喪失"))))</f>
        <v/>
      </c>
    </row>
    <row r="2859" customFormat="false" ht="15" hidden="false" customHeight="false" outlineLevel="0" collapsed="false">
      <c r="DB2859" s="0" t="str">
        <f aca="false">IF($A2859="","",IF($A2859&lt;&gt;21,"対象外",IF($AE2859&amp;""="00000000","在職",IF($AE2859&amp;""=設定!$C$4,"4/1喪失","その他喪失"))))</f>
        <v/>
      </c>
    </row>
    <row r="2860" customFormat="false" ht="15" hidden="false" customHeight="false" outlineLevel="0" collapsed="false">
      <c r="DB2860" s="0" t="str">
        <f aca="false">IF($A2860="","",IF($A2860&lt;&gt;21,"対象外",IF($AE2860&amp;""="00000000","在職",IF($AE2860&amp;""=設定!$C$4,"4/1喪失","その他喪失"))))</f>
        <v/>
      </c>
    </row>
    <row r="2861" customFormat="false" ht="15" hidden="false" customHeight="false" outlineLevel="0" collapsed="false">
      <c r="DB2861" s="0" t="str">
        <f aca="false">IF($A2861="","",IF($A2861&lt;&gt;21,"対象外",IF($AE2861&amp;""="00000000","在職",IF($AE2861&amp;""=設定!$C$4,"4/1喪失","その他喪失"))))</f>
        <v/>
      </c>
    </row>
    <row r="2862" customFormat="false" ht="15" hidden="false" customHeight="false" outlineLevel="0" collapsed="false">
      <c r="DB2862" s="0" t="str">
        <f aca="false">IF($A2862="","",IF($A2862&lt;&gt;21,"対象外",IF($AE2862&amp;""="00000000","在職",IF($AE2862&amp;""=設定!$C$4,"4/1喪失","その他喪失"))))</f>
        <v/>
      </c>
    </row>
    <row r="2863" customFormat="false" ht="15" hidden="false" customHeight="false" outlineLevel="0" collapsed="false">
      <c r="DB2863" s="0" t="str">
        <f aca="false">IF($A2863="","",IF($A2863&lt;&gt;21,"対象外",IF($AE2863&amp;""="00000000","在職",IF($AE2863&amp;""=設定!$C$4,"4/1喪失","その他喪失"))))</f>
        <v/>
      </c>
    </row>
    <row r="2864" customFormat="false" ht="15" hidden="false" customHeight="false" outlineLevel="0" collapsed="false">
      <c r="DB2864" s="0" t="str">
        <f aca="false">IF($A2864="","",IF($A2864&lt;&gt;21,"対象外",IF($AE2864&amp;""="00000000","在職",IF($AE2864&amp;""=設定!$C$4,"4/1喪失","その他喪失"))))</f>
        <v/>
      </c>
    </row>
    <row r="2865" customFormat="false" ht="15" hidden="false" customHeight="false" outlineLevel="0" collapsed="false">
      <c r="DB2865" s="0" t="str">
        <f aca="false">IF($A2865="","",IF($A2865&lt;&gt;21,"対象外",IF($AE2865&amp;""="00000000","在職",IF($AE2865&amp;""=設定!$C$4,"4/1喪失","その他喪失"))))</f>
        <v/>
      </c>
    </row>
    <row r="2866" customFormat="false" ht="15" hidden="false" customHeight="false" outlineLevel="0" collapsed="false">
      <c r="DB2866" s="0" t="str">
        <f aca="false">IF($A2866="","",IF($A2866&lt;&gt;21,"対象外",IF($AE2866&amp;""="00000000","在職",IF($AE2866&amp;""=設定!$C$4,"4/1喪失","その他喪失"))))</f>
        <v/>
      </c>
    </row>
    <row r="2867" customFormat="false" ht="15" hidden="false" customHeight="false" outlineLevel="0" collapsed="false">
      <c r="DB2867" s="0" t="str">
        <f aca="false">IF($A2867="","",IF($A2867&lt;&gt;21,"対象外",IF($AE2867&amp;""="00000000","在職",IF($AE2867&amp;""=設定!$C$4,"4/1喪失","その他喪失"))))</f>
        <v/>
      </c>
    </row>
    <row r="2868" customFormat="false" ht="15" hidden="false" customHeight="false" outlineLevel="0" collapsed="false">
      <c r="DB2868" s="0" t="str">
        <f aca="false">IF($A2868="","",IF($A2868&lt;&gt;21,"対象外",IF($AE2868&amp;""="00000000","在職",IF($AE2868&amp;""=設定!$C$4,"4/1喪失","その他喪失"))))</f>
        <v/>
      </c>
    </row>
    <row r="2869" customFormat="false" ht="15" hidden="false" customHeight="false" outlineLevel="0" collapsed="false">
      <c r="DB2869" s="0" t="str">
        <f aca="false">IF($A2869="","",IF($A2869&lt;&gt;21,"対象外",IF($AE2869&amp;""="00000000","在職",IF($AE2869&amp;""=設定!$C$4,"4/1喪失","その他喪失"))))</f>
        <v/>
      </c>
    </row>
    <row r="2870" customFormat="false" ht="15" hidden="false" customHeight="false" outlineLevel="0" collapsed="false">
      <c r="DB2870" s="0" t="str">
        <f aca="false">IF($A2870="","",IF($A2870&lt;&gt;21,"対象外",IF($AE2870&amp;""="00000000","在職",IF($AE2870&amp;""=設定!$C$4,"4/1喪失","その他喪失"))))</f>
        <v/>
      </c>
    </row>
    <row r="2871" customFormat="false" ht="15" hidden="false" customHeight="false" outlineLevel="0" collapsed="false">
      <c r="DB2871" s="0" t="str">
        <f aca="false">IF($A2871="","",IF($A2871&lt;&gt;21,"対象外",IF($AE2871&amp;""="00000000","在職",IF($AE2871&amp;""=設定!$C$4,"4/1喪失","その他喪失"))))</f>
        <v/>
      </c>
    </row>
    <row r="2872" customFormat="false" ht="15" hidden="false" customHeight="false" outlineLevel="0" collapsed="false">
      <c r="DB2872" s="0" t="str">
        <f aca="false">IF($A2872="","",IF($A2872&lt;&gt;21,"対象外",IF($AE2872&amp;""="00000000","在職",IF($AE2872&amp;""=設定!$C$4,"4/1喪失","その他喪失"))))</f>
        <v/>
      </c>
    </row>
    <row r="2873" customFormat="false" ht="15" hidden="false" customHeight="false" outlineLevel="0" collapsed="false">
      <c r="DB2873" s="0" t="str">
        <f aca="false">IF($A2873="","",IF($A2873&lt;&gt;21,"対象外",IF($AE2873&amp;""="00000000","在職",IF($AE2873&amp;""=設定!$C$4,"4/1喪失","その他喪失"))))</f>
        <v/>
      </c>
    </row>
    <row r="2874" customFormat="false" ht="15" hidden="false" customHeight="false" outlineLevel="0" collapsed="false">
      <c r="DB2874" s="0" t="str">
        <f aca="false">IF($A2874="","",IF($A2874&lt;&gt;21,"対象外",IF($AE2874&amp;""="00000000","在職",IF($AE2874&amp;""=設定!$C$4,"4/1喪失","その他喪失"))))</f>
        <v/>
      </c>
    </row>
    <row r="2875" customFormat="false" ht="15" hidden="false" customHeight="false" outlineLevel="0" collapsed="false">
      <c r="DB2875" s="0" t="str">
        <f aca="false">IF($A2875="","",IF($A2875&lt;&gt;21,"対象外",IF($AE2875&amp;""="00000000","在職",IF($AE2875&amp;""=設定!$C$4,"4/1喪失","その他喪失"))))</f>
        <v/>
      </c>
    </row>
    <row r="2876" customFormat="false" ht="15" hidden="false" customHeight="false" outlineLevel="0" collapsed="false">
      <c r="DB2876" s="0" t="str">
        <f aca="false">IF($A2876="","",IF($A2876&lt;&gt;21,"対象外",IF($AE2876&amp;""="00000000","在職",IF($AE2876&amp;""=設定!$C$4,"4/1喪失","その他喪失"))))</f>
        <v/>
      </c>
    </row>
    <row r="2877" customFormat="false" ht="15" hidden="false" customHeight="false" outlineLevel="0" collapsed="false">
      <c r="DB2877" s="0" t="str">
        <f aca="false">IF($A2877="","",IF($A2877&lt;&gt;21,"対象外",IF($AE2877&amp;""="00000000","在職",IF($AE2877&amp;""=設定!$C$4,"4/1喪失","その他喪失"))))</f>
        <v/>
      </c>
    </row>
    <row r="2878" customFormat="false" ht="15" hidden="false" customHeight="false" outlineLevel="0" collapsed="false">
      <c r="DB2878" s="0" t="str">
        <f aca="false">IF($A2878="","",IF($A2878&lt;&gt;21,"対象外",IF($AE2878&amp;""="00000000","在職",IF($AE2878&amp;""=設定!$C$4,"4/1喪失","その他喪失"))))</f>
        <v/>
      </c>
    </row>
    <row r="2879" customFormat="false" ht="15" hidden="false" customHeight="false" outlineLevel="0" collapsed="false">
      <c r="DB2879" s="0" t="str">
        <f aca="false">IF($A2879="","",IF($A2879&lt;&gt;21,"対象外",IF($AE2879&amp;""="00000000","在職",IF($AE2879&amp;""=設定!$C$4,"4/1喪失","その他喪失"))))</f>
        <v/>
      </c>
    </row>
    <row r="2880" customFormat="false" ht="15" hidden="false" customHeight="false" outlineLevel="0" collapsed="false">
      <c r="DB2880" s="0" t="str">
        <f aca="false">IF($A2880="","",IF($A2880&lt;&gt;21,"対象外",IF($AE2880&amp;""="00000000","在職",IF($AE2880&amp;""=設定!$C$4,"4/1喪失","その他喪失"))))</f>
        <v/>
      </c>
    </row>
    <row r="2881" customFormat="false" ht="15" hidden="false" customHeight="false" outlineLevel="0" collapsed="false">
      <c r="DB2881" s="0" t="str">
        <f aca="false">IF($A2881="","",IF($A2881&lt;&gt;21,"対象外",IF($AE2881&amp;""="00000000","在職",IF($AE2881&amp;""=設定!$C$4,"4/1喪失","その他喪失"))))</f>
        <v/>
      </c>
    </row>
    <row r="2882" customFormat="false" ht="15" hidden="false" customHeight="false" outlineLevel="0" collapsed="false">
      <c r="DB2882" s="0" t="str">
        <f aca="false">IF($A2882="","",IF($A2882&lt;&gt;21,"対象外",IF($AE2882&amp;""="00000000","在職",IF($AE2882&amp;""=設定!$C$4,"4/1喪失","その他喪失"))))</f>
        <v/>
      </c>
    </row>
    <row r="2883" customFormat="false" ht="15" hidden="false" customHeight="false" outlineLevel="0" collapsed="false">
      <c r="DB2883" s="0" t="str">
        <f aca="false">IF($A2883="","",IF($A2883&lt;&gt;21,"対象外",IF($AE2883&amp;""="00000000","在職",IF($AE2883&amp;""=設定!$C$4,"4/1喪失","その他喪失"))))</f>
        <v/>
      </c>
    </row>
    <row r="2884" customFormat="false" ht="15" hidden="false" customHeight="false" outlineLevel="0" collapsed="false">
      <c r="DB2884" s="0" t="str">
        <f aca="false">IF($A2884="","",IF($A2884&lt;&gt;21,"対象外",IF($AE2884&amp;""="00000000","在職",IF($AE2884&amp;""=設定!$C$4,"4/1喪失","その他喪失"))))</f>
        <v/>
      </c>
    </row>
    <row r="2885" customFormat="false" ht="15" hidden="false" customHeight="false" outlineLevel="0" collapsed="false">
      <c r="DB2885" s="0" t="str">
        <f aca="false">IF($A2885="","",IF($A2885&lt;&gt;21,"対象外",IF($AE2885&amp;""="00000000","在職",IF($AE2885&amp;""=設定!$C$4,"4/1喪失","その他喪失"))))</f>
        <v/>
      </c>
    </row>
    <row r="2886" customFormat="false" ht="15" hidden="false" customHeight="false" outlineLevel="0" collapsed="false">
      <c r="DB2886" s="0" t="str">
        <f aca="false">IF($A2886="","",IF($A2886&lt;&gt;21,"対象外",IF($AE2886&amp;""="00000000","在職",IF($AE2886&amp;""=設定!$C$4,"4/1喪失","その他喪失"))))</f>
        <v/>
      </c>
    </row>
    <row r="2887" customFormat="false" ht="15" hidden="false" customHeight="false" outlineLevel="0" collapsed="false">
      <c r="DB2887" s="0" t="str">
        <f aca="false">IF($A2887="","",IF($A2887&lt;&gt;21,"対象外",IF($AE2887&amp;""="00000000","在職",IF($AE2887&amp;""=設定!$C$4,"4/1喪失","その他喪失"))))</f>
        <v/>
      </c>
    </row>
    <row r="2888" customFormat="false" ht="15" hidden="false" customHeight="false" outlineLevel="0" collapsed="false">
      <c r="DB2888" s="0" t="str">
        <f aca="false">IF($A2888="","",IF($A2888&lt;&gt;21,"対象外",IF($AE2888&amp;""="00000000","在職",IF($AE2888&amp;""=設定!$C$4,"4/1喪失","その他喪失"))))</f>
        <v/>
      </c>
    </row>
    <row r="2889" customFormat="false" ht="15" hidden="false" customHeight="false" outlineLevel="0" collapsed="false">
      <c r="DB2889" s="0" t="str">
        <f aca="false">IF($A2889="","",IF($A2889&lt;&gt;21,"対象外",IF($AE2889&amp;""="00000000","在職",IF($AE2889&amp;""=設定!$C$4,"4/1喪失","その他喪失"))))</f>
        <v/>
      </c>
    </row>
    <row r="2890" customFormat="false" ht="15" hidden="false" customHeight="false" outlineLevel="0" collapsed="false">
      <c r="DB2890" s="0" t="str">
        <f aca="false">IF($A2890="","",IF($A2890&lt;&gt;21,"対象外",IF($AE2890&amp;""="00000000","在職",IF($AE2890&amp;""=設定!$C$4,"4/1喪失","その他喪失"))))</f>
        <v/>
      </c>
    </row>
    <row r="2891" customFormat="false" ht="15" hidden="false" customHeight="false" outlineLevel="0" collapsed="false">
      <c r="DB2891" s="0" t="str">
        <f aca="false">IF($A2891="","",IF($A2891&lt;&gt;21,"対象外",IF($AE2891&amp;""="00000000","在職",IF($AE2891&amp;""=設定!$C$4,"4/1喪失","その他喪失"))))</f>
        <v/>
      </c>
    </row>
    <row r="2892" customFormat="false" ht="15" hidden="false" customHeight="false" outlineLevel="0" collapsed="false">
      <c r="DB2892" s="0" t="str">
        <f aca="false">IF($A2892="","",IF($A2892&lt;&gt;21,"対象外",IF($AE2892&amp;""="00000000","在職",IF($AE2892&amp;""=設定!$C$4,"4/1喪失","その他喪失"))))</f>
        <v/>
      </c>
    </row>
    <row r="2893" customFormat="false" ht="15" hidden="false" customHeight="false" outlineLevel="0" collapsed="false">
      <c r="DB2893" s="0" t="str">
        <f aca="false">IF($A2893="","",IF($A2893&lt;&gt;21,"対象外",IF($AE2893&amp;""="00000000","在職",IF($AE2893&amp;""=設定!$C$4,"4/1喪失","その他喪失"))))</f>
        <v/>
      </c>
    </row>
    <row r="2894" customFormat="false" ht="15" hidden="false" customHeight="false" outlineLevel="0" collapsed="false">
      <c r="DB2894" s="0" t="str">
        <f aca="false">IF($A2894="","",IF($A2894&lt;&gt;21,"対象外",IF($AE2894&amp;""="00000000","在職",IF($AE2894&amp;""=設定!$C$4,"4/1喪失","その他喪失"))))</f>
        <v/>
      </c>
    </row>
    <row r="2895" customFormat="false" ht="15" hidden="false" customHeight="false" outlineLevel="0" collapsed="false">
      <c r="DB2895" s="0" t="str">
        <f aca="false">IF($A2895="","",IF($A2895&lt;&gt;21,"対象外",IF($AE2895&amp;""="00000000","在職",IF($AE2895&amp;""=設定!$C$4,"4/1喪失","その他喪失"))))</f>
        <v/>
      </c>
    </row>
    <row r="2896" customFormat="false" ht="15" hidden="false" customHeight="false" outlineLevel="0" collapsed="false">
      <c r="DB2896" s="0" t="str">
        <f aca="false">IF($A2896="","",IF($A2896&lt;&gt;21,"対象外",IF($AE2896&amp;""="00000000","在職",IF($AE2896&amp;""=設定!$C$4,"4/1喪失","その他喪失"))))</f>
        <v/>
      </c>
    </row>
    <row r="2897" customFormat="false" ht="15" hidden="false" customHeight="false" outlineLevel="0" collapsed="false">
      <c r="DB2897" s="0" t="str">
        <f aca="false">IF($A2897="","",IF($A2897&lt;&gt;21,"対象外",IF($AE2897&amp;""="00000000","在職",IF($AE2897&amp;""=設定!$C$4,"4/1喪失","その他喪失"))))</f>
        <v/>
      </c>
    </row>
    <row r="2898" customFormat="false" ht="15" hidden="false" customHeight="false" outlineLevel="0" collapsed="false">
      <c r="DB2898" s="0" t="str">
        <f aca="false">IF($A2898="","",IF($A2898&lt;&gt;21,"対象外",IF($AE2898&amp;""="00000000","在職",IF($AE2898&amp;""=設定!$C$4,"4/1喪失","その他喪失"))))</f>
        <v/>
      </c>
    </row>
    <row r="2899" customFormat="false" ht="15" hidden="false" customHeight="false" outlineLevel="0" collapsed="false">
      <c r="DB2899" s="0" t="str">
        <f aca="false">IF($A2899="","",IF($A2899&lt;&gt;21,"対象外",IF($AE2899&amp;""="00000000","在職",IF($AE2899&amp;""=設定!$C$4,"4/1喪失","その他喪失"))))</f>
        <v/>
      </c>
    </row>
    <row r="2900" customFormat="false" ht="15" hidden="false" customHeight="false" outlineLevel="0" collapsed="false">
      <c r="DB2900" s="0" t="str">
        <f aca="false">IF($A2900="","",IF($A2900&lt;&gt;21,"対象外",IF($AE2900&amp;""="00000000","在職",IF($AE2900&amp;""=設定!$C$4,"4/1喪失","その他喪失"))))</f>
        <v/>
      </c>
    </row>
    <row r="2901" customFormat="false" ht="15" hidden="false" customHeight="false" outlineLevel="0" collapsed="false">
      <c r="DB2901" s="0" t="str">
        <f aca="false">IF($A2901="","",IF($A2901&lt;&gt;21,"対象外",IF($AE2901&amp;""="00000000","在職",IF($AE2901&amp;""=設定!$C$4,"4/1喪失","その他喪失"))))</f>
        <v/>
      </c>
    </row>
    <row r="2902" customFormat="false" ht="15" hidden="false" customHeight="false" outlineLevel="0" collapsed="false">
      <c r="DB2902" s="0" t="str">
        <f aca="false">IF($A2902="","",IF($A2902&lt;&gt;21,"対象外",IF($AE2902&amp;""="00000000","在職",IF($AE2902&amp;""=設定!$C$4,"4/1喪失","その他喪失"))))</f>
        <v/>
      </c>
    </row>
    <row r="2903" customFormat="false" ht="15" hidden="false" customHeight="false" outlineLevel="0" collapsed="false">
      <c r="DB2903" s="0" t="str">
        <f aca="false">IF($A2903="","",IF($A2903&lt;&gt;21,"対象外",IF($AE2903&amp;""="00000000","在職",IF($AE2903&amp;""=設定!$C$4,"4/1喪失","その他喪失"))))</f>
        <v/>
      </c>
    </row>
    <row r="2904" customFormat="false" ht="15" hidden="false" customHeight="false" outlineLevel="0" collapsed="false">
      <c r="DB2904" s="0" t="str">
        <f aca="false">IF($A2904="","",IF($A2904&lt;&gt;21,"対象外",IF($AE2904&amp;""="00000000","在職",IF($AE2904&amp;""=設定!$C$4,"4/1喪失","その他喪失"))))</f>
        <v/>
      </c>
    </row>
    <row r="2905" customFormat="false" ht="15" hidden="false" customHeight="false" outlineLevel="0" collapsed="false">
      <c r="DB2905" s="0" t="str">
        <f aca="false">IF($A2905="","",IF($A2905&lt;&gt;21,"対象外",IF($AE2905&amp;""="00000000","在職",IF($AE2905&amp;""=設定!$C$4,"4/1喪失","その他喪失"))))</f>
        <v/>
      </c>
    </row>
    <row r="2906" customFormat="false" ht="15" hidden="false" customHeight="false" outlineLevel="0" collapsed="false">
      <c r="DB2906" s="0" t="str">
        <f aca="false">IF($A2906="","",IF($A2906&lt;&gt;21,"対象外",IF($AE2906&amp;""="00000000","在職",IF($AE2906&amp;""=設定!$C$4,"4/1喪失","その他喪失"))))</f>
        <v/>
      </c>
    </row>
    <row r="2907" customFormat="false" ht="15" hidden="false" customHeight="false" outlineLevel="0" collapsed="false">
      <c r="DB2907" s="0" t="str">
        <f aca="false">IF($A2907="","",IF($A2907&lt;&gt;21,"対象外",IF($AE2907&amp;""="00000000","在職",IF($AE2907&amp;""=設定!$C$4,"4/1喪失","その他喪失"))))</f>
        <v/>
      </c>
    </row>
    <row r="2908" customFormat="false" ht="15" hidden="false" customHeight="false" outlineLevel="0" collapsed="false">
      <c r="DB2908" s="0" t="str">
        <f aca="false">IF($A2908="","",IF($A2908&lt;&gt;21,"対象外",IF($AE2908&amp;""="00000000","在職",IF($AE2908&amp;""=設定!$C$4,"4/1喪失","その他喪失"))))</f>
        <v/>
      </c>
    </row>
    <row r="2909" customFormat="false" ht="15" hidden="false" customHeight="false" outlineLevel="0" collapsed="false">
      <c r="DB2909" s="0" t="str">
        <f aca="false">IF($A2909="","",IF($A2909&lt;&gt;21,"対象外",IF($AE2909&amp;""="00000000","在職",IF($AE2909&amp;""=設定!$C$4,"4/1喪失","その他喪失"))))</f>
        <v/>
      </c>
    </row>
    <row r="2910" customFormat="false" ht="15" hidden="false" customHeight="false" outlineLevel="0" collapsed="false">
      <c r="DB2910" s="0" t="str">
        <f aca="false">IF($A2910="","",IF($A2910&lt;&gt;21,"対象外",IF($AE2910&amp;""="00000000","在職",IF($AE2910&amp;""=設定!$C$4,"4/1喪失","その他喪失"))))</f>
        <v/>
      </c>
    </row>
    <row r="2911" customFormat="false" ht="15" hidden="false" customHeight="false" outlineLevel="0" collapsed="false">
      <c r="DB2911" s="0" t="str">
        <f aca="false">IF($A2911="","",IF($A2911&lt;&gt;21,"対象外",IF($AE2911&amp;""="00000000","在職",IF($AE2911&amp;""=設定!$C$4,"4/1喪失","その他喪失"))))</f>
        <v/>
      </c>
    </row>
    <row r="2912" customFormat="false" ht="15" hidden="false" customHeight="false" outlineLevel="0" collapsed="false">
      <c r="DB2912" s="0" t="str">
        <f aca="false">IF($A2912="","",IF($A2912&lt;&gt;21,"対象外",IF($AE2912&amp;""="00000000","在職",IF($AE2912&amp;""=設定!$C$4,"4/1喪失","その他喪失"))))</f>
        <v/>
      </c>
    </row>
    <row r="2913" customFormat="false" ht="15" hidden="false" customHeight="false" outlineLevel="0" collapsed="false">
      <c r="DB2913" s="0" t="str">
        <f aca="false">IF($A2913="","",IF($A2913&lt;&gt;21,"対象外",IF($AE2913&amp;""="00000000","在職",IF($AE2913&amp;""=設定!$C$4,"4/1喪失","その他喪失"))))</f>
        <v/>
      </c>
    </row>
    <row r="2914" customFormat="false" ht="15" hidden="false" customHeight="false" outlineLevel="0" collapsed="false">
      <c r="DB2914" s="0" t="str">
        <f aca="false">IF($A2914="","",IF($A2914&lt;&gt;21,"対象外",IF($AE2914&amp;""="00000000","在職",IF($AE2914&amp;""=設定!$C$4,"4/1喪失","その他喪失"))))</f>
        <v/>
      </c>
    </row>
    <row r="2915" customFormat="false" ht="15" hidden="false" customHeight="false" outlineLevel="0" collapsed="false">
      <c r="DB2915" s="0" t="str">
        <f aca="false">IF($A2915="","",IF($A2915&lt;&gt;21,"対象外",IF($AE2915&amp;""="00000000","在職",IF($AE2915&amp;""=設定!$C$4,"4/1喪失","その他喪失"))))</f>
        <v/>
      </c>
    </row>
    <row r="2916" customFormat="false" ht="15" hidden="false" customHeight="false" outlineLevel="0" collapsed="false">
      <c r="DB2916" s="0" t="str">
        <f aca="false">IF($A2916="","",IF($A2916&lt;&gt;21,"対象外",IF($AE2916&amp;""="00000000","在職",IF($AE2916&amp;""=設定!$C$4,"4/1喪失","その他喪失"))))</f>
        <v/>
      </c>
    </row>
    <row r="2917" customFormat="false" ht="15" hidden="false" customHeight="false" outlineLevel="0" collapsed="false">
      <c r="DB2917" s="0" t="str">
        <f aca="false">IF($A2917="","",IF($A2917&lt;&gt;21,"対象外",IF($AE2917&amp;""="00000000","在職",IF($AE2917&amp;""=設定!$C$4,"4/1喪失","その他喪失"))))</f>
        <v/>
      </c>
    </row>
    <row r="2918" customFormat="false" ht="15" hidden="false" customHeight="false" outlineLevel="0" collapsed="false">
      <c r="DB2918" s="0" t="str">
        <f aca="false">IF($A2918="","",IF($A2918&lt;&gt;21,"対象外",IF($AE2918&amp;""="00000000","在職",IF($AE2918&amp;""=設定!$C$4,"4/1喪失","その他喪失"))))</f>
        <v/>
      </c>
    </row>
    <row r="2919" customFormat="false" ht="15" hidden="false" customHeight="false" outlineLevel="0" collapsed="false">
      <c r="DB2919" s="0" t="str">
        <f aca="false">IF($A2919="","",IF($A2919&lt;&gt;21,"対象外",IF($AE2919&amp;""="00000000","在職",IF($AE2919&amp;""=設定!$C$4,"4/1喪失","その他喪失"))))</f>
        <v/>
      </c>
    </row>
    <row r="2920" customFormat="false" ht="15" hidden="false" customHeight="false" outlineLevel="0" collapsed="false">
      <c r="DB2920" s="0" t="str">
        <f aca="false">IF($A2920="","",IF($A2920&lt;&gt;21,"対象外",IF($AE2920&amp;""="00000000","在職",IF($AE2920&amp;""=設定!$C$4,"4/1喪失","その他喪失"))))</f>
        <v/>
      </c>
    </row>
    <row r="2921" customFormat="false" ht="15" hidden="false" customHeight="false" outlineLevel="0" collapsed="false">
      <c r="DB2921" s="0" t="str">
        <f aca="false">IF($A2921="","",IF($A2921&lt;&gt;21,"対象外",IF($AE2921&amp;""="00000000","在職",IF($AE2921&amp;""=設定!$C$4,"4/1喪失","その他喪失"))))</f>
        <v/>
      </c>
    </row>
    <row r="2922" customFormat="false" ht="15" hidden="false" customHeight="false" outlineLevel="0" collapsed="false">
      <c r="DB2922" s="0" t="str">
        <f aca="false">IF($A2922="","",IF($A2922&lt;&gt;21,"対象外",IF($AE2922&amp;""="00000000","在職",IF($AE2922&amp;""=設定!$C$4,"4/1喪失","その他喪失"))))</f>
        <v/>
      </c>
    </row>
    <row r="2923" customFormat="false" ht="15" hidden="false" customHeight="false" outlineLevel="0" collapsed="false">
      <c r="DB2923" s="0" t="str">
        <f aca="false">IF($A2923="","",IF($A2923&lt;&gt;21,"対象外",IF($AE2923&amp;""="00000000","在職",IF($AE2923&amp;""=設定!$C$4,"4/1喪失","その他喪失"))))</f>
        <v/>
      </c>
    </row>
    <row r="2924" customFormat="false" ht="15" hidden="false" customHeight="false" outlineLevel="0" collapsed="false">
      <c r="DB2924" s="0" t="str">
        <f aca="false">IF($A2924="","",IF($A2924&lt;&gt;21,"対象外",IF($AE2924&amp;""="00000000","在職",IF($AE2924&amp;""=設定!$C$4,"4/1喪失","その他喪失"))))</f>
        <v/>
      </c>
    </row>
    <row r="2925" customFormat="false" ht="15" hidden="false" customHeight="false" outlineLevel="0" collapsed="false">
      <c r="DB2925" s="0" t="str">
        <f aca="false">IF($A2925="","",IF($A2925&lt;&gt;21,"対象外",IF($AE2925&amp;""="00000000","在職",IF($AE2925&amp;""=設定!$C$4,"4/1喪失","その他喪失"))))</f>
        <v/>
      </c>
    </row>
    <row r="2926" customFormat="false" ht="15" hidden="false" customHeight="false" outlineLevel="0" collapsed="false">
      <c r="DB2926" s="0" t="str">
        <f aca="false">IF($A2926="","",IF($A2926&lt;&gt;21,"対象外",IF($AE2926&amp;""="00000000","在職",IF($AE2926&amp;""=設定!$C$4,"4/1喪失","その他喪失"))))</f>
        <v/>
      </c>
    </row>
    <row r="2927" customFormat="false" ht="15" hidden="false" customHeight="false" outlineLevel="0" collapsed="false">
      <c r="DB2927" s="0" t="str">
        <f aca="false">IF($A2927="","",IF($A2927&lt;&gt;21,"対象外",IF($AE2927&amp;""="00000000","在職",IF($AE2927&amp;""=設定!$C$4,"4/1喪失","その他喪失"))))</f>
        <v/>
      </c>
    </row>
    <row r="2928" customFormat="false" ht="15" hidden="false" customHeight="false" outlineLevel="0" collapsed="false">
      <c r="DB2928" s="0" t="str">
        <f aca="false">IF($A2928="","",IF($A2928&lt;&gt;21,"対象外",IF($AE2928&amp;""="00000000","在職",IF($AE2928&amp;""=設定!$C$4,"4/1喪失","その他喪失"))))</f>
        <v/>
      </c>
    </row>
    <row r="2929" customFormat="false" ht="15" hidden="false" customHeight="false" outlineLevel="0" collapsed="false">
      <c r="DB2929" s="0" t="str">
        <f aca="false">IF($A2929="","",IF($A2929&lt;&gt;21,"対象外",IF($AE2929&amp;""="00000000","在職",IF($AE2929&amp;""=設定!$C$4,"4/1喪失","その他喪失"))))</f>
        <v/>
      </c>
    </row>
    <row r="2930" customFormat="false" ht="15" hidden="false" customHeight="false" outlineLevel="0" collapsed="false">
      <c r="DB2930" s="0" t="str">
        <f aca="false">IF($A2930="","",IF($A2930&lt;&gt;21,"対象外",IF($AE2930&amp;""="00000000","在職",IF($AE2930&amp;""=設定!$C$4,"4/1喪失","その他喪失"))))</f>
        <v/>
      </c>
    </row>
    <row r="2931" customFormat="false" ht="15" hidden="false" customHeight="false" outlineLevel="0" collapsed="false">
      <c r="DB2931" s="0" t="str">
        <f aca="false">IF($A2931="","",IF($A2931&lt;&gt;21,"対象外",IF($AE2931&amp;""="00000000","在職",IF($AE2931&amp;""=設定!$C$4,"4/1喪失","その他喪失"))))</f>
        <v/>
      </c>
    </row>
    <row r="2932" customFormat="false" ht="15" hidden="false" customHeight="false" outlineLevel="0" collapsed="false">
      <c r="DB2932" s="0" t="str">
        <f aca="false">IF($A2932="","",IF($A2932&lt;&gt;21,"対象外",IF($AE2932&amp;""="00000000","在職",IF($AE2932&amp;""=設定!$C$4,"4/1喪失","その他喪失"))))</f>
        <v/>
      </c>
    </row>
    <row r="2933" customFormat="false" ht="15" hidden="false" customHeight="false" outlineLevel="0" collapsed="false">
      <c r="DB2933" s="0" t="str">
        <f aca="false">IF($A2933="","",IF($A2933&lt;&gt;21,"対象外",IF($AE2933&amp;""="00000000","在職",IF($AE2933&amp;""=設定!$C$4,"4/1喪失","その他喪失"))))</f>
        <v/>
      </c>
    </row>
    <row r="2934" customFormat="false" ht="15" hidden="false" customHeight="false" outlineLevel="0" collapsed="false">
      <c r="DB2934" s="0" t="str">
        <f aca="false">IF($A2934="","",IF($A2934&lt;&gt;21,"対象外",IF($AE2934&amp;""="00000000","在職",IF($AE2934&amp;""=設定!$C$4,"4/1喪失","その他喪失"))))</f>
        <v/>
      </c>
    </row>
    <row r="2935" customFormat="false" ht="15" hidden="false" customHeight="false" outlineLevel="0" collapsed="false">
      <c r="DB2935" s="0" t="str">
        <f aca="false">IF($A2935="","",IF($A2935&lt;&gt;21,"対象外",IF($AE2935&amp;""="00000000","在職",IF($AE2935&amp;""=設定!$C$4,"4/1喪失","その他喪失"))))</f>
        <v/>
      </c>
    </row>
    <row r="2936" customFormat="false" ht="15" hidden="false" customHeight="false" outlineLevel="0" collapsed="false">
      <c r="DB2936" s="0" t="str">
        <f aca="false">IF($A2936="","",IF($A2936&lt;&gt;21,"対象外",IF($AE2936&amp;""="00000000","在職",IF($AE2936&amp;""=設定!$C$4,"4/1喪失","その他喪失"))))</f>
        <v/>
      </c>
    </row>
    <row r="2937" customFormat="false" ht="15" hidden="false" customHeight="false" outlineLevel="0" collapsed="false">
      <c r="DB2937" s="0" t="str">
        <f aca="false">IF($A2937="","",IF($A2937&lt;&gt;21,"対象外",IF($AE2937&amp;""="00000000","在職",IF($AE2937&amp;""=設定!$C$4,"4/1喪失","その他喪失"))))</f>
        <v/>
      </c>
    </row>
    <row r="2938" customFormat="false" ht="15" hidden="false" customHeight="false" outlineLevel="0" collapsed="false">
      <c r="DB2938" s="0" t="str">
        <f aca="false">IF($A2938="","",IF($A2938&lt;&gt;21,"対象外",IF($AE2938&amp;""="00000000","在職",IF($AE2938&amp;""=設定!$C$4,"4/1喪失","その他喪失"))))</f>
        <v/>
      </c>
    </row>
    <row r="2939" customFormat="false" ht="15" hidden="false" customHeight="false" outlineLevel="0" collapsed="false">
      <c r="DB2939" s="0" t="str">
        <f aca="false">IF($A2939="","",IF($A2939&lt;&gt;21,"対象外",IF($AE2939&amp;""="00000000","在職",IF($AE2939&amp;""=設定!$C$4,"4/1喪失","その他喪失"))))</f>
        <v/>
      </c>
    </row>
    <row r="2940" customFormat="false" ht="15" hidden="false" customHeight="false" outlineLevel="0" collapsed="false">
      <c r="DB2940" s="0" t="str">
        <f aca="false">IF($A2940="","",IF($A2940&lt;&gt;21,"対象外",IF($AE2940&amp;""="00000000","在職",IF($AE2940&amp;""=設定!$C$4,"4/1喪失","その他喪失"))))</f>
        <v/>
      </c>
    </row>
    <row r="2941" customFormat="false" ht="15" hidden="false" customHeight="false" outlineLevel="0" collapsed="false">
      <c r="DB2941" s="0" t="str">
        <f aca="false">IF($A2941="","",IF($A2941&lt;&gt;21,"対象外",IF($AE2941&amp;""="00000000","在職",IF($AE2941&amp;""=設定!$C$4,"4/1喪失","その他喪失"))))</f>
        <v/>
      </c>
    </row>
    <row r="2942" customFormat="false" ht="15" hidden="false" customHeight="false" outlineLevel="0" collapsed="false">
      <c r="DB2942" s="0" t="str">
        <f aca="false">IF($A2942="","",IF($A2942&lt;&gt;21,"対象外",IF($AE2942&amp;""="00000000","在職",IF($AE2942&amp;""=設定!$C$4,"4/1喪失","その他喪失"))))</f>
        <v/>
      </c>
    </row>
    <row r="2943" customFormat="false" ht="15" hidden="false" customHeight="false" outlineLevel="0" collapsed="false">
      <c r="DB2943" s="0" t="str">
        <f aca="false">IF($A2943="","",IF($A2943&lt;&gt;21,"対象外",IF($AE2943&amp;""="00000000","在職",IF($AE2943&amp;""=設定!$C$4,"4/1喪失","その他喪失"))))</f>
        <v/>
      </c>
    </row>
    <row r="2944" customFormat="false" ht="15" hidden="false" customHeight="false" outlineLevel="0" collapsed="false">
      <c r="DB2944" s="0" t="str">
        <f aca="false">IF($A2944="","",IF($A2944&lt;&gt;21,"対象外",IF($AE2944&amp;""="00000000","在職",IF($AE2944&amp;""=設定!$C$4,"4/1喪失","その他喪失"))))</f>
        <v/>
      </c>
    </row>
    <row r="2945" customFormat="false" ht="15" hidden="false" customHeight="false" outlineLevel="0" collapsed="false">
      <c r="DB2945" s="0" t="str">
        <f aca="false">IF($A2945="","",IF($A2945&lt;&gt;21,"対象外",IF($AE2945&amp;""="00000000","在職",IF($AE2945&amp;""=設定!$C$4,"4/1喪失","その他喪失"))))</f>
        <v/>
      </c>
    </row>
    <row r="2946" customFormat="false" ht="15" hidden="false" customHeight="false" outlineLevel="0" collapsed="false">
      <c r="DB2946" s="0" t="str">
        <f aca="false">IF($A2946="","",IF($A2946&lt;&gt;21,"対象外",IF($AE2946&amp;""="00000000","在職",IF($AE2946&amp;""=設定!$C$4,"4/1喪失","その他喪失"))))</f>
        <v/>
      </c>
    </row>
    <row r="2947" customFormat="false" ht="15" hidden="false" customHeight="false" outlineLevel="0" collapsed="false">
      <c r="DB2947" s="0" t="str">
        <f aca="false">IF($A2947="","",IF($A2947&lt;&gt;21,"対象外",IF($AE2947&amp;""="00000000","在職",IF($AE2947&amp;""=設定!$C$4,"4/1喪失","その他喪失"))))</f>
        <v/>
      </c>
    </row>
    <row r="2948" customFormat="false" ht="15" hidden="false" customHeight="false" outlineLevel="0" collapsed="false">
      <c r="DB2948" s="0" t="str">
        <f aca="false">IF($A2948="","",IF($A2948&lt;&gt;21,"対象外",IF($AE2948&amp;""="00000000","在職",IF($AE2948&amp;""=設定!$C$4,"4/1喪失","その他喪失"))))</f>
        <v/>
      </c>
    </row>
    <row r="2949" customFormat="false" ht="15" hidden="false" customHeight="false" outlineLevel="0" collapsed="false">
      <c r="DB2949" s="0" t="str">
        <f aca="false">IF($A2949="","",IF($A2949&lt;&gt;21,"対象外",IF($AE2949&amp;""="00000000","在職",IF($AE2949&amp;""=設定!$C$4,"4/1喪失","その他喪失"))))</f>
        <v/>
      </c>
    </row>
    <row r="2950" customFormat="false" ht="15" hidden="false" customHeight="false" outlineLevel="0" collapsed="false">
      <c r="DB2950" s="0" t="str">
        <f aca="false">IF($A2950="","",IF($A2950&lt;&gt;21,"対象外",IF($AE2950&amp;""="00000000","在職",IF($AE2950&amp;""=設定!$C$4,"4/1喪失","その他喪失"))))</f>
        <v/>
      </c>
    </row>
    <row r="2951" customFormat="false" ht="15" hidden="false" customHeight="false" outlineLevel="0" collapsed="false">
      <c r="DB2951" s="0" t="str">
        <f aca="false">IF($A2951="","",IF($A2951&lt;&gt;21,"対象外",IF($AE2951&amp;""="00000000","在職",IF($AE2951&amp;""=設定!$C$4,"4/1喪失","その他喪失"))))</f>
        <v/>
      </c>
    </row>
    <row r="2952" customFormat="false" ht="15" hidden="false" customHeight="false" outlineLevel="0" collapsed="false">
      <c r="DB2952" s="0" t="str">
        <f aca="false">IF($A2952="","",IF($A2952&lt;&gt;21,"対象外",IF($AE2952&amp;""="00000000","在職",IF($AE2952&amp;""=設定!$C$4,"4/1喪失","その他喪失"))))</f>
        <v/>
      </c>
    </row>
    <row r="2953" customFormat="false" ht="15" hidden="false" customHeight="false" outlineLevel="0" collapsed="false">
      <c r="DB2953" s="0" t="str">
        <f aca="false">IF($A2953="","",IF($A2953&lt;&gt;21,"対象外",IF($AE2953&amp;""="00000000","在職",IF($AE2953&amp;""=設定!$C$4,"4/1喪失","その他喪失"))))</f>
        <v/>
      </c>
    </row>
    <row r="2954" customFormat="false" ht="15" hidden="false" customHeight="false" outlineLevel="0" collapsed="false">
      <c r="DB2954" s="0" t="str">
        <f aca="false">IF($A2954="","",IF($A2954&lt;&gt;21,"対象外",IF($AE2954&amp;""="00000000","在職",IF($AE2954&amp;""=設定!$C$4,"4/1喪失","その他喪失"))))</f>
        <v/>
      </c>
    </row>
    <row r="2955" customFormat="false" ht="15" hidden="false" customHeight="false" outlineLevel="0" collapsed="false">
      <c r="DB2955" s="0" t="str">
        <f aca="false">IF($A2955="","",IF($A2955&lt;&gt;21,"対象外",IF($AE2955&amp;""="00000000","在職",IF($AE2955&amp;""=設定!$C$4,"4/1喪失","その他喪失"))))</f>
        <v/>
      </c>
    </row>
    <row r="2956" customFormat="false" ht="15" hidden="false" customHeight="false" outlineLevel="0" collapsed="false">
      <c r="DB2956" s="0" t="str">
        <f aca="false">IF($A2956="","",IF($A2956&lt;&gt;21,"対象外",IF($AE2956&amp;""="00000000","在職",IF($AE2956&amp;""=設定!$C$4,"4/1喪失","その他喪失"))))</f>
        <v/>
      </c>
    </row>
    <row r="2957" customFormat="false" ht="15" hidden="false" customHeight="false" outlineLevel="0" collapsed="false">
      <c r="DB2957" s="0" t="str">
        <f aca="false">IF($A2957="","",IF($A2957&lt;&gt;21,"対象外",IF($AE2957&amp;""="00000000","在職",IF($AE2957&amp;""=設定!$C$4,"4/1喪失","その他喪失"))))</f>
        <v/>
      </c>
    </row>
    <row r="2958" customFormat="false" ht="15" hidden="false" customHeight="false" outlineLevel="0" collapsed="false">
      <c r="DB2958" s="0" t="str">
        <f aca="false">IF($A2958="","",IF($A2958&lt;&gt;21,"対象外",IF($AE2958&amp;""="00000000","在職",IF($AE2958&amp;""=設定!$C$4,"4/1喪失","その他喪失"))))</f>
        <v/>
      </c>
    </row>
    <row r="2959" customFormat="false" ht="15" hidden="false" customHeight="false" outlineLevel="0" collapsed="false">
      <c r="DB2959" s="0" t="str">
        <f aca="false">IF($A2959="","",IF($A2959&lt;&gt;21,"対象外",IF($AE2959&amp;""="00000000","在職",IF($AE2959&amp;""=設定!$C$4,"4/1喪失","その他喪失"))))</f>
        <v/>
      </c>
    </row>
    <row r="2960" customFormat="false" ht="15" hidden="false" customHeight="false" outlineLevel="0" collapsed="false">
      <c r="DB2960" s="0" t="str">
        <f aca="false">IF($A2960="","",IF($A2960&lt;&gt;21,"対象外",IF($AE2960&amp;""="00000000","在職",IF($AE2960&amp;""=設定!$C$4,"4/1喪失","その他喪失"))))</f>
        <v/>
      </c>
    </row>
    <row r="2961" customFormat="false" ht="15" hidden="false" customHeight="false" outlineLevel="0" collapsed="false">
      <c r="DB2961" s="0" t="str">
        <f aca="false">IF($A2961="","",IF($A2961&lt;&gt;21,"対象外",IF($AE2961&amp;""="00000000","在職",IF($AE2961&amp;""=設定!$C$4,"4/1喪失","その他喪失"))))</f>
        <v/>
      </c>
    </row>
    <row r="2962" customFormat="false" ht="15" hidden="false" customHeight="false" outlineLevel="0" collapsed="false">
      <c r="DB2962" s="0" t="str">
        <f aca="false">IF($A2962="","",IF($A2962&lt;&gt;21,"対象外",IF($AE2962&amp;""="00000000","在職",IF($AE2962&amp;""=設定!$C$4,"4/1喪失","その他喪失"))))</f>
        <v/>
      </c>
    </row>
    <row r="2963" customFormat="false" ht="15" hidden="false" customHeight="false" outlineLevel="0" collapsed="false">
      <c r="DB2963" s="0" t="str">
        <f aca="false">IF($A2963="","",IF($A2963&lt;&gt;21,"対象外",IF($AE2963&amp;""="00000000","在職",IF($AE2963&amp;""=設定!$C$4,"4/1喪失","その他喪失"))))</f>
        <v/>
      </c>
    </row>
    <row r="2964" customFormat="false" ht="15" hidden="false" customHeight="false" outlineLevel="0" collapsed="false">
      <c r="DB2964" s="0" t="str">
        <f aca="false">IF($A2964="","",IF($A2964&lt;&gt;21,"対象外",IF($AE2964&amp;""="00000000","在職",IF($AE2964&amp;""=設定!$C$4,"4/1喪失","その他喪失"))))</f>
        <v/>
      </c>
    </row>
    <row r="2965" customFormat="false" ht="15" hidden="false" customHeight="false" outlineLevel="0" collapsed="false">
      <c r="DB2965" s="0" t="str">
        <f aca="false">IF($A2965="","",IF($A2965&lt;&gt;21,"対象外",IF($AE2965&amp;""="00000000","在職",IF($AE2965&amp;""=設定!$C$4,"4/1喪失","その他喪失"))))</f>
        <v/>
      </c>
    </row>
    <row r="2966" customFormat="false" ht="15" hidden="false" customHeight="false" outlineLevel="0" collapsed="false">
      <c r="DB2966" s="0" t="str">
        <f aca="false">IF($A2966="","",IF($A2966&lt;&gt;21,"対象外",IF($AE2966&amp;""="00000000","在職",IF($AE2966&amp;""=設定!$C$4,"4/1喪失","その他喪失"))))</f>
        <v/>
      </c>
    </row>
    <row r="2967" customFormat="false" ht="15" hidden="false" customHeight="false" outlineLevel="0" collapsed="false">
      <c r="DB2967" s="0" t="str">
        <f aca="false">IF($A2967="","",IF($A2967&lt;&gt;21,"対象外",IF($AE2967&amp;""="00000000","在職",IF($AE2967&amp;""=設定!$C$4,"4/1喪失","その他喪失"))))</f>
        <v/>
      </c>
    </row>
    <row r="2968" customFormat="false" ht="15" hidden="false" customHeight="false" outlineLevel="0" collapsed="false">
      <c r="DB2968" s="0" t="str">
        <f aca="false">IF($A2968="","",IF($A2968&lt;&gt;21,"対象外",IF($AE2968&amp;""="00000000","在職",IF($AE2968&amp;""=設定!$C$4,"4/1喪失","その他喪失"))))</f>
        <v/>
      </c>
    </row>
    <row r="2969" customFormat="false" ht="15" hidden="false" customHeight="false" outlineLevel="0" collapsed="false">
      <c r="DB2969" s="0" t="str">
        <f aca="false">IF($A2969="","",IF($A2969&lt;&gt;21,"対象外",IF($AE2969&amp;""="00000000","在職",IF($AE2969&amp;""=設定!$C$4,"4/1喪失","その他喪失"))))</f>
        <v/>
      </c>
    </row>
    <row r="2970" customFormat="false" ht="15" hidden="false" customHeight="false" outlineLevel="0" collapsed="false">
      <c r="DB2970" s="0" t="str">
        <f aca="false">IF($A2970="","",IF($A2970&lt;&gt;21,"対象外",IF($AE2970&amp;""="00000000","在職",IF($AE2970&amp;""=設定!$C$4,"4/1喪失","その他喪失"))))</f>
        <v/>
      </c>
    </row>
    <row r="2971" customFormat="false" ht="15" hidden="false" customHeight="false" outlineLevel="0" collapsed="false">
      <c r="DB2971" s="0" t="str">
        <f aca="false">IF($A2971="","",IF($A2971&lt;&gt;21,"対象外",IF($AE2971&amp;""="00000000","在職",IF($AE2971&amp;""=設定!$C$4,"4/1喪失","その他喪失"))))</f>
        <v/>
      </c>
    </row>
    <row r="2972" customFormat="false" ht="15" hidden="false" customHeight="false" outlineLevel="0" collapsed="false">
      <c r="DB2972" s="0" t="str">
        <f aca="false">IF($A2972="","",IF($A2972&lt;&gt;21,"対象外",IF($AE2972&amp;""="00000000","在職",IF($AE2972&amp;""=設定!$C$4,"4/1喪失","その他喪失"))))</f>
        <v/>
      </c>
    </row>
    <row r="2973" customFormat="false" ht="15" hidden="false" customHeight="false" outlineLevel="0" collapsed="false">
      <c r="DB2973" s="0" t="str">
        <f aca="false">IF($A2973="","",IF($A2973&lt;&gt;21,"対象外",IF($AE2973&amp;""="00000000","在職",IF($AE2973&amp;""=設定!$C$4,"4/1喪失","その他喪失"))))</f>
        <v/>
      </c>
    </row>
    <row r="2974" customFormat="false" ht="15" hidden="false" customHeight="false" outlineLevel="0" collapsed="false">
      <c r="DB2974" s="0" t="str">
        <f aca="false">IF($A2974="","",IF($A2974&lt;&gt;21,"対象外",IF($AE2974&amp;""="00000000","在職",IF($AE2974&amp;""=設定!$C$4,"4/1喪失","その他喪失"))))</f>
        <v/>
      </c>
    </row>
    <row r="2975" customFormat="false" ht="15" hidden="false" customHeight="false" outlineLevel="0" collapsed="false">
      <c r="DB2975" s="0" t="str">
        <f aca="false">IF($A2975="","",IF($A2975&lt;&gt;21,"対象外",IF($AE2975&amp;""="00000000","在職",IF($AE2975&amp;""=設定!$C$4,"4/1喪失","その他喪失"))))</f>
        <v/>
      </c>
    </row>
    <row r="2976" customFormat="false" ht="15" hidden="false" customHeight="false" outlineLevel="0" collapsed="false">
      <c r="DB2976" s="0" t="str">
        <f aca="false">IF($A2976="","",IF($A2976&lt;&gt;21,"対象外",IF($AE2976&amp;""="00000000","在職",IF($AE2976&amp;""=設定!$C$4,"4/1喪失","その他喪失"))))</f>
        <v/>
      </c>
    </row>
    <row r="2977" customFormat="false" ht="15" hidden="false" customHeight="false" outlineLevel="0" collapsed="false">
      <c r="DB2977" s="0" t="str">
        <f aca="false">IF($A2977="","",IF($A2977&lt;&gt;21,"対象外",IF($AE2977&amp;""="00000000","在職",IF($AE2977&amp;""=設定!$C$4,"4/1喪失","その他喪失"))))</f>
        <v/>
      </c>
    </row>
    <row r="2978" customFormat="false" ht="15" hidden="false" customHeight="false" outlineLevel="0" collapsed="false">
      <c r="DB2978" s="0" t="str">
        <f aca="false">IF($A2978="","",IF($A2978&lt;&gt;21,"対象外",IF($AE2978&amp;""="00000000","在職",IF($AE2978&amp;""=設定!$C$4,"4/1喪失","その他喪失"))))</f>
        <v/>
      </c>
    </row>
    <row r="2979" customFormat="false" ht="15" hidden="false" customHeight="false" outlineLevel="0" collapsed="false">
      <c r="DB2979" s="0" t="str">
        <f aca="false">IF($A2979="","",IF($A2979&lt;&gt;21,"対象外",IF($AE2979&amp;""="00000000","在職",IF($AE2979&amp;""=設定!$C$4,"4/1喪失","その他喪失"))))</f>
        <v/>
      </c>
    </row>
    <row r="2980" customFormat="false" ht="15" hidden="false" customHeight="false" outlineLevel="0" collapsed="false">
      <c r="DB2980" s="0" t="str">
        <f aca="false">IF($A2980="","",IF($A2980&lt;&gt;21,"対象外",IF($AE2980&amp;""="00000000","在職",IF($AE2980&amp;""=設定!$C$4,"4/1喪失","その他喪失"))))</f>
        <v/>
      </c>
    </row>
    <row r="2981" customFormat="false" ht="15" hidden="false" customHeight="false" outlineLevel="0" collapsed="false">
      <c r="DB2981" s="0" t="str">
        <f aca="false">IF($A2981="","",IF($A2981&lt;&gt;21,"対象外",IF($AE2981&amp;""="00000000","在職",IF($AE2981&amp;""=設定!$C$4,"4/1喪失","その他喪失"))))</f>
        <v/>
      </c>
    </row>
    <row r="2982" customFormat="false" ht="15" hidden="false" customHeight="false" outlineLevel="0" collapsed="false">
      <c r="DB2982" s="0" t="str">
        <f aca="false">IF($A2982="","",IF($A2982&lt;&gt;21,"対象外",IF($AE2982&amp;""="00000000","在職",IF($AE2982&amp;""=設定!$C$4,"4/1喪失","その他喪失"))))</f>
        <v/>
      </c>
    </row>
    <row r="2983" customFormat="false" ht="15" hidden="false" customHeight="false" outlineLevel="0" collapsed="false">
      <c r="DB2983" s="0" t="str">
        <f aca="false">IF($A2983="","",IF($A2983&lt;&gt;21,"対象外",IF($AE2983&amp;""="00000000","在職",IF($AE2983&amp;""=設定!$C$4,"4/1喪失","その他喪失"))))</f>
        <v/>
      </c>
    </row>
    <row r="2984" customFormat="false" ht="15" hidden="false" customHeight="false" outlineLevel="0" collapsed="false">
      <c r="DB2984" s="0" t="str">
        <f aca="false">IF($A2984="","",IF($A2984&lt;&gt;21,"対象外",IF($AE2984&amp;""="00000000","在職",IF($AE2984&amp;""=設定!$C$4,"4/1喪失","その他喪失"))))</f>
        <v/>
      </c>
    </row>
    <row r="2985" customFormat="false" ht="15" hidden="false" customHeight="false" outlineLevel="0" collapsed="false">
      <c r="DB2985" s="0" t="str">
        <f aca="false">IF($A2985="","",IF($A2985&lt;&gt;21,"対象外",IF($AE2985&amp;""="00000000","在職",IF($AE2985&amp;""=設定!$C$4,"4/1喪失","その他喪失"))))</f>
        <v/>
      </c>
    </row>
    <row r="2986" customFormat="false" ht="15" hidden="false" customHeight="false" outlineLevel="0" collapsed="false">
      <c r="DB2986" s="0" t="str">
        <f aca="false">IF($A2986="","",IF($A2986&lt;&gt;21,"対象外",IF($AE2986&amp;""="00000000","在職",IF($AE2986&amp;""=設定!$C$4,"4/1喪失","その他喪失"))))</f>
        <v/>
      </c>
    </row>
    <row r="2987" customFormat="false" ht="15" hidden="false" customHeight="false" outlineLevel="0" collapsed="false">
      <c r="DB2987" s="0" t="str">
        <f aca="false">IF($A2987="","",IF($A2987&lt;&gt;21,"対象外",IF($AE2987&amp;""="00000000","在職",IF($AE2987&amp;""=設定!$C$4,"4/1喪失","その他喪失"))))</f>
        <v/>
      </c>
    </row>
    <row r="2988" customFormat="false" ht="15" hidden="false" customHeight="false" outlineLevel="0" collapsed="false">
      <c r="DB2988" s="0" t="str">
        <f aca="false">IF($A2988="","",IF($A2988&lt;&gt;21,"対象外",IF($AE2988&amp;""="00000000","在職",IF($AE2988&amp;""=設定!$C$4,"4/1喪失","その他喪失"))))</f>
        <v/>
      </c>
    </row>
    <row r="2989" customFormat="false" ht="15" hidden="false" customHeight="false" outlineLevel="0" collapsed="false">
      <c r="DB2989" s="0" t="str">
        <f aca="false">IF($A2989="","",IF($A2989&lt;&gt;21,"対象外",IF($AE2989&amp;""="00000000","在職",IF($AE2989&amp;""=設定!$C$4,"4/1喪失","その他喪失"))))</f>
        <v/>
      </c>
    </row>
    <row r="2990" customFormat="false" ht="15" hidden="false" customHeight="false" outlineLevel="0" collapsed="false">
      <c r="DB2990" s="0" t="str">
        <f aca="false">IF($A2990="","",IF($A2990&lt;&gt;21,"対象外",IF($AE2990&amp;""="00000000","在職",IF($AE2990&amp;""=設定!$C$4,"4/1喪失","その他喪失"))))</f>
        <v/>
      </c>
    </row>
    <row r="2991" customFormat="false" ht="15" hidden="false" customHeight="false" outlineLevel="0" collapsed="false">
      <c r="DB2991" s="0" t="str">
        <f aca="false">IF($A2991="","",IF($A2991&lt;&gt;21,"対象外",IF($AE2991&amp;""="00000000","在職",IF($AE2991&amp;""=設定!$C$4,"4/1喪失","その他喪失"))))</f>
        <v/>
      </c>
    </row>
    <row r="2992" customFormat="false" ht="15" hidden="false" customHeight="false" outlineLevel="0" collapsed="false">
      <c r="DB2992" s="0" t="str">
        <f aca="false">IF($A2992="","",IF($A2992&lt;&gt;21,"対象外",IF($AE2992&amp;""="00000000","在職",IF($AE2992&amp;""=設定!$C$4,"4/1喪失","その他喪失"))))</f>
        <v/>
      </c>
    </row>
    <row r="2993" customFormat="false" ht="15" hidden="false" customHeight="false" outlineLevel="0" collapsed="false">
      <c r="DB2993" s="0" t="str">
        <f aca="false">IF($A2993="","",IF($A2993&lt;&gt;21,"対象外",IF($AE2993&amp;""="00000000","在職",IF($AE2993&amp;""=設定!$C$4,"4/1喪失","その他喪失"))))</f>
        <v/>
      </c>
    </row>
    <row r="2994" customFormat="false" ht="15" hidden="false" customHeight="false" outlineLevel="0" collapsed="false">
      <c r="DB2994" s="0" t="str">
        <f aca="false">IF($A2994="","",IF($A2994&lt;&gt;21,"対象外",IF($AE2994&amp;""="00000000","在職",IF($AE2994&amp;""=設定!$C$4,"4/1喪失","その他喪失"))))</f>
        <v/>
      </c>
    </row>
    <row r="2995" customFormat="false" ht="15" hidden="false" customHeight="false" outlineLevel="0" collapsed="false">
      <c r="DB2995" s="0" t="str">
        <f aca="false">IF($A2995="","",IF($A2995&lt;&gt;21,"対象外",IF($AE2995&amp;""="00000000","在職",IF($AE2995&amp;""=設定!$C$4,"4/1喪失","その他喪失"))))</f>
        <v/>
      </c>
    </row>
    <row r="2996" customFormat="false" ht="15" hidden="false" customHeight="false" outlineLevel="0" collapsed="false">
      <c r="DB2996" s="0" t="str">
        <f aca="false">IF($A2996="","",IF($A2996&lt;&gt;21,"対象外",IF($AE2996&amp;""="00000000","在職",IF($AE2996&amp;""=設定!$C$4,"4/1喪失","その他喪失"))))</f>
        <v/>
      </c>
    </row>
    <row r="2997" customFormat="false" ht="15" hidden="false" customHeight="false" outlineLevel="0" collapsed="false">
      <c r="DB2997" s="0" t="str">
        <f aca="false">IF($A2997="","",IF($A2997&lt;&gt;21,"対象外",IF($AE2997&amp;""="00000000","在職",IF($AE2997&amp;""=設定!$C$4,"4/1喪失","その他喪失"))))</f>
        <v/>
      </c>
    </row>
    <row r="2998" customFormat="false" ht="15" hidden="false" customHeight="false" outlineLevel="0" collapsed="false">
      <c r="DB2998" s="0" t="str">
        <f aca="false">IF($A2998="","",IF($A2998&lt;&gt;21,"対象外",IF($AE2998&amp;""="00000000","在職",IF($AE2998&amp;""=設定!$C$4,"4/1喪失","その他喪失"))))</f>
        <v/>
      </c>
    </row>
    <row r="2999" customFormat="false" ht="15" hidden="false" customHeight="false" outlineLevel="0" collapsed="false">
      <c r="DB2999" s="0" t="str">
        <f aca="false">IF($A2999="","",IF($A2999&lt;&gt;21,"対象外",IF($AE2999&amp;""="00000000","在職",IF($AE2999&amp;""=設定!$C$4,"4/1喪失","その他喪失"))))</f>
        <v/>
      </c>
    </row>
    <row r="3000" customFormat="false" ht="15" hidden="false" customHeight="false" outlineLevel="0" collapsed="false">
      <c r="DB3000" s="0" t="str">
        <f aca="false">IF($A3000="","",IF($A3000&lt;&gt;21,"対象外",IF($AE3000&amp;""="00000000","在職",IF($AE3000&amp;""=設定!$C$4,"4/1喪失","その他喪失"))))</f>
        <v/>
      </c>
    </row>
    <row r="3001" customFormat="false" ht="15" hidden="false" customHeight="false" outlineLevel="0" collapsed="false">
      <c r="DB3001" s="0" t="str">
        <f aca="false">IF($A3001="","",IF($A3001&lt;&gt;21,"対象外",IF($AE3001&amp;""="00000000","在職",IF($AE3001&amp;""=設定!$C$4,"4/1喪失","その他喪失"))))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2026-10-23T05:00:19Z</dcterms:created>
  <dc:creator>openpyxl</dc:creator>
  <dc:description/>
  <dc:language>en-US</dc:language>
  <cp:lastModifiedBy/>
  <dcterms:modified xsi:type="dcterms:W3CDTF">2026-10-23T05:00:22Z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